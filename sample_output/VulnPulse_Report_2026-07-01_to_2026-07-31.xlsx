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 Summary" sheetId="1" state="visible" r:id="rId3"/>
    <sheet name="All_Findings_Raw" sheetId="2" state="visible" r:id="rId4"/>
    <sheet name="Tag Leaderboard" sheetId="3" state="visible" r:id="rId5"/>
    <sheet name="Aging Analysis" sheetId="4" state="visible" r:id="rId6"/>
    <sheet name="Top Risks" sheetId="5" state="visible" r:id="rId7"/>
    <sheet name="Methodology &amp; Assumptions" sheetId="6" state="visible" r:id="rId8"/>
  </sheets>
  <definedNames>
    <definedName function="false" hidden="true" localSheetId="1" name="_xlnm._FilterDatabase" vbProcedure="false">All_Findings_Raw!$A$1:$W$3774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<sst xmlns="http://schemas.openxmlformats.org/spreadsheetml/2006/main" count="41671" uniqueCount="4452">
  <si>
    <t xml:space="preserve">VulnPulse — Executive Summary</t>
  </si>
  <si>
    <t xml:space="preserve">Period Start:</t>
  </si>
  <si>
    <t xml:space="preserve">Source: 15 tag export file(s)  |  515 hosts  |  15 tags</t>
  </si>
  <si>
    <t xml:space="preserve">Period End:</t>
  </si>
  <si>
    <t xml:space="preserve">1. Flow — New / Remediated / Backlog (exact, from Created/Closed dates)</t>
  </si>
  <si>
    <t xml:space="preserve">Metric</t>
  </si>
  <si>
    <t xml:space="preserve">Count</t>
  </si>
  <si>
    <t xml:space="preserve">New Findings This Period</t>
  </si>
  <si>
    <t xml:space="preserve">Remediated This Period (true closes only)</t>
  </si>
  <si>
    <t xml:space="preserve">Currently Open (includes Reopened)</t>
  </si>
  <si>
    <t xml:space="preserve">Backlog (open, predates this period)</t>
  </si>
  <si>
    <t xml:space="preserve">Currently Reopened (regressed findings)</t>
  </si>
  <si>
    <t xml:space="preserve">Net Change (New − Remediated)</t>
  </si>
  <si>
    <t xml:space="preserve">2. True Remediation Velocity &amp; SLA Compliance</t>
  </si>
  <si>
    <t xml:space="preserve">Severity</t>
  </si>
  <si>
    <t xml:space="preserve">Avg Days to Close</t>
  </si>
  <si>
    <t xml:space="preserve">% Closed Within SLA</t>
  </si>
  <si>
    <t xml:space="preserve">Open Count</t>
  </si>
  <si>
    <t xml:space="preserve">SLA Breaches</t>
  </si>
  <si>
    <t xml:space="preserve">Critical</t>
  </si>
  <si>
    <t xml:space="preserve">High</t>
  </si>
  <si>
    <t xml:space="preserve">Medium</t>
  </si>
  <si>
    <t xml:space="preserve">Low</t>
  </si>
  <si>
    <t xml:space="preserve">Hostname</t>
  </si>
  <si>
    <t xml:space="preserve">HostType</t>
  </si>
  <si>
    <t xml:space="preserve">OSVersion</t>
  </si>
  <si>
    <t xml:space="preserve">Product</t>
  </si>
  <si>
    <t xml:space="preserve">CVE ID</t>
  </si>
  <si>
    <t xml:space="preserve">Status</t>
  </si>
  <si>
    <t xml:space="preserve">Created Date</t>
  </si>
  <si>
    <t xml:space="preserve">Closed Date</t>
  </si>
  <si>
    <t xml:space="preserve">Base Score</t>
  </si>
  <si>
    <t xml:space="preserve">Tags</t>
  </si>
  <si>
    <t xml:space="preserve">Asset Criticality</t>
  </si>
  <si>
    <t xml:space="preserve">Vulnerability ID</t>
  </si>
  <si>
    <t xml:space="preserve">Recommended Remediations</t>
  </si>
  <si>
    <t xml:space="preserve">Age Days</t>
  </si>
  <si>
    <t xml:space="preserve">Days to Close</t>
  </si>
  <si>
    <t xml:space="preserve">SLA Days</t>
  </si>
  <si>
    <t xml:space="preserve">Is Currently Open</t>
  </si>
  <si>
    <t xml:space="preserve">Is New (Period)</t>
  </si>
  <si>
    <t xml:space="preserve">Is Remediated (Period)</t>
  </si>
  <si>
    <t xml:space="preserve">Is Reopened</t>
  </si>
  <si>
    <t xml:space="preserve">Breached SLA (Open)</t>
  </si>
  <si>
    <t xml:space="preserve">Closed Within SLA</t>
  </si>
  <si>
    <t xml:space="preserve">APIGATEWAY-0105</t>
  </si>
  <si>
    <t xml:space="preserve">Server</t>
  </si>
  <si>
    <t xml:space="preserve">RHEL 9</t>
  </si>
  <si>
    <t xml:space="preserve">curl</t>
  </si>
  <si>
    <t xml:space="preserve">CVE-2023-38545</t>
  </si>
  <si>
    <t xml:space="preserve">Closed</t>
  </si>
  <si>
    <t xml:space="preserve">API-Gateway</t>
  </si>
  <si>
    <t xml:space="preserve">VULN-6749069</t>
  </si>
  <si>
    <t xml:space="preserve">Schedule patch within next maintenance window; apply compensating WAF/firewall rule if delayed.</t>
  </si>
  <si>
    <t xml:space="preserve">Jenkins</t>
  </si>
  <si>
    <t xml:space="preserve">CVE-2024-23897</t>
  </si>
  <si>
    <t xml:space="preserve">Open</t>
  </si>
  <si>
    <t xml:space="preserve">VULN-2154992</t>
  </si>
  <si>
    <t xml:space="preserve">Apply vendor patch immediately; isolate host from network if patch unavailable within 24h.</t>
  </si>
  <si>
    <t xml:space="preserve">Windows Hyper-V</t>
  </si>
  <si>
    <t xml:space="preserve">CVE-2024-38080</t>
  </si>
  <si>
    <t xml:space="preserve">VULN-9461748</t>
  </si>
  <si>
    <t xml:space="preserve">Veeam Backup</t>
  </si>
  <si>
    <t xml:space="preserve">CVE-2024-29849</t>
  </si>
  <si>
    <t xml:space="preserve">VULN-2615622</t>
  </si>
  <si>
    <t xml:space="preserve">FortiOS SSL-VPN</t>
  </si>
  <si>
    <t xml:space="preserve">CVE-2023-27997</t>
  </si>
  <si>
    <t xml:space="preserve">VULN-1654924</t>
  </si>
  <si>
    <t xml:space="preserve">JetBrains TeamCity</t>
  </si>
  <si>
    <t xml:space="preserve">CVE-2024-27198</t>
  </si>
  <si>
    <t xml:space="preserve">VULN-1020136</t>
  </si>
  <si>
    <t xml:space="preserve">MOVEit Transfer</t>
  </si>
  <si>
    <t xml:space="preserve">CVE-2023-34362</t>
  </si>
  <si>
    <t xml:space="preserve">VULN-1728773</t>
  </si>
  <si>
    <t xml:space="preserve">Microsoft Exchange Server</t>
  </si>
  <si>
    <t xml:space="preserve">CVE-2024-49040</t>
  </si>
  <si>
    <t xml:space="preserve">VULN-6880713</t>
  </si>
  <si>
    <t xml:space="preserve">Include in next scheduled patch cycle.</t>
  </si>
  <si>
    <t xml:space="preserve">APIGATEWAY-0106</t>
  </si>
  <si>
    <t xml:space="preserve">Windows Server 2022</t>
  </si>
  <si>
    <t xml:space="preserve">VULN-4446353</t>
  </si>
  <si>
    <t xml:space="preserve">Windows Common Log File System Driver</t>
  </si>
  <si>
    <t xml:space="preserve">CVE-2024-49138</t>
  </si>
  <si>
    <t xml:space="preserve">VULN-5383935</t>
  </si>
  <si>
    <t xml:space="preserve">nginx</t>
  </si>
  <si>
    <t xml:space="preserve">CVE-2023-44487</t>
  </si>
  <si>
    <t xml:space="preserve">VULN-5623138</t>
  </si>
  <si>
    <t xml:space="preserve">PAN-OS</t>
  </si>
  <si>
    <t xml:space="preserve">CVE-2024-3400</t>
  </si>
  <si>
    <t xml:space="preserve">VULN-7932818</t>
  </si>
  <si>
    <t xml:space="preserve">VULN-9094465</t>
  </si>
  <si>
    <t xml:space="preserve">MySQL</t>
  </si>
  <si>
    <t xml:space="preserve">CVE-2024-6670</t>
  </si>
  <si>
    <t xml:space="preserve">VULN-6777340</t>
  </si>
  <si>
    <t xml:space="preserve">VULN-2997927</t>
  </si>
  <si>
    <t xml:space="preserve">libwebp</t>
  </si>
  <si>
    <t xml:space="preserve">CVE-2023-4863</t>
  </si>
  <si>
    <t xml:space="preserve">VULN-3714471</t>
  </si>
  <si>
    <t xml:space="preserve">ConnectWise ScreenConnect</t>
  </si>
  <si>
    <t xml:space="preserve">CVE-2024-1709</t>
  </si>
  <si>
    <t xml:space="preserve">VULN-1873301</t>
  </si>
  <si>
    <t xml:space="preserve">xz-utils</t>
  </si>
  <si>
    <t xml:space="preserve">CVE-2024-3094</t>
  </si>
  <si>
    <t xml:space="preserve">VULN-2528212</t>
  </si>
  <si>
    <t xml:space="preserve">Spring Framework</t>
  </si>
  <si>
    <t xml:space="preserve">CVE-2022-22965</t>
  </si>
  <si>
    <t xml:space="preserve">VULN-7221581</t>
  </si>
  <si>
    <t xml:space="preserve">VULN-7447920</t>
  </si>
  <si>
    <t xml:space="preserve">VMware Aria Operations</t>
  </si>
  <si>
    <t xml:space="preserve">CVE-2023-20887</t>
  </si>
  <si>
    <t xml:space="preserve">VULN-9741022</t>
  </si>
  <si>
    <t xml:space="preserve">APIGATEWAY-0107</t>
  </si>
  <si>
    <t xml:space="preserve">Microsoft Office</t>
  </si>
  <si>
    <t xml:space="preserve">CVE-2023-36884</t>
  </si>
  <si>
    <t xml:space="preserve">VULN-9565571</t>
  </si>
  <si>
    <t xml:space="preserve">VULN-3843451</t>
  </si>
  <si>
    <t xml:space="preserve">VULN-3641484</t>
  </si>
  <si>
    <t xml:space="preserve">Apache Log4j</t>
  </si>
  <si>
    <t xml:space="preserve">CVE-2021-44228</t>
  </si>
  <si>
    <t xml:space="preserve">VULN-7701385</t>
  </si>
  <si>
    <t xml:space="preserve">Windows Wi-Fi Driver</t>
  </si>
  <si>
    <t xml:space="preserve">CVE-2024-30078</t>
  </si>
  <si>
    <t xml:space="preserve">VULN-7802338</t>
  </si>
  <si>
    <t xml:space="preserve">Reopened</t>
  </si>
  <si>
    <t xml:space="preserve">VULN-5773013</t>
  </si>
  <si>
    <t xml:space="preserve">VULN-6840069</t>
  </si>
  <si>
    <t xml:space="preserve">VULN-5639031</t>
  </si>
  <si>
    <t xml:space="preserve">APIGATEWAY-0108</t>
  </si>
  <si>
    <t xml:space="preserve">RHEL 8</t>
  </si>
  <si>
    <t xml:space="preserve">VULN-2963085</t>
  </si>
  <si>
    <t xml:space="preserve">VULN-5196677</t>
  </si>
  <si>
    <t xml:space="preserve">Microsoft Outlook</t>
  </si>
  <si>
    <t xml:space="preserve">CVE-2024-21413</t>
  </si>
  <si>
    <t xml:space="preserve">VULN-9113963</t>
  </si>
  <si>
    <t xml:space="preserve">APIGATEWAY-0109</t>
  </si>
  <si>
    <t xml:space="preserve">Workstation</t>
  </si>
  <si>
    <t xml:space="preserve">Windows 11</t>
  </si>
  <si>
    <t xml:space="preserve">VULN-5418274</t>
  </si>
  <si>
    <t xml:space="preserve">VULN-6737688</t>
  </si>
  <si>
    <t xml:space="preserve">PHP</t>
  </si>
  <si>
    <t xml:space="preserve">CVE-2024-4577</t>
  </si>
  <si>
    <t xml:space="preserve">VULN-5514342</t>
  </si>
  <si>
    <t xml:space="preserve">VULN-4190481</t>
  </si>
  <si>
    <t xml:space="preserve">VULN-4940319</t>
  </si>
  <si>
    <t xml:space="preserve">VULN-4469169</t>
  </si>
  <si>
    <t xml:space="preserve">Apache ActiveMQ</t>
  </si>
  <si>
    <t xml:space="preserve">CVE-2023-46604</t>
  </si>
  <si>
    <t xml:space="preserve">VULN-6973148</t>
  </si>
  <si>
    <t xml:space="preserve">VULN-3011227</t>
  </si>
  <si>
    <t xml:space="preserve">VULN-9265544</t>
  </si>
  <si>
    <t xml:space="preserve">VULN-1709057</t>
  </si>
  <si>
    <t xml:space="preserve">APIGATEWAY-0110</t>
  </si>
  <si>
    <t xml:space="preserve">Microsoft Edge</t>
  </si>
  <si>
    <t xml:space="preserve">CVE-2024-38178</t>
  </si>
  <si>
    <t xml:space="preserve">VULN-8099712</t>
  </si>
  <si>
    <t xml:space="preserve">VULN-1546310</t>
  </si>
  <si>
    <t xml:space="preserve">VULN-3932663</t>
  </si>
  <si>
    <t xml:space="preserve">APIGATEWAY-0111</t>
  </si>
  <si>
    <t xml:space="preserve">Ubuntu 22.04</t>
  </si>
  <si>
    <t xml:space="preserve">VULN-8112581</t>
  </si>
  <si>
    <t xml:space="preserve">VULN-7124992</t>
  </si>
  <si>
    <t xml:space="preserve">VULN-4834713</t>
  </si>
  <si>
    <t xml:space="preserve">VULN-4956154</t>
  </si>
  <si>
    <t xml:space="preserve">Atlassian Confluence</t>
  </si>
  <si>
    <t xml:space="preserve">CVE-2023-22515</t>
  </si>
  <si>
    <t xml:space="preserve">VULN-3446851</t>
  </si>
  <si>
    <t xml:space="preserve">FortiOS</t>
  </si>
  <si>
    <t xml:space="preserve">CVE-2024-21762</t>
  </si>
  <si>
    <t xml:space="preserve">VULN-9673937</t>
  </si>
  <si>
    <t xml:space="preserve">VULN-9164132</t>
  </si>
  <si>
    <t xml:space="preserve">VULN-1800429</t>
  </si>
  <si>
    <t xml:space="preserve">VULN-2615677</t>
  </si>
  <si>
    <t xml:space="preserve">VULN-5358202</t>
  </si>
  <si>
    <t xml:space="preserve">Windows TCP/IP Stack</t>
  </si>
  <si>
    <t xml:space="preserve">CVE-2024-38063</t>
  </si>
  <si>
    <t xml:space="preserve">VULN-5323737</t>
  </si>
  <si>
    <t xml:space="preserve">APIGATEWAY-0112</t>
  </si>
  <si>
    <t xml:space="preserve">Windows Server 2019</t>
  </si>
  <si>
    <t xml:space="preserve">VULN-8498243</t>
  </si>
  <si>
    <t xml:space="preserve">VULN-3811450</t>
  </si>
  <si>
    <t xml:space="preserve">VULN-7790959</t>
  </si>
  <si>
    <t xml:space="preserve">VULN-5487442</t>
  </si>
  <si>
    <t xml:space="preserve">VULN-7092894</t>
  </si>
  <si>
    <t xml:space="preserve">VULN-7945583</t>
  </si>
  <si>
    <t xml:space="preserve">VULN-2343263</t>
  </si>
  <si>
    <t xml:space="preserve">VULN-2070258</t>
  </si>
  <si>
    <t xml:space="preserve">VULN-2396723</t>
  </si>
  <si>
    <t xml:space="preserve">VULN-7540534</t>
  </si>
  <si>
    <t xml:space="preserve">APIGATEWAY-0113</t>
  </si>
  <si>
    <t xml:space="preserve">VULN-8463259</t>
  </si>
  <si>
    <t xml:space="preserve">VULN-3970181</t>
  </si>
  <si>
    <t xml:space="preserve">VULN-8297709</t>
  </si>
  <si>
    <t xml:space="preserve">OpenSSH</t>
  </si>
  <si>
    <t xml:space="preserve">CVE-2024-6387</t>
  </si>
  <si>
    <t xml:space="preserve">VULN-9955411</t>
  </si>
  <si>
    <t xml:space="preserve">VULN-9080774</t>
  </si>
  <si>
    <t xml:space="preserve">VULN-3612506</t>
  </si>
  <si>
    <t xml:space="preserve">VULN-3286742</t>
  </si>
  <si>
    <t xml:space="preserve">VULN-9003857</t>
  </si>
  <si>
    <t xml:space="preserve">VULN-5914425</t>
  </si>
  <si>
    <t xml:space="preserve">APIGATEWAY-0114</t>
  </si>
  <si>
    <t xml:space="preserve">VULN-5561139</t>
  </si>
  <si>
    <t xml:space="preserve">VULN-9924543</t>
  </si>
  <si>
    <t xml:space="preserve">VULN-4060284</t>
  </si>
  <si>
    <t xml:space="preserve">VULN-9254323</t>
  </si>
  <si>
    <t xml:space="preserve">VULN-9975319</t>
  </si>
  <si>
    <t xml:space="preserve">WordPress Backup Migration Plugin</t>
  </si>
  <si>
    <t xml:space="preserve">CVE-2023-6553</t>
  </si>
  <si>
    <t xml:space="preserve">VULN-1137641</t>
  </si>
  <si>
    <t xml:space="preserve">VULN-4643811</t>
  </si>
  <si>
    <t xml:space="preserve">Microsoft SharePoint Server</t>
  </si>
  <si>
    <t xml:space="preserve">CVE-2023-29357</t>
  </si>
  <si>
    <t xml:space="preserve">VULN-1532460</t>
  </si>
  <si>
    <t xml:space="preserve">VULN-3450947</t>
  </si>
  <si>
    <t xml:space="preserve">APIGATEWAY-0115</t>
  </si>
  <si>
    <t xml:space="preserve">VULN-6236326</t>
  </si>
  <si>
    <t xml:space="preserve">VULN-9739692</t>
  </si>
  <si>
    <t xml:space="preserve">VULN-4653880</t>
  </si>
  <si>
    <t xml:space="preserve">VULN-1252794</t>
  </si>
  <si>
    <t xml:space="preserve">VULN-3007387</t>
  </si>
  <si>
    <t xml:space="preserve">VULN-1149818</t>
  </si>
  <si>
    <t xml:space="preserve">VULN-8973718</t>
  </si>
  <si>
    <t xml:space="preserve">VULN-6677780</t>
  </si>
  <si>
    <t xml:space="preserve">VULN-9998515</t>
  </si>
  <si>
    <t xml:space="preserve">VULN-6827024</t>
  </si>
  <si>
    <t xml:space="preserve">VULN-1358241</t>
  </si>
  <si>
    <t xml:space="preserve">VULN-1662507</t>
  </si>
  <si>
    <t xml:space="preserve">VULN-5944490</t>
  </si>
  <si>
    <t xml:space="preserve">VULN-4183910</t>
  </si>
  <si>
    <t xml:space="preserve">APIGATEWAY-0116</t>
  </si>
  <si>
    <t xml:space="preserve">VULN-9488562</t>
  </si>
  <si>
    <t xml:space="preserve">VULN-1314067</t>
  </si>
  <si>
    <t xml:space="preserve">VULN-5006173</t>
  </si>
  <si>
    <t xml:space="preserve">VULN-7501017</t>
  </si>
  <si>
    <t xml:space="preserve">VULN-6412330</t>
  </si>
  <si>
    <t xml:space="preserve">VULN-2853280</t>
  </si>
  <si>
    <t xml:space="preserve">VULN-3177250</t>
  </si>
  <si>
    <t xml:space="preserve">VULN-4390323</t>
  </si>
  <si>
    <t xml:space="preserve">VULN-9219319</t>
  </si>
  <si>
    <t xml:space="preserve">VULN-5293936</t>
  </si>
  <si>
    <t xml:space="preserve">VULN-2189067</t>
  </si>
  <si>
    <t xml:space="preserve">VULN-4502044</t>
  </si>
  <si>
    <t xml:space="preserve">VULN-2341452</t>
  </si>
  <si>
    <t xml:space="preserve">VULN-2018380</t>
  </si>
  <si>
    <t xml:space="preserve">APIGATEWAY-0117</t>
  </si>
  <si>
    <t xml:space="preserve">VULN-2307538</t>
  </si>
  <si>
    <t xml:space="preserve">APIGATEWAY-0118</t>
  </si>
  <si>
    <t xml:space="preserve">macOS 14</t>
  </si>
  <si>
    <t xml:space="preserve">VULN-7005628</t>
  </si>
  <si>
    <t xml:space="preserve">VULN-8165129</t>
  </si>
  <si>
    <t xml:space="preserve">VULN-7737011</t>
  </si>
  <si>
    <t xml:space="preserve">VULN-6911017</t>
  </si>
  <si>
    <t xml:space="preserve">VULN-7236418</t>
  </si>
  <si>
    <t xml:space="preserve">VULN-8224069</t>
  </si>
  <si>
    <t xml:space="preserve">VULN-4589118</t>
  </si>
  <si>
    <t xml:space="preserve">APIGATEWAY-0119</t>
  </si>
  <si>
    <t xml:space="preserve">VULN-6064062</t>
  </si>
  <si>
    <t xml:space="preserve">VULN-5629792</t>
  </si>
  <si>
    <t xml:space="preserve">VULN-3595683</t>
  </si>
  <si>
    <t xml:space="preserve">VULN-5191903</t>
  </si>
  <si>
    <t xml:space="preserve">VULN-7707501</t>
  </si>
  <si>
    <t xml:space="preserve">VULN-6447428</t>
  </si>
  <si>
    <t xml:space="preserve">VULN-2599943</t>
  </si>
  <si>
    <t xml:space="preserve">APIGATEWAY-0120</t>
  </si>
  <si>
    <t xml:space="preserve">VULN-3509536</t>
  </si>
  <si>
    <t xml:space="preserve">VULN-7591477</t>
  </si>
  <si>
    <t xml:space="preserve">VULN-9467953</t>
  </si>
  <si>
    <t xml:space="preserve">VULN-7615632</t>
  </si>
  <si>
    <t xml:space="preserve">VULN-7697318</t>
  </si>
  <si>
    <t xml:space="preserve">VULN-3187332</t>
  </si>
  <si>
    <t xml:space="preserve">VULN-9795418</t>
  </si>
  <si>
    <t xml:space="preserve">VULN-8215305</t>
  </si>
  <si>
    <t xml:space="preserve">VULN-2503148</t>
  </si>
  <si>
    <t xml:space="preserve">VULN-8105832</t>
  </si>
  <si>
    <t xml:space="preserve">VULN-6114011</t>
  </si>
  <si>
    <t xml:space="preserve">VULN-8419054</t>
  </si>
  <si>
    <t xml:space="preserve">VULN-4917305</t>
  </si>
  <si>
    <t xml:space="preserve">APIGATEWAY-0121</t>
  </si>
  <si>
    <t xml:space="preserve">VULN-5339561</t>
  </si>
  <si>
    <t xml:space="preserve">VULN-3371416</t>
  </si>
  <si>
    <t xml:space="preserve">VULN-2008479</t>
  </si>
  <si>
    <t xml:space="preserve">VULN-5551347</t>
  </si>
  <si>
    <t xml:space="preserve">VULN-7043474</t>
  </si>
  <si>
    <t xml:space="preserve">VULN-7484783</t>
  </si>
  <si>
    <t xml:space="preserve">VULN-9531890</t>
  </si>
  <si>
    <t xml:space="preserve">VULN-9131281</t>
  </si>
  <si>
    <t xml:space="preserve">VULN-1360516</t>
  </si>
  <si>
    <t xml:space="preserve">VULN-6596369</t>
  </si>
  <si>
    <t xml:space="preserve">VULN-6072192</t>
  </si>
  <si>
    <t xml:space="preserve">VULN-9409604</t>
  </si>
  <si>
    <t xml:space="preserve">APIGATEWAY-0122</t>
  </si>
  <si>
    <t xml:space="preserve">VULN-6240913</t>
  </si>
  <si>
    <t xml:space="preserve">VULN-4394202</t>
  </si>
  <si>
    <t xml:space="preserve">VULN-9787997</t>
  </si>
  <si>
    <t xml:space="preserve">VULN-3651604</t>
  </si>
  <si>
    <t xml:space="preserve">VULN-2986209</t>
  </si>
  <si>
    <t xml:space="preserve">VULN-7946441</t>
  </si>
  <si>
    <t xml:space="preserve">VULN-5593537</t>
  </si>
  <si>
    <t xml:space="preserve">VULN-2791327</t>
  </si>
  <si>
    <t xml:space="preserve">VULN-4874049</t>
  </si>
  <si>
    <t xml:space="preserve">VULN-2333376</t>
  </si>
  <si>
    <t xml:space="preserve">VULN-4086613</t>
  </si>
  <si>
    <t xml:space="preserve">VULN-4242361</t>
  </si>
  <si>
    <t xml:space="preserve">VULN-7929728</t>
  </si>
  <si>
    <t xml:space="preserve">VULN-4402982</t>
  </si>
  <si>
    <t xml:space="preserve">APIGATEWAY-0123</t>
  </si>
  <si>
    <t xml:space="preserve">Windows 10</t>
  </si>
  <si>
    <t xml:space="preserve">VULN-9995261</t>
  </si>
  <si>
    <t xml:space="preserve">VULN-1646123</t>
  </si>
  <si>
    <t xml:space="preserve">VULN-5122525</t>
  </si>
  <si>
    <t xml:space="preserve">VULN-1658532</t>
  </si>
  <si>
    <t xml:space="preserve">VULN-8374490</t>
  </si>
  <si>
    <t xml:space="preserve">VULN-5796850</t>
  </si>
  <si>
    <t xml:space="preserve">VULN-1915141</t>
  </si>
  <si>
    <t xml:space="preserve">VULN-8777564</t>
  </si>
  <si>
    <t xml:space="preserve">VULN-3270069</t>
  </si>
  <si>
    <t xml:space="preserve">VULN-4001084</t>
  </si>
  <si>
    <t xml:space="preserve">APIGATEWAY-0124</t>
  </si>
  <si>
    <t xml:space="preserve">VULN-3682671</t>
  </si>
  <si>
    <t xml:space="preserve">VULN-3866974</t>
  </si>
  <si>
    <t xml:space="preserve">VULN-4000886</t>
  </si>
  <si>
    <t xml:space="preserve">VULN-8486970</t>
  </si>
  <si>
    <t xml:space="preserve">VULN-2972228</t>
  </si>
  <si>
    <t xml:space="preserve">VULN-1059272</t>
  </si>
  <si>
    <t xml:space="preserve">VULN-9278999</t>
  </si>
  <si>
    <t xml:space="preserve">VULN-8612468</t>
  </si>
  <si>
    <t xml:space="preserve">VULN-5665960</t>
  </si>
  <si>
    <t xml:space="preserve">VULN-4483580</t>
  </si>
  <si>
    <t xml:space="preserve">VULN-6855581</t>
  </si>
  <si>
    <t xml:space="preserve">APIGATEWAY-0125</t>
  </si>
  <si>
    <t xml:space="preserve">VULN-3976601</t>
  </si>
  <si>
    <t xml:space="preserve">VULN-7042962</t>
  </si>
  <si>
    <t xml:space="preserve">APIGATEWAY-0126</t>
  </si>
  <si>
    <t xml:space="preserve">VULN-6523202</t>
  </si>
  <si>
    <t xml:space="preserve">VULN-4507293</t>
  </si>
  <si>
    <t xml:space="preserve">APIGATEWAY-0127</t>
  </si>
  <si>
    <t xml:space="preserve">VULN-9328158</t>
  </si>
  <si>
    <t xml:space="preserve">VULN-9350710</t>
  </si>
  <si>
    <t xml:space="preserve">VULN-4904421</t>
  </si>
  <si>
    <t xml:space="preserve">VULN-1026523</t>
  </si>
  <si>
    <t xml:space="preserve">VULN-7956372</t>
  </si>
  <si>
    <t xml:space="preserve">VULN-4562439</t>
  </si>
  <si>
    <t xml:space="preserve">VULN-5724912</t>
  </si>
  <si>
    <t xml:space="preserve">VULN-6163566</t>
  </si>
  <si>
    <t xml:space="preserve">VULN-6727097</t>
  </si>
  <si>
    <t xml:space="preserve">VULN-1488508</t>
  </si>
  <si>
    <t xml:space="preserve">VULN-9038102</t>
  </si>
  <si>
    <t xml:space="preserve">VULN-3277572</t>
  </si>
  <si>
    <t xml:space="preserve">APIGATEWAY-0128</t>
  </si>
  <si>
    <t xml:space="preserve">VULN-6932348</t>
  </si>
  <si>
    <t xml:space="preserve">VULN-5705338</t>
  </si>
  <si>
    <t xml:space="preserve">VULN-7535837</t>
  </si>
  <si>
    <t xml:space="preserve">VULN-6172103</t>
  </si>
  <si>
    <t xml:space="preserve">VULN-5554970</t>
  </si>
  <si>
    <t xml:space="preserve">VULN-7234137</t>
  </si>
  <si>
    <t xml:space="preserve">VULN-6077267</t>
  </si>
  <si>
    <t xml:space="preserve">VULN-4390648</t>
  </si>
  <si>
    <t xml:space="preserve">VULN-9097744</t>
  </si>
  <si>
    <t xml:space="preserve">VULN-6206955</t>
  </si>
  <si>
    <t xml:space="preserve">VULN-9659503</t>
  </si>
  <si>
    <t xml:space="preserve">VULN-2943405</t>
  </si>
  <si>
    <t xml:space="preserve">APIGATEWAY-0129</t>
  </si>
  <si>
    <t xml:space="preserve">VULN-6242557</t>
  </si>
  <si>
    <t xml:space="preserve">APIGATEWAY-0130</t>
  </si>
  <si>
    <t xml:space="preserve">VULN-5574378</t>
  </si>
  <si>
    <t xml:space="preserve">VULN-9624506</t>
  </si>
  <si>
    <t xml:space="preserve">VULN-5752443</t>
  </si>
  <si>
    <t xml:space="preserve">VULN-6683095</t>
  </si>
  <si>
    <t xml:space="preserve">APIGATEWAY-0131</t>
  </si>
  <si>
    <t xml:space="preserve">VULN-6241884</t>
  </si>
  <si>
    <t xml:space="preserve">VULN-9950391</t>
  </si>
  <si>
    <t xml:space="preserve">VULN-8813071</t>
  </si>
  <si>
    <t xml:space="preserve">VULN-8643434</t>
  </si>
  <si>
    <t xml:space="preserve">VULN-8808058</t>
  </si>
  <si>
    <t xml:space="preserve">VULN-5329406</t>
  </si>
  <si>
    <t xml:space="preserve">VULN-6448586</t>
  </si>
  <si>
    <t xml:space="preserve">APIGATEWAY-0132</t>
  </si>
  <si>
    <t xml:space="preserve">VULN-2794848</t>
  </si>
  <si>
    <t xml:space="preserve">VULN-7936404</t>
  </si>
  <si>
    <t xml:space="preserve">VULN-3667917</t>
  </si>
  <si>
    <t xml:space="preserve">VULN-8233471</t>
  </si>
  <si>
    <t xml:space="preserve">VULN-2306851</t>
  </si>
  <si>
    <t xml:space="preserve">VULN-6458938</t>
  </si>
  <si>
    <t xml:space="preserve">VULN-2824432</t>
  </si>
  <si>
    <t xml:space="preserve">VULN-2031500</t>
  </si>
  <si>
    <t xml:space="preserve">APIGATEWAY-0133</t>
  </si>
  <si>
    <t xml:space="preserve">VULN-8502096</t>
  </si>
  <si>
    <t xml:space="preserve">VULN-6109503</t>
  </si>
  <si>
    <t xml:space="preserve">VULN-6775801</t>
  </si>
  <si>
    <t xml:space="preserve">APIGATEWAY-0134</t>
  </si>
  <si>
    <t xml:space="preserve">VULN-1891328</t>
  </si>
  <si>
    <t xml:space="preserve">VULN-7027124</t>
  </si>
  <si>
    <t xml:space="preserve">VULN-1523193</t>
  </si>
  <si>
    <t xml:space="preserve">APIGATEWAY-0135</t>
  </si>
  <si>
    <t xml:space="preserve">VULN-7044627</t>
  </si>
  <si>
    <t xml:space="preserve">VULN-2203698</t>
  </si>
  <si>
    <t xml:space="preserve">VULN-8327199</t>
  </si>
  <si>
    <t xml:space="preserve">VULN-8142130</t>
  </si>
  <si>
    <t xml:space="preserve">VULN-8550515</t>
  </si>
  <si>
    <t xml:space="preserve">VULN-4972005</t>
  </si>
  <si>
    <t xml:space="preserve">VULN-7156735</t>
  </si>
  <si>
    <t xml:space="preserve">APIGATEWAY-0136</t>
  </si>
  <si>
    <t xml:space="preserve">VULN-2309997</t>
  </si>
  <si>
    <t xml:space="preserve">VULN-6242875</t>
  </si>
  <si>
    <t xml:space="preserve">VULN-9976368</t>
  </si>
  <si>
    <t xml:space="preserve">VULN-8872413</t>
  </si>
  <si>
    <t xml:space="preserve">VULN-1592675</t>
  </si>
  <si>
    <t xml:space="preserve">VULN-5369510</t>
  </si>
  <si>
    <t xml:space="preserve">VULN-3836678</t>
  </si>
  <si>
    <t xml:space="preserve">VULN-5894806</t>
  </si>
  <si>
    <t xml:space="preserve">VULN-9482495</t>
  </si>
  <si>
    <t xml:space="preserve">VULN-5661529</t>
  </si>
  <si>
    <t xml:space="preserve">APIGATEWAY-0137</t>
  </si>
  <si>
    <t xml:space="preserve">VULN-3433874</t>
  </si>
  <si>
    <t xml:space="preserve">VULN-7928115</t>
  </si>
  <si>
    <t xml:space="preserve">VULN-3806547</t>
  </si>
  <si>
    <t xml:space="preserve">VULN-2946062</t>
  </si>
  <si>
    <t xml:space="preserve">VULN-6056101</t>
  </si>
  <si>
    <t xml:space="preserve">VULN-9934217</t>
  </si>
  <si>
    <t xml:space="preserve">VULN-8293631</t>
  </si>
  <si>
    <t xml:space="preserve">VULN-7408965</t>
  </si>
  <si>
    <t xml:space="preserve">VULN-1688161</t>
  </si>
  <si>
    <t xml:space="preserve">VULN-6936250</t>
  </si>
  <si>
    <t xml:space="preserve">VULN-5573311</t>
  </si>
  <si>
    <t xml:space="preserve">VULN-8736118</t>
  </si>
  <si>
    <t xml:space="preserve">APIGATEWAY-0138</t>
  </si>
  <si>
    <t xml:space="preserve">VULN-1200679</t>
  </si>
  <si>
    <t xml:space="preserve">VULN-8481668</t>
  </si>
  <si>
    <t xml:space="preserve">VULN-2542518</t>
  </si>
  <si>
    <t xml:space="preserve">VULN-4637715</t>
  </si>
  <si>
    <t xml:space="preserve">VULN-3012881</t>
  </si>
  <si>
    <t xml:space="preserve">VULN-3179482</t>
  </si>
  <si>
    <t xml:space="preserve">APIGATEWAY-0139</t>
  </si>
  <si>
    <t xml:space="preserve">VULN-5636946</t>
  </si>
  <si>
    <t xml:space="preserve">VULN-6425820</t>
  </si>
  <si>
    <t xml:space="preserve">VULN-2046686</t>
  </si>
  <si>
    <t xml:space="preserve">APIGATEWAY-0140</t>
  </si>
  <si>
    <t xml:space="preserve">VULN-8408511</t>
  </si>
  <si>
    <t xml:space="preserve">VULN-5204309</t>
  </si>
  <si>
    <t xml:space="preserve">VULN-1634776</t>
  </si>
  <si>
    <t xml:space="preserve">VULN-7565434</t>
  </si>
  <si>
    <t xml:space="preserve">VULN-2176077</t>
  </si>
  <si>
    <t xml:space="preserve">VULN-9087731</t>
  </si>
  <si>
    <t xml:space="preserve">VULN-7721201</t>
  </si>
  <si>
    <t xml:space="preserve">VULN-2521139</t>
  </si>
  <si>
    <t xml:space="preserve">APIGATEWAY-0141</t>
  </si>
  <si>
    <t xml:space="preserve">VULN-2791270</t>
  </si>
  <si>
    <t xml:space="preserve">VULN-1598917</t>
  </si>
  <si>
    <t xml:space="preserve">VULN-5001116</t>
  </si>
  <si>
    <t xml:space="preserve">VULN-8538125</t>
  </si>
  <si>
    <t xml:space="preserve">APIGATEWAY-0142</t>
  </si>
  <si>
    <t xml:space="preserve">VULN-1618704</t>
  </si>
  <si>
    <t xml:space="preserve">VULN-1768424</t>
  </si>
  <si>
    <t xml:space="preserve">VULN-3190059</t>
  </si>
  <si>
    <t xml:space="preserve">VULN-8653507</t>
  </si>
  <si>
    <t xml:space="preserve">VULN-2073030</t>
  </si>
  <si>
    <t xml:space="preserve">VULN-4700592</t>
  </si>
  <si>
    <t xml:space="preserve">VULN-8150641</t>
  </si>
  <si>
    <t xml:space="preserve">VULN-7744585</t>
  </si>
  <si>
    <t xml:space="preserve">VULN-4577436</t>
  </si>
  <si>
    <t xml:space="preserve">VULN-6628818</t>
  </si>
  <si>
    <t xml:space="preserve">VULN-7965133</t>
  </si>
  <si>
    <t xml:space="preserve">VULN-3768343</t>
  </si>
  <si>
    <t xml:space="preserve">APIGATEWAY-0143</t>
  </si>
  <si>
    <t xml:space="preserve">VULN-5760225</t>
  </si>
  <si>
    <t xml:space="preserve">VULN-8986164</t>
  </si>
  <si>
    <t xml:space="preserve">VULN-9775941</t>
  </si>
  <si>
    <t xml:space="preserve">APIGATEWAY-0144</t>
  </si>
  <si>
    <t xml:space="preserve">VULN-7071696</t>
  </si>
  <si>
    <t xml:space="preserve">VULN-4491484</t>
  </si>
  <si>
    <t xml:space="preserve">VULN-8959326</t>
  </si>
  <si>
    <t xml:space="preserve">VULN-1723359</t>
  </si>
  <si>
    <t xml:space="preserve">VULN-5782589</t>
  </si>
  <si>
    <t xml:space="preserve">VULN-1726746</t>
  </si>
  <si>
    <t xml:space="preserve">VULN-3950904</t>
  </si>
  <si>
    <t xml:space="preserve">VULN-9137979</t>
  </si>
  <si>
    <t xml:space="preserve">APIGATEWAY-0145</t>
  </si>
  <si>
    <t xml:space="preserve">VULN-6471590</t>
  </si>
  <si>
    <t xml:space="preserve">VULN-4354702</t>
  </si>
  <si>
    <t xml:space="preserve">VULN-2233623</t>
  </si>
  <si>
    <t xml:space="preserve">VULN-1911663</t>
  </si>
  <si>
    <t xml:space="preserve">CUSTOMERPORTAL-0206</t>
  </si>
  <si>
    <t xml:space="preserve">Customer-Portal</t>
  </si>
  <si>
    <t xml:space="preserve">VULN-7177044</t>
  </si>
  <si>
    <t xml:space="preserve">VULN-8114216</t>
  </si>
  <si>
    <t xml:space="preserve">VULN-1474058</t>
  </si>
  <si>
    <t xml:space="preserve">VULN-3472414</t>
  </si>
  <si>
    <t xml:space="preserve">VULN-2958415</t>
  </si>
  <si>
    <t xml:space="preserve">VULN-7448284</t>
  </si>
  <si>
    <t xml:space="preserve">VULN-2348021</t>
  </si>
  <si>
    <t xml:space="preserve">VULN-8095837</t>
  </si>
  <si>
    <t xml:space="preserve">VULN-5242475</t>
  </si>
  <si>
    <t xml:space="preserve">VULN-7422127</t>
  </si>
  <si>
    <t xml:space="preserve">VULN-2491048</t>
  </si>
  <si>
    <t xml:space="preserve">CUSTOMERPORTAL-0207</t>
  </si>
  <si>
    <t xml:space="preserve">VULN-4127273</t>
  </si>
  <si>
    <t xml:space="preserve">VULN-2849490</t>
  </si>
  <si>
    <t xml:space="preserve">VULN-4219293</t>
  </si>
  <si>
    <t xml:space="preserve">VULN-7858398</t>
  </si>
  <si>
    <t xml:space="preserve">VULN-2831995</t>
  </si>
  <si>
    <t xml:space="preserve">VULN-3091809</t>
  </si>
  <si>
    <t xml:space="preserve">VULN-2691296</t>
  </si>
  <si>
    <t xml:space="preserve">VULN-1121243</t>
  </si>
  <si>
    <t xml:space="preserve">VULN-5459984</t>
  </si>
  <si>
    <t xml:space="preserve">VULN-8205036</t>
  </si>
  <si>
    <t xml:space="preserve">VULN-7060108</t>
  </si>
  <si>
    <t xml:space="preserve">VULN-6973179</t>
  </si>
  <si>
    <t xml:space="preserve">CUSTOMERPORTAL-0208</t>
  </si>
  <si>
    <t xml:space="preserve">VULN-7043247</t>
  </si>
  <si>
    <t xml:space="preserve">VULN-6461406</t>
  </si>
  <si>
    <t xml:space="preserve">VULN-2365149</t>
  </si>
  <si>
    <t xml:space="preserve">VULN-2685367</t>
  </si>
  <si>
    <t xml:space="preserve">VULN-3401850</t>
  </si>
  <si>
    <t xml:space="preserve">VULN-9466397</t>
  </si>
  <si>
    <t xml:space="preserve">VULN-8831655</t>
  </si>
  <si>
    <t xml:space="preserve">VULN-2940765</t>
  </si>
  <si>
    <t xml:space="preserve">VULN-5041658</t>
  </si>
  <si>
    <t xml:space="preserve">VULN-2500416</t>
  </si>
  <si>
    <t xml:space="preserve">VULN-7433891</t>
  </si>
  <si>
    <t xml:space="preserve">VULN-8991026</t>
  </si>
  <si>
    <t xml:space="preserve">VULN-9968148</t>
  </si>
  <si>
    <t xml:space="preserve">VULN-2084932</t>
  </si>
  <si>
    <t xml:space="preserve">CUSTOMERPORTAL-0209</t>
  </si>
  <si>
    <t xml:space="preserve">VULN-4156740</t>
  </si>
  <si>
    <t xml:space="preserve">VULN-1028160</t>
  </si>
  <si>
    <t xml:space="preserve">VULN-7512001</t>
  </si>
  <si>
    <t xml:space="preserve">VULN-9719981</t>
  </si>
  <si>
    <t xml:space="preserve">CUSTOMERPORTAL-0210</t>
  </si>
  <si>
    <t xml:space="preserve">VULN-3071382</t>
  </si>
  <si>
    <t xml:space="preserve">VULN-9024252</t>
  </si>
  <si>
    <t xml:space="preserve">VULN-6589238</t>
  </si>
  <si>
    <t xml:space="preserve">VULN-4533501</t>
  </si>
  <si>
    <t xml:space="preserve">VULN-1881916</t>
  </si>
  <si>
    <t xml:space="preserve">VULN-7573445</t>
  </si>
  <si>
    <t xml:space="preserve">VULN-3670819</t>
  </si>
  <si>
    <t xml:space="preserve">VULN-8942696</t>
  </si>
  <si>
    <t xml:space="preserve">VULN-7560950</t>
  </si>
  <si>
    <t xml:space="preserve">VULN-7606405</t>
  </si>
  <si>
    <t xml:space="preserve">VULN-1908038</t>
  </si>
  <si>
    <t xml:space="preserve">VULN-5883538</t>
  </si>
  <si>
    <t xml:space="preserve">VULN-4282547</t>
  </si>
  <si>
    <t xml:space="preserve">VULN-3476408</t>
  </si>
  <si>
    <t xml:space="preserve">CUSTOMERPORTAL-0211</t>
  </si>
  <si>
    <t xml:space="preserve">VULN-3492562</t>
  </si>
  <si>
    <t xml:space="preserve">VULN-7654595</t>
  </si>
  <si>
    <t xml:space="preserve">VULN-2503425</t>
  </si>
  <si>
    <t xml:space="preserve">VULN-7410589</t>
  </si>
  <si>
    <t xml:space="preserve">VULN-8467845</t>
  </si>
  <si>
    <t xml:space="preserve">VULN-3047685</t>
  </si>
  <si>
    <t xml:space="preserve">CUSTOMERPORTAL-0212</t>
  </si>
  <si>
    <t xml:space="preserve">VULN-7800317</t>
  </si>
  <si>
    <t xml:space="preserve">VULN-9893395</t>
  </si>
  <si>
    <t xml:space="preserve">VULN-3081873</t>
  </si>
  <si>
    <t xml:space="preserve">VULN-2968404</t>
  </si>
  <si>
    <t xml:space="preserve">VULN-4018851</t>
  </si>
  <si>
    <t xml:space="preserve">VULN-3064357</t>
  </si>
  <si>
    <t xml:space="preserve">VULN-1587291</t>
  </si>
  <si>
    <t xml:space="preserve">VULN-9491759</t>
  </si>
  <si>
    <t xml:space="preserve">VULN-8097623</t>
  </si>
  <si>
    <t xml:space="preserve">VULN-5922381</t>
  </si>
  <si>
    <t xml:space="preserve">VULN-6250195</t>
  </si>
  <si>
    <t xml:space="preserve">VULN-6907545</t>
  </si>
  <si>
    <t xml:space="preserve">CUSTOMERPORTAL-0213</t>
  </si>
  <si>
    <t xml:space="preserve">VULN-4624549</t>
  </si>
  <si>
    <t xml:space="preserve">CUSTOMERPORTAL-0214</t>
  </si>
  <si>
    <t xml:space="preserve">VULN-3403234</t>
  </si>
  <si>
    <t xml:space="preserve">VULN-5519776</t>
  </si>
  <si>
    <t xml:space="preserve">VULN-9580328</t>
  </si>
  <si>
    <t xml:space="preserve">VULN-1434695</t>
  </si>
  <si>
    <t xml:space="preserve">VULN-2845328</t>
  </si>
  <si>
    <t xml:space="preserve">VULN-5584424</t>
  </si>
  <si>
    <t xml:space="preserve">VULN-4787716</t>
  </si>
  <si>
    <t xml:space="preserve">VULN-4728326</t>
  </si>
  <si>
    <t xml:space="preserve">VULN-3072044</t>
  </si>
  <si>
    <t xml:space="preserve">CUSTOMERPORTAL-0215</t>
  </si>
  <si>
    <t xml:space="preserve">VULN-9920146</t>
  </si>
  <si>
    <t xml:space="preserve">VULN-7755367</t>
  </si>
  <si>
    <t xml:space="preserve">VULN-5346322</t>
  </si>
  <si>
    <t xml:space="preserve">VULN-3608710</t>
  </si>
  <si>
    <t xml:space="preserve">VULN-5485722</t>
  </si>
  <si>
    <t xml:space="preserve">VULN-7210098</t>
  </si>
  <si>
    <t xml:space="preserve">VULN-8016965</t>
  </si>
  <si>
    <t xml:space="preserve">VULN-5627541</t>
  </si>
  <si>
    <t xml:space="preserve">VULN-4838024</t>
  </si>
  <si>
    <t xml:space="preserve">CUSTOMERPORTAL-0216</t>
  </si>
  <si>
    <t xml:space="preserve">VULN-2570911</t>
  </si>
  <si>
    <t xml:space="preserve">VULN-1179426</t>
  </si>
  <si>
    <t xml:space="preserve">CUSTOMERPORTAL-0217</t>
  </si>
  <si>
    <t xml:space="preserve">VULN-5097436</t>
  </si>
  <si>
    <t xml:space="preserve">VULN-1710615</t>
  </si>
  <si>
    <t xml:space="preserve">VULN-9783147</t>
  </si>
  <si>
    <t xml:space="preserve">VULN-3236718</t>
  </si>
  <si>
    <t xml:space="preserve">VULN-2899743</t>
  </si>
  <si>
    <t xml:space="preserve">VULN-5190365</t>
  </si>
  <si>
    <t xml:space="preserve">VULN-2977453</t>
  </si>
  <si>
    <t xml:space="preserve">VULN-4574653</t>
  </si>
  <si>
    <t xml:space="preserve">VULN-7603872</t>
  </si>
  <si>
    <t xml:space="preserve">VULN-9649141</t>
  </si>
  <si>
    <t xml:space="preserve">VULN-9191751</t>
  </si>
  <si>
    <t xml:space="preserve">CUSTOMERPORTAL-0218</t>
  </si>
  <si>
    <t xml:space="preserve">VULN-9876767</t>
  </si>
  <si>
    <t xml:space="preserve">VULN-7890722</t>
  </si>
  <si>
    <t xml:space="preserve">CUSTOMERPORTAL-0219</t>
  </si>
  <si>
    <t xml:space="preserve">VULN-8371182</t>
  </si>
  <si>
    <t xml:space="preserve">VULN-1097479</t>
  </si>
  <si>
    <t xml:space="preserve">VULN-4329683</t>
  </si>
  <si>
    <t xml:space="preserve">VULN-1530269</t>
  </si>
  <si>
    <t xml:space="preserve">VULN-9041235</t>
  </si>
  <si>
    <t xml:space="preserve">VULN-9314244</t>
  </si>
  <si>
    <t xml:space="preserve">VULN-7523795</t>
  </si>
  <si>
    <t xml:space="preserve">VULN-1354875</t>
  </si>
  <si>
    <t xml:space="preserve">CUSTOMERPORTAL-0220</t>
  </si>
  <si>
    <t xml:space="preserve">VULN-5156509</t>
  </si>
  <si>
    <t xml:space="preserve">VULN-4134994</t>
  </si>
  <si>
    <t xml:space="preserve">VULN-8200092</t>
  </si>
  <si>
    <t xml:space="preserve">VULN-2729141</t>
  </si>
  <si>
    <t xml:space="preserve">VULN-4165340</t>
  </si>
  <si>
    <t xml:space="preserve">VULN-3452982</t>
  </si>
  <si>
    <t xml:space="preserve">VULN-1854889</t>
  </si>
  <si>
    <t xml:space="preserve">VULN-6640128</t>
  </si>
  <si>
    <t xml:space="preserve">VULN-1866635</t>
  </si>
  <si>
    <t xml:space="preserve">VULN-5143446</t>
  </si>
  <si>
    <t xml:space="preserve">VULN-4049286</t>
  </si>
  <si>
    <t xml:space="preserve">CUSTOMERPORTAL-0221</t>
  </si>
  <si>
    <t xml:space="preserve">VULN-7099881</t>
  </si>
  <si>
    <t xml:space="preserve">VULN-1229203</t>
  </si>
  <si>
    <t xml:space="preserve">VULN-3186206</t>
  </si>
  <si>
    <t xml:space="preserve">VULN-7234284</t>
  </si>
  <si>
    <t xml:space="preserve">VULN-4523774</t>
  </si>
  <si>
    <t xml:space="preserve">CUSTOMERPORTAL-0222</t>
  </si>
  <si>
    <t xml:space="preserve">VULN-6057934</t>
  </si>
  <si>
    <t xml:space="preserve">VULN-4388982</t>
  </si>
  <si>
    <t xml:space="preserve">VULN-1735028</t>
  </si>
  <si>
    <t xml:space="preserve">VULN-5236674</t>
  </si>
  <si>
    <t xml:space="preserve">VULN-7140662</t>
  </si>
  <si>
    <t xml:space="preserve">VULN-2970130</t>
  </si>
  <si>
    <t xml:space="preserve">VULN-1366999</t>
  </si>
  <si>
    <t xml:space="preserve">VULN-3163157</t>
  </si>
  <si>
    <t xml:space="preserve">VULN-4190874</t>
  </si>
  <si>
    <t xml:space="preserve">VULN-8344141</t>
  </si>
  <si>
    <t xml:space="preserve">CUSTOMERPORTAL-0223</t>
  </si>
  <si>
    <t xml:space="preserve">VULN-9603283</t>
  </si>
  <si>
    <t xml:space="preserve">VULN-5342524</t>
  </si>
  <si>
    <t xml:space="preserve">VULN-5972157</t>
  </si>
  <si>
    <t xml:space="preserve">VULN-1655832</t>
  </si>
  <si>
    <t xml:space="preserve">VULN-5659980</t>
  </si>
  <si>
    <t xml:space="preserve">CUSTOMERPORTAL-0224</t>
  </si>
  <si>
    <t xml:space="preserve">VULN-7192640</t>
  </si>
  <si>
    <t xml:space="preserve">VULN-5429825</t>
  </si>
  <si>
    <t xml:space="preserve">VULN-1174620</t>
  </si>
  <si>
    <t xml:space="preserve">VULN-3965125</t>
  </si>
  <si>
    <t xml:space="preserve">CUSTOMERPORTAL-0225</t>
  </si>
  <si>
    <t xml:space="preserve">VULN-8483576</t>
  </si>
  <si>
    <t xml:space="preserve">VULN-8279693</t>
  </si>
  <si>
    <t xml:space="preserve">VULN-9320847</t>
  </si>
  <si>
    <t xml:space="preserve">VULN-4026721</t>
  </si>
  <si>
    <t xml:space="preserve">VULN-3981886</t>
  </si>
  <si>
    <t xml:space="preserve">VULN-4151566</t>
  </si>
  <si>
    <t xml:space="preserve">VULN-7752901</t>
  </si>
  <si>
    <t xml:space="preserve">VULN-3303365</t>
  </si>
  <si>
    <t xml:space="preserve">VULN-7339692</t>
  </si>
  <si>
    <t xml:space="preserve">VULN-1733836</t>
  </si>
  <si>
    <t xml:space="preserve">VULN-1226440</t>
  </si>
  <si>
    <t xml:space="preserve">VULN-2784071</t>
  </si>
  <si>
    <t xml:space="preserve">CUSTOMERPORTAL-0226</t>
  </si>
  <si>
    <t xml:space="preserve">VULN-2724954</t>
  </si>
  <si>
    <t xml:space="preserve">VULN-4763343</t>
  </si>
  <si>
    <t xml:space="preserve">VULN-6927556</t>
  </si>
  <si>
    <t xml:space="preserve">VULN-2885904</t>
  </si>
  <si>
    <t xml:space="preserve">VULN-2706851</t>
  </si>
  <si>
    <t xml:space="preserve">VULN-2422780</t>
  </si>
  <si>
    <t xml:space="preserve">VULN-3987481</t>
  </si>
  <si>
    <t xml:space="preserve">VULN-8134419</t>
  </si>
  <si>
    <t xml:space="preserve">VULN-6059400</t>
  </si>
  <si>
    <t xml:space="preserve">VULN-5452689</t>
  </si>
  <si>
    <t xml:space="preserve">VULN-3493814</t>
  </si>
  <si>
    <t xml:space="preserve">VULN-9026757</t>
  </si>
  <si>
    <t xml:space="preserve">VULN-6419936</t>
  </si>
  <si>
    <t xml:space="preserve">CUSTOMERPORTAL-0227</t>
  </si>
  <si>
    <t xml:space="preserve">VULN-9955185</t>
  </si>
  <si>
    <t xml:space="preserve">VULN-8077313</t>
  </si>
  <si>
    <t xml:space="preserve">VULN-4679813</t>
  </si>
  <si>
    <t xml:space="preserve">VULN-8951164</t>
  </si>
  <si>
    <t xml:space="preserve">VULN-1999542</t>
  </si>
  <si>
    <t xml:space="preserve">VULN-3337892</t>
  </si>
  <si>
    <t xml:space="preserve">VULN-8064499</t>
  </si>
  <si>
    <t xml:space="preserve">VULN-3311922</t>
  </si>
  <si>
    <t xml:space="preserve">CUSTOMERPORTAL-0228</t>
  </si>
  <si>
    <t xml:space="preserve">VULN-2237660</t>
  </si>
  <si>
    <t xml:space="preserve">CUSTOMERPORTAL-0229</t>
  </si>
  <si>
    <t xml:space="preserve">VULN-3350695</t>
  </si>
  <si>
    <t xml:space="preserve">VULN-6024905</t>
  </si>
  <si>
    <t xml:space="preserve">CUSTOMERPORTAL-0230</t>
  </si>
  <si>
    <t xml:space="preserve">VULN-3912192</t>
  </si>
  <si>
    <t xml:space="preserve">VULN-8107177</t>
  </si>
  <si>
    <t xml:space="preserve">CUSTOMERPORTAL-0231</t>
  </si>
  <si>
    <t xml:space="preserve">VULN-7717637</t>
  </si>
  <si>
    <t xml:space="preserve">VULN-2295356</t>
  </si>
  <si>
    <t xml:space="preserve">VULN-7796448</t>
  </si>
  <si>
    <t xml:space="preserve">VULN-2818665</t>
  </si>
  <si>
    <t xml:space="preserve">VULN-6628280</t>
  </si>
  <si>
    <t xml:space="preserve">VULN-1184163</t>
  </si>
  <si>
    <t xml:space="preserve">VULN-1543024</t>
  </si>
  <si>
    <t xml:space="preserve">VULN-9116934</t>
  </si>
  <si>
    <t xml:space="preserve">VULN-6177530</t>
  </si>
  <si>
    <t xml:space="preserve">VULN-5737922</t>
  </si>
  <si>
    <t xml:space="preserve">CUSTOMERPORTAL-0232</t>
  </si>
  <si>
    <t xml:space="preserve">VULN-7410771</t>
  </si>
  <si>
    <t xml:space="preserve">VULN-1627606</t>
  </si>
  <si>
    <t xml:space="preserve">VULN-2321253</t>
  </si>
  <si>
    <t xml:space="preserve">VULN-4885101</t>
  </si>
  <si>
    <t xml:space="preserve">VULN-3363282</t>
  </si>
  <si>
    <t xml:space="preserve">VULN-9415785</t>
  </si>
  <si>
    <t xml:space="preserve">CUSTOMERPORTAL-0233</t>
  </si>
  <si>
    <t xml:space="preserve">VULN-9347047</t>
  </si>
  <si>
    <t xml:space="preserve">VULN-3392808</t>
  </si>
  <si>
    <t xml:space="preserve">VULN-2462431</t>
  </si>
  <si>
    <t xml:space="preserve">VULN-5699588</t>
  </si>
  <si>
    <t xml:space="preserve">VULN-8729953</t>
  </si>
  <si>
    <t xml:space="preserve">CUSTOMERPORTAL-0234</t>
  </si>
  <si>
    <t xml:space="preserve">VULN-3163996</t>
  </si>
  <si>
    <t xml:space="preserve">VULN-6262096</t>
  </si>
  <si>
    <t xml:space="preserve">CUSTOMERPORTAL-0235</t>
  </si>
  <si>
    <t xml:space="preserve">VULN-2568722</t>
  </si>
  <si>
    <t xml:space="preserve">VULN-8798939</t>
  </si>
  <si>
    <t xml:space="preserve">VULN-8266453</t>
  </si>
  <si>
    <t xml:space="preserve">VULN-6744913</t>
  </si>
  <si>
    <t xml:space="preserve">VULN-3612902</t>
  </si>
  <si>
    <t xml:space="preserve">VULN-1525516</t>
  </si>
  <si>
    <t xml:space="preserve">VULN-4580607</t>
  </si>
  <si>
    <t xml:space="preserve">VULN-8095426</t>
  </si>
  <si>
    <t xml:space="preserve">VULN-2370851</t>
  </si>
  <si>
    <t xml:space="preserve">VULN-8573586</t>
  </si>
  <si>
    <t xml:space="preserve">VULN-5352802</t>
  </si>
  <si>
    <t xml:space="preserve">CUSTOMERPORTAL-0236</t>
  </si>
  <si>
    <t xml:space="preserve">VULN-3426274</t>
  </si>
  <si>
    <t xml:space="preserve">VULN-6310245</t>
  </si>
  <si>
    <t xml:space="preserve">VULN-3474414</t>
  </si>
  <si>
    <t xml:space="preserve">VULN-2906007</t>
  </si>
  <si>
    <t xml:space="preserve">VULN-3109184</t>
  </si>
  <si>
    <t xml:space="preserve">VULN-2634873</t>
  </si>
  <si>
    <t xml:space="preserve">VULN-8049385</t>
  </si>
  <si>
    <t xml:space="preserve">VULN-7334348</t>
  </si>
  <si>
    <t xml:space="preserve">VULN-1241105</t>
  </si>
  <si>
    <t xml:space="preserve">VULN-1271644</t>
  </si>
  <si>
    <t xml:space="preserve">VULN-9423591</t>
  </si>
  <si>
    <t xml:space="preserve">VULN-8650368</t>
  </si>
  <si>
    <t xml:space="preserve">VULN-8144563</t>
  </si>
  <si>
    <t xml:space="preserve">CUSTOMERPORTAL-0237</t>
  </si>
  <si>
    <t xml:space="preserve">VULN-2664720</t>
  </si>
  <si>
    <t xml:space="preserve">VULN-2741677</t>
  </si>
  <si>
    <t xml:space="preserve">VULN-7900127</t>
  </si>
  <si>
    <t xml:space="preserve">VULN-2672723</t>
  </si>
  <si>
    <t xml:space="preserve">VULN-4554607</t>
  </si>
  <si>
    <t xml:space="preserve">VULN-7393458</t>
  </si>
  <si>
    <t xml:space="preserve">CUSTOMERPORTAL-0238</t>
  </si>
  <si>
    <t xml:space="preserve">VULN-1548189</t>
  </si>
  <si>
    <t xml:space="preserve">VULN-6326278</t>
  </si>
  <si>
    <t xml:space="preserve">VULN-8214533</t>
  </si>
  <si>
    <t xml:space="preserve">VULN-1865385</t>
  </si>
  <si>
    <t xml:space="preserve">VULN-3914492</t>
  </si>
  <si>
    <t xml:space="preserve">VULN-9678469</t>
  </si>
  <si>
    <t xml:space="preserve">VULN-7576872</t>
  </si>
  <si>
    <t xml:space="preserve">VULN-3668469</t>
  </si>
  <si>
    <t xml:space="preserve">VULN-8338707</t>
  </si>
  <si>
    <t xml:space="preserve">VULN-3567729</t>
  </si>
  <si>
    <t xml:space="preserve">VULN-2321583</t>
  </si>
  <si>
    <t xml:space="preserve">VULN-7008279</t>
  </si>
  <si>
    <t xml:space="preserve">VULN-5981533</t>
  </si>
  <si>
    <t xml:space="preserve">VULN-5370124</t>
  </si>
  <si>
    <t xml:space="preserve">DATAPLATFORM-0146</t>
  </si>
  <si>
    <t xml:space="preserve">Data-Platform</t>
  </si>
  <si>
    <t xml:space="preserve">VULN-2000789</t>
  </si>
  <si>
    <t xml:space="preserve">VULN-6764248</t>
  </si>
  <si>
    <t xml:space="preserve">VULN-3630468</t>
  </si>
  <si>
    <t xml:space="preserve">VULN-4853765</t>
  </si>
  <si>
    <t xml:space="preserve">VULN-8943827</t>
  </si>
  <si>
    <t xml:space="preserve">VULN-5138170</t>
  </si>
  <si>
    <t xml:space="preserve">VULN-3499296</t>
  </si>
  <si>
    <t xml:space="preserve">VULN-8896240</t>
  </si>
  <si>
    <t xml:space="preserve">DATAPLATFORM-0147</t>
  </si>
  <si>
    <t xml:space="preserve">VULN-6114309</t>
  </si>
  <si>
    <t xml:space="preserve">VULN-1409590</t>
  </si>
  <si>
    <t xml:space="preserve">VULN-7800818</t>
  </si>
  <si>
    <t xml:space="preserve">VULN-7214624</t>
  </si>
  <si>
    <t xml:space="preserve">VULN-1022878</t>
  </si>
  <si>
    <t xml:space="preserve">VULN-5526314</t>
  </si>
  <si>
    <t xml:space="preserve">VULN-2358267</t>
  </si>
  <si>
    <t xml:space="preserve">VULN-1919587</t>
  </si>
  <si>
    <t xml:space="preserve">VULN-7106747</t>
  </si>
  <si>
    <t xml:space="preserve">VULN-3940499</t>
  </si>
  <si>
    <t xml:space="preserve">VULN-4434507</t>
  </si>
  <si>
    <t xml:space="preserve">VULN-5003592</t>
  </si>
  <si>
    <t xml:space="preserve">VULN-4519758</t>
  </si>
  <si>
    <t xml:space="preserve">DATAPLATFORM-0148</t>
  </si>
  <si>
    <t xml:space="preserve">VULN-9939831</t>
  </si>
  <si>
    <t xml:space="preserve">VULN-2101048</t>
  </si>
  <si>
    <t xml:space="preserve">VULN-8681853</t>
  </si>
  <si>
    <t xml:space="preserve">VULN-5838090</t>
  </si>
  <si>
    <t xml:space="preserve">VULN-4426849</t>
  </si>
  <si>
    <t xml:space="preserve">VULN-1380679</t>
  </si>
  <si>
    <t xml:space="preserve">VULN-3215051</t>
  </si>
  <si>
    <t xml:space="preserve">VULN-2056117</t>
  </si>
  <si>
    <t xml:space="preserve">VULN-4897818</t>
  </si>
  <si>
    <t xml:space="preserve">VULN-7907041</t>
  </si>
  <si>
    <t xml:space="preserve">VULN-6474513</t>
  </si>
  <si>
    <t xml:space="preserve">DATAPLATFORM-0149</t>
  </si>
  <si>
    <t xml:space="preserve">VULN-4804769</t>
  </si>
  <si>
    <t xml:space="preserve">VULN-1793880</t>
  </si>
  <si>
    <t xml:space="preserve">VULN-9981123</t>
  </si>
  <si>
    <t xml:space="preserve">DATAPLATFORM-0150</t>
  </si>
  <si>
    <t xml:space="preserve">VULN-4441935</t>
  </si>
  <si>
    <t xml:space="preserve">DATAPLATFORM-0151</t>
  </si>
  <si>
    <t xml:space="preserve">VULN-5958621</t>
  </si>
  <si>
    <t xml:space="preserve">VULN-3467651</t>
  </si>
  <si>
    <t xml:space="preserve">VULN-8417300</t>
  </si>
  <si>
    <t xml:space="preserve">VULN-9035971</t>
  </si>
  <si>
    <t xml:space="preserve">VULN-6168761</t>
  </si>
  <si>
    <t xml:space="preserve">VULN-1923311</t>
  </si>
  <si>
    <t xml:space="preserve">VULN-4726955</t>
  </si>
  <si>
    <t xml:space="preserve">VULN-8473546</t>
  </si>
  <si>
    <t xml:space="preserve">VULN-7617330</t>
  </si>
  <si>
    <t xml:space="preserve">DATAPLATFORM-0152</t>
  </si>
  <si>
    <t xml:space="preserve">VULN-8452780</t>
  </si>
  <si>
    <t xml:space="preserve">VULN-5842475</t>
  </si>
  <si>
    <t xml:space="preserve">VULN-8110724</t>
  </si>
  <si>
    <t xml:space="preserve">VULN-2444148</t>
  </si>
  <si>
    <t xml:space="preserve">VULN-2109238</t>
  </si>
  <si>
    <t xml:space="preserve">VULN-5585697</t>
  </si>
  <si>
    <t xml:space="preserve">VULN-4342987</t>
  </si>
  <si>
    <t xml:space="preserve">VULN-5856386</t>
  </si>
  <si>
    <t xml:space="preserve">VULN-6066600</t>
  </si>
  <si>
    <t xml:space="preserve">VULN-3584093</t>
  </si>
  <si>
    <t xml:space="preserve">VULN-8927925</t>
  </si>
  <si>
    <t xml:space="preserve">DATAPLATFORM-0153</t>
  </si>
  <si>
    <t xml:space="preserve">VULN-2119456</t>
  </si>
  <si>
    <t xml:space="preserve">VULN-8316015</t>
  </si>
  <si>
    <t xml:space="preserve">DATAPLATFORM-0154</t>
  </si>
  <si>
    <t xml:space="preserve">VULN-3273269</t>
  </si>
  <si>
    <t xml:space="preserve">VULN-6972425</t>
  </si>
  <si>
    <t xml:space="preserve">VULN-2288937</t>
  </si>
  <si>
    <t xml:space="preserve">VULN-3804075</t>
  </si>
  <si>
    <t xml:space="preserve">VULN-6051155</t>
  </si>
  <si>
    <t xml:space="preserve">DATAPLATFORM-0155</t>
  </si>
  <si>
    <t xml:space="preserve">VULN-2718286</t>
  </si>
  <si>
    <t xml:space="preserve">VULN-4161109</t>
  </si>
  <si>
    <t xml:space="preserve">VULN-9818990</t>
  </si>
  <si>
    <t xml:space="preserve">DATAPLATFORM-0156</t>
  </si>
  <si>
    <t xml:space="preserve">VULN-3332267</t>
  </si>
  <si>
    <t xml:space="preserve">VULN-9776515</t>
  </si>
  <si>
    <t xml:space="preserve">VULN-3159470</t>
  </si>
  <si>
    <t xml:space="preserve">VULN-6157791</t>
  </si>
  <si>
    <t xml:space="preserve">VULN-8127046</t>
  </si>
  <si>
    <t xml:space="preserve">VULN-2808875</t>
  </si>
  <si>
    <t xml:space="preserve">VULN-9614751</t>
  </si>
  <si>
    <t xml:space="preserve">VULN-1726143</t>
  </si>
  <si>
    <t xml:space="preserve">DATAPLATFORM-0157</t>
  </si>
  <si>
    <t xml:space="preserve">VULN-6908990</t>
  </si>
  <si>
    <t xml:space="preserve">VULN-5057108</t>
  </si>
  <si>
    <t xml:space="preserve">VULN-1234617</t>
  </si>
  <si>
    <t xml:space="preserve">VULN-1072627</t>
  </si>
  <si>
    <t xml:space="preserve">DATAPLATFORM-0158</t>
  </si>
  <si>
    <t xml:space="preserve">VULN-3280231</t>
  </si>
  <si>
    <t xml:space="preserve">VULN-5836389</t>
  </si>
  <si>
    <t xml:space="preserve">VULN-2379891</t>
  </si>
  <si>
    <t xml:space="preserve">VULN-8448343</t>
  </si>
  <si>
    <t xml:space="preserve">VULN-8180005</t>
  </si>
  <si>
    <t xml:space="preserve">VULN-8980532</t>
  </si>
  <si>
    <t xml:space="preserve">VULN-8349399</t>
  </si>
  <si>
    <t xml:space="preserve">VULN-2426162</t>
  </si>
  <si>
    <t xml:space="preserve">VULN-2706614</t>
  </si>
  <si>
    <t xml:space="preserve">VULN-7782844</t>
  </si>
  <si>
    <t xml:space="preserve">VULN-9373678</t>
  </si>
  <si>
    <t xml:space="preserve">DATAPLATFORM-0159</t>
  </si>
  <si>
    <t xml:space="preserve">VULN-1498677</t>
  </si>
  <si>
    <t xml:space="preserve">VULN-2144687</t>
  </si>
  <si>
    <t xml:space="preserve">VULN-4004727</t>
  </si>
  <si>
    <t xml:space="preserve">VULN-6485409</t>
  </si>
  <si>
    <t xml:space="preserve">VULN-2283746</t>
  </si>
  <si>
    <t xml:space="preserve">VULN-8818548</t>
  </si>
  <si>
    <t xml:space="preserve">VULN-1296459</t>
  </si>
  <si>
    <t xml:space="preserve">VULN-2998738</t>
  </si>
  <si>
    <t xml:space="preserve">DATAPLATFORM-0160</t>
  </si>
  <si>
    <t xml:space="preserve">VULN-3753883</t>
  </si>
  <si>
    <t xml:space="preserve">VULN-7527687</t>
  </si>
  <si>
    <t xml:space="preserve">VULN-9230125</t>
  </si>
  <si>
    <t xml:space="preserve">DATAPLATFORM-0161</t>
  </si>
  <si>
    <t xml:space="preserve">VULN-5772070</t>
  </si>
  <si>
    <t xml:space="preserve">DATAPLATFORM-0162</t>
  </si>
  <si>
    <t xml:space="preserve">VULN-5154272</t>
  </si>
  <si>
    <t xml:space="preserve">VULN-2425085</t>
  </si>
  <si>
    <t xml:space="preserve">VULN-2920509</t>
  </si>
  <si>
    <t xml:space="preserve">VULN-1627092</t>
  </si>
  <si>
    <t xml:space="preserve">VULN-8087921</t>
  </si>
  <si>
    <t xml:space="preserve">VULN-1373065</t>
  </si>
  <si>
    <t xml:space="preserve">VULN-2639564</t>
  </si>
  <si>
    <t xml:space="preserve">VULN-6696526</t>
  </si>
  <si>
    <t xml:space="preserve">VULN-7095738</t>
  </si>
  <si>
    <t xml:space="preserve">VULN-2263679</t>
  </si>
  <si>
    <t xml:space="preserve">VULN-4789737</t>
  </si>
  <si>
    <t xml:space="preserve">VULN-2589366</t>
  </si>
  <si>
    <t xml:space="preserve">VULN-9909769</t>
  </si>
  <si>
    <t xml:space="preserve">DATAPLATFORM-0163</t>
  </si>
  <si>
    <t xml:space="preserve">VULN-9660803</t>
  </si>
  <si>
    <t xml:space="preserve">VULN-8839914</t>
  </si>
  <si>
    <t xml:space="preserve">VULN-9937547</t>
  </si>
  <si>
    <t xml:space="preserve">VULN-2004647</t>
  </si>
  <si>
    <t xml:space="preserve">VULN-5032805</t>
  </si>
  <si>
    <t xml:space="preserve">VULN-6037789</t>
  </si>
  <si>
    <t xml:space="preserve">VULN-7919567</t>
  </si>
  <si>
    <t xml:space="preserve">VULN-3694157</t>
  </si>
  <si>
    <t xml:space="preserve">VULN-4961601</t>
  </si>
  <si>
    <t xml:space="preserve">VULN-1464798</t>
  </si>
  <si>
    <t xml:space="preserve">VULN-6210006</t>
  </si>
  <si>
    <t xml:space="preserve">VULN-4388838</t>
  </si>
  <si>
    <t xml:space="preserve">VULN-5660240</t>
  </si>
  <si>
    <t xml:space="preserve">DATAPLATFORM-0164</t>
  </si>
  <si>
    <t xml:space="preserve">VULN-7097414</t>
  </si>
  <si>
    <t xml:space="preserve">DATAPLATFORM-0165</t>
  </si>
  <si>
    <t xml:space="preserve">VULN-9756994</t>
  </si>
  <si>
    <t xml:space="preserve">VULN-4994266</t>
  </si>
  <si>
    <t xml:space="preserve">DATAPLATFORM-0166</t>
  </si>
  <si>
    <t xml:space="preserve">VULN-8109870</t>
  </si>
  <si>
    <t xml:space="preserve">VULN-5659599</t>
  </si>
  <si>
    <t xml:space="preserve">VULN-6170258</t>
  </si>
  <si>
    <t xml:space="preserve">VULN-1584005</t>
  </si>
  <si>
    <t xml:space="preserve">VULN-5021093</t>
  </si>
  <si>
    <t xml:space="preserve">VULN-3047722</t>
  </si>
  <si>
    <t xml:space="preserve">VULN-8422287</t>
  </si>
  <si>
    <t xml:space="preserve">VULN-5287143</t>
  </si>
  <si>
    <t xml:space="preserve">VULN-3688166</t>
  </si>
  <si>
    <t xml:space="preserve">VULN-7816395</t>
  </si>
  <si>
    <t xml:space="preserve">VULN-9249220</t>
  </si>
  <si>
    <t xml:space="preserve">VULN-6582152</t>
  </si>
  <si>
    <t xml:space="preserve">DATAPLATFORM-0167</t>
  </si>
  <si>
    <t xml:space="preserve">VULN-4082639</t>
  </si>
  <si>
    <t xml:space="preserve">VULN-3283248</t>
  </si>
  <si>
    <t xml:space="preserve">VULN-3647821</t>
  </si>
  <si>
    <t xml:space="preserve">VULN-3182597</t>
  </si>
  <si>
    <t xml:space="preserve">VULN-6358628</t>
  </si>
  <si>
    <t xml:space="preserve">VULN-6495887</t>
  </si>
  <si>
    <t xml:space="preserve">VULN-4051595</t>
  </si>
  <si>
    <t xml:space="preserve">DATAPLATFORM-0168</t>
  </si>
  <si>
    <t xml:space="preserve">VULN-7172675</t>
  </si>
  <si>
    <t xml:space="preserve">VULN-2968815</t>
  </si>
  <si>
    <t xml:space="preserve">VULN-8300752</t>
  </si>
  <si>
    <t xml:space="preserve">VULN-9290445</t>
  </si>
  <si>
    <t xml:space="preserve">VULN-5466142</t>
  </si>
  <si>
    <t xml:space="preserve">VULN-7410129</t>
  </si>
  <si>
    <t xml:space="preserve">VULN-4176986</t>
  </si>
  <si>
    <t xml:space="preserve">VULN-1482732</t>
  </si>
  <si>
    <t xml:space="preserve">VULN-4950793</t>
  </si>
  <si>
    <t xml:space="preserve">DATAPLATFORM-0169</t>
  </si>
  <si>
    <t xml:space="preserve">VULN-7669861</t>
  </si>
  <si>
    <t xml:space="preserve">DATAPLATFORM-0170</t>
  </si>
  <si>
    <t xml:space="preserve">VULN-8900934</t>
  </si>
  <si>
    <t xml:space="preserve">DATAPLATFORM-0171</t>
  </si>
  <si>
    <t xml:space="preserve">VULN-2504043</t>
  </si>
  <si>
    <t xml:space="preserve">VULN-8263354</t>
  </si>
  <si>
    <t xml:space="preserve">VULN-3145327</t>
  </si>
  <si>
    <t xml:space="preserve">VULN-5714408</t>
  </si>
  <si>
    <t xml:space="preserve">VULN-5746702</t>
  </si>
  <si>
    <t xml:space="preserve">VULN-5425123</t>
  </si>
  <si>
    <t xml:space="preserve">VULN-3537801</t>
  </si>
  <si>
    <t xml:space="preserve">VULN-8381800</t>
  </si>
  <si>
    <t xml:space="preserve">VULN-4072601</t>
  </si>
  <si>
    <t xml:space="preserve">VULN-9303225</t>
  </si>
  <si>
    <t xml:space="preserve">DATAPLATFORM-0172</t>
  </si>
  <si>
    <t xml:space="preserve">VULN-4029442</t>
  </si>
  <si>
    <t xml:space="preserve">VULN-5129836</t>
  </si>
  <si>
    <t xml:space="preserve">VULN-6513962</t>
  </si>
  <si>
    <t xml:space="preserve">VULN-3046668</t>
  </si>
  <si>
    <t xml:space="preserve">VULN-1484433</t>
  </si>
  <si>
    <t xml:space="preserve">VULN-9050632</t>
  </si>
  <si>
    <t xml:space="preserve">VULN-5518413</t>
  </si>
  <si>
    <t xml:space="preserve">VULN-3169632</t>
  </si>
  <si>
    <t xml:space="preserve">VULN-5747180</t>
  </si>
  <si>
    <t xml:space="preserve">VULN-2186553</t>
  </si>
  <si>
    <t xml:space="preserve">VULN-7398678</t>
  </si>
  <si>
    <t xml:space="preserve">VULN-7692721</t>
  </si>
  <si>
    <t xml:space="preserve">VULN-3585950</t>
  </si>
  <si>
    <t xml:space="preserve">VULN-6202636</t>
  </si>
  <si>
    <t xml:space="preserve">DATAPLATFORM-0173</t>
  </si>
  <si>
    <t xml:space="preserve">VULN-4126532</t>
  </si>
  <si>
    <t xml:space="preserve">VULN-2559399</t>
  </si>
  <si>
    <t xml:space="preserve">VULN-4761958</t>
  </si>
  <si>
    <t xml:space="preserve">VULN-9846268</t>
  </si>
  <si>
    <t xml:space="preserve">VULN-6039762</t>
  </si>
  <si>
    <t xml:space="preserve">VULN-6040020</t>
  </si>
  <si>
    <t xml:space="preserve">DATAPLATFORM-0174</t>
  </si>
  <si>
    <t xml:space="preserve">VULN-2585184</t>
  </si>
  <si>
    <t xml:space="preserve">VULN-5251016</t>
  </si>
  <si>
    <t xml:space="preserve">DATAPLATFORM-0175</t>
  </si>
  <si>
    <t xml:space="preserve">VULN-8548873</t>
  </si>
  <si>
    <t xml:space="preserve">VULN-2312322</t>
  </si>
  <si>
    <t xml:space="preserve">VULN-2783932</t>
  </si>
  <si>
    <t xml:space="preserve">VULN-2957536</t>
  </si>
  <si>
    <t xml:space="preserve">VULN-9165848</t>
  </si>
  <si>
    <t xml:space="preserve">VULN-7052024</t>
  </si>
  <si>
    <t xml:space="preserve">VULN-2470273</t>
  </si>
  <si>
    <t xml:space="preserve">VULN-1266510</t>
  </si>
  <si>
    <t xml:space="preserve">VULN-4510288</t>
  </si>
  <si>
    <t xml:space="preserve">VULN-5056398</t>
  </si>
  <si>
    <t xml:space="preserve">VULN-4203013</t>
  </si>
  <si>
    <t xml:space="preserve">VULN-3786787</t>
  </si>
  <si>
    <t xml:space="preserve">DATAPLATFORM-0176</t>
  </si>
  <si>
    <t xml:space="preserve">VULN-8244199</t>
  </si>
  <si>
    <t xml:space="preserve">VULN-5878387</t>
  </si>
  <si>
    <t xml:space="preserve">VULN-9185628</t>
  </si>
  <si>
    <t xml:space="preserve">VULN-9863551</t>
  </si>
  <si>
    <t xml:space="preserve">VULN-2065530</t>
  </si>
  <si>
    <t xml:space="preserve">VULN-7998405</t>
  </si>
  <si>
    <t xml:space="preserve">VULN-8318725</t>
  </si>
  <si>
    <t xml:space="preserve">VULN-8872548</t>
  </si>
  <si>
    <t xml:space="preserve">DEVOPSTOOLING-0454</t>
  </si>
  <si>
    <t xml:space="preserve">DevOps-Tooling</t>
  </si>
  <si>
    <t xml:space="preserve">VULN-5087783</t>
  </si>
  <si>
    <t xml:space="preserve">VULN-7770171</t>
  </si>
  <si>
    <t xml:space="preserve">VULN-9778172</t>
  </si>
  <si>
    <t xml:space="preserve">DEVOPSTOOLING-0455</t>
  </si>
  <si>
    <t xml:space="preserve">VULN-1475103</t>
  </si>
  <si>
    <t xml:space="preserve">VULN-9898935</t>
  </si>
  <si>
    <t xml:space="preserve">DEVOPSTOOLING-0456</t>
  </si>
  <si>
    <t xml:space="preserve">VULN-6618205</t>
  </si>
  <si>
    <t xml:space="preserve">VULN-3659852</t>
  </si>
  <si>
    <t xml:space="preserve">VULN-6905124</t>
  </si>
  <si>
    <t xml:space="preserve">VULN-9158591</t>
  </si>
  <si>
    <t xml:space="preserve">VULN-5766279</t>
  </si>
  <si>
    <t xml:space="preserve">VULN-3353515</t>
  </si>
  <si>
    <t xml:space="preserve">VULN-8789111</t>
  </si>
  <si>
    <t xml:space="preserve">VULN-5995313</t>
  </si>
  <si>
    <t xml:space="preserve">VULN-6192707</t>
  </si>
  <si>
    <t xml:space="preserve">VULN-6831067</t>
  </si>
  <si>
    <t xml:space="preserve">VULN-1566645</t>
  </si>
  <si>
    <t xml:space="preserve">VULN-1554088</t>
  </si>
  <si>
    <t xml:space="preserve">VULN-1631411</t>
  </si>
  <si>
    <t xml:space="preserve">VULN-8157573</t>
  </si>
  <si>
    <t xml:space="preserve">DEVOPSTOOLING-0457</t>
  </si>
  <si>
    <t xml:space="preserve">VULN-3709721</t>
  </si>
  <si>
    <t xml:space="preserve">VULN-2314715</t>
  </si>
  <si>
    <t xml:space="preserve">VULN-9799989</t>
  </si>
  <si>
    <t xml:space="preserve">VULN-6627064</t>
  </si>
  <si>
    <t xml:space="preserve">VULN-8291789</t>
  </si>
  <si>
    <t xml:space="preserve">VULN-5901629</t>
  </si>
  <si>
    <t xml:space="preserve">VULN-2224634</t>
  </si>
  <si>
    <t xml:space="preserve">VULN-7635756</t>
  </si>
  <si>
    <t xml:space="preserve">VULN-5067771</t>
  </si>
  <si>
    <t xml:space="preserve">VULN-7877280</t>
  </si>
  <si>
    <t xml:space="preserve">DEVOPSTOOLING-0458</t>
  </si>
  <si>
    <t xml:space="preserve">VULN-5523283</t>
  </si>
  <si>
    <t xml:space="preserve">VULN-1133816</t>
  </si>
  <si>
    <t xml:space="preserve">VULN-1727321</t>
  </si>
  <si>
    <t xml:space="preserve">VULN-9700196</t>
  </si>
  <si>
    <t xml:space="preserve">VULN-8929208</t>
  </si>
  <si>
    <t xml:space="preserve">VULN-3108240</t>
  </si>
  <si>
    <t xml:space="preserve">VULN-5666375</t>
  </si>
  <si>
    <t xml:space="preserve">VULN-4748802</t>
  </si>
  <si>
    <t xml:space="preserve">VULN-6968855</t>
  </si>
  <si>
    <t xml:space="preserve">VULN-7601537</t>
  </si>
  <si>
    <t xml:space="preserve">DEVOPSTOOLING-0459</t>
  </si>
  <si>
    <t xml:space="preserve">VULN-2323408</t>
  </si>
  <si>
    <t xml:space="preserve">VULN-5380387</t>
  </si>
  <si>
    <t xml:space="preserve">VULN-6490445</t>
  </si>
  <si>
    <t xml:space="preserve">VULN-7224122</t>
  </si>
  <si>
    <t xml:space="preserve">VULN-5976514</t>
  </si>
  <si>
    <t xml:space="preserve">VULN-3277202</t>
  </si>
  <si>
    <t xml:space="preserve">DEVOPSTOOLING-0460</t>
  </si>
  <si>
    <t xml:space="preserve">VULN-7647888</t>
  </si>
  <si>
    <t xml:space="preserve">VULN-1548103</t>
  </si>
  <si>
    <t xml:space="preserve">VULN-6264565</t>
  </si>
  <si>
    <t xml:space="preserve">VULN-1840925</t>
  </si>
  <si>
    <t xml:space="preserve">VULN-2504422</t>
  </si>
  <si>
    <t xml:space="preserve">DEVOPSTOOLING-0461</t>
  </si>
  <si>
    <t xml:space="preserve">VULN-1787382</t>
  </si>
  <si>
    <t xml:space="preserve">VULN-5703172</t>
  </si>
  <si>
    <t xml:space="preserve">VULN-3675681</t>
  </si>
  <si>
    <t xml:space="preserve">VULN-3572249</t>
  </si>
  <si>
    <t xml:space="preserve">VULN-2808703</t>
  </si>
  <si>
    <t xml:space="preserve">DEVOPSTOOLING-0462</t>
  </si>
  <si>
    <t xml:space="preserve">VULN-7127040</t>
  </si>
  <si>
    <t xml:space="preserve">VULN-9026020</t>
  </si>
  <si>
    <t xml:space="preserve">VULN-6287988</t>
  </si>
  <si>
    <t xml:space="preserve">VULN-1950689</t>
  </si>
  <si>
    <t xml:space="preserve">VULN-3903155</t>
  </si>
  <si>
    <t xml:space="preserve">VULN-5333808</t>
  </si>
  <si>
    <t xml:space="preserve">VULN-5544163</t>
  </si>
  <si>
    <t xml:space="preserve">DEVOPSTOOLING-0463</t>
  </si>
  <si>
    <t xml:space="preserve">VULN-3221349</t>
  </si>
  <si>
    <t xml:space="preserve">VULN-8371012</t>
  </si>
  <si>
    <t xml:space="preserve">DEVOPSTOOLING-0464</t>
  </si>
  <si>
    <t xml:space="preserve">VULN-7944424</t>
  </si>
  <si>
    <t xml:space="preserve">VULN-4068162</t>
  </si>
  <si>
    <t xml:space="preserve">VULN-8393823</t>
  </si>
  <si>
    <t xml:space="preserve">VULN-8871214</t>
  </si>
  <si>
    <t xml:space="preserve">VULN-2075235</t>
  </si>
  <si>
    <t xml:space="preserve">VULN-6758647</t>
  </si>
  <si>
    <t xml:space="preserve">VULN-5273533</t>
  </si>
  <si>
    <t xml:space="preserve">VULN-3473513</t>
  </si>
  <si>
    <t xml:space="preserve">VULN-2280254</t>
  </si>
  <si>
    <t xml:space="preserve">DEVOPSTOOLING-0465</t>
  </si>
  <si>
    <t xml:space="preserve">VULN-2240405</t>
  </si>
  <si>
    <t xml:space="preserve">VULN-9132441</t>
  </si>
  <si>
    <t xml:space="preserve">VULN-4783854</t>
  </si>
  <si>
    <t xml:space="preserve">VULN-5224824</t>
  </si>
  <si>
    <t xml:space="preserve">VULN-9287806</t>
  </si>
  <si>
    <t xml:space="preserve">VULN-9258248</t>
  </si>
  <si>
    <t xml:space="preserve">VULN-5190501</t>
  </si>
  <si>
    <t xml:space="preserve">VULN-3510769</t>
  </si>
  <si>
    <t xml:space="preserve">VULN-6377143</t>
  </si>
  <si>
    <t xml:space="preserve">DEVOPSTOOLING-0466</t>
  </si>
  <si>
    <t xml:space="preserve">VULN-4394981</t>
  </si>
  <si>
    <t xml:space="preserve">VULN-9425574</t>
  </si>
  <si>
    <t xml:space="preserve">VULN-6546440</t>
  </si>
  <si>
    <t xml:space="preserve">VULN-7333787</t>
  </si>
  <si>
    <t xml:space="preserve">DEVOPSTOOLING-0467</t>
  </si>
  <si>
    <t xml:space="preserve">VULN-9355190</t>
  </si>
  <si>
    <t xml:space="preserve">VULN-1294219</t>
  </si>
  <si>
    <t xml:space="preserve">VULN-2404503</t>
  </si>
  <si>
    <t xml:space="preserve">VULN-3245147</t>
  </si>
  <si>
    <t xml:space="preserve">VULN-3645228</t>
  </si>
  <si>
    <t xml:space="preserve">VULN-2963364</t>
  </si>
  <si>
    <t xml:space="preserve">VULN-1705339</t>
  </si>
  <si>
    <t xml:space="preserve">VULN-6298322</t>
  </si>
  <si>
    <t xml:space="preserve">VULN-3586532</t>
  </si>
  <si>
    <t xml:space="preserve">VULN-4017976</t>
  </si>
  <si>
    <t xml:space="preserve">VULN-5348804</t>
  </si>
  <si>
    <t xml:space="preserve">VULN-2794644</t>
  </si>
  <si>
    <t xml:space="preserve">VULN-1678596</t>
  </si>
  <si>
    <t xml:space="preserve">DEVOPSTOOLING-0468</t>
  </si>
  <si>
    <t xml:space="preserve">VULN-7998722</t>
  </si>
  <si>
    <t xml:space="preserve">VULN-2841052</t>
  </si>
  <si>
    <t xml:space="preserve">VULN-1981259</t>
  </si>
  <si>
    <t xml:space="preserve">VULN-1016106</t>
  </si>
  <si>
    <t xml:space="preserve">VULN-3980663</t>
  </si>
  <si>
    <t xml:space="preserve">VULN-9352168</t>
  </si>
  <si>
    <t xml:space="preserve">VULN-9060471</t>
  </si>
  <si>
    <t xml:space="preserve">VULN-9737254</t>
  </si>
  <si>
    <t xml:space="preserve">VULN-7504808</t>
  </si>
  <si>
    <t xml:space="preserve">VULN-6214228</t>
  </si>
  <si>
    <t xml:space="preserve">VULN-3169313</t>
  </si>
  <si>
    <t xml:space="preserve">VULN-8316857</t>
  </si>
  <si>
    <t xml:space="preserve">VULN-1287020</t>
  </si>
  <si>
    <t xml:space="preserve">VULN-1762895</t>
  </si>
  <si>
    <t xml:space="preserve">DEVOPSTOOLING-0469</t>
  </si>
  <si>
    <t xml:space="preserve">VULN-4341392</t>
  </si>
  <si>
    <t xml:space="preserve">VULN-1333906</t>
  </si>
  <si>
    <t xml:space="preserve">VULN-7875661</t>
  </si>
  <si>
    <t xml:space="preserve">VULN-3820107</t>
  </si>
  <si>
    <t xml:space="preserve">VULN-6648226</t>
  </si>
  <si>
    <t xml:space="preserve">VULN-2616672</t>
  </si>
  <si>
    <t xml:space="preserve">VULN-9882867</t>
  </si>
  <si>
    <t xml:space="preserve">VULN-6960576</t>
  </si>
  <si>
    <t xml:space="preserve">VULN-8011699</t>
  </si>
  <si>
    <t xml:space="preserve">VULN-2047699</t>
  </si>
  <si>
    <t xml:space="preserve">VULN-8317344</t>
  </si>
  <si>
    <t xml:space="preserve">VULN-3974774</t>
  </si>
  <si>
    <t xml:space="preserve">DEVOPSTOOLING-0470</t>
  </si>
  <si>
    <t xml:space="preserve">VULN-2823015</t>
  </si>
  <si>
    <t xml:space="preserve">VULN-4185522</t>
  </si>
  <si>
    <t xml:space="preserve">VULN-3631527</t>
  </si>
  <si>
    <t xml:space="preserve">VULN-3556085</t>
  </si>
  <si>
    <t xml:space="preserve">VULN-9524533</t>
  </si>
  <si>
    <t xml:space="preserve">VULN-2062009</t>
  </si>
  <si>
    <t xml:space="preserve">VULN-1331934</t>
  </si>
  <si>
    <t xml:space="preserve">VULN-9091290</t>
  </si>
  <si>
    <t xml:space="preserve">VULN-7211496</t>
  </si>
  <si>
    <t xml:space="preserve">VULN-9768556</t>
  </si>
  <si>
    <t xml:space="preserve">VULN-5469467</t>
  </si>
  <si>
    <t xml:space="preserve">VULN-3138015</t>
  </si>
  <si>
    <t xml:space="preserve">VULN-7874490</t>
  </si>
  <si>
    <t xml:space="preserve">VULN-8029640</t>
  </si>
  <si>
    <t xml:space="preserve">DEVOPSTOOLING-0471</t>
  </si>
  <si>
    <t xml:space="preserve">VULN-6937488</t>
  </si>
  <si>
    <t xml:space="preserve">VULN-3726425</t>
  </si>
  <si>
    <t xml:space="preserve">VULN-8300694</t>
  </si>
  <si>
    <t xml:space="preserve">VULN-5997287</t>
  </si>
  <si>
    <t xml:space="preserve">VULN-3394433</t>
  </si>
  <si>
    <t xml:space="preserve">VULN-6108877</t>
  </si>
  <si>
    <t xml:space="preserve">VULN-7649771</t>
  </si>
  <si>
    <t xml:space="preserve">VULN-9355565</t>
  </si>
  <si>
    <t xml:space="preserve">VULN-5768531</t>
  </si>
  <si>
    <t xml:space="preserve">VULN-9456863</t>
  </si>
  <si>
    <t xml:space="preserve">VULN-5848200</t>
  </si>
  <si>
    <t xml:space="preserve">FINANCESYSTEMS-0345</t>
  </si>
  <si>
    <t xml:space="preserve">Finance-Systems</t>
  </si>
  <si>
    <t xml:space="preserve">VULN-5889906</t>
  </si>
  <si>
    <t xml:space="preserve">VULN-6660164</t>
  </si>
  <si>
    <t xml:space="preserve">VULN-9337532</t>
  </si>
  <si>
    <t xml:space="preserve">VULN-6727732</t>
  </si>
  <si>
    <t xml:space="preserve">VULN-3087576</t>
  </si>
  <si>
    <t xml:space="preserve">VULN-7594804</t>
  </si>
  <si>
    <t xml:space="preserve">VULN-5648826</t>
  </si>
  <si>
    <t xml:space="preserve">VULN-1855521</t>
  </si>
  <si>
    <t xml:space="preserve">VULN-9213447</t>
  </si>
  <si>
    <t xml:space="preserve">VULN-7062194</t>
  </si>
  <si>
    <t xml:space="preserve">VULN-2802906</t>
  </si>
  <si>
    <t xml:space="preserve">FINANCESYSTEMS-0346</t>
  </si>
  <si>
    <t xml:space="preserve">VULN-5767885</t>
  </si>
  <si>
    <t xml:space="preserve">FINANCESYSTEMS-0347</t>
  </si>
  <si>
    <t xml:space="preserve">VULN-7430237</t>
  </si>
  <si>
    <t xml:space="preserve">VULN-3690994</t>
  </si>
  <si>
    <t xml:space="preserve">VULN-3089825</t>
  </si>
  <si>
    <t xml:space="preserve">VULN-5060497</t>
  </si>
  <si>
    <t xml:space="preserve">VULN-3911570</t>
  </si>
  <si>
    <t xml:space="preserve">VULN-7487804</t>
  </si>
  <si>
    <t xml:space="preserve">VULN-2375683</t>
  </si>
  <si>
    <t xml:space="preserve">VULN-8424380</t>
  </si>
  <si>
    <t xml:space="preserve">VULN-7450428</t>
  </si>
  <si>
    <t xml:space="preserve">FINANCESYSTEMS-0348</t>
  </si>
  <si>
    <t xml:space="preserve">VULN-7257248</t>
  </si>
  <si>
    <t xml:space="preserve">VULN-7336155</t>
  </si>
  <si>
    <t xml:space="preserve">VULN-4475080</t>
  </si>
  <si>
    <t xml:space="preserve">VULN-4873783</t>
  </si>
  <si>
    <t xml:space="preserve">VULN-8880476</t>
  </si>
  <si>
    <t xml:space="preserve">VULN-5094863</t>
  </si>
  <si>
    <t xml:space="preserve">VULN-7524153</t>
  </si>
  <si>
    <t xml:space="preserve">VULN-8115851</t>
  </si>
  <si>
    <t xml:space="preserve">VULN-5515111</t>
  </si>
  <si>
    <t xml:space="preserve">VULN-5359712</t>
  </si>
  <si>
    <t xml:space="preserve">VULN-9907637</t>
  </si>
  <si>
    <t xml:space="preserve">FINANCESYSTEMS-0349</t>
  </si>
  <si>
    <t xml:space="preserve">VULN-5672680</t>
  </si>
  <si>
    <t xml:space="preserve">VULN-2548050</t>
  </si>
  <si>
    <t xml:space="preserve">VULN-3951849</t>
  </si>
  <si>
    <t xml:space="preserve">VULN-4278016</t>
  </si>
  <si>
    <t xml:space="preserve">VULN-3998601</t>
  </si>
  <si>
    <t xml:space="preserve">VULN-3562193</t>
  </si>
  <si>
    <t xml:space="preserve">VULN-5121265</t>
  </si>
  <si>
    <t xml:space="preserve">VULN-5569064</t>
  </si>
  <si>
    <t xml:space="preserve">VULN-9403927</t>
  </si>
  <si>
    <t xml:space="preserve">VULN-7606962</t>
  </si>
  <si>
    <t xml:space="preserve">VULN-7160440</t>
  </si>
  <si>
    <t xml:space="preserve">VULN-2843416</t>
  </si>
  <si>
    <t xml:space="preserve">FINANCESYSTEMS-0350</t>
  </si>
  <si>
    <t xml:space="preserve">VULN-9718383</t>
  </si>
  <si>
    <t xml:space="preserve">VULN-7798104</t>
  </si>
  <si>
    <t xml:space="preserve">VULN-9441498</t>
  </si>
  <si>
    <t xml:space="preserve">VULN-6007028</t>
  </si>
  <si>
    <t xml:space="preserve">VULN-7919142</t>
  </si>
  <si>
    <t xml:space="preserve">VULN-6277192</t>
  </si>
  <si>
    <t xml:space="preserve">VULN-3469105</t>
  </si>
  <si>
    <t xml:space="preserve">FINANCESYSTEMS-0351</t>
  </si>
  <si>
    <t xml:space="preserve">VULN-8804839</t>
  </si>
  <si>
    <t xml:space="preserve">VULN-8772872</t>
  </si>
  <si>
    <t xml:space="preserve">VULN-2699277</t>
  </si>
  <si>
    <t xml:space="preserve">VULN-7485347</t>
  </si>
  <si>
    <t xml:space="preserve">FINANCESYSTEMS-0352</t>
  </si>
  <si>
    <t xml:space="preserve">VULN-5523281</t>
  </si>
  <si>
    <t xml:space="preserve">VULN-9742456</t>
  </si>
  <si>
    <t xml:space="preserve">VULN-6478510</t>
  </si>
  <si>
    <t xml:space="preserve">VULN-3068593</t>
  </si>
  <si>
    <t xml:space="preserve">VULN-8271382</t>
  </si>
  <si>
    <t xml:space="preserve">VULN-2128925</t>
  </si>
  <si>
    <t xml:space="preserve">VULN-7340529</t>
  </si>
  <si>
    <t xml:space="preserve">VULN-8379650</t>
  </si>
  <si>
    <t xml:space="preserve">VULN-4293942</t>
  </si>
  <si>
    <t xml:space="preserve">FINANCESYSTEMS-0353</t>
  </si>
  <si>
    <t xml:space="preserve">VULN-5280671</t>
  </si>
  <si>
    <t xml:space="preserve">VULN-1628491</t>
  </si>
  <si>
    <t xml:space="preserve">VULN-2108790</t>
  </si>
  <si>
    <t xml:space="preserve">VULN-2341666</t>
  </si>
  <si>
    <t xml:space="preserve">VULN-6750174</t>
  </si>
  <si>
    <t xml:space="preserve">FINANCESYSTEMS-0354</t>
  </si>
  <si>
    <t xml:space="preserve">VULN-9110038</t>
  </si>
  <si>
    <t xml:space="preserve">VULN-7789891</t>
  </si>
  <si>
    <t xml:space="preserve">VULN-6038910</t>
  </si>
  <si>
    <t xml:space="preserve">VULN-4751808</t>
  </si>
  <si>
    <t xml:space="preserve">VULN-5173131</t>
  </si>
  <si>
    <t xml:space="preserve">VULN-2654187</t>
  </si>
  <si>
    <t xml:space="preserve">VULN-6017805</t>
  </si>
  <si>
    <t xml:space="preserve">VULN-2112674</t>
  </si>
  <si>
    <t xml:space="preserve">VULN-1954674</t>
  </si>
  <si>
    <t xml:space="preserve">VULN-6599997</t>
  </si>
  <si>
    <t xml:space="preserve">VULN-9252054</t>
  </si>
  <si>
    <t xml:space="preserve">FINANCESYSTEMS-0355</t>
  </si>
  <si>
    <t xml:space="preserve">VULN-2688791</t>
  </si>
  <si>
    <t xml:space="preserve">VULN-3517358</t>
  </si>
  <si>
    <t xml:space="preserve">VULN-3548252</t>
  </si>
  <si>
    <t xml:space="preserve">VULN-3239478</t>
  </si>
  <si>
    <t xml:space="preserve">FINANCESYSTEMS-0356</t>
  </si>
  <si>
    <t xml:space="preserve">VULN-4225388</t>
  </si>
  <si>
    <t xml:space="preserve">VULN-9226877</t>
  </si>
  <si>
    <t xml:space="preserve">VULN-9826283</t>
  </si>
  <si>
    <t xml:space="preserve">FINANCESYSTEMS-0357</t>
  </si>
  <si>
    <t xml:space="preserve">VULN-8591832</t>
  </si>
  <si>
    <t xml:space="preserve">VULN-6140518</t>
  </si>
  <si>
    <t xml:space="preserve">VULN-7729241</t>
  </si>
  <si>
    <t xml:space="preserve">VULN-4944744</t>
  </si>
  <si>
    <t xml:space="preserve">VULN-4532397</t>
  </si>
  <si>
    <t xml:space="preserve">VULN-2974982</t>
  </si>
  <si>
    <t xml:space="preserve">VULN-3505288</t>
  </si>
  <si>
    <t xml:space="preserve">VULN-9079852</t>
  </si>
  <si>
    <t xml:space="preserve">VULN-6075879</t>
  </si>
  <si>
    <t xml:space="preserve">VULN-1567676</t>
  </si>
  <si>
    <t xml:space="preserve">VULN-5230911</t>
  </si>
  <si>
    <t xml:space="preserve">VULN-7668769</t>
  </si>
  <si>
    <t xml:space="preserve">VULN-6281272</t>
  </si>
  <si>
    <t xml:space="preserve">VULN-4086368</t>
  </si>
  <si>
    <t xml:space="preserve">FINANCESYSTEMS-0358</t>
  </si>
  <si>
    <t xml:space="preserve">VULN-4393282</t>
  </si>
  <si>
    <t xml:space="preserve">VULN-7052003</t>
  </si>
  <si>
    <t xml:space="preserve">VULN-7258302</t>
  </si>
  <si>
    <t xml:space="preserve">VULN-4541028</t>
  </si>
  <si>
    <t xml:space="preserve">VULN-9472177</t>
  </si>
  <si>
    <t xml:space="preserve">VULN-4299424</t>
  </si>
  <si>
    <t xml:space="preserve">FINANCESYSTEMS-0359</t>
  </si>
  <si>
    <t xml:space="preserve">VULN-4739633</t>
  </si>
  <si>
    <t xml:space="preserve">VULN-1649453</t>
  </si>
  <si>
    <t xml:space="preserve">VULN-5263793</t>
  </si>
  <si>
    <t xml:space="preserve">VULN-8537163</t>
  </si>
  <si>
    <t xml:space="preserve">VULN-2276841</t>
  </si>
  <si>
    <t xml:space="preserve">VULN-6137252</t>
  </si>
  <si>
    <t xml:space="preserve">VULN-9960543</t>
  </si>
  <si>
    <t xml:space="preserve">VULN-6512781</t>
  </si>
  <si>
    <t xml:space="preserve">VULN-8205822</t>
  </si>
  <si>
    <t xml:space="preserve">VULN-5331763</t>
  </si>
  <si>
    <t xml:space="preserve">VULN-5313296</t>
  </si>
  <si>
    <t xml:space="preserve">VULN-3749908</t>
  </si>
  <si>
    <t xml:space="preserve">VULN-2150745</t>
  </si>
  <si>
    <t xml:space="preserve">FINANCESYSTEMS-0360</t>
  </si>
  <si>
    <t xml:space="preserve">VULN-2397006</t>
  </si>
  <si>
    <t xml:space="preserve">VULN-6926386</t>
  </si>
  <si>
    <t xml:space="preserve">VULN-2449957</t>
  </si>
  <si>
    <t xml:space="preserve">VULN-9759161</t>
  </si>
  <si>
    <t xml:space="preserve">VULN-6707286</t>
  </si>
  <si>
    <t xml:space="preserve">VULN-8254494</t>
  </si>
  <si>
    <t xml:space="preserve">VULN-7752148</t>
  </si>
  <si>
    <t xml:space="preserve">VULN-9110494</t>
  </si>
  <si>
    <t xml:space="preserve">VULN-4804253</t>
  </si>
  <si>
    <t xml:space="preserve">VULN-1704049</t>
  </si>
  <si>
    <t xml:space="preserve">VULN-6962982</t>
  </si>
  <si>
    <t xml:space="preserve">VULN-7250140</t>
  </si>
  <si>
    <t xml:space="preserve">VULN-2429842</t>
  </si>
  <si>
    <t xml:space="preserve">FINANCESYSTEMS-0361</t>
  </si>
  <si>
    <t xml:space="preserve">VULN-6319500</t>
  </si>
  <si>
    <t xml:space="preserve">VULN-1921287</t>
  </si>
  <si>
    <t xml:space="preserve">VULN-3297127</t>
  </si>
  <si>
    <t xml:space="preserve">FINANCESYSTEMS-0362</t>
  </si>
  <si>
    <t xml:space="preserve">VULN-7826160</t>
  </si>
  <si>
    <t xml:space="preserve">VULN-3305604</t>
  </si>
  <si>
    <t xml:space="preserve">FINANCESYSTEMS-0363</t>
  </si>
  <si>
    <t xml:space="preserve">VULN-4561978</t>
  </si>
  <si>
    <t xml:space="preserve">VULN-2336525</t>
  </si>
  <si>
    <t xml:space="preserve">FINANCESYSTEMS-0364</t>
  </si>
  <si>
    <t xml:space="preserve">VULN-3296660</t>
  </si>
  <si>
    <t xml:space="preserve">VULN-1067267</t>
  </si>
  <si>
    <t xml:space="preserve">VULN-1713448</t>
  </si>
  <si>
    <t xml:space="preserve">VULN-7811359</t>
  </si>
  <si>
    <t xml:space="preserve">VULN-5153632</t>
  </si>
  <si>
    <t xml:space="preserve">VULN-2742713</t>
  </si>
  <si>
    <t xml:space="preserve">VULN-9551086</t>
  </si>
  <si>
    <t xml:space="preserve">FINANCESYSTEMS-0365</t>
  </si>
  <si>
    <t xml:space="preserve">VULN-7904546</t>
  </si>
  <si>
    <t xml:space="preserve">VULN-5278178</t>
  </si>
  <si>
    <t xml:space="preserve">VULN-4207215</t>
  </si>
  <si>
    <t xml:space="preserve">VULN-4093012</t>
  </si>
  <si>
    <t xml:space="preserve">VULN-5173838</t>
  </si>
  <si>
    <t xml:space="preserve">VULN-4873115</t>
  </si>
  <si>
    <t xml:space="preserve">VULN-2211302</t>
  </si>
  <si>
    <t xml:space="preserve">VULN-4526654</t>
  </si>
  <si>
    <t xml:space="preserve">VULN-1230853</t>
  </si>
  <si>
    <t xml:space="preserve">VULN-3422356</t>
  </si>
  <si>
    <t xml:space="preserve">VULN-3067693</t>
  </si>
  <si>
    <t xml:space="preserve">VULN-8439215</t>
  </si>
  <si>
    <t xml:space="preserve">VULN-3448055</t>
  </si>
  <si>
    <t xml:space="preserve">FINANCESYSTEMS-0366</t>
  </si>
  <si>
    <t xml:space="preserve">VULN-1999793</t>
  </si>
  <si>
    <t xml:space="preserve">VULN-2852481</t>
  </si>
  <si>
    <t xml:space="preserve">VULN-9885085</t>
  </si>
  <si>
    <t xml:space="preserve">VULN-6835836</t>
  </si>
  <si>
    <t xml:space="preserve">VULN-8538725</t>
  </si>
  <si>
    <t xml:space="preserve">VULN-5624061</t>
  </si>
  <si>
    <t xml:space="preserve">VULN-5523800</t>
  </si>
  <si>
    <t xml:space="preserve">VULN-3239535</t>
  </si>
  <si>
    <t xml:space="preserve">FINANCESYSTEMS-0367</t>
  </si>
  <si>
    <t xml:space="preserve">VULN-1340570</t>
  </si>
  <si>
    <t xml:space="preserve">VULN-5047096</t>
  </si>
  <si>
    <t xml:space="preserve">VULN-9890570</t>
  </si>
  <si>
    <t xml:space="preserve">VULN-9863869</t>
  </si>
  <si>
    <t xml:space="preserve">VULN-8041836</t>
  </si>
  <si>
    <t xml:space="preserve">VULN-8127778</t>
  </si>
  <si>
    <t xml:space="preserve">VULN-5562422</t>
  </si>
  <si>
    <t xml:space="preserve">VULN-6987578</t>
  </si>
  <si>
    <t xml:space="preserve">VULN-5108472</t>
  </si>
  <si>
    <t xml:space="preserve">FINANCESYSTEMS-0368</t>
  </si>
  <si>
    <t xml:space="preserve">VULN-4438647</t>
  </si>
  <si>
    <t xml:space="preserve">VULN-2218092</t>
  </si>
  <si>
    <t xml:space="preserve">VULN-8403469</t>
  </si>
  <si>
    <t xml:space="preserve">VULN-1196256</t>
  </si>
  <si>
    <t xml:space="preserve">VULN-8547010</t>
  </si>
  <si>
    <t xml:space="preserve">VULN-5199616</t>
  </si>
  <si>
    <t xml:space="preserve">HRSYSTEMS-0369</t>
  </si>
  <si>
    <t xml:space="preserve">HR-Systems</t>
  </si>
  <si>
    <t xml:space="preserve">VULN-9213276</t>
  </si>
  <si>
    <t xml:space="preserve">VULN-6548965</t>
  </si>
  <si>
    <t xml:space="preserve">VULN-5658528</t>
  </si>
  <si>
    <t xml:space="preserve">HRSYSTEMS-0370</t>
  </si>
  <si>
    <t xml:space="preserve">VULN-4315927</t>
  </si>
  <si>
    <t xml:space="preserve">VULN-1528329</t>
  </si>
  <si>
    <t xml:space="preserve">VULN-4425296</t>
  </si>
  <si>
    <t xml:space="preserve">VULN-6026347</t>
  </si>
  <si>
    <t xml:space="preserve">VULN-3668732</t>
  </si>
  <si>
    <t xml:space="preserve">VULN-8052414</t>
  </si>
  <si>
    <t xml:space="preserve">VULN-2228310</t>
  </si>
  <si>
    <t xml:space="preserve">VULN-9728545</t>
  </si>
  <si>
    <t xml:space="preserve">VULN-9906450</t>
  </si>
  <si>
    <t xml:space="preserve">VULN-3640686</t>
  </si>
  <si>
    <t xml:space="preserve">VULN-4616959</t>
  </si>
  <si>
    <t xml:space="preserve">VULN-8467132</t>
  </si>
  <si>
    <t xml:space="preserve">HRSYSTEMS-0371</t>
  </si>
  <si>
    <t xml:space="preserve">VULN-3126997</t>
  </si>
  <si>
    <t xml:space="preserve">VULN-9041683</t>
  </si>
  <si>
    <t xml:space="preserve">VULN-3268584</t>
  </si>
  <si>
    <t xml:space="preserve">VULN-4888965</t>
  </si>
  <si>
    <t xml:space="preserve">VULN-2244415</t>
  </si>
  <si>
    <t xml:space="preserve">VULN-9809311</t>
  </si>
  <si>
    <t xml:space="preserve">VULN-1738508</t>
  </si>
  <si>
    <t xml:space="preserve">HRSYSTEMS-0372</t>
  </si>
  <si>
    <t xml:space="preserve">VULN-6665355</t>
  </si>
  <si>
    <t xml:space="preserve">VULN-1406129</t>
  </si>
  <si>
    <t xml:space="preserve">VULN-2360014</t>
  </si>
  <si>
    <t xml:space="preserve">VULN-9066147</t>
  </si>
  <si>
    <t xml:space="preserve">VULN-1433544</t>
  </si>
  <si>
    <t xml:space="preserve">VULN-6248651</t>
  </si>
  <si>
    <t xml:space="preserve">VULN-9456053</t>
  </si>
  <si>
    <t xml:space="preserve">VULN-5375566</t>
  </si>
  <si>
    <t xml:space="preserve">VULN-8999013</t>
  </si>
  <si>
    <t xml:space="preserve">VULN-5848232</t>
  </si>
  <si>
    <t xml:space="preserve">VULN-1712357</t>
  </si>
  <si>
    <t xml:space="preserve">HRSYSTEMS-0373</t>
  </si>
  <si>
    <t xml:space="preserve">VULN-5120699</t>
  </si>
  <si>
    <t xml:space="preserve">HRSYSTEMS-0374</t>
  </si>
  <si>
    <t xml:space="preserve">VULN-7200293</t>
  </si>
  <si>
    <t xml:space="preserve">VULN-7296917</t>
  </si>
  <si>
    <t xml:space="preserve">VULN-5033072</t>
  </si>
  <si>
    <t xml:space="preserve">HRSYSTEMS-0375</t>
  </si>
  <si>
    <t xml:space="preserve">VULN-5493117</t>
  </si>
  <si>
    <t xml:space="preserve">HRSYSTEMS-0376</t>
  </si>
  <si>
    <t xml:space="preserve">VULN-4252367</t>
  </si>
  <si>
    <t xml:space="preserve">VULN-4148815</t>
  </si>
  <si>
    <t xml:space="preserve">VULN-7705999</t>
  </si>
  <si>
    <t xml:space="preserve">VULN-3373992</t>
  </si>
  <si>
    <t xml:space="preserve">VULN-5951813</t>
  </si>
  <si>
    <t xml:space="preserve">VULN-5992676</t>
  </si>
  <si>
    <t xml:space="preserve">VULN-3189600</t>
  </si>
  <si>
    <t xml:space="preserve">VULN-9863756</t>
  </si>
  <si>
    <t xml:space="preserve">VULN-1684155</t>
  </si>
  <si>
    <t xml:space="preserve">HRSYSTEMS-0377</t>
  </si>
  <si>
    <t xml:space="preserve">VULN-1390306</t>
  </si>
  <si>
    <t xml:space="preserve">VULN-5694057</t>
  </si>
  <si>
    <t xml:space="preserve">VULN-1377352</t>
  </si>
  <si>
    <t xml:space="preserve">VULN-7180253</t>
  </si>
  <si>
    <t xml:space="preserve">VULN-3993971</t>
  </si>
  <si>
    <t xml:space="preserve">VULN-2032303</t>
  </si>
  <si>
    <t xml:space="preserve">VULN-1965082</t>
  </si>
  <si>
    <t xml:space="preserve">VULN-6956976</t>
  </si>
  <si>
    <t xml:space="preserve">VULN-5323775</t>
  </si>
  <si>
    <t xml:space="preserve">VULN-3049847</t>
  </si>
  <si>
    <t xml:space="preserve">VULN-3372568</t>
  </si>
  <si>
    <t xml:space="preserve">VULN-8629336</t>
  </si>
  <si>
    <t xml:space="preserve">VULN-4332271</t>
  </si>
  <si>
    <t xml:space="preserve">HRSYSTEMS-0378</t>
  </si>
  <si>
    <t xml:space="preserve">VULN-1583133</t>
  </si>
  <si>
    <t xml:space="preserve">VULN-9470588</t>
  </si>
  <si>
    <t xml:space="preserve">VULN-6493549</t>
  </si>
  <si>
    <t xml:space="preserve">HRSYSTEMS-0379</t>
  </si>
  <si>
    <t xml:space="preserve">VULN-9789075</t>
  </si>
  <si>
    <t xml:space="preserve">VULN-8923426</t>
  </si>
  <si>
    <t xml:space="preserve">VULN-7971116</t>
  </si>
  <si>
    <t xml:space="preserve">VULN-4585320</t>
  </si>
  <si>
    <t xml:space="preserve">VULN-3246910</t>
  </si>
  <si>
    <t xml:space="preserve">VULN-5812312</t>
  </si>
  <si>
    <t xml:space="preserve">VULN-7660590</t>
  </si>
  <si>
    <t xml:space="preserve">VULN-7833008</t>
  </si>
  <si>
    <t xml:space="preserve">VULN-4616926</t>
  </si>
  <si>
    <t xml:space="preserve">HRSYSTEMS-0380</t>
  </si>
  <si>
    <t xml:space="preserve">VULN-7154486</t>
  </si>
  <si>
    <t xml:space="preserve">VULN-6662173</t>
  </si>
  <si>
    <t xml:space="preserve">VULN-8304317</t>
  </si>
  <si>
    <t xml:space="preserve">VULN-1301466</t>
  </si>
  <si>
    <t xml:space="preserve">VULN-1929247</t>
  </si>
  <si>
    <t xml:space="preserve">VULN-7061978</t>
  </si>
  <si>
    <t xml:space="preserve">HRSYSTEMS-0381</t>
  </si>
  <si>
    <t xml:space="preserve">VULN-4571088</t>
  </si>
  <si>
    <t xml:space="preserve">VULN-4667567</t>
  </si>
  <si>
    <t xml:space="preserve">VULN-6969255</t>
  </si>
  <si>
    <t xml:space="preserve">HRSYSTEMS-0382</t>
  </si>
  <si>
    <t xml:space="preserve">VULN-3392360</t>
  </si>
  <si>
    <t xml:space="preserve">VULN-5425545</t>
  </si>
  <si>
    <t xml:space="preserve">HRSYSTEMS-0383</t>
  </si>
  <si>
    <t xml:space="preserve">VULN-3082675</t>
  </si>
  <si>
    <t xml:space="preserve">VULN-1302898</t>
  </si>
  <si>
    <t xml:space="preserve">VULN-5854480</t>
  </si>
  <si>
    <t xml:space="preserve">VULN-8601889</t>
  </si>
  <si>
    <t xml:space="preserve">VULN-3778324</t>
  </si>
  <si>
    <t xml:space="preserve">VULN-8058810</t>
  </si>
  <si>
    <t xml:space="preserve">VULN-5972962</t>
  </si>
  <si>
    <t xml:space="preserve">VULN-8653803</t>
  </si>
  <si>
    <t xml:space="preserve">VULN-5958464</t>
  </si>
  <si>
    <t xml:space="preserve">HRSYSTEMS-0384</t>
  </si>
  <si>
    <t xml:space="preserve">VULN-4193974</t>
  </si>
  <si>
    <t xml:space="preserve">VULN-4741787</t>
  </si>
  <si>
    <t xml:space="preserve">VULN-8212098</t>
  </si>
  <si>
    <t xml:space="preserve">VULN-1385216</t>
  </si>
  <si>
    <t xml:space="preserve">VULN-2974957</t>
  </si>
  <si>
    <t xml:space="preserve">VULN-1512046</t>
  </si>
  <si>
    <t xml:space="preserve">HRSYSTEMS-0385</t>
  </si>
  <si>
    <t xml:space="preserve">VULN-5776497</t>
  </si>
  <si>
    <t xml:space="preserve">VULN-7836248</t>
  </si>
  <si>
    <t xml:space="preserve">VULN-8283798</t>
  </si>
  <si>
    <t xml:space="preserve">VULN-7018359</t>
  </si>
  <si>
    <t xml:space="preserve">VULN-8283754</t>
  </si>
  <si>
    <t xml:space="preserve">VULN-7346755</t>
  </si>
  <si>
    <t xml:space="preserve">VULN-9085428</t>
  </si>
  <si>
    <t xml:space="preserve">VULN-3444734</t>
  </si>
  <si>
    <t xml:space="preserve">VULN-6262923</t>
  </si>
  <si>
    <t xml:space="preserve">VULN-3016385</t>
  </si>
  <si>
    <t xml:space="preserve">HRSYSTEMS-0386</t>
  </si>
  <si>
    <t xml:space="preserve">VULN-7531140</t>
  </si>
  <si>
    <t xml:space="preserve">VULN-2959309</t>
  </si>
  <si>
    <t xml:space="preserve">VULN-4243587</t>
  </si>
  <si>
    <t xml:space="preserve">VULN-1427572</t>
  </si>
  <si>
    <t xml:space="preserve">VULN-7294667</t>
  </si>
  <si>
    <t xml:space="preserve">VULN-2227468</t>
  </si>
  <si>
    <t xml:space="preserve">VULN-3972741</t>
  </si>
  <si>
    <t xml:space="preserve">VULN-3410015</t>
  </si>
  <si>
    <t xml:space="preserve">VULN-4699556</t>
  </si>
  <si>
    <t xml:space="preserve">VULN-8392872</t>
  </si>
  <si>
    <t xml:space="preserve">HRSYSTEMS-0387</t>
  </si>
  <si>
    <t xml:space="preserve">VULN-3301718</t>
  </si>
  <si>
    <t xml:space="preserve">VULN-8954738</t>
  </si>
  <si>
    <t xml:space="preserve">VULN-3700658</t>
  </si>
  <si>
    <t xml:space="preserve">HRSYSTEMS-0388</t>
  </si>
  <si>
    <t xml:space="preserve">VULN-3225760</t>
  </si>
  <si>
    <t xml:space="preserve">VULN-7732903</t>
  </si>
  <si>
    <t xml:space="preserve">VULN-8788907</t>
  </si>
  <si>
    <t xml:space="preserve">VULN-2318598</t>
  </si>
  <si>
    <t xml:space="preserve">VULN-8078300</t>
  </si>
  <si>
    <t xml:space="preserve">VULN-6331060</t>
  </si>
  <si>
    <t xml:space="preserve">VULN-4194167</t>
  </si>
  <si>
    <t xml:space="preserve">HRSYSTEMS-0389</t>
  </si>
  <si>
    <t xml:space="preserve">VULN-6419421</t>
  </si>
  <si>
    <t xml:space="preserve">HRSYSTEMS-0390</t>
  </si>
  <si>
    <t xml:space="preserve">VULN-7683364</t>
  </si>
  <si>
    <t xml:space="preserve">VULN-8771291</t>
  </si>
  <si>
    <t xml:space="preserve">VULN-3857465</t>
  </si>
  <si>
    <t xml:space="preserve">VULN-9996681</t>
  </si>
  <si>
    <t xml:space="preserve">VULN-9714496</t>
  </si>
  <si>
    <t xml:space="preserve">HRSYSTEMS-0391</t>
  </si>
  <si>
    <t xml:space="preserve">VULN-6342564</t>
  </si>
  <si>
    <t xml:space="preserve">VULN-1384511</t>
  </si>
  <si>
    <t xml:space="preserve">VULN-8192211</t>
  </si>
  <si>
    <t xml:space="preserve">VULN-2996404</t>
  </si>
  <si>
    <t xml:space="preserve">VULN-9329290</t>
  </si>
  <si>
    <t xml:space="preserve">VULN-9695251</t>
  </si>
  <si>
    <t xml:space="preserve">VULN-1259406</t>
  </si>
  <si>
    <t xml:space="preserve">VULN-7310193</t>
  </si>
  <si>
    <t xml:space="preserve">VULN-6860345</t>
  </si>
  <si>
    <t xml:space="preserve">VULN-2446013</t>
  </si>
  <si>
    <t xml:space="preserve">VULN-7141140</t>
  </si>
  <si>
    <t xml:space="preserve">VULN-8504152</t>
  </si>
  <si>
    <t xml:space="preserve">VULN-7793676</t>
  </si>
  <si>
    <t xml:space="preserve">VULN-9771756</t>
  </si>
  <si>
    <t xml:space="preserve">HRSYSTEMS-0392</t>
  </si>
  <si>
    <t xml:space="preserve">VULN-5845328</t>
  </si>
  <si>
    <t xml:space="preserve">VULN-3656453</t>
  </si>
  <si>
    <t xml:space="preserve">VULN-1633979</t>
  </si>
  <si>
    <t xml:space="preserve">VULN-4855388</t>
  </si>
  <si>
    <t xml:space="preserve">VULN-5896725</t>
  </si>
  <si>
    <t xml:space="preserve">VULN-9593384</t>
  </si>
  <si>
    <t xml:space="preserve">VULN-2409523</t>
  </si>
  <si>
    <t xml:space="preserve">VULN-1600615</t>
  </si>
  <si>
    <t xml:space="preserve">VULN-4947358</t>
  </si>
  <si>
    <t xml:space="preserve">VULN-4133330</t>
  </si>
  <si>
    <t xml:space="preserve">HRSYSTEMS-0393</t>
  </si>
  <si>
    <t xml:space="preserve">VULN-8322660</t>
  </si>
  <si>
    <t xml:space="preserve">VULN-9659004</t>
  </si>
  <si>
    <t xml:space="preserve">VULN-9927838</t>
  </si>
  <si>
    <t xml:space="preserve">VULN-1010982</t>
  </si>
  <si>
    <t xml:space="preserve">VULN-4984280</t>
  </si>
  <si>
    <t xml:space="preserve">VULN-7045791</t>
  </si>
  <si>
    <t xml:space="preserve">VULN-8661071</t>
  </si>
  <si>
    <t xml:space="preserve">VULN-6748402</t>
  </si>
  <si>
    <t xml:space="preserve">VULN-9784296</t>
  </si>
  <si>
    <t xml:space="preserve">VULN-5935250</t>
  </si>
  <si>
    <t xml:space="preserve">HRSYSTEMS-0394</t>
  </si>
  <si>
    <t xml:space="preserve">VULN-6500924</t>
  </si>
  <si>
    <t xml:space="preserve">VULN-6760468</t>
  </si>
  <si>
    <t xml:space="preserve">VULN-7772146</t>
  </si>
  <si>
    <t xml:space="preserve">VULN-4729079</t>
  </si>
  <si>
    <t xml:space="preserve">VULN-9463790</t>
  </si>
  <si>
    <t xml:space="preserve">VULN-7137176</t>
  </si>
  <si>
    <t xml:space="preserve">VULN-9214663</t>
  </si>
  <si>
    <t xml:space="preserve">HRSYSTEMS-0395</t>
  </si>
  <si>
    <t xml:space="preserve">VULN-3012893</t>
  </si>
  <si>
    <t xml:space="preserve">VULN-2250064</t>
  </si>
  <si>
    <t xml:space="preserve">VULN-9124351</t>
  </si>
  <si>
    <t xml:space="preserve">VULN-5515315</t>
  </si>
  <si>
    <t xml:space="preserve">VULN-7619127</t>
  </si>
  <si>
    <t xml:space="preserve">VULN-4393983</t>
  </si>
  <si>
    <t xml:space="preserve">VULN-4598169</t>
  </si>
  <si>
    <t xml:space="preserve">VULN-8151289</t>
  </si>
  <si>
    <t xml:space="preserve">HRSYSTEMS-0396</t>
  </si>
  <si>
    <t xml:space="preserve">VULN-9786580</t>
  </si>
  <si>
    <t xml:space="preserve">VULN-3208458</t>
  </si>
  <si>
    <t xml:space="preserve">VULN-6843777</t>
  </si>
  <si>
    <t xml:space="preserve">VULN-6551467</t>
  </si>
  <si>
    <t xml:space="preserve">VULN-8183194</t>
  </si>
  <si>
    <t xml:space="preserve">VULN-8546050</t>
  </si>
  <si>
    <t xml:space="preserve">VULN-3811691</t>
  </si>
  <si>
    <t xml:space="preserve">VULN-5691140</t>
  </si>
  <si>
    <t xml:space="preserve">VULN-8079391</t>
  </si>
  <si>
    <t xml:space="preserve">VULN-6323868</t>
  </si>
  <si>
    <t xml:space="preserve">VULN-2990747</t>
  </si>
  <si>
    <t xml:space="preserve">VULN-8182448</t>
  </si>
  <si>
    <t xml:space="preserve">VULN-3616291</t>
  </si>
  <si>
    <t xml:space="preserve">VULN-4893816</t>
  </si>
  <si>
    <t xml:space="preserve">HRSYSTEMS-0397</t>
  </si>
  <si>
    <t xml:space="preserve">VULN-4055953</t>
  </si>
  <si>
    <t xml:space="preserve">VULN-9720948</t>
  </si>
  <si>
    <t xml:space="preserve">VULN-7473080</t>
  </si>
  <si>
    <t xml:space="preserve">VULN-8097975</t>
  </si>
  <si>
    <t xml:space="preserve">VULN-8399823</t>
  </si>
  <si>
    <t xml:space="preserve">VULN-3511627</t>
  </si>
  <si>
    <t xml:space="preserve">HRSYSTEMS-0398</t>
  </si>
  <si>
    <t xml:space="preserve">VULN-2776056</t>
  </si>
  <si>
    <t xml:space="preserve">VULN-4358481</t>
  </si>
  <si>
    <t xml:space="preserve">VULN-1118854</t>
  </si>
  <si>
    <t xml:space="preserve">VULN-1989595</t>
  </si>
  <si>
    <t xml:space="preserve">VULN-2507449</t>
  </si>
  <si>
    <t xml:space="preserve">VULN-8770973</t>
  </si>
  <si>
    <t xml:space="preserve">HRSYSTEMS-0399</t>
  </si>
  <si>
    <t xml:space="preserve">VULN-9117376</t>
  </si>
  <si>
    <t xml:space="preserve">VULN-1548510</t>
  </si>
  <si>
    <t xml:space="preserve">VULN-8609696</t>
  </si>
  <si>
    <t xml:space="preserve">VULN-5044801</t>
  </si>
  <si>
    <t xml:space="preserve">VULN-4047623</t>
  </si>
  <si>
    <t xml:space="preserve">VULN-8864697</t>
  </si>
  <si>
    <t xml:space="preserve">VULN-4645184</t>
  </si>
  <si>
    <t xml:space="preserve">VULN-4123052</t>
  </si>
  <si>
    <t xml:space="preserve">VULN-4591976</t>
  </si>
  <si>
    <t xml:space="preserve">VULN-2691311</t>
  </si>
  <si>
    <t xml:space="preserve">VULN-2264379</t>
  </si>
  <si>
    <t xml:space="preserve">VULN-7101744</t>
  </si>
  <si>
    <t xml:space="preserve">HRSYSTEMS-0400</t>
  </si>
  <si>
    <t xml:space="preserve">VULN-5862755</t>
  </si>
  <si>
    <t xml:space="preserve">VULN-6580507</t>
  </si>
  <si>
    <t xml:space="preserve">VULN-9357022</t>
  </si>
  <si>
    <t xml:space="preserve">VULN-8361775</t>
  </si>
  <si>
    <t xml:space="preserve">VULN-2172433</t>
  </si>
  <si>
    <t xml:space="preserve">VULN-9841593</t>
  </si>
  <si>
    <t xml:space="preserve">VULN-4594303</t>
  </si>
  <si>
    <t xml:space="preserve">HRSYSTEMS-0401</t>
  </si>
  <si>
    <t xml:space="preserve">VULN-1910845</t>
  </si>
  <si>
    <t xml:space="preserve">VULN-9203143</t>
  </si>
  <si>
    <t xml:space="preserve">VULN-8354627</t>
  </si>
  <si>
    <t xml:space="preserve">HRSYSTEMS-0402</t>
  </si>
  <si>
    <t xml:space="preserve">VULN-1678433</t>
  </si>
  <si>
    <t xml:space="preserve">VULN-2375897</t>
  </si>
  <si>
    <t xml:space="preserve">VULN-3734765</t>
  </si>
  <si>
    <t xml:space="preserve">VULN-2569831</t>
  </si>
  <si>
    <t xml:space="preserve">HRSYSTEMS-0403</t>
  </si>
  <si>
    <t xml:space="preserve">VULN-1951077</t>
  </si>
  <si>
    <t xml:space="preserve">HRSYSTEMS-0404</t>
  </si>
  <si>
    <t xml:space="preserve">VULN-8723303</t>
  </si>
  <si>
    <t xml:space="preserve">VULN-2497141</t>
  </si>
  <si>
    <t xml:space="preserve">VULN-3172691</t>
  </si>
  <si>
    <t xml:space="preserve">VULN-6753560</t>
  </si>
  <si>
    <t xml:space="preserve">VULN-5172054</t>
  </si>
  <si>
    <t xml:space="preserve">VULN-4591821</t>
  </si>
  <si>
    <t xml:space="preserve">VULN-7380100</t>
  </si>
  <si>
    <t xml:space="preserve">VULN-6057746</t>
  </si>
  <si>
    <t xml:space="preserve">VULN-5731929</t>
  </si>
  <si>
    <t xml:space="preserve">VULN-9804957</t>
  </si>
  <si>
    <t xml:space="preserve">VULN-1146669</t>
  </si>
  <si>
    <t xml:space="preserve">HRSYSTEMS-0405</t>
  </si>
  <si>
    <t xml:space="preserve">VULN-7152661</t>
  </si>
  <si>
    <t xml:space="preserve">VULN-2107591</t>
  </si>
  <si>
    <t xml:space="preserve">VULN-4600695</t>
  </si>
  <si>
    <t xml:space="preserve">HRSYSTEMS-0406</t>
  </si>
  <si>
    <t xml:space="preserve">VULN-3380334</t>
  </si>
  <si>
    <t xml:space="preserve">HRSYSTEMS-0407</t>
  </si>
  <si>
    <t xml:space="preserve">VULN-3363000</t>
  </si>
  <si>
    <t xml:space="preserve">VULN-8087699</t>
  </si>
  <si>
    <t xml:space="preserve">VULN-4872295</t>
  </si>
  <si>
    <t xml:space="preserve">VULN-2432331</t>
  </si>
  <si>
    <t xml:space="preserve">VULN-7917936</t>
  </si>
  <si>
    <t xml:space="preserve">HRSYSTEMS-0408</t>
  </si>
  <si>
    <t xml:space="preserve">VULN-7803832</t>
  </si>
  <si>
    <t xml:space="preserve">VULN-6171733</t>
  </si>
  <si>
    <t xml:space="preserve">VULN-6839010</t>
  </si>
  <si>
    <t xml:space="preserve">VULN-2785515</t>
  </si>
  <si>
    <t xml:space="preserve">VULN-5212751</t>
  </si>
  <si>
    <t xml:space="preserve">VULN-1996541</t>
  </si>
  <si>
    <t xml:space="preserve">VULN-9626559</t>
  </si>
  <si>
    <t xml:space="preserve">VULN-4856258</t>
  </si>
  <si>
    <t xml:space="preserve">VULN-2509625</t>
  </si>
  <si>
    <t xml:space="preserve">VULN-7144552</t>
  </si>
  <si>
    <t xml:space="preserve">VULN-2814986</t>
  </si>
  <si>
    <t xml:space="preserve">VULN-8775490</t>
  </si>
  <si>
    <t xml:space="preserve">VULN-8750170</t>
  </si>
  <si>
    <t xml:space="preserve">VULN-5827229</t>
  </si>
  <si>
    <t xml:space="preserve">HRSYSTEMS-0409</t>
  </si>
  <si>
    <t xml:space="preserve">VULN-8145557</t>
  </si>
  <si>
    <t xml:space="preserve">VULN-9324420</t>
  </si>
  <si>
    <t xml:space="preserve">VULN-6599609</t>
  </si>
  <si>
    <t xml:space="preserve">VULN-4361577</t>
  </si>
  <si>
    <t xml:space="preserve">VULN-8339610</t>
  </si>
  <si>
    <t xml:space="preserve">VULN-6926278</t>
  </si>
  <si>
    <t xml:space="preserve">VULN-1538290</t>
  </si>
  <si>
    <t xml:space="preserve">HRSYSTEMS-0410</t>
  </si>
  <si>
    <t xml:space="preserve">VULN-8840976</t>
  </si>
  <si>
    <t xml:space="preserve">VULN-1626641</t>
  </si>
  <si>
    <t xml:space="preserve">VULN-5407277</t>
  </si>
  <si>
    <t xml:space="preserve">VULN-5522403</t>
  </si>
  <si>
    <t xml:space="preserve">VULN-2103585</t>
  </si>
  <si>
    <t xml:space="preserve">VULN-1709624</t>
  </si>
  <si>
    <t xml:space="preserve">HRSYSTEMS-0411</t>
  </si>
  <si>
    <t xml:space="preserve">VULN-7412608</t>
  </si>
  <si>
    <t xml:space="preserve">VULN-2712205</t>
  </si>
  <si>
    <t xml:space="preserve">VULN-2670620</t>
  </si>
  <si>
    <t xml:space="preserve">VULN-5465660</t>
  </si>
  <si>
    <t xml:space="preserve">VULN-6407624</t>
  </si>
  <si>
    <t xml:space="preserve">VULN-5850391</t>
  </si>
  <si>
    <t xml:space="preserve">VULN-8483778</t>
  </si>
  <si>
    <t xml:space="preserve">VULN-5431092</t>
  </si>
  <si>
    <t xml:space="preserve">VULN-3341538</t>
  </si>
  <si>
    <t xml:space="preserve">VULN-3877765</t>
  </si>
  <si>
    <t xml:space="preserve">VULN-3656814</t>
  </si>
  <si>
    <t xml:space="preserve">VULN-5353544</t>
  </si>
  <si>
    <t xml:space="preserve">VULN-2404057</t>
  </si>
  <si>
    <t xml:space="preserve">VULN-9463380</t>
  </si>
  <si>
    <t xml:space="preserve">IDENTITYAUTH-0177</t>
  </si>
  <si>
    <t xml:space="preserve">Identity-Auth</t>
  </si>
  <si>
    <t xml:space="preserve">VULN-3718341</t>
  </si>
  <si>
    <t xml:space="preserve">VULN-4346789</t>
  </si>
  <si>
    <t xml:space="preserve">VULN-2692883</t>
  </si>
  <si>
    <t xml:space="preserve">VULN-9283332</t>
  </si>
  <si>
    <t xml:space="preserve">VULN-1304180</t>
  </si>
  <si>
    <t xml:space="preserve">VULN-6990202</t>
  </si>
  <si>
    <t xml:space="preserve">VULN-6666248</t>
  </si>
  <si>
    <t xml:space="preserve">VULN-4759700</t>
  </si>
  <si>
    <t xml:space="preserve">VULN-5487758</t>
  </si>
  <si>
    <t xml:space="preserve">VULN-9646766</t>
  </si>
  <si>
    <t xml:space="preserve">IDENTITYAUTH-0178</t>
  </si>
  <si>
    <t xml:space="preserve">VULN-8407441</t>
  </si>
  <si>
    <t xml:space="preserve">VULN-3311438</t>
  </si>
  <si>
    <t xml:space="preserve">VULN-8367017</t>
  </si>
  <si>
    <t xml:space="preserve">VULN-1110521</t>
  </si>
  <si>
    <t xml:space="preserve">VULN-8946752</t>
  </si>
  <si>
    <t xml:space="preserve">VULN-5463001</t>
  </si>
  <si>
    <t xml:space="preserve">VULN-7962689</t>
  </si>
  <si>
    <t xml:space="preserve">VULN-5117989</t>
  </si>
  <si>
    <t xml:space="preserve">VULN-9886057</t>
  </si>
  <si>
    <t xml:space="preserve">VULN-3315160</t>
  </si>
  <si>
    <t xml:space="preserve">VULN-7069566</t>
  </si>
  <si>
    <t xml:space="preserve">VULN-9679670</t>
  </si>
  <si>
    <t xml:space="preserve">VULN-2031267</t>
  </si>
  <si>
    <t xml:space="preserve">VULN-3532555</t>
  </si>
  <si>
    <t xml:space="preserve">IDENTITYAUTH-0179</t>
  </si>
  <si>
    <t xml:space="preserve">VULN-8485810</t>
  </si>
  <si>
    <t xml:space="preserve">VULN-8417942</t>
  </si>
  <si>
    <t xml:space="preserve">VULN-7786479</t>
  </si>
  <si>
    <t xml:space="preserve">VULN-2413999</t>
  </si>
  <si>
    <t xml:space="preserve">VULN-3114023</t>
  </si>
  <si>
    <t xml:space="preserve">VULN-5763519</t>
  </si>
  <si>
    <t xml:space="preserve">VULN-3684813</t>
  </si>
  <si>
    <t xml:space="preserve">VULN-5340101</t>
  </si>
  <si>
    <t xml:space="preserve">VULN-6099302</t>
  </si>
  <si>
    <t xml:space="preserve">VULN-2852907</t>
  </si>
  <si>
    <t xml:space="preserve">VULN-5357990</t>
  </si>
  <si>
    <t xml:space="preserve">IDENTITYAUTH-0180</t>
  </si>
  <si>
    <t xml:space="preserve">VULN-9947098</t>
  </si>
  <si>
    <t xml:space="preserve">VULN-3348331</t>
  </si>
  <si>
    <t xml:space="preserve">VULN-6500359</t>
  </si>
  <si>
    <t xml:space="preserve">VULN-7061063</t>
  </si>
  <si>
    <t xml:space="preserve">VULN-2043436</t>
  </si>
  <si>
    <t xml:space="preserve">IDENTITYAUTH-0181</t>
  </si>
  <si>
    <t xml:space="preserve">VULN-9213136</t>
  </si>
  <si>
    <t xml:space="preserve">VULN-3421727</t>
  </si>
  <si>
    <t xml:space="preserve">VULN-3170723</t>
  </si>
  <si>
    <t xml:space="preserve">VULN-2980687</t>
  </si>
  <si>
    <t xml:space="preserve">VULN-2992563</t>
  </si>
  <si>
    <t xml:space="preserve">VULN-5858523</t>
  </si>
  <si>
    <t xml:space="preserve">VULN-5932187</t>
  </si>
  <si>
    <t xml:space="preserve">VULN-8075907</t>
  </si>
  <si>
    <t xml:space="preserve">VULN-6119801</t>
  </si>
  <si>
    <t xml:space="preserve">VULN-6849358</t>
  </si>
  <si>
    <t xml:space="preserve">VULN-8005748</t>
  </si>
  <si>
    <t xml:space="preserve">IDENTITYAUTH-0182</t>
  </si>
  <si>
    <t xml:space="preserve">VULN-8548562</t>
  </si>
  <si>
    <t xml:space="preserve">VULN-2498456</t>
  </si>
  <si>
    <t xml:space="preserve">VULN-8433920</t>
  </si>
  <si>
    <t xml:space="preserve">VULN-3778554</t>
  </si>
  <si>
    <t xml:space="preserve">VULN-6181610</t>
  </si>
  <si>
    <t xml:space="preserve">VULN-2428614</t>
  </si>
  <si>
    <t xml:space="preserve">VULN-1887084</t>
  </si>
  <si>
    <t xml:space="preserve">IDENTITYAUTH-0183</t>
  </si>
  <si>
    <t xml:space="preserve">VULN-7741049</t>
  </si>
  <si>
    <t xml:space="preserve">VULN-1403608</t>
  </si>
  <si>
    <t xml:space="preserve">VULN-2923417</t>
  </si>
  <si>
    <t xml:space="preserve">VULN-3587505</t>
  </si>
  <si>
    <t xml:space="preserve">VULN-3838554</t>
  </si>
  <si>
    <t xml:space="preserve">VULN-6457472</t>
  </si>
  <si>
    <t xml:space="preserve">VULN-7542102</t>
  </si>
  <si>
    <t xml:space="preserve">VULN-3029477</t>
  </si>
  <si>
    <t xml:space="preserve">VULN-4967662</t>
  </si>
  <si>
    <t xml:space="preserve">VULN-6340799</t>
  </si>
  <si>
    <t xml:space="preserve">VULN-1484969</t>
  </si>
  <si>
    <t xml:space="preserve">IDENTITYAUTH-0184</t>
  </si>
  <si>
    <t xml:space="preserve">VULN-8578973</t>
  </si>
  <si>
    <t xml:space="preserve">VULN-5852800</t>
  </si>
  <si>
    <t xml:space="preserve">VULN-7377917</t>
  </si>
  <si>
    <t xml:space="preserve">VULN-4569422</t>
  </si>
  <si>
    <t xml:space="preserve">VULN-9960531</t>
  </si>
  <si>
    <t xml:space="preserve">VULN-5688532</t>
  </si>
  <si>
    <t xml:space="preserve">VULN-6340253</t>
  </si>
  <si>
    <t xml:space="preserve">VULN-8595349</t>
  </si>
  <si>
    <t xml:space="preserve">VULN-6510598</t>
  </si>
  <si>
    <t xml:space="preserve">VULN-3243545</t>
  </si>
  <si>
    <t xml:space="preserve">VULN-1071793</t>
  </si>
  <si>
    <t xml:space="preserve">VULN-7931725</t>
  </si>
  <si>
    <t xml:space="preserve">VULN-9203667</t>
  </si>
  <si>
    <t xml:space="preserve">IDENTITYAUTH-0185</t>
  </si>
  <si>
    <t xml:space="preserve">VULN-6922268</t>
  </si>
  <si>
    <t xml:space="preserve">IDENTITYAUTH-0186</t>
  </si>
  <si>
    <t xml:space="preserve">VULN-6086491</t>
  </si>
  <si>
    <t xml:space="preserve">VULN-4507886</t>
  </si>
  <si>
    <t xml:space="preserve">VULN-7645223</t>
  </si>
  <si>
    <t xml:space="preserve">VULN-9394071</t>
  </si>
  <si>
    <t xml:space="preserve">VULN-3944885</t>
  </si>
  <si>
    <t xml:space="preserve">VULN-2091346</t>
  </si>
  <si>
    <t xml:space="preserve">VULN-4824620</t>
  </si>
  <si>
    <t xml:space="preserve">VULN-5602459</t>
  </si>
  <si>
    <t xml:space="preserve">VULN-1387847</t>
  </si>
  <si>
    <t xml:space="preserve">VULN-8615616</t>
  </si>
  <si>
    <t xml:space="preserve">VULN-1870113</t>
  </si>
  <si>
    <t xml:space="preserve">VULN-8828026</t>
  </si>
  <si>
    <t xml:space="preserve">VULN-4767293</t>
  </si>
  <si>
    <t xml:space="preserve">IDENTITYAUTH-0187</t>
  </si>
  <si>
    <t xml:space="preserve">VULN-4785409</t>
  </si>
  <si>
    <t xml:space="preserve">VULN-5194038</t>
  </si>
  <si>
    <t xml:space="preserve">VULN-9052500</t>
  </si>
  <si>
    <t xml:space="preserve">VULN-6608665</t>
  </si>
  <si>
    <t xml:space="preserve">IDENTITYAUTH-0188</t>
  </si>
  <si>
    <t xml:space="preserve">VULN-2223240</t>
  </si>
  <si>
    <t xml:space="preserve">IDENTITYAUTH-0189</t>
  </si>
  <si>
    <t xml:space="preserve">VULN-2040224</t>
  </si>
  <si>
    <t xml:space="preserve">VULN-8245056</t>
  </si>
  <si>
    <t xml:space="preserve">IDENTITYAUTH-0190</t>
  </si>
  <si>
    <t xml:space="preserve">VULN-7441109</t>
  </si>
  <si>
    <t xml:space="preserve">VULN-2699161</t>
  </si>
  <si>
    <t xml:space="preserve">IDENTITYAUTH-0191</t>
  </si>
  <si>
    <t xml:space="preserve">VULN-4248312</t>
  </si>
  <si>
    <t xml:space="preserve">VULN-5299767</t>
  </si>
  <si>
    <t xml:space="preserve">IDENTITYAUTH-0192</t>
  </si>
  <si>
    <t xml:space="preserve">VULN-5883242</t>
  </si>
  <si>
    <t xml:space="preserve">VULN-9685239</t>
  </si>
  <si>
    <t xml:space="preserve">VULN-8081010</t>
  </si>
  <si>
    <t xml:space="preserve">VULN-4376603</t>
  </si>
  <si>
    <t xml:space="preserve">VULN-6555698</t>
  </si>
  <si>
    <t xml:space="preserve">VULN-6026983</t>
  </si>
  <si>
    <t xml:space="preserve">VULN-1707866</t>
  </si>
  <si>
    <t xml:space="preserve">VULN-4575870</t>
  </si>
  <si>
    <t xml:space="preserve">VULN-6561900</t>
  </si>
  <si>
    <t xml:space="preserve">VULN-2237003</t>
  </si>
  <si>
    <t xml:space="preserve">VULN-5875059</t>
  </si>
  <si>
    <t xml:space="preserve">VULN-1498041</t>
  </si>
  <si>
    <t xml:space="preserve">VULN-5395611</t>
  </si>
  <si>
    <t xml:space="preserve">IDENTITYAUTH-0193</t>
  </si>
  <si>
    <t xml:space="preserve">VULN-2861751</t>
  </si>
  <si>
    <t xml:space="preserve">VULN-6118265</t>
  </si>
  <si>
    <t xml:space="preserve">VULN-3874940</t>
  </si>
  <si>
    <t xml:space="preserve">IDENTITYAUTH-0194</t>
  </si>
  <si>
    <t xml:space="preserve">VULN-6334342</t>
  </si>
  <si>
    <t xml:space="preserve">VULN-5102862</t>
  </si>
  <si>
    <t xml:space="preserve">VULN-4172607</t>
  </si>
  <si>
    <t xml:space="preserve">IDENTITYAUTH-0195</t>
  </si>
  <si>
    <t xml:space="preserve">VULN-9542262</t>
  </si>
  <si>
    <t xml:space="preserve">VULN-9108379</t>
  </si>
  <si>
    <t xml:space="preserve">VULN-1614121</t>
  </si>
  <si>
    <t xml:space="preserve">VULN-6133811</t>
  </si>
  <si>
    <t xml:space="preserve">VULN-3637534</t>
  </si>
  <si>
    <t xml:space="preserve">VULN-2409758</t>
  </si>
  <si>
    <t xml:space="preserve">VULN-6643418</t>
  </si>
  <si>
    <t xml:space="preserve">VULN-7165827</t>
  </si>
  <si>
    <t xml:space="preserve">VULN-2273196</t>
  </si>
  <si>
    <t xml:space="preserve">VULN-5941189</t>
  </si>
  <si>
    <t xml:space="preserve">VULN-5637641</t>
  </si>
  <si>
    <t xml:space="preserve">VULN-4299177</t>
  </si>
  <si>
    <t xml:space="preserve">VULN-5604751</t>
  </si>
  <si>
    <t xml:space="preserve">IDENTITYAUTH-0196</t>
  </si>
  <si>
    <t xml:space="preserve">VULN-4521118</t>
  </si>
  <si>
    <t xml:space="preserve">VULN-8741026</t>
  </si>
  <si>
    <t xml:space="preserve">VULN-6252524</t>
  </si>
  <si>
    <t xml:space="preserve">VULN-8007639</t>
  </si>
  <si>
    <t xml:space="preserve">VULN-3153282</t>
  </si>
  <si>
    <t xml:space="preserve">VULN-1162422</t>
  </si>
  <si>
    <t xml:space="preserve">VULN-6950248</t>
  </si>
  <si>
    <t xml:space="preserve">VULN-7767404</t>
  </si>
  <si>
    <t xml:space="preserve">VULN-3334293</t>
  </si>
  <si>
    <t xml:space="preserve">VULN-6540684</t>
  </si>
  <si>
    <t xml:space="preserve">VULN-7557976</t>
  </si>
  <si>
    <t xml:space="preserve">VULN-9967263</t>
  </si>
  <si>
    <t xml:space="preserve">VULN-6111102</t>
  </si>
  <si>
    <t xml:space="preserve">VULN-3980239</t>
  </si>
  <si>
    <t xml:space="preserve">IDENTITYAUTH-0197</t>
  </si>
  <si>
    <t xml:space="preserve">VULN-7893107</t>
  </si>
  <si>
    <t xml:space="preserve">VULN-8019808</t>
  </si>
  <si>
    <t xml:space="preserve">VULN-7526217</t>
  </si>
  <si>
    <t xml:space="preserve">VULN-8965487</t>
  </si>
  <si>
    <t xml:space="preserve">VULN-6206200</t>
  </si>
  <si>
    <t xml:space="preserve">VULN-5621132</t>
  </si>
  <si>
    <t xml:space="preserve">VULN-5141290</t>
  </si>
  <si>
    <t xml:space="preserve">IDENTITYAUTH-0198</t>
  </si>
  <si>
    <t xml:space="preserve">VULN-5990361</t>
  </si>
  <si>
    <t xml:space="preserve">VULN-3938131</t>
  </si>
  <si>
    <t xml:space="preserve">IDENTITYAUTH-0199</t>
  </si>
  <si>
    <t xml:space="preserve">VULN-2119776</t>
  </si>
  <si>
    <t xml:space="preserve">VULN-7900102</t>
  </si>
  <si>
    <t xml:space="preserve">VULN-6469592</t>
  </si>
  <si>
    <t xml:space="preserve">VULN-9490354</t>
  </si>
  <si>
    <t xml:space="preserve">VULN-7394729</t>
  </si>
  <si>
    <t xml:space="preserve">VULN-4261550</t>
  </si>
  <si>
    <t xml:space="preserve">VULN-3289764</t>
  </si>
  <si>
    <t xml:space="preserve">VULN-8788747</t>
  </si>
  <si>
    <t xml:space="preserve">VULN-8343784</t>
  </si>
  <si>
    <t xml:space="preserve">VULN-3707281</t>
  </si>
  <si>
    <t xml:space="preserve">VULN-2686363</t>
  </si>
  <si>
    <t xml:space="preserve">IDENTITYAUTH-0200</t>
  </si>
  <si>
    <t xml:space="preserve">VULN-2724585</t>
  </si>
  <si>
    <t xml:space="preserve">VULN-8448860</t>
  </si>
  <si>
    <t xml:space="preserve">VULN-1816458</t>
  </si>
  <si>
    <t xml:space="preserve">VULN-5189267</t>
  </si>
  <si>
    <t xml:space="preserve">VULN-4355203</t>
  </si>
  <si>
    <t xml:space="preserve">VULN-1244275</t>
  </si>
  <si>
    <t xml:space="preserve">VULN-2059841</t>
  </si>
  <si>
    <t xml:space="preserve">VULN-2620732</t>
  </si>
  <si>
    <t xml:space="preserve">VULN-1738407</t>
  </si>
  <si>
    <t xml:space="preserve">VULN-4474885</t>
  </si>
  <si>
    <t xml:space="preserve">VULN-4899161</t>
  </si>
  <si>
    <t xml:space="preserve">IDENTITYAUTH-0201</t>
  </si>
  <si>
    <t xml:space="preserve">VULN-7190456</t>
  </si>
  <si>
    <t xml:space="preserve">VULN-2708148</t>
  </si>
  <si>
    <t xml:space="preserve">VULN-3876606</t>
  </si>
  <si>
    <t xml:space="preserve">VULN-6441761</t>
  </si>
  <si>
    <t xml:space="preserve">VULN-3230219</t>
  </si>
  <si>
    <t xml:space="preserve">VULN-6334600</t>
  </si>
  <si>
    <t xml:space="preserve">IDENTITYAUTH-0202</t>
  </si>
  <si>
    <t xml:space="preserve">VULN-3081317</t>
  </si>
  <si>
    <t xml:space="preserve">VULN-3307798</t>
  </si>
  <si>
    <t xml:space="preserve">VULN-7304004</t>
  </si>
  <si>
    <t xml:space="preserve">VULN-4994050</t>
  </si>
  <si>
    <t xml:space="preserve">VULN-6514500</t>
  </si>
  <si>
    <t xml:space="preserve">VULN-7960756</t>
  </si>
  <si>
    <t xml:space="preserve">VULN-4842150</t>
  </si>
  <si>
    <t xml:space="preserve">VULN-1907210</t>
  </si>
  <si>
    <t xml:space="preserve">VULN-4731991</t>
  </si>
  <si>
    <t xml:space="preserve">VULN-9248388</t>
  </si>
  <si>
    <t xml:space="preserve">IDENTITYAUTH-0203</t>
  </si>
  <si>
    <t xml:space="preserve">VULN-4428815</t>
  </si>
  <si>
    <t xml:space="preserve">VULN-8836205</t>
  </si>
  <si>
    <t xml:space="preserve">IDENTITYAUTH-0204</t>
  </si>
  <si>
    <t xml:space="preserve">VULN-8405061</t>
  </si>
  <si>
    <t xml:space="preserve">VULN-3615206</t>
  </si>
  <si>
    <t xml:space="preserve">VULN-6037049</t>
  </si>
  <si>
    <t xml:space="preserve">VULN-5316638</t>
  </si>
  <si>
    <t xml:space="preserve">VULN-2206947</t>
  </si>
  <si>
    <t xml:space="preserve">IDENTITYAUTH-0205</t>
  </si>
  <si>
    <t xml:space="preserve">VULN-7279004</t>
  </si>
  <si>
    <t xml:space="preserve">INTERNALTOOLS-0239</t>
  </si>
  <si>
    <t xml:space="preserve">Internal-Tools</t>
  </si>
  <si>
    <t xml:space="preserve">VULN-4489198</t>
  </si>
  <si>
    <t xml:space="preserve">VULN-2280314</t>
  </si>
  <si>
    <t xml:space="preserve">VULN-7295723</t>
  </si>
  <si>
    <t xml:space="preserve">VULN-8564486</t>
  </si>
  <si>
    <t xml:space="preserve">VULN-3997703</t>
  </si>
  <si>
    <t xml:space="preserve">VULN-1527651</t>
  </si>
  <si>
    <t xml:space="preserve">VULN-6818065</t>
  </si>
  <si>
    <t xml:space="preserve">VULN-1084130</t>
  </si>
  <si>
    <t xml:space="preserve">INTERNALTOOLS-0240</t>
  </si>
  <si>
    <t xml:space="preserve">VULN-4629021</t>
  </si>
  <si>
    <t xml:space="preserve">INTERNALTOOLS-0241</t>
  </si>
  <si>
    <t xml:space="preserve">VULN-5937884</t>
  </si>
  <si>
    <t xml:space="preserve">VULN-9318172</t>
  </si>
  <si>
    <t xml:space="preserve">INTERNALTOOLS-0242</t>
  </si>
  <si>
    <t xml:space="preserve">VULN-2804542</t>
  </si>
  <si>
    <t xml:space="preserve">VULN-7274015</t>
  </si>
  <si>
    <t xml:space="preserve">VULN-7875441</t>
  </si>
  <si>
    <t xml:space="preserve">VULN-9900282</t>
  </si>
  <si>
    <t xml:space="preserve">VULN-6413691</t>
  </si>
  <si>
    <t xml:space="preserve">VULN-7001957</t>
  </si>
  <si>
    <t xml:space="preserve">VULN-3051914</t>
  </si>
  <si>
    <t xml:space="preserve">VULN-6517512</t>
  </si>
  <si>
    <t xml:space="preserve">VULN-7469141</t>
  </si>
  <si>
    <t xml:space="preserve">VULN-9845994</t>
  </si>
  <si>
    <t xml:space="preserve">VULN-2255341</t>
  </si>
  <si>
    <t xml:space="preserve">VULN-8301537</t>
  </si>
  <si>
    <t xml:space="preserve">VULN-4324412</t>
  </si>
  <si>
    <t xml:space="preserve">VULN-3000834</t>
  </si>
  <si>
    <t xml:space="preserve">INTERNALTOOLS-0243</t>
  </si>
  <si>
    <t xml:space="preserve">VULN-9850211</t>
  </si>
  <si>
    <t xml:space="preserve">VULN-7963867</t>
  </si>
  <si>
    <t xml:space="preserve">VULN-7716663</t>
  </si>
  <si>
    <t xml:space="preserve">VULN-8626616</t>
  </si>
  <si>
    <t xml:space="preserve">VULN-3036971</t>
  </si>
  <si>
    <t xml:space="preserve">VULN-2723751</t>
  </si>
  <si>
    <t xml:space="preserve">VULN-3327577</t>
  </si>
  <si>
    <t xml:space="preserve">VULN-8309538</t>
  </si>
  <si>
    <t xml:space="preserve">VULN-1082902</t>
  </si>
  <si>
    <t xml:space="preserve">VULN-2858975</t>
  </si>
  <si>
    <t xml:space="preserve">INTERNALTOOLS-0244</t>
  </si>
  <si>
    <t xml:space="preserve">VULN-6400776</t>
  </si>
  <si>
    <t xml:space="preserve">VULN-5969984</t>
  </si>
  <si>
    <t xml:space="preserve">VULN-4454281</t>
  </si>
  <si>
    <t xml:space="preserve">VULN-4564746</t>
  </si>
  <si>
    <t xml:space="preserve">VULN-8854260</t>
  </si>
  <si>
    <t xml:space="preserve">VULN-9852408</t>
  </si>
  <si>
    <t xml:space="preserve">VULN-6231562</t>
  </si>
  <si>
    <t xml:space="preserve">VULN-9464296</t>
  </si>
  <si>
    <t xml:space="preserve">VULN-4670600</t>
  </si>
  <si>
    <t xml:space="preserve">VULN-9614497</t>
  </si>
  <si>
    <t xml:space="preserve">VULN-4153336</t>
  </si>
  <si>
    <t xml:space="preserve">VULN-2712355</t>
  </si>
  <si>
    <t xml:space="preserve">INTERNALTOOLS-0245</t>
  </si>
  <si>
    <t xml:space="preserve">VULN-2410406</t>
  </si>
  <si>
    <t xml:space="preserve">VULN-1891827</t>
  </si>
  <si>
    <t xml:space="preserve">VULN-7417663</t>
  </si>
  <si>
    <t xml:space="preserve">VULN-9281506</t>
  </si>
  <si>
    <t xml:space="preserve">VULN-5176591</t>
  </si>
  <si>
    <t xml:space="preserve">INTERNALTOOLS-0246</t>
  </si>
  <si>
    <t xml:space="preserve">VULN-7787380</t>
  </si>
  <si>
    <t xml:space="preserve">VULN-9307601</t>
  </si>
  <si>
    <t xml:space="preserve">VULN-5831713</t>
  </si>
  <si>
    <t xml:space="preserve">VULN-2581127</t>
  </si>
  <si>
    <t xml:space="preserve">VULN-5003370</t>
  </si>
  <si>
    <t xml:space="preserve">INTERNALTOOLS-0247</t>
  </si>
  <si>
    <t xml:space="preserve">VULN-5426369</t>
  </si>
  <si>
    <t xml:space="preserve">INTERNALTOOLS-0248</t>
  </si>
  <si>
    <t xml:space="preserve">VULN-5876441</t>
  </si>
  <si>
    <t xml:space="preserve">VULN-6110378</t>
  </si>
  <si>
    <t xml:space="preserve">VULN-5317440</t>
  </si>
  <si>
    <t xml:space="preserve">VULN-6599209</t>
  </si>
  <si>
    <t xml:space="preserve">VULN-9126125</t>
  </si>
  <si>
    <t xml:space="preserve">VULN-1347746</t>
  </si>
  <si>
    <t xml:space="preserve">VULN-4695275</t>
  </si>
  <si>
    <t xml:space="preserve">VULN-8226291</t>
  </si>
  <si>
    <t xml:space="preserve">INTERNALTOOLS-0249</t>
  </si>
  <si>
    <t xml:space="preserve">VULN-8537488</t>
  </si>
  <si>
    <t xml:space="preserve">VULN-6852648</t>
  </si>
  <si>
    <t xml:space="preserve">INTERNALTOOLS-0250</t>
  </si>
  <si>
    <t xml:space="preserve">VULN-3062947</t>
  </si>
  <si>
    <t xml:space="preserve">VULN-6821657</t>
  </si>
  <si>
    <t xml:space="preserve">VULN-3520403</t>
  </si>
  <si>
    <t xml:space="preserve">VULN-3728089</t>
  </si>
  <si>
    <t xml:space="preserve">INTERNALTOOLS-0251</t>
  </si>
  <si>
    <t xml:space="preserve">VULN-3070908</t>
  </si>
  <si>
    <t xml:space="preserve">INTERNALTOOLS-0252</t>
  </si>
  <si>
    <t xml:space="preserve">VULN-3601089</t>
  </si>
  <si>
    <t xml:space="preserve">VULN-3393173</t>
  </si>
  <si>
    <t xml:space="preserve">VULN-5878848</t>
  </si>
  <si>
    <t xml:space="preserve">VULN-7480045</t>
  </si>
  <si>
    <t xml:space="preserve">VULN-5383230</t>
  </si>
  <si>
    <t xml:space="preserve">INTERNALTOOLS-0253</t>
  </si>
  <si>
    <t xml:space="preserve">VULN-8736886</t>
  </si>
  <si>
    <t xml:space="preserve">VULN-8329845</t>
  </si>
  <si>
    <t xml:space="preserve">VULN-6998844</t>
  </si>
  <si>
    <t xml:space="preserve">VULN-7882997</t>
  </si>
  <si>
    <t xml:space="preserve">VULN-3358634</t>
  </si>
  <si>
    <t xml:space="preserve">VULN-9593404</t>
  </si>
  <si>
    <t xml:space="preserve">INTERNALTOOLS-0254</t>
  </si>
  <si>
    <t xml:space="preserve">VULN-5875071</t>
  </si>
  <si>
    <t xml:space="preserve">VULN-9570152</t>
  </si>
  <si>
    <t xml:space="preserve">VULN-9661473</t>
  </si>
  <si>
    <t xml:space="preserve">VULN-3288458</t>
  </si>
  <si>
    <t xml:space="preserve">VULN-3596701</t>
  </si>
  <si>
    <t xml:space="preserve">VULN-1108226</t>
  </si>
  <si>
    <t xml:space="preserve">VULN-4367185</t>
  </si>
  <si>
    <t xml:space="preserve">VULN-5147429</t>
  </si>
  <si>
    <t xml:space="preserve">VULN-9485991</t>
  </si>
  <si>
    <t xml:space="preserve">VULN-4087744</t>
  </si>
  <si>
    <t xml:space="preserve">VULN-5366631</t>
  </si>
  <si>
    <t xml:space="preserve">VULN-3066894</t>
  </si>
  <si>
    <t xml:space="preserve">VULN-3377099</t>
  </si>
  <si>
    <t xml:space="preserve">INTERNALTOOLS-0255</t>
  </si>
  <si>
    <t xml:space="preserve">VULN-8127514</t>
  </si>
  <si>
    <t xml:space="preserve">VULN-7533541</t>
  </si>
  <si>
    <t xml:space="preserve">VULN-1571826</t>
  </si>
  <si>
    <t xml:space="preserve">VULN-8689839</t>
  </si>
  <si>
    <t xml:space="preserve">VULN-9399318</t>
  </si>
  <si>
    <t xml:space="preserve">VULN-3927571</t>
  </si>
  <si>
    <t xml:space="preserve">VULN-6692359</t>
  </si>
  <si>
    <t xml:space="preserve">VULN-3349469</t>
  </si>
  <si>
    <t xml:space="preserve">INTERNALTOOLS-0256</t>
  </si>
  <si>
    <t xml:space="preserve">VULN-7774201</t>
  </si>
  <si>
    <t xml:space="preserve">VULN-3670591</t>
  </si>
  <si>
    <t xml:space="preserve">VULN-4884505</t>
  </si>
  <si>
    <t xml:space="preserve">VULN-7443851</t>
  </si>
  <si>
    <t xml:space="preserve">VULN-2038956</t>
  </si>
  <si>
    <t xml:space="preserve">VULN-1494247</t>
  </si>
  <si>
    <t xml:space="preserve">VULN-7335562</t>
  </si>
  <si>
    <t xml:space="preserve">VULN-4350987</t>
  </si>
  <si>
    <t xml:space="preserve">INTERNALTOOLS-0257</t>
  </si>
  <si>
    <t xml:space="preserve">VULN-1087850</t>
  </si>
  <si>
    <t xml:space="preserve">VULN-2207374</t>
  </si>
  <si>
    <t xml:space="preserve">VULN-9324443</t>
  </si>
  <si>
    <t xml:space="preserve">VULN-8947918</t>
  </si>
  <si>
    <t xml:space="preserve">VULN-3313134</t>
  </si>
  <si>
    <t xml:space="preserve">VULN-3133934</t>
  </si>
  <si>
    <t xml:space="preserve">VULN-4868381</t>
  </si>
  <si>
    <t xml:space="preserve">VULN-6551912</t>
  </si>
  <si>
    <t xml:space="preserve">VULN-7004652</t>
  </si>
  <si>
    <t xml:space="preserve">VULN-3648501</t>
  </si>
  <si>
    <t xml:space="preserve">VULN-9686567</t>
  </si>
  <si>
    <t xml:space="preserve">VULN-8901711</t>
  </si>
  <si>
    <t xml:space="preserve">INTERNALTOOLS-0258</t>
  </si>
  <si>
    <t xml:space="preserve">VULN-6529924</t>
  </si>
  <si>
    <t xml:space="preserve">VULN-1593277</t>
  </si>
  <si>
    <t xml:space="preserve">VULN-7983351</t>
  </si>
  <si>
    <t xml:space="preserve">VULN-9032452</t>
  </si>
  <si>
    <t xml:space="preserve">INTERNALTOOLS-0259</t>
  </si>
  <si>
    <t xml:space="preserve">VULN-4821097</t>
  </si>
  <si>
    <t xml:space="preserve">VULN-1442143</t>
  </si>
  <si>
    <t xml:space="preserve">VULN-1303581</t>
  </si>
  <si>
    <t xml:space="preserve">VULN-8161079</t>
  </si>
  <si>
    <t xml:space="preserve">INTERNALTOOLS-0260</t>
  </si>
  <si>
    <t xml:space="preserve">VULN-4810540</t>
  </si>
  <si>
    <t xml:space="preserve">VULN-9996238</t>
  </si>
  <si>
    <t xml:space="preserve">VULN-1954349</t>
  </si>
  <si>
    <t xml:space="preserve">VULN-5741173</t>
  </si>
  <si>
    <t xml:space="preserve">INTERNALTOOLS-0261</t>
  </si>
  <si>
    <t xml:space="preserve">VULN-2281408</t>
  </si>
  <si>
    <t xml:space="preserve">VULN-4453773</t>
  </si>
  <si>
    <t xml:space="preserve">VULN-6988766</t>
  </si>
  <si>
    <t xml:space="preserve">INTERNALTOOLS-0262</t>
  </si>
  <si>
    <t xml:space="preserve">VULN-9157211</t>
  </si>
  <si>
    <t xml:space="preserve">VULN-9740844</t>
  </si>
  <si>
    <t xml:space="preserve">VULN-3381714</t>
  </si>
  <si>
    <t xml:space="preserve">VULN-8386629</t>
  </si>
  <si>
    <t xml:space="preserve">VULN-1357181</t>
  </si>
  <si>
    <t xml:space="preserve">VULN-5534857</t>
  </si>
  <si>
    <t xml:space="preserve">VULN-6040091</t>
  </si>
  <si>
    <t xml:space="preserve">VULN-7441381</t>
  </si>
  <si>
    <t xml:space="preserve">VULN-7364050</t>
  </si>
  <si>
    <t xml:space="preserve">INTERNALTOOLS-0263</t>
  </si>
  <si>
    <t xml:space="preserve">VULN-8282586</t>
  </si>
  <si>
    <t xml:space="preserve">VULN-1958290</t>
  </si>
  <si>
    <t xml:space="preserve">VULN-9971807</t>
  </si>
  <si>
    <t xml:space="preserve">VULN-9705913</t>
  </si>
  <si>
    <t xml:space="preserve">VULN-3212456</t>
  </si>
  <si>
    <t xml:space="preserve">VULN-5603547</t>
  </si>
  <si>
    <t xml:space="preserve">VULN-5963118</t>
  </si>
  <si>
    <t xml:space="preserve">VULN-5202915</t>
  </si>
  <si>
    <t xml:space="preserve">VULN-6385308</t>
  </si>
  <si>
    <t xml:space="preserve">INTERNALTOOLS-0264</t>
  </si>
  <si>
    <t xml:space="preserve">VULN-4016609</t>
  </si>
  <si>
    <t xml:space="preserve">VULN-5632933</t>
  </si>
  <si>
    <t xml:space="preserve">VULN-3134439</t>
  </si>
  <si>
    <t xml:space="preserve">VULN-3464602</t>
  </si>
  <si>
    <t xml:space="preserve">VULN-4091294</t>
  </si>
  <si>
    <t xml:space="preserve">VULN-6323988</t>
  </si>
  <si>
    <t xml:space="preserve">VULN-5319211</t>
  </si>
  <si>
    <t xml:space="preserve">VULN-6927978</t>
  </si>
  <si>
    <t xml:space="preserve">INTERNALTOOLS-0265</t>
  </si>
  <si>
    <t xml:space="preserve">VULN-5749368</t>
  </si>
  <si>
    <t xml:space="preserve">VULN-7286684</t>
  </si>
  <si>
    <t xml:space="preserve">VULN-5933559</t>
  </si>
  <si>
    <t xml:space="preserve">VULN-3517643</t>
  </si>
  <si>
    <t xml:space="preserve">VULN-9525883</t>
  </si>
  <si>
    <t xml:space="preserve">VULN-7355875</t>
  </si>
  <si>
    <t xml:space="preserve">VULN-3517835</t>
  </si>
  <si>
    <t xml:space="preserve">VULN-2316088</t>
  </si>
  <si>
    <t xml:space="preserve">VULN-4767844</t>
  </si>
  <si>
    <t xml:space="preserve">INTERNALTOOLS-0266</t>
  </si>
  <si>
    <t xml:space="preserve">VULN-5094127</t>
  </si>
  <si>
    <t xml:space="preserve">VULN-2936374</t>
  </si>
  <si>
    <t xml:space="preserve">VULN-7877413</t>
  </si>
  <si>
    <t xml:space="preserve">VULN-9122764</t>
  </si>
  <si>
    <t xml:space="preserve">VULN-3101870</t>
  </si>
  <si>
    <t xml:space="preserve">VULN-5366756</t>
  </si>
  <si>
    <t xml:space="preserve">VULN-7853539</t>
  </si>
  <si>
    <t xml:space="preserve">VULN-4323637</t>
  </si>
  <si>
    <t xml:space="preserve">VULN-1260252</t>
  </si>
  <si>
    <t xml:space="preserve">VULN-8882947</t>
  </si>
  <si>
    <t xml:space="preserve">VULN-2224983</t>
  </si>
  <si>
    <t xml:space="preserve">VULN-7511474</t>
  </si>
  <si>
    <t xml:space="preserve">INTERNALTOOLS-0267</t>
  </si>
  <si>
    <t xml:space="preserve">VULN-1758962</t>
  </si>
  <si>
    <t xml:space="preserve">VULN-6955200</t>
  </si>
  <si>
    <t xml:space="preserve">VULN-8545615</t>
  </si>
  <si>
    <t xml:space="preserve">VULN-9545877</t>
  </si>
  <si>
    <t xml:space="preserve">VULN-7205454</t>
  </si>
  <si>
    <t xml:space="preserve">INTERNALTOOLS-0268</t>
  </si>
  <si>
    <t xml:space="preserve">VULN-8158662</t>
  </si>
  <si>
    <t xml:space="preserve">VULN-4534635</t>
  </si>
  <si>
    <t xml:space="preserve">VULN-6274209</t>
  </si>
  <si>
    <t xml:space="preserve">VULN-4751945</t>
  </si>
  <si>
    <t xml:space="preserve">VULN-2780388</t>
  </si>
  <si>
    <t xml:space="preserve">VULN-3365639</t>
  </si>
  <si>
    <t xml:space="preserve">VULN-1666811</t>
  </si>
  <si>
    <t xml:space="preserve">VULN-9193420</t>
  </si>
  <si>
    <t xml:space="preserve">VULN-8462919</t>
  </si>
  <si>
    <t xml:space="preserve">VULN-2839032</t>
  </si>
  <si>
    <t xml:space="preserve">VULN-5671669</t>
  </si>
  <si>
    <t xml:space="preserve">VULN-2326525</t>
  </si>
  <si>
    <t xml:space="preserve">INTERNALTOOLS-0269</t>
  </si>
  <si>
    <t xml:space="preserve">VULN-1643521</t>
  </si>
  <si>
    <t xml:space="preserve">VULN-9745909</t>
  </si>
  <si>
    <t xml:space="preserve">VULN-1133724</t>
  </si>
  <si>
    <t xml:space="preserve">VULN-4694503</t>
  </si>
  <si>
    <t xml:space="preserve">VULN-5741235</t>
  </si>
  <si>
    <t xml:space="preserve">VULN-9662181</t>
  </si>
  <si>
    <t xml:space="preserve">VULN-3988274</t>
  </si>
  <si>
    <t xml:space="preserve">VULN-7380211</t>
  </si>
  <si>
    <t xml:space="preserve">INTERNALTOOLS-0270</t>
  </si>
  <si>
    <t xml:space="preserve">VULN-5956278</t>
  </si>
  <si>
    <t xml:space="preserve">VULN-5819613</t>
  </si>
  <si>
    <t xml:space="preserve">VULN-6459256</t>
  </si>
  <si>
    <t xml:space="preserve">VULN-2943123</t>
  </si>
  <si>
    <t xml:space="preserve">VULN-3148454</t>
  </si>
  <si>
    <t xml:space="preserve">INTERNALTOOLS-0271</t>
  </si>
  <si>
    <t xml:space="preserve">VULN-7861979</t>
  </si>
  <si>
    <t xml:space="preserve">VULN-6328751</t>
  </si>
  <si>
    <t xml:space="preserve">VULN-5501616</t>
  </si>
  <si>
    <t xml:space="preserve">VULN-6701595</t>
  </si>
  <si>
    <t xml:space="preserve">INTERNALTOOLS-0272</t>
  </si>
  <si>
    <t xml:space="preserve">VULN-6531182</t>
  </si>
  <si>
    <t xml:space="preserve">VULN-1334200</t>
  </si>
  <si>
    <t xml:space="preserve">VULN-2514189</t>
  </si>
  <si>
    <t xml:space="preserve">INTERNALTOOLS-0273</t>
  </si>
  <si>
    <t xml:space="preserve">VULN-5868538</t>
  </si>
  <si>
    <t xml:space="preserve">VULN-6561682</t>
  </si>
  <si>
    <t xml:space="preserve">VULN-1336020</t>
  </si>
  <si>
    <t xml:space="preserve">VULN-9135271</t>
  </si>
  <si>
    <t xml:space="preserve">INTERNALTOOLS-0274</t>
  </si>
  <si>
    <t xml:space="preserve">VULN-2239672</t>
  </si>
  <si>
    <t xml:space="preserve">VULN-7968920</t>
  </si>
  <si>
    <t xml:space="preserve">VULN-3547579</t>
  </si>
  <si>
    <t xml:space="preserve">VULN-7561970</t>
  </si>
  <si>
    <t xml:space="preserve">VULN-6237674</t>
  </si>
  <si>
    <t xml:space="preserve">INTERNALTOOLS-0275</t>
  </si>
  <si>
    <t xml:space="preserve">VULN-9945677</t>
  </si>
  <si>
    <t xml:space="preserve">VULN-9338861</t>
  </si>
  <si>
    <t xml:space="preserve">VULN-2817044</t>
  </si>
  <si>
    <t xml:space="preserve">VULN-7204577</t>
  </si>
  <si>
    <t xml:space="preserve">VULN-6577341</t>
  </si>
  <si>
    <t xml:space="preserve">VULN-2403154</t>
  </si>
  <si>
    <t xml:space="preserve">VULN-2407420</t>
  </si>
  <si>
    <t xml:space="preserve">VULN-9781289</t>
  </si>
  <si>
    <t xml:space="preserve">INTERNALTOOLS-0276</t>
  </si>
  <si>
    <t xml:space="preserve">VULN-1093478</t>
  </si>
  <si>
    <t xml:space="preserve">VULN-9199476</t>
  </si>
  <si>
    <t xml:space="preserve">VULN-9103333</t>
  </si>
  <si>
    <t xml:space="preserve">VULN-2366240</t>
  </si>
  <si>
    <t xml:space="preserve">VULN-9723129</t>
  </si>
  <si>
    <t xml:space="preserve">VULN-2906975</t>
  </si>
  <si>
    <t xml:space="preserve">VULN-9307817</t>
  </si>
  <si>
    <t xml:space="preserve">INTERNALTOOLS-0277</t>
  </si>
  <si>
    <t xml:space="preserve">VULN-9765761</t>
  </si>
  <si>
    <t xml:space="preserve">LEGACYSYSTEMS-0472</t>
  </si>
  <si>
    <t xml:space="preserve">Legacy-Systems</t>
  </si>
  <si>
    <t xml:space="preserve">VULN-7618586</t>
  </si>
  <si>
    <t xml:space="preserve">VULN-1526788</t>
  </si>
  <si>
    <t xml:space="preserve">VULN-2026875</t>
  </si>
  <si>
    <t xml:space="preserve">VULN-4005495</t>
  </si>
  <si>
    <t xml:space="preserve">VULN-9725552</t>
  </si>
  <si>
    <t xml:space="preserve">LEGACYSYSTEMS-0473</t>
  </si>
  <si>
    <t xml:space="preserve">VULN-7979221</t>
  </si>
  <si>
    <t xml:space="preserve">VULN-8500727</t>
  </si>
  <si>
    <t xml:space="preserve">VULN-1792611</t>
  </si>
  <si>
    <t xml:space="preserve">VULN-7766201</t>
  </si>
  <si>
    <t xml:space="preserve">VULN-6970859</t>
  </si>
  <si>
    <t xml:space="preserve">VULN-6996787</t>
  </si>
  <si>
    <t xml:space="preserve">VULN-8353032</t>
  </si>
  <si>
    <t xml:space="preserve">VULN-5935684</t>
  </si>
  <si>
    <t xml:space="preserve">VULN-9050586</t>
  </si>
  <si>
    <t xml:space="preserve">VULN-9905673</t>
  </si>
  <si>
    <t xml:space="preserve">VULN-4423305</t>
  </si>
  <si>
    <t xml:space="preserve">LEGACYSYSTEMS-0474</t>
  </si>
  <si>
    <t xml:space="preserve">VULN-8078969</t>
  </si>
  <si>
    <t xml:space="preserve">VULN-7725470</t>
  </si>
  <si>
    <t xml:space="preserve">VULN-7338932</t>
  </si>
  <si>
    <t xml:space="preserve">VULN-3114701</t>
  </si>
  <si>
    <t xml:space="preserve">VULN-3297254</t>
  </si>
  <si>
    <t xml:space="preserve">LEGACYSYSTEMS-0475</t>
  </si>
  <si>
    <t xml:space="preserve">VULN-7522941</t>
  </si>
  <si>
    <t xml:space="preserve">VULN-8332874</t>
  </si>
  <si>
    <t xml:space="preserve">VULN-4888291</t>
  </si>
  <si>
    <t xml:space="preserve">VULN-5822943</t>
  </si>
  <si>
    <t xml:space="preserve">VULN-4660140</t>
  </si>
  <si>
    <t xml:space="preserve">VULN-1945506</t>
  </si>
  <si>
    <t xml:space="preserve">VULN-7616706</t>
  </si>
  <si>
    <t xml:space="preserve">VULN-2533514</t>
  </si>
  <si>
    <t xml:space="preserve">VULN-8923903</t>
  </si>
  <si>
    <t xml:space="preserve">VULN-3402268</t>
  </si>
  <si>
    <t xml:space="preserve">LEGACYSYSTEMS-0476</t>
  </si>
  <si>
    <t xml:space="preserve">VULN-6809536</t>
  </si>
  <si>
    <t xml:space="preserve">VULN-6245024</t>
  </si>
  <si>
    <t xml:space="preserve">VULN-6497755</t>
  </si>
  <si>
    <t xml:space="preserve">VULN-1876197</t>
  </si>
  <si>
    <t xml:space="preserve">VULN-1791274</t>
  </si>
  <si>
    <t xml:space="preserve">VULN-8520166</t>
  </si>
  <si>
    <t xml:space="preserve">VULN-6983124</t>
  </si>
  <si>
    <t xml:space="preserve">VULN-5962643</t>
  </si>
  <si>
    <t xml:space="preserve">VULN-8738391</t>
  </si>
  <si>
    <t xml:space="preserve">VULN-4346027</t>
  </si>
  <si>
    <t xml:space="preserve">VULN-4408703</t>
  </si>
  <si>
    <t xml:space="preserve">LEGACYSYSTEMS-0477</t>
  </si>
  <si>
    <t xml:space="preserve">VULN-2151716</t>
  </si>
  <si>
    <t xml:space="preserve">VULN-8165951</t>
  </si>
  <si>
    <t xml:space="preserve">VULN-3937398</t>
  </si>
  <si>
    <t xml:space="preserve">VULN-1161777</t>
  </si>
  <si>
    <t xml:space="preserve">LEGACYSYSTEMS-0478</t>
  </si>
  <si>
    <t xml:space="preserve">VULN-4568629</t>
  </si>
  <si>
    <t xml:space="preserve">VULN-9097203</t>
  </si>
  <si>
    <t xml:space="preserve">VULN-9025652</t>
  </si>
  <si>
    <t xml:space="preserve">LEGACYSYSTEMS-0479</t>
  </si>
  <si>
    <t xml:space="preserve">VULN-8214397</t>
  </si>
  <si>
    <t xml:space="preserve">VULN-6728665</t>
  </si>
  <si>
    <t xml:space="preserve">VULN-1486424</t>
  </si>
  <si>
    <t xml:space="preserve">VULN-6709023</t>
  </si>
  <si>
    <t xml:space="preserve">VULN-6710639</t>
  </si>
  <si>
    <t xml:space="preserve">VULN-7871926</t>
  </si>
  <si>
    <t xml:space="preserve">VULN-9633551</t>
  </si>
  <si>
    <t xml:space="preserve">VULN-8680964</t>
  </si>
  <si>
    <t xml:space="preserve">VULN-9225504</t>
  </si>
  <si>
    <t xml:space="preserve">VULN-6847354</t>
  </si>
  <si>
    <t xml:space="preserve">VULN-2864986</t>
  </si>
  <si>
    <t xml:space="preserve">VULN-2241156</t>
  </si>
  <si>
    <t xml:space="preserve">LEGACYSYSTEMS-0480</t>
  </si>
  <si>
    <t xml:space="preserve">VULN-9877175</t>
  </si>
  <si>
    <t xml:space="preserve">VULN-5407242</t>
  </si>
  <si>
    <t xml:space="preserve">LEGACYSYSTEMS-0481</t>
  </si>
  <si>
    <t xml:space="preserve">VULN-2913893</t>
  </si>
  <si>
    <t xml:space="preserve">VULN-9249090</t>
  </si>
  <si>
    <t xml:space="preserve">VULN-1380237</t>
  </si>
  <si>
    <t xml:space="preserve">VULN-8470808</t>
  </si>
  <si>
    <t xml:space="preserve">VULN-3479789</t>
  </si>
  <si>
    <t xml:space="preserve">VULN-8096065</t>
  </si>
  <si>
    <t xml:space="preserve">VULN-6252627</t>
  </si>
  <si>
    <t xml:space="preserve">VULN-8796027</t>
  </si>
  <si>
    <t xml:space="preserve">VULN-6342149</t>
  </si>
  <si>
    <t xml:space="preserve">VULN-5045508</t>
  </si>
  <si>
    <t xml:space="preserve">VULN-9936187</t>
  </si>
  <si>
    <t xml:space="preserve">VULN-8957610</t>
  </si>
  <si>
    <t xml:space="preserve">VULN-8157024</t>
  </si>
  <si>
    <t xml:space="preserve">VULN-6504438</t>
  </si>
  <si>
    <t xml:space="preserve">LEGACYSYSTEMS-0482</t>
  </si>
  <si>
    <t xml:space="preserve">VULN-6758796</t>
  </si>
  <si>
    <t xml:space="preserve">LEGACYSYSTEMS-0483</t>
  </si>
  <si>
    <t xml:space="preserve">VULN-2012566</t>
  </si>
  <si>
    <t xml:space="preserve">VULN-6398188</t>
  </si>
  <si>
    <t xml:space="preserve">VULN-2441971</t>
  </si>
  <si>
    <t xml:space="preserve">VULN-7301078</t>
  </si>
  <si>
    <t xml:space="preserve">VULN-4119511</t>
  </si>
  <si>
    <t xml:space="preserve">VULN-2698894</t>
  </si>
  <si>
    <t xml:space="preserve">VULN-3248548</t>
  </si>
  <si>
    <t xml:space="preserve">VULN-8911074</t>
  </si>
  <si>
    <t xml:space="preserve">LEGACYSYSTEMS-0484</t>
  </si>
  <si>
    <t xml:space="preserve">VULN-7915713</t>
  </si>
  <si>
    <t xml:space="preserve">VULN-6424574</t>
  </si>
  <si>
    <t xml:space="preserve">VULN-6026673</t>
  </si>
  <si>
    <t xml:space="preserve">VULN-1718965</t>
  </si>
  <si>
    <t xml:space="preserve">VULN-1628699</t>
  </si>
  <si>
    <t xml:space="preserve">VULN-1020508</t>
  </si>
  <si>
    <t xml:space="preserve">VULN-4498563</t>
  </si>
  <si>
    <t xml:space="preserve">VULN-2718802</t>
  </si>
  <si>
    <t xml:space="preserve">VULN-5539716</t>
  </si>
  <si>
    <t xml:space="preserve">VULN-4546948</t>
  </si>
  <si>
    <t xml:space="preserve">VULN-1753357</t>
  </si>
  <si>
    <t xml:space="preserve">LEGACYSYSTEMS-0485</t>
  </si>
  <si>
    <t xml:space="preserve">VULN-9542077</t>
  </si>
  <si>
    <t xml:space="preserve">VULN-6367049</t>
  </si>
  <si>
    <t xml:space="preserve">VULN-8611395</t>
  </si>
  <si>
    <t xml:space="preserve">LEGACYSYSTEMS-0486</t>
  </si>
  <si>
    <t xml:space="preserve">VULN-9769743</t>
  </si>
  <si>
    <t xml:space="preserve">VULN-8883501</t>
  </si>
  <si>
    <t xml:space="preserve">VULN-7025440</t>
  </si>
  <si>
    <t xml:space="preserve">VULN-8541478</t>
  </si>
  <si>
    <t xml:space="preserve">VULN-2581975</t>
  </si>
  <si>
    <t xml:space="preserve">VULN-1208983</t>
  </si>
  <si>
    <t xml:space="preserve">VULN-6857037</t>
  </si>
  <si>
    <t xml:space="preserve">VULN-8031853</t>
  </si>
  <si>
    <t xml:space="preserve">VULN-3799425</t>
  </si>
  <si>
    <t xml:space="preserve">VULN-2137832</t>
  </si>
  <si>
    <t xml:space="preserve">VULN-4903114</t>
  </si>
  <si>
    <t xml:space="preserve">LEGACYSYSTEMS-0487</t>
  </si>
  <si>
    <t xml:space="preserve">VULN-5565271</t>
  </si>
  <si>
    <t xml:space="preserve">VULN-7228229</t>
  </si>
  <si>
    <t xml:space="preserve">VULN-2263045</t>
  </si>
  <si>
    <t xml:space="preserve">VULN-6193662</t>
  </si>
  <si>
    <t xml:space="preserve">VULN-3423349</t>
  </si>
  <si>
    <t xml:space="preserve">VULN-8811741</t>
  </si>
  <si>
    <t xml:space="preserve">VULN-8963631</t>
  </si>
  <si>
    <t xml:space="preserve">VULN-5290929</t>
  </si>
  <si>
    <t xml:space="preserve">LEGACYSYSTEMS-0488</t>
  </si>
  <si>
    <t xml:space="preserve">VULN-4112545</t>
  </si>
  <si>
    <t xml:space="preserve">VULN-3892246</t>
  </si>
  <si>
    <t xml:space="preserve">LEGACYSYSTEMS-0489</t>
  </si>
  <si>
    <t xml:space="preserve">VULN-4608984</t>
  </si>
  <si>
    <t xml:space="preserve">VULN-7700086</t>
  </si>
  <si>
    <t xml:space="preserve">VULN-3849362</t>
  </si>
  <si>
    <t xml:space="preserve">VULN-3540849</t>
  </si>
  <si>
    <t xml:space="preserve">LEGACYSYSTEMS-0490</t>
  </si>
  <si>
    <t xml:space="preserve">VULN-3291121</t>
  </si>
  <si>
    <t xml:space="preserve">VULN-1206766</t>
  </si>
  <si>
    <t xml:space="preserve">VULN-4627030</t>
  </si>
  <si>
    <t xml:space="preserve">VULN-1580613</t>
  </si>
  <si>
    <t xml:space="preserve">VULN-1692168</t>
  </si>
  <si>
    <t xml:space="preserve">VULN-7540556</t>
  </si>
  <si>
    <t xml:space="preserve">VULN-5686341</t>
  </si>
  <si>
    <t xml:space="preserve">VULN-9321129</t>
  </si>
  <si>
    <t xml:space="preserve">VULN-2147606</t>
  </si>
  <si>
    <t xml:space="preserve">VULN-8630079</t>
  </si>
  <si>
    <t xml:space="preserve">VULN-4784652</t>
  </si>
  <si>
    <t xml:space="preserve">VULN-3210308</t>
  </si>
  <si>
    <t xml:space="preserve">VULN-4038080</t>
  </si>
  <si>
    <t xml:space="preserve">LEGACYSYSTEMS-0491</t>
  </si>
  <si>
    <t xml:space="preserve">VULN-8057608</t>
  </si>
  <si>
    <t xml:space="preserve">VULN-3190265</t>
  </si>
  <si>
    <t xml:space="preserve">VULN-1404438</t>
  </si>
  <si>
    <t xml:space="preserve">VULN-7024535</t>
  </si>
  <si>
    <t xml:space="preserve">VULN-2852877</t>
  </si>
  <si>
    <t xml:space="preserve">VULN-2525364</t>
  </si>
  <si>
    <t xml:space="preserve">VULN-7788118</t>
  </si>
  <si>
    <t xml:space="preserve">VULN-9990249</t>
  </si>
  <si>
    <t xml:space="preserve">VULN-9618374</t>
  </si>
  <si>
    <t xml:space="preserve">VULN-9391961</t>
  </si>
  <si>
    <t xml:space="preserve">VULN-1396539</t>
  </si>
  <si>
    <t xml:space="preserve">VULN-8353822</t>
  </si>
  <si>
    <t xml:space="preserve">LEGACYSYSTEMS-0492</t>
  </si>
  <si>
    <t xml:space="preserve">VULN-9876598</t>
  </si>
  <si>
    <t xml:space="preserve">VULN-3145093</t>
  </si>
  <si>
    <t xml:space="preserve">VULN-4866497</t>
  </si>
  <si>
    <t xml:space="preserve">VULN-1655531</t>
  </si>
  <si>
    <t xml:space="preserve">VULN-9854747</t>
  </si>
  <si>
    <t xml:space="preserve">LEGACYSYSTEMS-0493</t>
  </si>
  <si>
    <t xml:space="preserve">VULN-3489477</t>
  </si>
  <si>
    <t xml:space="preserve">VULN-1033191</t>
  </si>
  <si>
    <t xml:space="preserve">LEGACYSYSTEMS-0494</t>
  </si>
  <si>
    <t xml:space="preserve">VULN-1056349</t>
  </si>
  <si>
    <t xml:space="preserve">VULN-2509635</t>
  </si>
  <si>
    <t xml:space="preserve">VULN-2549296</t>
  </si>
  <si>
    <t xml:space="preserve">VULN-3554635</t>
  </si>
  <si>
    <t xml:space="preserve">VULN-9924347</t>
  </si>
  <si>
    <t xml:space="preserve">LEGACYSYSTEMS-0495</t>
  </si>
  <si>
    <t xml:space="preserve">VULN-9641104</t>
  </si>
  <si>
    <t xml:space="preserve">VULN-5178217</t>
  </si>
  <si>
    <t xml:space="preserve">VULN-5098984</t>
  </si>
  <si>
    <t xml:space="preserve">VULN-7197168</t>
  </si>
  <si>
    <t xml:space="preserve">VULN-6184930</t>
  </si>
  <si>
    <t xml:space="preserve">VULN-4172782</t>
  </si>
  <si>
    <t xml:space="preserve">VULN-1201969</t>
  </si>
  <si>
    <t xml:space="preserve">VULN-1502835</t>
  </si>
  <si>
    <t xml:space="preserve">VULN-5200727</t>
  </si>
  <si>
    <t xml:space="preserve">VULN-5585854</t>
  </si>
  <si>
    <t xml:space="preserve">VULN-3314386</t>
  </si>
  <si>
    <t xml:space="preserve">VULN-1268971</t>
  </si>
  <si>
    <t xml:space="preserve">VULN-2536829</t>
  </si>
  <si>
    <t xml:space="preserve">LEGACYSYSTEMS-0496</t>
  </si>
  <si>
    <t xml:space="preserve">VULN-7014816</t>
  </si>
  <si>
    <t xml:space="preserve">VULN-8624134</t>
  </si>
  <si>
    <t xml:space="preserve">VULN-2588823</t>
  </si>
  <si>
    <t xml:space="preserve">VULN-6570296</t>
  </si>
  <si>
    <t xml:space="preserve">VULN-6492256</t>
  </si>
  <si>
    <t xml:space="preserve">VULN-7670331</t>
  </si>
  <si>
    <t xml:space="preserve">VULN-2020595</t>
  </si>
  <si>
    <t xml:space="preserve">VULN-4675271</t>
  </si>
  <si>
    <t xml:space="preserve">VULN-5065168</t>
  </si>
  <si>
    <t xml:space="preserve">VULN-2505437</t>
  </si>
  <si>
    <t xml:space="preserve">VULN-8167490</t>
  </si>
  <si>
    <t xml:space="preserve">VULN-5437438</t>
  </si>
  <si>
    <t xml:space="preserve">VULN-1193413</t>
  </si>
  <si>
    <t xml:space="preserve">LEGACYSYSTEMS-0497</t>
  </si>
  <si>
    <t xml:space="preserve">VULN-6030577</t>
  </si>
  <si>
    <t xml:space="preserve">VULN-1422000</t>
  </si>
  <si>
    <t xml:space="preserve">VULN-6585073</t>
  </si>
  <si>
    <t xml:space="preserve">VULN-4438621</t>
  </si>
  <si>
    <t xml:space="preserve">VULN-4940606</t>
  </si>
  <si>
    <t xml:space="preserve">VULN-3836640</t>
  </si>
  <si>
    <t xml:space="preserve">VULN-2703840</t>
  </si>
  <si>
    <t xml:space="preserve">VULN-4074808</t>
  </si>
  <si>
    <t xml:space="preserve">VULN-7576410</t>
  </si>
  <si>
    <t xml:space="preserve">VULN-7499943</t>
  </si>
  <si>
    <t xml:space="preserve">VULN-7714063</t>
  </si>
  <si>
    <t xml:space="preserve">VULN-5631550</t>
  </si>
  <si>
    <t xml:space="preserve">VULN-8414351</t>
  </si>
  <si>
    <t xml:space="preserve">VULN-8415493</t>
  </si>
  <si>
    <t xml:space="preserve">LEGACYSYSTEMS-0498</t>
  </si>
  <si>
    <t xml:space="preserve">VULN-7066735</t>
  </si>
  <si>
    <t xml:space="preserve">VULN-9398649</t>
  </si>
  <si>
    <t xml:space="preserve">LEGACYSYSTEMS-0499</t>
  </si>
  <si>
    <t xml:space="preserve">VULN-7348560</t>
  </si>
  <si>
    <t xml:space="preserve">VULN-2457615</t>
  </si>
  <si>
    <t xml:space="preserve">VULN-8261575</t>
  </si>
  <si>
    <t xml:space="preserve">VULN-6977392</t>
  </si>
  <si>
    <t xml:space="preserve">VULN-5637428</t>
  </si>
  <si>
    <t xml:space="preserve">LEGACYSYSTEMS-0500</t>
  </si>
  <si>
    <t xml:space="preserve">VULN-8198004</t>
  </si>
  <si>
    <t xml:space="preserve">VULN-9433742</t>
  </si>
  <si>
    <t xml:space="preserve">VULN-9862314</t>
  </si>
  <si>
    <t xml:space="preserve">VULN-1389216</t>
  </si>
  <si>
    <t xml:space="preserve">LEGACYSYSTEMS-0501</t>
  </si>
  <si>
    <t xml:space="preserve">VULN-9856567</t>
  </si>
  <si>
    <t xml:space="preserve">VULN-9332761</t>
  </si>
  <si>
    <t xml:space="preserve">VULN-1980698</t>
  </si>
  <si>
    <t xml:space="preserve">VULN-4383032</t>
  </si>
  <si>
    <t xml:space="preserve">VULN-1830449</t>
  </si>
  <si>
    <t xml:space="preserve">VULN-8966558</t>
  </si>
  <si>
    <t xml:space="preserve">VULN-9327907</t>
  </si>
  <si>
    <t xml:space="preserve">VULN-8828832</t>
  </si>
  <si>
    <t xml:space="preserve">VULN-7508783</t>
  </si>
  <si>
    <t xml:space="preserve">VULN-6952196</t>
  </si>
  <si>
    <t xml:space="preserve">VULN-5334737</t>
  </si>
  <si>
    <t xml:space="preserve">VULN-5779750</t>
  </si>
  <si>
    <t xml:space="preserve">VULN-6513945</t>
  </si>
  <si>
    <t xml:space="preserve">VULN-3021324</t>
  </si>
  <si>
    <t xml:space="preserve">LEGACYSYSTEMS-0502</t>
  </si>
  <si>
    <t xml:space="preserve">VULN-8443053</t>
  </si>
  <si>
    <t xml:space="preserve">VULN-8913374</t>
  </si>
  <si>
    <t xml:space="preserve">LEGACYSYSTEMS-0503</t>
  </si>
  <si>
    <t xml:space="preserve">VULN-3594239</t>
  </si>
  <si>
    <t xml:space="preserve">VULN-7445760</t>
  </si>
  <si>
    <t xml:space="preserve">LEGACYSYSTEMS-0504</t>
  </si>
  <si>
    <t xml:space="preserve">VULN-1117006</t>
  </si>
  <si>
    <t xml:space="preserve">VULN-1250389</t>
  </si>
  <si>
    <t xml:space="preserve">VULN-9397018</t>
  </si>
  <si>
    <t xml:space="preserve">VULN-3264143</t>
  </si>
  <si>
    <t xml:space="preserve">LEGACYSYSTEMS-0505</t>
  </si>
  <si>
    <t xml:space="preserve">VULN-7525222</t>
  </si>
  <si>
    <t xml:space="preserve">VULN-6981200</t>
  </si>
  <si>
    <t xml:space="preserve">VULN-7118266</t>
  </si>
  <si>
    <t xml:space="preserve">VULN-2936763</t>
  </si>
  <si>
    <t xml:space="preserve">VULN-3435911</t>
  </si>
  <si>
    <t xml:space="preserve">VULN-1778809</t>
  </si>
  <si>
    <t xml:space="preserve">VULN-3626317</t>
  </si>
  <si>
    <t xml:space="preserve">VULN-2887541</t>
  </si>
  <si>
    <t xml:space="preserve">VULN-3297699</t>
  </si>
  <si>
    <t xml:space="preserve">VULN-2106598</t>
  </si>
  <si>
    <t xml:space="preserve">LEGACYSYSTEMS-0506</t>
  </si>
  <si>
    <t xml:space="preserve">VULN-7511820</t>
  </si>
  <si>
    <t xml:space="preserve">VULN-6536394</t>
  </si>
  <si>
    <t xml:space="preserve">VULN-1052684</t>
  </si>
  <si>
    <t xml:space="preserve">VULN-8056683</t>
  </si>
  <si>
    <t xml:space="preserve">VULN-3608321</t>
  </si>
  <si>
    <t xml:space="preserve">VULN-8121698</t>
  </si>
  <si>
    <t xml:space="preserve">VULN-2865074</t>
  </si>
  <si>
    <t xml:space="preserve">VULN-8533642</t>
  </si>
  <si>
    <t xml:space="preserve">VULN-9350868</t>
  </si>
  <si>
    <t xml:space="preserve">VULN-3596517</t>
  </si>
  <si>
    <t xml:space="preserve">VULN-1765283</t>
  </si>
  <si>
    <t xml:space="preserve">VULN-5911006</t>
  </si>
  <si>
    <t xml:space="preserve">VULN-7204411</t>
  </si>
  <si>
    <t xml:space="preserve">LEGACYSYSTEMS-0507</t>
  </si>
  <si>
    <t xml:space="preserve">VULN-9389283</t>
  </si>
  <si>
    <t xml:space="preserve">VULN-9918074</t>
  </si>
  <si>
    <t xml:space="preserve">LEGACYSYSTEMS-0508</t>
  </si>
  <si>
    <t xml:space="preserve">VULN-9893204</t>
  </si>
  <si>
    <t xml:space="preserve">VULN-8420570</t>
  </si>
  <si>
    <t xml:space="preserve">LEGACYSYSTEMS-0509</t>
  </si>
  <si>
    <t xml:space="preserve">VULN-7617390</t>
  </si>
  <si>
    <t xml:space="preserve">VULN-6037482</t>
  </si>
  <si>
    <t xml:space="preserve">VULN-3283492</t>
  </si>
  <si>
    <t xml:space="preserve">LEGACYSYSTEMS-0510</t>
  </si>
  <si>
    <t xml:space="preserve">VULN-8972255</t>
  </si>
  <si>
    <t xml:space="preserve">VULN-9779777</t>
  </si>
  <si>
    <t xml:space="preserve">VULN-4921774</t>
  </si>
  <si>
    <t xml:space="preserve">VULN-7216232</t>
  </si>
  <si>
    <t xml:space="preserve">VULN-3429177</t>
  </si>
  <si>
    <t xml:space="preserve">VULN-2406064</t>
  </si>
  <si>
    <t xml:space="preserve">VULN-8539211</t>
  </si>
  <si>
    <t xml:space="preserve">VULN-1148219</t>
  </si>
  <si>
    <t xml:space="preserve">VULN-8947199</t>
  </si>
  <si>
    <t xml:space="preserve">VULN-8774115</t>
  </si>
  <si>
    <t xml:space="preserve">VULN-6775756</t>
  </si>
  <si>
    <t xml:space="preserve">VULN-1463407</t>
  </si>
  <si>
    <t xml:space="preserve">VULN-9841068</t>
  </si>
  <si>
    <t xml:space="preserve">VULN-3185029</t>
  </si>
  <si>
    <t xml:space="preserve">LEGACYSYSTEMS-0511</t>
  </si>
  <si>
    <t xml:space="preserve">VULN-2788584</t>
  </si>
  <si>
    <t xml:space="preserve">VULN-3644334</t>
  </si>
  <si>
    <t xml:space="preserve">VULN-4903872</t>
  </si>
  <si>
    <t xml:space="preserve">VULN-8127485</t>
  </si>
  <si>
    <t xml:space="preserve">VULN-4022966</t>
  </si>
  <si>
    <t xml:space="preserve">VULN-1233441</t>
  </si>
  <si>
    <t xml:space="preserve">VULN-5465106</t>
  </si>
  <si>
    <t xml:space="preserve">VULN-5506991</t>
  </si>
  <si>
    <t xml:space="preserve">VULN-2015860</t>
  </si>
  <si>
    <t xml:space="preserve">VULN-8559426</t>
  </si>
  <si>
    <t xml:space="preserve">VULN-1324249</t>
  </si>
  <si>
    <t xml:space="preserve">LEGACYSYSTEMS-0512</t>
  </si>
  <si>
    <t xml:space="preserve">VULN-8391531</t>
  </si>
  <si>
    <t xml:space="preserve">VULN-8268414</t>
  </si>
  <si>
    <t xml:space="preserve">VULN-1089412</t>
  </si>
  <si>
    <t xml:space="preserve">VULN-6454212</t>
  </si>
  <si>
    <t xml:space="preserve">VULN-6453433</t>
  </si>
  <si>
    <t xml:space="preserve">VULN-4673938</t>
  </si>
  <si>
    <t xml:space="preserve">VULN-2459729</t>
  </si>
  <si>
    <t xml:space="preserve">VULN-2977579</t>
  </si>
  <si>
    <t xml:space="preserve">VULN-6007414</t>
  </si>
  <si>
    <t xml:space="preserve">VULN-1998239</t>
  </si>
  <si>
    <t xml:space="preserve">VULN-8042761</t>
  </si>
  <si>
    <t xml:space="preserve">VULN-6095616</t>
  </si>
  <si>
    <t xml:space="preserve">VULN-9208286</t>
  </si>
  <si>
    <t xml:space="preserve">LEGACYSYSTEMS-0513</t>
  </si>
  <si>
    <t xml:space="preserve">VULN-3881610</t>
  </si>
  <si>
    <t xml:space="preserve">VULN-6021304</t>
  </si>
  <si>
    <t xml:space="preserve">VULN-5689111</t>
  </si>
  <si>
    <t xml:space="preserve">VULN-4777735</t>
  </si>
  <si>
    <t xml:space="preserve">VULN-6846791</t>
  </si>
  <si>
    <t xml:space="preserve">VULN-2128027</t>
  </si>
  <si>
    <t xml:space="preserve">VULN-6559713</t>
  </si>
  <si>
    <t xml:space="preserve">VULN-1996223</t>
  </si>
  <si>
    <t xml:space="preserve">VULN-4795712</t>
  </si>
  <si>
    <t xml:space="preserve">VULN-7791754</t>
  </si>
  <si>
    <t xml:space="preserve">VULN-5778772</t>
  </si>
  <si>
    <t xml:space="preserve">VULN-5120538</t>
  </si>
  <si>
    <t xml:space="preserve">VULN-5941615</t>
  </si>
  <si>
    <t xml:space="preserve">VULN-8159756</t>
  </si>
  <si>
    <t xml:space="preserve">LEGACYSYSTEMS-0514</t>
  </si>
  <si>
    <t xml:space="preserve">VULN-7590456</t>
  </si>
  <si>
    <t xml:space="preserve">VULN-3246423</t>
  </si>
  <si>
    <t xml:space="preserve">VULN-9328427</t>
  </si>
  <si>
    <t xml:space="preserve">LEGACYSYSTEMS-0515</t>
  </si>
  <si>
    <t xml:space="preserve">VULN-4408282</t>
  </si>
  <si>
    <t xml:space="preserve">VULN-2640625</t>
  </si>
  <si>
    <t xml:space="preserve">VULN-7247450</t>
  </si>
  <si>
    <t xml:space="preserve">MLINFRASTRUCTURE-0306</t>
  </si>
  <si>
    <t xml:space="preserve">ML-Infrastructure</t>
  </si>
  <si>
    <t xml:space="preserve">VULN-4320146</t>
  </si>
  <si>
    <t xml:space="preserve">VULN-4990114</t>
  </si>
  <si>
    <t xml:space="preserve">VULN-4149893</t>
  </si>
  <si>
    <t xml:space="preserve">VULN-5409130</t>
  </si>
  <si>
    <t xml:space="preserve">VULN-6659799</t>
  </si>
  <si>
    <t xml:space="preserve">VULN-4125920</t>
  </si>
  <si>
    <t xml:space="preserve">VULN-8655712</t>
  </si>
  <si>
    <t xml:space="preserve">MLINFRASTRUCTURE-0307</t>
  </si>
  <si>
    <t xml:space="preserve">VULN-9467858</t>
  </si>
  <si>
    <t xml:space="preserve">VULN-9571557</t>
  </si>
  <si>
    <t xml:space="preserve">VULN-6938069</t>
  </si>
  <si>
    <t xml:space="preserve">VULN-3546298</t>
  </si>
  <si>
    <t xml:space="preserve">VULN-9808797</t>
  </si>
  <si>
    <t xml:space="preserve">VULN-7084360</t>
  </si>
  <si>
    <t xml:space="preserve">VULN-9906521</t>
  </si>
  <si>
    <t xml:space="preserve">VULN-4795970</t>
  </si>
  <si>
    <t xml:space="preserve">VULN-8113803</t>
  </si>
  <si>
    <t xml:space="preserve">VULN-9753488</t>
  </si>
  <si>
    <t xml:space="preserve">VULN-8851806</t>
  </si>
  <si>
    <t xml:space="preserve">MLINFRASTRUCTURE-0308</t>
  </si>
  <si>
    <t xml:space="preserve">VULN-7559885</t>
  </si>
  <si>
    <t xml:space="preserve">VULN-4796768</t>
  </si>
  <si>
    <t xml:space="preserve">VULN-3547556</t>
  </si>
  <si>
    <t xml:space="preserve">VULN-6494025</t>
  </si>
  <si>
    <t xml:space="preserve">VULN-9734558</t>
  </si>
  <si>
    <t xml:space="preserve">VULN-8352983</t>
  </si>
  <si>
    <t xml:space="preserve">VULN-8623020</t>
  </si>
  <si>
    <t xml:space="preserve">VULN-6727358</t>
  </si>
  <si>
    <t xml:space="preserve">VULN-1687389</t>
  </si>
  <si>
    <t xml:space="preserve">VULN-5285779</t>
  </si>
  <si>
    <t xml:space="preserve">VULN-8145593</t>
  </si>
  <si>
    <t xml:space="preserve">VULN-9175606</t>
  </si>
  <si>
    <t xml:space="preserve">MLINFRASTRUCTURE-0309</t>
  </si>
  <si>
    <t xml:space="preserve">VULN-2696696</t>
  </si>
  <si>
    <t xml:space="preserve">VULN-8277403</t>
  </si>
  <si>
    <t xml:space="preserve">VULN-7305252</t>
  </si>
  <si>
    <t xml:space="preserve">VULN-7418748</t>
  </si>
  <si>
    <t xml:space="preserve">VULN-2653843</t>
  </si>
  <si>
    <t xml:space="preserve">VULN-7051555</t>
  </si>
  <si>
    <t xml:space="preserve">VULN-1668822</t>
  </si>
  <si>
    <t xml:space="preserve">VULN-8386086</t>
  </si>
  <si>
    <t xml:space="preserve">VULN-8244357</t>
  </si>
  <si>
    <t xml:space="preserve">VULN-6519070</t>
  </si>
  <si>
    <t xml:space="preserve">VULN-5253262</t>
  </si>
  <si>
    <t xml:space="preserve">VULN-6772196</t>
  </si>
  <si>
    <t xml:space="preserve">VULN-5172511</t>
  </si>
  <si>
    <t xml:space="preserve">VULN-8687397</t>
  </si>
  <si>
    <t xml:space="preserve">MLINFRASTRUCTURE-0310</t>
  </si>
  <si>
    <t xml:space="preserve">VULN-6310561</t>
  </si>
  <si>
    <t xml:space="preserve">VULN-7812644</t>
  </si>
  <si>
    <t xml:space="preserve">VULN-4123785</t>
  </si>
  <si>
    <t xml:space="preserve">VULN-8344546</t>
  </si>
  <si>
    <t xml:space="preserve">VULN-3827685</t>
  </si>
  <si>
    <t xml:space="preserve">VULN-6209788</t>
  </si>
  <si>
    <t xml:space="preserve">VULN-5969473</t>
  </si>
  <si>
    <t xml:space="preserve">MLINFRASTRUCTURE-0311</t>
  </si>
  <si>
    <t xml:space="preserve">VULN-3445538</t>
  </si>
  <si>
    <t xml:space="preserve">VULN-5931029</t>
  </si>
  <si>
    <t xml:space="preserve">MLINFRASTRUCTURE-0312</t>
  </si>
  <si>
    <t xml:space="preserve">VULN-1442233</t>
  </si>
  <si>
    <t xml:space="preserve">MLINFRASTRUCTURE-0313</t>
  </si>
  <si>
    <t xml:space="preserve">VULN-7494523</t>
  </si>
  <si>
    <t xml:space="preserve">VULN-7106385</t>
  </si>
  <si>
    <t xml:space="preserve">VULN-4937710</t>
  </si>
  <si>
    <t xml:space="preserve">VULN-5142216</t>
  </si>
  <si>
    <t xml:space="preserve">VULN-9513662</t>
  </si>
  <si>
    <t xml:space="preserve">VULN-6844222</t>
  </si>
  <si>
    <t xml:space="preserve">VULN-4757489</t>
  </si>
  <si>
    <t xml:space="preserve">VULN-8721526</t>
  </si>
  <si>
    <t xml:space="preserve">VULN-8524049</t>
  </si>
  <si>
    <t xml:space="preserve">VULN-6831812</t>
  </si>
  <si>
    <t xml:space="preserve">VULN-3481016</t>
  </si>
  <si>
    <t xml:space="preserve">VULN-2097443</t>
  </si>
  <si>
    <t xml:space="preserve">VULN-1462664</t>
  </si>
  <si>
    <t xml:space="preserve">MLINFRASTRUCTURE-0314</t>
  </si>
  <si>
    <t xml:space="preserve">VULN-3419829</t>
  </si>
  <si>
    <t xml:space="preserve">VULN-6275739</t>
  </si>
  <si>
    <t xml:space="preserve">VULN-1888704</t>
  </si>
  <si>
    <t xml:space="preserve">VULN-2191407</t>
  </si>
  <si>
    <t xml:space="preserve">VULN-4265164</t>
  </si>
  <si>
    <t xml:space="preserve">VULN-4008839</t>
  </si>
  <si>
    <t xml:space="preserve">VULN-2579766</t>
  </si>
  <si>
    <t xml:space="preserve">MLINFRASTRUCTURE-0315</t>
  </si>
  <si>
    <t xml:space="preserve">VULN-4802391</t>
  </si>
  <si>
    <t xml:space="preserve">VULN-2368490</t>
  </si>
  <si>
    <t xml:space="preserve">VULN-2021747</t>
  </si>
  <si>
    <t xml:space="preserve">VULN-3827180</t>
  </si>
  <si>
    <t xml:space="preserve">VULN-9877176</t>
  </si>
  <si>
    <t xml:space="preserve">VULN-7288704</t>
  </si>
  <si>
    <t xml:space="preserve">VULN-4162204</t>
  </si>
  <si>
    <t xml:space="preserve">VULN-6792299</t>
  </si>
  <si>
    <t xml:space="preserve">VULN-3594951</t>
  </si>
  <si>
    <t xml:space="preserve">VULN-3977821</t>
  </si>
  <si>
    <t xml:space="preserve">VULN-1509048</t>
  </si>
  <si>
    <t xml:space="preserve">VULN-3018015</t>
  </si>
  <si>
    <t xml:space="preserve">MLINFRASTRUCTURE-0316</t>
  </si>
  <si>
    <t xml:space="preserve">VULN-7523750</t>
  </si>
  <si>
    <t xml:space="preserve">VULN-2098296</t>
  </si>
  <si>
    <t xml:space="preserve">VULN-7782771</t>
  </si>
  <si>
    <t xml:space="preserve">VULN-9060167</t>
  </si>
  <si>
    <t xml:space="preserve">VULN-2525946</t>
  </si>
  <si>
    <t xml:space="preserve">VULN-9924232</t>
  </si>
  <si>
    <t xml:space="preserve">VULN-8514591</t>
  </si>
  <si>
    <t xml:space="preserve">VULN-7781989</t>
  </si>
  <si>
    <t xml:space="preserve">VULN-9121925</t>
  </si>
  <si>
    <t xml:space="preserve">MLINFRASTRUCTURE-0317</t>
  </si>
  <si>
    <t xml:space="preserve">VULN-1804568</t>
  </si>
  <si>
    <t xml:space="preserve">VULN-7457573</t>
  </si>
  <si>
    <t xml:space="preserve">VULN-8278024</t>
  </si>
  <si>
    <t xml:space="preserve">VULN-7221393</t>
  </si>
  <si>
    <t xml:space="preserve">VULN-2655084</t>
  </si>
  <si>
    <t xml:space="preserve">VULN-4717279</t>
  </si>
  <si>
    <t xml:space="preserve">VULN-1261602</t>
  </si>
  <si>
    <t xml:space="preserve">VULN-4456607</t>
  </si>
  <si>
    <t xml:space="preserve">VULN-1079503</t>
  </si>
  <si>
    <t xml:space="preserve">VULN-6549075</t>
  </si>
  <si>
    <t xml:space="preserve">VULN-4831443</t>
  </si>
  <si>
    <t xml:space="preserve">MLINFRASTRUCTURE-0318</t>
  </si>
  <si>
    <t xml:space="preserve">VULN-7977432</t>
  </si>
  <si>
    <t xml:space="preserve">VULN-4179223</t>
  </si>
  <si>
    <t xml:space="preserve">VULN-8535120</t>
  </si>
  <si>
    <t xml:space="preserve">VULN-4740892</t>
  </si>
  <si>
    <t xml:space="preserve">VULN-2934050</t>
  </si>
  <si>
    <t xml:space="preserve">VULN-9196287</t>
  </si>
  <si>
    <t xml:space="preserve">VULN-5303341</t>
  </si>
  <si>
    <t xml:space="preserve">VULN-3003211</t>
  </si>
  <si>
    <t xml:space="preserve">VULN-4391113</t>
  </si>
  <si>
    <t xml:space="preserve">VULN-3132636</t>
  </si>
  <si>
    <t xml:space="preserve">VULN-8867792</t>
  </si>
  <si>
    <t xml:space="preserve">MLINFRASTRUCTURE-0319</t>
  </si>
  <si>
    <t xml:space="preserve">VULN-1688736</t>
  </si>
  <si>
    <t xml:space="preserve">VULN-4170380</t>
  </si>
  <si>
    <t xml:space="preserve">MLINFRASTRUCTURE-0320</t>
  </si>
  <si>
    <t xml:space="preserve">VULN-1946707</t>
  </si>
  <si>
    <t xml:space="preserve">VULN-4260468</t>
  </si>
  <si>
    <t xml:space="preserve">VULN-8363043</t>
  </si>
  <si>
    <t xml:space="preserve">MLINFRASTRUCTURE-0321</t>
  </si>
  <si>
    <t xml:space="preserve">VULN-9691391</t>
  </si>
  <si>
    <t xml:space="preserve">VULN-1644748</t>
  </si>
  <si>
    <t xml:space="preserve">VULN-4920197</t>
  </si>
  <si>
    <t xml:space="preserve">MLINFRASTRUCTURE-0322</t>
  </si>
  <si>
    <t xml:space="preserve">VULN-7476923</t>
  </si>
  <si>
    <t xml:space="preserve">VULN-7488875</t>
  </si>
  <si>
    <t xml:space="preserve">VULN-4987424</t>
  </si>
  <si>
    <t xml:space="preserve">VULN-6790593</t>
  </si>
  <si>
    <t xml:space="preserve">VULN-8620600</t>
  </si>
  <si>
    <t xml:space="preserve">VULN-4755409</t>
  </si>
  <si>
    <t xml:space="preserve">VULN-5315283</t>
  </si>
  <si>
    <t xml:space="preserve">VULN-6030776</t>
  </si>
  <si>
    <t xml:space="preserve">VULN-7748315</t>
  </si>
  <si>
    <t xml:space="preserve">VULN-6921373</t>
  </si>
  <si>
    <t xml:space="preserve">MLINFRASTRUCTURE-0323</t>
  </si>
  <si>
    <t xml:space="preserve">VULN-4454681</t>
  </si>
  <si>
    <t xml:space="preserve">VULN-4264878</t>
  </si>
  <si>
    <t xml:space="preserve">VULN-7848595</t>
  </si>
  <si>
    <t xml:space="preserve">VULN-4582165</t>
  </si>
  <si>
    <t xml:space="preserve">VULN-7914190</t>
  </si>
  <si>
    <t xml:space="preserve">VULN-3629314</t>
  </si>
  <si>
    <t xml:space="preserve">VULN-8244130</t>
  </si>
  <si>
    <t xml:space="preserve">VULN-1399891</t>
  </si>
  <si>
    <t xml:space="preserve">MLINFRASTRUCTURE-0324</t>
  </si>
  <si>
    <t xml:space="preserve">VULN-3190350</t>
  </si>
  <si>
    <t xml:space="preserve">VULN-1592263</t>
  </si>
  <si>
    <t xml:space="preserve">VULN-2438647</t>
  </si>
  <si>
    <t xml:space="preserve">VULN-1885043</t>
  </si>
  <si>
    <t xml:space="preserve">VULN-6256199</t>
  </si>
  <si>
    <t xml:space="preserve">VULN-7089123</t>
  </si>
  <si>
    <t xml:space="preserve">VULN-8492990</t>
  </si>
  <si>
    <t xml:space="preserve">VULN-6087531</t>
  </si>
  <si>
    <t xml:space="preserve">VULN-3681207</t>
  </si>
  <si>
    <t xml:space="preserve">VULN-8878038</t>
  </si>
  <si>
    <t xml:space="preserve">VULN-5184066</t>
  </si>
  <si>
    <t xml:space="preserve">VULN-3460316</t>
  </si>
  <si>
    <t xml:space="preserve">MLINFRASTRUCTURE-0325</t>
  </si>
  <si>
    <t xml:space="preserve">VULN-4050662</t>
  </si>
  <si>
    <t xml:space="preserve">VULN-9250481</t>
  </si>
  <si>
    <t xml:space="preserve">VULN-2426239</t>
  </si>
  <si>
    <t xml:space="preserve">VULN-3507958</t>
  </si>
  <si>
    <t xml:space="preserve">VULN-4307323</t>
  </si>
  <si>
    <t xml:space="preserve">VULN-2393728</t>
  </si>
  <si>
    <t xml:space="preserve">VULN-9300525</t>
  </si>
  <si>
    <t xml:space="preserve">MLINFRASTRUCTURE-0326</t>
  </si>
  <si>
    <t xml:space="preserve">VULN-6144500</t>
  </si>
  <si>
    <t xml:space="preserve">VULN-1678734</t>
  </si>
  <si>
    <t xml:space="preserve">VULN-8685433</t>
  </si>
  <si>
    <t xml:space="preserve">VULN-1179145</t>
  </si>
  <si>
    <t xml:space="preserve">VULN-8887321</t>
  </si>
  <si>
    <t xml:space="preserve">MLINFRASTRUCTURE-0327</t>
  </si>
  <si>
    <t xml:space="preserve">VULN-5725154</t>
  </si>
  <si>
    <t xml:space="preserve">VULN-2422629</t>
  </si>
  <si>
    <t xml:space="preserve">VULN-2904638</t>
  </si>
  <si>
    <t xml:space="preserve">VULN-2795994</t>
  </si>
  <si>
    <t xml:space="preserve">VULN-2466111</t>
  </si>
  <si>
    <t xml:space="preserve">VULN-6723292</t>
  </si>
  <si>
    <t xml:space="preserve">MLINFRASTRUCTURE-0328</t>
  </si>
  <si>
    <t xml:space="preserve">VULN-7491120</t>
  </si>
  <si>
    <t xml:space="preserve">VULN-4231939</t>
  </si>
  <si>
    <t xml:space="preserve">VULN-9309761</t>
  </si>
  <si>
    <t xml:space="preserve">VULN-2027878</t>
  </si>
  <si>
    <t xml:space="preserve">VULN-3414120</t>
  </si>
  <si>
    <t xml:space="preserve">VULN-3080547</t>
  </si>
  <si>
    <t xml:space="preserve">VULN-7621429</t>
  </si>
  <si>
    <t xml:space="preserve">VULN-9500251</t>
  </si>
  <si>
    <t xml:space="preserve">VULN-6784096</t>
  </si>
  <si>
    <t xml:space="preserve">VULN-3705563</t>
  </si>
  <si>
    <t xml:space="preserve">VULN-2013410</t>
  </si>
  <si>
    <t xml:space="preserve">VULN-2480282</t>
  </si>
  <si>
    <t xml:space="preserve">VULN-7064624</t>
  </si>
  <si>
    <t xml:space="preserve">VULN-6353005</t>
  </si>
  <si>
    <t xml:space="preserve">MLINFRASTRUCTURE-0329</t>
  </si>
  <si>
    <t xml:space="preserve">VULN-6441988</t>
  </si>
  <si>
    <t xml:space="preserve">VULN-7468693</t>
  </si>
  <si>
    <t xml:space="preserve">VULN-3339281</t>
  </si>
  <si>
    <t xml:space="preserve">VULN-3506246</t>
  </si>
  <si>
    <t xml:space="preserve">VULN-3534008</t>
  </si>
  <si>
    <t xml:space="preserve">VULN-8923681</t>
  </si>
  <si>
    <t xml:space="preserve">VULN-5658522</t>
  </si>
  <si>
    <t xml:space="preserve">VULN-9374127</t>
  </si>
  <si>
    <t xml:space="preserve">VULN-6928554</t>
  </si>
  <si>
    <t xml:space="preserve">MLINFRASTRUCTURE-0330</t>
  </si>
  <si>
    <t xml:space="preserve">VULN-3660906</t>
  </si>
  <si>
    <t xml:space="preserve">VULN-8197382</t>
  </si>
  <si>
    <t xml:space="preserve">VULN-9885829</t>
  </si>
  <si>
    <t xml:space="preserve">VULN-8944398</t>
  </si>
  <si>
    <t xml:space="preserve">MLINFRASTRUCTURE-0331</t>
  </si>
  <si>
    <t xml:space="preserve">VULN-6554277</t>
  </si>
  <si>
    <t xml:space="preserve">VULN-6399457</t>
  </si>
  <si>
    <t xml:space="preserve">VULN-4976500</t>
  </si>
  <si>
    <t xml:space="preserve">VULN-2603610</t>
  </si>
  <si>
    <t xml:space="preserve">VULN-6396474</t>
  </si>
  <si>
    <t xml:space="preserve">VULN-5462862</t>
  </si>
  <si>
    <t xml:space="preserve">MLINFRASTRUCTURE-0332</t>
  </si>
  <si>
    <t xml:space="preserve">VULN-4157389</t>
  </si>
  <si>
    <t xml:space="preserve">VULN-4270602</t>
  </si>
  <si>
    <t xml:space="preserve">VULN-5738829</t>
  </si>
  <si>
    <t xml:space="preserve">VULN-8096616</t>
  </si>
  <si>
    <t xml:space="preserve">VULN-8070308</t>
  </si>
  <si>
    <t xml:space="preserve">VULN-3476564</t>
  </si>
  <si>
    <t xml:space="preserve">VULN-3633660</t>
  </si>
  <si>
    <t xml:space="preserve">VULN-2807658</t>
  </si>
  <si>
    <t xml:space="preserve">VULN-3156470</t>
  </si>
  <si>
    <t xml:space="preserve">VULN-3078947</t>
  </si>
  <si>
    <t xml:space="preserve">VULN-9004435</t>
  </si>
  <si>
    <t xml:space="preserve">VULN-7291943</t>
  </si>
  <si>
    <t xml:space="preserve">VULN-1579384</t>
  </si>
  <si>
    <t xml:space="preserve">VULN-1660711</t>
  </si>
  <si>
    <t xml:space="preserve">MLINFRASTRUCTURE-0333</t>
  </si>
  <si>
    <t xml:space="preserve">VULN-6990825</t>
  </si>
  <si>
    <t xml:space="preserve">VULN-2167300</t>
  </si>
  <si>
    <t xml:space="preserve">MLINFRASTRUCTURE-0334</t>
  </si>
  <si>
    <t xml:space="preserve">VULN-5014206</t>
  </si>
  <si>
    <t xml:space="preserve">VULN-1406431</t>
  </si>
  <si>
    <t xml:space="preserve">VULN-4783595</t>
  </si>
  <si>
    <t xml:space="preserve">MLINFRASTRUCTURE-0335</t>
  </si>
  <si>
    <t xml:space="preserve">VULN-1604073</t>
  </si>
  <si>
    <t xml:space="preserve">VULN-7175999</t>
  </si>
  <si>
    <t xml:space="preserve">VULN-3754469</t>
  </si>
  <si>
    <t xml:space="preserve">VULN-5721396</t>
  </si>
  <si>
    <t xml:space="preserve">VULN-5299635</t>
  </si>
  <si>
    <t xml:space="preserve">VULN-7587279</t>
  </si>
  <si>
    <t xml:space="preserve">VULN-8577425</t>
  </si>
  <si>
    <t xml:space="preserve">VULN-4432451</t>
  </si>
  <si>
    <t xml:space="preserve">VULN-2790625</t>
  </si>
  <si>
    <t xml:space="preserve">VULN-4596069</t>
  </si>
  <si>
    <t xml:space="preserve">VULN-4855572</t>
  </si>
  <si>
    <t xml:space="preserve">VULN-5233438</t>
  </si>
  <si>
    <t xml:space="preserve">VULN-6602449</t>
  </si>
  <si>
    <t xml:space="preserve">VULN-6492169</t>
  </si>
  <si>
    <t xml:space="preserve">MLINFRASTRUCTURE-0336</t>
  </si>
  <si>
    <t xml:space="preserve">VULN-1188104</t>
  </si>
  <si>
    <t xml:space="preserve">VULN-6090988</t>
  </si>
  <si>
    <t xml:space="preserve">VULN-4612279</t>
  </si>
  <si>
    <t xml:space="preserve">VULN-7254897</t>
  </si>
  <si>
    <t xml:space="preserve">VULN-5990717</t>
  </si>
  <si>
    <t xml:space="preserve">VULN-6067560</t>
  </si>
  <si>
    <t xml:space="preserve">VULN-4433725</t>
  </si>
  <si>
    <t xml:space="preserve">VULN-1509483</t>
  </si>
  <si>
    <t xml:space="preserve">VULN-4939337</t>
  </si>
  <si>
    <t xml:space="preserve">MLINFRASTRUCTURE-0337</t>
  </si>
  <si>
    <t xml:space="preserve">VULN-1222617</t>
  </si>
  <si>
    <t xml:space="preserve">VULN-5711426</t>
  </si>
  <si>
    <t xml:space="preserve">VULN-4400718</t>
  </si>
  <si>
    <t xml:space="preserve">VULN-4155287</t>
  </si>
  <si>
    <t xml:space="preserve">VULN-1032691</t>
  </si>
  <si>
    <t xml:space="preserve">VULN-8303868</t>
  </si>
  <si>
    <t xml:space="preserve">VULN-9196133</t>
  </si>
  <si>
    <t xml:space="preserve">VULN-1793470</t>
  </si>
  <si>
    <t xml:space="preserve">VULN-3749697</t>
  </si>
  <si>
    <t xml:space="preserve">VULN-7228915</t>
  </si>
  <si>
    <t xml:space="preserve">MLINFRASTRUCTURE-0338</t>
  </si>
  <si>
    <t xml:space="preserve">VULN-5906489</t>
  </si>
  <si>
    <t xml:space="preserve">VULN-9296512</t>
  </si>
  <si>
    <t xml:space="preserve">VULN-2450315</t>
  </si>
  <si>
    <t xml:space="preserve">MLINFRASTRUCTURE-0339</t>
  </si>
  <si>
    <t xml:space="preserve">VULN-4452965</t>
  </si>
  <si>
    <t xml:space="preserve">VULN-1704281</t>
  </si>
  <si>
    <t xml:space="preserve">VULN-3763239</t>
  </si>
  <si>
    <t xml:space="preserve">VULN-6618685</t>
  </si>
  <si>
    <t xml:space="preserve">VULN-7626337</t>
  </si>
  <si>
    <t xml:space="preserve">VULN-7590085</t>
  </si>
  <si>
    <t xml:space="preserve">VULN-2785542</t>
  </si>
  <si>
    <t xml:space="preserve">VULN-8611052</t>
  </si>
  <si>
    <t xml:space="preserve">VULN-4159672</t>
  </si>
  <si>
    <t xml:space="preserve">VULN-9464291</t>
  </si>
  <si>
    <t xml:space="preserve">VULN-7813560</t>
  </si>
  <si>
    <t xml:space="preserve">VULN-2620464</t>
  </si>
  <si>
    <t xml:space="preserve">VULN-3031310</t>
  </si>
  <si>
    <t xml:space="preserve">MLINFRASTRUCTURE-0340</t>
  </si>
  <si>
    <t xml:space="preserve">VULN-9026882</t>
  </si>
  <si>
    <t xml:space="preserve">VULN-1528784</t>
  </si>
  <si>
    <t xml:space="preserve">VULN-8945647</t>
  </si>
  <si>
    <t xml:space="preserve">VULN-2644281</t>
  </si>
  <si>
    <t xml:space="preserve">VULN-6889724</t>
  </si>
  <si>
    <t xml:space="preserve">VULN-7374793</t>
  </si>
  <si>
    <t xml:space="preserve">MLINFRASTRUCTURE-0341</t>
  </si>
  <si>
    <t xml:space="preserve">VULN-1576165</t>
  </si>
  <si>
    <t xml:space="preserve">VULN-8569862</t>
  </si>
  <si>
    <t xml:space="preserve">MLINFRASTRUCTURE-0342</t>
  </si>
  <si>
    <t xml:space="preserve">VULN-9669396</t>
  </si>
  <si>
    <t xml:space="preserve">VULN-6560231</t>
  </si>
  <si>
    <t xml:space="preserve">VULN-2288836</t>
  </si>
  <si>
    <t xml:space="preserve">VULN-3963386</t>
  </si>
  <si>
    <t xml:space="preserve">VULN-6705434</t>
  </si>
  <si>
    <t xml:space="preserve">VULN-2703520</t>
  </si>
  <si>
    <t xml:space="preserve">VULN-1397254</t>
  </si>
  <si>
    <t xml:space="preserve">VULN-7178852</t>
  </si>
  <si>
    <t xml:space="preserve">VULN-5679202</t>
  </si>
  <si>
    <t xml:space="preserve">VULN-7000246</t>
  </si>
  <si>
    <t xml:space="preserve">VULN-3307324</t>
  </si>
  <si>
    <t xml:space="preserve">VULN-7263217</t>
  </si>
  <si>
    <t xml:space="preserve">VULN-4112344</t>
  </si>
  <si>
    <t xml:space="preserve">VULN-7555022</t>
  </si>
  <si>
    <t xml:space="preserve">MLINFRASTRUCTURE-0343</t>
  </si>
  <si>
    <t xml:space="preserve">VULN-3892693</t>
  </si>
  <si>
    <t xml:space="preserve">VULN-3129961</t>
  </si>
  <si>
    <t xml:space="preserve">VULN-9014281</t>
  </si>
  <si>
    <t xml:space="preserve">VULN-2217859</t>
  </si>
  <si>
    <t xml:space="preserve">VULN-4780612</t>
  </si>
  <si>
    <t xml:space="preserve">VULN-1719891</t>
  </si>
  <si>
    <t xml:space="preserve">VULN-1464145</t>
  </si>
  <si>
    <t xml:space="preserve">VULN-7269347</t>
  </si>
  <si>
    <t xml:space="preserve">VULN-9042423</t>
  </si>
  <si>
    <t xml:space="preserve">VULN-3638806</t>
  </si>
  <si>
    <t xml:space="preserve">VULN-5825591</t>
  </si>
  <si>
    <t xml:space="preserve">MLINFRASTRUCTURE-0344</t>
  </si>
  <si>
    <t xml:space="preserve">VULN-6729127</t>
  </si>
  <si>
    <t xml:space="preserve">VULN-6487622</t>
  </si>
  <si>
    <t xml:space="preserve">VULN-8883813</t>
  </si>
  <si>
    <t xml:space="preserve">VULN-3302963</t>
  </si>
  <si>
    <t xml:space="preserve">VULN-6744686</t>
  </si>
  <si>
    <t xml:space="preserve">VULN-5550839</t>
  </si>
  <si>
    <t xml:space="preserve">VULN-4822558</t>
  </si>
  <si>
    <t xml:space="preserve">VULN-6438575</t>
  </si>
  <si>
    <t xml:space="preserve">VULN-6139660</t>
  </si>
  <si>
    <t xml:space="preserve">MARKETINGSTACK-0412</t>
  </si>
  <si>
    <t xml:space="preserve">Marketing-Stack</t>
  </si>
  <si>
    <t xml:space="preserve">VULN-8571412</t>
  </si>
  <si>
    <t xml:space="preserve">VULN-4911403</t>
  </si>
  <si>
    <t xml:space="preserve">VULN-7271311</t>
  </si>
  <si>
    <t xml:space="preserve">VULN-3895328</t>
  </si>
  <si>
    <t xml:space="preserve">VULN-5353698</t>
  </si>
  <si>
    <t xml:space="preserve">VULN-4017046</t>
  </si>
  <si>
    <t xml:space="preserve">VULN-7765068</t>
  </si>
  <si>
    <t xml:space="preserve">VULN-2409831</t>
  </si>
  <si>
    <t xml:space="preserve">VULN-3774103</t>
  </si>
  <si>
    <t xml:space="preserve">VULN-8773875</t>
  </si>
  <si>
    <t xml:space="preserve">VULN-1839286</t>
  </si>
  <si>
    <t xml:space="preserve">VULN-2978268</t>
  </si>
  <si>
    <t xml:space="preserve">VULN-2483726</t>
  </si>
  <si>
    <t xml:space="preserve">VULN-5162620</t>
  </si>
  <si>
    <t xml:space="preserve">MARKETINGSTACK-0413</t>
  </si>
  <si>
    <t xml:space="preserve">VULN-7679985</t>
  </si>
  <si>
    <t xml:space="preserve">VULN-8073819</t>
  </si>
  <si>
    <t xml:space="preserve">MARKETINGSTACK-0414</t>
  </si>
  <si>
    <t xml:space="preserve">VULN-6670999</t>
  </si>
  <si>
    <t xml:space="preserve">VULN-6965497</t>
  </si>
  <si>
    <t xml:space="preserve">VULN-7822135</t>
  </si>
  <si>
    <t xml:space="preserve">VULN-4724585</t>
  </si>
  <si>
    <t xml:space="preserve">VULN-9418954</t>
  </si>
  <si>
    <t xml:space="preserve">MARKETINGSTACK-0415</t>
  </si>
  <si>
    <t xml:space="preserve">VULN-4597904</t>
  </si>
  <si>
    <t xml:space="preserve">VULN-5165533</t>
  </si>
  <si>
    <t xml:space="preserve">VULN-3738798</t>
  </si>
  <si>
    <t xml:space="preserve">MARKETINGSTACK-0416</t>
  </si>
  <si>
    <t xml:space="preserve">VULN-1367938</t>
  </si>
  <si>
    <t xml:space="preserve">VULN-5398696</t>
  </si>
  <si>
    <t xml:space="preserve">VULN-8196045</t>
  </si>
  <si>
    <t xml:space="preserve">VULN-4242173</t>
  </si>
  <si>
    <t xml:space="preserve">VULN-7985879</t>
  </si>
  <si>
    <t xml:space="preserve">VULN-8886066</t>
  </si>
  <si>
    <t xml:space="preserve">VULN-2096115</t>
  </si>
  <si>
    <t xml:space="preserve">VULN-1701806</t>
  </si>
  <si>
    <t xml:space="preserve">VULN-1047841</t>
  </si>
  <si>
    <t xml:space="preserve">VULN-5544445</t>
  </si>
  <si>
    <t xml:space="preserve">VULN-4799605</t>
  </si>
  <si>
    <t xml:space="preserve">VULN-7618941</t>
  </si>
  <si>
    <t xml:space="preserve">MARKETINGSTACK-0417</t>
  </si>
  <si>
    <t xml:space="preserve">VULN-1827125</t>
  </si>
  <si>
    <t xml:space="preserve">VULN-4029653</t>
  </si>
  <si>
    <t xml:space="preserve">VULN-9015427</t>
  </si>
  <si>
    <t xml:space="preserve">VULN-2902343</t>
  </si>
  <si>
    <t xml:space="preserve">VULN-2037958</t>
  </si>
  <si>
    <t xml:space="preserve">VULN-7625083</t>
  </si>
  <si>
    <t xml:space="preserve">VULN-2677861</t>
  </si>
  <si>
    <t xml:space="preserve">VULN-1936359</t>
  </si>
  <si>
    <t xml:space="preserve">VULN-6052169</t>
  </si>
  <si>
    <t xml:space="preserve">VULN-5197957</t>
  </si>
  <si>
    <t xml:space="preserve">MARKETINGSTACK-0418</t>
  </si>
  <si>
    <t xml:space="preserve">VULN-6213387</t>
  </si>
  <si>
    <t xml:space="preserve">VULN-1489629</t>
  </si>
  <si>
    <t xml:space="preserve">VULN-6176130</t>
  </si>
  <si>
    <t xml:space="preserve">VULN-4226049</t>
  </si>
  <si>
    <t xml:space="preserve">VULN-1484716</t>
  </si>
  <si>
    <t xml:space="preserve">VULN-7199679</t>
  </si>
  <si>
    <t xml:space="preserve">VULN-7396488</t>
  </si>
  <si>
    <t xml:space="preserve">VULN-4092466</t>
  </si>
  <si>
    <t xml:space="preserve">VULN-6822087</t>
  </si>
  <si>
    <t xml:space="preserve">VULN-1153613</t>
  </si>
  <si>
    <t xml:space="preserve">VULN-3934467</t>
  </si>
  <si>
    <t xml:space="preserve">VULN-9025631</t>
  </si>
  <si>
    <t xml:space="preserve">MARKETINGSTACK-0419</t>
  </si>
  <si>
    <t xml:space="preserve">VULN-2676290</t>
  </si>
  <si>
    <t xml:space="preserve">VULN-9949116</t>
  </si>
  <si>
    <t xml:space="preserve">MARKETINGSTACK-0420</t>
  </si>
  <si>
    <t xml:space="preserve">VULN-3900598</t>
  </si>
  <si>
    <t xml:space="preserve">VULN-8484573</t>
  </si>
  <si>
    <t xml:space="preserve">VULN-7854309</t>
  </si>
  <si>
    <t xml:space="preserve">VULN-8130118</t>
  </si>
  <si>
    <t xml:space="preserve">VULN-3761930</t>
  </si>
  <si>
    <t xml:space="preserve">VULN-6740329</t>
  </si>
  <si>
    <t xml:space="preserve">VULN-7473815</t>
  </si>
  <si>
    <t xml:space="preserve">VULN-7182333</t>
  </si>
  <si>
    <t xml:space="preserve">VULN-3933134</t>
  </si>
  <si>
    <t xml:space="preserve">MARKETINGSTACK-0421</t>
  </si>
  <si>
    <t xml:space="preserve">VULN-8201406</t>
  </si>
  <si>
    <t xml:space="preserve">VULN-8838718</t>
  </si>
  <si>
    <t xml:space="preserve">VULN-4301912</t>
  </si>
  <si>
    <t xml:space="preserve">VULN-8506955</t>
  </si>
  <si>
    <t xml:space="preserve">VULN-9241865</t>
  </si>
  <si>
    <t xml:space="preserve">MARKETINGSTACK-0422</t>
  </si>
  <si>
    <t xml:space="preserve">VULN-7367070</t>
  </si>
  <si>
    <t xml:space="preserve">VULN-8964694</t>
  </si>
  <si>
    <t xml:space="preserve">VULN-2019689</t>
  </si>
  <si>
    <t xml:space="preserve">VULN-7493199</t>
  </si>
  <si>
    <t xml:space="preserve">VULN-5277014</t>
  </si>
  <si>
    <t xml:space="preserve">VULN-4260851</t>
  </si>
  <si>
    <t xml:space="preserve">VULN-4851116</t>
  </si>
  <si>
    <t xml:space="preserve">VULN-9439632</t>
  </si>
  <si>
    <t xml:space="preserve">VULN-6126843</t>
  </si>
  <si>
    <t xml:space="preserve">VULN-2742095</t>
  </si>
  <si>
    <t xml:space="preserve">VULN-9626652</t>
  </si>
  <si>
    <t xml:space="preserve">VULN-6793850</t>
  </si>
  <si>
    <t xml:space="preserve">VULN-7030812</t>
  </si>
  <si>
    <t xml:space="preserve">MARKETINGSTACK-0423</t>
  </si>
  <si>
    <t xml:space="preserve">VULN-6377073</t>
  </si>
  <si>
    <t xml:space="preserve">VULN-3069181</t>
  </si>
  <si>
    <t xml:space="preserve">VULN-9598194</t>
  </si>
  <si>
    <t xml:space="preserve">VULN-7475947</t>
  </si>
  <si>
    <t xml:space="preserve">VULN-2022082</t>
  </si>
  <si>
    <t xml:space="preserve">VULN-6276469</t>
  </si>
  <si>
    <t xml:space="preserve">VULN-9042012</t>
  </si>
  <si>
    <t xml:space="preserve">VULN-1611180</t>
  </si>
  <si>
    <t xml:space="preserve">VULN-7397798</t>
  </si>
  <si>
    <t xml:space="preserve">MARKETINGSTACK-0424</t>
  </si>
  <si>
    <t xml:space="preserve">VULN-9388090</t>
  </si>
  <si>
    <t xml:space="preserve">VULN-3892433</t>
  </si>
  <si>
    <t xml:space="preserve">VULN-1828393</t>
  </si>
  <si>
    <t xml:space="preserve">VULN-3814935</t>
  </si>
  <si>
    <t xml:space="preserve">VULN-1250028</t>
  </si>
  <si>
    <t xml:space="preserve">VULN-7474995</t>
  </si>
  <si>
    <t xml:space="preserve">VULN-1499969</t>
  </si>
  <si>
    <t xml:space="preserve">VULN-9067264</t>
  </si>
  <si>
    <t xml:space="preserve">VULN-7437684</t>
  </si>
  <si>
    <t xml:space="preserve">MARKETINGSTACK-0425</t>
  </si>
  <si>
    <t xml:space="preserve">VULN-3319495</t>
  </si>
  <si>
    <t xml:space="preserve">VULN-2638431</t>
  </si>
  <si>
    <t xml:space="preserve">VULN-1283563</t>
  </si>
  <si>
    <t xml:space="preserve">VULN-7782654</t>
  </si>
  <si>
    <t xml:space="preserve">VULN-7361742</t>
  </si>
  <si>
    <t xml:space="preserve">VULN-6560094</t>
  </si>
  <si>
    <t xml:space="preserve">VULN-1773047</t>
  </si>
  <si>
    <t xml:space="preserve">VULN-7542007</t>
  </si>
  <si>
    <t xml:space="preserve">VULN-7223817</t>
  </si>
  <si>
    <t xml:space="preserve">MARKETINGSTACK-0426</t>
  </si>
  <si>
    <t xml:space="preserve">VULN-7162007</t>
  </si>
  <si>
    <t xml:space="preserve">VULN-8212466</t>
  </si>
  <si>
    <t xml:space="preserve">VULN-7799074</t>
  </si>
  <si>
    <t xml:space="preserve">VULN-1258815</t>
  </si>
  <si>
    <t xml:space="preserve">VULN-2984967</t>
  </si>
  <si>
    <t xml:space="preserve">VULN-9141900</t>
  </si>
  <si>
    <t xml:space="preserve">VULN-8609042</t>
  </si>
  <si>
    <t xml:space="preserve">VULN-1392144</t>
  </si>
  <si>
    <t xml:space="preserve">MARKETINGSTACK-0427</t>
  </si>
  <si>
    <t xml:space="preserve">VULN-4133513</t>
  </si>
  <si>
    <t xml:space="preserve">VULN-7183138</t>
  </si>
  <si>
    <t xml:space="preserve">VULN-8734053</t>
  </si>
  <si>
    <t xml:space="preserve">VULN-2975996</t>
  </si>
  <si>
    <t xml:space="preserve">VULN-9191941</t>
  </si>
  <si>
    <t xml:space="preserve">VULN-2252054</t>
  </si>
  <si>
    <t xml:space="preserve">VULN-2541860</t>
  </si>
  <si>
    <t xml:space="preserve">MARKETINGSTACK-0428</t>
  </si>
  <si>
    <t xml:space="preserve">VULN-8537652</t>
  </si>
  <si>
    <t xml:space="preserve">VULN-5434785</t>
  </si>
  <si>
    <t xml:space="preserve">VULN-5926603</t>
  </si>
  <si>
    <t xml:space="preserve">MARKETINGSTACK-0429</t>
  </si>
  <si>
    <t xml:space="preserve">VULN-3880263</t>
  </si>
  <si>
    <t xml:space="preserve">VULN-5671550</t>
  </si>
  <si>
    <t xml:space="preserve">VULN-9440595</t>
  </si>
  <si>
    <t xml:space="preserve">VULN-6504576</t>
  </si>
  <si>
    <t xml:space="preserve">VULN-9668957</t>
  </si>
  <si>
    <t xml:space="preserve">VULN-8593770</t>
  </si>
  <si>
    <t xml:space="preserve">VULN-7260277</t>
  </si>
  <si>
    <t xml:space="preserve">VULN-6896055</t>
  </si>
  <si>
    <t xml:space="preserve">VULN-1989886</t>
  </si>
  <si>
    <t xml:space="preserve">VULN-8781639</t>
  </si>
  <si>
    <t xml:space="preserve">VULN-2445753</t>
  </si>
  <si>
    <t xml:space="preserve">VULN-1731815</t>
  </si>
  <si>
    <t xml:space="preserve">VULN-3284457</t>
  </si>
  <si>
    <t xml:space="preserve">VULN-8217356</t>
  </si>
  <si>
    <t xml:space="preserve">MARKETINGSTACK-0430</t>
  </si>
  <si>
    <t xml:space="preserve">VULN-7914310</t>
  </si>
  <si>
    <t xml:space="preserve">VULN-8922493</t>
  </si>
  <si>
    <t xml:space="preserve">VULN-9634736</t>
  </si>
  <si>
    <t xml:space="preserve">VULN-4392094</t>
  </si>
  <si>
    <t xml:space="preserve">VULN-2386510</t>
  </si>
  <si>
    <t xml:space="preserve">VULN-2186539</t>
  </si>
  <si>
    <t xml:space="preserve">VULN-6902140</t>
  </si>
  <si>
    <t xml:space="preserve">VULN-7765944</t>
  </si>
  <si>
    <t xml:space="preserve">VULN-2152942</t>
  </si>
  <si>
    <t xml:space="preserve">VULN-4579179</t>
  </si>
  <si>
    <t xml:space="preserve">VULN-3539800</t>
  </si>
  <si>
    <t xml:space="preserve">VULN-5580322</t>
  </si>
  <si>
    <t xml:space="preserve">MARKETINGSTACK-0431</t>
  </si>
  <si>
    <t xml:space="preserve">VULN-5998189</t>
  </si>
  <si>
    <t xml:space="preserve">VULN-1795791</t>
  </si>
  <si>
    <t xml:space="preserve">VULN-8454679</t>
  </si>
  <si>
    <t xml:space="preserve">VULN-7601390</t>
  </si>
  <si>
    <t xml:space="preserve">VULN-3675223</t>
  </si>
  <si>
    <t xml:space="preserve">VULN-1163295</t>
  </si>
  <si>
    <t xml:space="preserve">VULN-9277618</t>
  </si>
  <si>
    <t xml:space="preserve">VULN-2706522</t>
  </si>
  <si>
    <t xml:space="preserve">VULN-2679685</t>
  </si>
  <si>
    <t xml:space="preserve">VULN-7507886</t>
  </si>
  <si>
    <t xml:space="preserve">MARKETINGSTACK-0432</t>
  </si>
  <si>
    <t xml:space="preserve">VULN-5497120</t>
  </si>
  <si>
    <t xml:space="preserve">VULN-1010905</t>
  </si>
  <si>
    <t xml:space="preserve">VULN-4057494</t>
  </si>
  <si>
    <t xml:space="preserve">VULN-6995244</t>
  </si>
  <si>
    <t xml:space="preserve">VULN-1851844</t>
  </si>
  <si>
    <t xml:space="preserve">VULN-6822105</t>
  </si>
  <si>
    <t xml:space="preserve">VULN-6700634</t>
  </si>
  <si>
    <t xml:space="preserve">VULN-8431337</t>
  </si>
  <si>
    <t xml:space="preserve">MARKETINGSTACK-0433</t>
  </si>
  <si>
    <t xml:space="preserve">VULN-2103317</t>
  </si>
  <si>
    <t xml:space="preserve">VULN-4627767</t>
  </si>
  <si>
    <t xml:space="preserve">VULN-1204762</t>
  </si>
  <si>
    <t xml:space="preserve">VULN-2988393</t>
  </si>
  <si>
    <t xml:space="preserve">VULN-1765160</t>
  </si>
  <si>
    <t xml:space="preserve">VULN-5768275</t>
  </si>
  <si>
    <t xml:space="preserve">MARKETINGSTACK-0434</t>
  </si>
  <si>
    <t xml:space="preserve">VULN-7025942</t>
  </si>
  <si>
    <t xml:space="preserve">VULN-5087449</t>
  </si>
  <si>
    <t xml:space="preserve">VULN-6712098</t>
  </si>
  <si>
    <t xml:space="preserve">VULN-1557971</t>
  </si>
  <si>
    <t xml:space="preserve">MARKETINGSTACK-0435</t>
  </si>
  <si>
    <t xml:space="preserve">VULN-1986329</t>
  </si>
  <si>
    <t xml:space="preserve">MARKETINGSTACK-0436</t>
  </si>
  <si>
    <t xml:space="preserve">VULN-7290929</t>
  </si>
  <si>
    <t xml:space="preserve">VULN-3636967</t>
  </si>
  <si>
    <t xml:space="preserve">VULN-6837445</t>
  </si>
  <si>
    <t xml:space="preserve">VULN-7562626</t>
  </si>
  <si>
    <t xml:space="preserve">VULN-5274350</t>
  </si>
  <si>
    <t xml:space="preserve">VULN-4133483</t>
  </si>
  <si>
    <t xml:space="preserve">VULN-1255573</t>
  </si>
  <si>
    <t xml:space="preserve">VULN-8075872</t>
  </si>
  <si>
    <t xml:space="preserve">VULN-7945843</t>
  </si>
  <si>
    <t xml:space="preserve">VULN-2957033</t>
  </si>
  <si>
    <t xml:space="preserve">VULN-1108971</t>
  </si>
  <si>
    <t xml:space="preserve">VULN-6612175</t>
  </si>
  <si>
    <t xml:space="preserve">MARKETINGSTACK-0437</t>
  </si>
  <si>
    <t xml:space="preserve">VULN-4006157</t>
  </si>
  <si>
    <t xml:space="preserve">VULN-3373393</t>
  </si>
  <si>
    <t xml:space="preserve">VULN-8774013</t>
  </si>
  <si>
    <t xml:space="preserve">VULN-3115310</t>
  </si>
  <si>
    <t xml:space="preserve">VULN-2921569</t>
  </si>
  <si>
    <t xml:space="preserve">VULN-3719631</t>
  </si>
  <si>
    <t xml:space="preserve">VULN-1102663</t>
  </si>
  <si>
    <t xml:space="preserve">VULN-3822741</t>
  </si>
  <si>
    <t xml:space="preserve">VULN-3867507</t>
  </si>
  <si>
    <t xml:space="preserve">VULN-9201256</t>
  </si>
  <si>
    <t xml:space="preserve">VULN-2584831</t>
  </si>
  <si>
    <t xml:space="preserve">VULN-8323766</t>
  </si>
  <si>
    <t xml:space="preserve">VULN-6250385</t>
  </si>
  <si>
    <t xml:space="preserve">VULN-8892760</t>
  </si>
  <si>
    <t xml:space="preserve">MARKETINGSTACK-0438</t>
  </si>
  <si>
    <t xml:space="preserve">VULN-9032095</t>
  </si>
  <si>
    <t xml:space="preserve">MARKETINGSTACK-0439</t>
  </si>
  <si>
    <t xml:space="preserve">VULN-9540685</t>
  </si>
  <si>
    <t xml:space="preserve">VULN-1896246</t>
  </si>
  <si>
    <t xml:space="preserve">VULN-3316968</t>
  </si>
  <si>
    <t xml:space="preserve">MARKETINGSTACK-0440</t>
  </si>
  <si>
    <t xml:space="preserve">VULN-5676558</t>
  </si>
  <si>
    <t xml:space="preserve">VULN-4547081</t>
  </si>
  <si>
    <t xml:space="preserve">VULN-9806371</t>
  </si>
  <si>
    <t xml:space="preserve">VULN-7038145</t>
  </si>
  <si>
    <t xml:space="preserve">MARKETINGSTACK-0441</t>
  </si>
  <si>
    <t xml:space="preserve">VULN-5647258</t>
  </si>
  <si>
    <t xml:space="preserve">MARKETINGSTACK-0442</t>
  </si>
  <si>
    <t xml:space="preserve">VULN-1048416</t>
  </si>
  <si>
    <t xml:space="preserve">VULN-4872334</t>
  </si>
  <si>
    <t xml:space="preserve">VULN-4762206</t>
  </si>
  <si>
    <t xml:space="preserve">VULN-1384496</t>
  </si>
  <si>
    <t xml:space="preserve">VULN-2504225</t>
  </si>
  <si>
    <t xml:space="preserve">VULN-2241975</t>
  </si>
  <si>
    <t xml:space="preserve">VULN-1685796</t>
  </si>
  <si>
    <t xml:space="preserve">VULN-9906787</t>
  </si>
  <si>
    <t xml:space="preserve">VULN-5628929</t>
  </si>
  <si>
    <t xml:space="preserve">VULN-7574689</t>
  </si>
  <si>
    <t xml:space="preserve">VULN-4406178</t>
  </si>
  <si>
    <t xml:space="preserve">VULN-7183652</t>
  </si>
  <si>
    <t xml:space="preserve">MARKETINGSTACK-0443</t>
  </si>
  <si>
    <t xml:space="preserve">VULN-7074204</t>
  </si>
  <si>
    <t xml:space="preserve">VULN-6041605</t>
  </si>
  <si>
    <t xml:space="preserve">VULN-4294158</t>
  </si>
  <si>
    <t xml:space="preserve">VULN-4163587</t>
  </si>
  <si>
    <t xml:space="preserve">MARKETINGSTACK-0444</t>
  </si>
  <si>
    <t xml:space="preserve">VULN-3305951</t>
  </si>
  <si>
    <t xml:space="preserve">VULN-6378128</t>
  </si>
  <si>
    <t xml:space="preserve">VULN-2701408</t>
  </si>
  <si>
    <t xml:space="preserve">VULN-1659190</t>
  </si>
  <si>
    <t xml:space="preserve">VULN-2645611</t>
  </si>
  <si>
    <t xml:space="preserve">VULN-6219977</t>
  </si>
  <si>
    <t xml:space="preserve">VULN-7379809</t>
  </si>
  <si>
    <t xml:space="preserve">VULN-5726703</t>
  </si>
  <si>
    <t xml:space="preserve">VULN-4131618</t>
  </si>
  <si>
    <t xml:space="preserve">VULN-7118155</t>
  </si>
  <si>
    <t xml:space="preserve">MARKETINGSTACK-0445</t>
  </si>
  <si>
    <t xml:space="preserve">VULN-7549897</t>
  </si>
  <si>
    <t xml:space="preserve">VULN-9378197</t>
  </si>
  <si>
    <t xml:space="preserve">VULN-7733982</t>
  </si>
  <si>
    <t xml:space="preserve">VULN-6628815</t>
  </si>
  <si>
    <t xml:space="preserve">VULN-5544184</t>
  </si>
  <si>
    <t xml:space="preserve">VULN-9435412</t>
  </si>
  <si>
    <t xml:space="preserve">VULN-2066731</t>
  </si>
  <si>
    <t xml:space="preserve">VULN-7206548</t>
  </si>
  <si>
    <t xml:space="preserve">VULN-6570713</t>
  </si>
  <si>
    <t xml:space="preserve">VULN-3392353</t>
  </si>
  <si>
    <t xml:space="preserve">VULN-7227966</t>
  </si>
  <si>
    <t xml:space="preserve">VULN-4048820</t>
  </si>
  <si>
    <t xml:space="preserve">VULN-5018631</t>
  </si>
  <si>
    <t xml:space="preserve">VULN-2990842</t>
  </si>
  <si>
    <t xml:space="preserve">MARKETINGSTACK-0446</t>
  </si>
  <si>
    <t xml:space="preserve">VULN-8596810</t>
  </si>
  <si>
    <t xml:space="preserve">VULN-1303197</t>
  </si>
  <si>
    <t xml:space="preserve">VULN-3046517</t>
  </si>
  <si>
    <t xml:space="preserve">VULN-6977182</t>
  </si>
  <si>
    <t xml:space="preserve">VULN-2549847</t>
  </si>
  <si>
    <t xml:space="preserve">VULN-7085903</t>
  </si>
  <si>
    <t xml:space="preserve">VULN-3956450</t>
  </si>
  <si>
    <t xml:space="preserve">VULN-9480646</t>
  </si>
  <si>
    <t xml:space="preserve">VULN-1815530</t>
  </si>
  <si>
    <t xml:space="preserve">VULN-3744763</t>
  </si>
  <si>
    <t xml:space="preserve">VULN-7894129</t>
  </si>
  <si>
    <t xml:space="preserve">MARKETINGSTACK-0447</t>
  </si>
  <si>
    <t xml:space="preserve">VULN-1782511</t>
  </si>
  <si>
    <t xml:space="preserve">VULN-8370707</t>
  </si>
  <si>
    <t xml:space="preserve">VULN-7165419</t>
  </si>
  <si>
    <t xml:space="preserve">VULN-1765549</t>
  </si>
  <si>
    <t xml:space="preserve">VULN-3147879</t>
  </si>
  <si>
    <t xml:space="preserve">VULN-4269335</t>
  </si>
  <si>
    <t xml:space="preserve">VULN-3070608</t>
  </si>
  <si>
    <t xml:space="preserve">VULN-9876600</t>
  </si>
  <si>
    <t xml:space="preserve">MARKETINGSTACK-0448</t>
  </si>
  <si>
    <t xml:space="preserve">VULN-7555955</t>
  </si>
  <si>
    <t xml:space="preserve">VULN-1449444</t>
  </si>
  <si>
    <t xml:space="preserve">MARKETINGSTACK-0449</t>
  </si>
  <si>
    <t xml:space="preserve">VULN-4577047</t>
  </si>
  <si>
    <t xml:space="preserve">VULN-4805734</t>
  </si>
  <si>
    <t xml:space="preserve">VULN-3924375</t>
  </si>
  <si>
    <t xml:space="preserve">VULN-4725540</t>
  </si>
  <si>
    <t xml:space="preserve">MARKETINGSTACK-0450</t>
  </si>
  <si>
    <t xml:space="preserve">VULN-9483674</t>
  </si>
  <si>
    <t xml:space="preserve">VULN-4353820</t>
  </si>
  <si>
    <t xml:space="preserve">VULN-3091804</t>
  </si>
  <si>
    <t xml:space="preserve">VULN-4728927</t>
  </si>
  <si>
    <t xml:space="preserve">VULN-4068301</t>
  </si>
  <si>
    <t xml:space="preserve">VULN-9271085</t>
  </si>
  <si>
    <t xml:space="preserve">VULN-5397952</t>
  </si>
  <si>
    <t xml:space="preserve">VULN-7753453</t>
  </si>
  <si>
    <t xml:space="preserve">VULN-5406629</t>
  </si>
  <si>
    <t xml:space="preserve">MARKETINGSTACK-0451</t>
  </si>
  <si>
    <t xml:space="preserve">VULN-5899566</t>
  </si>
  <si>
    <t xml:space="preserve">VULN-6806697</t>
  </si>
  <si>
    <t xml:space="preserve">VULN-3588439</t>
  </si>
  <si>
    <t xml:space="preserve">MARKETINGSTACK-0452</t>
  </si>
  <si>
    <t xml:space="preserve">VULN-6662878</t>
  </si>
  <si>
    <t xml:space="preserve">MARKETINGSTACK-0453</t>
  </si>
  <si>
    <t xml:space="preserve">VULN-3047234</t>
  </si>
  <si>
    <t xml:space="preserve">VULN-2203548</t>
  </si>
  <si>
    <t xml:space="preserve">VULN-3927872</t>
  </si>
  <si>
    <t xml:space="preserve">VULN-9534871</t>
  </si>
  <si>
    <t xml:space="preserve">VULN-4845985</t>
  </si>
  <si>
    <t xml:space="preserve">VULN-7477956</t>
  </si>
  <si>
    <t xml:space="preserve">VULN-5218246</t>
  </si>
  <si>
    <t xml:space="preserve">VULN-2128985</t>
  </si>
  <si>
    <t xml:space="preserve">VULN-5490726</t>
  </si>
  <si>
    <t xml:space="preserve">VULN-5557013</t>
  </si>
  <si>
    <t xml:space="preserve">VULN-7307818</t>
  </si>
  <si>
    <t xml:space="preserve">VULN-8564163</t>
  </si>
  <si>
    <t xml:space="preserve">VULN-3299952</t>
  </si>
  <si>
    <t xml:space="preserve">MOBILEBACKEND-0278</t>
  </si>
  <si>
    <t xml:space="preserve">Mobile-Backend</t>
  </si>
  <si>
    <t xml:space="preserve">VULN-1164772</t>
  </si>
  <si>
    <t xml:space="preserve">VULN-6231815</t>
  </si>
  <si>
    <t xml:space="preserve">VULN-8693923</t>
  </si>
  <si>
    <t xml:space="preserve">VULN-4792145</t>
  </si>
  <si>
    <t xml:space="preserve">VULN-4231974</t>
  </si>
  <si>
    <t xml:space="preserve">VULN-8149873</t>
  </si>
  <si>
    <t xml:space="preserve">VULN-4398864</t>
  </si>
  <si>
    <t xml:space="preserve">VULN-2727655</t>
  </si>
  <si>
    <t xml:space="preserve">VULN-2716680</t>
  </si>
  <si>
    <t xml:space="preserve">VULN-7424776</t>
  </si>
  <si>
    <t xml:space="preserve">MOBILEBACKEND-0279</t>
  </si>
  <si>
    <t xml:space="preserve">VULN-1004141</t>
  </si>
  <si>
    <t xml:space="preserve">VULN-3298057</t>
  </si>
  <si>
    <t xml:space="preserve">VULN-8137123</t>
  </si>
  <si>
    <t xml:space="preserve">MOBILEBACKEND-0280</t>
  </si>
  <si>
    <t xml:space="preserve">VULN-5659649</t>
  </si>
  <si>
    <t xml:space="preserve">VULN-8409604</t>
  </si>
  <si>
    <t xml:space="preserve">VULN-5203347</t>
  </si>
  <si>
    <t xml:space="preserve">VULN-6841499</t>
  </si>
  <si>
    <t xml:space="preserve">VULN-8114847</t>
  </si>
  <si>
    <t xml:space="preserve">VULN-4204180</t>
  </si>
  <si>
    <t xml:space="preserve">VULN-1179053</t>
  </si>
  <si>
    <t xml:space="preserve">VULN-2578878</t>
  </si>
  <si>
    <t xml:space="preserve">VULN-9435472</t>
  </si>
  <si>
    <t xml:space="preserve">MOBILEBACKEND-0281</t>
  </si>
  <si>
    <t xml:space="preserve">VULN-8898869</t>
  </si>
  <si>
    <t xml:space="preserve">VULN-2742939</t>
  </si>
  <si>
    <t xml:space="preserve">VULN-3968018</t>
  </si>
  <si>
    <t xml:space="preserve">VULN-3003648</t>
  </si>
  <si>
    <t xml:space="preserve">VULN-5655311</t>
  </si>
  <si>
    <t xml:space="preserve">VULN-1279750</t>
  </si>
  <si>
    <t xml:space="preserve">VULN-6309658</t>
  </si>
  <si>
    <t xml:space="preserve">VULN-7144765</t>
  </si>
  <si>
    <t xml:space="preserve">MOBILEBACKEND-0282</t>
  </si>
  <si>
    <t xml:space="preserve">VULN-5622550</t>
  </si>
  <si>
    <t xml:space="preserve">VULN-7866101</t>
  </si>
  <si>
    <t xml:space="preserve">VULN-1054096</t>
  </si>
  <si>
    <t xml:space="preserve">VULN-2444438</t>
  </si>
  <si>
    <t xml:space="preserve">MOBILEBACKEND-0283</t>
  </si>
  <si>
    <t xml:space="preserve">VULN-5139478</t>
  </si>
  <si>
    <t xml:space="preserve">VULN-4205892</t>
  </si>
  <si>
    <t xml:space="preserve">VULN-5816345</t>
  </si>
  <si>
    <t xml:space="preserve">VULN-5576814</t>
  </si>
  <si>
    <t xml:space="preserve">VULN-8375236</t>
  </si>
  <si>
    <t xml:space="preserve">VULN-9775200</t>
  </si>
  <si>
    <t xml:space="preserve">VULN-3860089</t>
  </si>
  <si>
    <t xml:space="preserve">VULN-7470648</t>
  </si>
  <si>
    <t xml:space="preserve">VULN-8278852</t>
  </si>
  <si>
    <t xml:space="preserve">VULN-5843397</t>
  </si>
  <si>
    <t xml:space="preserve">VULN-5512234</t>
  </si>
  <si>
    <t xml:space="preserve">VULN-4661709</t>
  </si>
  <si>
    <t xml:space="preserve">MOBILEBACKEND-0284</t>
  </si>
  <si>
    <t xml:space="preserve">VULN-1132511</t>
  </si>
  <si>
    <t xml:space="preserve">VULN-7006319</t>
  </si>
  <si>
    <t xml:space="preserve">VULN-1364903</t>
  </si>
  <si>
    <t xml:space="preserve">VULN-8657887</t>
  </si>
  <si>
    <t xml:space="preserve">VULN-8945220</t>
  </si>
  <si>
    <t xml:space="preserve">VULN-6036072</t>
  </si>
  <si>
    <t xml:space="preserve">VULN-4930952</t>
  </si>
  <si>
    <t xml:space="preserve">VULN-5519127</t>
  </si>
  <si>
    <t xml:space="preserve">VULN-3751899</t>
  </si>
  <si>
    <t xml:space="preserve">VULN-9792694</t>
  </si>
  <si>
    <t xml:space="preserve">MOBILEBACKEND-0285</t>
  </si>
  <si>
    <t xml:space="preserve">VULN-3373320</t>
  </si>
  <si>
    <t xml:space="preserve">MOBILEBACKEND-0286</t>
  </si>
  <si>
    <t xml:space="preserve">VULN-4411176</t>
  </si>
  <si>
    <t xml:space="preserve">VULN-8898724</t>
  </si>
  <si>
    <t xml:space="preserve">MOBILEBACKEND-0287</t>
  </si>
  <si>
    <t xml:space="preserve">VULN-5751216</t>
  </si>
  <si>
    <t xml:space="preserve">VULN-9960965</t>
  </si>
  <si>
    <t xml:space="preserve">VULN-3989029</t>
  </si>
  <si>
    <t xml:space="preserve">VULN-1026701</t>
  </si>
  <si>
    <t xml:space="preserve">VULN-4859992</t>
  </si>
  <si>
    <t xml:space="preserve">VULN-7443567</t>
  </si>
  <si>
    <t xml:space="preserve">VULN-7489687</t>
  </si>
  <si>
    <t xml:space="preserve">VULN-9679668</t>
  </si>
  <si>
    <t xml:space="preserve">MOBILEBACKEND-0288</t>
  </si>
  <si>
    <t xml:space="preserve">VULN-6082733</t>
  </si>
  <si>
    <t xml:space="preserve">VULN-8554276</t>
  </si>
  <si>
    <t xml:space="preserve">VULN-7121365</t>
  </si>
  <si>
    <t xml:space="preserve">VULN-8114632</t>
  </si>
  <si>
    <t xml:space="preserve">VULN-2342330</t>
  </si>
  <si>
    <t xml:space="preserve">VULN-5325779</t>
  </si>
  <si>
    <t xml:space="preserve">VULN-8797432</t>
  </si>
  <si>
    <t xml:space="preserve">VULN-8721725</t>
  </si>
  <si>
    <t xml:space="preserve">VULN-5968479</t>
  </si>
  <si>
    <t xml:space="preserve">VULN-6987542</t>
  </si>
  <si>
    <t xml:space="preserve">VULN-6993567</t>
  </si>
  <si>
    <t xml:space="preserve">VULN-3939932</t>
  </si>
  <si>
    <t xml:space="preserve">VULN-5608638</t>
  </si>
  <si>
    <t xml:space="preserve">VULN-5095330</t>
  </si>
  <si>
    <t xml:space="preserve">MOBILEBACKEND-0289</t>
  </si>
  <si>
    <t xml:space="preserve">VULN-6666886</t>
  </si>
  <si>
    <t xml:space="preserve">VULN-2330152</t>
  </si>
  <si>
    <t xml:space="preserve">VULN-4215246</t>
  </si>
  <si>
    <t xml:space="preserve">VULN-9624152</t>
  </si>
  <si>
    <t xml:space="preserve">VULN-5089486</t>
  </si>
  <si>
    <t xml:space="preserve">VULN-8330731</t>
  </si>
  <si>
    <t xml:space="preserve">MOBILEBACKEND-0290</t>
  </si>
  <si>
    <t xml:space="preserve">VULN-6337828</t>
  </si>
  <si>
    <t xml:space="preserve">VULN-6446032</t>
  </si>
  <si>
    <t xml:space="preserve">VULN-8059261</t>
  </si>
  <si>
    <t xml:space="preserve">VULN-1210843</t>
  </si>
  <si>
    <t xml:space="preserve">VULN-9371405</t>
  </si>
  <si>
    <t xml:space="preserve">VULN-7544141</t>
  </si>
  <si>
    <t xml:space="preserve">VULN-9162761</t>
  </si>
  <si>
    <t xml:space="preserve">MOBILEBACKEND-0291</t>
  </si>
  <si>
    <t xml:space="preserve">VULN-3797337</t>
  </si>
  <si>
    <t xml:space="preserve">VULN-1392726</t>
  </si>
  <si>
    <t xml:space="preserve">VULN-3209515</t>
  </si>
  <si>
    <t xml:space="preserve">VULN-3071885</t>
  </si>
  <si>
    <t xml:space="preserve">VULN-2856109</t>
  </si>
  <si>
    <t xml:space="preserve">MOBILEBACKEND-0292</t>
  </si>
  <si>
    <t xml:space="preserve">VULN-8540619</t>
  </si>
  <si>
    <t xml:space="preserve">VULN-3980080</t>
  </si>
  <si>
    <t xml:space="preserve">VULN-6604510</t>
  </si>
  <si>
    <t xml:space="preserve">VULN-2649587</t>
  </si>
  <si>
    <t xml:space="preserve">VULN-8014552</t>
  </si>
  <si>
    <t xml:space="preserve">VULN-9445000</t>
  </si>
  <si>
    <t xml:space="preserve">VULN-7858110</t>
  </si>
  <si>
    <t xml:space="preserve">VULN-8917395</t>
  </si>
  <si>
    <t xml:space="preserve">VULN-1381170</t>
  </si>
  <si>
    <t xml:space="preserve">VULN-7191871</t>
  </si>
  <si>
    <t xml:space="preserve">VULN-4351841</t>
  </si>
  <si>
    <t xml:space="preserve">VULN-8703978</t>
  </si>
  <si>
    <t xml:space="preserve">VULN-8443265</t>
  </si>
  <si>
    <t xml:space="preserve">MOBILEBACKEND-0293</t>
  </si>
  <si>
    <t xml:space="preserve">VULN-7817366</t>
  </si>
  <si>
    <t xml:space="preserve">VULN-7464522</t>
  </si>
  <si>
    <t xml:space="preserve">VULN-5362566</t>
  </si>
  <si>
    <t xml:space="preserve">MOBILEBACKEND-0294</t>
  </si>
  <si>
    <t xml:space="preserve">VULN-3081328</t>
  </si>
  <si>
    <t xml:space="preserve">VULN-2875419</t>
  </si>
  <si>
    <t xml:space="preserve">VULN-9096533</t>
  </si>
  <si>
    <t xml:space="preserve">VULN-2242680</t>
  </si>
  <si>
    <t xml:space="preserve">VULN-9247292</t>
  </si>
  <si>
    <t xml:space="preserve">VULN-6745238</t>
  </si>
  <si>
    <t xml:space="preserve">VULN-6547574</t>
  </si>
  <si>
    <t xml:space="preserve">VULN-5618750</t>
  </si>
  <si>
    <t xml:space="preserve">MOBILEBACKEND-0295</t>
  </si>
  <si>
    <t xml:space="preserve">VULN-3591094</t>
  </si>
  <si>
    <t xml:space="preserve">VULN-7446253</t>
  </si>
  <si>
    <t xml:space="preserve">VULN-1469840</t>
  </si>
  <si>
    <t xml:space="preserve">VULN-3489124</t>
  </si>
  <si>
    <t xml:space="preserve">VULN-7808943</t>
  </si>
  <si>
    <t xml:space="preserve">VULN-3859007</t>
  </si>
  <si>
    <t xml:space="preserve">MOBILEBACKEND-0296</t>
  </si>
  <si>
    <t xml:space="preserve">VULN-1238783</t>
  </si>
  <si>
    <t xml:space="preserve">VULN-3006411</t>
  </si>
  <si>
    <t xml:space="preserve">VULN-1204695</t>
  </si>
  <si>
    <t xml:space="preserve">VULN-4397889</t>
  </si>
  <si>
    <t xml:space="preserve">VULN-7685573</t>
  </si>
  <si>
    <t xml:space="preserve">VULN-9513036</t>
  </si>
  <si>
    <t xml:space="preserve">MOBILEBACKEND-0297</t>
  </si>
  <si>
    <t xml:space="preserve">VULN-8651518</t>
  </si>
  <si>
    <t xml:space="preserve">VULN-4187908</t>
  </si>
  <si>
    <t xml:space="preserve">VULN-3223802</t>
  </si>
  <si>
    <t xml:space="preserve">VULN-5092644</t>
  </si>
  <si>
    <t xml:space="preserve">VULN-2225651</t>
  </si>
  <si>
    <t xml:space="preserve">VULN-8986555</t>
  </si>
  <si>
    <t xml:space="preserve">VULN-1161102</t>
  </si>
  <si>
    <t xml:space="preserve">VULN-2871060</t>
  </si>
  <si>
    <t xml:space="preserve">VULN-4268180</t>
  </si>
  <si>
    <t xml:space="preserve">VULN-5223626</t>
  </si>
  <si>
    <t xml:space="preserve">MOBILEBACKEND-0298</t>
  </si>
  <si>
    <t xml:space="preserve">VULN-9439984</t>
  </si>
  <si>
    <t xml:space="preserve">VULN-2870157</t>
  </si>
  <si>
    <t xml:space="preserve">VULN-9548795</t>
  </si>
  <si>
    <t xml:space="preserve">VULN-2586587</t>
  </si>
  <si>
    <t xml:space="preserve">VULN-4064453</t>
  </si>
  <si>
    <t xml:space="preserve">VULN-4889005</t>
  </si>
  <si>
    <t xml:space="preserve">VULN-6034195</t>
  </si>
  <si>
    <t xml:space="preserve">VULN-3623750</t>
  </si>
  <si>
    <t xml:space="preserve">VULN-3881944</t>
  </si>
  <si>
    <t xml:space="preserve">MOBILEBACKEND-0299</t>
  </si>
  <si>
    <t xml:space="preserve">VULN-6167665</t>
  </si>
  <si>
    <t xml:space="preserve">VULN-1095169</t>
  </si>
  <si>
    <t xml:space="preserve">VULN-8665337</t>
  </si>
  <si>
    <t xml:space="preserve">VULN-4499878</t>
  </si>
  <si>
    <t xml:space="preserve">VULN-6464089</t>
  </si>
  <si>
    <t xml:space="preserve">VULN-4606763</t>
  </si>
  <si>
    <t xml:space="preserve">VULN-9047740</t>
  </si>
  <si>
    <t xml:space="preserve">VULN-1771751</t>
  </si>
  <si>
    <t xml:space="preserve">VULN-9171197</t>
  </si>
  <si>
    <t xml:space="preserve">VULN-7291774</t>
  </si>
  <si>
    <t xml:space="preserve">MOBILEBACKEND-0300</t>
  </si>
  <si>
    <t xml:space="preserve">VULN-3523621</t>
  </si>
  <si>
    <t xml:space="preserve">VULN-8352802</t>
  </si>
  <si>
    <t xml:space="preserve">VULN-5889205</t>
  </si>
  <si>
    <t xml:space="preserve">VULN-6267395</t>
  </si>
  <si>
    <t xml:space="preserve">VULN-8479960</t>
  </si>
  <si>
    <t xml:space="preserve">MOBILEBACKEND-0301</t>
  </si>
  <si>
    <t xml:space="preserve">VULN-1805827</t>
  </si>
  <si>
    <t xml:space="preserve">VULN-7265860</t>
  </si>
  <si>
    <t xml:space="preserve">VULN-6487324</t>
  </si>
  <si>
    <t xml:space="preserve">VULN-2125910</t>
  </si>
  <si>
    <t xml:space="preserve">VULN-9615106</t>
  </si>
  <si>
    <t xml:space="preserve">VULN-4202560</t>
  </si>
  <si>
    <t xml:space="preserve">MOBILEBACKEND-0302</t>
  </si>
  <si>
    <t xml:space="preserve">VULN-4778731</t>
  </si>
  <si>
    <t xml:space="preserve">VULN-4739473</t>
  </si>
  <si>
    <t xml:space="preserve">VULN-6949960</t>
  </si>
  <si>
    <t xml:space="preserve">VULN-6175463</t>
  </si>
  <si>
    <t xml:space="preserve">VULN-3136134</t>
  </si>
  <si>
    <t xml:space="preserve">VULN-6290464</t>
  </si>
  <si>
    <t xml:space="preserve">VULN-4383988</t>
  </si>
  <si>
    <t xml:space="preserve">VULN-6961695</t>
  </si>
  <si>
    <t xml:space="preserve">VULN-8375951</t>
  </si>
  <si>
    <t xml:space="preserve">VULN-7293367</t>
  </si>
  <si>
    <t xml:space="preserve">VULN-8496267</t>
  </si>
  <si>
    <t xml:space="preserve">VULN-7383812</t>
  </si>
  <si>
    <t xml:space="preserve">MOBILEBACKEND-0303</t>
  </si>
  <si>
    <t xml:space="preserve">VULN-7375830</t>
  </si>
  <si>
    <t xml:space="preserve">VULN-6950561</t>
  </si>
  <si>
    <t xml:space="preserve">VULN-2095646</t>
  </si>
  <si>
    <t xml:space="preserve">VULN-6044815</t>
  </si>
  <si>
    <t xml:space="preserve">VULN-2416860</t>
  </si>
  <si>
    <t xml:space="preserve">VULN-1265919</t>
  </si>
  <si>
    <t xml:space="preserve">VULN-6423586</t>
  </si>
  <si>
    <t xml:space="preserve">VULN-3613190</t>
  </si>
  <si>
    <t xml:space="preserve">VULN-1654157</t>
  </si>
  <si>
    <t xml:space="preserve">VULN-4520289</t>
  </si>
  <si>
    <t xml:space="preserve">VULN-3642121</t>
  </si>
  <si>
    <t xml:space="preserve">VULN-4046988</t>
  </si>
  <si>
    <t xml:space="preserve">VULN-2835286</t>
  </si>
  <si>
    <t xml:space="preserve">MOBILEBACKEND-0304</t>
  </si>
  <si>
    <t xml:space="preserve">VULN-1574162</t>
  </si>
  <si>
    <t xml:space="preserve">VULN-1780131</t>
  </si>
  <si>
    <t xml:space="preserve">VULN-1250625</t>
  </si>
  <si>
    <t xml:space="preserve">VULN-2545582</t>
  </si>
  <si>
    <t xml:space="preserve">VULN-2885936</t>
  </si>
  <si>
    <t xml:space="preserve">VULN-8388951</t>
  </si>
  <si>
    <t xml:space="preserve">MOBILEBACKEND-0305</t>
  </si>
  <si>
    <t xml:space="preserve">VULN-4679430</t>
  </si>
  <si>
    <t xml:space="preserve">VULN-4784131</t>
  </si>
  <si>
    <t xml:space="preserve">VULN-7775286</t>
  </si>
  <si>
    <t xml:space="preserve">VULN-2765436</t>
  </si>
  <si>
    <t xml:space="preserve">VULN-8753576</t>
  </si>
  <si>
    <t xml:space="preserve">PAYMENTSDEV-0039</t>
  </si>
  <si>
    <t xml:space="preserve">Payments-Dev</t>
  </si>
  <si>
    <t xml:space="preserve">VULN-1543335</t>
  </si>
  <si>
    <t xml:space="preserve">VULN-7223751</t>
  </si>
  <si>
    <t xml:space="preserve">VULN-3310140</t>
  </si>
  <si>
    <t xml:space="preserve">VULN-1434753</t>
  </si>
  <si>
    <t xml:space="preserve">VULN-2975701</t>
  </si>
  <si>
    <t xml:space="preserve">VULN-8487220</t>
  </si>
  <si>
    <t xml:space="preserve">VULN-5791184</t>
  </si>
  <si>
    <t xml:space="preserve">VULN-8467726</t>
  </si>
  <si>
    <t xml:space="preserve">VULN-6361793</t>
  </si>
  <si>
    <t xml:space="preserve">PAYMENTSDEV-0040</t>
  </si>
  <si>
    <t xml:space="preserve">VULN-9535505</t>
  </si>
  <si>
    <t xml:space="preserve">VULN-3329967</t>
  </si>
  <si>
    <t xml:space="preserve">VULN-1440972</t>
  </si>
  <si>
    <t xml:space="preserve">PAYMENTSDEV-0041</t>
  </si>
  <si>
    <t xml:space="preserve">VULN-9030667</t>
  </si>
  <si>
    <t xml:space="preserve">VULN-6318841</t>
  </si>
  <si>
    <t xml:space="preserve">PAYMENTSDEV-0042</t>
  </si>
  <si>
    <t xml:space="preserve">VULN-4782763</t>
  </si>
  <si>
    <t xml:space="preserve">VULN-9705660</t>
  </si>
  <si>
    <t xml:space="preserve">VULN-5204459</t>
  </si>
  <si>
    <t xml:space="preserve">VULN-5604524</t>
  </si>
  <si>
    <t xml:space="preserve">VULN-9950276</t>
  </si>
  <si>
    <t xml:space="preserve">VULN-6664316</t>
  </si>
  <si>
    <t xml:space="preserve">VULN-2362693</t>
  </si>
  <si>
    <t xml:space="preserve">VULN-5440189</t>
  </si>
  <si>
    <t xml:space="preserve">VULN-7989166</t>
  </si>
  <si>
    <t xml:space="preserve">VULN-9102469</t>
  </si>
  <si>
    <t xml:space="preserve">VULN-7813102</t>
  </si>
  <si>
    <t xml:space="preserve">VULN-3652149</t>
  </si>
  <si>
    <t xml:space="preserve">VULN-6357240</t>
  </si>
  <si>
    <t xml:space="preserve">VULN-3193891</t>
  </si>
  <si>
    <t xml:space="preserve">PAYMENTSDEV-0043</t>
  </si>
  <si>
    <t xml:space="preserve">VULN-7444964</t>
  </si>
  <si>
    <t xml:space="preserve">VULN-6246485</t>
  </si>
  <si>
    <t xml:space="preserve">PAYMENTSDEV-0044</t>
  </si>
  <si>
    <t xml:space="preserve">VULN-4609524</t>
  </si>
  <si>
    <t xml:space="preserve">VULN-8895137</t>
  </si>
  <si>
    <t xml:space="preserve">VULN-7136730</t>
  </si>
  <si>
    <t xml:space="preserve">VULN-4265774</t>
  </si>
  <si>
    <t xml:space="preserve">VULN-5692934</t>
  </si>
  <si>
    <t xml:space="preserve">PAYMENTSDEV-0045</t>
  </si>
  <si>
    <t xml:space="preserve">VULN-7734157</t>
  </si>
  <si>
    <t xml:space="preserve">VULN-6587495</t>
  </si>
  <si>
    <t xml:space="preserve">VULN-6344047</t>
  </si>
  <si>
    <t xml:space="preserve">VULN-6020319</t>
  </si>
  <si>
    <t xml:space="preserve">VULN-8967375</t>
  </si>
  <si>
    <t xml:space="preserve">VULN-7988386</t>
  </si>
  <si>
    <t xml:space="preserve">PAYMENTSDEV-0046</t>
  </si>
  <si>
    <t xml:space="preserve">VULN-3479264</t>
  </si>
  <si>
    <t xml:space="preserve">PAYMENTSDEV-0047</t>
  </si>
  <si>
    <t xml:space="preserve">VULN-4420734</t>
  </si>
  <si>
    <t xml:space="preserve">PAYMENTSDEV-0048</t>
  </si>
  <si>
    <t xml:space="preserve">VULN-6943949</t>
  </si>
  <si>
    <t xml:space="preserve">VULN-4225657</t>
  </si>
  <si>
    <t xml:space="preserve">VULN-5993143</t>
  </si>
  <si>
    <t xml:space="preserve">VULN-9204110</t>
  </si>
  <si>
    <t xml:space="preserve">PAYMENTSDEV-0049</t>
  </si>
  <si>
    <t xml:space="preserve">VULN-3457461</t>
  </si>
  <si>
    <t xml:space="preserve">VULN-2325893</t>
  </si>
  <si>
    <t xml:space="preserve">PAYMENTSDEV-0050</t>
  </si>
  <si>
    <t xml:space="preserve">VULN-2681042</t>
  </si>
  <si>
    <t xml:space="preserve">VULN-3306314</t>
  </si>
  <si>
    <t xml:space="preserve">VULN-3649811</t>
  </si>
  <si>
    <t xml:space="preserve">VULN-8980915</t>
  </si>
  <si>
    <t xml:space="preserve">VULN-5819172</t>
  </si>
  <si>
    <t xml:space="preserve">VULN-4896008</t>
  </si>
  <si>
    <t xml:space="preserve">VULN-1625760</t>
  </si>
  <si>
    <t xml:space="preserve">VULN-1609681</t>
  </si>
  <si>
    <t xml:space="preserve">VULN-4125790</t>
  </si>
  <si>
    <t xml:space="preserve">PAYMENTSDEV-0051</t>
  </si>
  <si>
    <t xml:space="preserve">VULN-8852085</t>
  </si>
  <si>
    <t xml:space="preserve">VULN-5316188</t>
  </si>
  <si>
    <t xml:space="preserve">VULN-5949685</t>
  </si>
  <si>
    <t xml:space="preserve">VULN-4240708</t>
  </si>
  <si>
    <t xml:space="preserve">VULN-7802999</t>
  </si>
  <si>
    <t xml:space="preserve">VULN-3359075</t>
  </si>
  <si>
    <t xml:space="preserve">PAYMENTSDEV-0052</t>
  </si>
  <si>
    <t xml:space="preserve">VULN-9430894</t>
  </si>
  <si>
    <t xml:space="preserve">VULN-5949909</t>
  </si>
  <si>
    <t xml:space="preserve">VULN-4676367</t>
  </si>
  <si>
    <t xml:space="preserve">VULN-8899184</t>
  </si>
  <si>
    <t xml:space="preserve">VULN-4664338</t>
  </si>
  <si>
    <t xml:space="preserve">VULN-2373555</t>
  </si>
  <si>
    <t xml:space="preserve">VULN-2310346</t>
  </si>
  <si>
    <t xml:space="preserve">VULN-3514105</t>
  </si>
  <si>
    <t xml:space="preserve">VULN-2950183</t>
  </si>
  <si>
    <t xml:space="preserve">VULN-9201172</t>
  </si>
  <si>
    <t xml:space="preserve">VULN-8473959</t>
  </si>
  <si>
    <t xml:space="preserve">VULN-8757420</t>
  </si>
  <si>
    <t xml:space="preserve">VULN-7642917</t>
  </si>
  <si>
    <t xml:space="preserve">PAYMENTSDEV-0053</t>
  </si>
  <si>
    <t xml:space="preserve">VULN-7333337</t>
  </si>
  <si>
    <t xml:space="preserve">VULN-6834610</t>
  </si>
  <si>
    <t xml:space="preserve">VULN-9872505</t>
  </si>
  <si>
    <t xml:space="preserve">VULN-4736121</t>
  </si>
  <si>
    <t xml:space="preserve">VULN-6005700</t>
  </si>
  <si>
    <t xml:space="preserve">VULN-8115687</t>
  </si>
  <si>
    <t xml:space="preserve">VULN-4162177</t>
  </si>
  <si>
    <t xml:space="preserve">VULN-1262492</t>
  </si>
  <si>
    <t xml:space="preserve">VULN-1816653</t>
  </si>
  <si>
    <t xml:space="preserve">VULN-7748892</t>
  </si>
  <si>
    <t xml:space="preserve">VULN-1946973</t>
  </si>
  <si>
    <t xml:space="preserve">VULN-6350316</t>
  </si>
  <si>
    <t xml:space="preserve">PAYMENTSDEV-0054</t>
  </si>
  <si>
    <t xml:space="preserve">VULN-7394713</t>
  </si>
  <si>
    <t xml:space="preserve">VULN-8944327</t>
  </si>
  <si>
    <t xml:space="preserve">VULN-6045519</t>
  </si>
  <si>
    <t xml:space="preserve">VULN-1966769</t>
  </si>
  <si>
    <t xml:space="preserve">VULN-9891787</t>
  </si>
  <si>
    <t xml:space="preserve">VULN-8546170</t>
  </si>
  <si>
    <t xml:space="preserve">VULN-4195751</t>
  </si>
  <si>
    <t xml:space="preserve">VULN-4156856</t>
  </si>
  <si>
    <t xml:space="preserve">VULN-6586214</t>
  </si>
  <si>
    <t xml:space="preserve">VULN-1257256</t>
  </si>
  <si>
    <t xml:space="preserve">VULN-2968239</t>
  </si>
  <si>
    <t xml:space="preserve">PAYMENTSDEV-0055</t>
  </si>
  <si>
    <t xml:space="preserve">VULN-8876742</t>
  </si>
  <si>
    <t xml:space="preserve">VULN-7219396</t>
  </si>
  <si>
    <t xml:space="preserve">VULN-4712363</t>
  </si>
  <si>
    <t xml:space="preserve">VULN-5952504</t>
  </si>
  <si>
    <t xml:space="preserve">VULN-5122665</t>
  </si>
  <si>
    <t xml:space="preserve">VULN-9197701</t>
  </si>
  <si>
    <t xml:space="preserve">PAYMENTSDEV-0056</t>
  </si>
  <si>
    <t xml:space="preserve">VULN-1985360</t>
  </si>
  <si>
    <t xml:space="preserve">VULN-1813936</t>
  </si>
  <si>
    <t xml:space="preserve">VULN-1153368</t>
  </si>
  <si>
    <t xml:space="preserve">PAYMENTSDEV-0057</t>
  </si>
  <si>
    <t xml:space="preserve">VULN-9425786</t>
  </si>
  <si>
    <t xml:space="preserve">VULN-4007598</t>
  </si>
  <si>
    <t xml:space="preserve">VULN-9797727</t>
  </si>
  <si>
    <t xml:space="preserve">VULN-7658817</t>
  </si>
  <si>
    <t xml:space="preserve">VULN-5080351</t>
  </si>
  <si>
    <t xml:space="preserve">VULN-1531577</t>
  </si>
  <si>
    <t xml:space="preserve">VULN-8986040</t>
  </si>
  <si>
    <t xml:space="preserve">VULN-3875339</t>
  </si>
  <si>
    <t xml:space="preserve">PAYMENTSDEV-0058</t>
  </si>
  <si>
    <t xml:space="preserve">VULN-5703878</t>
  </si>
  <si>
    <t xml:space="preserve">VULN-4475536</t>
  </si>
  <si>
    <t xml:space="preserve">VULN-7682298</t>
  </si>
  <si>
    <t xml:space="preserve">VULN-7528964</t>
  </si>
  <si>
    <t xml:space="preserve">VULN-2315798</t>
  </si>
  <si>
    <t xml:space="preserve">VULN-6802559</t>
  </si>
  <si>
    <t xml:space="preserve">VULN-2275374</t>
  </si>
  <si>
    <t xml:space="preserve">VULN-7655572</t>
  </si>
  <si>
    <t xml:space="preserve">VULN-6969521</t>
  </si>
  <si>
    <t xml:space="preserve">PAYMENTSDEV-0059</t>
  </si>
  <si>
    <t xml:space="preserve">VULN-6171869</t>
  </si>
  <si>
    <t xml:space="preserve">VULN-8530347</t>
  </si>
  <si>
    <t xml:space="preserve">VULN-1440601</t>
  </si>
  <si>
    <t xml:space="preserve">VULN-7463219</t>
  </si>
  <si>
    <t xml:space="preserve">VULN-2421022</t>
  </si>
  <si>
    <t xml:space="preserve">VULN-5072543</t>
  </si>
  <si>
    <t xml:space="preserve">VULN-9273246</t>
  </si>
  <si>
    <t xml:space="preserve">VULN-8064924</t>
  </si>
  <si>
    <t xml:space="preserve">VULN-9318184</t>
  </si>
  <si>
    <t xml:space="preserve">VULN-1113537</t>
  </si>
  <si>
    <t xml:space="preserve">VULN-6615941</t>
  </si>
  <si>
    <t xml:space="preserve">VULN-3283789</t>
  </si>
  <si>
    <t xml:space="preserve">VULN-4369728</t>
  </si>
  <si>
    <t xml:space="preserve">PAYMENTSDEV-0060</t>
  </si>
  <si>
    <t xml:space="preserve">VULN-4517316</t>
  </si>
  <si>
    <t xml:space="preserve">VULN-2160289</t>
  </si>
  <si>
    <t xml:space="preserve">VULN-3335038</t>
  </si>
  <si>
    <t xml:space="preserve">VULN-8098909</t>
  </si>
  <si>
    <t xml:space="preserve">VULN-9499549</t>
  </si>
  <si>
    <t xml:space="preserve">VULN-7031903</t>
  </si>
  <si>
    <t xml:space="preserve">VULN-2425760</t>
  </si>
  <si>
    <t xml:space="preserve">VULN-6956059</t>
  </si>
  <si>
    <t xml:space="preserve">VULN-1743175</t>
  </si>
  <si>
    <t xml:space="preserve">VULN-7704473</t>
  </si>
  <si>
    <t xml:space="preserve">PAYMENTSDEV-0061</t>
  </si>
  <si>
    <t xml:space="preserve">VULN-9396422</t>
  </si>
  <si>
    <t xml:space="preserve">VULN-2754047</t>
  </si>
  <si>
    <t xml:space="preserve">VULN-3376915</t>
  </si>
  <si>
    <t xml:space="preserve">VULN-4470657</t>
  </si>
  <si>
    <t xml:space="preserve">VULN-6350413</t>
  </si>
  <si>
    <t xml:space="preserve">PAYMENTSDEV-0062</t>
  </si>
  <si>
    <t xml:space="preserve">VULN-5092180</t>
  </si>
  <si>
    <t xml:space="preserve">VULN-8153291</t>
  </si>
  <si>
    <t xml:space="preserve">PAYMENTSDEV-0063</t>
  </si>
  <si>
    <t xml:space="preserve">VULN-5669851</t>
  </si>
  <si>
    <t xml:space="preserve">PAYMENTSDEV-0064</t>
  </si>
  <si>
    <t xml:space="preserve">VULN-6258048</t>
  </si>
  <si>
    <t xml:space="preserve">VULN-2916496</t>
  </si>
  <si>
    <t xml:space="preserve">VULN-3894531</t>
  </si>
  <si>
    <t xml:space="preserve">VULN-2421902</t>
  </si>
  <si>
    <t xml:space="preserve">VULN-3371602</t>
  </si>
  <si>
    <t xml:space="preserve">VULN-7437584</t>
  </si>
  <si>
    <t xml:space="preserve">PAYMENTSDEV-0065</t>
  </si>
  <si>
    <t xml:space="preserve">VULN-1160783</t>
  </si>
  <si>
    <t xml:space="preserve">VULN-9479842</t>
  </si>
  <si>
    <t xml:space="preserve">VULN-3806047</t>
  </si>
  <si>
    <t xml:space="preserve">PAYMENTSDEV-0066</t>
  </si>
  <si>
    <t xml:space="preserve">VULN-9309978</t>
  </si>
  <si>
    <t xml:space="preserve">VULN-7154919</t>
  </si>
  <si>
    <t xml:space="preserve">VULN-1698108</t>
  </si>
  <si>
    <t xml:space="preserve">VULN-2718262</t>
  </si>
  <si>
    <t xml:space="preserve">PAYMENTSDEV-0067</t>
  </si>
  <si>
    <t xml:space="preserve">VULN-8183451</t>
  </si>
  <si>
    <t xml:space="preserve">VULN-4466502</t>
  </si>
  <si>
    <t xml:space="preserve">VULN-6885707</t>
  </si>
  <si>
    <t xml:space="preserve">VULN-6430006</t>
  </si>
  <si>
    <t xml:space="preserve">VULN-2597613</t>
  </si>
  <si>
    <t xml:space="preserve">VULN-7905438</t>
  </si>
  <si>
    <t xml:space="preserve">PAYMENTSDEV-0068</t>
  </si>
  <si>
    <t xml:space="preserve">VULN-7588425</t>
  </si>
  <si>
    <t xml:space="preserve">VULN-7949543</t>
  </si>
  <si>
    <t xml:space="preserve">VULN-9650558</t>
  </si>
  <si>
    <t xml:space="preserve">PAYMENTSDEV-0069</t>
  </si>
  <si>
    <t xml:space="preserve">VULN-8691502</t>
  </si>
  <si>
    <t xml:space="preserve">PAYMENTSDEV-0070</t>
  </si>
  <si>
    <t xml:space="preserve">VULN-9142618</t>
  </si>
  <si>
    <t xml:space="preserve">VULN-1812172</t>
  </si>
  <si>
    <t xml:space="preserve">VULN-3650523</t>
  </si>
  <si>
    <t xml:space="preserve">VULN-8177281</t>
  </si>
  <si>
    <t xml:space="preserve">PAYMENTSDEV-0071</t>
  </si>
  <si>
    <t xml:space="preserve">VULN-2307594</t>
  </si>
  <si>
    <t xml:space="preserve">VULN-9714828</t>
  </si>
  <si>
    <t xml:space="preserve">VULN-3023227</t>
  </si>
  <si>
    <t xml:space="preserve">VULN-9014480</t>
  </si>
  <si>
    <t xml:space="preserve">VULN-7166661</t>
  </si>
  <si>
    <t xml:space="preserve">VULN-3233823</t>
  </si>
  <si>
    <t xml:space="preserve">VULN-6891952</t>
  </si>
  <si>
    <t xml:space="preserve">VULN-3539636</t>
  </si>
  <si>
    <t xml:space="preserve">VULN-8421969</t>
  </si>
  <si>
    <t xml:space="preserve">VULN-3066235</t>
  </si>
  <si>
    <t xml:space="preserve">VULN-2413458</t>
  </si>
  <si>
    <t xml:space="preserve">PAYMENTSDEV-0072</t>
  </si>
  <si>
    <t xml:space="preserve">VULN-5015476</t>
  </si>
  <si>
    <t xml:space="preserve">VULN-2191383</t>
  </si>
  <si>
    <t xml:space="preserve">VULN-1202450</t>
  </si>
  <si>
    <t xml:space="preserve">VULN-3214305</t>
  </si>
  <si>
    <t xml:space="preserve">VULN-8060918</t>
  </si>
  <si>
    <t xml:space="preserve">VULN-2224599</t>
  </si>
  <si>
    <t xml:space="preserve">VULN-1231415</t>
  </si>
  <si>
    <t xml:space="preserve">VULN-7676912</t>
  </si>
  <si>
    <t xml:space="preserve">VULN-7749095</t>
  </si>
  <si>
    <t xml:space="preserve">VULN-3561552</t>
  </si>
  <si>
    <t xml:space="preserve">VULN-4409088</t>
  </si>
  <si>
    <t xml:space="preserve">VULN-2109227</t>
  </si>
  <si>
    <t xml:space="preserve">PAYMENTSDEV-0073</t>
  </si>
  <si>
    <t xml:space="preserve">VULN-1190431</t>
  </si>
  <si>
    <t xml:space="preserve">VULN-5349442</t>
  </si>
  <si>
    <t xml:space="preserve">VULN-5509119</t>
  </si>
  <si>
    <t xml:space="preserve">VULN-1492516</t>
  </si>
  <si>
    <t xml:space="preserve">VULN-5563077</t>
  </si>
  <si>
    <t xml:space="preserve">VULN-8636951</t>
  </si>
  <si>
    <t xml:space="preserve">VULN-3799805</t>
  </si>
  <si>
    <t xml:space="preserve">PAYMENTSDEV-0074</t>
  </si>
  <si>
    <t xml:space="preserve">VULN-7254683</t>
  </si>
  <si>
    <t xml:space="preserve">VULN-4008898</t>
  </si>
  <si>
    <t xml:space="preserve">VULN-1770553</t>
  </si>
  <si>
    <t xml:space="preserve">VULN-6491198</t>
  </si>
  <si>
    <t xml:space="preserve">VULN-4366703</t>
  </si>
  <si>
    <t xml:space="preserve">VULN-9277218</t>
  </si>
  <si>
    <t xml:space="preserve">VULN-5112546</t>
  </si>
  <si>
    <t xml:space="preserve">VULN-4909053</t>
  </si>
  <si>
    <t xml:space="preserve">VULN-1024528</t>
  </si>
  <si>
    <t xml:space="preserve">VULN-6159172</t>
  </si>
  <si>
    <t xml:space="preserve">VULN-8043341</t>
  </si>
  <si>
    <t xml:space="preserve">VULN-3388630</t>
  </si>
  <si>
    <t xml:space="preserve">VULN-7249378</t>
  </si>
  <si>
    <t xml:space="preserve">VULN-2424426</t>
  </si>
  <si>
    <t xml:space="preserve">PAYMENTSDEV-0075</t>
  </si>
  <si>
    <t xml:space="preserve">VULN-2253047</t>
  </si>
  <si>
    <t xml:space="preserve">VULN-8542478</t>
  </si>
  <si>
    <t xml:space="preserve">VULN-7011065</t>
  </si>
  <si>
    <t xml:space="preserve">VULN-6103880</t>
  </si>
  <si>
    <t xml:space="preserve">VULN-3488460</t>
  </si>
  <si>
    <t xml:space="preserve">VULN-6968373</t>
  </si>
  <si>
    <t xml:space="preserve">VULN-1521470</t>
  </si>
  <si>
    <t xml:space="preserve">VULN-5191831</t>
  </si>
  <si>
    <t xml:space="preserve">VULN-3345338</t>
  </si>
  <si>
    <t xml:space="preserve">VULN-7720647</t>
  </si>
  <si>
    <t xml:space="preserve">PAYMENTSPROD-0001</t>
  </si>
  <si>
    <t xml:space="preserve">Payments-Prod</t>
  </si>
  <si>
    <t xml:space="preserve">VULN-5667265</t>
  </si>
  <si>
    <t xml:space="preserve">VULN-3678638</t>
  </si>
  <si>
    <t xml:space="preserve">VULN-6647119</t>
  </si>
  <si>
    <t xml:space="preserve">VULN-1728977</t>
  </si>
  <si>
    <t xml:space="preserve">VULN-7350753</t>
  </si>
  <si>
    <t xml:space="preserve">VULN-4226067</t>
  </si>
  <si>
    <t xml:space="preserve">VULN-5855124</t>
  </si>
  <si>
    <t xml:space="preserve">VULN-2694522</t>
  </si>
  <si>
    <t xml:space="preserve">VULN-4514944</t>
  </si>
  <si>
    <t xml:space="preserve">VULN-2197935</t>
  </si>
  <si>
    <t xml:space="preserve">VULN-8755439</t>
  </si>
  <si>
    <t xml:space="preserve">VULN-6440561</t>
  </si>
  <si>
    <t xml:space="preserve">PAYMENTSPROD-0002</t>
  </si>
  <si>
    <t xml:space="preserve">VULN-8698256</t>
  </si>
  <si>
    <t xml:space="preserve">VULN-8187926</t>
  </si>
  <si>
    <t xml:space="preserve">VULN-3320821</t>
  </si>
  <si>
    <t xml:space="preserve">VULN-3684052</t>
  </si>
  <si>
    <t xml:space="preserve">VULN-7455324</t>
  </si>
  <si>
    <t xml:space="preserve">PAYMENTSPROD-0003</t>
  </si>
  <si>
    <t xml:space="preserve">VULN-5418934</t>
  </si>
  <si>
    <t xml:space="preserve">VULN-9517485</t>
  </si>
  <si>
    <t xml:space="preserve">VULN-6007072</t>
  </si>
  <si>
    <t xml:space="preserve">VULN-3564217</t>
  </si>
  <si>
    <t xml:space="preserve">VULN-9897858</t>
  </si>
  <si>
    <t xml:space="preserve">VULN-9197443</t>
  </si>
  <si>
    <t xml:space="preserve">VULN-5017343</t>
  </si>
  <si>
    <t xml:space="preserve">VULN-2321324</t>
  </si>
  <si>
    <t xml:space="preserve">VULN-2161193</t>
  </si>
  <si>
    <t xml:space="preserve">VULN-3154051</t>
  </si>
  <si>
    <t xml:space="preserve">VULN-3770370</t>
  </si>
  <si>
    <t xml:space="preserve">VULN-4374754</t>
  </si>
  <si>
    <t xml:space="preserve">PAYMENTSPROD-0004</t>
  </si>
  <si>
    <t xml:space="preserve">VULN-2191066</t>
  </si>
  <si>
    <t xml:space="preserve">VULN-4993055</t>
  </si>
  <si>
    <t xml:space="preserve">VULN-4594297</t>
  </si>
  <si>
    <t xml:space="preserve">VULN-8930103</t>
  </si>
  <si>
    <t xml:space="preserve">PAYMENTSPROD-0005</t>
  </si>
  <si>
    <t xml:space="preserve">VULN-4214348</t>
  </si>
  <si>
    <t xml:space="preserve">VULN-4078418</t>
  </si>
  <si>
    <t xml:space="preserve">VULN-2642635</t>
  </si>
  <si>
    <t xml:space="preserve">VULN-1247595</t>
  </si>
  <si>
    <t xml:space="preserve">VULN-4965789</t>
  </si>
  <si>
    <t xml:space="preserve">VULN-7728339</t>
  </si>
  <si>
    <t xml:space="preserve">VULN-8633773</t>
  </si>
  <si>
    <t xml:space="preserve">PAYMENTSPROD-0006</t>
  </si>
  <si>
    <t xml:space="preserve">VULN-1959074</t>
  </si>
  <si>
    <t xml:space="preserve">VULN-9436429</t>
  </si>
  <si>
    <t xml:space="preserve">VULN-2344047</t>
  </si>
  <si>
    <t xml:space="preserve">VULN-5130808</t>
  </si>
  <si>
    <t xml:space="preserve">PAYMENTSPROD-0007</t>
  </si>
  <si>
    <t xml:space="preserve">VULN-6033115</t>
  </si>
  <si>
    <t xml:space="preserve">VULN-2677407</t>
  </si>
  <si>
    <t xml:space="preserve">VULN-3222252</t>
  </si>
  <si>
    <t xml:space="preserve">VULN-5098412</t>
  </si>
  <si>
    <t xml:space="preserve">VULN-9874152</t>
  </si>
  <si>
    <t xml:space="preserve">PAYMENTSPROD-0008</t>
  </si>
  <si>
    <t xml:space="preserve">VULN-3607983</t>
  </si>
  <si>
    <t xml:space="preserve">VULN-6752576</t>
  </si>
  <si>
    <t xml:space="preserve">VULN-5428914</t>
  </si>
  <si>
    <t xml:space="preserve">PAYMENTSPROD-0009</t>
  </si>
  <si>
    <t xml:space="preserve">VULN-2876932</t>
  </si>
  <si>
    <t xml:space="preserve">VULN-3500715</t>
  </si>
  <si>
    <t xml:space="preserve">VULN-3484601</t>
  </si>
  <si>
    <t xml:space="preserve">VULN-1669324</t>
  </si>
  <si>
    <t xml:space="preserve">VULN-2724590</t>
  </si>
  <si>
    <t xml:space="preserve">PAYMENTSPROD-0010</t>
  </si>
  <si>
    <t xml:space="preserve">VULN-5163555</t>
  </si>
  <si>
    <t xml:space="preserve">VULN-7417985</t>
  </si>
  <si>
    <t xml:space="preserve">VULN-4731818</t>
  </si>
  <si>
    <t xml:space="preserve">VULN-8722606</t>
  </si>
  <si>
    <t xml:space="preserve">PAYMENTSPROD-0011</t>
  </si>
  <si>
    <t xml:space="preserve">VULN-2935113</t>
  </si>
  <si>
    <t xml:space="preserve">VULN-5453786</t>
  </si>
  <si>
    <t xml:space="preserve">VULN-9580255</t>
  </si>
  <si>
    <t xml:space="preserve">VULN-5273534</t>
  </si>
  <si>
    <t xml:space="preserve">VULN-1028374</t>
  </si>
  <si>
    <t xml:space="preserve">VULN-4305700</t>
  </si>
  <si>
    <t xml:space="preserve">PAYMENTSPROD-0012</t>
  </si>
  <si>
    <t xml:space="preserve">VULN-3919694</t>
  </si>
  <si>
    <t xml:space="preserve">VULN-6406444</t>
  </si>
  <si>
    <t xml:space="preserve">VULN-9576076</t>
  </si>
  <si>
    <t xml:space="preserve">VULN-3846949</t>
  </si>
  <si>
    <t xml:space="preserve">VULN-4940441</t>
  </si>
  <si>
    <t xml:space="preserve">VULN-1409790</t>
  </si>
  <si>
    <t xml:space="preserve">VULN-7953166</t>
  </si>
  <si>
    <t xml:space="preserve">VULN-7442089</t>
  </si>
  <si>
    <t xml:space="preserve">VULN-1093026</t>
  </si>
  <si>
    <t xml:space="preserve">VULN-4671545</t>
  </si>
  <si>
    <t xml:space="preserve">VULN-9689889</t>
  </si>
  <si>
    <t xml:space="preserve">VULN-8795419</t>
  </si>
  <si>
    <t xml:space="preserve">VULN-6323376</t>
  </si>
  <si>
    <t xml:space="preserve">VULN-9468772</t>
  </si>
  <si>
    <t xml:space="preserve">PAYMENTSPROD-0013</t>
  </si>
  <si>
    <t xml:space="preserve">VULN-8379837</t>
  </si>
  <si>
    <t xml:space="preserve">VULN-4934149</t>
  </si>
  <si>
    <t xml:space="preserve">VULN-7426265</t>
  </si>
  <si>
    <t xml:space="preserve">VULN-2077581</t>
  </si>
  <si>
    <t xml:space="preserve">VULN-7975534</t>
  </si>
  <si>
    <t xml:space="preserve">PAYMENTSPROD-0014</t>
  </si>
  <si>
    <t xml:space="preserve">VULN-7783308</t>
  </si>
  <si>
    <t xml:space="preserve">VULN-3141239</t>
  </si>
  <si>
    <t xml:space="preserve">VULN-1454696</t>
  </si>
  <si>
    <t xml:space="preserve">VULN-3276659</t>
  </si>
  <si>
    <t xml:space="preserve">VULN-6662319</t>
  </si>
  <si>
    <t xml:space="preserve">VULN-8072684</t>
  </si>
  <si>
    <t xml:space="preserve">VULN-8890439</t>
  </si>
  <si>
    <t xml:space="preserve">VULN-1873851</t>
  </si>
  <si>
    <t xml:space="preserve">VULN-1520596</t>
  </si>
  <si>
    <t xml:space="preserve">VULN-3556551</t>
  </si>
  <si>
    <t xml:space="preserve">VULN-5299055</t>
  </si>
  <si>
    <t xml:space="preserve">VULN-2921542</t>
  </si>
  <si>
    <t xml:space="preserve">VULN-2813596</t>
  </si>
  <si>
    <t xml:space="preserve">PAYMENTSPROD-0015</t>
  </si>
  <si>
    <t xml:space="preserve">VULN-6724909</t>
  </si>
  <si>
    <t xml:space="preserve">VULN-9224219</t>
  </si>
  <si>
    <t xml:space="preserve">VULN-8713146</t>
  </si>
  <si>
    <t xml:space="preserve">VULN-9111742</t>
  </si>
  <si>
    <t xml:space="preserve">VULN-5502929</t>
  </si>
  <si>
    <t xml:space="preserve">VULN-2453962</t>
  </si>
  <si>
    <t xml:space="preserve">VULN-5091349</t>
  </si>
  <si>
    <t xml:space="preserve">VULN-6452832</t>
  </si>
  <si>
    <t xml:space="preserve">VULN-5334434</t>
  </si>
  <si>
    <t xml:space="preserve">VULN-9667566</t>
  </si>
  <si>
    <t xml:space="preserve">VULN-9196976</t>
  </si>
  <si>
    <t xml:space="preserve">VULN-8987516</t>
  </si>
  <si>
    <t xml:space="preserve">PAYMENTSPROD-0016</t>
  </si>
  <si>
    <t xml:space="preserve">VULN-6549757</t>
  </si>
  <si>
    <t xml:space="preserve">VULN-5545223</t>
  </si>
  <si>
    <t xml:space="preserve">VULN-4231028</t>
  </si>
  <si>
    <t xml:space="preserve">VULN-4630331</t>
  </si>
  <si>
    <t xml:space="preserve">PAYMENTSPROD-0017</t>
  </si>
  <si>
    <t xml:space="preserve">VULN-1914794</t>
  </si>
  <si>
    <t xml:space="preserve">VULN-2721135</t>
  </si>
  <si>
    <t xml:space="preserve">VULN-8389840</t>
  </si>
  <si>
    <t xml:space="preserve">VULN-2096280</t>
  </si>
  <si>
    <t xml:space="preserve">PAYMENTSPROD-0018</t>
  </si>
  <si>
    <t xml:space="preserve">VULN-2987287</t>
  </si>
  <si>
    <t xml:space="preserve">VULN-4786401</t>
  </si>
  <si>
    <t xml:space="preserve">VULN-5988757</t>
  </si>
  <si>
    <t xml:space="preserve">PAYMENTSPROD-0019</t>
  </si>
  <si>
    <t xml:space="preserve">VULN-1547605</t>
  </si>
  <si>
    <t xml:space="preserve">VULN-8617381</t>
  </si>
  <si>
    <t xml:space="preserve">VULN-5438490</t>
  </si>
  <si>
    <t xml:space="preserve">VULN-3386328</t>
  </si>
  <si>
    <t xml:space="preserve">VULN-5842082</t>
  </si>
  <si>
    <t xml:space="preserve">VULN-9396529</t>
  </si>
  <si>
    <t xml:space="preserve">VULN-1668752</t>
  </si>
  <si>
    <t xml:space="preserve">VULN-5200476</t>
  </si>
  <si>
    <t xml:space="preserve">VULN-1348050</t>
  </si>
  <si>
    <t xml:space="preserve">VULN-3939212</t>
  </si>
  <si>
    <t xml:space="preserve">VULN-8312936</t>
  </si>
  <si>
    <t xml:space="preserve">VULN-8885465</t>
  </si>
  <si>
    <t xml:space="preserve">PAYMENTSPROD-0020</t>
  </si>
  <si>
    <t xml:space="preserve">VULN-6423634</t>
  </si>
  <si>
    <t xml:space="preserve">VULN-7780932</t>
  </si>
  <si>
    <t xml:space="preserve">VULN-1019311</t>
  </si>
  <si>
    <t xml:space="preserve">VULN-9363326</t>
  </si>
  <si>
    <t xml:space="preserve">VULN-4415140</t>
  </si>
  <si>
    <t xml:space="preserve">VULN-8350368</t>
  </si>
  <si>
    <t xml:space="preserve">VULN-3657144</t>
  </si>
  <si>
    <t xml:space="preserve">PAYMENTSPROD-0021</t>
  </si>
  <si>
    <t xml:space="preserve">VULN-9537455</t>
  </si>
  <si>
    <t xml:space="preserve">VULN-3426689</t>
  </si>
  <si>
    <t xml:space="preserve">PAYMENTSPROD-0022</t>
  </si>
  <si>
    <t xml:space="preserve">VULN-5482413</t>
  </si>
  <si>
    <t xml:space="preserve">VULN-9214801</t>
  </si>
  <si>
    <t xml:space="preserve">PAYMENTSPROD-0023</t>
  </si>
  <si>
    <t xml:space="preserve">VULN-7395997</t>
  </si>
  <si>
    <t xml:space="preserve">VULN-3551903</t>
  </si>
  <si>
    <t xml:space="preserve">VULN-3118060</t>
  </si>
  <si>
    <t xml:space="preserve">VULN-6569946</t>
  </si>
  <si>
    <t xml:space="preserve">VULN-8387112</t>
  </si>
  <si>
    <t xml:space="preserve">VULN-3418526</t>
  </si>
  <si>
    <t xml:space="preserve">VULN-3589751</t>
  </si>
  <si>
    <t xml:space="preserve">VULN-2347467</t>
  </si>
  <si>
    <t xml:space="preserve">VULN-9952696</t>
  </si>
  <si>
    <t xml:space="preserve">VULN-9186400</t>
  </si>
  <si>
    <t xml:space="preserve">VULN-5821419</t>
  </si>
  <si>
    <t xml:space="preserve">VULN-8280833</t>
  </si>
  <si>
    <t xml:space="preserve">VULN-2686231</t>
  </si>
  <si>
    <t xml:space="preserve">PAYMENTSPROD-0024</t>
  </si>
  <si>
    <t xml:space="preserve">VULN-4020853</t>
  </si>
  <si>
    <t xml:space="preserve">VULN-9349470</t>
  </si>
  <si>
    <t xml:space="preserve">VULN-8710313</t>
  </si>
  <si>
    <t xml:space="preserve">VULN-8805654</t>
  </si>
  <si>
    <t xml:space="preserve">VULN-3650391</t>
  </si>
  <si>
    <t xml:space="preserve">VULN-8118722</t>
  </si>
  <si>
    <t xml:space="preserve">PAYMENTSPROD-0025</t>
  </si>
  <si>
    <t xml:space="preserve">VULN-7640518</t>
  </si>
  <si>
    <t xml:space="preserve">VULN-9333700</t>
  </si>
  <si>
    <t xml:space="preserve">VULN-4860745</t>
  </si>
  <si>
    <t xml:space="preserve">VULN-5204819</t>
  </si>
  <si>
    <t xml:space="preserve">PAYMENTSPROD-0026</t>
  </si>
  <si>
    <t xml:space="preserve">VULN-7138070</t>
  </si>
  <si>
    <t xml:space="preserve">VULN-9084065</t>
  </si>
  <si>
    <t xml:space="preserve">VULN-6682698</t>
  </si>
  <si>
    <t xml:space="preserve">VULN-4785186</t>
  </si>
  <si>
    <t xml:space="preserve">VULN-7136687</t>
  </si>
  <si>
    <t xml:space="preserve">VULN-1233516</t>
  </si>
  <si>
    <t xml:space="preserve">VULN-7392547</t>
  </si>
  <si>
    <t xml:space="preserve">VULN-1419843</t>
  </si>
  <si>
    <t xml:space="preserve">VULN-8789116</t>
  </si>
  <si>
    <t xml:space="preserve">VULN-2957497</t>
  </si>
  <si>
    <t xml:space="preserve">VULN-9264869</t>
  </si>
  <si>
    <t xml:space="preserve">VULN-8031780</t>
  </si>
  <si>
    <t xml:space="preserve">VULN-2661307</t>
  </si>
  <si>
    <t xml:space="preserve">PAYMENTSPROD-0027</t>
  </si>
  <si>
    <t xml:space="preserve">VULN-8628891</t>
  </si>
  <si>
    <t xml:space="preserve">VULN-1358318</t>
  </si>
  <si>
    <t xml:space="preserve">VULN-5086407</t>
  </si>
  <si>
    <t xml:space="preserve">VULN-4442778</t>
  </si>
  <si>
    <t xml:space="preserve">VULN-4475523</t>
  </si>
  <si>
    <t xml:space="preserve">VULN-4909069</t>
  </si>
  <si>
    <t xml:space="preserve">VULN-1047572</t>
  </si>
  <si>
    <t xml:space="preserve">VULN-3427461</t>
  </si>
  <si>
    <t xml:space="preserve">VULN-3211291</t>
  </si>
  <si>
    <t xml:space="preserve">VULN-6431983</t>
  </si>
  <si>
    <t xml:space="preserve">VULN-2066326</t>
  </si>
  <si>
    <t xml:space="preserve">VULN-2829622</t>
  </si>
  <si>
    <t xml:space="preserve">PAYMENTSPROD-0028</t>
  </si>
  <si>
    <t xml:space="preserve">VULN-2101965</t>
  </si>
  <si>
    <t xml:space="preserve">VULN-9901266</t>
  </si>
  <si>
    <t xml:space="preserve">VULN-2663938</t>
  </si>
  <si>
    <t xml:space="preserve">VULN-4607488</t>
  </si>
  <si>
    <t xml:space="preserve">VULN-7979148</t>
  </si>
  <si>
    <t xml:space="preserve">VULN-5276341</t>
  </si>
  <si>
    <t xml:space="preserve">VULN-8956894</t>
  </si>
  <si>
    <t xml:space="preserve">VULN-7251976</t>
  </si>
  <si>
    <t xml:space="preserve">VULN-6530541</t>
  </si>
  <si>
    <t xml:space="preserve">VULN-1863121</t>
  </si>
  <si>
    <t xml:space="preserve">VULN-6899644</t>
  </si>
  <si>
    <t xml:space="preserve">PAYMENTSPROD-0029</t>
  </si>
  <si>
    <t xml:space="preserve">VULN-6183902</t>
  </si>
  <si>
    <t xml:space="preserve">VULN-2167449</t>
  </si>
  <si>
    <t xml:space="preserve">VULN-1514340</t>
  </si>
  <si>
    <t xml:space="preserve">VULN-4609330</t>
  </si>
  <si>
    <t xml:space="preserve">VULN-7208460</t>
  </si>
  <si>
    <t xml:space="preserve">VULN-2425342</t>
  </si>
  <si>
    <t xml:space="preserve">VULN-8434202</t>
  </si>
  <si>
    <t xml:space="preserve">VULN-5582979</t>
  </si>
  <si>
    <t xml:space="preserve">VULN-2909540</t>
  </si>
  <si>
    <t xml:space="preserve">VULN-6174418</t>
  </si>
  <si>
    <t xml:space="preserve">VULN-1919088</t>
  </si>
  <si>
    <t xml:space="preserve">VULN-5856117</t>
  </si>
  <si>
    <t xml:space="preserve">VULN-8225192</t>
  </si>
  <si>
    <t xml:space="preserve">VULN-6941939</t>
  </si>
  <si>
    <t xml:space="preserve">PAYMENTSPROD-0030</t>
  </si>
  <si>
    <t xml:space="preserve">VULN-6448705</t>
  </si>
  <si>
    <t xml:space="preserve">VULN-8719145</t>
  </si>
  <si>
    <t xml:space="preserve">VULN-9790632</t>
  </si>
  <si>
    <t xml:space="preserve">VULN-6696087</t>
  </si>
  <si>
    <t xml:space="preserve">VULN-9555575</t>
  </si>
  <si>
    <t xml:space="preserve">VULN-6861544</t>
  </si>
  <si>
    <t xml:space="preserve">PAYMENTSPROD-0031</t>
  </si>
  <si>
    <t xml:space="preserve">VULN-9289908</t>
  </si>
  <si>
    <t xml:space="preserve">VULN-8531380</t>
  </si>
  <si>
    <t xml:space="preserve">VULN-6422534</t>
  </si>
  <si>
    <t xml:space="preserve">PAYMENTSPROD-0032</t>
  </si>
  <si>
    <t xml:space="preserve">VULN-2287332</t>
  </si>
  <si>
    <t xml:space="preserve">VULN-9507186</t>
  </si>
  <si>
    <t xml:space="preserve">VULN-1688246</t>
  </si>
  <si>
    <t xml:space="preserve">VULN-4158134</t>
  </si>
  <si>
    <t xml:space="preserve">VULN-9411547</t>
  </si>
  <si>
    <t xml:space="preserve">VULN-8558523</t>
  </si>
  <si>
    <t xml:space="preserve">VULN-6761929</t>
  </si>
  <si>
    <t xml:space="preserve">VULN-8372274</t>
  </si>
  <si>
    <t xml:space="preserve">PAYMENTSPROD-0033</t>
  </si>
  <si>
    <t xml:space="preserve">VULN-7485471</t>
  </si>
  <si>
    <t xml:space="preserve">VULN-3522845</t>
  </si>
  <si>
    <t xml:space="preserve">VULN-6869018</t>
  </si>
  <si>
    <t xml:space="preserve">VULN-7575963</t>
  </si>
  <si>
    <t xml:space="preserve">VULN-2421349</t>
  </si>
  <si>
    <t xml:space="preserve">VULN-9831414</t>
  </si>
  <si>
    <t xml:space="preserve">VULN-8103580</t>
  </si>
  <si>
    <t xml:space="preserve">PAYMENTSPROD-0034</t>
  </si>
  <si>
    <t xml:space="preserve">VULN-3587931</t>
  </si>
  <si>
    <t xml:space="preserve">VULN-3777286</t>
  </si>
  <si>
    <t xml:space="preserve">VULN-5780297</t>
  </si>
  <si>
    <t xml:space="preserve">VULN-8868776</t>
  </si>
  <si>
    <t xml:space="preserve">VULN-5727345</t>
  </si>
  <si>
    <t xml:space="preserve">VULN-3718884</t>
  </si>
  <si>
    <t xml:space="preserve">VULN-3321942</t>
  </si>
  <si>
    <t xml:space="preserve">VULN-9655523</t>
  </si>
  <si>
    <t xml:space="preserve">VULN-5576678</t>
  </si>
  <si>
    <t xml:space="preserve">VULN-3472100</t>
  </si>
  <si>
    <t xml:space="preserve">VULN-1447451</t>
  </si>
  <si>
    <t xml:space="preserve">VULN-4955699</t>
  </si>
  <si>
    <t xml:space="preserve">VULN-7289990</t>
  </si>
  <si>
    <t xml:space="preserve">PAYMENTSPROD-0035</t>
  </si>
  <si>
    <t xml:space="preserve">VULN-3328554</t>
  </si>
  <si>
    <t xml:space="preserve">PAYMENTSPROD-0036</t>
  </si>
  <si>
    <t xml:space="preserve">VULN-5000351</t>
  </si>
  <si>
    <t xml:space="preserve">VULN-8669093</t>
  </si>
  <si>
    <t xml:space="preserve">VULN-9993490</t>
  </si>
  <si>
    <t xml:space="preserve">VULN-5059048</t>
  </si>
  <si>
    <t xml:space="preserve">VULN-4142605</t>
  </si>
  <si>
    <t xml:space="preserve">PAYMENTSPROD-0037</t>
  </si>
  <si>
    <t xml:space="preserve">VULN-5255545</t>
  </si>
  <si>
    <t xml:space="preserve">VULN-5045421</t>
  </si>
  <si>
    <t xml:space="preserve">VULN-6578736</t>
  </si>
  <si>
    <t xml:space="preserve">VULN-8795078</t>
  </si>
  <si>
    <t xml:space="preserve">VULN-3262450</t>
  </si>
  <si>
    <t xml:space="preserve">VULN-8678589</t>
  </si>
  <si>
    <t xml:space="preserve">VULN-4346548</t>
  </si>
  <si>
    <t xml:space="preserve">VULN-8942330</t>
  </si>
  <si>
    <t xml:space="preserve">VULN-5800144</t>
  </si>
  <si>
    <t xml:space="preserve">PAYMENTSPROD-0038</t>
  </si>
  <si>
    <t xml:space="preserve">VULN-9324908</t>
  </si>
  <si>
    <t xml:space="preserve">VULN-8121922</t>
  </si>
  <si>
    <t xml:space="preserve">VULN-4027557</t>
  </si>
  <si>
    <t xml:space="preserve">VULN-8481225</t>
  </si>
  <si>
    <t xml:space="preserve">VULN-8501590</t>
  </si>
  <si>
    <t xml:space="preserve">VULN-6914963</t>
  </si>
  <si>
    <t xml:space="preserve">WEBFRONTEND-0076</t>
  </si>
  <si>
    <t xml:space="preserve">Web-Frontend</t>
  </si>
  <si>
    <t xml:space="preserve">VULN-2543145</t>
  </si>
  <si>
    <t xml:space="preserve">VULN-1849559</t>
  </si>
  <si>
    <t xml:space="preserve">WEBFRONTEND-0077</t>
  </si>
  <si>
    <t xml:space="preserve">VULN-3493621</t>
  </si>
  <si>
    <t xml:space="preserve">WEBFRONTEND-0078</t>
  </si>
  <si>
    <t xml:space="preserve">VULN-9821696</t>
  </si>
  <si>
    <t xml:space="preserve">VULN-1327658</t>
  </si>
  <si>
    <t xml:space="preserve">VULN-7024901</t>
  </si>
  <si>
    <t xml:space="preserve">VULN-7515956</t>
  </si>
  <si>
    <t xml:space="preserve">VULN-4674549</t>
  </si>
  <si>
    <t xml:space="preserve">VULN-5713268</t>
  </si>
  <si>
    <t xml:space="preserve">VULN-8913550</t>
  </si>
  <si>
    <t xml:space="preserve">WEBFRONTEND-0079</t>
  </si>
  <si>
    <t xml:space="preserve">VULN-4681115</t>
  </si>
  <si>
    <t xml:space="preserve">VULN-6335227</t>
  </si>
  <si>
    <t xml:space="preserve">VULN-1473227</t>
  </si>
  <si>
    <t xml:space="preserve">VULN-3384080</t>
  </si>
  <si>
    <t xml:space="preserve">WEBFRONTEND-0080</t>
  </si>
  <si>
    <t xml:space="preserve">VULN-4380011</t>
  </si>
  <si>
    <t xml:space="preserve">VULN-1999183</t>
  </si>
  <si>
    <t xml:space="preserve">VULN-3376537</t>
  </si>
  <si>
    <t xml:space="preserve">VULN-7121835</t>
  </si>
  <si>
    <t xml:space="preserve">VULN-6062779</t>
  </si>
  <si>
    <t xml:space="preserve">VULN-8329435</t>
  </si>
  <si>
    <t xml:space="preserve">VULN-3922635</t>
  </si>
  <si>
    <t xml:space="preserve">VULN-6986539</t>
  </si>
  <si>
    <t xml:space="preserve">WEBFRONTEND-0081</t>
  </si>
  <si>
    <t xml:space="preserve">VULN-1543292</t>
  </si>
  <si>
    <t xml:space="preserve">VULN-4706007</t>
  </si>
  <si>
    <t xml:space="preserve">VULN-6818508</t>
  </si>
  <si>
    <t xml:space="preserve">WEBFRONTEND-0082</t>
  </si>
  <si>
    <t xml:space="preserve">VULN-1807780</t>
  </si>
  <si>
    <t xml:space="preserve">VULN-3790695</t>
  </si>
  <si>
    <t xml:space="preserve">VULN-9044494</t>
  </si>
  <si>
    <t xml:space="preserve">VULN-1560573</t>
  </si>
  <si>
    <t xml:space="preserve">VULN-7299138</t>
  </si>
  <si>
    <t xml:space="preserve">VULN-2562037</t>
  </si>
  <si>
    <t xml:space="preserve">VULN-9098979</t>
  </si>
  <si>
    <t xml:space="preserve">VULN-8284673</t>
  </si>
  <si>
    <t xml:space="preserve">VULN-5450404</t>
  </si>
  <si>
    <t xml:space="preserve">VULN-7591805</t>
  </si>
  <si>
    <t xml:space="preserve">VULN-3576811</t>
  </si>
  <si>
    <t xml:space="preserve">VULN-9058573</t>
  </si>
  <si>
    <t xml:space="preserve">WEBFRONTEND-0083</t>
  </si>
  <si>
    <t xml:space="preserve">VULN-9205682</t>
  </si>
  <si>
    <t xml:space="preserve">VULN-7197531</t>
  </si>
  <si>
    <t xml:space="preserve">WEBFRONTEND-0084</t>
  </si>
  <si>
    <t xml:space="preserve">VULN-8023480</t>
  </si>
  <si>
    <t xml:space="preserve">VULN-8966231</t>
  </si>
  <si>
    <t xml:space="preserve">VULN-1582647</t>
  </si>
  <si>
    <t xml:space="preserve">VULN-3473761</t>
  </si>
  <si>
    <t xml:space="preserve">VULN-8533636</t>
  </si>
  <si>
    <t xml:space="preserve">VULN-3804559</t>
  </si>
  <si>
    <t xml:space="preserve">VULN-3117049</t>
  </si>
  <si>
    <t xml:space="preserve">VULN-8304686</t>
  </si>
  <si>
    <t xml:space="preserve">VULN-3480985</t>
  </si>
  <si>
    <t xml:space="preserve">VULN-7666510</t>
  </si>
  <si>
    <t xml:space="preserve">VULN-8686601</t>
  </si>
  <si>
    <t xml:space="preserve">VULN-9767135</t>
  </si>
  <si>
    <t xml:space="preserve">VULN-2681144</t>
  </si>
  <si>
    <t xml:space="preserve">VULN-5799841</t>
  </si>
  <si>
    <t xml:space="preserve">WEBFRONTEND-0085</t>
  </si>
  <si>
    <t xml:space="preserve">VULN-8972838</t>
  </si>
  <si>
    <t xml:space="preserve">VULN-1339451</t>
  </si>
  <si>
    <t xml:space="preserve">VULN-6084418</t>
  </si>
  <si>
    <t xml:space="preserve">VULN-2647814</t>
  </si>
  <si>
    <t xml:space="preserve">VULN-5520117</t>
  </si>
  <si>
    <t xml:space="preserve">VULN-2497984</t>
  </si>
  <si>
    <t xml:space="preserve">VULN-7831185</t>
  </si>
  <si>
    <t xml:space="preserve">VULN-7273172</t>
  </si>
  <si>
    <t xml:space="preserve">VULN-3275826</t>
  </si>
  <si>
    <t xml:space="preserve">VULN-1485669</t>
  </si>
  <si>
    <t xml:space="preserve">WEBFRONTEND-0086</t>
  </si>
  <si>
    <t xml:space="preserve">VULN-3078241</t>
  </si>
  <si>
    <t xml:space="preserve">VULN-8484373</t>
  </si>
  <si>
    <t xml:space="preserve">VULN-8962169</t>
  </si>
  <si>
    <t xml:space="preserve">VULN-2516524</t>
  </si>
  <si>
    <t xml:space="preserve">VULN-4595669</t>
  </si>
  <si>
    <t xml:space="preserve">VULN-4468370</t>
  </si>
  <si>
    <t xml:space="preserve">WEBFRONTEND-0087</t>
  </si>
  <si>
    <t xml:space="preserve">VULN-5620085</t>
  </si>
  <si>
    <t xml:space="preserve">VULN-6850369</t>
  </si>
  <si>
    <t xml:space="preserve">VULN-9734854</t>
  </si>
  <si>
    <t xml:space="preserve">WEBFRONTEND-0088</t>
  </si>
  <si>
    <t xml:space="preserve">VULN-3515396</t>
  </si>
  <si>
    <t xml:space="preserve">VULN-1952520</t>
  </si>
  <si>
    <t xml:space="preserve">VULN-3347627</t>
  </si>
  <si>
    <t xml:space="preserve">VULN-5959422</t>
  </si>
  <si>
    <t xml:space="preserve">VULN-7788043</t>
  </si>
  <si>
    <t xml:space="preserve">VULN-4186247</t>
  </si>
  <si>
    <t xml:space="preserve">VULN-4730635</t>
  </si>
  <si>
    <t xml:space="preserve">VULN-8981512</t>
  </si>
  <si>
    <t xml:space="preserve">VULN-4038955</t>
  </si>
  <si>
    <t xml:space="preserve">VULN-4071377</t>
  </si>
  <si>
    <t xml:space="preserve">VULN-4728795</t>
  </si>
  <si>
    <t xml:space="preserve">WEBFRONTEND-0089</t>
  </si>
  <si>
    <t xml:space="preserve">VULN-2194801</t>
  </si>
  <si>
    <t xml:space="preserve">VULN-9396617</t>
  </si>
  <si>
    <t xml:space="preserve">VULN-7403346</t>
  </si>
  <si>
    <t xml:space="preserve">VULN-4360419</t>
  </si>
  <si>
    <t xml:space="preserve">VULN-8676774</t>
  </si>
  <si>
    <t xml:space="preserve">WEBFRONTEND-0090</t>
  </si>
  <si>
    <t xml:space="preserve">VULN-8204299</t>
  </si>
  <si>
    <t xml:space="preserve">VULN-7259602</t>
  </si>
  <si>
    <t xml:space="preserve">VULN-9909268</t>
  </si>
  <si>
    <t xml:space="preserve">VULN-5174559</t>
  </si>
  <si>
    <t xml:space="preserve">VULN-6777230</t>
  </si>
  <si>
    <t xml:space="preserve">VULN-1767026</t>
  </si>
  <si>
    <t xml:space="preserve">VULN-8649174</t>
  </si>
  <si>
    <t xml:space="preserve">VULN-6667933</t>
  </si>
  <si>
    <t xml:space="preserve">VULN-3244614</t>
  </si>
  <si>
    <t xml:space="preserve">VULN-9223833</t>
  </si>
  <si>
    <t xml:space="preserve">VULN-3766286</t>
  </si>
  <si>
    <t xml:space="preserve">WEBFRONTEND-0091</t>
  </si>
  <si>
    <t xml:space="preserve">VULN-1804641</t>
  </si>
  <si>
    <t xml:space="preserve">VULN-1331211</t>
  </si>
  <si>
    <t xml:space="preserve">VULN-7992333</t>
  </si>
  <si>
    <t xml:space="preserve">VULN-8959049</t>
  </si>
  <si>
    <t xml:space="preserve">VULN-2694160</t>
  </si>
  <si>
    <t xml:space="preserve">VULN-3301222</t>
  </si>
  <si>
    <t xml:space="preserve">VULN-2760168</t>
  </si>
  <si>
    <t xml:space="preserve">VULN-2975258</t>
  </si>
  <si>
    <t xml:space="preserve">VULN-5412305</t>
  </si>
  <si>
    <t xml:space="preserve">VULN-7004931</t>
  </si>
  <si>
    <t xml:space="preserve">VULN-9327450</t>
  </si>
  <si>
    <t xml:space="preserve">VULN-9064202</t>
  </si>
  <si>
    <t xml:space="preserve">WEBFRONTEND-0092</t>
  </si>
  <si>
    <t xml:space="preserve">VULN-3931009</t>
  </si>
  <si>
    <t xml:space="preserve">VULN-7043399</t>
  </si>
  <si>
    <t xml:space="preserve">VULN-1769891</t>
  </si>
  <si>
    <t xml:space="preserve">VULN-3860721</t>
  </si>
  <si>
    <t xml:space="preserve">VULN-2559464</t>
  </si>
  <si>
    <t xml:space="preserve">VULN-4068039</t>
  </si>
  <si>
    <t xml:space="preserve">VULN-5560602</t>
  </si>
  <si>
    <t xml:space="preserve">VULN-9023619</t>
  </si>
  <si>
    <t xml:space="preserve">VULN-3798082</t>
  </si>
  <si>
    <t xml:space="preserve">VULN-2740017</t>
  </si>
  <si>
    <t xml:space="preserve">WEBFRONTEND-0093</t>
  </si>
  <si>
    <t xml:space="preserve">VULN-8393515</t>
  </si>
  <si>
    <t xml:space="preserve">VULN-1207369</t>
  </si>
  <si>
    <t xml:space="preserve">VULN-4757843</t>
  </si>
  <si>
    <t xml:space="preserve">VULN-5170429</t>
  </si>
  <si>
    <t xml:space="preserve">VULN-7457158</t>
  </si>
  <si>
    <t xml:space="preserve">VULN-1915467</t>
  </si>
  <si>
    <t xml:space="preserve">VULN-3632804</t>
  </si>
  <si>
    <t xml:space="preserve">VULN-9318729</t>
  </si>
  <si>
    <t xml:space="preserve">VULN-1844744</t>
  </si>
  <si>
    <t xml:space="preserve">VULN-7765865</t>
  </si>
  <si>
    <t xml:space="preserve">WEBFRONTEND-0094</t>
  </si>
  <si>
    <t xml:space="preserve">VULN-6110305</t>
  </si>
  <si>
    <t xml:space="preserve">VULN-1910586</t>
  </si>
  <si>
    <t xml:space="preserve">VULN-6569576</t>
  </si>
  <si>
    <t xml:space="preserve">VULN-8937865</t>
  </si>
  <si>
    <t xml:space="preserve">VULN-2912994</t>
  </si>
  <si>
    <t xml:space="preserve">VULN-4720299</t>
  </si>
  <si>
    <t xml:space="preserve">VULN-5898671</t>
  </si>
  <si>
    <t xml:space="preserve">VULN-3356346</t>
  </si>
  <si>
    <t xml:space="preserve">VULN-4146456</t>
  </si>
  <si>
    <t xml:space="preserve">VULN-7591709</t>
  </si>
  <si>
    <t xml:space="preserve">VULN-7953658</t>
  </si>
  <si>
    <t xml:space="preserve">VULN-3067274</t>
  </si>
  <si>
    <t xml:space="preserve">VULN-9459031</t>
  </si>
  <si>
    <t xml:space="preserve">VULN-1072773</t>
  </si>
  <si>
    <t xml:space="preserve">WEBFRONTEND-0095</t>
  </si>
  <si>
    <t xml:space="preserve">VULN-5164755</t>
  </si>
  <si>
    <t xml:space="preserve">VULN-5935413</t>
  </si>
  <si>
    <t xml:space="preserve">VULN-3318275</t>
  </si>
  <si>
    <t xml:space="preserve">VULN-9594877</t>
  </si>
  <si>
    <t xml:space="preserve">VULN-6266549</t>
  </si>
  <si>
    <t xml:space="preserve">VULN-4370359</t>
  </si>
  <si>
    <t xml:space="preserve">VULN-5875114</t>
  </si>
  <si>
    <t xml:space="preserve">VULN-3225862</t>
  </si>
  <si>
    <t xml:space="preserve">VULN-6909569</t>
  </si>
  <si>
    <t xml:space="preserve">WEBFRONTEND-0096</t>
  </si>
  <si>
    <t xml:space="preserve">VULN-3700047</t>
  </si>
  <si>
    <t xml:space="preserve">VULN-3456660</t>
  </si>
  <si>
    <t xml:space="preserve">VULN-5951637</t>
  </si>
  <si>
    <t xml:space="preserve">VULN-1542011</t>
  </si>
  <si>
    <t xml:space="preserve">VULN-2719329</t>
  </si>
  <si>
    <t xml:space="preserve">VULN-7524435</t>
  </si>
  <si>
    <t xml:space="preserve">VULN-1788191</t>
  </si>
  <si>
    <t xml:space="preserve">VULN-6245463</t>
  </si>
  <si>
    <t xml:space="preserve">VULN-8433377</t>
  </si>
  <si>
    <t xml:space="preserve">VULN-7169672</t>
  </si>
  <si>
    <t xml:space="preserve">VULN-4296204</t>
  </si>
  <si>
    <t xml:space="preserve">VULN-2249382</t>
  </si>
  <si>
    <t xml:space="preserve">WEBFRONTEND-0097</t>
  </si>
  <si>
    <t xml:space="preserve">VULN-6412833</t>
  </si>
  <si>
    <t xml:space="preserve">VULN-6052539</t>
  </si>
  <si>
    <t xml:space="preserve">VULN-7007679</t>
  </si>
  <si>
    <t xml:space="preserve">VULN-6332789</t>
  </si>
  <si>
    <t xml:space="preserve">VULN-2143811</t>
  </si>
  <si>
    <t xml:space="preserve">WEBFRONTEND-0098</t>
  </si>
  <si>
    <t xml:space="preserve">VULN-1147701</t>
  </si>
  <si>
    <t xml:space="preserve">VULN-8477055</t>
  </si>
  <si>
    <t xml:space="preserve">VULN-5090740</t>
  </si>
  <si>
    <t xml:space="preserve">VULN-6384429</t>
  </si>
  <si>
    <t xml:space="preserve">VULN-2902100</t>
  </si>
  <si>
    <t xml:space="preserve">VULN-1414493</t>
  </si>
  <si>
    <t xml:space="preserve">WEBFRONTEND-0099</t>
  </si>
  <si>
    <t xml:space="preserve">VULN-9945709</t>
  </si>
  <si>
    <t xml:space="preserve">WEBFRONTEND-0100</t>
  </si>
  <si>
    <t xml:space="preserve">VULN-2468357</t>
  </si>
  <si>
    <t xml:space="preserve">VULN-4819259</t>
  </si>
  <si>
    <t xml:space="preserve">VULN-7785511</t>
  </si>
  <si>
    <t xml:space="preserve">VULN-2060950</t>
  </si>
  <si>
    <t xml:space="preserve">VULN-2217848</t>
  </si>
  <si>
    <t xml:space="preserve">VULN-2780658</t>
  </si>
  <si>
    <t xml:space="preserve">VULN-6055825</t>
  </si>
  <si>
    <t xml:space="preserve">VULN-7399057</t>
  </si>
  <si>
    <t xml:space="preserve">VULN-1517059</t>
  </si>
  <si>
    <t xml:space="preserve">VULN-5948917</t>
  </si>
  <si>
    <t xml:space="preserve">VULN-7260091</t>
  </si>
  <si>
    <t xml:space="preserve">WEBFRONTEND-0101</t>
  </si>
  <si>
    <t xml:space="preserve">VULN-6768873</t>
  </si>
  <si>
    <t xml:space="preserve">WEBFRONTEND-0102</t>
  </si>
  <si>
    <t xml:space="preserve">VULN-9173698</t>
  </si>
  <si>
    <t xml:space="preserve">VULN-2171198</t>
  </si>
  <si>
    <t xml:space="preserve">VULN-6128383</t>
  </si>
  <si>
    <t xml:space="preserve">VULN-1081065</t>
  </si>
  <si>
    <t xml:space="preserve">VULN-8316947</t>
  </si>
  <si>
    <t xml:space="preserve">VULN-3253277</t>
  </si>
  <si>
    <t xml:space="preserve">VULN-8765307</t>
  </si>
  <si>
    <t xml:space="preserve">VULN-2375290</t>
  </si>
  <si>
    <t xml:space="preserve">VULN-3348838</t>
  </si>
  <si>
    <t xml:space="preserve">VULN-2282825</t>
  </si>
  <si>
    <t xml:space="preserve">VULN-9509040</t>
  </si>
  <si>
    <t xml:space="preserve">VULN-7797028</t>
  </si>
  <si>
    <t xml:space="preserve">VULN-5372416</t>
  </si>
  <si>
    <t xml:space="preserve">VULN-8920589</t>
  </si>
  <si>
    <t xml:space="preserve">WEBFRONTEND-0103</t>
  </si>
  <si>
    <t xml:space="preserve">VULN-3782393</t>
  </si>
  <si>
    <t xml:space="preserve">VULN-3452813</t>
  </si>
  <si>
    <t xml:space="preserve">VULN-1678132</t>
  </si>
  <si>
    <t xml:space="preserve">VULN-4888118</t>
  </si>
  <si>
    <t xml:space="preserve">VULN-4469093</t>
  </si>
  <si>
    <t xml:space="preserve">VULN-7060792</t>
  </si>
  <si>
    <t xml:space="preserve">VULN-6437011</t>
  </si>
  <si>
    <t xml:space="preserve">VULN-9747185</t>
  </si>
  <si>
    <t xml:space="preserve">WEBFRONTEND-0104</t>
  </si>
  <si>
    <t xml:space="preserve">VULN-6788681</t>
  </si>
  <si>
    <t xml:space="preserve">VULN-1110690</t>
  </si>
  <si>
    <t xml:space="preserve">VULN-8380275</t>
  </si>
  <si>
    <t xml:space="preserve">VULN-5711201</t>
  </si>
  <si>
    <t xml:space="preserve">VULN-4864570</t>
  </si>
  <si>
    <t xml:space="preserve">VULN-2901507</t>
  </si>
  <si>
    <t xml:space="preserve">VULN-9036641</t>
  </si>
  <si>
    <t xml:space="preserve">VULN-7893744</t>
  </si>
  <si>
    <t xml:space="preserve">VULN-3703298</t>
  </si>
  <si>
    <t xml:space="preserve">VULN-1657513</t>
  </si>
  <si>
    <t xml:space="preserve">VULN-1312392</t>
  </si>
  <si>
    <t xml:space="preserve">Performance by Tag / Project</t>
  </si>
  <si>
    <t xml:space="preserve">Hosts</t>
  </si>
  <si>
    <t xml:space="preserve">New</t>
  </si>
  <si>
    <t xml:space="preserve">Remediated</t>
  </si>
  <si>
    <t xml:space="preserve">Remediation Rate %</t>
  </si>
  <si>
    <t xml:space="preserve">Currently Open</t>
  </si>
  <si>
    <t xml:space="preserve">Open Critical</t>
  </si>
  <si>
    <t xml:space="preserve">Aging of Currently-Open Findings</t>
  </si>
  <si>
    <t xml:space="preserve">Age Bucket</t>
  </si>
  <si>
    <t xml:space="preserve">All Open</t>
  </si>
  <si>
    <t xml:space="preserve">0-30 days</t>
  </si>
  <si>
    <t xml:space="preserve">31-60 days</t>
  </si>
  <si>
    <t xml:space="preserve">61-90 days</t>
  </si>
  <si>
    <t xml:space="preserve">90+ days</t>
  </si>
  <si>
    <t xml:space="preserve">Risk Concentration</t>
  </si>
  <si>
    <t xml:space="preserve">Top Hosts by Open Critical + High Findings</t>
  </si>
  <si>
    <t xml:space="preserve">Open High</t>
  </si>
  <si>
    <t xml:space="preserve">Total</t>
  </si>
  <si>
    <t xml:space="preserve">Most Recurring CVEs (currently open, across hosts)</t>
  </si>
  <si>
    <t xml:space="preserve"># Hosts Affected</t>
  </si>
  <si>
    <t xml:space="preserve">Methodology &amp; Assumptions</t>
  </si>
  <si>
    <t xml:space="preserve">• Data source: 15 detailed CrowdStrike finding-level export file(s), one per tag/project, combined on the 'All_Findings_Raw' sheet.</t>
  </si>
  <si>
    <t xml:space="preserve">• Reporting period: 2026-07-01 to 2026-07-31 — set in cells E1/E2 on the Exec Summary sheet; every formula in this workbook references those two cells, so changing them recalculates the whole report.</t>
  </si>
  <si>
    <t xml:space="preserve">• New = Created Date within the period. Remediated = Status is Closed (not Reopened) AND Closed Date within the period — both exact, from CrowdStrike's own timestamps.</t>
  </si>
  <si>
    <t xml:space="preserve">• Reopened findings count as currently OPEN (active risk), not resolved. A finding closed then reopened does NOT count as a remediation win, even if Closed Date falls in this period.</t>
  </si>
  <si>
    <t xml:space="preserve">• SLA targets: Critical=15d, High=30d, Medium=90d, Low=180d — see the small lookup table on All_Findings_Raw (columns AA:AB). Edit there to change SLA policy; formulas update automatically.</t>
  </si>
  <si>
    <t xml:space="preserve">• All Exec Summary, Leaderboard, Aging, and Top Risks figures are LIVE FORMULAS (COUNTIFS/SUMIFS/AVERAGEIFS) referencing All_Findings_Raw — edit or add rows there and the rest of the workbook recalculates.</t>
  </si>
  <si>
    <t xml:space="preserve">• Exception: 'Hosts' (unique host count) per tag on the Leaderboard is computed once at report-generation time, not as a live formula — true unique-count formulas are unreliable across Excel/LibreOffice versions at this scale. Regenerate the report to refresh this figure after adding new hosts.</t>
  </si>
  <si>
    <t xml:space="preserve">• This report expects each input file to include BOTH open and closed findings (not just currently-open) — if a file only has open findings, New/Remediated totals will be understated.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</si>
</sst>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"/>
    <numFmt numFmtId="167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F81B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595959"/>
      <rgbColor rgb="FF878787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New vs. Remediated vs. Reopened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 Summary'!B5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 Summary'!$A$6:$A$7</c:f>
              <c:strCache>
                <c:ptCount val="2"/>
                <c:pt idx="0">
                  <c:v>New Findings This Period</c:v>
                </c:pt>
                <c:pt idx="1">
                  <c:v>Remediated This Period (true closes only)</c:v>
                </c:pt>
              </c:strCache>
            </c:strRef>
          </c:cat>
          <c:val>
            <c:numRef>
              <c:f>'Exec Summary'!$B$6:$B$7</c:f>
              <c:numCache>
                <c:formatCode>General</c:formatCode>
                <c:ptCount val="2"/>
                <c:pt idx="0">
                  <c:v>264</c:v>
                </c:pt>
                <c:pt idx="1">
                  <c:v>254</c:v>
                </c:pt>
              </c:numCache>
            </c:numRef>
          </c:val>
        </c:ser>
        <c:gapWidth val="150"/>
        <c:overlap val="0"/>
        <c:axId val="40774028"/>
        <c:axId val="10555388"/>
      </c:barChart>
      <c:catAx>
        <c:axId val="407740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55388"/>
        <c:crosses val="autoZero"/>
        <c:auto val="1"/>
        <c:lblAlgn val="ctr"/>
        <c:lblOffset val="100"/>
        <c:noMultiLvlLbl val="0"/>
      </c:catAx>
      <c:valAx>
        <c:axId val="105553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Findings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740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Open Findings &amp; SLA Breaches by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 Summary'!D14</c:f>
              <c:strCache>
                <c:ptCount val="1"/>
                <c:pt idx="0">
                  <c:v>Open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 Summary'!$A$15:$A$18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'Exec Summary'!$D$15:$D$18</c:f>
              <c:numCache>
                <c:formatCode>General</c:formatCode>
                <c:ptCount val="4"/>
                <c:pt idx="0">
                  <c:v>1147</c:v>
                </c:pt>
                <c:pt idx="1">
                  <c:v>609</c:v>
                </c:pt>
                <c:pt idx="2">
                  <c:v>61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'Exec Summary'!E14</c:f>
              <c:strCache>
                <c:ptCount val="1"/>
                <c:pt idx="0">
                  <c:v>SLA Breaches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 Summary'!$A$15:$A$18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'Exec Summary'!$E$15:$E$18</c:f>
              <c:numCache>
                <c:formatCode>General</c:formatCode>
                <c:ptCount val="4"/>
                <c:pt idx="0">
                  <c:v>1117</c:v>
                </c:pt>
                <c:pt idx="1">
                  <c:v>574</c:v>
                </c:pt>
                <c:pt idx="2">
                  <c:v>46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45408580"/>
        <c:axId val="23970971"/>
      </c:barChart>
      <c:catAx>
        <c:axId val="454085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70971"/>
        <c:crosses val="autoZero"/>
        <c:auto val="1"/>
        <c:lblAlgn val="ctr"/>
        <c:lblOffset val="100"/>
        <c:noMultiLvlLbl val="0"/>
      </c:catAx>
      <c:valAx>
        <c:axId val="239709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Findings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085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Open Findings by 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'Aging Analysis'!B3</c:f>
              <c:strCache>
                <c:ptCount val="1"/>
                <c:pt idx="0">
                  <c:v>All Open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'Aging Analysis'!$A$4:$A$7</c:f>
              <c:strCache>
                <c:ptCount val="4"/>
                <c:pt idx="0">
                  <c:v>0-30 days</c:v>
                </c:pt>
                <c:pt idx="1">
                  <c:v>31-60 days</c:v>
                </c:pt>
                <c:pt idx="2">
                  <c:v>61-90 days</c:v>
                </c:pt>
                <c:pt idx="3">
                  <c:v>90+ days</c:v>
                </c:pt>
              </c:strCache>
            </c:strRef>
          </c:cat>
          <c:val>
            <c:numRef>
              <c:f>'Aging Analysis'!$B$4:$B$7</c:f>
              <c:numCache>
                <c:formatCode>General</c:formatCode>
                <c:ptCount val="4"/>
                <c:pt idx="0">
                  <c:v>121</c:v>
                </c:pt>
                <c:pt idx="1">
                  <c:v>180</c:v>
                </c:pt>
                <c:pt idx="2">
                  <c:v>193</c:v>
                </c:pt>
                <c:pt idx="3">
                  <c:v>1323</c:v>
                </c:pt>
              </c:numCache>
            </c:numRef>
          </c:val>
        </c:ser>
        <c:ser>
          <c:idx val="1"/>
          <c:order val="1"/>
          <c:tx>
            <c:strRef>
              <c:f>'Aging Analysis'!C3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'Aging Analysis'!$A$4:$A$7</c:f>
              <c:strCache>
                <c:ptCount val="4"/>
                <c:pt idx="0">
                  <c:v>0-30 days</c:v>
                </c:pt>
                <c:pt idx="1">
                  <c:v>31-60 days</c:v>
                </c:pt>
                <c:pt idx="2">
                  <c:v>61-90 days</c:v>
                </c:pt>
                <c:pt idx="3">
                  <c:v>90+ days</c:v>
                </c:pt>
              </c:strCache>
            </c:strRef>
          </c:cat>
          <c:val>
            <c:numRef>
              <c:f>'Aging Analysis'!$C$4:$C$7</c:f>
              <c:numCache>
                <c:formatCode>General</c:formatCode>
                <c:ptCount val="4"/>
                <c:pt idx="0">
                  <c:v>83</c:v>
                </c:pt>
                <c:pt idx="1">
                  <c:v>115</c:v>
                </c:pt>
                <c:pt idx="2">
                  <c:v>120</c:v>
                </c:pt>
                <c:pt idx="3">
                  <c:v>829</c:v>
                </c:pt>
              </c:numCache>
            </c:numRef>
          </c:val>
        </c:ser>
        <c:ser>
          <c:idx val="2"/>
          <c:order val="2"/>
          <c:tx>
            <c:strRef>
              <c:f>'Aging Analysis'!D3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'Aging Analysis'!$A$4:$A$7</c:f>
              <c:strCache>
                <c:ptCount val="4"/>
                <c:pt idx="0">
                  <c:v>0-30 days</c:v>
                </c:pt>
                <c:pt idx="1">
                  <c:v>31-60 days</c:v>
                </c:pt>
                <c:pt idx="2">
                  <c:v>61-90 days</c:v>
                </c:pt>
                <c:pt idx="3">
                  <c:v>90+ days</c:v>
                </c:pt>
              </c:strCache>
            </c:strRef>
          </c:cat>
          <c:val>
            <c:numRef>
              <c:f>'Aging Analysis'!$D$4:$D$7</c:f>
              <c:numCache>
                <c:formatCode>General</c:formatCode>
                <c:ptCount val="4"/>
                <c:pt idx="0">
                  <c:v>35</c:v>
                </c:pt>
                <c:pt idx="1">
                  <c:v>58</c:v>
                </c:pt>
                <c:pt idx="2">
                  <c:v>68</c:v>
                </c:pt>
                <c:pt idx="3">
                  <c:v>448</c:v>
                </c:pt>
              </c:numCache>
            </c:numRef>
          </c:val>
        </c:ser>
        <c:gapWidth val="150"/>
        <c:overlap val="0"/>
        <c:axId val="56867579"/>
        <c:axId val="41597906"/>
      </c:barChart>
      <c:catAx>
        <c:axId val="568675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97906"/>
        <c:crosses val="autoZero"/>
        <c:auto val="1"/>
        <c:lblAlgn val="ctr"/>
        <c:lblOffset val="100"/>
        <c:noMultiLvlLbl val="0"/>
      </c:catAx>
      <c:valAx>
        <c:axId val="415979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Findings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675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13</xdr:col>
      <xdr:colOff>39240</xdr:colOff>
      <xdr:row>15</xdr:row>
      <xdr:rowOff>59760</xdr:rowOff>
    </xdr:to>
    <xdr:graphicFrame>
      <xdr:nvGraphicFramePr>
        <xdr:cNvPr id="0" name="Chart 1"/>
        <xdr:cNvGraphicFramePr/>
      </xdr:nvGraphicFramePr>
      <xdr:xfrm>
        <a:off x="8364960" y="5716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131040</xdr:rowOff>
    </xdr:from>
    <xdr:to>
      <xdr:col>13</xdr:col>
      <xdr:colOff>39240</xdr:colOff>
      <xdr:row>31</xdr:row>
      <xdr:rowOff>174240</xdr:rowOff>
    </xdr:to>
    <xdr:graphicFrame>
      <xdr:nvGraphicFramePr>
        <xdr:cNvPr id="1" name="Chart 2"/>
        <xdr:cNvGraphicFramePr/>
      </xdr:nvGraphicFramePr>
      <xdr:xfrm>
        <a:off x="8364960" y="373392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130680</xdr:rowOff>
    </xdr:from>
    <xdr:to>
      <xdr:col>12</xdr:col>
      <xdr:colOff>399240</xdr:colOff>
      <xdr:row>14</xdr:row>
      <xdr:rowOff>173880</xdr:rowOff>
    </xdr:to>
    <xdr:graphicFrame>
      <xdr:nvGraphicFramePr>
        <xdr:cNvPr id="2" name="Chart 1"/>
        <xdr:cNvGraphicFramePr/>
      </xdr:nvGraphicFramePr>
      <xdr:xfrm>
        <a:off x="3994920" y="38088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5" min="4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2" t="s">
        <v>1</v>
      </c>
      <c r="E1" s="3" t="n">
        <v>46204</v>
      </c>
    </row>
    <row r="2" customFormat="false" ht="15" hidden="false" customHeight="false" outlineLevel="0" collapsed="false">
      <c r="A2" s="4" t="s">
        <v>2</v>
      </c>
      <c r="D2" s="2" t="s">
        <v>3</v>
      </c>
      <c r="E2" s="3" t="n">
        <v>46234</v>
      </c>
    </row>
    <row r="4" customFormat="false" ht="19.5" hidden="false" customHeight="true" outlineLevel="0" collapsed="false">
      <c r="A4" s="5" t="s">
        <v>4</v>
      </c>
      <c r="B4" s="5"/>
      <c r="C4" s="5"/>
      <c r="D4" s="5"/>
      <c r="E4" s="5"/>
      <c r="F4" s="5"/>
    </row>
    <row r="5" customFormat="false" ht="15" hidden="false" customHeight="false" outlineLevel="0" collapsed="false">
      <c r="A5" s="6" t="s">
        <v>5</v>
      </c>
      <c r="B5" s="6" t="s">
        <v>6</v>
      </c>
    </row>
    <row r="6" customFormat="false" ht="15" hidden="false" customHeight="false" outlineLevel="0" collapsed="false">
      <c r="A6" s="7" t="s">
        <v>7</v>
      </c>
      <c r="B6" s="7" t="n">
        <f aca="false">SUM(All_Findings_Raw!$S$2:$S$4274)</f>
        <v>264</v>
      </c>
    </row>
    <row r="7" customFormat="false" ht="15" hidden="false" customHeight="false" outlineLevel="0" collapsed="false">
      <c r="A7" s="7" t="s">
        <v>8</v>
      </c>
      <c r="B7" s="7" t="n">
        <f aca="false">SUM(All_Findings_Raw!$T$2:$T$4274)</f>
        <v>254</v>
      </c>
    </row>
    <row r="8" customFormat="false" ht="15" hidden="false" customHeight="false" outlineLevel="0" collapsed="false">
      <c r="A8" s="7" t="s">
        <v>9</v>
      </c>
      <c r="B8" s="7" t="n">
        <f aca="false">SUM(All_Findings_Raw!$R$2:$R$4274)</f>
        <v>1817</v>
      </c>
    </row>
    <row r="9" customFormat="false" ht="15" hidden="false" customHeight="false" outlineLevel="0" collapsed="false">
      <c r="A9" s="7" t="s">
        <v>10</v>
      </c>
      <c r="B9" s="7" t="n">
        <f aca="false">SUMPRODUCT((All_Findings_Raw!$R$2:$R$4274=1)*(All_Findings_Raw!$H$2:$H$4274&lt;$E$1))</f>
        <v>1696</v>
      </c>
    </row>
    <row r="10" customFormat="false" ht="15" hidden="false" customHeight="false" outlineLevel="0" collapsed="false">
      <c r="A10" s="7" t="s">
        <v>11</v>
      </c>
      <c r="B10" s="7" t="n">
        <f aca="false">SUM(All_Findings_Raw!$U$2:$U$4274)</f>
        <v>221</v>
      </c>
    </row>
    <row r="11" customFormat="false" ht="15" hidden="false" customHeight="false" outlineLevel="0" collapsed="false">
      <c r="A11" s="7" t="s">
        <v>12</v>
      </c>
      <c r="B11" s="7" t="n">
        <f aca="false">B6-B7</f>
        <v>10</v>
      </c>
    </row>
    <row r="13" customFormat="false" ht="19.5" hidden="false" customHeight="true" outlineLevel="0" collapsed="false">
      <c r="A13" s="5" t="s">
        <v>13</v>
      </c>
      <c r="B13" s="5"/>
      <c r="C13" s="5"/>
      <c r="D13" s="5"/>
      <c r="E13" s="5"/>
      <c r="F13" s="5"/>
    </row>
    <row r="14" customFormat="false" ht="15" hidden="false" customHeight="false" outlineLevel="0" collapsed="false">
      <c r="A14" s="6" t="s">
        <v>14</v>
      </c>
      <c r="B14" s="6" t="s">
        <v>15</v>
      </c>
      <c r="C14" s="6" t="s">
        <v>16</v>
      </c>
      <c r="D14" s="6" t="s">
        <v>17</v>
      </c>
      <c r="E14" s="6" t="s">
        <v>18</v>
      </c>
    </row>
    <row r="15" customFormat="false" ht="15" hidden="false" customHeight="false" outlineLevel="0" collapsed="false">
      <c r="A15" s="7" t="s">
        <v>19</v>
      </c>
      <c r="B15" s="8" t="n">
        <f aca="false">IFERROR(AVERAGEIFS(All_Findings_Raw!$P$2:$P$4274,All_Findings_Raw!$T$2:$T$4274,1,All_Findings_Raw!$G$2:$G$4274,A15),0)</f>
        <v>11.7785714285714</v>
      </c>
      <c r="C15" s="8" t="n">
        <f aca="false">IFERROR(SUMIFS(All_Findings_Raw!$W$2:$W$4274,All_Findings_Raw!$T$2:$T$4274,1,All_Findings_Raw!$G$2:$G$4274,A15)/SUMIFS(All_Findings_Raw!$T$2:$T$4274,All_Findings_Raw!$G$2:$G$4274,A15)*100,0)</f>
        <v>72.8571428571429</v>
      </c>
      <c r="D15" s="7" t="n">
        <f aca="false">SUMIFS(All_Findings_Raw!$R$2:$R$4274,All_Findings_Raw!$G$2:$G$4274,A15)</f>
        <v>1147</v>
      </c>
      <c r="E15" s="7" t="n">
        <f aca="false">SUMIFS(All_Findings_Raw!$V$2:$V$4274,All_Findings_Raw!$G$2:$G$4274,A15)</f>
        <v>1117</v>
      </c>
    </row>
    <row r="16" customFormat="false" ht="15" hidden="false" customHeight="false" outlineLevel="0" collapsed="false">
      <c r="A16" s="7" t="s">
        <v>20</v>
      </c>
      <c r="B16" s="8" t="n">
        <f aca="false">IFERROR(AVERAGEIFS(All_Findings_Raw!$P$2:$P$4274,All_Findings_Raw!$T$2:$T$4274,1,All_Findings_Raw!$G$2:$G$4274,A16),0)</f>
        <v>22.3406593406593</v>
      </c>
      <c r="C16" s="8" t="n">
        <f aca="false">IFERROR(SUMIFS(All_Findings_Raw!$W$2:$W$4274,All_Findings_Raw!$T$2:$T$4274,1,All_Findings_Raw!$G$2:$G$4274,A16)/SUMIFS(All_Findings_Raw!$T$2:$T$4274,All_Findings_Raw!$G$2:$G$4274,A16)*100,0)</f>
        <v>76.9230769230769</v>
      </c>
      <c r="D16" s="7" t="n">
        <f aca="false">SUMIFS(All_Findings_Raw!$R$2:$R$4274,All_Findings_Raw!$G$2:$G$4274,A16)</f>
        <v>609</v>
      </c>
      <c r="E16" s="7" t="n">
        <f aca="false">SUMIFS(All_Findings_Raw!$V$2:$V$4274,All_Findings_Raw!$G$2:$G$4274,A16)</f>
        <v>574</v>
      </c>
    </row>
    <row r="17" customFormat="false" ht="15" hidden="false" customHeight="false" outlineLevel="0" collapsed="false">
      <c r="A17" s="7" t="s">
        <v>21</v>
      </c>
      <c r="B17" s="8" t="n">
        <f aca="false">IFERROR(AVERAGEIFS(All_Findings_Raw!$P$2:$P$4274,All_Findings_Raw!$T$2:$T$4274,1,All_Findings_Raw!$G$2:$G$4274,A17),0)</f>
        <v>55.2173913043478</v>
      </c>
      <c r="C17" s="8" t="n">
        <f aca="false">IFERROR(SUMIFS(All_Findings_Raw!$W$2:$W$4274,All_Findings_Raw!$T$2:$T$4274,1,All_Findings_Raw!$G$2:$G$4274,A17)/SUMIFS(All_Findings_Raw!$T$2:$T$4274,All_Findings_Raw!$G$2:$G$4274,A17)*100,0)</f>
        <v>86.9565217391304</v>
      </c>
      <c r="D17" s="7" t="n">
        <f aca="false">SUMIFS(All_Findings_Raw!$R$2:$R$4274,All_Findings_Raw!$G$2:$G$4274,A17)</f>
        <v>61</v>
      </c>
      <c r="E17" s="7" t="n">
        <f aca="false">SUMIFS(All_Findings_Raw!$V$2:$V$4274,All_Findings_Raw!$G$2:$G$4274,A17)</f>
        <v>46</v>
      </c>
    </row>
    <row r="18" customFormat="false" ht="15" hidden="false" customHeight="false" outlineLevel="0" collapsed="false">
      <c r="A18" s="7" t="s">
        <v>22</v>
      </c>
      <c r="B18" s="8" t="n">
        <f aca="false">IFERROR(AVERAGEIFS(All_Findings_Raw!$P$2:$P$4274,All_Findings_Raw!$T$2:$T$4274,1,All_Findings_Raw!$G$2:$G$4274,A18),0)</f>
        <v>0</v>
      </c>
      <c r="C18" s="8" t="n">
        <f aca="false">IFERROR(SUMIFS(All_Findings_Raw!$W$2:$W$4274,All_Findings_Raw!$T$2:$T$4274,1,All_Findings_Raw!$G$2:$G$4274,A18)/SUMIFS(All_Findings_Raw!$T$2:$T$4274,All_Findings_Raw!$G$2:$G$4274,A18)*100,0)</f>
        <v>0</v>
      </c>
      <c r="D18" s="7" t="n">
        <f aca="false">SUMIFS(All_Findings_Raw!$R$2:$R$4274,All_Findings_Raw!$G$2:$G$4274,A18)</f>
        <v>0</v>
      </c>
      <c r="E18" s="7" t="n">
        <f aca="false">SUMIFS(All_Findings_Raw!$V$2:$V$4274,All_Findings_Raw!$G$2:$G$4274,A18)</f>
        <v>0</v>
      </c>
    </row>
  </sheetData>
  <mergeCells count="3">
    <mergeCell ref="A1:C1"/>
    <mergeCell ref="A4:F4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7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9" min="8" style="0" width="13"/>
    <col collapsed="false" customWidth="true" hidden="false" outlineLevel="0" max="10" min="10" style="0" width="10"/>
    <col collapsed="false" customWidth="true" hidden="false" outlineLevel="0" max="12" min="11" style="0" width="14"/>
    <col collapsed="false" customWidth="true" hidden="false" outlineLevel="0" max="13" min="13" style="0" width="16"/>
    <col collapsed="false" customWidth="true" hidden="false" outlineLevel="0" max="14" min="14" style="0" width="34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9" min="17" style="0" width="10"/>
    <col collapsed="false" customWidth="true" hidden="false" outlineLevel="0" max="20" min="20" style="0" width="12"/>
    <col collapsed="false" customWidth="true" hidden="false" outlineLevel="0" max="21" min="21" style="0" width="10"/>
    <col collapsed="false" customWidth="true" hidden="false" outlineLevel="0" max="23" min="22" style="0" width="12"/>
  </cols>
  <sheetData>
    <row r="1" customFormat="false" ht="46.25" hidden="false" customHeight="false" outlineLevel="0" collapsed="false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14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6" t="s">
        <v>35</v>
      </c>
      <c r="O1" s="6" t="s">
        <v>36</v>
      </c>
      <c r="P1" s="6" t="s">
        <v>37</v>
      </c>
      <c r="Q1" s="6" t="s">
        <v>38</v>
      </c>
      <c r="R1" s="6" t="s">
        <v>39</v>
      </c>
      <c r="S1" s="6" t="s">
        <v>40</v>
      </c>
      <c r="T1" s="6" t="s">
        <v>41</v>
      </c>
      <c r="U1" s="6" t="s">
        <v>42</v>
      </c>
      <c r="V1" s="6" t="s">
        <v>43</v>
      </c>
      <c r="W1" s="6" t="s">
        <v>44</v>
      </c>
      <c r="AA1" s="6" t="s">
        <v>14</v>
      </c>
      <c r="AB1" s="6" t="s">
        <v>38</v>
      </c>
    </row>
    <row r="2" customFormat="false" ht="15" hidden="false" customHeight="false" outlineLevel="0" collapsed="false">
      <c r="A2" s="7" t="s">
        <v>45</v>
      </c>
      <c r="B2" s="7" t="s">
        <v>46</v>
      </c>
      <c r="C2" s="7" t="s">
        <v>47</v>
      </c>
      <c r="D2" s="7" t="s">
        <v>48</v>
      </c>
      <c r="E2" s="7" t="s">
        <v>49</v>
      </c>
      <c r="F2" s="7" t="s">
        <v>50</v>
      </c>
      <c r="G2" s="7" t="s">
        <v>20</v>
      </c>
      <c r="H2" s="9" t="n">
        <v>46195</v>
      </c>
      <c r="I2" s="9" t="n">
        <v>46225</v>
      </c>
      <c r="J2" s="7" t="n">
        <v>7.5</v>
      </c>
      <c r="K2" s="7" t="s">
        <v>51</v>
      </c>
      <c r="L2" s="7" t="s">
        <v>20</v>
      </c>
      <c r="M2" s="7" t="s">
        <v>52</v>
      </c>
      <c r="N2" s="7" t="s">
        <v>53</v>
      </c>
      <c r="O2" s="10" t="n">
        <f aca="false">'Exec Summary'!$E$2-H2</f>
        <v>39</v>
      </c>
      <c r="P2" s="10" t="n">
        <f aca="false">IF(I2="","",I2-H2)</f>
        <v>30</v>
      </c>
      <c r="Q2" s="10" t="n">
        <f aca="false">VLOOKUP(G2,$AA$2:$AB$5,2,FALSE())</f>
        <v>30</v>
      </c>
      <c r="R2" s="7" t="n">
        <f aca="false">IF(OR(F2="Open",F2="Reopened"),1,0)</f>
        <v>0</v>
      </c>
      <c r="S2" s="7" t="n">
        <f aca="false">IF(AND(H2&gt;='Exec Summary'!$E$1,H2&lt;='Exec Summary'!$E$2),1,0)</f>
        <v>0</v>
      </c>
      <c r="T2" s="7" t="n">
        <f aca="false">IF(AND(F2="Closed",I2&lt;&gt;"",I2&gt;='Exec Summary'!$E$1,I2&lt;='Exec Summary'!$E$2),1,0)</f>
        <v>1</v>
      </c>
      <c r="U2" s="7" t="n">
        <f aca="false">IF(F2="Reopened",1,0)</f>
        <v>0</v>
      </c>
      <c r="V2" s="7" t="n">
        <f aca="false">IF(AND(R2=1,O2&gt;Q2),1,0)</f>
        <v>0</v>
      </c>
      <c r="W2" s="7" t="n">
        <f aca="false">IF(AND(T2=1,P2&lt;&gt;"",P2&lt;=Q2),1,0)</f>
        <v>1</v>
      </c>
      <c r="AA2" s="11" t="s">
        <v>19</v>
      </c>
      <c r="AB2" s="0" t="n">
        <v>15</v>
      </c>
    </row>
    <row r="3" customFormat="false" ht="15" hidden="false" customHeight="false" outlineLevel="0" collapsed="false">
      <c r="A3" s="7" t="s">
        <v>45</v>
      </c>
      <c r="B3" s="7" t="s">
        <v>46</v>
      </c>
      <c r="C3" s="7" t="s">
        <v>47</v>
      </c>
      <c r="D3" s="7" t="s">
        <v>54</v>
      </c>
      <c r="E3" s="7" t="s">
        <v>55</v>
      </c>
      <c r="F3" s="7" t="s">
        <v>56</v>
      </c>
      <c r="G3" s="7" t="s">
        <v>19</v>
      </c>
      <c r="H3" s="9" t="n">
        <v>46166</v>
      </c>
      <c r="I3" s="9"/>
      <c r="J3" s="7" t="n">
        <v>9.8</v>
      </c>
      <c r="K3" s="7" t="s">
        <v>51</v>
      </c>
      <c r="L3" s="7" t="s">
        <v>20</v>
      </c>
      <c r="M3" s="7" t="s">
        <v>57</v>
      </c>
      <c r="N3" s="7" t="s">
        <v>58</v>
      </c>
      <c r="O3" s="10" t="n">
        <f aca="false">'Exec Summary'!$E$2-H3</f>
        <v>68</v>
      </c>
      <c r="P3" s="10" t="str">
        <f aca="false">IF(I3="","",I3-H3)</f>
        <v/>
      </c>
      <c r="Q3" s="10" t="n">
        <f aca="false">VLOOKUP(G3,$AA$2:$AB$5,2,FALSE())</f>
        <v>15</v>
      </c>
      <c r="R3" s="7" t="n">
        <f aca="false">IF(OR(F3="Open",F3="Reopened"),1,0)</f>
        <v>1</v>
      </c>
      <c r="S3" s="7" t="n">
        <f aca="false">IF(AND(H3&gt;='Exec Summary'!$E$1,H3&lt;='Exec Summary'!$E$2),1,0)</f>
        <v>0</v>
      </c>
      <c r="T3" s="7" t="n">
        <f aca="false">IF(AND(F3="Closed",I3&lt;&gt;"",I3&gt;='Exec Summary'!$E$1,I3&lt;='Exec Summary'!$E$2),1,0)</f>
        <v>0</v>
      </c>
      <c r="U3" s="7" t="n">
        <f aca="false">IF(F3="Reopened",1,0)</f>
        <v>0</v>
      </c>
      <c r="V3" s="7" t="n">
        <f aca="false">IF(AND(R3=1,O3&gt;Q3),1,0)</f>
        <v>1</v>
      </c>
      <c r="W3" s="7" t="n">
        <f aca="false">IF(AND(T3=1,P3&lt;&gt;"",P3&lt;=Q3),1,0)</f>
        <v>0</v>
      </c>
      <c r="AA3" s="11" t="s">
        <v>20</v>
      </c>
      <c r="AB3" s="0" t="n">
        <v>30</v>
      </c>
    </row>
    <row r="4" customFormat="false" ht="15" hidden="false" customHeight="false" outlineLevel="0" collapsed="false">
      <c r="A4" s="7" t="s">
        <v>45</v>
      </c>
      <c r="B4" s="7" t="s">
        <v>46</v>
      </c>
      <c r="C4" s="7" t="s">
        <v>47</v>
      </c>
      <c r="D4" s="7" t="s">
        <v>59</v>
      </c>
      <c r="E4" s="7" t="s">
        <v>60</v>
      </c>
      <c r="F4" s="7" t="s">
        <v>50</v>
      </c>
      <c r="G4" s="7" t="s">
        <v>19</v>
      </c>
      <c r="H4" s="9" t="n">
        <v>46051</v>
      </c>
      <c r="I4" s="9" t="n">
        <v>46063</v>
      </c>
      <c r="J4" s="7" t="n">
        <v>7.8</v>
      </c>
      <c r="K4" s="7" t="s">
        <v>51</v>
      </c>
      <c r="L4" s="7" t="s">
        <v>20</v>
      </c>
      <c r="M4" s="7" t="s">
        <v>61</v>
      </c>
      <c r="N4" s="7" t="s">
        <v>58</v>
      </c>
      <c r="O4" s="10" t="n">
        <f aca="false">'Exec Summary'!$E$2-H4</f>
        <v>183</v>
      </c>
      <c r="P4" s="10" t="n">
        <f aca="false">IF(I4="","",I4-H4)</f>
        <v>12</v>
      </c>
      <c r="Q4" s="10" t="n">
        <f aca="false">VLOOKUP(G4,$AA$2:$AB$5,2,FALSE())</f>
        <v>15</v>
      </c>
      <c r="R4" s="7" t="n">
        <f aca="false">IF(OR(F4="Open",F4="Reopened"),1,0)</f>
        <v>0</v>
      </c>
      <c r="S4" s="7" t="n">
        <f aca="false">IF(AND(H4&gt;='Exec Summary'!$E$1,H4&lt;='Exec Summary'!$E$2),1,0)</f>
        <v>0</v>
      </c>
      <c r="T4" s="7" t="n">
        <f aca="false">IF(AND(F4="Closed",I4&lt;&gt;"",I4&gt;='Exec Summary'!$E$1,I4&lt;='Exec Summary'!$E$2),1,0)</f>
        <v>0</v>
      </c>
      <c r="U4" s="7" t="n">
        <f aca="false">IF(F4="Reopened",1,0)</f>
        <v>0</v>
      </c>
      <c r="V4" s="7" t="n">
        <f aca="false">IF(AND(R4=1,O4&gt;Q4),1,0)</f>
        <v>0</v>
      </c>
      <c r="W4" s="7" t="n">
        <f aca="false">IF(AND(T4=1,P4&lt;&gt;"",P4&lt;=Q4),1,0)</f>
        <v>0</v>
      </c>
      <c r="AA4" s="11" t="s">
        <v>21</v>
      </c>
      <c r="AB4" s="0" t="n">
        <v>90</v>
      </c>
    </row>
    <row r="5" customFormat="false" ht="15" hidden="false" customHeight="false" outlineLevel="0" collapsed="false">
      <c r="A5" s="7" t="s">
        <v>45</v>
      </c>
      <c r="B5" s="7" t="s">
        <v>46</v>
      </c>
      <c r="C5" s="7" t="s">
        <v>47</v>
      </c>
      <c r="D5" s="7" t="s">
        <v>62</v>
      </c>
      <c r="E5" s="7" t="s">
        <v>63</v>
      </c>
      <c r="F5" s="7" t="s">
        <v>56</v>
      </c>
      <c r="G5" s="7" t="s">
        <v>20</v>
      </c>
      <c r="H5" s="9" t="n">
        <v>46148</v>
      </c>
      <c r="I5" s="9"/>
      <c r="J5" s="7" t="n">
        <v>8.1</v>
      </c>
      <c r="K5" s="7" t="s">
        <v>51</v>
      </c>
      <c r="L5" s="7" t="s">
        <v>20</v>
      </c>
      <c r="M5" s="7" t="s">
        <v>64</v>
      </c>
      <c r="N5" s="7" t="s">
        <v>53</v>
      </c>
      <c r="O5" s="10" t="n">
        <f aca="false">'Exec Summary'!$E$2-H5</f>
        <v>86</v>
      </c>
      <c r="P5" s="10" t="str">
        <f aca="false">IF(I5="","",I5-H5)</f>
        <v/>
      </c>
      <c r="Q5" s="10" t="n">
        <f aca="false">VLOOKUP(G5,$AA$2:$AB$5,2,FALSE())</f>
        <v>30</v>
      </c>
      <c r="R5" s="7" t="n">
        <f aca="false">IF(OR(F5="Open",F5="Reopened"),1,0)</f>
        <v>1</v>
      </c>
      <c r="S5" s="7" t="n">
        <f aca="false">IF(AND(H5&gt;='Exec Summary'!$E$1,H5&lt;='Exec Summary'!$E$2),1,0)</f>
        <v>0</v>
      </c>
      <c r="T5" s="7" t="n">
        <f aca="false">IF(AND(F5="Closed",I5&lt;&gt;"",I5&gt;='Exec Summary'!$E$1,I5&lt;='Exec Summary'!$E$2),1,0)</f>
        <v>0</v>
      </c>
      <c r="U5" s="7" t="n">
        <f aca="false">IF(F5="Reopened",1,0)</f>
        <v>0</v>
      </c>
      <c r="V5" s="7" t="n">
        <f aca="false">IF(AND(R5=1,O5&gt;Q5),1,0)</f>
        <v>1</v>
      </c>
      <c r="W5" s="7" t="n">
        <f aca="false">IF(AND(T5=1,P5&lt;&gt;"",P5&lt;=Q5),1,0)</f>
        <v>0</v>
      </c>
      <c r="AA5" s="11" t="s">
        <v>22</v>
      </c>
      <c r="AB5" s="0" t="n">
        <v>180</v>
      </c>
    </row>
    <row r="6" customFormat="false" ht="15" hidden="false" customHeight="false" outlineLevel="0" collapsed="false">
      <c r="A6" s="7" t="s">
        <v>45</v>
      </c>
      <c r="B6" s="7" t="s">
        <v>46</v>
      </c>
      <c r="C6" s="7" t="s">
        <v>47</v>
      </c>
      <c r="D6" s="7" t="s">
        <v>65</v>
      </c>
      <c r="E6" s="7" t="s">
        <v>66</v>
      </c>
      <c r="F6" s="7" t="s">
        <v>50</v>
      </c>
      <c r="G6" s="7" t="s">
        <v>19</v>
      </c>
      <c r="H6" s="9" t="n">
        <v>46024</v>
      </c>
      <c r="I6" s="9" t="n">
        <v>46036</v>
      </c>
      <c r="J6" s="7" t="n">
        <v>9.8</v>
      </c>
      <c r="K6" s="7" t="s">
        <v>51</v>
      </c>
      <c r="L6" s="7" t="s">
        <v>20</v>
      </c>
      <c r="M6" s="7" t="s">
        <v>67</v>
      </c>
      <c r="N6" s="7" t="s">
        <v>58</v>
      </c>
      <c r="O6" s="10" t="n">
        <f aca="false">'Exec Summary'!$E$2-H6</f>
        <v>210</v>
      </c>
      <c r="P6" s="10" t="n">
        <f aca="false">IF(I6="","",I6-H6)</f>
        <v>12</v>
      </c>
      <c r="Q6" s="10" t="n">
        <f aca="false">VLOOKUP(G6,$AA$2:$AB$5,2,FALSE())</f>
        <v>15</v>
      </c>
      <c r="R6" s="7" t="n">
        <f aca="false">IF(OR(F6="Open",F6="Reopened"),1,0)</f>
        <v>0</v>
      </c>
      <c r="S6" s="7" t="n">
        <f aca="false">IF(AND(H6&gt;='Exec Summary'!$E$1,H6&lt;='Exec Summary'!$E$2),1,0)</f>
        <v>0</v>
      </c>
      <c r="T6" s="7" t="n">
        <f aca="false">IF(AND(F6="Closed",I6&lt;&gt;"",I6&gt;='Exec Summary'!$E$1,I6&lt;='Exec Summary'!$E$2),1,0)</f>
        <v>0</v>
      </c>
      <c r="U6" s="7" t="n">
        <f aca="false">IF(F6="Reopened",1,0)</f>
        <v>0</v>
      </c>
      <c r="V6" s="7" t="n">
        <f aca="false">IF(AND(R6=1,O6&gt;Q6),1,0)</f>
        <v>0</v>
      </c>
      <c r="W6" s="7" t="n">
        <f aca="false">IF(AND(T6=1,P6&lt;&gt;"",P6&lt;=Q6),1,0)</f>
        <v>0</v>
      </c>
    </row>
    <row r="7" customFormat="false" ht="15" hidden="false" customHeight="false" outlineLevel="0" collapsed="false">
      <c r="A7" s="7" t="s">
        <v>45</v>
      </c>
      <c r="B7" s="7" t="s">
        <v>46</v>
      </c>
      <c r="C7" s="7" t="s">
        <v>47</v>
      </c>
      <c r="D7" s="7" t="s">
        <v>68</v>
      </c>
      <c r="E7" s="7" t="s">
        <v>69</v>
      </c>
      <c r="F7" s="7" t="s">
        <v>50</v>
      </c>
      <c r="G7" s="7" t="s">
        <v>19</v>
      </c>
      <c r="H7" s="9" t="n">
        <v>46206</v>
      </c>
      <c r="I7" s="9" t="n">
        <v>46222</v>
      </c>
      <c r="J7" s="7" t="n">
        <v>9.8</v>
      </c>
      <c r="K7" s="7" t="s">
        <v>51</v>
      </c>
      <c r="L7" s="7" t="s">
        <v>20</v>
      </c>
      <c r="M7" s="7" t="s">
        <v>70</v>
      </c>
      <c r="N7" s="7" t="s">
        <v>58</v>
      </c>
      <c r="O7" s="10" t="n">
        <f aca="false">'Exec Summary'!$E$2-H7</f>
        <v>28</v>
      </c>
      <c r="P7" s="10" t="n">
        <f aca="false">IF(I7="","",I7-H7)</f>
        <v>16</v>
      </c>
      <c r="Q7" s="10" t="n">
        <f aca="false">VLOOKUP(G7,$AA$2:$AB$5,2,FALSE())</f>
        <v>15</v>
      </c>
      <c r="R7" s="7" t="n">
        <f aca="false">IF(OR(F7="Open",F7="Reopened"),1,0)</f>
        <v>0</v>
      </c>
      <c r="S7" s="7" t="n">
        <f aca="false">IF(AND(H7&gt;='Exec Summary'!$E$1,H7&lt;='Exec Summary'!$E$2),1,0)</f>
        <v>1</v>
      </c>
      <c r="T7" s="7" t="n">
        <f aca="false">IF(AND(F7="Closed",I7&lt;&gt;"",I7&gt;='Exec Summary'!$E$1,I7&lt;='Exec Summary'!$E$2),1,0)</f>
        <v>1</v>
      </c>
      <c r="U7" s="7" t="n">
        <f aca="false">IF(F7="Reopened",1,0)</f>
        <v>0</v>
      </c>
      <c r="V7" s="7" t="n">
        <f aca="false">IF(AND(R7=1,O7&gt;Q7),1,0)</f>
        <v>0</v>
      </c>
      <c r="W7" s="7" t="n">
        <f aca="false">IF(AND(T7=1,P7&lt;&gt;"",P7&lt;=Q7),1,0)</f>
        <v>0</v>
      </c>
    </row>
    <row r="8" customFormat="false" ht="15" hidden="false" customHeight="false" outlineLevel="0" collapsed="false">
      <c r="A8" s="7" t="s">
        <v>45</v>
      </c>
      <c r="B8" s="7" t="s">
        <v>46</v>
      </c>
      <c r="C8" s="7" t="s">
        <v>47</v>
      </c>
      <c r="D8" s="7" t="s">
        <v>71</v>
      </c>
      <c r="E8" s="7" t="s">
        <v>72</v>
      </c>
      <c r="F8" s="7" t="s">
        <v>50</v>
      </c>
      <c r="G8" s="7" t="s">
        <v>19</v>
      </c>
      <c r="H8" s="9" t="n">
        <v>46154</v>
      </c>
      <c r="I8" s="9" t="n">
        <v>46170</v>
      </c>
      <c r="J8" s="7" t="n">
        <v>9.8</v>
      </c>
      <c r="K8" s="7" t="s">
        <v>51</v>
      </c>
      <c r="L8" s="7" t="s">
        <v>20</v>
      </c>
      <c r="M8" s="7" t="s">
        <v>73</v>
      </c>
      <c r="N8" s="7" t="s">
        <v>58</v>
      </c>
      <c r="O8" s="10" t="n">
        <f aca="false">'Exec Summary'!$E$2-H8</f>
        <v>80</v>
      </c>
      <c r="P8" s="10" t="n">
        <f aca="false">IF(I8="","",I8-H8)</f>
        <v>16</v>
      </c>
      <c r="Q8" s="10" t="n">
        <f aca="false">VLOOKUP(G8,$AA$2:$AB$5,2,FALSE())</f>
        <v>15</v>
      </c>
      <c r="R8" s="7" t="n">
        <f aca="false">IF(OR(F8="Open",F8="Reopened"),1,0)</f>
        <v>0</v>
      </c>
      <c r="S8" s="7" t="n">
        <f aca="false">IF(AND(H8&gt;='Exec Summary'!$E$1,H8&lt;='Exec Summary'!$E$2),1,0)</f>
        <v>0</v>
      </c>
      <c r="T8" s="7" t="n">
        <f aca="false">IF(AND(F8="Closed",I8&lt;&gt;"",I8&gt;='Exec Summary'!$E$1,I8&lt;='Exec Summary'!$E$2),1,0)</f>
        <v>0</v>
      </c>
      <c r="U8" s="7" t="n">
        <f aca="false">IF(F8="Reopened",1,0)</f>
        <v>0</v>
      </c>
      <c r="V8" s="7" t="n">
        <f aca="false">IF(AND(R8=1,O8&gt;Q8),1,0)</f>
        <v>0</v>
      </c>
      <c r="W8" s="7" t="n">
        <f aca="false">IF(AND(T8=1,P8&lt;&gt;"",P8&lt;=Q8),1,0)</f>
        <v>0</v>
      </c>
    </row>
    <row r="9" customFormat="false" ht="15" hidden="false" customHeight="false" outlineLevel="0" collapsed="false">
      <c r="A9" s="7" t="s">
        <v>45</v>
      </c>
      <c r="B9" s="7" t="s">
        <v>46</v>
      </c>
      <c r="C9" s="7" t="s">
        <v>47</v>
      </c>
      <c r="D9" s="7" t="s">
        <v>74</v>
      </c>
      <c r="E9" s="7" t="s">
        <v>75</v>
      </c>
      <c r="F9" s="7" t="s">
        <v>50</v>
      </c>
      <c r="G9" s="7" t="s">
        <v>21</v>
      </c>
      <c r="H9" s="9" t="n">
        <v>46205</v>
      </c>
      <c r="I9" s="9" t="n">
        <v>46234</v>
      </c>
      <c r="J9" s="7" t="n">
        <v>6.5</v>
      </c>
      <c r="K9" s="7" t="s">
        <v>51</v>
      </c>
      <c r="L9" s="7" t="s">
        <v>20</v>
      </c>
      <c r="M9" s="7" t="s">
        <v>76</v>
      </c>
      <c r="N9" s="7" t="s">
        <v>77</v>
      </c>
      <c r="O9" s="10" t="n">
        <f aca="false">'Exec Summary'!$E$2-H9</f>
        <v>29</v>
      </c>
      <c r="P9" s="10" t="n">
        <f aca="false">IF(I9="","",I9-H9)</f>
        <v>29</v>
      </c>
      <c r="Q9" s="10" t="n">
        <f aca="false">VLOOKUP(G9,$AA$2:$AB$5,2,FALSE())</f>
        <v>90</v>
      </c>
      <c r="R9" s="7" t="n">
        <f aca="false">IF(OR(F9="Open",F9="Reopened"),1,0)</f>
        <v>0</v>
      </c>
      <c r="S9" s="7" t="n">
        <f aca="false">IF(AND(H9&gt;='Exec Summary'!$E$1,H9&lt;='Exec Summary'!$E$2),1,0)</f>
        <v>1</v>
      </c>
      <c r="T9" s="7" t="n">
        <f aca="false">IF(AND(F9="Closed",I9&lt;&gt;"",I9&gt;='Exec Summary'!$E$1,I9&lt;='Exec Summary'!$E$2),1,0)</f>
        <v>1</v>
      </c>
      <c r="U9" s="7" t="n">
        <f aca="false">IF(F9="Reopened",1,0)</f>
        <v>0</v>
      </c>
      <c r="V9" s="7" t="n">
        <f aca="false">IF(AND(R9=1,O9&gt;Q9),1,0)</f>
        <v>0</v>
      </c>
      <c r="W9" s="7" t="n">
        <f aca="false">IF(AND(T9=1,P9&lt;&gt;"",P9&lt;=Q9),1,0)</f>
        <v>1</v>
      </c>
    </row>
    <row r="10" customFormat="false" ht="15" hidden="false" customHeight="false" outlineLevel="0" collapsed="false">
      <c r="A10" s="7" t="s">
        <v>78</v>
      </c>
      <c r="B10" s="7" t="s">
        <v>46</v>
      </c>
      <c r="C10" s="7" t="s">
        <v>79</v>
      </c>
      <c r="D10" s="7" t="s">
        <v>54</v>
      </c>
      <c r="E10" s="7" t="s">
        <v>55</v>
      </c>
      <c r="F10" s="7" t="s">
        <v>50</v>
      </c>
      <c r="G10" s="7" t="s">
        <v>19</v>
      </c>
      <c r="H10" s="9" t="n">
        <v>45994</v>
      </c>
      <c r="I10" s="9" t="n">
        <v>46002</v>
      </c>
      <c r="J10" s="7" t="n">
        <v>9.8</v>
      </c>
      <c r="K10" s="7" t="s">
        <v>51</v>
      </c>
      <c r="L10" s="7" t="s">
        <v>21</v>
      </c>
      <c r="M10" s="7" t="s">
        <v>80</v>
      </c>
      <c r="N10" s="7" t="s">
        <v>58</v>
      </c>
      <c r="O10" s="10" t="n">
        <f aca="false">'Exec Summary'!$E$2-H10</f>
        <v>240</v>
      </c>
      <c r="P10" s="10" t="n">
        <f aca="false">IF(I10="","",I10-H10)</f>
        <v>8</v>
      </c>
      <c r="Q10" s="10" t="n">
        <f aca="false">VLOOKUP(G10,$AA$2:$AB$5,2,FALSE())</f>
        <v>15</v>
      </c>
      <c r="R10" s="7" t="n">
        <f aca="false">IF(OR(F10="Open",F10="Reopened"),1,0)</f>
        <v>0</v>
      </c>
      <c r="S10" s="7" t="n">
        <f aca="false">IF(AND(H10&gt;='Exec Summary'!$E$1,H10&lt;='Exec Summary'!$E$2),1,0)</f>
        <v>0</v>
      </c>
      <c r="T10" s="7" t="n">
        <f aca="false">IF(AND(F10="Closed",I10&lt;&gt;"",I10&gt;='Exec Summary'!$E$1,I10&lt;='Exec Summary'!$E$2),1,0)</f>
        <v>0</v>
      </c>
      <c r="U10" s="7" t="n">
        <f aca="false">IF(F10="Reopened",1,0)</f>
        <v>0</v>
      </c>
      <c r="V10" s="7" t="n">
        <f aca="false">IF(AND(R10=1,O10&gt;Q10),1,0)</f>
        <v>0</v>
      </c>
      <c r="W10" s="7" t="n">
        <f aca="false">IF(AND(T10=1,P10&lt;&gt;"",P10&lt;=Q10),1,0)</f>
        <v>0</v>
      </c>
    </row>
    <row r="11" customFormat="false" ht="15" hidden="false" customHeight="false" outlineLevel="0" collapsed="false">
      <c r="A11" s="7" t="s">
        <v>78</v>
      </c>
      <c r="B11" s="7" t="s">
        <v>46</v>
      </c>
      <c r="C11" s="7" t="s">
        <v>79</v>
      </c>
      <c r="D11" s="7" t="s">
        <v>81</v>
      </c>
      <c r="E11" s="7" t="s">
        <v>82</v>
      </c>
      <c r="F11" s="7" t="s">
        <v>50</v>
      </c>
      <c r="G11" s="7" t="s">
        <v>20</v>
      </c>
      <c r="H11" s="9" t="n">
        <v>46095</v>
      </c>
      <c r="I11" s="9" t="n">
        <v>46128</v>
      </c>
      <c r="J11" s="7" t="n">
        <v>7.8</v>
      </c>
      <c r="K11" s="7" t="s">
        <v>51</v>
      </c>
      <c r="L11" s="7" t="s">
        <v>21</v>
      </c>
      <c r="M11" s="7" t="s">
        <v>83</v>
      </c>
      <c r="N11" s="7" t="s">
        <v>53</v>
      </c>
      <c r="O11" s="10" t="n">
        <f aca="false">'Exec Summary'!$E$2-H11</f>
        <v>139</v>
      </c>
      <c r="P11" s="10" t="n">
        <f aca="false">IF(I11="","",I11-H11)</f>
        <v>33</v>
      </c>
      <c r="Q11" s="10" t="n">
        <f aca="false">VLOOKUP(G11,$AA$2:$AB$5,2,FALSE())</f>
        <v>30</v>
      </c>
      <c r="R11" s="7" t="n">
        <f aca="false">IF(OR(F11="Open",F11="Reopened"),1,0)</f>
        <v>0</v>
      </c>
      <c r="S11" s="7" t="n">
        <f aca="false">IF(AND(H11&gt;='Exec Summary'!$E$1,H11&lt;='Exec Summary'!$E$2),1,0)</f>
        <v>0</v>
      </c>
      <c r="T11" s="7" t="n">
        <f aca="false">IF(AND(F11="Closed",I11&lt;&gt;"",I11&gt;='Exec Summary'!$E$1,I11&lt;='Exec Summary'!$E$2),1,0)</f>
        <v>0</v>
      </c>
      <c r="U11" s="7" t="n">
        <f aca="false">IF(F11="Reopened",1,0)</f>
        <v>0</v>
      </c>
      <c r="V11" s="7" t="n">
        <f aca="false">IF(AND(R11=1,O11&gt;Q11),1,0)</f>
        <v>0</v>
      </c>
      <c r="W11" s="7" t="n">
        <f aca="false">IF(AND(T11=1,P11&lt;&gt;"",P11&lt;=Q11),1,0)</f>
        <v>0</v>
      </c>
    </row>
    <row r="12" customFormat="false" ht="15" hidden="false" customHeight="false" outlineLevel="0" collapsed="false">
      <c r="A12" s="7" t="s">
        <v>78</v>
      </c>
      <c r="B12" s="7" t="s">
        <v>46</v>
      </c>
      <c r="C12" s="7" t="s">
        <v>79</v>
      </c>
      <c r="D12" s="7" t="s">
        <v>84</v>
      </c>
      <c r="E12" s="7" t="s">
        <v>85</v>
      </c>
      <c r="F12" s="7" t="s">
        <v>50</v>
      </c>
      <c r="G12" s="7" t="s">
        <v>20</v>
      </c>
      <c r="H12" s="9" t="n">
        <v>46208</v>
      </c>
      <c r="I12" s="9" t="n">
        <v>46234</v>
      </c>
      <c r="J12" s="7" t="n">
        <v>7.5</v>
      </c>
      <c r="K12" s="7" t="s">
        <v>51</v>
      </c>
      <c r="L12" s="7" t="s">
        <v>21</v>
      </c>
      <c r="M12" s="7" t="s">
        <v>86</v>
      </c>
      <c r="N12" s="7" t="s">
        <v>53</v>
      </c>
      <c r="O12" s="10" t="n">
        <f aca="false">'Exec Summary'!$E$2-H12</f>
        <v>26</v>
      </c>
      <c r="P12" s="10" t="n">
        <f aca="false">IF(I12="","",I12-H12)</f>
        <v>26</v>
      </c>
      <c r="Q12" s="10" t="n">
        <f aca="false">VLOOKUP(G12,$AA$2:$AB$5,2,FALSE())</f>
        <v>30</v>
      </c>
      <c r="R12" s="7" t="n">
        <f aca="false">IF(OR(F12="Open",F12="Reopened"),1,0)</f>
        <v>0</v>
      </c>
      <c r="S12" s="7" t="n">
        <f aca="false">IF(AND(H12&gt;='Exec Summary'!$E$1,H12&lt;='Exec Summary'!$E$2),1,0)</f>
        <v>1</v>
      </c>
      <c r="T12" s="7" t="n">
        <f aca="false">IF(AND(F12="Closed",I12&lt;&gt;"",I12&gt;='Exec Summary'!$E$1,I12&lt;='Exec Summary'!$E$2),1,0)</f>
        <v>1</v>
      </c>
      <c r="U12" s="7" t="n">
        <f aca="false">IF(F12="Reopened",1,0)</f>
        <v>0</v>
      </c>
      <c r="V12" s="7" t="n">
        <f aca="false">IF(AND(R12=1,O12&gt;Q12),1,0)</f>
        <v>0</v>
      </c>
      <c r="W12" s="7" t="n">
        <f aca="false">IF(AND(T12=1,P12&lt;&gt;"",P12&lt;=Q12),1,0)</f>
        <v>1</v>
      </c>
    </row>
    <row r="13" customFormat="false" ht="15" hidden="false" customHeight="false" outlineLevel="0" collapsed="false">
      <c r="A13" s="7" t="s">
        <v>78</v>
      </c>
      <c r="B13" s="7" t="s">
        <v>46</v>
      </c>
      <c r="C13" s="7" t="s">
        <v>79</v>
      </c>
      <c r="D13" s="7" t="s">
        <v>87</v>
      </c>
      <c r="E13" s="7" t="s">
        <v>88</v>
      </c>
      <c r="F13" s="7" t="s">
        <v>56</v>
      </c>
      <c r="G13" s="7" t="s">
        <v>19</v>
      </c>
      <c r="H13" s="9" t="n">
        <v>46137</v>
      </c>
      <c r="I13" s="9"/>
      <c r="J13" s="7" t="n">
        <v>10</v>
      </c>
      <c r="K13" s="7" t="s">
        <v>51</v>
      </c>
      <c r="L13" s="7" t="s">
        <v>21</v>
      </c>
      <c r="M13" s="7" t="s">
        <v>89</v>
      </c>
      <c r="N13" s="7" t="s">
        <v>58</v>
      </c>
      <c r="O13" s="10" t="n">
        <f aca="false">'Exec Summary'!$E$2-H13</f>
        <v>97</v>
      </c>
      <c r="P13" s="10" t="str">
        <f aca="false">IF(I13="","",I13-H13)</f>
        <v/>
      </c>
      <c r="Q13" s="10" t="n">
        <f aca="false">VLOOKUP(G13,$AA$2:$AB$5,2,FALSE())</f>
        <v>15</v>
      </c>
      <c r="R13" s="7" t="n">
        <f aca="false">IF(OR(F13="Open",F13="Reopened"),1,0)</f>
        <v>1</v>
      </c>
      <c r="S13" s="7" t="n">
        <f aca="false">IF(AND(H13&gt;='Exec Summary'!$E$1,H13&lt;='Exec Summary'!$E$2),1,0)</f>
        <v>0</v>
      </c>
      <c r="T13" s="7" t="n">
        <f aca="false">IF(AND(F13="Closed",I13&lt;&gt;"",I13&gt;='Exec Summary'!$E$1,I13&lt;='Exec Summary'!$E$2),1,0)</f>
        <v>0</v>
      </c>
      <c r="U13" s="7" t="n">
        <f aca="false">IF(F13="Reopened",1,0)</f>
        <v>0</v>
      </c>
      <c r="V13" s="7" t="n">
        <f aca="false">IF(AND(R13=1,O13&gt;Q13),1,0)</f>
        <v>1</v>
      </c>
      <c r="W13" s="7" t="n">
        <f aca="false">IF(AND(T13=1,P13&lt;&gt;"",P13&lt;=Q13),1,0)</f>
        <v>0</v>
      </c>
    </row>
    <row r="14" customFormat="false" ht="15" hidden="false" customHeight="false" outlineLevel="0" collapsed="false">
      <c r="A14" s="7" t="s">
        <v>78</v>
      </c>
      <c r="B14" s="7" t="s">
        <v>46</v>
      </c>
      <c r="C14" s="7" t="s">
        <v>79</v>
      </c>
      <c r="D14" s="7" t="s">
        <v>65</v>
      </c>
      <c r="E14" s="7" t="s">
        <v>66</v>
      </c>
      <c r="F14" s="7" t="s">
        <v>56</v>
      </c>
      <c r="G14" s="7" t="s">
        <v>19</v>
      </c>
      <c r="H14" s="9" t="n">
        <v>46216</v>
      </c>
      <c r="I14" s="9"/>
      <c r="J14" s="7" t="n">
        <v>9.8</v>
      </c>
      <c r="K14" s="7" t="s">
        <v>51</v>
      </c>
      <c r="L14" s="7" t="s">
        <v>21</v>
      </c>
      <c r="M14" s="7" t="s">
        <v>90</v>
      </c>
      <c r="N14" s="7" t="s">
        <v>58</v>
      </c>
      <c r="O14" s="10" t="n">
        <f aca="false">'Exec Summary'!$E$2-H14</f>
        <v>18</v>
      </c>
      <c r="P14" s="10" t="str">
        <f aca="false">IF(I14="","",I14-H14)</f>
        <v/>
      </c>
      <c r="Q14" s="10" t="n">
        <f aca="false">VLOOKUP(G14,$AA$2:$AB$5,2,FALSE())</f>
        <v>15</v>
      </c>
      <c r="R14" s="7" t="n">
        <f aca="false">IF(OR(F14="Open",F14="Reopened"),1,0)</f>
        <v>1</v>
      </c>
      <c r="S14" s="7" t="n">
        <f aca="false">IF(AND(H14&gt;='Exec Summary'!$E$1,H14&lt;='Exec Summary'!$E$2),1,0)</f>
        <v>1</v>
      </c>
      <c r="T14" s="7" t="n">
        <f aca="false">IF(AND(F14="Closed",I14&lt;&gt;"",I14&gt;='Exec Summary'!$E$1,I14&lt;='Exec Summary'!$E$2),1,0)</f>
        <v>0</v>
      </c>
      <c r="U14" s="7" t="n">
        <f aca="false">IF(F14="Reopened",1,0)</f>
        <v>0</v>
      </c>
      <c r="V14" s="7" t="n">
        <f aca="false">IF(AND(R14=1,O14&gt;Q14),1,0)</f>
        <v>1</v>
      </c>
      <c r="W14" s="7" t="n">
        <f aca="false">IF(AND(T14=1,P14&lt;&gt;"",P14&lt;=Q14),1,0)</f>
        <v>0</v>
      </c>
    </row>
    <row r="15" customFormat="false" ht="15" hidden="false" customHeight="false" outlineLevel="0" collapsed="false">
      <c r="A15" s="7" t="s">
        <v>78</v>
      </c>
      <c r="B15" s="7" t="s">
        <v>46</v>
      </c>
      <c r="C15" s="7" t="s">
        <v>79</v>
      </c>
      <c r="D15" s="7" t="s">
        <v>91</v>
      </c>
      <c r="E15" s="7" t="s">
        <v>92</v>
      </c>
      <c r="F15" s="7" t="s">
        <v>50</v>
      </c>
      <c r="G15" s="7" t="s">
        <v>20</v>
      </c>
      <c r="H15" s="9" t="n">
        <v>46025</v>
      </c>
      <c r="I15" s="9" t="n">
        <v>46037</v>
      </c>
      <c r="J15" s="7" t="n">
        <v>8.1</v>
      </c>
      <c r="K15" s="7" t="s">
        <v>51</v>
      </c>
      <c r="L15" s="7" t="s">
        <v>21</v>
      </c>
      <c r="M15" s="7" t="s">
        <v>93</v>
      </c>
      <c r="N15" s="7" t="s">
        <v>53</v>
      </c>
      <c r="O15" s="10" t="n">
        <f aca="false">'Exec Summary'!$E$2-H15</f>
        <v>209</v>
      </c>
      <c r="P15" s="10" t="n">
        <f aca="false">IF(I15="","",I15-H15)</f>
        <v>12</v>
      </c>
      <c r="Q15" s="10" t="n">
        <f aca="false">VLOOKUP(G15,$AA$2:$AB$5,2,FALSE())</f>
        <v>30</v>
      </c>
      <c r="R15" s="7" t="n">
        <f aca="false">IF(OR(F15="Open",F15="Reopened"),1,0)</f>
        <v>0</v>
      </c>
      <c r="S15" s="7" t="n">
        <f aca="false">IF(AND(H15&gt;='Exec Summary'!$E$1,H15&lt;='Exec Summary'!$E$2),1,0)</f>
        <v>0</v>
      </c>
      <c r="T15" s="7" t="n">
        <f aca="false">IF(AND(F15="Closed",I15&lt;&gt;"",I15&gt;='Exec Summary'!$E$1,I15&lt;='Exec Summary'!$E$2),1,0)</f>
        <v>0</v>
      </c>
      <c r="U15" s="7" t="n">
        <f aca="false">IF(F15="Reopened",1,0)</f>
        <v>0</v>
      </c>
      <c r="V15" s="7" t="n">
        <f aca="false">IF(AND(R15=1,O15&gt;Q15),1,0)</f>
        <v>0</v>
      </c>
      <c r="W15" s="7" t="n">
        <f aca="false">IF(AND(T15=1,P15&lt;&gt;"",P15&lt;=Q15),1,0)</f>
        <v>0</v>
      </c>
    </row>
    <row r="16" customFormat="false" ht="15" hidden="false" customHeight="false" outlineLevel="0" collapsed="false">
      <c r="A16" s="7" t="s">
        <v>78</v>
      </c>
      <c r="B16" s="7" t="s">
        <v>46</v>
      </c>
      <c r="C16" s="7" t="s">
        <v>79</v>
      </c>
      <c r="D16" s="7" t="s">
        <v>62</v>
      </c>
      <c r="E16" s="7" t="s">
        <v>63</v>
      </c>
      <c r="F16" s="7" t="s">
        <v>56</v>
      </c>
      <c r="G16" s="7" t="s">
        <v>20</v>
      </c>
      <c r="H16" s="9" t="n">
        <v>46137</v>
      </c>
      <c r="I16" s="9"/>
      <c r="J16" s="7" t="n">
        <v>8.1</v>
      </c>
      <c r="K16" s="7" t="s">
        <v>51</v>
      </c>
      <c r="L16" s="7" t="s">
        <v>21</v>
      </c>
      <c r="M16" s="7" t="s">
        <v>94</v>
      </c>
      <c r="N16" s="7" t="s">
        <v>53</v>
      </c>
      <c r="O16" s="10" t="n">
        <f aca="false">'Exec Summary'!$E$2-H16</f>
        <v>97</v>
      </c>
      <c r="P16" s="10" t="str">
        <f aca="false">IF(I16="","",I16-H16)</f>
        <v/>
      </c>
      <c r="Q16" s="10" t="n">
        <f aca="false">VLOOKUP(G16,$AA$2:$AB$5,2,FALSE())</f>
        <v>30</v>
      </c>
      <c r="R16" s="7" t="n">
        <f aca="false">IF(OR(F16="Open",F16="Reopened"),1,0)</f>
        <v>1</v>
      </c>
      <c r="S16" s="7" t="n">
        <f aca="false">IF(AND(H16&gt;='Exec Summary'!$E$1,H16&lt;='Exec Summary'!$E$2),1,0)</f>
        <v>0</v>
      </c>
      <c r="T16" s="7" t="n">
        <f aca="false">IF(AND(F16="Closed",I16&lt;&gt;"",I16&gt;='Exec Summary'!$E$1,I16&lt;='Exec Summary'!$E$2),1,0)</f>
        <v>0</v>
      </c>
      <c r="U16" s="7" t="n">
        <f aca="false">IF(F16="Reopened",1,0)</f>
        <v>0</v>
      </c>
      <c r="V16" s="7" t="n">
        <f aca="false">IF(AND(R16=1,O16&gt;Q16),1,0)</f>
        <v>1</v>
      </c>
      <c r="W16" s="7" t="n">
        <f aca="false">IF(AND(T16=1,P16&lt;&gt;"",P16&lt;=Q16),1,0)</f>
        <v>0</v>
      </c>
    </row>
    <row r="17" customFormat="false" ht="15" hidden="false" customHeight="false" outlineLevel="0" collapsed="false">
      <c r="A17" s="7" t="s">
        <v>78</v>
      </c>
      <c r="B17" s="7" t="s">
        <v>46</v>
      </c>
      <c r="C17" s="7" t="s">
        <v>79</v>
      </c>
      <c r="D17" s="7" t="s">
        <v>95</v>
      </c>
      <c r="E17" s="7" t="s">
        <v>96</v>
      </c>
      <c r="F17" s="7" t="s">
        <v>50</v>
      </c>
      <c r="G17" s="7" t="s">
        <v>20</v>
      </c>
      <c r="H17" s="9" t="n">
        <v>46051</v>
      </c>
      <c r="I17" s="9" t="n">
        <v>46070</v>
      </c>
      <c r="J17" s="7" t="n">
        <v>8.8</v>
      </c>
      <c r="K17" s="7" t="s">
        <v>51</v>
      </c>
      <c r="L17" s="7" t="s">
        <v>21</v>
      </c>
      <c r="M17" s="7" t="s">
        <v>97</v>
      </c>
      <c r="N17" s="7" t="s">
        <v>53</v>
      </c>
      <c r="O17" s="10" t="n">
        <f aca="false">'Exec Summary'!$E$2-H17</f>
        <v>183</v>
      </c>
      <c r="P17" s="10" t="n">
        <f aca="false">IF(I17="","",I17-H17)</f>
        <v>19</v>
      </c>
      <c r="Q17" s="10" t="n">
        <f aca="false">VLOOKUP(G17,$AA$2:$AB$5,2,FALSE())</f>
        <v>30</v>
      </c>
      <c r="R17" s="7" t="n">
        <f aca="false">IF(OR(F17="Open",F17="Reopened"),1,0)</f>
        <v>0</v>
      </c>
      <c r="S17" s="7" t="n">
        <f aca="false">IF(AND(H17&gt;='Exec Summary'!$E$1,H17&lt;='Exec Summary'!$E$2),1,0)</f>
        <v>0</v>
      </c>
      <c r="T17" s="7" t="n">
        <f aca="false">IF(AND(F17="Closed",I17&lt;&gt;"",I17&gt;='Exec Summary'!$E$1,I17&lt;='Exec Summary'!$E$2),1,0)</f>
        <v>0</v>
      </c>
      <c r="U17" s="7" t="n">
        <f aca="false">IF(F17="Reopened",1,0)</f>
        <v>0</v>
      </c>
      <c r="V17" s="7" t="n">
        <f aca="false">IF(AND(R17=1,O17&gt;Q17),1,0)</f>
        <v>0</v>
      </c>
      <c r="W17" s="7" t="n">
        <f aca="false">IF(AND(T17=1,P17&lt;&gt;"",P17&lt;=Q17),1,0)</f>
        <v>0</v>
      </c>
    </row>
    <row r="18" customFormat="false" ht="15" hidden="false" customHeight="false" outlineLevel="0" collapsed="false">
      <c r="A18" s="7" t="s">
        <v>78</v>
      </c>
      <c r="B18" s="7" t="s">
        <v>46</v>
      </c>
      <c r="C18" s="7" t="s">
        <v>79</v>
      </c>
      <c r="D18" s="7" t="s">
        <v>98</v>
      </c>
      <c r="E18" s="7" t="s">
        <v>99</v>
      </c>
      <c r="F18" s="7" t="s">
        <v>50</v>
      </c>
      <c r="G18" s="7" t="s">
        <v>19</v>
      </c>
      <c r="H18" s="9" t="n">
        <v>45985</v>
      </c>
      <c r="I18" s="9" t="n">
        <v>45991</v>
      </c>
      <c r="J18" s="7" t="n">
        <v>10</v>
      </c>
      <c r="K18" s="7" t="s">
        <v>51</v>
      </c>
      <c r="L18" s="7" t="s">
        <v>21</v>
      </c>
      <c r="M18" s="7" t="s">
        <v>100</v>
      </c>
      <c r="N18" s="7" t="s">
        <v>58</v>
      </c>
      <c r="O18" s="10" t="n">
        <f aca="false">'Exec Summary'!$E$2-H18</f>
        <v>249</v>
      </c>
      <c r="P18" s="10" t="n">
        <f aca="false">IF(I18="","",I18-H18)</f>
        <v>6</v>
      </c>
      <c r="Q18" s="10" t="n">
        <f aca="false">VLOOKUP(G18,$AA$2:$AB$5,2,FALSE())</f>
        <v>15</v>
      </c>
      <c r="R18" s="7" t="n">
        <f aca="false">IF(OR(F18="Open",F18="Reopened"),1,0)</f>
        <v>0</v>
      </c>
      <c r="S18" s="7" t="n">
        <f aca="false">IF(AND(H18&gt;='Exec Summary'!$E$1,H18&lt;='Exec Summary'!$E$2),1,0)</f>
        <v>0</v>
      </c>
      <c r="T18" s="7" t="n">
        <f aca="false">IF(AND(F18="Closed",I18&lt;&gt;"",I18&gt;='Exec Summary'!$E$1,I18&lt;='Exec Summary'!$E$2),1,0)</f>
        <v>0</v>
      </c>
      <c r="U18" s="7" t="n">
        <f aca="false">IF(F18="Reopened",1,0)</f>
        <v>0</v>
      </c>
      <c r="V18" s="7" t="n">
        <f aca="false">IF(AND(R18=1,O18&gt;Q18),1,0)</f>
        <v>0</v>
      </c>
      <c r="W18" s="7" t="n">
        <f aca="false">IF(AND(T18=1,P18&lt;&gt;"",P18&lt;=Q18),1,0)</f>
        <v>0</v>
      </c>
    </row>
    <row r="19" customFormat="false" ht="15" hidden="false" customHeight="false" outlineLevel="0" collapsed="false">
      <c r="A19" s="7" t="s">
        <v>78</v>
      </c>
      <c r="B19" s="7" t="s">
        <v>46</v>
      </c>
      <c r="C19" s="7" t="s">
        <v>79</v>
      </c>
      <c r="D19" s="7" t="s">
        <v>101</v>
      </c>
      <c r="E19" s="7" t="s">
        <v>102</v>
      </c>
      <c r="F19" s="7" t="s">
        <v>50</v>
      </c>
      <c r="G19" s="7" t="s">
        <v>19</v>
      </c>
      <c r="H19" s="9" t="n">
        <v>46016</v>
      </c>
      <c r="I19" s="9" t="n">
        <v>46030</v>
      </c>
      <c r="J19" s="7" t="n">
        <v>10</v>
      </c>
      <c r="K19" s="7" t="s">
        <v>51</v>
      </c>
      <c r="L19" s="7" t="s">
        <v>21</v>
      </c>
      <c r="M19" s="7" t="s">
        <v>103</v>
      </c>
      <c r="N19" s="7" t="s">
        <v>58</v>
      </c>
      <c r="O19" s="10" t="n">
        <f aca="false">'Exec Summary'!$E$2-H19</f>
        <v>218</v>
      </c>
      <c r="P19" s="10" t="n">
        <f aca="false">IF(I19="","",I19-H19)</f>
        <v>14</v>
      </c>
      <c r="Q19" s="10" t="n">
        <f aca="false">VLOOKUP(G19,$AA$2:$AB$5,2,FALSE())</f>
        <v>15</v>
      </c>
      <c r="R19" s="7" t="n">
        <f aca="false">IF(OR(F19="Open",F19="Reopened"),1,0)</f>
        <v>0</v>
      </c>
      <c r="S19" s="7" t="n">
        <f aca="false">IF(AND(H19&gt;='Exec Summary'!$E$1,H19&lt;='Exec Summary'!$E$2),1,0)</f>
        <v>0</v>
      </c>
      <c r="T19" s="7" t="n">
        <f aca="false">IF(AND(F19="Closed",I19&lt;&gt;"",I19&gt;='Exec Summary'!$E$1,I19&lt;='Exec Summary'!$E$2),1,0)</f>
        <v>0</v>
      </c>
      <c r="U19" s="7" t="n">
        <f aca="false">IF(F19="Reopened",1,0)</f>
        <v>0</v>
      </c>
      <c r="V19" s="7" t="n">
        <f aca="false">IF(AND(R19=1,O19&gt;Q19),1,0)</f>
        <v>0</v>
      </c>
      <c r="W19" s="7" t="n">
        <f aca="false">IF(AND(T19=1,P19&lt;&gt;"",P19&lt;=Q19),1,0)</f>
        <v>0</v>
      </c>
    </row>
    <row r="20" customFormat="false" ht="15" hidden="false" customHeight="false" outlineLevel="0" collapsed="false">
      <c r="A20" s="7" t="s">
        <v>78</v>
      </c>
      <c r="B20" s="7" t="s">
        <v>46</v>
      </c>
      <c r="C20" s="7" t="s">
        <v>79</v>
      </c>
      <c r="D20" s="7" t="s">
        <v>104</v>
      </c>
      <c r="E20" s="7" t="s">
        <v>105</v>
      </c>
      <c r="F20" s="7" t="s">
        <v>50</v>
      </c>
      <c r="G20" s="7" t="s">
        <v>19</v>
      </c>
      <c r="H20" s="9" t="n">
        <v>46008</v>
      </c>
      <c r="I20" s="9" t="n">
        <v>46016</v>
      </c>
      <c r="J20" s="7" t="n">
        <v>9.8</v>
      </c>
      <c r="K20" s="7" t="s">
        <v>51</v>
      </c>
      <c r="L20" s="7" t="s">
        <v>21</v>
      </c>
      <c r="M20" s="7" t="s">
        <v>106</v>
      </c>
      <c r="N20" s="7" t="s">
        <v>58</v>
      </c>
      <c r="O20" s="10" t="n">
        <f aca="false">'Exec Summary'!$E$2-H20</f>
        <v>226</v>
      </c>
      <c r="P20" s="10" t="n">
        <f aca="false">IF(I20="","",I20-H20)</f>
        <v>8</v>
      </c>
      <c r="Q20" s="10" t="n">
        <f aca="false">VLOOKUP(G20,$AA$2:$AB$5,2,FALSE())</f>
        <v>15</v>
      </c>
      <c r="R20" s="7" t="n">
        <f aca="false">IF(OR(F20="Open",F20="Reopened"),1,0)</f>
        <v>0</v>
      </c>
      <c r="S20" s="7" t="n">
        <f aca="false">IF(AND(H20&gt;='Exec Summary'!$E$1,H20&lt;='Exec Summary'!$E$2),1,0)</f>
        <v>0</v>
      </c>
      <c r="T20" s="7" t="n">
        <f aca="false">IF(AND(F20="Closed",I20&lt;&gt;"",I20&gt;='Exec Summary'!$E$1,I20&lt;='Exec Summary'!$E$2),1,0)</f>
        <v>0</v>
      </c>
      <c r="U20" s="7" t="n">
        <f aca="false">IF(F20="Reopened",1,0)</f>
        <v>0</v>
      </c>
      <c r="V20" s="7" t="n">
        <f aca="false">IF(AND(R20=1,O20&gt;Q20),1,0)</f>
        <v>0</v>
      </c>
      <c r="W20" s="7" t="n">
        <f aca="false">IF(AND(T20=1,P20&lt;&gt;"",P20&lt;=Q20),1,0)</f>
        <v>0</v>
      </c>
    </row>
    <row r="21" customFormat="false" ht="15" hidden="false" customHeight="false" outlineLevel="0" collapsed="false">
      <c r="A21" s="7" t="s">
        <v>78</v>
      </c>
      <c r="B21" s="7" t="s">
        <v>46</v>
      </c>
      <c r="C21" s="7" t="s">
        <v>79</v>
      </c>
      <c r="D21" s="7" t="s">
        <v>71</v>
      </c>
      <c r="E21" s="7" t="s">
        <v>72</v>
      </c>
      <c r="F21" s="7" t="s">
        <v>56</v>
      </c>
      <c r="G21" s="7" t="s">
        <v>19</v>
      </c>
      <c r="H21" s="9" t="n">
        <v>45974</v>
      </c>
      <c r="I21" s="9"/>
      <c r="J21" s="7" t="n">
        <v>9.8</v>
      </c>
      <c r="K21" s="7" t="s">
        <v>51</v>
      </c>
      <c r="L21" s="7" t="s">
        <v>21</v>
      </c>
      <c r="M21" s="7" t="s">
        <v>107</v>
      </c>
      <c r="N21" s="7" t="s">
        <v>58</v>
      </c>
      <c r="O21" s="10" t="n">
        <f aca="false">'Exec Summary'!$E$2-H21</f>
        <v>260</v>
      </c>
      <c r="P21" s="10" t="str">
        <f aca="false">IF(I21="","",I21-H21)</f>
        <v/>
      </c>
      <c r="Q21" s="10" t="n">
        <f aca="false">VLOOKUP(G21,$AA$2:$AB$5,2,FALSE())</f>
        <v>15</v>
      </c>
      <c r="R21" s="7" t="n">
        <f aca="false">IF(OR(F21="Open",F21="Reopened"),1,0)</f>
        <v>1</v>
      </c>
      <c r="S21" s="7" t="n">
        <f aca="false">IF(AND(H21&gt;='Exec Summary'!$E$1,H21&lt;='Exec Summary'!$E$2),1,0)</f>
        <v>0</v>
      </c>
      <c r="T21" s="7" t="n">
        <f aca="false">IF(AND(F21="Closed",I21&lt;&gt;"",I21&gt;='Exec Summary'!$E$1,I21&lt;='Exec Summary'!$E$2),1,0)</f>
        <v>0</v>
      </c>
      <c r="U21" s="7" t="n">
        <f aca="false">IF(F21="Reopened",1,0)</f>
        <v>0</v>
      </c>
      <c r="V21" s="7" t="n">
        <f aca="false">IF(AND(R21=1,O21&gt;Q21),1,0)</f>
        <v>1</v>
      </c>
      <c r="W21" s="7" t="n">
        <f aca="false">IF(AND(T21=1,P21&lt;&gt;"",P21&lt;=Q21),1,0)</f>
        <v>0</v>
      </c>
    </row>
    <row r="22" customFormat="false" ht="15" hidden="false" customHeight="false" outlineLevel="0" collapsed="false">
      <c r="A22" s="7" t="s">
        <v>78</v>
      </c>
      <c r="B22" s="7" t="s">
        <v>46</v>
      </c>
      <c r="C22" s="7" t="s">
        <v>79</v>
      </c>
      <c r="D22" s="7" t="s">
        <v>108</v>
      </c>
      <c r="E22" s="7" t="s">
        <v>109</v>
      </c>
      <c r="F22" s="7" t="s">
        <v>56</v>
      </c>
      <c r="G22" s="7" t="s">
        <v>20</v>
      </c>
      <c r="H22" s="9" t="n">
        <v>46139</v>
      </c>
      <c r="I22" s="9"/>
      <c r="J22" s="7" t="n">
        <v>8.6</v>
      </c>
      <c r="K22" s="7" t="s">
        <v>51</v>
      </c>
      <c r="L22" s="7" t="s">
        <v>21</v>
      </c>
      <c r="M22" s="7" t="s">
        <v>110</v>
      </c>
      <c r="N22" s="7" t="s">
        <v>53</v>
      </c>
      <c r="O22" s="10" t="n">
        <f aca="false">'Exec Summary'!$E$2-H22</f>
        <v>95</v>
      </c>
      <c r="P22" s="10" t="str">
        <f aca="false">IF(I22="","",I22-H22)</f>
        <v/>
      </c>
      <c r="Q22" s="10" t="n">
        <f aca="false">VLOOKUP(G22,$AA$2:$AB$5,2,FALSE())</f>
        <v>30</v>
      </c>
      <c r="R22" s="7" t="n">
        <f aca="false">IF(OR(F22="Open",F22="Reopened"),1,0)</f>
        <v>1</v>
      </c>
      <c r="S22" s="7" t="n">
        <f aca="false">IF(AND(H22&gt;='Exec Summary'!$E$1,H22&lt;='Exec Summary'!$E$2),1,0)</f>
        <v>0</v>
      </c>
      <c r="T22" s="7" t="n">
        <f aca="false">IF(AND(F22="Closed",I22&lt;&gt;"",I22&gt;='Exec Summary'!$E$1,I22&lt;='Exec Summary'!$E$2),1,0)</f>
        <v>0</v>
      </c>
      <c r="U22" s="7" t="n">
        <f aca="false">IF(F22="Reopened",1,0)</f>
        <v>0</v>
      </c>
      <c r="V22" s="7" t="n">
        <f aca="false">IF(AND(R22=1,O22&gt;Q22),1,0)</f>
        <v>1</v>
      </c>
      <c r="W22" s="7" t="n">
        <f aca="false">IF(AND(T22=1,P22&lt;&gt;"",P22&lt;=Q22),1,0)</f>
        <v>0</v>
      </c>
    </row>
    <row r="23" customFormat="false" ht="15" hidden="false" customHeight="false" outlineLevel="0" collapsed="false">
      <c r="A23" s="7" t="s">
        <v>111</v>
      </c>
      <c r="B23" s="7" t="s">
        <v>46</v>
      </c>
      <c r="C23" s="7" t="s">
        <v>79</v>
      </c>
      <c r="D23" s="7" t="s">
        <v>112</v>
      </c>
      <c r="E23" s="7" t="s">
        <v>113</v>
      </c>
      <c r="F23" s="7" t="s">
        <v>56</v>
      </c>
      <c r="G23" s="7" t="s">
        <v>20</v>
      </c>
      <c r="H23" s="9" t="n">
        <v>45951</v>
      </c>
      <c r="I23" s="9"/>
      <c r="J23" s="7" t="n">
        <v>7.8</v>
      </c>
      <c r="K23" s="7" t="s">
        <v>51</v>
      </c>
      <c r="L23" s="7" t="s">
        <v>21</v>
      </c>
      <c r="M23" s="7" t="s">
        <v>114</v>
      </c>
      <c r="N23" s="7" t="s">
        <v>53</v>
      </c>
      <c r="O23" s="10" t="n">
        <f aca="false">'Exec Summary'!$E$2-H23</f>
        <v>283</v>
      </c>
      <c r="P23" s="10" t="str">
        <f aca="false">IF(I23="","",I23-H23)</f>
        <v/>
      </c>
      <c r="Q23" s="10" t="n">
        <f aca="false">VLOOKUP(G23,$AA$2:$AB$5,2,FALSE())</f>
        <v>30</v>
      </c>
      <c r="R23" s="7" t="n">
        <f aca="false">IF(OR(F23="Open",F23="Reopened"),1,0)</f>
        <v>1</v>
      </c>
      <c r="S23" s="7" t="n">
        <f aca="false">IF(AND(H23&gt;='Exec Summary'!$E$1,H23&lt;='Exec Summary'!$E$2),1,0)</f>
        <v>0</v>
      </c>
      <c r="T23" s="7" t="n">
        <f aca="false">IF(AND(F23="Closed",I23&lt;&gt;"",I23&gt;='Exec Summary'!$E$1,I23&lt;='Exec Summary'!$E$2),1,0)</f>
        <v>0</v>
      </c>
      <c r="U23" s="7" t="n">
        <f aca="false">IF(F23="Reopened",1,0)</f>
        <v>0</v>
      </c>
      <c r="V23" s="7" t="n">
        <f aca="false">IF(AND(R23=1,O23&gt;Q23),1,0)</f>
        <v>1</v>
      </c>
      <c r="W23" s="7" t="n">
        <f aca="false">IF(AND(T23=1,P23&lt;&gt;"",P23&lt;=Q23),1,0)</f>
        <v>0</v>
      </c>
    </row>
    <row r="24" customFormat="false" ht="15" hidden="false" customHeight="false" outlineLevel="0" collapsed="false">
      <c r="A24" s="7" t="s">
        <v>111</v>
      </c>
      <c r="B24" s="7" t="s">
        <v>46</v>
      </c>
      <c r="C24" s="7" t="s">
        <v>79</v>
      </c>
      <c r="D24" s="7" t="s">
        <v>101</v>
      </c>
      <c r="E24" s="7" t="s">
        <v>102</v>
      </c>
      <c r="F24" s="7" t="s">
        <v>56</v>
      </c>
      <c r="G24" s="7" t="s">
        <v>19</v>
      </c>
      <c r="H24" s="9" t="n">
        <v>46198</v>
      </c>
      <c r="I24" s="9"/>
      <c r="J24" s="7" t="n">
        <v>10</v>
      </c>
      <c r="K24" s="7" t="s">
        <v>51</v>
      </c>
      <c r="L24" s="7" t="s">
        <v>21</v>
      </c>
      <c r="M24" s="7" t="s">
        <v>115</v>
      </c>
      <c r="N24" s="7" t="s">
        <v>58</v>
      </c>
      <c r="O24" s="10" t="n">
        <f aca="false">'Exec Summary'!$E$2-H24</f>
        <v>36</v>
      </c>
      <c r="P24" s="10" t="str">
        <f aca="false">IF(I24="","",I24-H24)</f>
        <v/>
      </c>
      <c r="Q24" s="10" t="n">
        <f aca="false">VLOOKUP(G24,$AA$2:$AB$5,2,FALSE())</f>
        <v>15</v>
      </c>
      <c r="R24" s="7" t="n">
        <f aca="false">IF(OR(F24="Open",F24="Reopened"),1,0)</f>
        <v>1</v>
      </c>
      <c r="S24" s="7" t="n">
        <f aca="false">IF(AND(H24&gt;='Exec Summary'!$E$1,H24&lt;='Exec Summary'!$E$2),1,0)</f>
        <v>0</v>
      </c>
      <c r="T24" s="7" t="n">
        <f aca="false">IF(AND(F24="Closed",I24&lt;&gt;"",I24&gt;='Exec Summary'!$E$1,I24&lt;='Exec Summary'!$E$2),1,0)</f>
        <v>0</v>
      </c>
      <c r="U24" s="7" t="n">
        <f aca="false">IF(F24="Reopened",1,0)</f>
        <v>0</v>
      </c>
      <c r="V24" s="7" t="n">
        <f aca="false">IF(AND(R24=1,O24&gt;Q24),1,0)</f>
        <v>1</v>
      </c>
      <c r="W24" s="7" t="n">
        <f aca="false">IF(AND(T24=1,P24&lt;&gt;"",P24&lt;=Q24),1,0)</f>
        <v>0</v>
      </c>
    </row>
    <row r="25" customFormat="false" ht="15" hidden="false" customHeight="false" outlineLevel="0" collapsed="false">
      <c r="A25" s="7" t="s">
        <v>111</v>
      </c>
      <c r="B25" s="7" t="s">
        <v>46</v>
      </c>
      <c r="C25" s="7" t="s">
        <v>79</v>
      </c>
      <c r="D25" s="7" t="s">
        <v>98</v>
      </c>
      <c r="E25" s="7" t="s">
        <v>99</v>
      </c>
      <c r="F25" s="7" t="s">
        <v>50</v>
      </c>
      <c r="G25" s="7" t="s">
        <v>19</v>
      </c>
      <c r="H25" s="9" t="n">
        <v>45952</v>
      </c>
      <c r="I25" s="9" t="n">
        <v>45961</v>
      </c>
      <c r="J25" s="7" t="n">
        <v>10</v>
      </c>
      <c r="K25" s="7" t="s">
        <v>51</v>
      </c>
      <c r="L25" s="7" t="s">
        <v>21</v>
      </c>
      <c r="M25" s="7" t="s">
        <v>116</v>
      </c>
      <c r="N25" s="7" t="s">
        <v>58</v>
      </c>
      <c r="O25" s="10" t="n">
        <f aca="false">'Exec Summary'!$E$2-H25</f>
        <v>282</v>
      </c>
      <c r="P25" s="10" t="n">
        <f aca="false">IF(I25="","",I25-H25)</f>
        <v>9</v>
      </c>
      <c r="Q25" s="10" t="n">
        <f aca="false">VLOOKUP(G25,$AA$2:$AB$5,2,FALSE())</f>
        <v>15</v>
      </c>
      <c r="R25" s="7" t="n">
        <f aca="false">IF(OR(F25="Open",F25="Reopened"),1,0)</f>
        <v>0</v>
      </c>
      <c r="S25" s="7" t="n">
        <f aca="false">IF(AND(H25&gt;='Exec Summary'!$E$1,H25&lt;='Exec Summary'!$E$2),1,0)</f>
        <v>0</v>
      </c>
      <c r="T25" s="7" t="n">
        <f aca="false">IF(AND(F25="Closed",I25&lt;&gt;"",I25&gt;='Exec Summary'!$E$1,I25&lt;='Exec Summary'!$E$2),1,0)</f>
        <v>0</v>
      </c>
      <c r="U25" s="7" t="n">
        <f aca="false">IF(F25="Reopened",1,0)</f>
        <v>0</v>
      </c>
      <c r="V25" s="7" t="n">
        <f aca="false">IF(AND(R25=1,O25&gt;Q25),1,0)</f>
        <v>0</v>
      </c>
      <c r="W25" s="7" t="n">
        <f aca="false">IF(AND(T25=1,P25&lt;&gt;"",P25&lt;=Q25),1,0)</f>
        <v>0</v>
      </c>
    </row>
    <row r="26" customFormat="false" ht="15" hidden="false" customHeight="false" outlineLevel="0" collapsed="false">
      <c r="A26" s="7" t="s">
        <v>111</v>
      </c>
      <c r="B26" s="7" t="s">
        <v>46</v>
      </c>
      <c r="C26" s="7" t="s">
        <v>79</v>
      </c>
      <c r="D26" s="7" t="s">
        <v>117</v>
      </c>
      <c r="E26" s="7" t="s">
        <v>118</v>
      </c>
      <c r="F26" s="7" t="s">
        <v>56</v>
      </c>
      <c r="G26" s="7" t="s">
        <v>19</v>
      </c>
      <c r="H26" s="9" t="n">
        <v>45978</v>
      </c>
      <c r="I26" s="9"/>
      <c r="J26" s="7" t="n">
        <v>10</v>
      </c>
      <c r="K26" s="7" t="s">
        <v>51</v>
      </c>
      <c r="L26" s="7" t="s">
        <v>21</v>
      </c>
      <c r="M26" s="7" t="s">
        <v>119</v>
      </c>
      <c r="N26" s="7" t="s">
        <v>58</v>
      </c>
      <c r="O26" s="10" t="n">
        <f aca="false">'Exec Summary'!$E$2-H26</f>
        <v>256</v>
      </c>
      <c r="P26" s="10" t="str">
        <f aca="false">IF(I26="","",I26-H26)</f>
        <v/>
      </c>
      <c r="Q26" s="10" t="n">
        <f aca="false">VLOOKUP(G26,$AA$2:$AB$5,2,FALSE())</f>
        <v>15</v>
      </c>
      <c r="R26" s="7" t="n">
        <f aca="false">IF(OR(F26="Open",F26="Reopened"),1,0)</f>
        <v>1</v>
      </c>
      <c r="S26" s="7" t="n">
        <f aca="false">IF(AND(H26&gt;='Exec Summary'!$E$1,H26&lt;='Exec Summary'!$E$2),1,0)</f>
        <v>0</v>
      </c>
      <c r="T26" s="7" t="n">
        <f aca="false">IF(AND(F26="Closed",I26&lt;&gt;"",I26&gt;='Exec Summary'!$E$1,I26&lt;='Exec Summary'!$E$2),1,0)</f>
        <v>0</v>
      </c>
      <c r="U26" s="7" t="n">
        <f aca="false">IF(F26="Reopened",1,0)</f>
        <v>0</v>
      </c>
      <c r="V26" s="7" t="n">
        <f aca="false">IF(AND(R26=1,O26&gt;Q26),1,0)</f>
        <v>1</v>
      </c>
      <c r="W26" s="7" t="n">
        <f aca="false">IF(AND(T26=1,P26&lt;&gt;"",P26&lt;=Q26),1,0)</f>
        <v>0</v>
      </c>
    </row>
    <row r="27" customFormat="false" ht="15" hidden="false" customHeight="false" outlineLevel="0" collapsed="false">
      <c r="A27" s="7" t="s">
        <v>111</v>
      </c>
      <c r="B27" s="7" t="s">
        <v>46</v>
      </c>
      <c r="C27" s="7" t="s">
        <v>79</v>
      </c>
      <c r="D27" s="7" t="s">
        <v>120</v>
      </c>
      <c r="E27" s="7" t="s">
        <v>121</v>
      </c>
      <c r="F27" s="7" t="s">
        <v>56</v>
      </c>
      <c r="G27" s="7" t="s">
        <v>19</v>
      </c>
      <c r="H27" s="9" t="n">
        <v>46114</v>
      </c>
      <c r="I27" s="9"/>
      <c r="J27" s="7" t="n">
        <v>8.8</v>
      </c>
      <c r="K27" s="7" t="s">
        <v>51</v>
      </c>
      <c r="L27" s="7" t="s">
        <v>21</v>
      </c>
      <c r="M27" s="7" t="s">
        <v>122</v>
      </c>
      <c r="N27" s="7" t="s">
        <v>58</v>
      </c>
      <c r="O27" s="10" t="n">
        <f aca="false">'Exec Summary'!$E$2-H27</f>
        <v>120</v>
      </c>
      <c r="P27" s="10" t="str">
        <f aca="false">IF(I27="","",I27-H27)</f>
        <v/>
      </c>
      <c r="Q27" s="10" t="n">
        <f aca="false">VLOOKUP(G27,$AA$2:$AB$5,2,FALSE())</f>
        <v>15</v>
      </c>
      <c r="R27" s="7" t="n">
        <f aca="false">IF(OR(F27="Open",F27="Reopened"),1,0)</f>
        <v>1</v>
      </c>
      <c r="S27" s="7" t="n">
        <f aca="false">IF(AND(H27&gt;='Exec Summary'!$E$1,H27&lt;='Exec Summary'!$E$2),1,0)</f>
        <v>0</v>
      </c>
      <c r="T27" s="7" t="n">
        <f aca="false">IF(AND(F27="Closed",I27&lt;&gt;"",I27&gt;='Exec Summary'!$E$1,I27&lt;='Exec Summary'!$E$2),1,0)</f>
        <v>0</v>
      </c>
      <c r="U27" s="7" t="n">
        <f aca="false">IF(F27="Reopened",1,0)</f>
        <v>0</v>
      </c>
      <c r="V27" s="7" t="n">
        <f aca="false">IF(AND(R27=1,O27&gt;Q27),1,0)</f>
        <v>1</v>
      </c>
      <c r="W27" s="7" t="n">
        <f aca="false">IF(AND(T27=1,P27&lt;&gt;"",P27&lt;=Q27),1,0)</f>
        <v>0</v>
      </c>
    </row>
    <row r="28" customFormat="false" ht="15" hidden="false" customHeight="false" outlineLevel="0" collapsed="false">
      <c r="A28" s="7" t="s">
        <v>111</v>
      </c>
      <c r="B28" s="7" t="s">
        <v>46</v>
      </c>
      <c r="C28" s="7" t="s">
        <v>79</v>
      </c>
      <c r="D28" s="7" t="s">
        <v>108</v>
      </c>
      <c r="E28" s="7" t="s">
        <v>109</v>
      </c>
      <c r="F28" s="7" t="s">
        <v>123</v>
      </c>
      <c r="G28" s="7" t="s">
        <v>20</v>
      </c>
      <c r="H28" s="9" t="n">
        <v>46036</v>
      </c>
      <c r="I28" s="9" t="n">
        <v>46058</v>
      </c>
      <c r="J28" s="7" t="n">
        <v>8.6</v>
      </c>
      <c r="K28" s="7" t="s">
        <v>51</v>
      </c>
      <c r="L28" s="7" t="s">
        <v>21</v>
      </c>
      <c r="M28" s="7" t="s">
        <v>124</v>
      </c>
      <c r="N28" s="7" t="s">
        <v>53</v>
      </c>
      <c r="O28" s="10" t="n">
        <f aca="false">'Exec Summary'!$E$2-H28</f>
        <v>198</v>
      </c>
      <c r="P28" s="10" t="n">
        <f aca="false">IF(I28="","",I28-H28)</f>
        <v>22</v>
      </c>
      <c r="Q28" s="10" t="n">
        <f aca="false">VLOOKUP(G28,$AA$2:$AB$5,2,FALSE())</f>
        <v>30</v>
      </c>
      <c r="R28" s="7" t="n">
        <f aca="false">IF(OR(F28="Open",F28="Reopened"),1,0)</f>
        <v>1</v>
      </c>
      <c r="S28" s="7" t="n">
        <f aca="false">IF(AND(H28&gt;='Exec Summary'!$E$1,H28&lt;='Exec Summary'!$E$2),1,0)</f>
        <v>0</v>
      </c>
      <c r="T28" s="7" t="n">
        <f aca="false">IF(AND(F28="Closed",I28&lt;&gt;"",I28&gt;='Exec Summary'!$E$1,I28&lt;='Exec Summary'!$E$2),1,0)</f>
        <v>0</v>
      </c>
      <c r="U28" s="7" t="n">
        <f aca="false">IF(F28="Reopened",1,0)</f>
        <v>1</v>
      </c>
      <c r="V28" s="7" t="n">
        <f aca="false">IF(AND(R28=1,O28&gt;Q28),1,0)</f>
        <v>1</v>
      </c>
      <c r="W28" s="7" t="n">
        <f aca="false">IF(AND(T28=1,P28&lt;&gt;"",P28&lt;=Q28),1,0)</f>
        <v>0</v>
      </c>
    </row>
    <row r="29" customFormat="false" ht="15" hidden="false" customHeight="false" outlineLevel="0" collapsed="false">
      <c r="A29" s="7" t="s">
        <v>111</v>
      </c>
      <c r="B29" s="7" t="s">
        <v>46</v>
      </c>
      <c r="C29" s="7" t="s">
        <v>79</v>
      </c>
      <c r="D29" s="7" t="s">
        <v>87</v>
      </c>
      <c r="E29" s="7" t="s">
        <v>88</v>
      </c>
      <c r="F29" s="7" t="s">
        <v>56</v>
      </c>
      <c r="G29" s="7" t="s">
        <v>19</v>
      </c>
      <c r="H29" s="9" t="n">
        <v>46220</v>
      </c>
      <c r="I29" s="9"/>
      <c r="J29" s="7" t="n">
        <v>10</v>
      </c>
      <c r="K29" s="7" t="s">
        <v>51</v>
      </c>
      <c r="L29" s="7" t="s">
        <v>21</v>
      </c>
      <c r="M29" s="7" t="s">
        <v>125</v>
      </c>
      <c r="N29" s="7" t="s">
        <v>58</v>
      </c>
      <c r="O29" s="10" t="n">
        <f aca="false">'Exec Summary'!$E$2-H29</f>
        <v>14</v>
      </c>
      <c r="P29" s="10" t="str">
        <f aca="false">IF(I29="","",I29-H29)</f>
        <v/>
      </c>
      <c r="Q29" s="10" t="n">
        <f aca="false">VLOOKUP(G29,$AA$2:$AB$5,2,FALSE())</f>
        <v>15</v>
      </c>
      <c r="R29" s="7" t="n">
        <f aca="false">IF(OR(F29="Open",F29="Reopened"),1,0)</f>
        <v>1</v>
      </c>
      <c r="S29" s="7" t="n">
        <f aca="false">IF(AND(H29&gt;='Exec Summary'!$E$1,H29&lt;='Exec Summary'!$E$2),1,0)</f>
        <v>1</v>
      </c>
      <c r="T29" s="7" t="n">
        <f aca="false">IF(AND(F29="Closed",I29&lt;&gt;"",I29&gt;='Exec Summary'!$E$1,I29&lt;='Exec Summary'!$E$2),1,0)</f>
        <v>0</v>
      </c>
      <c r="U29" s="7" t="n">
        <f aca="false">IF(F29="Reopened",1,0)</f>
        <v>0</v>
      </c>
      <c r="V29" s="7" t="n">
        <f aca="false">IF(AND(R29=1,O29&gt;Q29),1,0)</f>
        <v>0</v>
      </c>
      <c r="W29" s="7" t="n">
        <f aca="false">IF(AND(T29=1,P29&lt;&gt;"",P29&lt;=Q29),1,0)</f>
        <v>0</v>
      </c>
    </row>
    <row r="30" customFormat="false" ht="15" hidden="false" customHeight="false" outlineLevel="0" collapsed="false">
      <c r="A30" s="7" t="s">
        <v>111</v>
      </c>
      <c r="B30" s="7" t="s">
        <v>46</v>
      </c>
      <c r="C30" s="7" t="s">
        <v>79</v>
      </c>
      <c r="D30" s="7" t="s">
        <v>81</v>
      </c>
      <c r="E30" s="7" t="s">
        <v>82</v>
      </c>
      <c r="F30" s="7" t="s">
        <v>56</v>
      </c>
      <c r="G30" s="7" t="s">
        <v>20</v>
      </c>
      <c r="H30" s="9" t="n">
        <v>46111</v>
      </c>
      <c r="I30" s="9"/>
      <c r="J30" s="7" t="n">
        <v>7.8</v>
      </c>
      <c r="K30" s="7" t="s">
        <v>51</v>
      </c>
      <c r="L30" s="7" t="s">
        <v>21</v>
      </c>
      <c r="M30" s="7" t="s">
        <v>126</v>
      </c>
      <c r="N30" s="7" t="s">
        <v>53</v>
      </c>
      <c r="O30" s="10" t="n">
        <f aca="false">'Exec Summary'!$E$2-H30</f>
        <v>123</v>
      </c>
      <c r="P30" s="10" t="str">
        <f aca="false">IF(I30="","",I30-H30)</f>
        <v/>
      </c>
      <c r="Q30" s="10" t="n">
        <f aca="false">VLOOKUP(G30,$AA$2:$AB$5,2,FALSE())</f>
        <v>30</v>
      </c>
      <c r="R30" s="7" t="n">
        <f aca="false">IF(OR(F30="Open",F30="Reopened"),1,0)</f>
        <v>1</v>
      </c>
      <c r="S30" s="7" t="n">
        <f aca="false">IF(AND(H30&gt;='Exec Summary'!$E$1,H30&lt;='Exec Summary'!$E$2),1,0)</f>
        <v>0</v>
      </c>
      <c r="T30" s="7" t="n">
        <f aca="false">IF(AND(F30="Closed",I30&lt;&gt;"",I30&gt;='Exec Summary'!$E$1,I30&lt;='Exec Summary'!$E$2),1,0)</f>
        <v>0</v>
      </c>
      <c r="U30" s="7" t="n">
        <f aca="false">IF(F30="Reopened",1,0)</f>
        <v>0</v>
      </c>
      <c r="V30" s="7" t="n">
        <f aca="false">IF(AND(R30=1,O30&gt;Q30),1,0)</f>
        <v>1</v>
      </c>
      <c r="W30" s="7" t="n">
        <f aca="false">IF(AND(T30=1,P30&lt;&gt;"",P30&lt;=Q30),1,0)</f>
        <v>0</v>
      </c>
    </row>
    <row r="31" customFormat="false" ht="15" hidden="false" customHeight="false" outlineLevel="0" collapsed="false">
      <c r="A31" s="7" t="s">
        <v>127</v>
      </c>
      <c r="B31" s="7" t="s">
        <v>46</v>
      </c>
      <c r="C31" s="7" t="s">
        <v>128</v>
      </c>
      <c r="D31" s="7" t="s">
        <v>62</v>
      </c>
      <c r="E31" s="7" t="s">
        <v>63</v>
      </c>
      <c r="F31" s="7" t="s">
        <v>50</v>
      </c>
      <c r="G31" s="7" t="s">
        <v>20</v>
      </c>
      <c r="H31" s="9" t="n">
        <v>46220</v>
      </c>
      <c r="I31" s="9" t="n">
        <v>46234</v>
      </c>
      <c r="J31" s="7" t="n">
        <v>8.1</v>
      </c>
      <c r="K31" s="7" t="s">
        <v>51</v>
      </c>
      <c r="L31" s="7" t="s">
        <v>21</v>
      </c>
      <c r="M31" s="7" t="s">
        <v>129</v>
      </c>
      <c r="N31" s="7" t="s">
        <v>53</v>
      </c>
      <c r="O31" s="10" t="n">
        <f aca="false">'Exec Summary'!$E$2-H31</f>
        <v>14</v>
      </c>
      <c r="P31" s="10" t="n">
        <f aca="false">IF(I31="","",I31-H31)</f>
        <v>14</v>
      </c>
      <c r="Q31" s="10" t="n">
        <f aca="false">VLOOKUP(G31,$AA$2:$AB$5,2,FALSE())</f>
        <v>30</v>
      </c>
      <c r="R31" s="7" t="n">
        <f aca="false">IF(OR(F31="Open",F31="Reopened"),1,0)</f>
        <v>0</v>
      </c>
      <c r="S31" s="7" t="n">
        <f aca="false">IF(AND(H31&gt;='Exec Summary'!$E$1,H31&lt;='Exec Summary'!$E$2),1,0)</f>
        <v>1</v>
      </c>
      <c r="T31" s="7" t="n">
        <f aca="false">IF(AND(F31="Closed",I31&lt;&gt;"",I31&gt;='Exec Summary'!$E$1,I31&lt;='Exec Summary'!$E$2),1,0)</f>
        <v>1</v>
      </c>
      <c r="U31" s="7" t="n">
        <f aca="false">IF(F31="Reopened",1,0)</f>
        <v>0</v>
      </c>
      <c r="V31" s="7" t="n">
        <f aca="false">IF(AND(R31=1,O31&gt;Q31),1,0)</f>
        <v>0</v>
      </c>
      <c r="W31" s="7" t="n">
        <f aca="false">IF(AND(T31=1,P31&lt;&gt;"",P31&lt;=Q31),1,0)</f>
        <v>1</v>
      </c>
    </row>
    <row r="32" customFormat="false" ht="15" hidden="false" customHeight="false" outlineLevel="0" collapsed="false">
      <c r="A32" s="7" t="s">
        <v>127</v>
      </c>
      <c r="B32" s="7" t="s">
        <v>46</v>
      </c>
      <c r="C32" s="7" t="s">
        <v>128</v>
      </c>
      <c r="D32" s="7" t="s">
        <v>108</v>
      </c>
      <c r="E32" s="7" t="s">
        <v>109</v>
      </c>
      <c r="F32" s="7" t="s">
        <v>56</v>
      </c>
      <c r="G32" s="7" t="s">
        <v>20</v>
      </c>
      <c r="H32" s="9" t="n">
        <v>46196</v>
      </c>
      <c r="I32" s="9"/>
      <c r="J32" s="7" t="n">
        <v>8.6</v>
      </c>
      <c r="K32" s="7" t="s">
        <v>51</v>
      </c>
      <c r="L32" s="7" t="s">
        <v>21</v>
      </c>
      <c r="M32" s="7" t="s">
        <v>130</v>
      </c>
      <c r="N32" s="7" t="s">
        <v>53</v>
      </c>
      <c r="O32" s="10" t="n">
        <f aca="false">'Exec Summary'!$E$2-H32</f>
        <v>38</v>
      </c>
      <c r="P32" s="10" t="str">
        <f aca="false">IF(I32="","",I32-H32)</f>
        <v/>
      </c>
      <c r="Q32" s="10" t="n">
        <f aca="false">VLOOKUP(G32,$AA$2:$AB$5,2,FALSE())</f>
        <v>30</v>
      </c>
      <c r="R32" s="7" t="n">
        <f aca="false">IF(OR(F32="Open",F32="Reopened"),1,0)</f>
        <v>1</v>
      </c>
      <c r="S32" s="7" t="n">
        <f aca="false">IF(AND(H32&gt;='Exec Summary'!$E$1,H32&lt;='Exec Summary'!$E$2),1,0)</f>
        <v>0</v>
      </c>
      <c r="T32" s="7" t="n">
        <f aca="false">IF(AND(F32="Closed",I32&lt;&gt;"",I32&gt;='Exec Summary'!$E$1,I32&lt;='Exec Summary'!$E$2),1,0)</f>
        <v>0</v>
      </c>
      <c r="U32" s="7" t="n">
        <f aca="false">IF(F32="Reopened",1,0)</f>
        <v>0</v>
      </c>
      <c r="V32" s="7" t="n">
        <f aca="false">IF(AND(R32=1,O32&gt;Q32),1,0)</f>
        <v>1</v>
      </c>
      <c r="W32" s="7" t="n">
        <f aca="false">IF(AND(T32=1,P32&lt;&gt;"",P32&lt;=Q32),1,0)</f>
        <v>0</v>
      </c>
    </row>
    <row r="33" customFormat="false" ht="15" hidden="false" customHeight="false" outlineLevel="0" collapsed="false">
      <c r="A33" s="7" t="s">
        <v>127</v>
      </c>
      <c r="B33" s="7" t="s">
        <v>46</v>
      </c>
      <c r="C33" s="7" t="s">
        <v>128</v>
      </c>
      <c r="D33" s="7" t="s">
        <v>131</v>
      </c>
      <c r="E33" s="7" t="s">
        <v>132</v>
      </c>
      <c r="F33" s="7" t="s">
        <v>56</v>
      </c>
      <c r="G33" s="7" t="s">
        <v>19</v>
      </c>
      <c r="H33" s="9" t="n">
        <v>46160</v>
      </c>
      <c r="I33" s="9"/>
      <c r="J33" s="7" t="n">
        <v>9.8</v>
      </c>
      <c r="K33" s="7" t="s">
        <v>51</v>
      </c>
      <c r="L33" s="7" t="s">
        <v>21</v>
      </c>
      <c r="M33" s="7" t="s">
        <v>133</v>
      </c>
      <c r="N33" s="7" t="s">
        <v>58</v>
      </c>
      <c r="O33" s="10" t="n">
        <f aca="false">'Exec Summary'!$E$2-H33</f>
        <v>74</v>
      </c>
      <c r="P33" s="10" t="str">
        <f aca="false">IF(I33="","",I33-H33)</f>
        <v/>
      </c>
      <c r="Q33" s="10" t="n">
        <f aca="false">VLOOKUP(G33,$AA$2:$AB$5,2,FALSE())</f>
        <v>15</v>
      </c>
      <c r="R33" s="7" t="n">
        <f aca="false">IF(OR(F33="Open",F33="Reopened"),1,0)</f>
        <v>1</v>
      </c>
      <c r="S33" s="7" t="n">
        <f aca="false">IF(AND(H33&gt;='Exec Summary'!$E$1,H33&lt;='Exec Summary'!$E$2),1,0)</f>
        <v>0</v>
      </c>
      <c r="T33" s="7" t="n">
        <f aca="false">IF(AND(F33="Closed",I33&lt;&gt;"",I33&gt;='Exec Summary'!$E$1,I33&lt;='Exec Summary'!$E$2),1,0)</f>
        <v>0</v>
      </c>
      <c r="U33" s="7" t="n">
        <f aca="false">IF(F33="Reopened",1,0)</f>
        <v>0</v>
      </c>
      <c r="V33" s="7" t="n">
        <f aca="false">IF(AND(R33=1,O33&gt;Q33),1,0)</f>
        <v>1</v>
      </c>
      <c r="W33" s="7" t="n">
        <f aca="false">IF(AND(T33=1,P33&lt;&gt;"",P33&lt;=Q33),1,0)</f>
        <v>0</v>
      </c>
    </row>
    <row r="34" customFormat="false" ht="15" hidden="false" customHeight="false" outlineLevel="0" collapsed="false">
      <c r="A34" s="7" t="s">
        <v>134</v>
      </c>
      <c r="B34" s="7" t="s">
        <v>135</v>
      </c>
      <c r="C34" s="7" t="s">
        <v>136</v>
      </c>
      <c r="D34" s="7" t="s">
        <v>81</v>
      </c>
      <c r="E34" s="7" t="s">
        <v>82</v>
      </c>
      <c r="F34" s="7" t="s">
        <v>50</v>
      </c>
      <c r="G34" s="7" t="s">
        <v>20</v>
      </c>
      <c r="H34" s="9" t="n">
        <v>46095</v>
      </c>
      <c r="I34" s="9" t="n">
        <v>46107</v>
      </c>
      <c r="J34" s="7" t="n">
        <v>7.8</v>
      </c>
      <c r="K34" s="7" t="s">
        <v>51</v>
      </c>
      <c r="L34" s="7" t="s">
        <v>22</v>
      </c>
      <c r="M34" s="7" t="s">
        <v>137</v>
      </c>
      <c r="N34" s="7" t="s">
        <v>53</v>
      </c>
      <c r="O34" s="10" t="n">
        <f aca="false">'Exec Summary'!$E$2-H34</f>
        <v>139</v>
      </c>
      <c r="P34" s="10" t="n">
        <f aca="false">IF(I34="","",I34-H34)</f>
        <v>12</v>
      </c>
      <c r="Q34" s="10" t="n">
        <f aca="false">VLOOKUP(G34,$AA$2:$AB$5,2,FALSE())</f>
        <v>30</v>
      </c>
      <c r="R34" s="7" t="n">
        <f aca="false">IF(OR(F34="Open",F34="Reopened"),1,0)</f>
        <v>0</v>
      </c>
      <c r="S34" s="7" t="n">
        <f aca="false">IF(AND(H34&gt;='Exec Summary'!$E$1,H34&lt;='Exec Summary'!$E$2),1,0)</f>
        <v>0</v>
      </c>
      <c r="T34" s="7" t="n">
        <f aca="false">IF(AND(F34="Closed",I34&lt;&gt;"",I34&gt;='Exec Summary'!$E$1,I34&lt;='Exec Summary'!$E$2),1,0)</f>
        <v>0</v>
      </c>
      <c r="U34" s="7" t="n">
        <f aca="false">IF(F34="Reopened",1,0)</f>
        <v>0</v>
      </c>
      <c r="V34" s="7" t="n">
        <f aca="false">IF(AND(R34=1,O34&gt;Q34),1,0)</f>
        <v>0</v>
      </c>
      <c r="W34" s="7" t="n">
        <f aca="false">IF(AND(T34=1,P34&lt;&gt;"",P34&lt;=Q34),1,0)</f>
        <v>0</v>
      </c>
    </row>
    <row r="35" customFormat="false" ht="15" hidden="false" customHeight="false" outlineLevel="0" collapsed="false">
      <c r="A35" s="7" t="s">
        <v>134</v>
      </c>
      <c r="B35" s="7" t="s">
        <v>135</v>
      </c>
      <c r="C35" s="7" t="s">
        <v>136</v>
      </c>
      <c r="D35" s="7" t="s">
        <v>101</v>
      </c>
      <c r="E35" s="7" t="s">
        <v>102</v>
      </c>
      <c r="F35" s="7" t="s">
        <v>50</v>
      </c>
      <c r="G35" s="7" t="s">
        <v>19</v>
      </c>
      <c r="H35" s="9" t="n">
        <v>46061</v>
      </c>
      <c r="I35" s="9" t="n">
        <v>46078</v>
      </c>
      <c r="J35" s="7" t="n">
        <v>10</v>
      </c>
      <c r="K35" s="7" t="s">
        <v>51</v>
      </c>
      <c r="L35" s="7" t="s">
        <v>22</v>
      </c>
      <c r="M35" s="7" t="s">
        <v>138</v>
      </c>
      <c r="N35" s="7" t="s">
        <v>58</v>
      </c>
      <c r="O35" s="10" t="n">
        <f aca="false">'Exec Summary'!$E$2-H35</f>
        <v>173</v>
      </c>
      <c r="P35" s="10" t="n">
        <f aca="false">IF(I35="","",I35-H35)</f>
        <v>17</v>
      </c>
      <c r="Q35" s="10" t="n">
        <f aca="false">VLOOKUP(G35,$AA$2:$AB$5,2,FALSE())</f>
        <v>15</v>
      </c>
      <c r="R35" s="7" t="n">
        <f aca="false">IF(OR(F35="Open",F35="Reopened"),1,0)</f>
        <v>0</v>
      </c>
      <c r="S35" s="7" t="n">
        <f aca="false">IF(AND(H35&gt;='Exec Summary'!$E$1,H35&lt;='Exec Summary'!$E$2),1,0)</f>
        <v>0</v>
      </c>
      <c r="T35" s="7" t="n">
        <f aca="false">IF(AND(F35="Closed",I35&lt;&gt;"",I35&gt;='Exec Summary'!$E$1,I35&lt;='Exec Summary'!$E$2),1,0)</f>
        <v>0</v>
      </c>
      <c r="U35" s="7" t="n">
        <f aca="false">IF(F35="Reopened",1,0)</f>
        <v>0</v>
      </c>
      <c r="V35" s="7" t="n">
        <f aca="false">IF(AND(R35=1,O35&gt;Q35),1,0)</f>
        <v>0</v>
      </c>
      <c r="W35" s="7" t="n">
        <f aca="false">IF(AND(T35=1,P35&lt;&gt;"",P35&lt;=Q35),1,0)</f>
        <v>0</v>
      </c>
    </row>
    <row r="36" customFormat="false" ht="15" hidden="false" customHeight="false" outlineLevel="0" collapsed="false">
      <c r="A36" s="7" t="s">
        <v>134</v>
      </c>
      <c r="B36" s="7" t="s">
        <v>135</v>
      </c>
      <c r="C36" s="7" t="s">
        <v>136</v>
      </c>
      <c r="D36" s="7" t="s">
        <v>139</v>
      </c>
      <c r="E36" s="7" t="s">
        <v>140</v>
      </c>
      <c r="F36" s="7" t="s">
        <v>50</v>
      </c>
      <c r="G36" s="7" t="s">
        <v>19</v>
      </c>
      <c r="H36" s="9" t="n">
        <v>45972</v>
      </c>
      <c r="I36" s="9" t="n">
        <v>45985</v>
      </c>
      <c r="J36" s="7" t="n">
        <v>9.8</v>
      </c>
      <c r="K36" s="7" t="s">
        <v>51</v>
      </c>
      <c r="L36" s="7" t="s">
        <v>22</v>
      </c>
      <c r="M36" s="7" t="s">
        <v>141</v>
      </c>
      <c r="N36" s="7" t="s">
        <v>58</v>
      </c>
      <c r="O36" s="10" t="n">
        <f aca="false">'Exec Summary'!$E$2-H36</f>
        <v>262</v>
      </c>
      <c r="P36" s="10" t="n">
        <f aca="false">IF(I36="","",I36-H36)</f>
        <v>13</v>
      </c>
      <c r="Q36" s="10" t="n">
        <f aca="false">VLOOKUP(G36,$AA$2:$AB$5,2,FALSE())</f>
        <v>15</v>
      </c>
      <c r="R36" s="7" t="n">
        <f aca="false">IF(OR(F36="Open",F36="Reopened"),1,0)</f>
        <v>0</v>
      </c>
      <c r="S36" s="7" t="n">
        <f aca="false">IF(AND(H36&gt;='Exec Summary'!$E$1,H36&lt;='Exec Summary'!$E$2),1,0)</f>
        <v>0</v>
      </c>
      <c r="T36" s="7" t="n">
        <f aca="false">IF(AND(F36="Closed",I36&lt;&gt;"",I36&gt;='Exec Summary'!$E$1,I36&lt;='Exec Summary'!$E$2),1,0)</f>
        <v>0</v>
      </c>
      <c r="U36" s="7" t="n">
        <f aca="false">IF(F36="Reopened",1,0)</f>
        <v>0</v>
      </c>
      <c r="V36" s="7" t="n">
        <f aca="false">IF(AND(R36=1,O36&gt;Q36),1,0)</f>
        <v>0</v>
      </c>
      <c r="W36" s="7" t="n">
        <f aca="false">IF(AND(T36=1,P36&lt;&gt;"",P36&lt;=Q36),1,0)</f>
        <v>0</v>
      </c>
    </row>
    <row r="37" customFormat="false" ht="15" hidden="false" customHeight="false" outlineLevel="0" collapsed="false">
      <c r="A37" s="7" t="s">
        <v>134</v>
      </c>
      <c r="B37" s="7" t="s">
        <v>135</v>
      </c>
      <c r="C37" s="7" t="s">
        <v>136</v>
      </c>
      <c r="D37" s="7" t="s">
        <v>131</v>
      </c>
      <c r="E37" s="7" t="s">
        <v>132</v>
      </c>
      <c r="F37" s="7" t="s">
        <v>56</v>
      </c>
      <c r="G37" s="7" t="s">
        <v>19</v>
      </c>
      <c r="H37" s="9" t="n">
        <v>46027</v>
      </c>
      <c r="I37" s="9"/>
      <c r="J37" s="7" t="n">
        <v>9.8</v>
      </c>
      <c r="K37" s="7" t="s">
        <v>51</v>
      </c>
      <c r="L37" s="7" t="s">
        <v>22</v>
      </c>
      <c r="M37" s="7" t="s">
        <v>142</v>
      </c>
      <c r="N37" s="7" t="s">
        <v>58</v>
      </c>
      <c r="O37" s="10" t="n">
        <f aca="false">'Exec Summary'!$E$2-H37</f>
        <v>207</v>
      </c>
      <c r="P37" s="10" t="str">
        <f aca="false">IF(I37="","",I37-H37)</f>
        <v/>
      </c>
      <c r="Q37" s="10" t="n">
        <f aca="false">VLOOKUP(G37,$AA$2:$AB$5,2,FALSE())</f>
        <v>15</v>
      </c>
      <c r="R37" s="7" t="n">
        <f aca="false">IF(OR(F37="Open",F37="Reopened"),1,0)</f>
        <v>1</v>
      </c>
      <c r="S37" s="7" t="n">
        <f aca="false">IF(AND(H37&gt;='Exec Summary'!$E$1,H37&lt;='Exec Summary'!$E$2),1,0)</f>
        <v>0</v>
      </c>
      <c r="T37" s="7" t="n">
        <f aca="false">IF(AND(F37="Closed",I37&lt;&gt;"",I37&gt;='Exec Summary'!$E$1,I37&lt;='Exec Summary'!$E$2),1,0)</f>
        <v>0</v>
      </c>
      <c r="U37" s="7" t="n">
        <f aca="false">IF(F37="Reopened",1,0)</f>
        <v>0</v>
      </c>
      <c r="V37" s="7" t="n">
        <f aca="false">IF(AND(R37=1,O37&gt;Q37),1,0)</f>
        <v>1</v>
      </c>
      <c r="W37" s="7" t="n">
        <f aca="false">IF(AND(T37=1,P37&lt;&gt;"",P37&lt;=Q37),1,0)</f>
        <v>0</v>
      </c>
    </row>
    <row r="38" customFormat="false" ht="15" hidden="false" customHeight="false" outlineLevel="0" collapsed="false">
      <c r="A38" s="7" t="s">
        <v>134</v>
      </c>
      <c r="B38" s="7" t="s">
        <v>135</v>
      </c>
      <c r="C38" s="7" t="s">
        <v>136</v>
      </c>
      <c r="D38" s="7" t="s">
        <v>95</v>
      </c>
      <c r="E38" s="7" t="s">
        <v>96</v>
      </c>
      <c r="F38" s="7" t="s">
        <v>56</v>
      </c>
      <c r="G38" s="7" t="s">
        <v>20</v>
      </c>
      <c r="H38" s="9" t="n">
        <v>46189</v>
      </c>
      <c r="I38" s="9"/>
      <c r="J38" s="7" t="n">
        <v>8.8</v>
      </c>
      <c r="K38" s="7" t="s">
        <v>51</v>
      </c>
      <c r="L38" s="7" t="s">
        <v>22</v>
      </c>
      <c r="M38" s="7" t="s">
        <v>143</v>
      </c>
      <c r="N38" s="7" t="s">
        <v>53</v>
      </c>
      <c r="O38" s="10" t="n">
        <f aca="false">'Exec Summary'!$E$2-H38</f>
        <v>45</v>
      </c>
      <c r="P38" s="10" t="str">
        <f aca="false">IF(I38="","",I38-H38)</f>
        <v/>
      </c>
      <c r="Q38" s="10" t="n">
        <f aca="false">VLOOKUP(G38,$AA$2:$AB$5,2,FALSE())</f>
        <v>30</v>
      </c>
      <c r="R38" s="7" t="n">
        <f aca="false">IF(OR(F38="Open",F38="Reopened"),1,0)</f>
        <v>1</v>
      </c>
      <c r="S38" s="7" t="n">
        <f aca="false">IF(AND(H38&gt;='Exec Summary'!$E$1,H38&lt;='Exec Summary'!$E$2),1,0)</f>
        <v>0</v>
      </c>
      <c r="T38" s="7" t="n">
        <f aca="false">IF(AND(F38="Closed",I38&lt;&gt;"",I38&gt;='Exec Summary'!$E$1,I38&lt;='Exec Summary'!$E$2),1,0)</f>
        <v>0</v>
      </c>
      <c r="U38" s="7" t="n">
        <f aca="false">IF(F38="Reopened",1,0)</f>
        <v>0</v>
      </c>
      <c r="V38" s="7" t="n">
        <f aca="false">IF(AND(R38=1,O38&gt;Q38),1,0)</f>
        <v>1</v>
      </c>
      <c r="W38" s="7" t="n">
        <f aca="false">IF(AND(T38=1,P38&lt;&gt;"",P38&lt;=Q38),1,0)</f>
        <v>0</v>
      </c>
    </row>
    <row r="39" customFormat="false" ht="15" hidden="false" customHeight="false" outlineLevel="0" collapsed="false">
      <c r="A39" s="7" t="s">
        <v>134</v>
      </c>
      <c r="B39" s="7" t="s">
        <v>135</v>
      </c>
      <c r="C39" s="7" t="s">
        <v>136</v>
      </c>
      <c r="D39" s="7" t="s">
        <v>84</v>
      </c>
      <c r="E39" s="7" t="s">
        <v>85</v>
      </c>
      <c r="F39" s="7" t="s">
        <v>56</v>
      </c>
      <c r="G39" s="7" t="s">
        <v>20</v>
      </c>
      <c r="H39" s="9" t="n">
        <v>46057</v>
      </c>
      <c r="I39" s="9"/>
      <c r="J39" s="7" t="n">
        <v>7.5</v>
      </c>
      <c r="K39" s="7" t="s">
        <v>51</v>
      </c>
      <c r="L39" s="7" t="s">
        <v>22</v>
      </c>
      <c r="M39" s="7" t="s">
        <v>144</v>
      </c>
      <c r="N39" s="7" t="s">
        <v>53</v>
      </c>
      <c r="O39" s="10" t="n">
        <f aca="false">'Exec Summary'!$E$2-H39</f>
        <v>177</v>
      </c>
      <c r="P39" s="10" t="str">
        <f aca="false">IF(I39="","",I39-H39)</f>
        <v/>
      </c>
      <c r="Q39" s="10" t="n">
        <f aca="false">VLOOKUP(G39,$AA$2:$AB$5,2,FALSE())</f>
        <v>30</v>
      </c>
      <c r="R39" s="7" t="n">
        <f aca="false">IF(OR(F39="Open",F39="Reopened"),1,0)</f>
        <v>1</v>
      </c>
      <c r="S39" s="7" t="n">
        <f aca="false">IF(AND(H39&gt;='Exec Summary'!$E$1,H39&lt;='Exec Summary'!$E$2),1,0)</f>
        <v>0</v>
      </c>
      <c r="T39" s="7" t="n">
        <f aca="false">IF(AND(F39="Closed",I39&lt;&gt;"",I39&gt;='Exec Summary'!$E$1,I39&lt;='Exec Summary'!$E$2),1,0)</f>
        <v>0</v>
      </c>
      <c r="U39" s="7" t="n">
        <f aca="false">IF(F39="Reopened",1,0)</f>
        <v>0</v>
      </c>
      <c r="V39" s="7" t="n">
        <f aca="false">IF(AND(R39=1,O39&gt;Q39),1,0)</f>
        <v>1</v>
      </c>
      <c r="W39" s="7" t="n">
        <f aca="false">IF(AND(T39=1,P39&lt;&gt;"",P39&lt;=Q39),1,0)</f>
        <v>0</v>
      </c>
    </row>
    <row r="40" customFormat="false" ht="15" hidden="false" customHeight="false" outlineLevel="0" collapsed="false">
      <c r="A40" s="7" t="s">
        <v>134</v>
      </c>
      <c r="B40" s="7" t="s">
        <v>135</v>
      </c>
      <c r="C40" s="7" t="s">
        <v>136</v>
      </c>
      <c r="D40" s="7" t="s">
        <v>145</v>
      </c>
      <c r="E40" s="7" t="s">
        <v>146</v>
      </c>
      <c r="F40" s="7" t="s">
        <v>50</v>
      </c>
      <c r="G40" s="7" t="s">
        <v>19</v>
      </c>
      <c r="H40" s="9" t="n">
        <v>46051</v>
      </c>
      <c r="I40" s="9" t="n">
        <v>46067</v>
      </c>
      <c r="J40" s="7" t="n">
        <v>9.8</v>
      </c>
      <c r="K40" s="7" t="s">
        <v>51</v>
      </c>
      <c r="L40" s="7" t="s">
        <v>22</v>
      </c>
      <c r="M40" s="7" t="s">
        <v>147</v>
      </c>
      <c r="N40" s="7" t="s">
        <v>58</v>
      </c>
      <c r="O40" s="10" t="n">
        <f aca="false">'Exec Summary'!$E$2-H40</f>
        <v>183</v>
      </c>
      <c r="P40" s="10" t="n">
        <f aca="false">IF(I40="","",I40-H40)</f>
        <v>16</v>
      </c>
      <c r="Q40" s="10" t="n">
        <f aca="false">VLOOKUP(G40,$AA$2:$AB$5,2,FALSE())</f>
        <v>15</v>
      </c>
      <c r="R40" s="7" t="n">
        <f aca="false">IF(OR(F40="Open",F40="Reopened"),1,0)</f>
        <v>0</v>
      </c>
      <c r="S40" s="7" t="n">
        <f aca="false">IF(AND(H40&gt;='Exec Summary'!$E$1,H40&lt;='Exec Summary'!$E$2),1,0)</f>
        <v>0</v>
      </c>
      <c r="T40" s="7" t="n">
        <f aca="false">IF(AND(F40="Closed",I40&lt;&gt;"",I40&gt;='Exec Summary'!$E$1,I40&lt;='Exec Summary'!$E$2),1,0)</f>
        <v>0</v>
      </c>
      <c r="U40" s="7" t="n">
        <f aca="false">IF(F40="Reopened",1,0)</f>
        <v>0</v>
      </c>
      <c r="V40" s="7" t="n">
        <f aca="false">IF(AND(R40=1,O40&gt;Q40),1,0)</f>
        <v>0</v>
      </c>
      <c r="W40" s="7" t="n">
        <f aca="false">IF(AND(T40=1,P40&lt;&gt;"",P40&lt;=Q40),1,0)</f>
        <v>0</v>
      </c>
    </row>
    <row r="41" customFormat="false" ht="15" hidden="false" customHeight="false" outlineLevel="0" collapsed="false">
      <c r="A41" s="7" t="s">
        <v>134</v>
      </c>
      <c r="B41" s="7" t="s">
        <v>135</v>
      </c>
      <c r="C41" s="7" t="s">
        <v>136</v>
      </c>
      <c r="D41" s="7" t="s">
        <v>104</v>
      </c>
      <c r="E41" s="7" t="s">
        <v>105</v>
      </c>
      <c r="F41" s="7" t="s">
        <v>56</v>
      </c>
      <c r="G41" s="7" t="s">
        <v>19</v>
      </c>
      <c r="H41" s="9" t="n">
        <v>46013</v>
      </c>
      <c r="I41" s="9"/>
      <c r="J41" s="7" t="n">
        <v>9.8</v>
      </c>
      <c r="K41" s="7" t="s">
        <v>51</v>
      </c>
      <c r="L41" s="7" t="s">
        <v>22</v>
      </c>
      <c r="M41" s="7" t="s">
        <v>148</v>
      </c>
      <c r="N41" s="7" t="s">
        <v>58</v>
      </c>
      <c r="O41" s="10" t="n">
        <f aca="false">'Exec Summary'!$E$2-H41</f>
        <v>221</v>
      </c>
      <c r="P41" s="10" t="str">
        <f aca="false">IF(I41="","",I41-H41)</f>
        <v/>
      </c>
      <c r="Q41" s="10" t="n">
        <f aca="false">VLOOKUP(G41,$AA$2:$AB$5,2,FALSE())</f>
        <v>15</v>
      </c>
      <c r="R41" s="7" t="n">
        <f aca="false">IF(OR(F41="Open",F41="Reopened"),1,0)</f>
        <v>1</v>
      </c>
      <c r="S41" s="7" t="n">
        <f aca="false">IF(AND(H41&gt;='Exec Summary'!$E$1,H41&lt;='Exec Summary'!$E$2),1,0)</f>
        <v>0</v>
      </c>
      <c r="T41" s="7" t="n">
        <f aca="false">IF(AND(F41="Closed",I41&lt;&gt;"",I41&gt;='Exec Summary'!$E$1,I41&lt;='Exec Summary'!$E$2),1,0)</f>
        <v>0</v>
      </c>
      <c r="U41" s="7" t="n">
        <f aca="false">IF(F41="Reopened",1,0)</f>
        <v>0</v>
      </c>
      <c r="V41" s="7" t="n">
        <f aca="false">IF(AND(R41=1,O41&gt;Q41),1,0)</f>
        <v>1</v>
      </c>
      <c r="W41" s="7" t="n">
        <f aca="false">IF(AND(T41=1,P41&lt;&gt;"",P41&lt;=Q41),1,0)</f>
        <v>0</v>
      </c>
    </row>
    <row r="42" customFormat="false" ht="15" hidden="false" customHeight="false" outlineLevel="0" collapsed="false">
      <c r="A42" s="7" t="s">
        <v>134</v>
      </c>
      <c r="B42" s="7" t="s">
        <v>135</v>
      </c>
      <c r="C42" s="7" t="s">
        <v>136</v>
      </c>
      <c r="D42" s="7" t="s">
        <v>54</v>
      </c>
      <c r="E42" s="7" t="s">
        <v>55</v>
      </c>
      <c r="F42" s="7" t="s">
        <v>56</v>
      </c>
      <c r="G42" s="7" t="s">
        <v>19</v>
      </c>
      <c r="H42" s="9" t="n">
        <v>45974</v>
      </c>
      <c r="I42" s="9"/>
      <c r="J42" s="7" t="n">
        <v>9.8</v>
      </c>
      <c r="K42" s="7" t="s">
        <v>51</v>
      </c>
      <c r="L42" s="7" t="s">
        <v>22</v>
      </c>
      <c r="M42" s="7" t="s">
        <v>149</v>
      </c>
      <c r="N42" s="7" t="s">
        <v>58</v>
      </c>
      <c r="O42" s="10" t="n">
        <f aca="false">'Exec Summary'!$E$2-H42</f>
        <v>260</v>
      </c>
      <c r="P42" s="10" t="str">
        <f aca="false">IF(I42="","",I42-H42)</f>
        <v/>
      </c>
      <c r="Q42" s="10" t="n">
        <f aca="false">VLOOKUP(G42,$AA$2:$AB$5,2,FALSE())</f>
        <v>15</v>
      </c>
      <c r="R42" s="7" t="n">
        <f aca="false">IF(OR(F42="Open",F42="Reopened"),1,0)</f>
        <v>1</v>
      </c>
      <c r="S42" s="7" t="n">
        <f aca="false">IF(AND(H42&gt;='Exec Summary'!$E$1,H42&lt;='Exec Summary'!$E$2),1,0)</f>
        <v>0</v>
      </c>
      <c r="T42" s="7" t="n">
        <f aca="false">IF(AND(F42="Closed",I42&lt;&gt;"",I42&gt;='Exec Summary'!$E$1,I42&lt;='Exec Summary'!$E$2),1,0)</f>
        <v>0</v>
      </c>
      <c r="U42" s="7" t="n">
        <f aca="false">IF(F42="Reopened",1,0)</f>
        <v>0</v>
      </c>
      <c r="V42" s="7" t="n">
        <f aca="false">IF(AND(R42=1,O42&gt;Q42),1,0)</f>
        <v>1</v>
      </c>
      <c r="W42" s="7" t="n">
        <f aca="false">IF(AND(T42=1,P42&lt;&gt;"",P42&lt;=Q42),1,0)</f>
        <v>0</v>
      </c>
    </row>
    <row r="43" customFormat="false" ht="15" hidden="false" customHeight="false" outlineLevel="0" collapsed="false">
      <c r="A43" s="7" t="s">
        <v>134</v>
      </c>
      <c r="B43" s="7" t="s">
        <v>135</v>
      </c>
      <c r="C43" s="7" t="s">
        <v>136</v>
      </c>
      <c r="D43" s="7" t="s">
        <v>117</v>
      </c>
      <c r="E43" s="7" t="s">
        <v>118</v>
      </c>
      <c r="F43" s="7" t="s">
        <v>56</v>
      </c>
      <c r="G43" s="7" t="s">
        <v>19</v>
      </c>
      <c r="H43" s="9" t="n">
        <v>45937</v>
      </c>
      <c r="I43" s="9"/>
      <c r="J43" s="7" t="n">
        <v>10</v>
      </c>
      <c r="K43" s="7" t="s">
        <v>51</v>
      </c>
      <c r="L43" s="7" t="s">
        <v>22</v>
      </c>
      <c r="M43" s="7" t="s">
        <v>150</v>
      </c>
      <c r="N43" s="7" t="s">
        <v>58</v>
      </c>
      <c r="O43" s="10" t="n">
        <f aca="false">'Exec Summary'!$E$2-H43</f>
        <v>297</v>
      </c>
      <c r="P43" s="10" t="str">
        <f aca="false">IF(I43="","",I43-H43)</f>
        <v/>
      </c>
      <c r="Q43" s="10" t="n">
        <f aca="false">VLOOKUP(G43,$AA$2:$AB$5,2,FALSE())</f>
        <v>15</v>
      </c>
      <c r="R43" s="7" t="n">
        <f aca="false">IF(OR(F43="Open",F43="Reopened"),1,0)</f>
        <v>1</v>
      </c>
      <c r="S43" s="7" t="n">
        <f aca="false">IF(AND(H43&gt;='Exec Summary'!$E$1,H43&lt;='Exec Summary'!$E$2),1,0)</f>
        <v>0</v>
      </c>
      <c r="T43" s="7" t="n">
        <f aca="false">IF(AND(F43="Closed",I43&lt;&gt;"",I43&gt;='Exec Summary'!$E$1,I43&lt;='Exec Summary'!$E$2),1,0)</f>
        <v>0</v>
      </c>
      <c r="U43" s="7" t="n">
        <f aca="false">IF(F43="Reopened",1,0)</f>
        <v>0</v>
      </c>
      <c r="V43" s="7" t="n">
        <f aca="false">IF(AND(R43=1,O43&gt;Q43),1,0)</f>
        <v>1</v>
      </c>
      <c r="W43" s="7" t="n">
        <f aca="false">IF(AND(T43=1,P43&lt;&gt;"",P43&lt;=Q43),1,0)</f>
        <v>0</v>
      </c>
    </row>
    <row r="44" customFormat="false" ht="15" hidden="false" customHeight="false" outlineLevel="0" collapsed="false">
      <c r="A44" s="7" t="s">
        <v>151</v>
      </c>
      <c r="B44" s="7" t="s">
        <v>135</v>
      </c>
      <c r="C44" s="7" t="s">
        <v>136</v>
      </c>
      <c r="D44" s="7" t="s">
        <v>152</v>
      </c>
      <c r="E44" s="7" t="s">
        <v>153</v>
      </c>
      <c r="F44" s="7" t="s">
        <v>50</v>
      </c>
      <c r="G44" s="7" t="s">
        <v>20</v>
      </c>
      <c r="H44" s="9" t="n">
        <v>46077</v>
      </c>
      <c r="I44" s="9" t="n">
        <v>46099</v>
      </c>
      <c r="J44" s="7" t="n">
        <v>7.5</v>
      </c>
      <c r="K44" s="7" t="s">
        <v>51</v>
      </c>
      <c r="L44" s="7" t="s">
        <v>21</v>
      </c>
      <c r="M44" s="7" t="s">
        <v>154</v>
      </c>
      <c r="N44" s="7" t="s">
        <v>53</v>
      </c>
      <c r="O44" s="10" t="n">
        <f aca="false">'Exec Summary'!$E$2-H44</f>
        <v>157</v>
      </c>
      <c r="P44" s="10" t="n">
        <f aca="false">IF(I44="","",I44-H44)</f>
        <v>22</v>
      </c>
      <c r="Q44" s="10" t="n">
        <f aca="false">VLOOKUP(G44,$AA$2:$AB$5,2,FALSE())</f>
        <v>30</v>
      </c>
      <c r="R44" s="7" t="n">
        <f aca="false">IF(OR(F44="Open",F44="Reopened"),1,0)</f>
        <v>0</v>
      </c>
      <c r="S44" s="7" t="n">
        <f aca="false">IF(AND(H44&gt;='Exec Summary'!$E$1,H44&lt;='Exec Summary'!$E$2),1,0)</f>
        <v>0</v>
      </c>
      <c r="T44" s="7" t="n">
        <f aca="false">IF(AND(F44="Closed",I44&lt;&gt;"",I44&gt;='Exec Summary'!$E$1,I44&lt;='Exec Summary'!$E$2),1,0)</f>
        <v>0</v>
      </c>
      <c r="U44" s="7" t="n">
        <f aca="false">IF(F44="Reopened",1,0)</f>
        <v>0</v>
      </c>
      <c r="V44" s="7" t="n">
        <f aca="false">IF(AND(R44=1,O44&gt;Q44),1,0)</f>
        <v>0</v>
      </c>
      <c r="W44" s="7" t="n">
        <f aca="false">IF(AND(T44=1,P44&lt;&gt;"",P44&lt;=Q44),1,0)</f>
        <v>0</v>
      </c>
    </row>
    <row r="45" customFormat="false" ht="15" hidden="false" customHeight="false" outlineLevel="0" collapsed="false">
      <c r="A45" s="7" t="s">
        <v>151</v>
      </c>
      <c r="B45" s="7" t="s">
        <v>135</v>
      </c>
      <c r="C45" s="7" t="s">
        <v>136</v>
      </c>
      <c r="D45" s="7" t="s">
        <v>74</v>
      </c>
      <c r="E45" s="7" t="s">
        <v>75</v>
      </c>
      <c r="F45" s="7" t="s">
        <v>56</v>
      </c>
      <c r="G45" s="7" t="s">
        <v>21</v>
      </c>
      <c r="H45" s="9" t="n">
        <v>46178</v>
      </c>
      <c r="I45" s="9"/>
      <c r="J45" s="7" t="n">
        <v>6.5</v>
      </c>
      <c r="K45" s="7" t="s">
        <v>51</v>
      </c>
      <c r="L45" s="7" t="s">
        <v>21</v>
      </c>
      <c r="M45" s="7" t="s">
        <v>155</v>
      </c>
      <c r="N45" s="7" t="s">
        <v>77</v>
      </c>
      <c r="O45" s="10" t="n">
        <f aca="false">'Exec Summary'!$E$2-H45</f>
        <v>56</v>
      </c>
      <c r="P45" s="10" t="str">
        <f aca="false">IF(I45="","",I45-H45)</f>
        <v/>
      </c>
      <c r="Q45" s="10" t="n">
        <f aca="false">VLOOKUP(G45,$AA$2:$AB$5,2,FALSE())</f>
        <v>90</v>
      </c>
      <c r="R45" s="7" t="n">
        <f aca="false">IF(OR(F45="Open",F45="Reopened"),1,0)</f>
        <v>1</v>
      </c>
      <c r="S45" s="7" t="n">
        <f aca="false">IF(AND(H45&gt;='Exec Summary'!$E$1,H45&lt;='Exec Summary'!$E$2),1,0)</f>
        <v>0</v>
      </c>
      <c r="T45" s="7" t="n">
        <f aca="false">IF(AND(F45="Closed",I45&lt;&gt;"",I45&gt;='Exec Summary'!$E$1,I45&lt;='Exec Summary'!$E$2),1,0)</f>
        <v>0</v>
      </c>
      <c r="U45" s="7" t="n">
        <f aca="false">IF(F45="Reopened",1,0)</f>
        <v>0</v>
      </c>
      <c r="V45" s="7" t="n">
        <f aca="false">IF(AND(R45=1,O45&gt;Q45),1,0)</f>
        <v>0</v>
      </c>
      <c r="W45" s="7" t="n">
        <f aca="false">IF(AND(T45=1,P45&lt;&gt;"",P45&lt;=Q45),1,0)</f>
        <v>0</v>
      </c>
    </row>
    <row r="46" customFormat="false" ht="15" hidden="false" customHeight="false" outlineLevel="0" collapsed="false">
      <c r="A46" s="7" t="s">
        <v>151</v>
      </c>
      <c r="B46" s="7" t="s">
        <v>135</v>
      </c>
      <c r="C46" s="7" t="s">
        <v>136</v>
      </c>
      <c r="D46" s="7" t="s">
        <v>108</v>
      </c>
      <c r="E46" s="7" t="s">
        <v>109</v>
      </c>
      <c r="F46" s="7" t="s">
        <v>50</v>
      </c>
      <c r="G46" s="7" t="s">
        <v>20</v>
      </c>
      <c r="H46" s="9" t="n">
        <v>46191</v>
      </c>
      <c r="I46" s="9" t="n">
        <v>46206</v>
      </c>
      <c r="J46" s="7" t="n">
        <v>8.6</v>
      </c>
      <c r="K46" s="7" t="s">
        <v>51</v>
      </c>
      <c r="L46" s="7" t="s">
        <v>21</v>
      </c>
      <c r="M46" s="7" t="s">
        <v>156</v>
      </c>
      <c r="N46" s="7" t="s">
        <v>53</v>
      </c>
      <c r="O46" s="10" t="n">
        <f aca="false">'Exec Summary'!$E$2-H46</f>
        <v>43</v>
      </c>
      <c r="P46" s="10" t="n">
        <f aca="false">IF(I46="","",I46-H46)</f>
        <v>15</v>
      </c>
      <c r="Q46" s="10" t="n">
        <f aca="false">VLOOKUP(G46,$AA$2:$AB$5,2,FALSE())</f>
        <v>30</v>
      </c>
      <c r="R46" s="7" t="n">
        <f aca="false">IF(OR(F46="Open",F46="Reopened"),1,0)</f>
        <v>0</v>
      </c>
      <c r="S46" s="7" t="n">
        <f aca="false">IF(AND(H46&gt;='Exec Summary'!$E$1,H46&lt;='Exec Summary'!$E$2),1,0)</f>
        <v>0</v>
      </c>
      <c r="T46" s="7" t="n">
        <f aca="false">IF(AND(F46="Closed",I46&lt;&gt;"",I46&gt;='Exec Summary'!$E$1,I46&lt;='Exec Summary'!$E$2),1,0)</f>
        <v>1</v>
      </c>
      <c r="U46" s="7" t="n">
        <f aca="false">IF(F46="Reopened",1,0)</f>
        <v>0</v>
      </c>
      <c r="V46" s="7" t="n">
        <f aca="false">IF(AND(R46=1,O46&gt;Q46),1,0)</f>
        <v>0</v>
      </c>
      <c r="W46" s="7" t="n">
        <f aca="false">IF(AND(T46=1,P46&lt;&gt;"",P46&lt;=Q46),1,0)</f>
        <v>1</v>
      </c>
    </row>
    <row r="47" customFormat="false" ht="15" hidden="false" customHeight="false" outlineLevel="0" collapsed="false">
      <c r="A47" s="7" t="s">
        <v>157</v>
      </c>
      <c r="B47" s="7" t="s">
        <v>46</v>
      </c>
      <c r="C47" s="7" t="s">
        <v>158</v>
      </c>
      <c r="D47" s="7" t="s">
        <v>98</v>
      </c>
      <c r="E47" s="7" t="s">
        <v>99</v>
      </c>
      <c r="F47" s="7" t="s">
        <v>50</v>
      </c>
      <c r="G47" s="7" t="s">
        <v>19</v>
      </c>
      <c r="H47" s="9" t="n">
        <v>46055</v>
      </c>
      <c r="I47" s="9" t="n">
        <v>46072</v>
      </c>
      <c r="J47" s="7" t="n">
        <v>10</v>
      </c>
      <c r="K47" s="7" t="s">
        <v>51</v>
      </c>
      <c r="L47" s="7" t="s">
        <v>22</v>
      </c>
      <c r="M47" s="7" t="s">
        <v>159</v>
      </c>
      <c r="N47" s="7" t="s">
        <v>58</v>
      </c>
      <c r="O47" s="10" t="n">
        <f aca="false">'Exec Summary'!$E$2-H47</f>
        <v>179</v>
      </c>
      <c r="P47" s="10" t="n">
        <f aca="false">IF(I47="","",I47-H47)</f>
        <v>17</v>
      </c>
      <c r="Q47" s="10" t="n">
        <f aca="false">VLOOKUP(G47,$AA$2:$AB$5,2,FALSE())</f>
        <v>15</v>
      </c>
      <c r="R47" s="7" t="n">
        <f aca="false">IF(OR(F47="Open",F47="Reopened"),1,0)</f>
        <v>0</v>
      </c>
      <c r="S47" s="7" t="n">
        <f aca="false">IF(AND(H47&gt;='Exec Summary'!$E$1,H47&lt;='Exec Summary'!$E$2),1,0)</f>
        <v>0</v>
      </c>
      <c r="T47" s="7" t="n">
        <f aca="false">IF(AND(F47="Closed",I47&lt;&gt;"",I47&gt;='Exec Summary'!$E$1,I47&lt;='Exec Summary'!$E$2),1,0)</f>
        <v>0</v>
      </c>
      <c r="U47" s="7" t="n">
        <f aca="false">IF(F47="Reopened",1,0)</f>
        <v>0</v>
      </c>
      <c r="V47" s="7" t="n">
        <f aca="false">IF(AND(R47=1,O47&gt;Q47),1,0)</f>
        <v>0</v>
      </c>
      <c r="W47" s="7" t="n">
        <f aca="false">IF(AND(T47=1,P47&lt;&gt;"",P47&lt;=Q47),1,0)</f>
        <v>0</v>
      </c>
    </row>
    <row r="48" customFormat="false" ht="15" hidden="false" customHeight="false" outlineLevel="0" collapsed="false">
      <c r="A48" s="7" t="s">
        <v>157</v>
      </c>
      <c r="B48" s="7" t="s">
        <v>46</v>
      </c>
      <c r="C48" s="7" t="s">
        <v>158</v>
      </c>
      <c r="D48" s="7" t="s">
        <v>145</v>
      </c>
      <c r="E48" s="7" t="s">
        <v>146</v>
      </c>
      <c r="F48" s="7" t="s">
        <v>50</v>
      </c>
      <c r="G48" s="7" t="s">
        <v>19</v>
      </c>
      <c r="H48" s="9" t="n">
        <v>46041</v>
      </c>
      <c r="I48" s="9" t="n">
        <v>46050</v>
      </c>
      <c r="J48" s="7" t="n">
        <v>9.8</v>
      </c>
      <c r="K48" s="7" t="s">
        <v>51</v>
      </c>
      <c r="L48" s="7" t="s">
        <v>22</v>
      </c>
      <c r="M48" s="7" t="s">
        <v>160</v>
      </c>
      <c r="N48" s="7" t="s">
        <v>58</v>
      </c>
      <c r="O48" s="10" t="n">
        <f aca="false">'Exec Summary'!$E$2-H48</f>
        <v>193</v>
      </c>
      <c r="P48" s="10" t="n">
        <f aca="false">IF(I48="","",I48-H48)</f>
        <v>9</v>
      </c>
      <c r="Q48" s="10" t="n">
        <f aca="false">VLOOKUP(G48,$AA$2:$AB$5,2,FALSE())</f>
        <v>15</v>
      </c>
      <c r="R48" s="7" t="n">
        <f aca="false">IF(OR(F48="Open",F48="Reopened"),1,0)</f>
        <v>0</v>
      </c>
      <c r="S48" s="7" t="n">
        <f aca="false">IF(AND(H48&gt;='Exec Summary'!$E$1,H48&lt;='Exec Summary'!$E$2),1,0)</f>
        <v>0</v>
      </c>
      <c r="T48" s="7" t="n">
        <f aca="false">IF(AND(F48="Closed",I48&lt;&gt;"",I48&gt;='Exec Summary'!$E$1,I48&lt;='Exec Summary'!$E$2),1,0)</f>
        <v>0</v>
      </c>
      <c r="U48" s="7" t="n">
        <f aca="false">IF(F48="Reopened",1,0)</f>
        <v>0</v>
      </c>
      <c r="V48" s="7" t="n">
        <f aca="false">IF(AND(R48=1,O48&gt;Q48),1,0)</f>
        <v>0</v>
      </c>
      <c r="W48" s="7" t="n">
        <f aca="false">IF(AND(T48=1,P48&lt;&gt;"",P48&lt;=Q48),1,0)</f>
        <v>0</v>
      </c>
    </row>
    <row r="49" customFormat="false" ht="15" hidden="false" customHeight="false" outlineLevel="0" collapsed="false">
      <c r="A49" s="7" t="s">
        <v>157</v>
      </c>
      <c r="B49" s="7" t="s">
        <v>46</v>
      </c>
      <c r="C49" s="7" t="s">
        <v>158</v>
      </c>
      <c r="D49" s="7" t="s">
        <v>71</v>
      </c>
      <c r="E49" s="7" t="s">
        <v>72</v>
      </c>
      <c r="F49" s="7" t="s">
        <v>50</v>
      </c>
      <c r="G49" s="7" t="s">
        <v>19</v>
      </c>
      <c r="H49" s="9" t="n">
        <v>46139</v>
      </c>
      <c r="I49" s="9" t="n">
        <v>46151</v>
      </c>
      <c r="J49" s="7" t="n">
        <v>9.8</v>
      </c>
      <c r="K49" s="7" t="s">
        <v>51</v>
      </c>
      <c r="L49" s="7" t="s">
        <v>22</v>
      </c>
      <c r="M49" s="7" t="s">
        <v>161</v>
      </c>
      <c r="N49" s="7" t="s">
        <v>58</v>
      </c>
      <c r="O49" s="10" t="n">
        <f aca="false">'Exec Summary'!$E$2-H49</f>
        <v>95</v>
      </c>
      <c r="P49" s="10" t="n">
        <f aca="false">IF(I49="","",I49-H49)</f>
        <v>12</v>
      </c>
      <c r="Q49" s="10" t="n">
        <f aca="false">VLOOKUP(G49,$AA$2:$AB$5,2,FALSE())</f>
        <v>15</v>
      </c>
      <c r="R49" s="7" t="n">
        <f aca="false">IF(OR(F49="Open",F49="Reopened"),1,0)</f>
        <v>0</v>
      </c>
      <c r="S49" s="7" t="n">
        <f aca="false">IF(AND(H49&gt;='Exec Summary'!$E$1,H49&lt;='Exec Summary'!$E$2),1,0)</f>
        <v>0</v>
      </c>
      <c r="T49" s="7" t="n">
        <f aca="false">IF(AND(F49="Closed",I49&lt;&gt;"",I49&gt;='Exec Summary'!$E$1,I49&lt;='Exec Summary'!$E$2),1,0)</f>
        <v>0</v>
      </c>
      <c r="U49" s="7" t="n">
        <f aca="false">IF(F49="Reopened",1,0)</f>
        <v>0</v>
      </c>
      <c r="V49" s="7" t="n">
        <f aca="false">IF(AND(R49=1,O49&gt;Q49),1,0)</f>
        <v>0</v>
      </c>
      <c r="W49" s="7" t="n">
        <f aca="false">IF(AND(T49=1,P49&lt;&gt;"",P49&lt;=Q49),1,0)</f>
        <v>0</v>
      </c>
    </row>
    <row r="50" customFormat="false" ht="15" hidden="false" customHeight="false" outlineLevel="0" collapsed="false">
      <c r="A50" s="7" t="s">
        <v>157</v>
      </c>
      <c r="B50" s="7" t="s">
        <v>46</v>
      </c>
      <c r="C50" s="7" t="s">
        <v>158</v>
      </c>
      <c r="D50" s="7" t="s">
        <v>131</v>
      </c>
      <c r="E50" s="7" t="s">
        <v>132</v>
      </c>
      <c r="F50" s="7" t="s">
        <v>56</v>
      </c>
      <c r="G50" s="7" t="s">
        <v>19</v>
      </c>
      <c r="H50" s="9" t="n">
        <v>45985</v>
      </c>
      <c r="I50" s="9"/>
      <c r="J50" s="7" t="n">
        <v>9.8</v>
      </c>
      <c r="K50" s="7" t="s">
        <v>51</v>
      </c>
      <c r="L50" s="7" t="s">
        <v>22</v>
      </c>
      <c r="M50" s="7" t="s">
        <v>162</v>
      </c>
      <c r="N50" s="7" t="s">
        <v>58</v>
      </c>
      <c r="O50" s="10" t="n">
        <f aca="false">'Exec Summary'!$E$2-H50</f>
        <v>249</v>
      </c>
      <c r="P50" s="10" t="str">
        <f aca="false">IF(I50="","",I50-H50)</f>
        <v/>
      </c>
      <c r="Q50" s="10" t="n">
        <f aca="false">VLOOKUP(G50,$AA$2:$AB$5,2,FALSE())</f>
        <v>15</v>
      </c>
      <c r="R50" s="7" t="n">
        <f aca="false">IF(OR(F50="Open",F50="Reopened"),1,0)</f>
        <v>1</v>
      </c>
      <c r="S50" s="7" t="n">
        <f aca="false">IF(AND(H50&gt;='Exec Summary'!$E$1,H50&lt;='Exec Summary'!$E$2),1,0)</f>
        <v>0</v>
      </c>
      <c r="T50" s="7" t="n">
        <f aca="false">IF(AND(F50="Closed",I50&lt;&gt;"",I50&gt;='Exec Summary'!$E$1,I50&lt;='Exec Summary'!$E$2),1,0)</f>
        <v>0</v>
      </c>
      <c r="U50" s="7" t="n">
        <f aca="false">IF(F50="Reopened",1,0)</f>
        <v>0</v>
      </c>
      <c r="V50" s="7" t="n">
        <f aca="false">IF(AND(R50=1,O50&gt;Q50),1,0)</f>
        <v>1</v>
      </c>
      <c r="W50" s="7" t="n">
        <f aca="false">IF(AND(T50=1,P50&lt;&gt;"",P50&lt;=Q50),1,0)</f>
        <v>0</v>
      </c>
    </row>
    <row r="51" customFormat="false" ht="15" hidden="false" customHeight="false" outlineLevel="0" collapsed="false">
      <c r="A51" s="7" t="s">
        <v>157</v>
      </c>
      <c r="B51" s="7" t="s">
        <v>46</v>
      </c>
      <c r="C51" s="7" t="s">
        <v>158</v>
      </c>
      <c r="D51" s="7" t="s">
        <v>163</v>
      </c>
      <c r="E51" s="7" t="s">
        <v>164</v>
      </c>
      <c r="F51" s="7" t="s">
        <v>50</v>
      </c>
      <c r="G51" s="7" t="s">
        <v>19</v>
      </c>
      <c r="H51" s="9" t="n">
        <v>46218</v>
      </c>
      <c r="I51" s="9" t="n">
        <v>46232</v>
      </c>
      <c r="J51" s="7" t="n">
        <v>9.1</v>
      </c>
      <c r="K51" s="7" t="s">
        <v>51</v>
      </c>
      <c r="L51" s="7" t="s">
        <v>22</v>
      </c>
      <c r="M51" s="7" t="s">
        <v>165</v>
      </c>
      <c r="N51" s="7" t="s">
        <v>58</v>
      </c>
      <c r="O51" s="10" t="n">
        <f aca="false">'Exec Summary'!$E$2-H51</f>
        <v>16</v>
      </c>
      <c r="P51" s="10" t="n">
        <f aca="false">IF(I51="","",I51-H51)</f>
        <v>14</v>
      </c>
      <c r="Q51" s="10" t="n">
        <f aca="false">VLOOKUP(G51,$AA$2:$AB$5,2,FALSE())</f>
        <v>15</v>
      </c>
      <c r="R51" s="7" t="n">
        <f aca="false">IF(OR(F51="Open",F51="Reopened"),1,0)</f>
        <v>0</v>
      </c>
      <c r="S51" s="7" t="n">
        <f aca="false">IF(AND(H51&gt;='Exec Summary'!$E$1,H51&lt;='Exec Summary'!$E$2),1,0)</f>
        <v>1</v>
      </c>
      <c r="T51" s="7" t="n">
        <f aca="false">IF(AND(F51="Closed",I51&lt;&gt;"",I51&gt;='Exec Summary'!$E$1,I51&lt;='Exec Summary'!$E$2),1,0)</f>
        <v>1</v>
      </c>
      <c r="U51" s="7" t="n">
        <f aca="false">IF(F51="Reopened",1,0)</f>
        <v>0</v>
      </c>
      <c r="V51" s="7" t="n">
        <f aca="false">IF(AND(R51=1,O51&gt;Q51),1,0)</f>
        <v>0</v>
      </c>
      <c r="W51" s="7" t="n">
        <f aca="false">IF(AND(T51=1,P51&lt;&gt;"",P51&lt;=Q51),1,0)</f>
        <v>1</v>
      </c>
    </row>
    <row r="52" customFormat="false" ht="15" hidden="false" customHeight="false" outlineLevel="0" collapsed="false">
      <c r="A52" s="7" t="s">
        <v>157</v>
      </c>
      <c r="B52" s="7" t="s">
        <v>46</v>
      </c>
      <c r="C52" s="7" t="s">
        <v>158</v>
      </c>
      <c r="D52" s="7" t="s">
        <v>166</v>
      </c>
      <c r="E52" s="7" t="s">
        <v>167</v>
      </c>
      <c r="F52" s="7" t="s">
        <v>50</v>
      </c>
      <c r="G52" s="7" t="s">
        <v>19</v>
      </c>
      <c r="H52" s="9" t="n">
        <v>46010</v>
      </c>
      <c r="I52" s="9" t="n">
        <v>46028</v>
      </c>
      <c r="J52" s="7" t="n">
        <v>9.8</v>
      </c>
      <c r="K52" s="7" t="s">
        <v>51</v>
      </c>
      <c r="L52" s="7" t="s">
        <v>22</v>
      </c>
      <c r="M52" s="7" t="s">
        <v>168</v>
      </c>
      <c r="N52" s="7" t="s">
        <v>58</v>
      </c>
      <c r="O52" s="10" t="n">
        <f aca="false">'Exec Summary'!$E$2-H52</f>
        <v>224</v>
      </c>
      <c r="P52" s="10" t="n">
        <f aca="false">IF(I52="","",I52-H52)</f>
        <v>18</v>
      </c>
      <c r="Q52" s="10" t="n">
        <f aca="false">VLOOKUP(G52,$AA$2:$AB$5,2,FALSE())</f>
        <v>15</v>
      </c>
      <c r="R52" s="7" t="n">
        <f aca="false">IF(OR(F52="Open",F52="Reopened"),1,0)</f>
        <v>0</v>
      </c>
      <c r="S52" s="7" t="n">
        <f aca="false">IF(AND(H52&gt;='Exec Summary'!$E$1,H52&lt;='Exec Summary'!$E$2),1,0)</f>
        <v>0</v>
      </c>
      <c r="T52" s="7" t="n">
        <f aca="false">IF(AND(F52="Closed",I52&lt;&gt;"",I52&gt;='Exec Summary'!$E$1,I52&lt;='Exec Summary'!$E$2),1,0)</f>
        <v>0</v>
      </c>
      <c r="U52" s="7" t="n">
        <f aca="false">IF(F52="Reopened",1,0)</f>
        <v>0</v>
      </c>
      <c r="V52" s="7" t="n">
        <f aca="false">IF(AND(R52=1,O52&gt;Q52),1,0)</f>
        <v>0</v>
      </c>
      <c r="W52" s="7" t="n">
        <f aca="false">IF(AND(T52=1,P52&lt;&gt;"",P52&lt;=Q52),1,0)</f>
        <v>0</v>
      </c>
    </row>
    <row r="53" customFormat="false" ht="15" hidden="false" customHeight="false" outlineLevel="0" collapsed="false">
      <c r="A53" s="7" t="s">
        <v>157</v>
      </c>
      <c r="B53" s="7" t="s">
        <v>46</v>
      </c>
      <c r="C53" s="7" t="s">
        <v>158</v>
      </c>
      <c r="D53" s="7" t="s">
        <v>65</v>
      </c>
      <c r="E53" s="7" t="s">
        <v>66</v>
      </c>
      <c r="F53" s="7" t="s">
        <v>56</v>
      </c>
      <c r="G53" s="7" t="s">
        <v>19</v>
      </c>
      <c r="H53" s="9" t="n">
        <v>46207</v>
      </c>
      <c r="I53" s="9"/>
      <c r="J53" s="7" t="n">
        <v>9.8</v>
      </c>
      <c r="K53" s="7" t="s">
        <v>51</v>
      </c>
      <c r="L53" s="7" t="s">
        <v>22</v>
      </c>
      <c r="M53" s="7" t="s">
        <v>169</v>
      </c>
      <c r="N53" s="7" t="s">
        <v>58</v>
      </c>
      <c r="O53" s="10" t="n">
        <f aca="false">'Exec Summary'!$E$2-H53</f>
        <v>27</v>
      </c>
      <c r="P53" s="10" t="str">
        <f aca="false">IF(I53="","",I53-H53)</f>
        <v/>
      </c>
      <c r="Q53" s="10" t="n">
        <f aca="false">VLOOKUP(G53,$AA$2:$AB$5,2,FALSE())</f>
        <v>15</v>
      </c>
      <c r="R53" s="7" t="n">
        <f aca="false">IF(OR(F53="Open",F53="Reopened"),1,0)</f>
        <v>1</v>
      </c>
      <c r="S53" s="7" t="n">
        <f aca="false">IF(AND(H53&gt;='Exec Summary'!$E$1,H53&lt;='Exec Summary'!$E$2),1,0)</f>
        <v>1</v>
      </c>
      <c r="T53" s="7" t="n">
        <f aca="false">IF(AND(F53="Closed",I53&lt;&gt;"",I53&gt;='Exec Summary'!$E$1,I53&lt;='Exec Summary'!$E$2),1,0)</f>
        <v>0</v>
      </c>
      <c r="U53" s="7" t="n">
        <f aca="false">IF(F53="Reopened",1,0)</f>
        <v>0</v>
      </c>
      <c r="V53" s="7" t="n">
        <f aca="false">IF(AND(R53=1,O53&gt;Q53),1,0)</f>
        <v>1</v>
      </c>
      <c r="W53" s="7" t="n">
        <f aca="false">IF(AND(T53=1,P53&lt;&gt;"",P53&lt;=Q53),1,0)</f>
        <v>0</v>
      </c>
    </row>
    <row r="54" customFormat="false" ht="15" hidden="false" customHeight="false" outlineLevel="0" collapsed="false">
      <c r="A54" s="7" t="s">
        <v>157</v>
      </c>
      <c r="B54" s="7" t="s">
        <v>46</v>
      </c>
      <c r="C54" s="7" t="s">
        <v>158</v>
      </c>
      <c r="D54" s="7" t="s">
        <v>95</v>
      </c>
      <c r="E54" s="7" t="s">
        <v>96</v>
      </c>
      <c r="F54" s="7" t="s">
        <v>50</v>
      </c>
      <c r="G54" s="7" t="s">
        <v>20</v>
      </c>
      <c r="H54" s="9" t="n">
        <v>46087</v>
      </c>
      <c r="I54" s="9" t="n">
        <v>46110</v>
      </c>
      <c r="J54" s="7" t="n">
        <v>8.8</v>
      </c>
      <c r="K54" s="7" t="s">
        <v>51</v>
      </c>
      <c r="L54" s="7" t="s">
        <v>22</v>
      </c>
      <c r="M54" s="7" t="s">
        <v>170</v>
      </c>
      <c r="N54" s="7" t="s">
        <v>53</v>
      </c>
      <c r="O54" s="10" t="n">
        <f aca="false">'Exec Summary'!$E$2-H54</f>
        <v>147</v>
      </c>
      <c r="P54" s="10" t="n">
        <f aca="false">IF(I54="","",I54-H54)</f>
        <v>23</v>
      </c>
      <c r="Q54" s="10" t="n">
        <f aca="false">VLOOKUP(G54,$AA$2:$AB$5,2,FALSE())</f>
        <v>30</v>
      </c>
      <c r="R54" s="7" t="n">
        <f aca="false">IF(OR(F54="Open",F54="Reopened"),1,0)</f>
        <v>0</v>
      </c>
      <c r="S54" s="7" t="n">
        <f aca="false">IF(AND(H54&gt;='Exec Summary'!$E$1,H54&lt;='Exec Summary'!$E$2),1,0)</f>
        <v>0</v>
      </c>
      <c r="T54" s="7" t="n">
        <f aca="false">IF(AND(F54="Closed",I54&lt;&gt;"",I54&gt;='Exec Summary'!$E$1,I54&lt;='Exec Summary'!$E$2),1,0)</f>
        <v>0</v>
      </c>
      <c r="U54" s="7" t="n">
        <f aca="false">IF(F54="Reopened",1,0)</f>
        <v>0</v>
      </c>
      <c r="V54" s="7" t="n">
        <f aca="false">IF(AND(R54=1,O54&gt;Q54),1,0)</f>
        <v>0</v>
      </c>
      <c r="W54" s="7" t="n">
        <f aca="false">IF(AND(T54=1,P54&lt;&gt;"",P54&lt;=Q54),1,0)</f>
        <v>0</v>
      </c>
    </row>
    <row r="55" customFormat="false" ht="15" hidden="false" customHeight="false" outlineLevel="0" collapsed="false">
      <c r="A55" s="7" t="s">
        <v>157</v>
      </c>
      <c r="B55" s="7" t="s">
        <v>46</v>
      </c>
      <c r="C55" s="7" t="s">
        <v>158</v>
      </c>
      <c r="D55" s="7" t="s">
        <v>48</v>
      </c>
      <c r="E55" s="7" t="s">
        <v>49</v>
      </c>
      <c r="F55" s="7" t="s">
        <v>50</v>
      </c>
      <c r="G55" s="7" t="s">
        <v>20</v>
      </c>
      <c r="H55" s="9" t="n">
        <v>46137</v>
      </c>
      <c r="I55" s="9" t="n">
        <v>46164</v>
      </c>
      <c r="J55" s="7" t="n">
        <v>7.5</v>
      </c>
      <c r="K55" s="7" t="s">
        <v>51</v>
      </c>
      <c r="L55" s="7" t="s">
        <v>22</v>
      </c>
      <c r="M55" s="7" t="s">
        <v>171</v>
      </c>
      <c r="N55" s="7" t="s">
        <v>53</v>
      </c>
      <c r="O55" s="10" t="n">
        <f aca="false">'Exec Summary'!$E$2-H55</f>
        <v>97</v>
      </c>
      <c r="P55" s="10" t="n">
        <f aca="false">IF(I55="","",I55-H55)</f>
        <v>27</v>
      </c>
      <c r="Q55" s="10" t="n">
        <f aca="false">VLOOKUP(G55,$AA$2:$AB$5,2,FALSE())</f>
        <v>30</v>
      </c>
      <c r="R55" s="7" t="n">
        <f aca="false">IF(OR(F55="Open",F55="Reopened"),1,0)</f>
        <v>0</v>
      </c>
      <c r="S55" s="7" t="n">
        <f aca="false">IF(AND(H55&gt;='Exec Summary'!$E$1,H55&lt;='Exec Summary'!$E$2),1,0)</f>
        <v>0</v>
      </c>
      <c r="T55" s="7" t="n">
        <f aca="false">IF(AND(F55="Closed",I55&lt;&gt;"",I55&gt;='Exec Summary'!$E$1,I55&lt;='Exec Summary'!$E$2),1,0)</f>
        <v>0</v>
      </c>
      <c r="U55" s="7" t="n">
        <f aca="false">IF(F55="Reopened",1,0)</f>
        <v>0</v>
      </c>
      <c r="V55" s="7" t="n">
        <f aca="false">IF(AND(R55=1,O55&gt;Q55),1,0)</f>
        <v>0</v>
      </c>
      <c r="W55" s="7" t="n">
        <f aca="false">IF(AND(T55=1,P55&lt;&gt;"",P55&lt;=Q55),1,0)</f>
        <v>0</v>
      </c>
    </row>
    <row r="56" customFormat="false" ht="15" hidden="false" customHeight="false" outlineLevel="0" collapsed="false">
      <c r="A56" s="7" t="s">
        <v>157</v>
      </c>
      <c r="B56" s="7" t="s">
        <v>46</v>
      </c>
      <c r="C56" s="7" t="s">
        <v>158</v>
      </c>
      <c r="D56" s="7" t="s">
        <v>91</v>
      </c>
      <c r="E56" s="7" t="s">
        <v>92</v>
      </c>
      <c r="F56" s="7" t="s">
        <v>56</v>
      </c>
      <c r="G56" s="7" t="s">
        <v>20</v>
      </c>
      <c r="H56" s="9" t="n">
        <v>46164</v>
      </c>
      <c r="I56" s="9"/>
      <c r="J56" s="7" t="n">
        <v>8.1</v>
      </c>
      <c r="K56" s="7" t="s">
        <v>51</v>
      </c>
      <c r="L56" s="7" t="s">
        <v>22</v>
      </c>
      <c r="M56" s="7" t="s">
        <v>172</v>
      </c>
      <c r="N56" s="7" t="s">
        <v>53</v>
      </c>
      <c r="O56" s="10" t="n">
        <f aca="false">'Exec Summary'!$E$2-H56</f>
        <v>70</v>
      </c>
      <c r="P56" s="10" t="str">
        <f aca="false">IF(I56="","",I56-H56)</f>
        <v/>
      </c>
      <c r="Q56" s="10" t="n">
        <f aca="false">VLOOKUP(G56,$AA$2:$AB$5,2,FALSE())</f>
        <v>30</v>
      </c>
      <c r="R56" s="7" t="n">
        <f aca="false">IF(OR(F56="Open",F56="Reopened"),1,0)</f>
        <v>1</v>
      </c>
      <c r="S56" s="7" t="n">
        <f aca="false">IF(AND(H56&gt;='Exec Summary'!$E$1,H56&lt;='Exec Summary'!$E$2),1,0)</f>
        <v>0</v>
      </c>
      <c r="T56" s="7" t="n">
        <f aca="false">IF(AND(F56="Closed",I56&lt;&gt;"",I56&gt;='Exec Summary'!$E$1,I56&lt;='Exec Summary'!$E$2),1,0)</f>
        <v>0</v>
      </c>
      <c r="U56" s="7" t="n">
        <f aca="false">IF(F56="Reopened",1,0)</f>
        <v>0</v>
      </c>
      <c r="V56" s="7" t="n">
        <f aca="false">IF(AND(R56=1,O56&gt;Q56),1,0)</f>
        <v>1</v>
      </c>
      <c r="W56" s="7" t="n">
        <f aca="false">IF(AND(T56=1,P56&lt;&gt;"",P56&lt;=Q56),1,0)</f>
        <v>0</v>
      </c>
    </row>
    <row r="57" customFormat="false" ht="15" hidden="false" customHeight="false" outlineLevel="0" collapsed="false">
      <c r="A57" s="7" t="s">
        <v>157</v>
      </c>
      <c r="B57" s="7" t="s">
        <v>46</v>
      </c>
      <c r="C57" s="7" t="s">
        <v>158</v>
      </c>
      <c r="D57" s="7" t="s">
        <v>173</v>
      </c>
      <c r="E57" s="7" t="s">
        <v>174</v>
      </c>
      <c r="F57" s="7" t="s">
        <v>50</v>
      </c>
      <c r="G57" s="7" t="s">
        <v>19</v>
      </c>
      <c r="H57" s="9" t="n">
        <v>46118</v>
      </c>
      <c r="I57" s="9" t="n">
        <v>46133</v>
      </c>
      <c r="J57" s="7" t="n">
        <v>9.8</v>
      </c>
      <c r="K57" s="7" t="s">
        <v>51</v>
      </c>
      <c r="L57" s="7" t="s">
        <v>22</v>
      </c>
      <c r="M57" s="7" t="s">
        <v>175</v>
      </c>
      <c r="N57" s="7" t="s">
        <v>58</v>
      </c>
      <c r="O57" s="10" t="n">
        <f aca="false">'Exec Summary'!$E$2-H57</f>
        <v>116</v>
      </c>
      <c r="P57" s="10" t="n">
        <f aca="false">IF(I57="","",I57-H57)</f>
        <v>15</v>
      </c>
      <c r="Q57" s="10" t="n">
        <f aca="false">VLOOKUP(G57,$AA$2:$AB$5,2,FALSE())</f>
        <v>15</v>
      </c>
      <c r="R57" s="7" t="n">
        <f aca="false">IF(OR(F57="Open",F57="Reopened"),1,0)</f>
        <v>0</v>
      </c>
      <c r="S57" s="7" t="n">
        <f aca="false">IF(AND(H57&gt;='Exec Summary'!$E$1,H57&lt;='Exec Summary'!$E$2),1,0)</f>
        <v>0</v>
      </c>
      <c r="T57" s="7" t="n">
        <f aca="false">IF(AND(F57="Closed",I57&lt;&gt;"",I57&gt;='Exec Summary'!$E$1,I57&lt;='Exec Summary'!$E$2),1,0)</f>
        <v>0</v>
      </c>
      <c r="U57" s="7" t="n">
        <f aca="false">IF(F57="Reopened",1,0)</f>
        <v>0</v>
      </c>
      <c r="V57" s="7" t="n">
        <f aca="false">IF(AND(R57=1,O57&gt;Q57),1,0)</f>
        <v>0</v>
      </c>
      <c r="W57" s="7" t="n">
        <f aca="false">IF(AND(T57=1,P57&lt;&gt;"",P57&lt;=Q57),1,0)</f>
        <v>0</v>
      </c>
    </row>
    <row r="58" customFormat="false" ht="15" hidden="false" customHeight="false" outlineLevel="0" collapsed="false">
      <c r="A58" s="7" t="s">
        <v>176</v>
      </c>
      <c r="B58" s="7" t="s">
        <v>46</v>
      </c>
      <c r="C58" s="7" t="s">
        <v>177</v>
      </c>
      <c r="D58" s="7" t="s">
        <v>104</v>
      </c>
      <c r="E58" s="7" t="s">
        <v>105</v>
      </c>
      <c r="F58" s="7" t="s">
        <v>56</v>
      </c>
      <c r="G58" s="7" t="s">
        <v>19</v>
      </c>
      <c r="H58" s="9" t="n">
        <v>46183</v>
      </c>
      <c r="I58" s="9"/>
      <c r="J58" s="7" t="n">
        <v>9.8</v>
      </c>
      <c r="K58" s="7" t="s">
        <v>51</v>
      </c>
      <c r="L58" s="7" t="s">
        <v>21</v>
      </c>
      <c r="M58" s="7" t="s">
        <v>178</v>
      </c>
      <c r="N58" s="7" t="s">
        <v>58</v>
      </c>
      <c r="O58" s="10" t="n">
        <f aca="false">'Exec Summary'!$E$2-H58</f>
        <v>51</v>
      </c>
      <c r="P58" s="10" t="str">
        <f aca="false">IF(I58="","",I58-H58)</f>
        <v/>
      </c>
      <c r="Q58" s="10" t="n">
        <f aca="false">VLOOKUP(G58,$AA$2:$AB$5,2,FALSE())</f>
        <v>15</v>
      </c>
      <c r="R58" s="7" t="n">
        <f aca="false">IF(OR(F58="Open",F58="Reopened"),1,0)</f>
        <v>1</v>
      </c>
      <c r="S58" s="7" t="n">
        <f aca="false">IF(AND(H58&gt;='Exec Summary'!$E$1,H58&lt;='Exec Summary'!$E$2),1,0)</f>
        <v>0</v>
      </c>
      <c r="T58" s="7" t="n">
        <f aca="false">IF(AND(F58="Closed",I58&lt;&gt;"",I58&gt;='Exec Summary'!$E$1,I58&lt;='Exec Summary'!$E$2),1,0)</f>
        <v>0</v>
      </c>
      <c r="U58" s="7" t="n">
        <f aca="false">IF(F58="Reopened",1,0)</f>
        <v>0</v>
      </c>
      <c r="V58" s="7" t="n">
        <f aca="false">IF(AND(R58=1,O58&gt;Q58),1,0)</f>
        <v>1</v>
      </c>
      <c r="W58" s="7" t="n">
        <f aca="false">IF(AND(T58=1,P58&lt;&gt;"",P58&lt;=Q58),1,0)</f>
        <v>0</v>
      </c>
    </row>
    <row r="59" customFormat="false" ht="15" hidden="false" customHeight="false" outlineLevel="0" collapsed="false">
      <c r="A59" s="7" t="s">
        <v>176</v>
      </c>
      <c r="B59" s="7" t="s">
        <v>46</v>
      </c>
      <c r="C59" s="7" t="s">
        <v>177</v>
      </c>
      <c r="D59" s="7" t="s">
        <v>74</v>
      </c>
      <c r="E59" s="7" t="s">
        <v>75</v>
      </c>
      <c r="F59" s="7" t="s">
        <v>50</v>
      </c>
      <c r="G59" s="7" t="s">
        <v>21</v>
      </c>
      <c r="H59" s="9" t="n">
        <v>45974</v>
      </c>
      <c r="I59" s="9" t="n">
        <v>46028</v>
      </c>
      <c r="J59" s="7" t="n">
        <v>6.5</v>
      </c>
      <c r="K59" s="7" t="s">
        <v>51</v>
      </c>
      <c r="L59" s="7" t="s">
        <v>21</v>
      </c>
      <c r="M59" s="7" t="s">
        <v>179</v>
      </c>
      <c r="N59" s="7" t="s">
        <v>77</v>
      </c>
      <c r="O59" s="10" t="n">
        <f aca="false">'Exec Summary'!$E$2-H59</f>
        <v>260</v>
      </c>
      <c r="P59" s="10" t="n">
        <f aca="false">IF(I59="","",I59-H59)</f>
        <v>54</v>
      </c>
      <c r="Q59" s="10" t="n">
        <f aca="false">VLOOKUP(G59,$AA$2:$AB$5,2,FALSE())</f>
        <v>90</v>
      </c>
      <c r="R59" s="7" t="n">
        <f aca="false">IF(OR(F59="Open",F59="Reopened"),1,0)</f>
        <v>0</v>
      </c>
      <c r="S59" s="7" t="n">
        <f aca="false">IF(AND(H59&gt;='Exec Summary'!$E$1,H59&lt;='Exec Summary'!$E$2),1,0)</f>
        <v>0</v>
      </c>
      <c r="T59" s="7" t="n">
        <f aca="false">IF(AND(F59="Closed",I59&lt;&gt;"",I59&gt;='Exec Summary'!$E$1,I59&lt;='Exec Summary'!$E$2),1,0)</f>
        <v>0</v>
      </c>
      <c r="U59" s="7" t="n">
        <f aca="false">IF(F59="Reopened",1,0)</f>
        <v>0</v>
      </c>
      <c r="V59" s="7" t="n">
        <f aca="false">IF(AND(R59=1,O59&gt;Q59),1,0)</f>
        <v>0</v>
      </c>
      <c r="W59" s="7" t="n">
        <f aca="false">IF(AND(T59=1,P59&lt;&gt;"",P59&lt;=Q59),1,0)</f>
        <v>0</v>
      </c>
    </row>
    <row r="60" customFormat="false" ht="15" hidden="false" customHeight="false" outlineLevel="0" collapsed="false">
      <c r="A60" s="7" t="s">
        <v>176</v>
      </c>
      <c r="B60" s="7" t="s">
        <v>46</v>
      </c>
      <c r="C60" s="7" t="s">
        <v>177</v>
      </c>
      <c r="D60" s="7" t="s">
        <v>91</v>
      </c>
      <c r="E60" s="7" t="s">
        <v>92</v>
      </c>
      <c r="F60" s="7" t="s">
        <v>50</v>
      </c>
      <c r="G60" s="7" t="s">
        <v>20</v>
      </c>
      <c r="H60" s="9" t="n">
        <v>46106</v>
      </c>
      <c r="I60" s="9" t="n">
        <v>46147</v>
      </c>
      <c r="J60" s="7" t="n">
        <v>8.1</v>
      </c>
      <c r="K60" s="7" t="s">
        <v>51</v>
      </c>
      <c r="L60" s="7" t="s">
        <v>21</v>
      </c>
      <c r="M60" s="7" t="s">
        <v>180</v>
      </c>
      <c r="N60" s="7" t="s">
        <v>53</v>
      </c>
      <c r="O60" s="10" t="n">
        <f aca="false">'Exec Summary'!$E$2-H60</f>
        <v>128</v>
      </c>
      <c r="P60" s="10" t="n">
        <f aca="false">IF(I60="","",I60-H60)</f>
        <v>41</v>
      </c>
      <c r="Q60" s="10" t="n">
        <f aca="false">VLOOKUP(G60,$AA$2:$AB$5,2,FALSE())</f>
        <v>30</v>
      </c>
      <c r="R60" s="7" t="n">
        <f aca="false">IF(OR(F60="Open",F60="Reopened"),1,0)</f>
        <v>0</v>
      </c>
      <c r="S60" s="7" t="n">
        <f aca="false">IF(AND(H60&gt;='Exec Summary'!$E$1,H60&lt;='Exec Summary'!$E$2),1,0)</f>
        <v>0</v>
      </c>
      <c r="T60" s="7" t="n">
        <f aca="false">IF(AND(F60="Closed",I60&lt;&gt;"",I60&gt;='Exec Summary'!$E$1,I60&lt;='Exec Summary'!$E$2),1,0)</f>
        <v>0</v>
      </c>
      <c r="U60" s="7" t="n">
        <f aca="false">IF(F60="Reopened",1,0)</f>
        <v>0</v>
      </c>
      <c r="V60" s="7" t="n">
        <f aca="false">IF(AND(R60=1,O60&gt;Q60),1,0)</f>
        <v>0</v>
      </c>
      <c r="W60" s="7" t="n">
        <f aca="false">IF(AND(T60=1,P60&lt;&gt;"",P60&lt;=Q60),1,0)</f>
        <v>0</v>
      </c>
    </row>
    <row r="61" customFormat="false" ht="15" hidden="false" customHeight="false" outlineLevel="0" collapsed="false">
      <c r="A61" s="7" t="s">
        <v>176</v>
      </c>
      <c r="B61" s="7" t="s">
        <v>46</v>
      </c>
      <c r="C61" s="7" t="s">
        <v>177</v>
      </c>
      <c r="D61" s="7" t="s">
        <v>48</v>
      </c>
      <c r="E61" s="7" t="s">
        <v>49</v>
      </c>
      <c r="F61" s="7" t="s">
        <v>50</v>
      </c>
      <c r="G61" s="7" t="s">
        <v>20</v>
      </c>
      <c r="H61" s="9" t="n">
        <v>45970</v>
      </c>
      <c r="I61" s="9" t="n">
        <v>45986</v>
      </c>
      <c r="J61" s="7" t="n">
        <v>7.5</v>
      </c>
      <c r="K61" s="7" t="s">
        <v>51</v>
      </c>
      <c r="L61" s="7" t="s">
        <v>21</v>
      </c>
      <c r="M61" s="7" t="s">
        <v>181</v>
      </c>
      <c r="N61" s="7" t="s">
        <v>53</v>
      </c>
      <c r="O61" s="10" t="n">
        <f aca="false">'Exec Summary'!$E$2-H61</f>
        <v>264</v>
      </c>
      <c r="P61" s="10" t="n">
        <f aca="false">IF(I61="","",I61-H61)</f>
        <v>16</v>
      </c>
      <c r="Q61" s="10" t="n">
        <f aca="false">VLOOKUP(G61,$AA$2:$AB$5,2,FALSE())</f>
        <v>30</v>
      </c>
      <c r="R61" s="7" t="n">
        <f aca="false">IF(OR(F61="Open",F61="Reopened"),1,0)</f>
        <v>0</v>
      </c>
      <c r="S61" s="7" t="n">
        <f aca="false">IF(AND(H61&gt;='Exec Summary'!$E$1,H61&lt;='Exec Summary'!$E$2),1,0)</f>
        <v>0</v>
      </c>
      <c r="T61" s="7" t="n">
        <f aca="false">IF(AND(F61="Closed",I61&lt;&gt;"",I61&gt;='Exec Summary'!$E$1,I61&lt;='Exec Summary'!$E$2),1,0)</f>
        <v>0</v>
      </c>
      <c r="U61" s="7" t="n">
        <f aca="false">IF(F61="Reopened",1,0)</f>
        <v>0</v>
      </c>
      <c r="V61" s="7" t="n">
        <f aca="false">IF(AND(R61=1,O61&gt;Q61),1,0)</f>
        <v>0</v>
      </c>
      <c r="W61" s="7" t="n">
        <f aca="false">IF(AND(T61=1,P61&lt;&gt;"",P61&lt;=Q61),1,0)</f>
        <v>0</v>
      </c>
    </row>
    <row r="62" customFormat="false" ht="15" hidden="false" customHeight="false" outlineLevel="0" collapsed="false">
      <c r="A62" s="7" t="s">
        <v>176</v>
      </c>
      <c r="B62" s="7" t="s">
        <v>46</v>
      </c>
      <c r="C62" s="7" t="s">
        <v>177</v>
      </c>
      <c r="D62" s="7" t="s">
        <v>152</v>
      </c>
      <c r="E62" s="7" t="s">
        <v>153</v>
      </c>
      <c r="F62" s="7" t="s">
        <v>50</v>
      </c>
      <c r="G62" s="7" t="s">
        <v>20</v>
      </c>
      <c r="H62" s="9" t="n">
        <v>46136</v>
      </c>
      <c r="I62" s="9" t="n">
        <v>46168</v>
      </c>
      <c r="J62" s="7" t="n">
        <v>7.5</v>
      </c>
      <c r="K62" s="7" t="s">
        <v>51</v>
      </c>
      <c r="L62" s="7" t="s">
        <v>21</v>
      </c>
      <c r="M62" s="7" t="s">
        <v>182</v>
      </c>
      <c r="N62" s="7" t="s">
        <v>53</v>
      </c>
      <c r="O62" s="10" t="n">
        <f aca="false">'Exec Summary'!$E$2-H62</f>
        <v>98</v>
      </c>
      <c r="P62" s="10" t="n">
        <f aca="false">IF(I62="","",I62-H62)</f>
        <v>32</v>
      </c>
      <c r="Q62" s="10" t="n">
        <f aca="false">VLOOKUP(G62,$AA$2:$AB$5,2,FALSE())</f>
        <v>30</v>
      </c>
      <c r="R62" s="7" t="n">
        <f aca="false">IF(OR(F62="Open",F62="Reopened"),1,0)</f>
        <v>0</v>
      </c>
      <c r="S62" s="7" t="n">
        <f aca="false">IF(AND(H62&gt;='Exec Summary'!$E$1,H62&lt;='Exec Summary'!$E$2),1,0)</f>
        <v>0</v>
      </c>
      <c r="T62" s="7" t="n">
        <f aca="false">IF(AND(F62="Closed",I62&lt;&gt;"",I62&gt;='Exec Summary'!$E$1,I62&lt;='Exec Summary'!$E$2),1,0)</f>
        <v>0</v>
      </c>
      <c r="U62" s="7" t="n">
        <f aca="false">IF(F62="Reopened",1,0)</f>
        <v>0</v>
      </c>
      <c r="V62" s="7" t="n">
        <f aca="false">IF(AND(R62=1,O62&gt;Q62),1,0)</f>
        <v>0</v>
      </c>
      <c r="W62" s="7" t="n">
        <f aca="false">IF(AND(T62=1,P62&lt;&gt;"",P62&lt;=Q62),1,0)</f>
        <v>0</v>
      </c>
    </row>
    <row r="63" customFormat="false" ht="15" hidden="false" customHeight="false" outlineLevel="0" collapsed="false">
      <c r="A63" s="7" t="s">
        <v>176</v>
      </c>
      <c r="B63" s="7" t="s">
        <v>46</v>
      </c>
      <c r="C63" s="7" t="s">
        <v>177</v>
      </c>
      <c r="D63" s="7" t="s">
        <v>87</v>
      </c>
      <c r="E63" s="7" t="s">
        <v>88</v>
      </c>
      <c r="F63" s="7" t="s">
        <v>56</v>
      </c>
      <c r="G63" s="7" t="s">
        <v>19</v>
      </c>
      <c r="H63" s="9" t="n">
        <v>46200</v>
      </c>
      <c r="I63" s="9"/>
      <c r="J63" s="7" t="n">
        <v>10</v>
      </c>
      <c r="K63" s="7" t="s">
        <v>51</v>
      </c>
      <c r="L63" s="7" t="s">
        <v>21</v>
      </c>
      <c r="M63" s="7" t="s">
        <v>183</v>
      </c>
      <c r="N63" s="7" t="s">
        <v>58</v>
      </c>
      <c r="O63" s="10" t="n">
        <f aca="false">'Exec Summary'!$E$2-H63</f>
        <v>34</v>
      </c>
      <c r="P63" s="10" t="str">
        <f aca="false">IF(I63="","",I63-H63)</f>
        <v/>
      </c>
      <c r="Q63" s="10" t="n">
        <f aca="false">VLOOKUP(G63,$AA$2:$AB$5,2,FALSE())</f>
        <v>15</v>
      </c>
      <c r="R63" s="7" t="n">
        <f aca="false">IF(OR(F63="Open",F63="Reopened"),1,0)</f>
        <v>1</v>
      </c>
      <c r="S63" s="7" t="n">
        <f aca="false">IF(AND(H63&gt;='Exec Summary'!$E$1,H63&lt;='Exec Summary'!$E$2),1,0)</f>
        <v>0</v>
      </c>
      <c r="T63" s="7" t="n">
        <f aca="false">IF(AND(F63="Closed",I63&lt;&gt;"",I63&gt;='Exec Summary'!$E$1,I63&lt;='Exec Summary'!$E$2),1,0)</f>
        <v>0</v>
      </c>
      <c r="U63" s="7" t="n">
        <f aca="false">IF(F63="Reopened",1,0)</f>
        <v>0</v>
      </c>
      <c r="V63" s="7" t="n">
        <f aca="false">IF(AND(R63=1,O63&gt;Q63),1,0)</f>
        <v>1</v>
      </c>
      <c r="W63" s="7" t="n">
        <f aca="false">IF(AND(T63=1,P63&lt;&gt;"",P63&lt;=Q63),1,0)</f>
        <v>0</v>
      </c>
    </row>
    <row r="64" customFormat="false" ht="15" hidden="false" customHeight="false" outlineLevel="0" collapsed="false">
      <c r="A64" s="7" t="s">
        <v>176</v>
      </c>
      <c r="B64" s="7" t="s">
        <v>46</v>
      </c>
      <c r="C64" s="7" t="s">
        <v>177</v>
      </c>
      <c r="D64" s="7" t="s">
        <v>166</v>
      </c>
      <c r="E64" s="7" t="s">
        <v>167</v>
      </c>
      <c r="F64" s="7" t="s">
        <v>50</v>
      </c>
      <c r="G64" s="7" t="s">
        <v>19</v>
      </c>
      <c r="H64" s="9" t="n">
        <v>46019</v>
      </c>
      <c r="I64" s="9" t="n">
        <v>46041</v>
      </c>
      <c r="J64" s="7" t="n">
        <v>9.8</v>
      </c>
      <c r="K64" s="7" t="s">
        <v>51</v>
      </c>
      <c r="L64" s="7" t="s">
        <v>21</v>
      </c>
      <c r="M64" s="7" t="s">
        <v>184</v>
      </c>
      <c r="N64" s="7" t="s">
        <v>58</v>
      </c>
      <c r="O64" s="10" t="n">
        <f aca="false">'Exec Summary'!$E$2-H64</f>
        <v>215</v>
      </c>
      <c r="P64" s="10" t="n">
        <f aca="false">IF(I64="","",I64-H64)</f>
        <v>22</v>
      </c>
      <c r="Q64" s="10" t="n">
        <f aca="false">VLOOKUP(G64,$AA$2:$AB$5,2,FALSE())</f>
        <v>15</v>
      </c>
      <c r="R64" s="7" t="n">
        <f aca="false">IF(OR(F64="Open",F64="Reopened"),1,0)</f>
        <v>0</v>
      </c>
      <c r="S64" s="7" t="n">
        <f aca="false">IF(AND(H64&gt;='Exec Summary'!$E$1,H64&lt;='Exec Summary'!$E$2),1,0)</f>
        <v>0</v>
      </c>
      <c r="T64" s="7" t="n">
        <f aca="false">IF(AND(F64="Closed",I64&lt;&gt;"",I64&gt;='Exec Summary'!$E$1,I64&lt;='Exec Summary'!$E$2),1,0)</f>
        <v>0</v>
      </c>
      <c r="U64" s="7" t="n">
        <f aca="false">IF(F64="Reopened",1,0)</f>
        <v>0</v>
      </c>
      <c r="V64" s="7" t="n">
        <f aca="false">IF(AND(R64=1,O64&gt;Q64),1,0)</f>
        <v>0</v>
      </c>
      <c r="W64" s="7" t="n">
        <f aca="false">IF(AND(T64=1,P64&lt;&gt;"",P64&lt;=Q64),1,0)</f>
        <v>0</v>
      </c>
    </row>
    <row r="65" customFormat="false" ht="15" hidden="false" customHeight="false" outlineLevel="0" collapsed="false">
      <c r="A65" s="7" t="s">
        <v>176</v>
      </c>
      <c r="B65" s="7" t="s">
        <v>46</v>
      </c>
      <c r="C65" s="7" t="s">
        <v>177</v>
      </c>
      <c r="D65" s="7" t="s">
        <v>163</v>
      </c>
      <c r="E65" s="7" t="s">
        <v>164</v>
      </c>
      <c r="F65" s="7" t="s">
        <v>50</v>
      </c>
      <c r="G65" s="7" t="s">
        <v>19</v>
      </c>
      <c r="H65" s="9" t="n">
        <v>46041</v>
      </c>
      <c r="I65" s="9" t="n">
        <v>46053</v>
      </c>
      <c r="J65" s="7" t="n">
        <v>9.1</v>
      </c>
      <c r="K65" s="7" t="s">
        <v>51</v>
      </c>
      <c r="L65" s="7" t="s">
        <v>21</v>
      </c>
      <c r="M65" s="7" t="s">
        <v>185</v>
      </c>
      <c r="N65" s="7" t="s">
        <v>58</v>
      </c>
      <c r="O65" s="10" t="n">
        <f aca="false">'Exec Summary'!$E$2-H65</f>
        <v>193</v>
      </c>
      <c r="P65" s="10" t="n">
        <f aca="false">IF(I65="","",I65-H65)</f>
        <v>12</v>
      </c>
      <c r="Q65" s="10" t="n">
        <f aca="false">VLOOKUP(G65,$AA$2:$AB$5,2,FALSE())</f>
        <v>15</v>
      </c>
      <c r="R65" s="7" t="n">
        <f aca="false">IF(OR(F65="Open",F65="Reopened"),1,0)</f>
        <v>0</v>
      </c>
      <c r="S65" s="7" t="n">
        <f aca="false">IF(AND(H65&gt;='Exec Summary'!$E$1,H65&lt;='Exec Summary'!$E$2),1,0)</f>
        <v>0</v>
      </c>
      <c r="T65" s="7" t="n">
        <f aca="false">IF(AND(F65="Closed",I65&lt;&gt;"",I65&gt;='Exec Summary'!$E$1,I65&lt;='Exec Summary'!$E$2),1,0)</f>
        <v>0</v>
      </c>
      <c r="U65" s="7" t="n">
        <f aca="false">IF(F65="Reopened",1,0)</f>
        <v>0</v>
      </c>
      <c r="V65" s="7" t="n">
        <f aca="false">IF(AND(R65=1,O65&gt;Q65),1,0)</f>
        <v>0</v>
      </c>
      <c r="W65" s="7" t="n">
        <f aca="false">IF(AND(T65=1,P65&lt;&gt;"",P65&lt;=Q65),1,0)</f>
        <v>0</v>
      </c>
    </row>
    <row r="66" customFormat="false" ht="15" hidden="false" customHeight="false" outlineLevel="0" collapsed="false">
      <c r="A66" s="7" t="s">
        <v>176</v>
      </c>
      <c r="B66" s="7" t="s">
        <v>46</v>
      </c>
      <c r="C66" s="7" t="s">
        <v>177</v>
      </c>
      <c r="D66" s="7" t="s">
        <v>117</v>
      </c>
      <c r="E66" s="7" t="s">
        <v>118</v>
      </c>
      <c r="F66" s="7" t="s">
        <v>50</v>
      </c>
      <c r="G66" s="7" t="s">
        <v>19</v>
      </c>
      <c r="H66" s="9" t="n">
        <v>46176</v>
      </c>
      <c r="I66" s="9" t="n">
        <v>46193</v>
      </c>
      <c r="J66" s="7" t="n">
        <v>10</v>
      </c>
      <c r="K66" s="7" t="s">
        <v>51</v>
      </c>
      <c r="L66" s="7" t="s">
        <v>21</v>
      </c>
      <c r="M66" s="7" t="s">
        <v>186</v>
      </c>
      <c r="N66" s="7" t="s">
        <v>58</v>
      </c>
      <c r="O66" s="10" t="n">
        <f aca="false">'Exec Summary'!$E$2-H66</f>
        <v>58</v>
      </c>
      <c r="P66" s="10" t="n">
        <f aca="false">IF(I66="","",I66-H66)</f>
        <v>17</v>
      </c>
      <c r="Q66" s="10" t="n">
        <f aca="false">VLOOKUP(G66,$AA$2:$AB$5,2,FALSE())</f>
        <v>15</v>
      </c>
      <c r="R66" s="7" t="n">
        <f aca="false">IF(OR(F66="Open",F66="Reopened"),1,0)</f>
        <v>0</v>
      </c>
      <c r="S66" s="7" t="n">
        <f aca="false">IF(AND(H66&gt;='Exec Summary'!$E$1,H66&lt;='Exec Summary'!$E$2),1,0)</f>
        <v>0</v>
      </c>
      <c r="T66" s="7" t="n">
        <f aca="false">IF(AND(F66="Closed",I66&lt;&gt;"",I66&gt;='Exec Summary'!$E$1,I66&lt;='Exec Summary'!$E$2),1,0)</f>
        <v>0</v>
      </c>
      <c r="U66" s="7" t="n">
        <f aca="false">IF(F66="Reopened",1,0)</f>
        <v>0</v>
      </c>
      <c r="V66" s="7" t="n">
        <f aca="false">IF(AND(R66=1,O66&gt;Q66),1,0)</f>
        <v>0</v>
      </c>
      <c r="W66" s="7" t="n">
        <f aca="false">IF(AND(T66=1,P66&lt;&gt;"",P66&lt;=Q66),1,0)</f>
        <v>0</v>
      </c>
    </row>
    <row r="67" customFormat="false" ht="15" hidden="false" customHeight="false" outlineLevel="0" collapsed="false">
      <c r="A67" s="7" t="s">
        <v>176</v>
      </c>
      <c r="B67" s="7" t="s">
        <v>46</v>
      </c>
      <c r="C67" s="7" t="s">
        <v>177</v>
      </c>
      <c r="D67" s="7" t="s">
        <v>108</v>
      </c>
      <c r="E67" s="7" t="s">
        <v>109</v>
      </c>
      <c r="F67" s="7" t="s">
        <v>50</v>
      </c>
      <c r="G67" s="7" t="s">
        <v>20</v>
      </c>
      <c r="H67" s="9" t="n">
        <v>45987</v>
      </c>
      <c r="I67" s="9" t="n">
        <v>46011</v>
      </c>
      <c r="J67" s="7" t="n">
        <v>8.6</v>
      </c>
      <c r="K67" s="7" t="s">
        <v>51</v>
      </c>
      <c r="L67" s="7" t="s">
        <v>21</v>
      </c>
      <c r="M67" s="7" t="s">
        <v>187</v>
      </c>
      <c r="N67" s="7" t="s">
        <v>53</v>
      </c>
      <c r="O67" s="10" t="n">
        <f aca="false">'Exec Summary'!$E$2-H67</f>
        <v>247</v>
      </c>
      <c r="P67" s="10" t="n">
        <f aca="false">IF(I67="","",I67-H67)</f>
        <v>24</v>
      </c>
      <c r="Q67" s="10" t="n">
        <f aca="false">VLOOKUP(G67,$AA$2:$AB$5,2,FALSE())</f>
        <v>30</v>
      </c>
      <c r="R67" s="7" t="n">
        <f aca="false">IF(OR(F67="Open",F67="Reopened"),1,0)</f>
        <v>0</v>
      </c>
      <c r="S67" s="7" t="n">
        <f aca="false">IF(AND(H67&gt;='Exec Summary'!$E$1,H67&lt;='Exec Summary'!$E$2),1,0)</f>
        <v>0</v>
      </c>
      <c r="T67" s="7" t="n">
        <f aca="false">IF(AND(F67="Closed",I67&lt;&gt;"",I67&gt;='Exec Summary'!$E$1,I67&lt;='Exec Summary'!$E$2),1,0)</f>
        <v>0</v>
      </c>
      <c r="U67" s="7" t="n">
        <f aca="false">IF(F67="Reopened",1,0)</f>
        <v>0</v>
      </c>
      <c r="V67" s="7" t="n">
        <f aca="false">IF(AND(R67=1,O67&gt;Q67),1,0)</f>
        <v>0</v>
      </c>
      <c r="W67" s="7" t="n">
        <f aca="false">IF(AND(T67=1,P67&lt;&gt;"",P67&lt;=Q67),1,0)</f>
        <v>0</v>
      </c>
    </row>
    <row r="68" customFormat="false" ht="15" hidden="false" customHeight="false" outlineLevel="0" collapsed="false">
      <c r="A68" s="7" t="s">
        <v>188</v>
      </c>
      <c r="B68" s="7" t="s">
        <v>46</v>
      </c>
      <c r="C68" s="7" t="s">
        <v>128</v>
      </c>
      <c r="D68" s="7" t="s">
        <v>59</v>
      </c>
      <c r="E68" s="7" t="s">
        <v>60</v>
      </c>
      <c r="F68" s="7" t="s">
        <v>56</v>
      </c>
      <c r="G68" s="7" t="s">
        <v>19</v>
      </c>
      <c r="H68" s="9" t="n">
        <v>46210</v>
      </c>
      <c r="I68" s="9"/>
      <c r="J68" s="7" t="n">
        <v>7.8</v>
      </c>
      <c r="K68" s="7" t="s">
        <v>51</v>
      </c>
      <c r="L68" s="7" t="s">
        <v>22</v>
      </c>
      <c r="M68" s="7" t="s">
        <v>189</v>
      </c>
      <c r="N68" s="7" t="s">
        <v>58</v>
      </c>
      <c r="O68" s="10" t="n">
        <f aca="false">'Exec Summary'!$E$2-H68</f>
        <v>24</v>
      </c>
      <c r="P68" s="10" t="str">
        <f aca="false">IF(I68="","",I68-H68)</f>
        <v/>
      </c>
      <c r="Q68" s="10" t="n">
        <f aca="false">VLOOKUP(G68,$AA$2:$AB$5,2,FALSE())</f>
        <v>15</v>
      </c>
      <c r="R68" s="7" t="n">
        <f aca="false">IF(OR(F68="Open",F68="Reopened"),1,0)</f>
        <v>1</v>
      </c>
      <c r="S68" s="7" t="n">
        <f aca="false">IF(AND(H68&gt;='Exec Summary'!$E$1,H68&lt;='Exec Summary'!$E$2),1,0)</f>
        <v>1</v>
      </c>
      <c r="T68" s="7" t="n">
        <f aca="false">IF(AND(F68="Closed",I68&lt;&gt;"",I68&gt;='Exec Summary'!$E$1,I68&lt;='Exec Summary'!$E$2),1,0)</f>
        <v>0</v>
      </c>
      <c r="U68" s="7" t="n">
        <f aca="false">IF(F68="Reopened",1,0)</f>
        <v>0</v>
      </c>
      <c r="V68" s="7" t="n">
        <f aca="false">IF(AND(R68=1,O68&gt;Q68),1,0)</f>
        <v>1</v>
      </c>
      <c r="W68" s="7" t="n">
        <f aca="false">IF(AND(T68=1,P68&lt;&gt;"",P68&lt;=Q68),1,0)</f>
        <v>0</v>
      </c>
    </row>
    <row r="69" customFormat="false" ht="15" hidden="false" customHeight="false" outlineLevel="0" collapsed="false">
      <c r="A69" s="7" t="s">
        <v>188</v>
      </c>
      <c r="B69" s="7" t="s">
        <v>46</v>
      </c>
      <c r="C69" s="7" t="s">
        <v>128</v>
      </c>
      <c r="D69" s="7" t="s">
        <v>48</v>
      </c>
      <c r="E69" s="7" t="s">
        <v>49</v>
      </c>
      <c r="F69" s="7" t="s">
        <v>56</v>
      </c>
      <c r="G69" s="7" t="s">
        <v>20</v>
      </c>
      <c r="H69" s="9" t="n">
        <v>46003</v>
      </c>
      <c r="I69" s="9"/>
      <c r="J69" s="7" t="n">
        <v>7.5</v>
      </c>
      <c r="K69" s="7" t="s">
        <v>51</v>
      </c>
      <c r="L69" s="7" t="s">
        <v>22</v>
      </c>
      <c r="M69" s="7" t="s">
        <v>190</v>
      </c>
      <c r="N69" s="7" t="s">
        <v>53</v>
      </c>
      <c r="O69" s="10" t="n">
        <f aca="false">'Exec Summary'!$E$2-H69</f>
        <v>231</v>
      </c>
      <c r="P69" s="10" t="str">
        <f aca="false">IF(I69="","",I69-H69)</f>
        <v/>
      </c>
      <c r="Q69" s="10" t="n">
        <f aca="false">VLOOKUP(G69,$AA$2:$AB$5,2,FALSE())</f>
        <v>30</v>
      </c>
      <c r="R69" s="7" t="n">
        <f aca="false">IF(OR(F69="Open",F69="Reopened"),1,0)</f>
        <v>1</v>
      </c>
      <c r="S69" s="7" t="n">
        <f aca="false">IF(AND(H69&gt;='Exec Summary'!$E$1,H69&lt;='Exec Summary'!$E$2),1,0)</f>
        <v>0</v>
      </c>
      <c r="T69" s="7" t="n">
        <f aca="false">IF(AND(F69="Closed",I69&lt;&gt;"",I69&gt;='Exec Summary'!$E$1,I69&lt;='Exec Summary'!$E$2),1,0)</f>
        <v>0</v>
      </c>
      <c r="U69" s="7" t="n">
        <f aca="false">IF(F69="Reopened",1,0)</f>
        <v>0</v>
      </c>
      <c r="V69" s="7" t="n">
        <f aca="false">IF(AND(R69=1,O69&gt;Q69),1,0)</f>
        <v>1</v>
      </c>
      <c r="W69" s="7" t="n">
        <f aca="false">IF(AND(T69=1,P69&lt;&gt;"",P69&lt;=Q69),1,0)</f>
        <v>0</v>
      </c>
    </row>
    <row r="70" customFormat="false" ht="15" hidden="false" customHeight="false" outlineLevel="0" collapsed="false">
      <c r="A70" s="7" t="s">
        <v>188</v>
      </c>
      <c r="B70" s="7" t="s">
        <v>46</v>
      </c>
      <c r="C70" s="7" t="s">
        <v>128</v>
      </c>
      <c r="D70" s="7" t="s">
        <v>101</v>
      </c>
      <c r="E70" s="7" t="s">
        <v>102</v>
      </c>
      <c r="F70" s="7" t="s">
        <v>56</v>
      </c>
      <c r="G70" s="7" t="s">
        <v>19</v>
      </c>
      <c r="H70" s="9" t="n">
        <v>46167</v>
      </c>
      <c r="I70" s="9"/>
      <c r="J70" s="7" t="n">
        <v>10</v>
      </c>
      <c r="K70" s="7" t="s">
        <v>51</v>
      </c>
      <c r="L70" s="7" t="s">
        <v>22</v>
      </c>
      <c r="M70" s="7" t="s">
        <v>191</v>
      </c>
      <c r="N70" s="7" t="s">
        <v>58</v>
      </c>
      <c r="O70" s="10" t="n">
        <f aca="false">'Exec Summary'!$E$2-H70</f>
        <v>67</v>
      </c>
      <c r="P70" s="10" t="str">
        <f aca="false">IF(I70="","",I70-H70)</f>
        <v/>
      </c>
      <c r="Q70" s="10" t="n">
        <f aca="false">VLOOKUP(G70,$AA$2:$AB$5,2,FALSE())</f>
        <v>15</v>
      </c>
      <c r="R70" s="7" t="n">
        <f aca="false">IF(OR(F70="Open",F70="Reopened"),1,0)</f>
        <v>1</v>
      </c>
      <c r="S70" s="7" t="n">
        <f aca="false">IF(AND(H70&gt;='Exec Summary'!$E$1,H70&lt;='Exec Summary'!$E$2),1,0)</f>
        <v>0</v>
      </c>
      <c r="T70" s="7" t="n">
        <f aca="false">IF(AND(F70="Closed",I70&lt;&gt;"",I70&gt;='Exec Summary'!$E$1,I70&lt;='Exec Summary'!$E$2),1,0)</f>
        <v>0</v>
      </c>
      <c r="U70" s="7" t="n">
        <f aca="false">IF(F70="Reopened",1,0)</f>
        <v>0</v>
      </c>
      <c r="V70" s="7" t="n">
        <f aca="false">IF(AND(R70=1,O70&gt;Q70),1,0)</f>
        <v>1</v>
      </c>
      <c r="W70" s="7" t="n">
        <f aca="false">IF(AND(T70=1,P70&lt;&gt;"",P70&lt;=Q70),1,0)</f>
        <v>0</v>
      </c>
    </row>
    <row r="71" customFormat="false" ht="15" hidden="false" customHeight="false" outlineLevel="0" collapsed="false">
      <c r="A71" s="7" t="s">
        <v>188</v>
      </c>
      <c r="B71" s="7" t="s">
        <v>46</v>
      </c>
      <c r="C71" s="7" t="s">
        <v>128</v>
      </c>
      <c r="D71" s="7" t="s">
        <v>192</v>
      </c>
      <c r="E71" s="7" t="s">
        <v>193</v>
      </c>
      <c r="F71" s="7" t="s">
        <v>56</v>
      </c>
      <c r="G71" s="7" t="s">
        <v>19</v>
      </c>
      <c r="H71" s="9" t="n">
        <v>46202</v>
      </c>
      <c r="I71" s="9"/>
      <c r="J71" s="7" t="n">
        <v>9.8</v>
      </c>
      <c r="K71" s="7" t="s">
        <v>51</v>
      </c>
      <c r="L71" s="7" t="s">
        <v>22</v>
      </c>
      <c r="M71" s="7" t="s">
        <v>194</v>
      </c>
      <c r="N71" s="7" t="s">
        <v>58</v>
      </c>
      <c r="O71" s="10" t="n">
        <f aca="false">'Exec Summary'!$E$2-H71</f>
        <v>32</v>
      </c>
      <c r="P71" s="10" t="str">
        <f aca="false">IF(I71="","",I71-H71)</f>
        <v/>
      </c>
      <c r="Q71" s="10" t="n">
        <f aca="false">VLOOKUP(G71,$AA$2:$AB$5,2,FALSE())</f>
        <v>15</v>
      </c>
      <c r="R71" s="7" t="n">
        <f aca="false">IF(OR(F71="Open",F71="Reopened"),1,0)</f>
        <v>1</v>
      </c>
      <c r="S71" s="7" t="n">
        <f aca="false">IF(AND(H71&gt;='Exec Summary'!$E$1,H71&lt;='Exec Summary'!$E$2),1,0)</f>
        <v>0</v>
      </c>
      <c r="T71" s="7" t="n">
        <f aca="false">IF(AND(F71="Closed",I71&lt;&gt;"",I71&gt;='Exec Summary'!$E$1,I71&lt;='Exec Summary'!$E$2),1,0)</f>
        <v>0</v>
      </c>
      <c r="U71" s="7" t="n">
        <f aca="false">IF(F71="Reopened",1,0)</f>
        <v>0</v>
      </c>
      <c r="V71" s="7" t="n">
        <f aca="false">IF(AND(R71=1,O71&gt;Q71),1,0)</f>
        <v>1</v>
      </c>
      <c r="W71" s="7" t="n">
        <f aca="false">IF(AND(T71=1,P71&lt;&gt;"",P71&lt;=Q71),1,0)</f>
        <v>0</v>
      </c>
    </row>
    <row r="72" customFormat="false" ht="15" hidden="false" customHeight="false" outlineLevel="0" collapsed="false">
      <c r="A72" s="7" t="s">
        <v>188</v>
      </c>
      <c r="B72" s="7" t="s">
        <v>46</v>
      </c>
      <c r="C72" s="7" t="s">
        <v>128</v>
      </c>
      <c r="D72" s="7" t="s">
        <v>117</v>
      </c>
      <c r="E72" s="7" t="s">
        <v>118</v>
      </c>
      <c r="F72" s="7" t="s">
        <v>56</v>
      </c>
      <c r="G72" s="7" t="s">
        <v>19</v>
      </c>
      <c r="H72" s="9" t="n">
        <v>46092</v>
      </c>
      <c r="I72" s="9"/>
      <c r="J72" s="7" t="n">
        <v>10</v>
      </c>
      <c r="K72" s="7" t="s">
        <v>51</v>
      </c>
      <c r="L72" s="7" t="s">
        <v>22</v>
      </c>
      <c r="M72" s="7" t="s">
        <v>195</v>
      </c>
      <c r="N72" s="7" t="s">
        <v>58</v>
      </c>
      <c r="O72" s="10" t="n">
        <f aca="false">'Exec Summary'!$E$2-H72</f>
        <v>142</v>
      </c>
      <c r="P72" s="10" t="str">
        <f aca="false">IF(I72="","",I72-H72)</f>
        <v/>
      </c>
      <c r="Q72" s="10" t="n">
        <f aca="false">VLOOKUP(G72,$AA$2:$AB$5,2,FALSE())</f>
        <v>15</v>
      </c>
      <c r="R72" s="7" t="n">
        <f aca="false">IF(OR(F72="Open",F72="Reopened"),1,0)</f>
        <v>1</v>
      </c>
      <c r="S72" s="7" t="n">
        <f aca="false">IF(AND(H72&gt;='Exec Summary'!$E$1,H72&lt;='Exec Summary'!$E$2),1,0)</f>
        <v>0</v>
      </c>
      <c r="T72" s="7" t="n">
        <f aca="false">IF(AND(F72="Closed",I72&lt;&gt;"",I72&gt;='Exec Summary'!$E$1,I72&lt;='Exec Summary'!$E$2),1,0)</f>
        <v>0</v>
      </c>
      <c r="U72" s="7" t="n">
        <f aca="false">IF(F72="Reopened",1,0)</f>
        <v>0</v>
      </c>
      <c r="V72" s="7" t="n">
        <f aca="false">IF(AND(R72=1,O72&gt;Q72),1,0)</f>
        <v>1</v>
      </c>
      <c r="W72" s="7" t="n">
        <f aca="false">IF(AND(T72=1,P72&lt;&gt;"",P72&lt;=Q72),1,0)</f>
        <v>0</v>
      </c>
    </row>
    <row r="73" customFormat="false" ht="15" hidden="false" customHeight="false" outlineLevel="0" collapsed="false">
      <c r="A73" s="7" t="s">
        <v>188</v>
      </c>
      <c r="B73" s="7" t="s">
        <v>46</v>
      </c>
      <c r="C73" s="7" t="s">
        <v>128</v>
      </c>
      <c r="D73" s="7" t="s">
        <v>166</v>
      </c>
      <c r="E73" s="7" t="s">
        <v>167</v>
      </c>
      <c r="F73" s="7" t="s">
        <v>50</v>
      </c>
      <c r="G73" s="7" t="s">
        <v>19</v>
      </c>
      <c r="H73" s="9" t="n">
        <v>46210</v>
      </c>
      <c r="I73" s="9" t="n">
        <v>46226</v>
      </c>
      <c r="J73" s="7" t="n">
        <v>9.8</v>
      </c>
      <c r="K73" s="7" t="s">
        <v>51</v>
      </c>
      <c r="L73" s="7" t="s">
        <v>22</v>
      </c>
      <c r="M73" s="7" t="s">
        <v>196</v>
      </c>
      <c r="N73" s="7" t="s">
        <v>58</v>
      </c>
      <c r="O73" s="10" t="n">
        <f aca="false">'Exec Summary'!$E$2-H73</f>
        <v>24</v>
      </c>
      <c r="P73" s="10" t="n">
        <f aca="false">IF(I73="","",I73-H73)</f>
        <v>16</v>
      </c>
      <c r="Q73" s="10" t="n">
        <f aca="false">VLOOKUP(G73,$AA$2:$AB$5,2,FALSE())</f>
        <v>15</v>
      </c>
      <c r="R73" s="7" t="n">
        <f aca="false">IF(OR(F73="Open",F73="Reopened"),1,0)</f>
        <v>0</v>
      </c>
      <c r="S73" s="7" t="n">
        <f aca="false">IF(AND(H73&gt;='Exec Summary'!$E$1,H73&lt;='Exec Summary'!$E$2),1,0)</f>
        <v>1</v>
      </c>
      <c r="T73" s="7" t="n">
        <f aca="false">IF(AND(F73="Closed",I73&lt;&gt;"",I73&gt;='Exec Summary'!$E$1,I73&lt;='Exec Summary'!$E$2),1,0)</f>
        <v>1</v>
      </c>
      <c r="U73" s="7" t="n">
        <f aca="false">IF(F73="Reopened",1,0)</f>
        <v>0</v>
      </c>
      <c r="V73" s="7" t="n">
        <f aca="false">IF(AND(R73=1,O73&gt;Q73),1,0)</f>
        <v>0</v>
      </c>
      <c r="W73" s="7" t="n">
        <f aca="false">IF(AND(T73=1,P73&lt;&gt;"",P73&lt;=Q73),1,0)</f>
        <v>0</v>
      </c>
    </row>
    <row r="74" customFormat="false" ht="15" hidden="false" customHeight="false" outlineLevel="0" collapsed="false">
      <c r="A74" s="7" t="s">
        <v>188</v>
      </c>
      <c r="B74" s="7" t="s">
        <v>46</v>
      </c>
      <c r="C74" s="7" t="s">
        <v>128</v>
      </c>
      <c r="D74" s="7" t="s">
        <v>163</v>
      </c>
      <c r="E74" s="7" t="s">
        <v>164</v>
      </c>
      <c r="F74" s="7" t="s">
        <v>50</v>
      </c>
      <c r="G74" s="7" t="s">
        <v>19</v>
      </c>
      <c r="H74" s="9" t="n">
        <v>46089</v>
      </c>
      <c r="I74" s="9" t="n">
        <v>46103</v>
      </c>
      <c r="J74" s="7" t="n">
        <v>9.1</v>
      </c>
      <c r="K74" s="7" t="s">
        <v>51</v>
      </c>
      <c r="L74" s="7" t="s">
        <v>22</v>
      </c>
      <c r="M74" s="7" t="s">
        <v>197</v>
      </c>
      <c r="N74" s="7" t="s">
        <v>58</v>
      </c>
      <c r="O74" s="10" t="n">
        <f aca="false">'Exec Summary'!$E$2-H74</f>
        <v>145</v>
      </c>
      <c r="P74" s="10" t="n">
        <f aca="false">IF(I74="","",I74-H74)</f>
        <v>14</v>
      </c>
      <c r="Q74" s="10" t="n">
        <f aca="false">VLOOKUP(G74,$AA$2:$AB$5,2,FALSE())</f>
        <v>15</v>
      </c>
      <c r="R74" s="7" t="n">
        <f aca="false">IF(OR(F74="Open",F74="Reopened"),1,0)</f>
        <v>0</v>
      </c>
      <c r="S74" s="7" t="n">
        <f aca="false">IF(AND(H74&gt;='Exec Summary'!$E$1,H74&lt;='Exec Summary'!$E$2),1,0)</f>
        <v>0</v>
      </c>
      <c r="T74" s="7" t="n">
        <f aca="false">IF(AND(F74="Closed",I74&lt;&gt;"",I74&gt;='Exec Summary'!$E$1,I74&lt;='Exec Summary'!$E$2),1,0)</f>
        <v>0</v>
      </c>
      <c r="U74" s="7" t="n">
        <f aca="false">IF(F74="Reopened",1,0)</f>
        <v>0</v>
      </c>
      <c r="V74" s="7" t="n">
        <f aca="false">IF(AND(R74=1,O74&gt;Q74),1,0)</f>
        <v>0</v>
      </c>
      <c r="W74" s="7" t="n">
        <f aca="false">IF(AND(T74=1,P74&lt;&gt;"",P74&lt;=Q74),1,0)</f>
        <v>0</v>
      </c>
    </row>
    <row r="75" customFormat="false" ht="15" hidden="false" customHeight="false" outlineLevel="0" collapsed="false">
      <c r="A75" s="7" t="s">
        <v>188</v>
      </c>
      <c r="B75" s="7" t="s">
        <v>46</v>
      </c>
      <c r="C75" s="7" t="s">
        <v>128</v>
      </c>
      <c r="D75" s="7" t="s">
        <v>139</v>
      </c>
      <c r="E75" s="7" t="s">
        <v>140</v>
      </c>
      <c r="F75" s="7" t="s">
        <v>50</v>
      </c>
      <c r="G75" s="7" t="s">
        <v>19</v>
      </c>
      <c r="H75" s="9" t="n">
        <v>46110</v>
      </c>
      <c r="I75" s="9" t="n">
        <v>46111</v>
      </c>
      <c r="J75" s="7" t="n">
        <v>9.8</v>
      </c>
      <c r="K75" s="7" t="s">
        <v>51</v>
      </c>
      <c r="L75" s="7" t="s">
        <v>22</v>
      </c>
      <c r="M75" s="7" t="s">
        <v>198</v>
      </c>
      <c r="N75" s="7" t="s">
        <v>58</v>
      </c>
      <c r="O75" s="10" t="n">
        <f aca="false">'Exec Summary'!$E$2-H75</f>
        <v>124</v>
      </c>
      <c r="P75" s="10" t="n">
        <f aca="false">IF(I75="","",I75-H75)</f>
        <v>1</v>
      </c>
      <c r="Q75" s="10" t="n">
        <f aca="false">VLOOKUP(G75,$AA$2:$AB$5,2,FALSE())</f>
        <v>15</v>
      </c>
      <c r="R75" s="7" t="n">
        <f aca="false">IF(OR(F75="Open",F75="Reopened"),1,0)</f>
        <v>0</v>
      </c>
      <c r="S75" s="7" t="n">
        <f aca="false">IF(AND(H75&gt;='Exec Summary'!$E$1,H75&lt;='Exec Summary'!$E$2),1,0)</f>
        <v>0</v>
      </c>
      <c r="T75" s="7" t="n">
        <f aca="false">IF(AND(F75="Closed",I75&lt;&gt;"",I75&gt;='Exec Summary'!$E$1,I75&lt;='Exec Summary'!$E$2),1,0)</f>
        <v>0</v>
      </c>
      <c r="U75" s="7" t="n">
        <f aca="false">IF(F75="Reopened",1,0)</f>
        <v>0</v>
      </c>
      <c r="V75" s="7" t="n">
        <f aca="false">IF(AND(R75=1,O75&gt;Q75),1,0)</f>
        <v>0</v>
      </c>
      <c r="W75" s="7" t="n">
        <f aca="false">IF(AND(T75=1,P75&lt;&gt;"",P75&lt;=Q75),1,0)</f>
        <v>0</v>
      </c>
    </row>
    <row r="76" customFormat="false" ht="15" hidden="false" customHeight="false" outlineLevel="0" collapsed="false">
      <c r="A76" s="7" t="s">
        <v>188</v>
      </c>
      <c r="B76" s="7" t="s">
        <v>46</v>
      </c>
      <c r="C76" s="7" t="s">
        <v>128</v>
      </c>
      <c r="D76" s="7" t="s">
        <v>112</v>
      </c>
      <c r="E76" s="7" t="s">
        <v>113</v>
      </c>
      <c r="F76" s="7" t="s">
        <v>50</v>
      </c>
      <c r="G76" s="7" t="s">
        <v>20</v>
      </c>
      <c r="H76" s="9" t="n">
        <v>46087</v>
      </c>
      <c r="I76" s="9" t="n">
        <v>46104</v>
      </c>
      <c r="J76" s="7" t="n">
        <v>7.8</v>
      </c>
      <c r="K76" s="7" t="s">
        <v>51</v>
      </c>
      <c r="L76" s="7" t="s">
        <v>22</v>
      </c>
      <c r="M76" s="7" t="s">
        <v>199</v>
      </c>
      <c r="N76" s="7" t="s">
        <v>53</v>
      </c>
      <c r="O76" s="10" t="n">
        <f aca="false">'Exec Summary'!$E$2-H76</f>
        <v>147</v>
      </c>
      <c r="P76" s="10" t="n">
        <f aca="false">IF(I76="","",I76-H76)</f>
        <v>17</v>
      </c>
      <c r="Q76" s="10" t="n">
        <f aca="false">VLOOKUP(G76,$AA$2:$AB$5,2,FALSE())</f>
        <v>30</v>
      </c>
      <c r="R76" s="7" t="n">
        <f aca="false">IF(OR(F76="Open",F76="Reopened"),1,0)</f>
        <v>0</v>
      </c>
      <c r="S76" s="7" t="n">
        <f aca="false">IF(AND(H76&gt;='Exec Summary'!$E$1,H76&lt;='Exec Summary'!$E$2),1,0)</f>
        <v>0</v>
      </c>
      <c r="T76" s="7" t="n">
        <f aca="false">IF(AND(F76="Closed",I76&lt;&gt;"",I76&gt;='Exec Summary'!$E$1,I76&lt;='Exec Summary'!$E$2),1,0)</f>
        <v>0</v>
      </c>
      <c r="U76" s="7" t="n">
        <f aca="false">IF(F76="Reopened",1,0)</f>
        <v>0</v>
      </c>
      <c r="V76" s="7" t="n">
        <f aca="false">IF(AND(R76=1,O76&gt;Q76),1,0)</f>
        <v>0</v>
      </c>
      <c r="W76" s="7" t="n">
        <f aca="false">IF(AND(T76=1,P76&lt;&gt;"",P76&lt;=Q76),1,0)</f>
        <v>0</v>
      </c>
    </row>
    <row r="77" customFormat="false" ht="15" hidden="false" customHeight="false" outlineLevel="0" collapsed="false">
      <c r="A77" s="7" t="s">
        <v>200</v>
      </c>
      <c r="B77" s="7" t="s">
        <v>46</v>
      </c>
      <c r="C77" s="7" t="s">
        <v>158</v>
      </c>
      <c r="D77" s="7" t="s">
        <v>62</v>
      </c>
      <c r="E77" s="7" t="s">
        <v>63</v>
      </c>
      <c r="F77" s="7" t="s">
        <v>50</v>
      </c>
      <c r="G77" s="7" t="s">
        <v>20</v>
      </c>
      <c r="H77" s="9" t="n">
        <v>46046</v>
      </c>
      <c r="I77" s="9" t="n">
        <v>46059</v>
      </c>
      <c r="J77" s="7" t="n">
        <v>8.1</v>
      </c>
      <c r="K77" s="7" t="s">
        <v>51</v>
      </c>
      <c r="L77" s="7" t="s">
        <v>21</v>
      </c>
      <c r="M77" s="7" t="s">
        <v>201</v>
      </c>
      <c r="N77" s="7" t="s">
        <v>53</v>
      </c>
      <c r="O77" s="10" t="n">
        <f aca="false">'Exec Summary'!$E$2-H77</f>
        <v>188</v>
      </c>
      <c r="P77" s="10" t="n">
        <f aca="false">IF(I77="","",I77-H77)</f>
        <v>13</v>
      </c>
      <c r="Q77" s="10" t="n">
        <f aca="false">VLOOKUP(G77,$AA$2:$AB$5,2,FALSE())</f>
        <v>30</v>
      </c>
      <c r="R77" s="7" t="n">
        <f aca="false">IF(OR(F77="Open",F77="Reopened"),1,0)</f>
        <v>0</v>
      </c>
      <c r="S77" s="7" t="n">
        <f aca="false">IF(AND(H77&gt;='Exec Summary'!$E$1,H77&lt;='Exec Summary'!$E$2),1,0)</f>
        <v>0</v>
      </c>
      <c r="T77" s="7" t="n">
        <f aca="false">IF(AND(F77="Closed",I77&lt;&gt;"",I77&gt;='Exec Summary'!$E$1,I77&lt;='Exec Summary'!$E$2),1,0)</f>
        <v>0</v>
      </c>
      <c r="U77" s="7" t="n">
        <f aca="false">IF(F77="Reopened",1,0)</f>
        <v>0</v>
      </c>
      <c r="V77" s="7" t="n">
        <f aca="false">IF(AND(R77=1,O77&gt;Q77),1,0)</f>
        <v>0</v>
      </c>
      <c r="W77" s="7" t="n">
        <f aca="false">IF(AND(T77=1,P77&lt;&gt;"",P77&lt;=Q77),1,0)</f>
        <v>0</v>
      </c>
    </row>
    <row r="78" customFormat="false" ht="15" hidden="false" customHeight="false" outlineLevel="0" collapsed="false">
      <c r="A78" s="7" t="s">
        <v>200</v>
      </c>
      <c r="B78" s="7" t="s">
        <v>46</v>
      </c>
      <c r="C78" s="7" t="s">
        <v>158</v>
      </c>
      <c r="D78" s="7" t="s">
        <v>145</v>
      </c>
      <c r="E78" s="7" t="s">
        <v>146</v>
      </c>
      <c r="F78" s="7" t="s">
        <v>56</v>
      </c>
      <c r="G78" s="7" t="s">
        <v>19</v>
      </c>
      <c r="H78" s="9" t="n">
        <v>46079</v>
      </c>
      <c r="I78" s="9"/>
      <c r="J78" s="7" t="n">
        <v>9.8</v>
      </c>
      <c r="K78" s="7" t="s">
        <v>51</v>
      </c>
      <c r="L78" s="7" t="s">
        <v>21</v>
      </c>
      <c r="M78" s="7" t="s">
        <v>202</v>
      </c>
      <c r="N78" s="7" t="s">
        <v>58</v>
      </c>
      <c r="O78" s="10" t="n">
        <f aca="false">'Exec Summary'!$E$2-H78</f>
        <v>155</v>
      </c>
      <c r="P78" s="10" t="str">
        <f aca="false">IF(I78="","",I78-H78)</f>
        <v/>
      </c>
      <c r="Q78" s="10" t="n">
        <f aca="false">VLOOKUP(G78,$AA$2:$AB$5,2,FALSE())</f>
        <v>15</v>
      </c>
      <c r="R78" s="7" t="n">
        <f aca="false">IF(OR(F78="Open",F78="Reopened"),1,0)</f>
        <v>1</v>
      </c>
      <c r="S78" s="7" t="n">
        <f aca="false">IF(AND(H78&gt;='Exec Summary'!$E$1,H78&lt;='Exec Summary'!$E$2),1,0)</f>
        <v>0</v>
      </c>
      <c r="T78" s="7" t="n">
        <f aca="false">IF(AND(F78="Closed",I78&lt;&gt;"",I78&gt;='Exec Summary'!$E$1,I78&lt;='Exec Summary'!$E$2),1,0)</f>
        <v>0</v>
      </c>
      <c r="U78" s="7" t="n">
        <f aca="false">IF(F78="Reopened",1,0)</f>
        <v>0</v>
      </c>
      <c r="V78" s="7" t="n">
        <f aca="false">IF(AND(R78=1,O78&gt;Q78),1,0)</f>
        <v>1</v>
      </c>
      <c r="W78" s="7" t="n">
        <f aca="false">IF(AND(T78=1,P78&lt;&gt;"",P78&lt;=Q78),1,0)</f>
        <v>0</v>
      </c>
    </row>
    <row r="79" customFormat="false" ht="15" hidden="false" customHeight="false" outlineLevel="0" collapsed="false">
      <c r="A79" s="7" t="s">
        <v>200</v>
      </c>
      <c r="B79" s="7" t="s">
        <v>46</v>
      </c>
      <c r="C79" s="7" t="s">
        <v>158</v>
      </c>
      <c r="D79" s="7" t="s">
        <v>54</v>
      </c>
      <c r="E79" s="7" t="s">
        <v>55</v>
      </c>
      <c r="F79" s="7" t="s">
        <v>50</v>
      </c>
      <c r="G79" s="7" t="s">
        <v>19</v>
      </c>
      <c r="H79" s="9" t="n">
        <v>46071</v>
      </c>
      <c r="I79" s="9" t="n">
        <v>46084</v>
      </c>
      <c r="J79" s="7" t="n">
        <v>9.8</v>
      </c>
      <c r="K79" s="7" t="s">
        <v>51</v>
      </c>
      <c r="L79" s="7" t="s">
        <v>21</v>
      </c>
      <c r="M79" s="7" t="s">
        <v>203</v>
      </c>
      <c r="N79" s="7" t="s">
        <v>58</v>
      </c>
      <c r="O79" s="10" t="n">
        <f aca="false">'Exec Summary'!$E$2-H79</f>
        <v>163</v>
      </c>
      <c r="P79" s="10" t="n">
        <f aca="false">IF(I79="","",I79-H79)</f>
        <v>13</v>
      </c>
      <c r="Q79" s="10" t="n">
        <f aca="false">VLOOKUP(G79,$AA$2:$AB$5,2,FALSE())</f>
        <v>15</v>
      </c>
      <c r="R79" s="7" t="n">
        <f aca="false">IF(OR(F79="Open",F79="Reopened"),1,0)</f>
        <v>0</v>
      </c>
      <c r="S79" s="7" t="n">
        <f aca="false">IF(AND(H79&gt;='Exec Summary'!$E$1,H79&lt;='Exec Summary'!$E$2),1,0)</f>
        <v>0</v>
      </c>
      <c r="T79" s="7" t="n">
        <f aca="false">IF(AND(F79="Closed",I79&lt;&gt;"",I79&gt;='Exec Summary'!$E$1,I79&lt;='Exec Summary'!$E$2),1,0)</f>
        <v>0</v>
      </c>
      <c r="U79" s="7" t="n">
        <f aca="false">IF(F79="Reopened",1,0)</f>
        <v>0</v>
      </c>
      <c r="V79" s="7" t="n">
        <f aca="false">IF(AND(R79=1,O79&gt;Q79),1,0)</f>
        <v>0</v>
      </c>
      <c r="W79" s="7" t="n">
        <f aca="false">IF(AND(T79=1,P79&lt;&gt;"",P79&lt;=Q79),1,0)</f>
        <v>0</v>
      </c>
    </row>
    <row r="80" customFormat="false" ht="15" hidden="false" customHeight="false" outlineLevel="0" collapsed="false">
      <c r="A80" s="7" t="s">
        <v>200</v>
      </c>
      <c r="B80" s="7" t="s">
        <v>46</v>
      </c>
      <c r="C80" s="7" t="s">
        <v>158</v>
      </c>
      <c r="D80" s="7" t="s">
        <v>48</v>
      </c>
      <c r="E80" s="7" t="s">
        <v>49</v>
      </c>
      <c r="F80" s="7" t="s">
        <v>50</v>
      </c>
      <c r="G80" s="7" t="s">
        <v>20</v>
      </c>
      <c r="H80" s="9" t="n">
        <v>46003</v>
      </c>
      <c r="I80" s="9" t="n">
        <v>46013</v>
      </c>
      <c r="J80" s="7" t="n">
        <v>7.5</v>
      </c>
      <c r="K80" s="7" t="s">
        <v>51</v>
      </c>
      <c r="L80" s="7" t="s">
        <v>21</v>
      </c>
      <c r="M80" s="7" t="s">
        <v>204</v>
      </c>
      <c r="N80" s="7" t="s">
        <v>53</v>
      </c>
      <c r="O80" s="10" t="n">
        <f aca="false">'Exec Summary'!$E$2-H80</f>
        <v>231</v>
      </c>
      <c r="P80" s="10" t="n">
        <f aca="false">IF(I80="","",I80-H80)</f>
        <v>10</v>
      </c>
      <c r="Q80" s="10" t="n">
        <f aca="false">VLOOKUP(G80,$AA$2:$AB$5,2,FALSE())</f>
        <v>30</v>
      </c>
      <c r="R80" s="7" t="n">
        <f aca="false">IF(OR(F80="Open",F80="Reopened"),1,0)</f>
        <v>0</v>
      </c>
      <c r="S80" s="7" t="n">
        <f aca="false">IF(AND(H80&gt;='Exec Summary'!$E$1,H80&lt;='Exec Summary'!$E$2),1,0)</f>
        <v>0</v>
      </c>
      <c r="T80" s="7" t="n">
        <f aca="false">IF(AND(F80="Closed",I80&lt;&gt;"",I80&gt;='Exec Summary'!$E$1,I80&lt;='Exec Summary'!$E$2),1,0)</f>
        <v>0</v>
      </c>
      <c r="U80" s="7" t="n">
        <f aca="false">IF(F80="Reopened",1,0)</f>
        <v>0</v>
      </c>
      <c r="V80" s="7" t="n">
        <f aca="false">IF(AND(R80=1,O80&gt;Q80),1,0)</f>
        <v>0</v>
      </c>
      <c r="W80" s="7" t="n">
        <f aca="false">IF(AND(T80=1,P80&lt;&gt;"",P80&lt;=Q80),1,0)</f>
        <v>0</v>
      </c>
    </row>
    <row r="81" customFormat="false" ht="15" hidden="false" customHeight="false" outlineLevel="0" collapsed="false">
      <c r="A81" s="7" t="s">
        <v>200</v>
      </c>
      <c r="B81" s="7" t="s">
        <v>46</v>
      </c>
      <c r="C81" s="7" t="s">
        <v>158</v>
      </c>
      <c r="D81" s="7" t="s">
        <v>173</v>
      </c>
      <c r="E81" s="7" t="s">
        <v>174</v>
      </c>
      <c r="F81" s="7" t="s">
        <v>50</v>
      </c>
      <c r="G81" s="7" t="s">
        <v>19</v>
      </c>
      <c r="H81" s="9" t="n">
        <v>46030</v>
      </c>
      <c r="I81" s="9" t="n">
        <v>46034</v>
      </c>
      <c r="J81" s="7" t="n">
        <v>9.8</v>
      </c>
      <c r="K81" s="7" t="s">
        <v>51</v>
      </c>
      <c r="L81" s="7" t="s">
        <v>21</v>
      </c>
      <c r="M81" s="7" t="s">
        <v>205</v>
      </c>
      <c r="N81" s="7" t="s">
        <v>58</v>
      </c>
      <c r="O81" s="10" t="n">
        <f aca="false">'Exec Summary'!$E$2-H81</f>
        <v>204</v>
      </c>
      <c r="P81" s="10" t="n">
        <f aca="false">IF(I81="","",I81-H81)</f>
        <v>4</v>
      </c>
      <c r="Q81" s="10" t="n">
        <f aca="false">VLOOKUP(G81,$AA$2:$AB$5,2,FALSE())</f>
        <v>15</v>
      </c>
      <c r="R81" s="7" t="n">
        <f aca="false">IF(OR(F81="Open",F81="Reopened"),1,0)</f>
        <v>0</v>
      </c>
      <c r="S81" s="7" t="n">
        <f aca="false">IF(AND(H81&gt;='Exec Summary'!$E$1,H81&lt;='Exec Summary'!$E$2),1,0)</f>
        <v>0</v>
      </c>
      <c r="T81" s="7" t="n">
        <f aca="false">IF(AND(F81="Closed",I81&lt;&gt;"",I81&gt;='Exec Summary'!$E$1,I81&lt;='Exec Summary'!$E$2),1,0)</f>
        <v>0</v>
      </c>
      <c r="U81" s="7" t="n">
        <f aca="false">IF(F81="Reopened",1,0)</f>
        <v>0</v>
      </c>
      <c r="V81" s="7" t="n">
        <f aca="false">IF(AND(R81=1,O81&gt;Q81),1,0)</f>
        <v>0</v>
      </c>
      <c r="W81" s="7" t="n">
        <f aca="false">IF(AND(T81=1,P81&lt;&gt;"",P81&lt;=Q81),1,0)</f>
        <v>0</v>
      </c>
    </row>
    <row r="82" customFormat="false" ht="15" hidden="false" customHeight="false" outlineLevel="0" collapsed="false">
      <c r="A82" s="7" t="s">
        <v>200</v>
      </c>
      <c r="B82" s="7" t="s">
        <v>46</v>
      </c>
      <c r="C82" s="7" t="s">
        <v>158</v>
      </c>
      <c r="D82" s="7" t="s">
        <v>206</v>
      </c>
      <c r="E82" s="7" t="s">
        <v>207</v>
      </c>
      <c r="F82" s="7" t="s">
        <v>50</v>
      </c>
      <c r="G82" s="7" t="s">
        <v>20</v>
      </c>
      <c r="H82" s="9" t="n">
        <v>45945</v>
      </c>
      <c r="I82" s="9" t="n">
        <v>45976</v>
      </c>
      <c r="J82" s="7" t="n">
        <v>8.8</v>
      </c>
      <c r="K82" s="7" t="s">
        <v>51</v>
      </c>
      <c r="L82" s="7" t="s">
        <v>21</v>
      </c>
      <c r="M82" s="7" t="s">
        <v>208</v>
      </c>
      <c r="N82" s="7" t="s">
        <v>53</v>
      </c>
      <c r="O82" s="10" t="n">
        <f aca="false">'Exec Summary'!$E$2-H82</f>
        <v>289</v>
      </c>
      <c r="P82" s="10" t="n">
        <f aca="false">IF(I82="","",I82-H82)</f>
        <v>31</v>
      </c>
      <c r="Q82" s="10" t="n">
        <f aca="false">VLOOKUP(G82,$AA$2:$AB$5,2,FALSE())</f>
        <v>30</v>
      </c>
      <c r="R82" s="7" t="n">
        <f aca="false">IF(OR(F82="Open",F82="Reopened"),1,0)</f>
        <v>0</v>
      </c>
      <c r="S82" s="7" t="n">
        <f aca="false">IF(AND(H82&gt;='Exec Summary'!$E$1,H82&lt;='Exec Summary'!$E$2),1,0)</f>
        <v>0</v>
      </c>
      <c r="T82" s="7" t="n">
        <f aca="false">IF(AND(F82="Closed",I82&lt;&gt;"",I82&gt;='Exec Summary'!$E$1,I82&lt;='Exec Summary'!$E$2),1,0)</f>
        <v>0</v>
      </c>
      <c r="U82" s="7" t="n">
        <f aca="false">IF(F82="Reopened",1,0)</f>
        <v>0</v>
      </c>
      <c r="V82" s="7" t="n">
        <f aca="false">IF(AND(R82=1,O82&gt;Q82),1,0)</f>
        <v>0</v>
      </c>
      <c r="W82" s="7" t="n">
        <f aca="false">IF(AND(T82=1,P82&lt;&gt;"",P82&lt;=Q82),1,0)</f>
        <v>0</v>
      </c>
    </row>
    <row r="83" customFormat="false" ht="15" hidden="false" customHeight="false" outlineLevel="0" collapsed="false">
      <c r="A83" s="7" t="s">
        <v>200</v>
      </c>
      <c r="B83" s="7" t="s">
        <v>46</v>
      </c>
      <c r="C83" s="7" t="s">
        <v>158</v>
      </c>
      <c r="D83" s="7" t="s">
        <v>104</v>
      </c>
      <c r="E83" s="7" t="s">
        <v>105</v>
      </c>
      <c r="F83" s="7" t="s">
        <v>123</v>
      </c>
      <c r="G83" s="7" t="s">
        <v>19</v>
      </c>
      <c r="H83" s="9" t="n">
        <v>46053</v>
      </c>
      <c r="I83" s="9" t="n">
        <v>46067</v>
      </c>
      <c r="J83" s="7" t="n">
        <v>9.8</v>
      </c>
      <c r="K83" s="7" t="s">
        <v>51</v>
      </c>
      <c r="L83" s="7" t="s">
        <v>21</v>
      </c>
      <c r="M83" s="7" t="s">
        <v>209</v>
      </c>
      <c r="N83" s="7" t="s">
        <v>58</v>
      </c>
      <c r="O83" s="10" t="n">
        <f aca="false">'Exec Summary'!$E$2-H83</f>
        <v>181</v>
      </c>
      <c r="P83" s="10" t="n">
        <f aca="false">IF(I83="","",I83-H83)</f>
        <v>14</v>
      </c>
      <c r="Q83" s="10" t="n">
        <f aca="false">VLOOKUP(G83,$AA$2:$AB$5,2,FALSE())</f>
        <v>15</v>
      </c>
      <c r="R83" s="7" t="n">
        <f aca="false">IF(OR(F83="Open",F83="Reopened"),1,0)</f>
        <v>1</v>
      </c>
      <c r="S83" s="7" t="n">
        <f aca="false">IF(AND(H83&gt;='Exec Summary'!$E$1,H83&lt;='Exec Summary'!$E$2),1,0)</f>
        <v>0</v>
      </c>
      <c r="T83" s="7" t="n">
        <f aca="false">IF(AND(F83="Closed",I83&lt;&gt;"",I83&gt;='Exec Summary'!$E$1,I83&lt;='Exec Summary'!$E$2),1,0)</f>
        <v>0</v>
      </c>
      <c r="U83" s="7" t="n">
        <f aca="false">IF(F83="Reopened",1,0)</f>
        <v>1</v>
      </c>
      <c r="V83" s="7" t="n">
        <f aca="false">IF(AND(R83=1,O83&gt;Q83),1,0)</f>
        <v>1</v>
      </c>
      <c r="W83" s="7" t="n">
        <f aca="false">IF(AND(T83=1,P83&lt;&gt;"",P83&lt;=Q83),1,0)</f>
        <v>0</v>
      </c>
    </row>
    <row r="84" customFormat="false" ht="15" hidden="false" customHeight="false" outlineLevel="0" collapsed="false">
      <c r="A84" s="7" t="s">
        <v>200</v>
      </c>
      <c r="B84" s="7" t="s">
        <v>46</v>
      </c>
      <c r="C84" s="7" t="s">
        <v>158</v>
      </c>
      <c r="D84" s="7" t="s">
        <v>210</v>
      </c>
      <c r="E84" s="7" t="s">
        <v>211</v>
      </c>
      <c r="F84" s="7" t="s">
        <v>50</v>
      </c>
      <c r="G84" s="7" t="s">
        <v>19</v>
      </c>
      <c r="H84" s="9" t="n">
        <v>46109</v>
      </c>
      <c r="I84" s="9" t="n">
        <v>46122</v>
      </c>
      <c r="J84" s="7" t="n">
        <v>9.8</v>
      </c>
      <c r="K84" s="7" t="s">
        <v>51</v>
      </c>
      <c r="L84" s="7" t="s">
        <v>21</v>
      </c>
      <c r="M84" s="7" t="s">
        <v>212</v>
      </c>
      <c r="N84" s="7" t="s">
        <v>58</v>
      </c>
      <c r="O84" s="10" t="n">
        <f aca="false">'Exec Summary'!$E$2-H84</f>
        <v>125</v>
      </c>
      <c r="P84" s="10" t="n">
        <f aca="false">IF(I84="","",I84-H84)</f>
        <v>13</v>
      </c>
      <c r="Q84" s="10" t="n">
        <f aca="false">VLOOKUP(G84,$AA$2:$AB$5,2,FALSE())</f>
        <v>15</v>
      </c>
      <c r="R84" s="7" t="n">
        <f aca="false">IF(OR(F84="Open",F84="Reopened"),1,0)</f>
        <v>0</v>
      </c>
      <c r="S84" s="7" t="n">
        <f aca="false">IF(AND(H84&gt;='Exec Summary'!$E$1,H84&lt;='Exec Summary'!$E$2),1,0)</f>
        <v>0</v>
      </c>
      <c r="T84" s="7" t="n">
        <f aca="false">IF(AND(F84="Closed",I84&lt;&gt;"",I84&gt;='Exec Summary'!$E$1,I84&lt;='Exec Summary'!$E$2),1,0)</f>
        <v>0</v>
      </c>
      <c r="U84" s="7" t="n">
        <f aca="false">IF(F84="Reopened",1,0)</f>
        <v>0</v>
      </c>
      <c r="V84" s="7" t="n">
        <f aca="false">IF(AND(R84=1,O84&gt;Q84),1,0)</f>
        <v>0</v>
      </c>
      <c r="W84" s="7" t="n">
        <f aca="false">IF(AND(T84=1,P84&lt;&gt;"",P84&lt;=Q84),1,0)</f>
        <v>0</v>
      </c>
    </row>
    <row r="85" customFormat="false" ht="15" hidden="false" customHeight="false" outlineLevel="0" collapsed="false">
      <c r="A85" s="7" t="s">
        <v>200</v>
      </c>
      <c r="B85" s="7" t="s">
        <v>46</v>
      </c>
      <c r="C85" s="7" t="s">
        <v>158</v>
      </c>
      <c r="D85" s="7" t="s">
        <v>120</v>
      </c>
      <c r="E85" s="7" t="s">
        <v>121</v>
      </c>
      <c r="F85" s="7" t="s">
        <v>50</v>
      </c>
      <c r="G85" s="7" t="s">
        <v>19</v>
      </c>
      <c r="H85" s="9" t="n">
        <v>46103</v>
      </c>
      <c r="I85" s="9" t="n">
        <v>46106</v>
      </c>
      <c r="J85" s="7" t="n">
        <v>8.8</v>
      </c>
      <c r="K85" s="7" t="s">
        <v>51</v>
      </c>
      <c r="L85" s="7" t="s">
        <v>21</v>
      </c>
      <c r="M85" s="7" t="s">
        <v>213</v>
      </c>
      <c r="N85" s="7" t="s">
        <v>58</v>
      </c>
      <c r="O85" s="10" t="n">
        <f aca="false">'Exec Summary'!$E$2-H85</f>
        <v>131</v>
      </c>
      <c r="P85" s="10" t="n">
        <f aca="false">IF(I85="","",I85-H85)</f>
        <v>3</v>
      </c>
      <c r="Q85" s="10" t="n">
        <f aca="false">VLOOKUP(G85,$AA$2:$AB$5,2,FALSE())</f>
        <v>15</v>
      </c>
      <c r="R85" s="7" t="n">
        <f aca="false">IF(OR(F85="Open",F85="Reopened"),1,0)</f>
        <v>0</v>
      </c>
      <c r="S85" s="7" t="n">
        <f aca="false">IF(AND(H85&gt;='Exec Summary'!$E$1,H85&lt;='Exec Summary'!$E$2),1,0)</f>
        <v>0</v>
      </c>
      <c r="T85" s="7" t="n">
        <f aca="false">IF(AND(F85="Closed",I85&lt;&gt;"",I85&gt;='Exec Summary'!$E$1,I85&lt;='Exec Summary'!$E$2),1,0)</f>
        <v>0</v>
      </c>
      <c r="U85" s="7" t="n">
        <f aca="false">IF(F85="Reopened",1,0)</f>
        <v>0</v>
      </c>
      <c r="V85" s="7" t="n">
        <f aca="false">IF(AND(R85=1,O85&gt;Q85),1,0)</f>
        <v>0</v>
      </c>
      <c r="W85" s="7" t="n">
        <f aca="false">IF(AND(T85=1,P85&lt;&gt;"",P85&lt;=Q85),1,0)</f>
        <v>0</v>
      </c>
    </row>
    <row r="86" customFormat="false" ht="15" hidden="false" customHeight="false" outlineLevel="0" collapsed="false">
      <c r="A86" s="7" t="s">
        <v>214</v>
      </c>
      <c r="B86" s="7" t="s">
        <v>46</v>
      </c>
      <c r="C86" s="7" t="s">
        <v>177</v>
      </c>
      <c r="D86" s="7" t="s">
        <v>95</v>
      </c>
      <c r="E86" s="7" t="s">
        <v>96</v>
      </c>
      <c r="F86" s="7" t="s">
        <v>50</v>
      </c>
      <c r="G86" s="7" t="s">
        <v>20</v>
      </c>
      <c r="H86" s="9" t="n">
        <v>45982</v>
      </c>
      <c r="I86" s="9" t="n">
        <v>46019</v>
      </c>
      <c r="J86" s="7" t="n">
        <v>8.8</v>
      </c>
      <c r="K86" s="7" t="s">
        <v>51</v>
      </c>
      <c r="L86" s="7" t="s">
        <v>21</v>
      </c>
      <c r="M86" s="7" t="s">
        <v>215</v>
      </c>
      <c r="N86" s="7" t="s">
        <v>53</v>
      </c>
      <c r="O86" s="10" t="n">
        <f aca="false">'Exec Summary'!$E$2-H86</f>
        <v>252</v>
      </c>
      <c r="P86" s="10" t="n">
        <f aca="false">IF(I86="","",I86-H86)</f>
        <v>37</v>
      </c>
      <c r="Q86" s="10" t="n">
        <f aca="false">VLOOKUP(G86,$AA$2:$AB$5,2,FALSE())</f>
        <v>30</v>
      </c>
      <c r="R86" s="7" t="n">
        <f aca="false">IF(OR(F86="Open",F86="Reopened"),1,0)</f>
        <v>0</v>
      </c>
      <c r="S86" s="7" t="n">
        <f aca="false">IF(AND(H86&gt;='Exec Summary'!$E$1,H86&lt;='Exec Summary'!$E$2),1,0)</f>
        <v>0</v>
      </c>
      <c r="T86" s="7" t="n">
        <f aca="false">IF(AND(F86="Closed",I86&lt;&gt;"",I86&gt;='Exec Summary'!$E$1,I86&lt;='Exec Summary'!$E$2),1,0)</f>
        <v>0</v>
      </c>
      <c r="U86" s="7" t="n">
        <f aca="false">IF(F86="Reopened",1,0)</f>
        <v>0</v>
      </c>
      <c r="V86" s="7" t="n">
        <f aca="false">IF(AND(R86=1,O86&gt;Q86),1,0)</f>
        <v>0</v>
      </c>
      <c r="W86" s="7" t="n">
        <f aca="false">IF(AND(T86=1,P86&lt;&gt;"",P86&lt;=Q86),1,0)</f>
        <v>0</v>
      </c>
    </row>
    <row r="87" customFormat="false" ht="15" hidden="false" customHeight="false" outlineLevel="0" collapsed="false">
      <c r="A87" s="7" t="s">
        <v>214</v>
      </c>
      <c r="B87" s="7" t="s">
        <v>46</v>
      </c>
      <c r="C87" s="7" t="s">
        <v>177</v>
      </c>
      <c r="D87" s="7" t="s">
        <v>59</v>
      </c>
      <c r="E87" s="7" t="s">
        <v>60</v>
      </c>
      <c r="F87" s="7" t="s">
        <v>50</v>
      </c>
      <c r="G87" s="7" t="s">
        <v>19</v>
      </c>
      <c r="H87" s="9" t="n">
        <v>46099</v>
      </c>
      <c r="I87" s="9" t="n">
        <v>46109</v>
      </c>
      <c r="J87" s="7" t="n">
        <v>7.8</v>
      </c>
      <c r="K87" s="7" t="s">
        <v>51</v>
      </c>
      <c r="L87" s="7" t="s">
        <v>21</v>
      </c>
      <c r="M87" s="7" t="s">
        <v>216</v>
      </c>
      <c r="N87" s="7" t="s">
        <v>58</v>
      </c>
      <c r="O87" s="10" t="n">
        <f aca="false">'Exec Summary'!$E$2-H87</f>
        <v>135</v>
      </c>
      <c r="P87" s="10" t="n">
        <f aca="false">IF(I87="","",I87-H87)</f>
        <v>10</v>
      </c>
      <c r="Q87" s="10" t="n">
        <f aca="false">VLOOKUP(G87,$AA$2:$AB$5,2,FALSE())</f>
        <v>15</v>
      </c>
      <c r="R87" s="7" t="n">
        <f aca="false">IF(OR(F87="Open",F87="Reopened"),1,0)</f>
        <v>0</v>
      </c>
      <c r="S87" s="7" t="n">
        <f aca="false">IF(AND(H87&gt;='Exec Summary'!$E$1,H87&lt;='Exec Summary'!$E$2),1,0)</f>
        <v>0</v>
      </c>
      <c r="T87" s="7" t="n">
        <f aca="false">IF(AND(F87="Closed",I87&lt;&gt;"",I87&gt;='Exec Summary'!$E$1,I87&lt;='Exec Summary'!$E$2),1,0)</f>
        <v>0</v>
      </c>
      <c r="U87" s="7" t="n">
        <f aca="false">IF(F87="Reopened",1,0)</f>
        <v>0</v>
      </c>
      <c r="V87" s="7" t="n">
        <f aca="false">IF(AND(R87=1,O87&gt;Q87),1,0)</f>
        <v>0</v>
      </c>
      <c r="W87" s="7" t="n">
        <f aca="false">IF(AND(T87=1,P87&lt;&gt;"",P87&lt;=Q87),1,0)</f>
        <v>0</v>
      </c>
    </row>
    <row r="88" customFormat="false" ht="15" hidden="false" customHeight="false" outlineLevel="0" collapsed="false">
      <c r="A88" s="7" t="s">
        <v>214</v>
      </c>
      <c r="B88" s="7" t="s">
        <v>46</v>
      </c>
      <c r="C88" s="7" t="s">
        <v>177</v>
      </c>
      <c r="D88" s="7" t="s">
        <v>145</v>
      </c>
      <c r="E88" s="7" t="s">
        <v>146</v>
      </c>
      <c r="F88" s="7" t="s">
        <v>50</v>
      </c>
      <c r="G88" s="7" t="s">
        <v>19</v>
      </c>
      <c r="H88" s="9" t="n">
        <v>45996</v>
      </c>
      <c r="I88" s="9" t="n">
        <v>46004</v>
      </c>
      <c r="J88" s="7" t="n">
        <v>9.8</v>
      </c>
      <c r="K88" s="7" t="s">
        <v>51</v>
      </c>
      <c r="L88" s="7" t="s">
        <v>21</v>
      </c>
      <c r="M88" s="7" t="s">
        <v>217</v>
      </c>
      <c r="N88" s="7" t="s">
        <v>58</v>
      </c>
      <c r="O88" s="10" t="n">
        <f aca="false">'Exec Summary'!$E$2-H88</f>
        <v>238</v>
      </c>
      <c r="P88" s="10" t="n">
        <f aca="false">IF(I88="","",I88-H88)</f>
        <v>8</v>
      </c>
      <c r="Q88" s="10" t="n">
        <f aca="false">VLOOKUP(G88,$AA$2:$AB$5,2,FALSE())</f>
        <v>15</v>
      </c>
      <c r="R88" s="7" t="n">
        <f aca="false">IF(OR(F88="Open",F88="Reopened"),1,0)</f>
        <v>0</v>
      </c>
      <c r="S88" s="7" t="n">
        <f aca="false">IF(AND(H88&gt;='Exec Summary'!$E$1,H88&lt;='Exec Summary'!$E$2),1,0)</f>
        <v>0</v>
      </c>
      <c r="T88" s="7" t="n">
        <f aca="false">IF(AND(F88="Closed",I88&lt;&gt;"",I88&gt;='Exec Summary'!$E$1,I88&lt;='Exec Summary'!$E$2),1,0)</f>
        <v>0</v>
      </c>
      <c r="U88" s="7" t="n">
        <f aca="false">IF(F88="Reopened",1,0)</f>
        <v>0</v>
      </c>
      <c r="V88" s="7" t="n">
        <f aca="false">IF(AND(R88=1,O88&gt;Q88),1,0)</f>
        <v>0</v>
      </c>
      <c r="W88" s="7" t="n">
        <f aca="false">IF(AND(T88=1,P88&lt;&gt;"",P88&lt;=Q88),1,0)</f>
        <v>0</v>
      </c>
    </row>
    <row r="89" customFormat="false" ht="15" hidden="false" customHeight="false" outlineLevel="0" collapsed="false">
      <c r="A89" s="7" t="s">
        <v>214</v>
      </c>
      <c r="B89" s="7" t="s">
        <v>46</v>
      </c>
      <c r="C89" s="7" t="s">
        <v>177</v>
      </c>
      <c r="D89" s="7" t="s">
        <v>210</v>
      </c>
      <c r="E89" s="7" t="s">
        <v>211</v>
      </c>
      <c r="F89" s="7" t="s">
        <v>50</v>
      </c>
      <c r="G89" s="7" t="s">
        <v>19</v>
      </c>
      <c r="H89" s="9" t="n">
        <v>45991</v>
      </c>
      <c r="I89" s="9" t="n">
        <v>45998</v>
      </c>
      <c r="J89" s="7" t="n">
        <v>9.8</v>
      </c>
      <c r="K89" s="7" t="s">
        <v>51</v>
      </c>
      <c r="L89" s="7" t="s">
        <v>21</v>
      </c>
      <c r="M89" s="7" t="s">
        <v>218</v>
      </c>
      <c r="N89" s="7" t="s">
        <v>58</v>
      </c>
      <c r="O89" s="10" t="n">
        <f aca="false">'Exec Summary'!$E$2-H89</f>
        <v>243</v>
      </c>
      <c r="P89" s="10" t="n">
        <f aca="false">IF(I89="","",I89-H89)</f>
        <v>7</v>
      </c>
      <c r="Q89" s="10" t="n">
        <f aca="false">VLOOKUP(G89,$AA$2:$AB$5,2,FALSE())</f>
        <v>15</v>
      </c>
      <c r="R89" s="7" t="n">
        <f aca="false">IF(OR(F89="Open",F89="Reopened"),1,0)</f>
        <v>0</v>
      </c>
      <c r="S89" s="7" t="n">
        <f aca="false">IF(AND(H89&gt;='Exec Summary'!$E$1,H89&lt;='Exec Summary'!$E$2),1,0)</f>
        <v>0</v>
      </c>
      <c r="T89" s="7" t="n">
        <f aca="false">IF(AND(F89="Closed",I89&lt;&gt;"",I89&gt;='Exec Summary'!$E$1,I89&lt;='Exec Summary'!$E$2),1,0)</f>
        <v>0</v>
      </c>
      <c r="U89" s="7" t="n">
        <f aca="false">IF(F89="Reopened",1,0)</f>
        <v>0</v>
      </c>
      <c r="V89" s="7" t="n">
        <f aca="false">IF(AND(R89=1,O89&gt;Q89),1,0)</f>
        <v>0</v>
      </c>
      <c r="W89" s="7" t="n">
        <f aca="false">IF(AND(T89=1,P89&lt;&gt;"",P89&lt;=Q89),1,0)</f>
        <v>0</v>
      </c>
    </row>
    <row r="90" customFormat="false" ht="15" hidden="false" customHeight="false" outlineLevel="0" collapsed="false">
      <c r="A90" s="7" t="s">
        <v>214</v>
      </c>
      <c r="B90" s="7" t="s">
        <v>46</v>
      </c>
      <c r="C90" s="7" t="s">
        <v>177</v>
      </c>
      <c r="D90" s="7" t="s">
        <v>101</v>
      </c>
      <c r="E90" s="7" t="s">
        <v>102</v>
      </c>
      <c r="F90" s="7" t="s">
        <v>56</v>
      </c>
      <c r="G90" s="7" t="s">
        <v>19</v>
      </c>
      <c r="H90" s="9" t="n">
        <v>46019</v>
      </c>
      <c r="I90" s="9"/>
      <c r="J90" s="7" t="n">
        <v>10</v>
      </c>
      <c r="K90" s="7" t="s">
        <v>51</v>
      </c>
      <c r="L90" s="7" t="s">
        <v>21</v>
      </c>
      <c r="M90" s="7" t="s">
        <v>219</v>
      </c>
      <c r="N90" s="7" t="s">
        <v>58</v>
      </c>
      <c r="O90" s="10" t="n">
        <f aca="false">'Exec Summary'!$E$2-H90</f>
        <v>215</v>
      </c>
      <c r="P90" s="10" t="str">
        <f aca="false">IF(I90="","",I90-H90)</f>
        <v/>
      </c>
      <c r="Q90" s="10" t="n">
        <f aca="false">VLOOKUP(G90,$AA$2:$AB$5,2,FALSE())</f>
        <v>15</v>
      </c>
      <c r="R90" s="7" t="n">
        <f aca="false">IF(OR(F90="Open",F90="Reopened"),1,0)</f>
        <v>1</v>
      </c>
      <c r="S90" s="7" t="n">
        <f aca="false">IF(AND(H90&gt;='Exec Summary'!$E$1,H90&lt;='Exec Summary'!$E$2),1,0)</f>
        <v>0</v>
      </c>
      <c r="T90" s="7" t="n">
        <f aca="false">IF(AND(F90="Closed",I90&lt;&gt;"",I90&gt;='Exec Summary'!$E$1,I90&lt;='Exec Summary'!$E$2),1,0)</f>
        <v>0</v>
      </c>
      <c r="U90" s="7" t="n">
        <f aca="false">IF(F90="Reopened",1,0)</f>
        <v>0</v>
      </c>
      <c r="V90" s="7" t="n">
        <f aca="false">IF(AND(R90=1,O90&gt;Q90),1,0)</f>
        <v>1</v>
      </c>
      <c r="W90" s="7" t="n">
        <f aca="false">IF(AND(T90=1,P90&lt;&gt;"",P90&lt;=Q90),1,0)</f>
        <v>0</v>
      </c>
    </row>
    <row r="91" customFormat="false" ht="15" hidden="false" customHeight="false" outlineLevel="0" collapsed="false">
      <c r="A91" s="7" t="s">
        <v>214</v>
      </c>
      <c r="B91" s="7" t="s">
        <v>46</v>
      </c>
      <c r="C91" s="7" t="s">
        <v>177</v>
      </c>
      <c r="D91" s="7" t="s">
        <v>131</v>
      </c>
      <c r="E91" s="7" t="s">
        <v>132</v>
      </c>
      <c r="F91" s="7" t="s">
        <v>56</v>
      </c>
      <c r="G91" s="7" t="s">
        <v>19</v>
      </c>
      <c r="H91" s="9" t="n">
        <v>46136</v>
      </c>
      <c r="I91" s="9"/>
      <c r="J91" s="7" t="n">
        <v>9.8</v>
      </c>
      <c r="K91" s="7" t="s">
        <v>51</v>
      </c>
      <c r="L91" s="7" t="s">
        <v>21</v>
      </c>
      <c r="M91" s="7" t="s">
        <v>220</v>
      </c>
      <c r="N91" s="7" t="s">
        <v>58</v>
      </c>
      <c r="O91" s="10" t="n">
        <f aca="false">'Exec Summary'!$E$2-H91</f>
        <v>98</v>
      </c>
      <c r="P91" s="10" t="str">
        <f aca="false">IF(I91="","",I91-H91)</f>
        <v/>
      </c>
      <c r="Q91" s="10" t="n">
        <f aca="false">VLOOKUP(G91,$AA$2:$AB$5,2,FALSE())</f>
        <v>15</v>
      </c>
      <c r="R91" s="7" t="n">
        <f aca="false">IF(OR(F91="Open",F91="Reopened"),1,0)</f>
        <v>1</v>
      </c>
      <c r="S91" s="7" t="n">
        <f aca="false">IF(AND(H91&gt;='Exec Summary'!$E$1,H91&lt;='Exec Summary'!$E$2),1,0)</f>
        <v>0</v>
      </c>
      <c r="T91" s="7" t="n">
        <f aca="false">IF(AND(F91="Closed",I91&lt;&gt;"",I91&gt;='Exec Summary'!$E$1,I91&lt;='Exec Summary'!$E$2),1,0)</f>
        <v>0</v>
      </c>
      <c r="U91" s="7" t="n">
        <f aca="false">IF(F91="Reopened",1,0)</f>
        <v>0</v>
      </c>
      <c r="V91" s="7" t="n">
        <f aca="false">IF(AND(R91=1,O91&gt;Q91),1,0)</f>
        <v>1</v>
      </c>
      <c r="W91" s="7" t="n">
        <f aca="false">IF(AND(T91=1,P91&lt;&gt;"",P91&lt;=Q91),1,0)</f>
        <v>0</v>
      </c>
    </row>
    <row r="92" customFormat="false" ht="15" hidden="false" customHeight="false" outlineLevel="0" collapsed="false">
      <c r="A92" s="7" t="s">
        <v>214</v>
      </c>
      <c r="B92" s="7" t="s">
        <v>46</v>
      </c>
      <c r="C92" s="7" t="s">
        <v>177</v>
      </c>
      <c r="D92" s="7" t="s">
        <v>173</v>
      </c>
      <c r="E92" s="7" t="s">
        <v>174</v>
      </c>
      <c r="F92" s="7" t="s">
        <v>56</v>
      </c>
      <c r="G92" s="7" t="s">
        <v>19</v>
      </c>
      <c r="H92" s="9" t="n">
        <v>45955</v>
      </c>
      <c r="I92" s="9"/>
      <c r="J92" s="7" t="n">
        <v>9.8</v>
      </c>
      <c r="K92" s="7" t="s">
        <v>51</v>
      </c>
      <c r="L92" s="7" t="s">
        <v>21</v>
      </c>
      <c r="M92" s="7" t="s">
        <v>221</v>
      </c>
      <c r="N92" s="7" t="s">
        <v>58</v>
      </c>
      <c r="O92" s="10" t="n">
        <f aca="false">'Exec Summary'!$E$2-H92</f>
        <v>279</v>
      </c>
      <c r="P92" s="10" t="str">
        <f aca="false">IF(I92="","",I92-H92)</f>
        <v/>
      </c>
      <c r="Q92" s="10" t="n">
        <f aca="false">VLOOKUP(G92,$AA$2:$AB$5,2,FALSE())</f>
        <v>15</v>
      </c>
      <c r="R92" s="7" t="n">
        <f aca="false">IF(OR(F92="Open",F92="Reopened"),1,0)</f>
        <v>1</v>
      </c>
      <c r="S92" s="7" t="n">
        <f aca="false">IF(AND(H92&gt;='Exec Summary'!$E$1,H92&lt;='Exec Summary'!$E$2),1,0)</f>
        <v>0</v>
      </c>
      <c r="T92" s="7" t="n">
        <f aca="false">IF(AND(F92="Closed",I92&lt;&gt;"",I92&gt;='Exec Summary'!$E$1,I92&lt;='Exec Summary'!$E$2),1,0)</f>
        <v>0</v>
      </c>
      <c r="U92" s="7" t="n">
        <f aca="false">IF(F92="Reopened",1,0)</f>
        <v>0</v>
      </c>
      <c r="V92" s="7" t="n">
        <f aca="false">IF(AND(R92=1,O92&gt;Q92),1,0)</f>
        <v>1</v>
      </c>
      <c r="W92" s="7" t="n">
        <f aca="false">IF(AND(T92=1,P92&lt;&gt;"",P92&lt;=Q92),1,0)</f>
        <v>0</v>
      </c>
    </row>
    <row r="93" customFormat="false" ht="15" hidden="false" customHeight="false" outlineLevel="0" collapsed="false">
      <c r="A93" s="7" t="s">
        <v>214</v>
      </c>
      <c r="B93" s="7" t="s">
        <v>46</v>
      </c>
      <c r="C93" s="7" t="s">
        <v>177</v>
      </c>
      <c r="D93" s="7" t="s">
        <v>54</v>
      </c>
      <c r="E93" s="7" t="s">
        <v>55</v>
      </c>
      <c r="F93" s="7" t="s">
        <v>123</v>
      </c>
      <c r="G93" s="7" t="s">
        <v>19</v>
      </c>
      <c r="H93" s="9" t="n">
        <v>46013</v>
      </c>
      <c r="I93" s="9" t="n">
        <v>46027</v>
      </c>
      <c r="J93" s="7" t="n">
        <v>9.8</v>
      </c>
      <c r="K93" s="7" t="s">
        <v>51</v>
      </c>
      <c r="L93" s="7" t="s">
        <v>21</v>
      </c>
      <c r="M93" s="7" t="s">
        <v>222</v>
      </c>
      <c r="N93" s="7" t="s">
        <v>58</v>
      </c>
      <c r="O93" s="10" t="n">
        <f aca="false">'Exec Summary'!$E$2-H93</f>
        <v>221</v>
      </c>
      <c r="P93" s="10" t="n">
        <f aca="false">IF(I93="","",I93-H93)</f>
        <v>14</v>
      </c>
      <c r="Q93" s="10" t="n">
        <f aca="false">VLOOKUP(G93,$AA$2:$AB$5,2,FALSE())</f>
        <v>15</v>
      </c>
      <c r="R93" s="7" t="n">
        <f aca="false">IF(OR(F93="Open",F93="Reopened"),1,0)</f>
        <v>1</v>
      </c>
      <c r="S93" s="7" t="n">
        <f aca="false">IF(AND(H93&gt;='Exec Summary'!$E$1,H93&lt;='Exec Summary'!$E$2),1,0)</f>
        <v>0</v>
      </c>
      <c r="T93" s="7" t="n">
        <f aca="false">IF(AND(F93="Closed",I93&lt;&gt;"",I93&gt;='Exec Summary'!$E$1,I93&lt;='Exec Summary'!$E$2),1,0)</f>
        <v>0</v>
      </c>
      <c r="U93" s="7" t="n">
        <f aca="false">IF(F93="Reopened",1,0)</f>
        <v>1</v>
      </c>
      <c r="V93" s="7" t="n">
        <f aca="false">IF(AND(R93=1,O93&gt;Q93),1,0)</f>
        <v>1</v>
      </c>
      <c r="W93" s="7" t="n">
        <f aca="false">IF(AND(T93=1,P93&lt;&gt;"",P93&lt;=Q93),1,0)</f>
        <v>0</v>
      </c>
    </row>
    <row r="94" customFormat="false" ht="15" hidden="false" customHeight="false" outlineLevel="0" collapsed="false">
      <c r="A94" s="7" t="s">
        <v>214</v>
      </c>
      <c r="B94" s="7" t="s">
        <v>46</v>
      </c>
      <c r="C94" s="7" t="s">
        <v>177</v>
      </c>
      <c r="D94" s="7" t="s">
        <v>81</v>
      </c>
      <c r="E94" s="7" t="s">
        <v>82</v>
      </c>
      <c r="F94" s="7" t="s">
        <v>50</v>
      </c>
      <c r="G94" s="7" t="s">
        <v>20</v>
      </c>
      <c r="H94" s="9" t="n">
        <v>45964</v>
      </c>
      <c r="I94" s="9" t="n">
        <v>45990</v>
      </c>
      <c r="J94" s="7" t="n">
        <v>7.8</v>
      </c>
      <c r="K94" s="7" t="s">
        <v>51</v>
      </c>
      <c r="L94" s="7" t="s">
        <v>21</v>
      </c>
      <c r="M94" s="7" t="s">
        <v>223</v>
      </c>
      <c r="N94" s="7" t="s">
        <v>53</v>
      </c>
      <c r="O94" s="10" t="n">
        <f aca="false">'Exec Summary'!$E$2-H94</f>
        <v>270</v>
      </c>
      <c r="P94" s="10" t="n">
        <f aca="false">IF(I94="","",I94-H94)</f>
        <v>26</v>
      </c>
      <c r="Q94" s="10" t="n">
        <f aca="false">VLOOKUP(G94,$AA$2:$AB$5,2,FALSE())</f>
        <v>30</v>
      </c>
      <c r="R94" s="7" t="n">
        <f aca="false">IF(OR(F94="Open",F94="Reopened"),1,0)</f>
        <v>0</v>
      </c>
      <c r="S94" s="7" t="n">
        <f aca="false">IF(AND(H94&gt;='Exec Summary'!$E$1,H94&lt;='Exec Summary'!$E$2),1,0)</f>
        <v>0</v>
      </c>
      <c r="T94" s="7" t="n">
        <f aca="false">IF(AND(F94="Closed",I94&lt;&gt;"",I94&gt;='Exec Summary'!$E$1,I94&lt;='Exec Summary'!$E$2),1,0)</f>
        <v>0</v>
      </c>
      <c r="U94" s="7" t="n">
        <f aca="false">IF(F94="Reopened",1,0)</f>
        <v>0</v>
      </c>
      <c r="V94" s="7" t="n">
        <f aca="false">IF(AND(R94=1,O94&gt;Q94),1,0)</f>
        <v>0</v>
      </c>
      <c r="W94" s="7" t="n">
        <f aca="false">IF(AND(T94=1,P94&lt;&gt;"",P94&lt;=Q94),1,0)</f>
        <v>0</v>
      </c>
    </row>
    <row r="95" customFormat="false" ht="15" hidden="false" customHeight="false" outlineLevel="0" collapsed="false">
      <c r="A95" s="7" t="s">
        <v>214</v>
      </c>
      <c r="B95" s="7" t="s">
        <v>46</v>
      </c>
      <c r="C95" s="7" t="s">
        <v>177</v>
      </c>
      <c r="D95" s="7" t="s">
        <v>112</v>
      </c>
      <c r="E95" s="7" t="s">
        <v>113</v>
      </c>
      <c r="F95" s="7" t="s">
        <v>50</v>
      </c>
      <c r="G95" s="7" t="s">
        <v>20</v>
      </c>
      <c r="H95" s="9" t="n">
        <v>45988</v>
      </c>
      <c r="I95" s="9" t="n">
        <v>46014</v>
      </c>
      <c r="J95" s="7" t="n">
        <v>7.8</v>
      </c>
      <c r="K95" s="7" t="s">
        <v>51</v>
      </c>
      <c r="L95" s="7" t="s">
        <v>21</v>
      </c>
      <c r="M95" s="7" t="s">
        <v>224</v>
      </c>
      <c r="N95" s="7" t="s">
        <v>53</v>
      </c>
      <c r="O95" s="10" t="n">
        <f aca="false">'Exec Summary'!$E$2-H95</f>
        <v>246</v>
      </c>
      <c r="P95" s="10" t="n">
        <f aca="false">IF(I95="","",I95-H95)</f>
        <v>26</v>
      </c>
      <c r="Q95" s="10" t="n">
        <f aca="false">VLOOKUP(G95,$AA$2:$AB$5,2,FALSE())</f>
        <v>30</v>
      </c>
      <c r="R95" s="7" t="n">
        <f aca="false">IF(OR(F95="Open",F95="Reopened"),1,0)</f>
        <v>0</v>
      </c>
      <c r="S95" s="7" t="n">
        <f aca="false">IF(AND(H95&gt;='Exec Summary'!$E$1,H95&lt;='Exec Summary'!$E$2),1,0)</f>
        <v>0</v>
      </c>
      <c r="T95" s="7" t="n">
        <f aca="false">IF(AND(F95="Closed",I95&lt;&gt;"",I95&gt;='Exec Summary'!$E$1,I95&lt;='Exec Summary'!$E$2),1,0)</f>
        <v>0</v>
      </c>
      <c r="U95" s="7" t="n">
        <f aca="false">IF(F95="Reopened",1,0)</f>
        <v>0</v>
      </c>
      <c r="V95" s="7" t="n">
        <f aca="false">IF(AND(R95=1,O95&gt;Q95),1,0)</f>
        <v>0</v>
      </c>
      <c r="W95" s="7" t="n">
        <f aca="false">IF(AND(T95=1,P95&lt;&gt;"",P95&lt;=Q95),1,0)</f>
        <v>0</v>
      </c>
    </row>
    <row r="96" customFormat="false" ht="15" hidden="false" customHeight="false" outlineLevel="0" collapsed="false">
      <c r="A96" s="7" t="s">
        <v>214</v>
      </c>
      <c r="B96" s="7" t="s">
        <v>46</v>
      </c>
      <c r="C96" s="7" t="s">
        <v>177</v>
      </c>
      <c r="D96" s="7" t="s">
        <v>206</v>
      </c>
      <c r="E96" s="7" t="s">
        <v>207</v>
      </c>
      <c r="F96" s="7" t="s">
        <v>56</v>
      </c>
      <c r="G96" s="7" t="s">
        <v>20</v>
      </c>
      <c r="H96" s="9" t="n">
        <v>46158</v>
      </c>
      <c r="I96" s="9"/>
      <c r="J96" s="7" t="n">
        <v>8.8</v>
      </c>
      <c r="K96" s="7" t="s">
        <v>51</v>
      </c>
      <c r="L96" s="7" t="s">
        <v>21</v>
      </c>
      <c r="M96" s="7" t="s">
        <v>225</v>
      </c>
      <c r="N96" s="7" t="s">
        <v>53</v>
      </c>
      <c r="O96" s="10" t="n">
        <f aca="false">'Exec Summary'!$E$2-H96</f>
        <v>76</v>
      </c>
      <c r="P96" s="10" t="str">
        <f aca="false">IF(I96="","",I96-H96)</f>
        <v/>
      </c>
      <c r="Q96" s="10" t="n">
        <f aca="false">VLOOKUP(G96,$AA$2:$AB$5,2,FALSE())</f>
        <v>30</v>
      </c>
      <c r="R96" s="7" t="n">
        <f aca="false">IF(OR(F96="Open",F96="Reopened"),1,0)</f>
        <v>1</v>
      </c>
      <c r="S96" s="7" t="n">
        <f aca="false">IF(AND(H96&gt;='Exec Summary'!$E$1,H96&lt;='Exec Summary'!$E$2),1,0)</f>
        <v>0</v>
      </c>
      <c r="T96" s="7" t="n">
        <f aca="false">IF(AND(F96="Closed",I96&lt;&gt;"",I96&gt;='Exec Summary'!$E$1,I96&lt;='Exec Summary'!$E$2),1,0)</f>
        <v>0</v>
      </c>
      <c r="U96" s="7" t="n">
        <f aca="false">IF(F96="Reopened",1,0)</f>
        <v>0</v>
      </c>
      <c r="V96" s="7" t="n">
        <f aca="false">IF(AND(R96=1,O96&gt;Q96),1,0)</f>
        <v>1</v>
      </c>
      <c r="W96" s="7" t="n">
        <f aca="false">IF(AND(T96=1,P96&lt;&gt;"",P96&lt;=Q96),1,0)</f>
        <v>0</v>
      </c>
    </row>
    <row r="97" customFormat="false" ht="15" hidden="false" customHeight="false" outlineLevel="0" collapsed="false">
      <c r="A97" s="7" t="s">
        <v>214</v>
      </c>
      <c r="B97" s="7" t="s">
        <v>46</v>
      </c>
      <c r="C97" s="7" t="s">
        <v>177</v>
      </c>
      <c r="D97" s="7" t="s">
        <v>192</v>
      </c>
      <c r="E97" s="7" t="s">
        <v>193</v>
      </c>
      <c r="F97" s="7" t="s">
        <v>50</v>
      </c>
      <c r="G97" s="7" t="s">
        <v>19</v>
      </c>
      <c r="H97" s="9" t="n">
        <v>46127</v>
      </c>
      <c r="I97" s="9" t="n">
        <v>46157</v>
      </c>
      <c r="J97" s="7" t="n">
        <v>9.8</v>
      </c>
      <c r="K97" s="7" t="s">
        <v>51</v>
      </c>
      <c r="L97" s="7" t="s">
        <v>21</v>
      </c>
      <c r="M97" s="7" t="s">
        <v>226</v>
      </c>
      <c r="N97" s="7" t="s">
        <v>58</v>
      </c>
      <c r="O97" s="10" t="n">
        <f aca="false">'Exec Summary'!$E$2-H97</f>
        <v>107</v>
      </c>
      <c r="P97" s="10" t="n">
        <f aca="false">IF(I97="","",I97-H97)</f>
        <v>30</v>
      </c>
      <c r="Q97" s="10" t="n">
        <f aca="false">VLOOKUP(G97,$AA$2:$AB$5,2,FALSE())</f>
        <v>15</v>
      </c>
      <c r="R97" s="7" t="n">
        <f aca="false">IF(OR(F97="Open",F97="Reopened"),1,0)</f>
        <v>0</v>
      </c>
      <c r="S97" s="7" t="n">
        <f aca="false">IF(AND(H97&gt;='Exec Summary'!$E$1,H97&lt;='Exec Summary'!$E$2),1,0)</f>
        <v>0</v>
      </c>
      <c r="T97" s="7" t="n">
        <f aca="false">IF(AND(F97="Closed",I97&lt;&gt;"",I97&gt;='Exec Summary'!$E$1,I97&lt;='Exec Summary'!$E$2),1,0)</f>
        <v>0</v>
      </c>
      <c r="U97" s="7" t="n">
        <f aca="false">IF(F97="Reopened",1,0)</f>
        <v>0</v>
      </c>
      <c r="V97" s="7" t="n">
        <f aca="false">IF(AND(R97=1,O97&gt;Q97),1,0)</f>
        <v>0</v>
      </c>
      <c r="W97" s="7" t="n">
        <f aca="false">IF(AND(T97=1,P97&lt;&gt;"",P97&lt;=Q97),1,0)</f>
        <v>0</v>
      </c>
    </row>
    <row r="98" customFormat="false" ht="15" hidden="false" customHeight="false" outlineLevel="0" collapsed="false">
      <c r="A98" s="7" t="s">
        <v>214</v>
      </c>
      <c r="B98" s="7" t="s">
        <v>46</v>
      </c>
      <c r="C98" s="7" t="s">
        <v>177</v>
      </c>
      <c r="D98" s="7" t="s">
        <v>98</v>
      </c>
      <c r="E98" s="7" t="s">
        <v>99</v>
      </c>
      <c r="F98" s="7" t="s">
        <v>56</v>
      </c>
      <c r="G98" s="7" t="s">
        <v>19</v>
      </c>
      <c r="H98" s="9" t="n">
        <v>46182</v>
      </c>
      <c r="I98" s="9"/>
      <c r="J98" s="7" t="n">
        <v>10</v>
      </c>
      <c r="K98" s="7" t="s">
        <v>51</v>
      </c>
      <c r="L98" s="7" t="s">
        <v>21</v>
      </c>
      <c r="M98" s="7" t="s">
        <v>227</v>
      </c>
      <c r="N98" s="7" t="s">
        <v>58</v>
      </c>
      <c r="O98" s="10" t="n">
        <f aca="false">'Exec Summary'!$E$2-H98</f>
        <v>52</v>
      </c>
      <c r="P98" s="10" t="str">
        <f aca="false">IF(I98="","",I98-H98)</f>
        <v/>
      </c>
      <c r="Q98" s="10" t="n">
        <f aca="false">VLOOKUP(G98,$AA$2:$AB$5,2,FALSE())</f>
        <v>15</v>
      </c>
      <c r="R98" s="7" t="n">
        <f aca="false">IF(OR(F98="Open",F98="Reopened"),1,0)</f>
        <v>1</v>
      </c>
      <c r="S98" s="7" t="n">
        <f aca="false">IF(AND(H98&gt;='Exec Summary'!$E$1,H98&lt;='Exec Summary'!$E$2),1,0)</f>
        <v>0</v>
      </c>
      <c r="T98" s="7" t="n">
        <f aca="false">IF(AND(F98="Closed",I98&lt;&gt;"",I98&gt;='Exec Summary'!$E$1,I98&lt;='Exec Summary'!$E$2),1,0)</f>
        <v>0</v>
      </c>
      <c r="U98" s="7" t="n">
        <f aca="false">IF(F98="Reopened",1,0)</f>
        <v>0</v>
      </c>
      <c r="V98" s="7" t="n">
        <f aca="false">IF(AND(R98=1,O98&gt;Q98),1,0)</f>
        <v>1</v>
      </c>
      <c r="W98" s="7" t="n">
        <f aca="false">IF(AND(T98=1,P98&lt;&gt;"",P98&lt;=Q98),1,0)</f>
        <v>0</v>
      </c>
    </row>
    <row r="99" customFormat="false" ht="15" hidden="false" customHeight="false" outlineLevel="0" collapsed="false">
      <c r="A99" s="7" t="s">
        <v>214</v>
      </c>
      <c r="B99" s="7" t="s">
        <v>46</v>
      </c>
      <c r="C99" s="7" t="s">
        <v>177</v>
      </c>
      <c r="D99" s="7" t="s">
        <v>104</v>
      </c>
      <c r="E99" s="7" t="s">
        <v>105</v>
      </c>
      <c r="F99" s="7" t="s">
        <v>56</v>
      </c>
      <c r="G99" s="7" t="s">
        <v>19</v>
      </c>
      <c r="H99" s="9" t="n">
        <v>46211</v>
      </c>
      <c r="I99" s="9"/>
      <c r="J99" s="7" t="n">
        <v>9.8</v>
      </c>
      <c r="K99" s="7" t="s">
        <v>51</v>
      </c>
      <c r="L99" s="7" t="s">
        <v>21</v>
      </c>
      <c r="M99" s="7" t="s">
        <v>228</v>
      </c>
      <c r="N99" s="7" t="s">
        <v>58</v>
      </c>
      <c r="O99" s="10" t="n">
        <f aca="false">'Exec Summary'!$E$2-H99</f>
        <v>23</v>
      </c>
      <c r="P99" s="10" t="str">
        <f aca="false">IF(I99="","",I99-H99)</f>
        <v/>
      </c>
      <c r="Q99" s="10" t="n">
        <f aca="false">VLOOKUP(G99,$AA$2:$AB$5,2,FALSE())</f>
        <v>15</v>
      </c>
      <c r="R99" s="7" t="n">
        <f aca="false">IF(OR(F99="Open",F99="Reopened"),1,0)</f>
        <v>1</v>
      </c>
      <c r="S99" s="7" t="n">
        <f aca="false">IF(AND(H99&gt;='Exec Summary'!$E$1,H99&lt;='Exec Summary'!$E$2),1,0)</f>
        <v>1</v>
      </c>
      <c r="T99" s="7" t="n">
        <f aca="false">IF(AND(F99="Closed",I99&lt;&gt;"",I99&gt;='Exec Summary'!$E$1,I99&lt;='Exec Summary'!$E$2),1,0)</f>
        <v>0</v>
      </c>
      <c r="U99" s="7" t="n">
        <f aca="false">IF(F99="Reopened",1,0)</f>
        <v>0</v>
      </c>
      <c r="V99" s="7" t="n">
        <f aca="false">IF(AND(R99=1,O99&gt;Q99),1,0)</f>
        <v>1</v>
      </c>
      <c r="W99" s="7" t="n">
        <f aca="false">IF(AND(T99=1,P99&lt;&gt;"",P99&lt;=Q99),1,0)</f>
        <v>0</v>
      </c>
    </row>
    <row r="100" customFormat="false" ht="15" hidden="false" customHeight="false" outlineLevel="0" collapsed="false">
      <c r="A100" s="7" t="s">
        <v>229</v>
      </c>
      <c r="B100" s="7" t="s">
        <v>46</v>
      </c>
      <c r="C100" s="7" t="s">
        <v>79</v>
      </c>
      <c r="D100" s="7" t="s">
        <v>59</v>
      </c>
      <c r="E100" s="7" t="s">
        <v>60</v>
      </c>
      <c r="F100" s="7" t="s">
        <v>56</v>
      </c>
      <c r="G100" s="7" t="s">
        <v>19</v>
      </c>
      <c r="H100" s="9" t="n">
        <v>45934</v>
      </c>
      <c r="I100" s="9"/>
      <c r="J100" s="7" t="n">
        <v>7.8</v>
      </c>
      <c r="K100" s="7" t="s">
        <v>51</v>
      </c>
      <c r="L100" s="7" t="s">
        <v>21</v>
      </c>
      <c r="M100" s="7" t="s">
        <v>230</v>
      </c>
      <c r="N100" s="7" t="s">
        <v>58</v>
      </c>
      <c r="O100" s="10" t="n">
        <f aca="false">'Exec Summary'!$E$2-H100</f>
        <v>300</v>
      </c>
      <c r="P100" s="10" t="str">
        <f aca="false">IF(I100="","",I100-H100)</f>
        <v/>
      </c>
      <c r="Q100" s="10" t="n">
        <f aca="false">VLOOKUP(G100,$AA$2:$AB$5,2,FALSE())</f>
        <v>15</v>
      </c>
      <c r="R100" s="7" t="n">
        <f aca="false">IF(OR(F100="Open",F100="Reopened"),1,0)</f>
        <v>1</v>
      </c>
      <c r="S100" s="7" t="n">
        <f aca="false">IF(AND(H100&gt;='Exec Summary'!$E$1,H100&lt;='Exec Summary'!$E$2),1,0)</f>
        <v>0</v>
      </c>
      <c r="T100" s="7" t="n">
        <f aca="false">IF(AND(F100="Closed",I100&lt;&gt;"",I100&gt;='Exec Summary'!$E$1,I100&lt;='Exec Summary'!$E$2),1,0)</f>
        <v>0</v>
      </c>
      <c r="U100" s="7" t="n">
        <f aca="false">IF(F100="Reopened",1,0)</f>
        <v>0</v>
      </c>
      <c r="V100" s="7" t="n">
        <f aca="false">IF(AND(R100=1,O100&gt;Q100),1,0)</f>
        <v>1</v>
      </c>
      <c r="W100" s="7" t="n">
        <f aca="false">IF(AND(T100=1,P100&lt;&gt;"",P100&lt;=Q100),1,0)</f>
        <v>0</v>
      </c>
    </row>
    <row r="101" customFormat="false" ht="15" hidden="false" customHeight="false" outlineLevel="0" collapsed="false">
      <c r="A101" s="7" t="s">
        <v>229</v>
      </c>
      <c r="B101" s="7" t="s">
        <v>46</v>
      </c>
      <c r="C101" s="7" t="s">
        <v>79</v>
      </c>
      <c r="D101" s="7" t="s">
        <v>65</v>
      </c>
      <c r="E101" s="7" t="s">
        <v>66</v>
      </c>
      <c r="F101" s="7" t="s">
        <v>56</v>
      </c>
      <c r="G101" s="7" t="s">
        <v>19</v>
      </c>
      <c r="H101" s="9" t="n">
        <v>46128</v>
      </c>
      <c r="I101" s="9"/>
      <c r="J101" s="7" t="n">
        <v>9.8</v>
      </c>
      <c r="K101" s="7" t="s">
        <v>51</v>
      </c>
      <c r="L101" s="7" t="s">
        <v>21</v>
      </c>
      <c r="M101" s="7" t="s">
        <v>231</v>
      </c>
      <c r="N101" s="7" t="s">
        <v>58</v>
      </c>
      <c r="O101" s="10" t="n">
        <f aca="false">'Exec Summary'!$E$2-H101</f>
        <v>106</v>
      </c>
      <c r="P101" s="10" t="str">
        <f aca="false">IF(I101="","",I101-H101)</f>
        <v/>
      </c>
      <c r="Q101" s="10" t="n">
        <f aca="false">VLOOKUP(G101,$AA$2:$AB$5,2,FALSE())</f>
        <v>15</v>
      </c>
      <c r="R101" s="7" t="n">
        <f aca="false">IF(OR(F101="Open",F101="Reopened"),1,0)</f>
        <v>1</v>
      </c>
      <c r="S101" s="7" t="n">
        <f aca="false">IF(AND(H101&gt;='Exec Summary'!$E$1,H101&lt;='Exec Summary'!$E$2),1,0)</f>
        <v>0</v>
      </c>
      <c r="T101" s="7" t="n">
        <f aca="false">IF(AND(F101="Closed",I101&lt;&gt;"",I101&gt;='Exec Summary'!$E$1,I101&lt;='Exec Summary'!$E$2),1,0)</f>
        <v>0</v>
      </c>
      <c r="U101" s="7" t="n">
        <f aca="false">IF(F101="Reopened",1,0)</f>
        <v>0</v>
      </c>
      <c r="V101" s="7" t="n">
        <f aca="false">IF(AND(R101=1,O101&gt;Q101),1,0)</f>
        <v>1</v>
      </c>
      <c r="W101" s="7" t="n">
        <f aca="false">IF(AND(T101=1,P101&lt;&gt;"",P101&lt;=Q101),1,0)</f>
        <v>0</v>
      </c>
    </row>
    <row r="102" customFormat="false" ht="15" hidden="false" customHeight="false" outlineLevel="0" collapsed="false">
      <c r="A102" s="7" t="s">
        <v>229</v>
      </c>
      <c r="B102" s="7" t="s">
        <v>46</v>
      </c>
      <c r="C102" s="7" t="s">
        <v>79</v>
      </c>
      <c r="D102" s="7" t="s">
        <v>81</v>
      </c>
      <c r="E102" s="7" t="s">
        <v>82</v>
      </c>
      <c r="F102" s="7" t="s">
        <v>56</v>
      </c>
      <c r="G102" s="7" t="s">
        <v>20</v>
      </c>
      <c r="H102" s="9" t="n">
        <v>46120</v>
      </c>
      <c r="I102" s="9"/>
      <c r="J102" s="7" t="n">
        <v>7.8</v>
      </c>
      <c r="K102" s="7" t="s">
        <v>51</v>
      </c>
      <c r="L102" s="7" t="s">
        <v>21</v>
      </c>
      <c r="M102" s="7" t="s">
        <v>232</v>
      </c>
      <c r="N102" s="7" t="s">
        <v>53</v>
      </c>
      <c r="O102" s="10" t="n">
        <f aca="false">'Exec Summary'!$E$2-H102</f>
        <v>114</v>
      </c>
      <c r="P102" s="10" t="str">
        <f aca="false">IF(I102="","",I102-H102)</f>
        <v/>
      </c>
      <c r="Q102" s="10" t="n">
        <f aca="false">VLOOKUP(G102,$AA$2:$AB$5,2,FALSE())</f>
        <v>30</v>
      </c>
      <c r="R102" s="7" t="n">
        <f aca="false">IF(OR(F102="Open",F102="Reopened"),1,0)</f>
        <v>1</v>
      </c>
      <c r="S102" s="7" t="n">
        <f aca="false">IF(AND(H102&gt;='Exec Summary'!$E$1,H102&lt;='Exec Summary'!$E$2),1,0)</f>
        <v>0</v>
      </c>
      <c r="T102" s="7" t="n">
        <f aca="false">IF(AND(F102="Closed",I102&lt;&gt;"",I102&gt;='Exec Summary'!$E$1,I102&lt;='Exec Summary'!$E$2),1,0)</f>
        <v>0</v>
      </c>
      <c r="U102" s="7" t="n">
        <f aca="false">IF(F102="Reopened",1,0)</f>
        <v>0</v>
      </c>
      <c r="V102" s="7" t="n">
        <f aca="false">IF(AND(R102=1,O102&gt;Q102),1,0)</f>
        <v>1</v>
      </c>
      <c r="W102" s="7" t="n">
        <f aca="false">IF(AND(T102=1,P102&lt;&gt;"",P102&lt;=Q102),1,0)</f>
        <v>0</v>
      </c>
    </row>
    <row r="103" customFormat="false" ht="15" hidden="false" customHeight="false" outlineLevel="0" collapsed="false">
      <c r="A103" s="7" t="s">
        <v>229</v>
      </c>
      <c r="B103" s="7" t="s">
        <v>46</v>
      </c>
      <c r="C103" s="7" t="s">
        <v>79</v>
      </c>
      <c r="D103" s="7" t="s">
        <v>91</v>
      </c>
      <c r="E103" s="7" t="s">
        <v>92</v>
      </c>
      <c r="F103" s="7" t="s">
        <v>56</v>
      </c>
      <c r="G103" s="7" t="s">
        <v>20</v>
      </c>
      <c r="H103" s="9" t="n">
        <v>46098</v>
      </c>
      <c r="I103" s="9"/>
      <c r="J103" s="7" t="n">
        <v>8.1</v>
      </c>
      <c r="K103" s="7" t="s">
        <v>51</v>
      </c>
      <c r="L103" s="7" t="s">
        <v>21</v>
      </c>
      <c r="M103" s="7" t="s">
        <v>233</v>
      </c>
      <c r="N103" s="7" t="s">
        <v>53</v>
      </c>
      <c r="O103" s="10" t="n">
        <f aca="false">'Exec Summary'!$E$2-H103</f>
        <v>136</v>
      </c>
      <c r="P103" s="10" t="str">
        <f aca="false">IF(I103="","",I103-H103)</f>
        <v/>
      </c>
      <c r="Q103" s="10" t="n">
        <f aca="false">VLOOKUP(G103,$AA$2:$AB$5,2,FALSE())</f>
        <v>30</v>
      </c>
      <c r="R103" s="7" t="n">
        <f aca="false">IF(OR(F103="Open",F103="Reopened"),1,0)</f>
        <v>1</v>
      </c>
      <c r="S103" s="7" t="n">
        <f aca="false">IF(AND(H103&gt;='Exec Summary'!$E$1,H103&lt;='Exec Summary'!$E$2),1,0)</f>
        <v>0</v>
      </c>
      <c r="T103" s="7" t="n">
        <f aca="false">IF(AND(F103="Closed",I103&lt;&gt;"",I103&gt;='Exec Summary'!$E$1,I103&lt;='Exec Summary'!$E$2),1,0)</f>
        <v>0</v>
      </c>
      <c r="U103" s="7" t="n">
        <f aca="false">IF(F103="Reopened",1,0)</f>
        <v>0</v>
      </c>
      <c r="V103" s="7" t="n">
        <f aca="false">IF(AND(R103=1,O103&gt;Q103),1,0)</f>
        <v>1</v>
      </c>
      <c r="W103" s="7" t="n">
        <f aca="false">IF(AND(T103=1,P103&lt;&gt;"",P103&lt;=Q103),1,0)</f>
        <v>0</v>
      </c>
    </row>
    <row r="104" customFormat="false" ht="15" hidden="false" customHeight="false" outlineLevel="0" collapsed="false">
      <c r="A104" s="7" t="s">
        <v>229</v>
      </c>
      <c r="B104" s="7" t="s">
        <v>46</v>
      </c>
      <c r="C104" s="7" t="s">
        <v>79</v>
      </c>
      <c r="D104" s="7" t="s">
        <v>48</v>
      </c>
      <c r="E104" s="7" t="s">
        <v>49</v>
      </c>
      <c r="F104" s="7" t="s">
        <v>50</v>
      </c>
      <c r="G104" s="7" t="s">
        <v>20</v>
      </c>
      <c r="H104" s="9" t="n">
        <v>46031</v>
      </c>
      <c r="I104" s="9" t="n">
        <v>46036</v>
      </c>
      <c r="J104" s="7" t="n">
        <v>7.5</v>
      </c>
      <c r="K104" s="7" t="s">
        <v>51</v>
      </c>
      <c r="L104" s="7" t="s">
        <v>21</v>
      </c>
      <c r="M104" s="7" t="s">
        <v>234</v>
      </c>
      <c r="N104" s="7" t="s">
        <v>53</v>
      </c>
      <c r="O104" s="10" t="n">
        <f aca="false">'Exec Summary'!$E$2-H104</f>
        <v>203</v>
      </c>
      <c r="P104" s="10" t="n">
        <f aca="false">IF(I104="","",I104-H104)</f>
        <v>5</v>
      </c>
      <c r="Q104" s="10" t="n">
        <f aca="false">VLOOKUP(G104,$AA$2:$AB$5,2,FALSE())</f>
        <v>30</v>
      </c>
      <c r="R104" s="7" t="n">
        <f aca="false">IF(OR(F104="Open",F104="Reopened"),1,0)</f>
        <v>0</v>
      </c>
      <c r="S104" s="7" t="n">
        <f aca="false">IF(AND(H104&gt;='Exec Summary'!$E$1,H104&lt;='Exec Summary'!$E$2),1,0)</f>
        <v>0</v>
      </c>
      <c r="T104" s="7" t="n">
        <f aca="false">IF(AND(F104="Closed",I104&lt;&gt;"",I104&gt;='Exec Summary'!$E$1,I104&lt;='Exec Summary'!$E$2),1,0)</f>
        <v>0</v>
      </c>
      <c r="U104" s="7" t="n">
        <f aca="false">IF(F104="Reopened",1,0)</f>
        <v>0</v>
      </c>
      <c r="V104" s="7" t="n">
        <f aca="false">IF(AND(R104=1,O104&gt;Q104),1,0)</f>
        <v>0</v>
      </c>
      <c r="W104" s="7" t="n">
        <f aca="false">IF(AND(T104=1,P104&lt;&gt;"",P104&lt;=Q104),1,0)</f>
        <v>0</v>
      </c>
    </row>
    <row r="105" customFormat="false" ht="15" hidden="false" customHeight="false" outlineLevel="0" collapsed="false">
      <c r="A105" s="7" t="s">
        <v>229</v>
      </c>
      <c r="B105" s="7" t="s">
        <v>46</v>
      </c>
      <c r="C105" s="7" t="s">
        <v>79</v>
      </c>
      <c r="D105" s="7" t="s">
        <v>84</v>
      </c>
      <c r="E105" s="7" t="s">
        <v>85</v>
      </c>
      <c r="F105" s="7" t="s">
        <v>56</v>
      </c>
      <c r="G105" s="7" t="s">
        <v>20</v>
      </c>
      <c r="H105" s="9" t="n">
        <v>46143</v>
      </c>
      <c r="I105" s="9"/>
      <c r="J105" s="7" t="n">
        <v>7.5</v>
      </c>
      <c r="K105" s="7" t="s">
        <v>51</v>
      </c>
      <c r="L105" s="7" t="s">
        <v>21</v>
      </c>
      <c r="M105" s="7" t="s">
        <v>235</v>
      </c>
      <c r="N105" s="7" t="s">
        <v>53</v>
      </c>
      <c r="O105" s="10" t="n">
        <f aca="false">'Exec Summary'!$E$2-H105</f>
        <v>91</v>
      </c>
      <c r="P105" s="10" t="str">
        <f aca="false">IF(I105="","",I105-H105)</f>
        <v/>
      </c>
      <c r="Q105" s="10" t="n">
        <f aca="false">VLOOKUP(G105,$AA$2:$AB$5,2,FALSE())</f>
        <v>30</v>
      </c>
      <c r="R105" s="7" t="n">
        <f aca="false">IF(OR(F105="Open",F105="Reopened"),1,0)</f>
        <v>1</v>
      </c>
      <c r="S105" s="7" t="n">
        <f aca="false">IF(AND(H105&gt;='Exec Summary'!$E$1,H105&lt;='Exec Summary'!$E$2),1,0)</f>
        <v>0</v>
      </c>
      <c r="T105" s="7" t="n">
        <f aca="false">IF(AND(F105="Closed",I105&lt;&gt;"",I105&gt;='Exec Summary'!$E$1,I105&lt;='Exec Summary'!$E$2),1,0)</f>
        <v>0</v>
      </c>
      <c r="U105" s="7" t="n">
        <f aca="false">IF(F105="Reopened",1,0)</f>
        <v>0</v>
      </c>
      <c r="V105" s="7" t="n">
        <f aca="false">IF(AND(R105=1,O105&gt;Q105),1,0)</f>
        <v>1</v>
      </c>
      <c r="W105" s="7" t="n">
        <f aca="false">IF(AND(T105=1,P105&lt;&gt;"",P105&lt;=Q105),1,0)</f>
        <v>0</v>
      </c>
    </row>
    <row r="106" customFormat="false" ht="15" hidden="false" customHeight="false" outlineLevel="0" collapsed="false">
      <c r="A106" s="7" t="s">
        <v>229</v>
      </c>
      <c r="B106" s="7" t="s">
        <v>46</v>
      </c>
      <c r="C106" s="7" t="s">
        <v>79</v>
      </c>
      <c r="D106" s="7" t="s">
        <v>108</v>
      </c>
      <c r="E106" s="7" t="s">
        <v>109</v>
      </c>
      <c r="F106" s="7" t="s">
        <v>123</v>
      </c>
      <c r="G106" s="7" t="s">
        <v>20</v>
      </c>
      <c r="H106" s="9" t="n">
        <v>45983</v>
      </c>
      <c r="I106" s="9" t="n">
        <v>46005</v>
      </c>
      <c r="J106" s="7" t="n">
        <v>8.6</v>
      </c>
      <c r="K106" s="7" t="s">
        <v>51</v>
      </c>
      <c r="L106" s="7" t="s">
        <v>21</v>
      </c>
      <c r="M106" s="7" t="s">
        <v>236</v>
      </c>
      <c r="N106" s="7" t="s">
        <v>53</v>
      </c>
      <c r="O106" s="10" t="n">
        <f aca="false">'Exec Summary'!$E$2-H106</f>
        <v>251</v>
      </c>
      <c r="P106" s="10" t="n">
        <f aca="false">IF(I106="","",I106-H106)</f>
        <v>22</v>
      </c>
      <c r="Q106" s="10" t="n">
        <f aca="false">VLOOKUP(G106,$AA$2:$AB$5,2,FALSE())</f>
        <v>30</v>
      </c>
      <c r="R106" s="7" t="n">
        <f aca="false">IF(OR(F106="Open",F106="Reopened"),1,0)</f>
        <v>1</v>
      </c>
      <c r="S106" s="7" t="n">
        <f aca="false">IF(AND(H106&gt;='Exec Summary'!$E$1,H106&lt;='Exec Summary'!$E$2),1,0)</f>
        <v>0</v>
      </c>
      <c r="T106" s="7" t="n">
        <f aca="false">IF(AND(F106="Closed",I106&lt;&gt;"",I106&gt;='Exec Summary'!$E$1,I106&lt;='Exec Summary'!$E$2),1,0)</f>
        <v>0</v>
      </c>
      <c r="U106" s="7" t="n">
        <f aca="false">IF(F106="Reopened",1,0)</f>
        <v>1</v>
      </c>
      <c r="V106" s="7" t="n">
        <f aca="false">IF(AND(R106=1,O106&gt;Q106),1,0)</f>
        <v>1</v>
      </c>
      <c r="W106" s="7" t="n">
        <f aca="false">IF(AND(T106=1,P106&lt;&gt;"",P106&lt;=Q106),1,0)</f>
        <v>0</v>
      </c>
    </row>
    <row r="107" customFormat="false" ht="15" hidden="false" customHeight="false" outlineLevel="0" collapsed="false">
      <c r="A107" s="7" t="s">
        <v>229</v>
      </c>
      <c r="B107" s="7" t="s">
        <v>46</v>
      </c>
      <c r="C107" s="7" t="s">
        <v>79</v>
      </c>
      <c r="D107" s="7" t="s">
        <v>68</v>
      </c>
      <c r="E107" s="7" t="s">
        <v>69</v>
      </c>
      <c r="F107" s="7" t="s">
        <v>56</v>
      </c>
      <c r="G107" s="7" t="s">
        <v>19</v>
      </c>
      <c r="H107" s="9" t="n">
        <v>46025</v>
      </c>
      <c r="I107" s="9"/>
      <c r="J107" s="7" t="n">
        <v>9.8</v>
      </c>
      <c r="K107" s="7" t="s">
        <v>51</v>
      </c>
      <c r="L107" s="7" t="s">
        <v>21</v>
      </c>
      <c r="M107" s="7" t="s">
        <v>237</v>
      </c>
      <c r="N107" s="7" t="s">
        <v>58</v>
      </c>
      <c r="O107" s="10" t="n">
        <f aca="false">'Exec Summary'!$E$2-H107</f>
        <v>209</v>
      </c>
      <c r="P107" s="10" t="str">
        <f aca="false">IF(I107="","",I107-H107)</f>
        <v/>
      </c>
      <c r="Q107" s="10" t="n">
        <f aca="false">VLOOKUP(G107,$AA$2:$AB$5,2,FALSE())</f>
        <v>15</v>
      </c>
      <c r="R107" s="7" t="n">
        <f aca="false">IF(OR(F107="Open",F107="Reopened"),1,0)</f>
        <v>1</v>
      </c>
      <c r="S107" s="7" t="n">
        <f aca="false">IF(AND(H107&gt;='Exec Summary'!$E$1,H107&lt;='Exec Summary'!$E$2),1,0)</f>
        <v>0</v>
      </c>
      <c r="T107" s="7" t="n">
        <f aca="false">IF(AND(F107="Closed",I107&lt;&gt;"",I107&gt;='Exec Summary'!$E$1,I107&lt;='Exec Summary'!$E$2),1,0)</f>
        <v>0</v>
      </c>
      <c r="U107" s="7" t="n">
        <f aca="false">IF(F107="Reopened",1,0)</f>
        <v>0</v>
      </c>
      <c r="V107" s="7" t="n">
        <f aca="false">IF(AND(R107=1,O107&gt;Q107),1,0)</f>
        <v>1</v>
      </c>
      <c r="W107" s="7" t="n">
        <f aca="false">IF(AND(T107=1,P107&lt;&gt;"",P107&lt;=Q107),1,0)</f>
        <v>0</v>
      </c>
    </row>
    <row r="108" customFormat="false" ht="15" hidden="false" customHeight="false" outlineLevel="0" collapsed="false">
      <c r="A108" s="7" t="s">
        <v>229</v>
      </c>
      <c r="B108" s="7" t="s">
        <v>46</v>
      </c>
      <c r="C108" s="7" t="s">
        <v>79</v>
      </c>
      <c r="D108" s="7" t="s">
        <v>112</v>
      </c>
      <c r="E108" s="7" t="s">
        <v>113</v>
      </c>
      <c r="F108" s="7" t="s">
        <v>50</v>
      </c>
      <c r="G108" s="7" t="s">
        <v>20</v>
      </c>
      <c r="H108" s="9" t="n">
        <v>45988</v>
      </c>
      <c r="I108" s="9" t="n">
        <v>46024</v>
      </c>
      <c r="J108" s="7" t="n">
        <v>7.8</v>
      </c>
      <c r="K108" s="7" t="s">
        <v>51</v>
      </c>
      <c r="L108" s="7" t="s">
        <v>21</v>
      </c>
      <c r="M108" s="7" t="s">
        <v>238</v>
      </c>
      <c r="N108" s="7" t="s">
        <v>53</v>
      </c>
      <c r="O108" s="10" t="n">
        <f aca="false">'Exec Summary'!$E$2-H108</f>
        <v>246</v>
      </c>
      <c r="P108" s="10" t="n">
        <f aca="false">IF(I108="","",I108-H108)</f>
        <v>36</v>
      </c>
      <c r="Q108" s="10" t="n">
        <f aca="false">VLOOKUP(G108,$AA$2:$AB$5,2,FALSE())</f>
        <v>30</v>
      </c>
      <c r="R108" s="7" t="n">
        <f aca="false">IF(OR(F108="Open",F108="Reopened"),1,0)</f>
        <v>0</v>
      </c>
      <c r="S108" s="7" t="n">
        <f aca="false">IF(AND(H108&gt;='Exec Summary'!$E$1,H108&lt;='Exec Summary'!$E$2),1,0)</f>
        <v>0</v>
      </c>
      <c r="T108" s="7" t="n">
        <f aca="false">IF(AND(F108="Closed",I108&lt;&gt;"",I108&gt;='Exec Summary'!$E$1,I108&lt;='Exec Summary'!$E$2),1,0)</f>
        <v>0</v>
      </c>
      <c r="U108" s="7" t="n">
        <f aca="false">IF(F108="Reopened",1,0)</f>
        <v>0</v>
      </c>
      <c r="V108" s="7" t="n">
        <f aca="false">IF(AND(R108=1,O108&gt;Q108),1,0)</f>
        <v>0</v>
      </c>
      <c r="W108" s="7" t="n">
        <f aca="false">IF(AND(T108=1,P108&lt;&gt;"",P108&lt;=Q108),1,0)</f>
        <v>0</v>
      </c>
    </row>
    <row r="109" customFormat="false" ht="15" hidden="false" customHeight="false" outlineLevel="0" collapsed="false">
      <c r="A109" s="7" t="s">
        <v>229</v>
      </c>
      <c r="B109" s="7" t="s">
        <v>46</v>
      </c>
      <c r="C109" s="7" t="s">
        <v>79</v>
      </c>
      <c r="D109" s="7" t="s">
        <v>87</v>
      </c>
      <c r="E109" s="7" t="s">
        <v>88</v>
      </c>
      <c r="F109" s="7" t="s">
        <v>56</v>
      </c>
      <c r="G109" s="7" t="s">
        <v>19</v>
      </c>
      <c r="H109" s="9" t="n">
        <v>46203</v>
      </c>
      <c r="I109" s="9"/>
      <c r="J109" s="7" t="n">
        <v>10</v>
      </c>
      <c r="K109" s="7" t="s">
        <v>51</v>
      </c>
      <c r="L109" s="7" t="s">
        <v>21</v>
      </c>
      <c r="M109" s="7" t="s">
        <v>239</v>
      </c>
      <c r="N109" s="7" t="s">
        <v>58</v>
      </c>
      <c r="O109" s="10" t="n">
        <f aca="false">'Exec Summary'!$E$2-H109</f>
        <v>31</v>
      </c>
      <c r="P109" s="10" t="str">
        <f aca="false">IF(I109="","",I109-H109)</f>
        <v/>
      </c>
      <c r="Q109" s="10" t="n">
        <f aca="false">VLOOKUP(G109,$AA$2:$AB$5,2,FALSE())</f>
        <v>15</v>
      </c>
      <c r="R109" s="7" t="n">
        <f aca="false">IF(OR(F109="Open",F109="Reopened"),1,0)</f>
        <v>1</v>
      </c>
      <c r="S109" s="7" t="n">
        <f aca="false">IF(AND(H109&gt;='Exec Summary'!$E$1,H109&lt;='Exec Summary'!$E$2),1,0)</f>
        <v>0</v>
      </c>
      <c r="T109" s="7" t="n">
        <f aca="false">IF(AND(F109="Closed",I109&lt;&gt;"",I109&gt;='Exec Summary'!$E$1,I109&lt;='Exec Summary'!$E$2),1,0)</f>
        <v>0</v>
      </c>
      <c r="U109" s="7" t="n">
        <f aca="false">IF(F109="Reopened",1,0)</f>
        <v>0</v>
      </c>
      <c r="V109" s="7" t="n">
        <f aca="false">IF(AND(R109=1,O109&gt;Q109),1,0)</f>
        <v>1</v>
      </c>
      <c r="W109" s="7" t="n">
        <f aca="false">IF(AND(T109=1,P109&lt;&gt;"",P109&lt;=Q109),1,0)</f>
        <v>0</v>
      </c>
    </row>
    <row r="110" customFormat="false" ht="15" hidden="false" customHeight="false" outlineLevel="0" collapsed="false">
      <c r="A110" s="7" t="s">
        <v>229</v>
      </c>
      <c r="B110" s="7" t="s">
        <v>46</v>
      </c>
      <c r="C110" s="7" t="s">
        <v>79</v>
      </c>
      <c r="D110" s="7" t="s">
        <v>95</v>
      </c>
      <c r="E110" s="7" t="s">
        <v>96</v>
      </c>
      <c r="F110" s="7" t="s">
        <v>50</v>
      </c>
      <c r="G110" s="7" t="s">
        <v>20</v>
      </c>
      <c r="H110" s="9" t="n">
        <v>45959</v>
      </c>
      <c r="I110" s="9" t="n">
        <v>45991</v>
      </c>
      <c r="J110" s="7" t="n">
        <v>8.8</v>
      </c>
      <c r="K110" s="7" t="s">
        <v>51</v>
      </c>
      <c r="L110" s="7" t="s">
        <v>21</v>
      </c>
      <c r="M110" s="7" t="s">
        <v>240</v>
      </c>
      <c r="N110" s="7" t="s">
        <v>53</v>
      </c>
      <c r="O110" s="10" t="n">
        <f aca="false">'Exec Summary'!$E$2-H110</f>
        <v>275</v>
      </c>
      <c r="P110" s="10" t="n">
        <f aca="false">IF(I110="","",I110-H110)</f>
        <v>32</v>
      </c>
      <c r="Q110" s="10" t="n">
        <f aca="false">VLOOKUP(G110,$AA$2:$AB$5,2,FALSE())</f>
        <v>30</v>
      </c>
      <c r="R110" s="7" t="n">
        <f aca="false">IF(OR(F110="Open",F110="Reopened"),1,0)</f>
        <v>0</v>
      </c>
      <c r="S110" s="7" t="n">
        <f aca="false">IF(AND(H110&gt;='Exec Summary'!$E$1,H110&lt;='Exec Summary'!$E$2),1,0)</f>
        <v>0</v>
      </c>
      <c r="T110" s="7" t="n">
        <f aca="false">IF(AND(F110="Closed",I110&lt;&gt;"",I110&gt;='Exec Summary'!$E$1,I110&lt;='Exec Summary'!$E$2),1,0)</f>
        <v>0</v>
      </c>
      <c r="U110" s="7" t="n">
        <f aca="false">IF(F110="Reopened",1,0)</f>
        <v>0</v>
      </c>
      <c r="V110" s="7" t="n">
        <f aca="false">IF(AND(R110=1,O110&gt;Q110),1,0)</f>
        <v>0</v>
      </c>
      <c r="W110" s="7" t="n">
        <f aca="false">IF(AND(T110=1,P110&lt;&gt;"",P110&lt;=Q110),1,0)</f>
        <v>0</v>
      </c>
    </row>
    <row r="111" customFormat="false" ht="15" hidden="false" customHeight="false" outlineLevel="0" collapsed="false">
      <c r="A111" s="7" t="s">
        <v>229</v>
      </c>
      <c r="B111" s="7" t="s">
        <v>46</v>
      </c>
      <c r="C111" s="7" t="s">
        <v>79</v>
      </c>
      <c r="D111" s="7" t="s">
        <v>74</v>
      </c>
      <c r="E111" s="7" t="s">
        <v>75</v>
      </c>
      <c r="F111" s="7" t="s">
        <v>56</v>
      </c>
      <c r="G111" s="7" t="s">
        <v>21</v>
      </c>
      <c r="H111" s="9" t="n">
        <v>45940</v>
      </c>
      <c r="I111" s="9"/>
      <c r="J111" s="7" t="n">
        <v>6.5</v>
      </c>
      <c r="K111" s="7" t="s">
        <v>51</v>
      </c>
      <c r="L111" s="7" t="s">
        <v>21</v>
      </c>
      <c r="M111" s="7" t="s">
        <v>241</v>
      </c>
      <c r="N111" s="7" t="s">
        <v>77</v>
      </c>
      <c r="O111" s="10" t="n">
        <f aca="false">'Exec Summary'!$E$2-H111</f>
        <v>294</v>
      </c>
      <c r="P111" s="10" t="str">
        <f aca="false">IF(I111="","",I111-H111)</f>
        <v/>
      </c>
      <c r="Q111" s="10" t="n">
        <f aca="false">VLOOKUP(G111,$AA$2:$AB$5,2,FALSE())</f>
        <v>90</v>
      </c>
      <c r="R111" s="7" t="n">
        <f aca="false">IF(OR(F111="Open",F111="Reopened"),1,0)</f>
        <v>1</v>
      </c>
      <c r="S111" s="7" t="n">
        <f aca="false">IF(AND(H111&gt;='Exec Summary'!$E$1,H111&lt;='Exec Summary'!$E$2),1,0)</f>
        <v>0</v>
      </c>
      <c r="T111" s="7" t="n">
        <f aca="false">IF(AND(F111="Closed",I111&lt;&gt;"",I111&gt;='Exec Summary'!$E$1,I111&lt;='Exec Summary'!$E$2),1,0)</f>
        <v>0</v>
      </c>
      <c r="U111" s="7" t="n">
        <f aca="false">IF(F111="Reopened",1,0)</f>
        <v>0</v>
      </c>
      <c r="V111" s="7" t="n">
        <f aca="false">IF(AND(R111=1,O111&gt;Q111),1,0)</f>
        <v>1</v>
      </c>
      <c r="W111" s="7" t="n">
        <f aca="false">IF(AND(T111=1,P111&lt;&gt;"",P111&lt;=Q111),1,0)</f>
        <v>0</v>
      </c>
    </row>
    <row r="112" customFormat="false" ht="15" hidden="false" customHeight="false" outlineLevel="0" collapsed="false">
      <c r="A112" s="7" t="s">
        <v>229</v>
      </c>
      <c r="B112" s="7" t="s">
        <v>46</v>
      </c>
      <c r="C112" s="7" t="s">
        <v>79</v>
      </c>
      <c r="D112" s="7" t="s">
        <v>166</v>
      </c>
      <c r="E112" s="7" t="s">
        <v>167</v>
      </c>
      <c r="F112" s="7" t="s">
        <v>56</v>
      </c>
      <c r="G112" s="7" t="s">
        <v>19</v>
      </c>
      <c r="H112" s="9" t="n">
        <v>46185</v>
      </c>
      <c r="I112" s="9"/>
      <c r="J112" s="7" t="n">
        <v>9.8</v>
      </c>
      <c r="K112" s="7" t="s">
        <v>51</v>
      </c>
      <c r="L112" s="7" t="s">
        <v>21</v>
      </c>
      <c r="M112" s="7" t="s">
        <v>242</v>
      </c>
      <c r="N112" s="7" t="s">
        <v>58</v>
      </c>
      <c r="O112" s="10" t="n">
        <f aca="false">'Exec Summary'!$E$2-H112</f>
        <v>49</v>
      </c>
      <c r="P112" s="10" t="str">
        <f aca="false">IF(I112="","",I112-H112)</f>
        <v/>
      </c>
      <c r="Q112" s="10" t="n">
        <f aca="false">VLOOKUP(G112,$AA$2:$AB$5,2,FALSE())</f>
        <v>15</v>
      </c>
      <c r="R112" s="7" t="n">
        <f aca="false">IF(OR(F112="Open",F112="Reopened"),1,0)</f>
        <v>1</v>
      </c>
      <c r="S112" s="7" t="n">
        <f aca="false">IF(AND(H112&gt;='Exec Summary'!$E$1,H112&lt;='Exec Summary'!$E$2),1,0)</f>
        <v>0</v>
      </c>
      <c r="T112" s="7" t="n">
        <f aca="false">IF(AND(F112="Closed",I112&lt;&gt;"",I112&gt;='Exec Summary'!$E$1,I112&lt;='Exec Summary'!$E$2),1,0)</f>
        <v>0</v>
      </c>
      <c r="U112" s="7" t="n">
        <f aca="false">IF(F112="Reopened",1,0)</f>
        <v>0</v>
      </c>
      <c r="V112" s="7" t="n">
        <f aca="false">IF(AND(R112=1,O112&gt;Q112),1,0)</f>
        <v>1</v>
      </c>
      <c r="W112" s="7" t="n">
        <f aca="false">IF(AND(T112=1,P112&lt;&gt;"",P112&lt;=Q112),1,0)</f>
        <v>0</v>
      </c>
    </row>
    <row r="113" customFormat="false" ht="15" hidden="false" customHeight="false" outlineLevel="0" collapsed="false">
      <c r="A113" s="7" t="s">
        <v>229</v>
      </c>
      <c r="B113" s="7" t="s">
        <v>46</v>
      </c>
      <c r="C113" s="7" t="s">
        <v>79</v>
      </c>
      <c r="D113" s="7" t="s">
        <v>117</v>
      </c>
      <c r="E113" s="7" t="s">
        <v>118</v>
      </c>
      <c r="F113" s="7" t="s">
        <v>56</v>
      </c>
      <c r="G113" s="7" t="s">
        <v>19</v>
      </c>
      <c r="H113" s="9" t="n">
        <v>46173</v>
      </c>
      <c r="I113" s="9"/>
      <c r="J113" s="7" t="n">
        <v>10</v>
      </c>
      <c r="K113" s="7" t="s">
        <v>51</v>
      </c>
      <c r="L113" s="7" t="s">
        <v>21</v>
      </c>
      <c r="M113" s="7" t="s">
        <v>243</v>
      </c>
      <c r="N113" s="7" t="s">
        <v>58</v>
      </c>
      <c r="O113" s="10" t="n">
        <f aca="false">'Exec Summary'!$E$2-H113</f>
        <v>61</v>
      </c>
      <c r="P113" s="10" t="str">
        <f aca="false">IF(I113="","",I113-H113)</f>
        <v/>
      </c>
      <c r="Q113" s="10" t="n">
        <f aca="false">VLOOKUP(G113,$AA$2:$AB$5,2,FALSE())</f>
        <v>15</v>
      </c>
      <c r="R113" s="7" t="n">
        <f aca="false">IF(OR(F113="Open",F113="Reopened"),1,0)</f>
        <v>1</v>
      </c>
      <c r="S113" s="7" t="n">
        <f aca="false">IF(AND(H113&gt;='Exec Summary'!$E$1,H113&lt;='Exec Summary'!$E$2),1,0)</f>
        <v>0</v>
      </c>
      <c r="T113" s="7" t="n">
        <f aca="false">IF(AND(F113="Closed",I113&lt;&gt;"",I113&gt;='Exec Summary'!$E$1,I113&lt;='Exec Summary'!$E$2),1,0)</f>
        <v>0</v>
      </c>
      <c r="U113" s="7" t="n">
        <f aca="false">IF(F113="Reopened",1,0)</f>
        <v>0</v>
      </c>
      <c r="V113" s="7" t="n">
        <f aca="false">IF(AND(R113=1,O113&gt;Q113),1,0)</f>
        <v>1</v>
      </c>
      <c r="W113" s="7" t="n">
        <f aca="false">IF(AND(T113=1,P113&lt;&gt;"",P113&lt;=Q113),1,0)</f>
        <v>0</v>
      </c>
    </row>
    <row r="114" customFormat="false" ht="15" hidden="false" customHeight="false" outlineLevel="0" collapsed="false">
      <c r="A114" s="7" t="s">
        <v>244</v>
      </c>
      <c r="B114" s="7" t="s">
        <v>46</v>
      </c>
      <c r="C114" s="7" t="s">
        <v>177</v>
      </c>
      <c r="D114" s="7" t="s">
        <v>206</v>
      </c>
      <c r="E114" s="7" t="s">
        <v>207</v>
      </c>
      <c r="F114" s="7" t="s">
        <v>56</v>
      </c>
      <c r="G114" s="7" t="s">
        <v>20</v>
      </c>
      <c r="H114" s="9" t="n">
        <v>45970</v>
      </c>
      <c r="I114" s="9"/>
      <c r="J114" s="7" t="n">
        <v>8.8</v>
      </c>
      <c r="K114" s="7" t="s">
        <v>51</v>
      </c>
      <c r="L114" s="7" t="s">
        <v>19</v>
      </c>
      <c r="M114" s="7" t="s">
        <v>245</v>
      </c>
      <c r="N114" s="7" t="s">
        <v>53</v>
      </c>
      <c r="O114" s="10" t="n">
        <f aca="false">'Exec Summary'!$E$2-H114</f>
        <v>264</v>
      </c>
      <c r="P114" s="10" t="str">
        <f aca="false">IF(I114="","",I114-H114)</f>
        <v/>
      </c>
      <c r="Q114" s="10" t="n">
        <f aca="false">VLOOKUP(G114,$AA$2:$AB$5,2,FALSE())</f>
        <v>30</v>
      </c>
      <c r="R114" s="7" t="n">
        <f aca="false">IF(OR(F114="Open",F114="Reopened"),1,0)</f>
        <v>1</v>
      </c>
      <c r="S114" s="7" t="n">
        <f aca="false">IF(AND(H114&gt;='Exec Summary'!$E$1,H114&lt;='Exec Summary'!$E$2),1,0)</f>
        <v>0</v>
      </c>
      <c r="T114" s="7" t="n">
        <f aca="false">IF(AND(F114="Closed",I114&lt;&gt;"",I114&gt;='Exec Summary'!$E$1,I114&lt;='Exec Summary'!$E$2),1,0)</f>
        <v>0</v>
      </c>
      <c r="U114" s="7" t="n">
        <f aca="false">IF(F114="Reopened",1,0)</f>
        <v>0</v>
      </c>
      <c r="V114" s="7" t="n">
        <f aca="false">IF(AND(R114=1,O114&gt;Q114),1,0)</f>
        <v>1</v>
      </c>
      <c r="W114" s="7" t="n">
        <f aca="false">IF(AND(T114=1,P114&lt;&gt;"",P114&lt;=Q114),1,0)</f>
        <v>0</v>
      </c>
    </row>
    <row r="115" customFormat="false" ht="15" hidden="false" customHeight="false" outlineLevel="0" collapsed="false">
      <c r="A115" s="7" t="s">
        <v>246</v>
      </c>
      <c r="B115" s="7" t="s">
        <v>135</v>
      </c>
      <c r="C115" s="7" t="s">
        <v>247</v>
      </c>
      <c r="D115" s="7" t="s">
        <v>98</v>
      </c>
      <c r="E115" s="7" t="s">
        <v>99</v>
      </c>
      <c r="F115" s="7" t="s">
        <v>50</v>
      </c>
      <c r="G115" s="7" t="s">
        <v>19</v>
      </c>
      <c r="H115" s="9" t="n">
        <v>46025</v>
      </c>
      <c r="I115" s="9" t="n">
        <v>46026</v>
      </c>
      <c r="J115" s="7" t="n">
        <v>10</v>
      </c>
      <c r="K115" s="7" t="s">
        <v>51</v>
      </c>
      <c r="L115" s="7" t="s">
        <v>21</v>
      </c>
      <c r="M115" s="7" t="s">
        <v>248</v>
      </c>
      <c r="N115" s="7" t="s">
        <v>58</v>
      </c>
      <c r="O115" s="10" t="n">
        <f aca="false">'Exec Summary'!$E$2-H115</f>
        <v>209</v>
      </c>
      <c r="P115" s="10" t="n">
        <f aca="false">IF(I115="","",I115-H115)</f>
        <v>1</v>
      </c>
      <c r="Q115" s="10" t="n">
        <f aca="false">VLOOKUP(G115,$AA$2:$AB$5,2,FALSE())</f>
        <v>15</v>
      </c>
      <c r="R115" s="7" t="n">
        <f aca="false">IF(OR(F115="Open",F115="Reopened"),1,0)</f>
        <v>0</v>
      </c>
      <c r="S115" s="7" t="n">
        <f aca="false">IF(AND(H115&gt;='Exec Summary'!$E$1,H115&lt;='Exec Summary'!$E$2),1,0)</f>
        <v>0</v>
      </c>
      <c r="T115" s="7" t="n">
        <f aca="false">IF(AND(F115="Closed",I115&lt;&gt;"",I115&gt;='Exec Summary'!$E$1,I115&lt;='Exec Summary'!$E$2),1,0)</f>
        <v>0</v>
      </c>
      <c r="U115" s="7" t="n">
        <f aca="false">IF(F115="Reopened",1,0)</f>
        <v>0</v>
      </c>
      <c r="V115" s="7" t="n">
        <f aca="false">IF(AND(R115=1,O115&gt;Q115),1,0)</f>
        <v>0</v>
      </c>
      <c r="W115" s="7" t="n">
        <f aca="false">IF(AND(T115=1,P115&lt;&gt;"",P115&lt;=Q115),1,0)</f>
        <v>0</v>
      </c>
    </row>
    <row r="116" customFormat="false" ht="15" hidden="false" customHeight="false" outlineLevel="0" collapsed="false">
      <c r="A116" s="7" t="s">
        <v>246</v>
      </c>
      <c r="B116" s="7" t="s">
        <v>135</v>
      </c>
      <c r="C116" s="7" t="s">
        <v>247</v>
      </c>
      <c r="D116" s="7" t="s">
        <v>74</v>
      </c>
      <c r="E116" s="7" t="s">
        <v>75</v>
      </c>
      <c r="F116" s="7" t="s">
        <v>56</v>
      </c>
      <c r="G116" s="7" t="s">
        <v>21</v>
      </c>
      <c r="H116" s="9" t="n">
        <v>46168</v>
      </c>
      <c r="I116" s="9"/>
      <c r="J116" s="7" t="n">
        <v>6.5</v>
      </c>
      <c r="K116" s="7" t="s">
        <v>51</v>
      </c>
      <c r="L116" s="7" t="s">
        <v>21</v>
      </c>
      <c r="M116" s="7" t="s">
        <v>249</v>
      </c>
      <c r="N116" s="7" t="s">
        <v>77</v>
      </c>
      <c r="O116" s="10" t="n">
        <f aca="false">'Exec Summary'!$E$2-H116</f>
        <v>66</v>
      </c>
      <c r="P116" s="10" t="str">
        <f aca="false">IF(I116="","",I116-H116)</f>
        <v/>
      </c>
      <c r="Q116" s="10" t="n">
        <f aca="false">VLOOKUP(G116,$AA$2:$AB$5,2,FALSE())</f>
        <v>90</v>
      </c>
      <c r="R116" s="7" t="n">
        <f aca="false">IF(OR(F116="Open",F116="Reopened"),1,0)</f>
        <v>1</v>
      </c>
      <c r="S116" s="7" t="n">
        <f aca="false">IF(AND(H116&gt;='Exec Summary'!$E$1,H116&lt;='Exec Summary'!$E$2),1,0)</f>
        <v>0</v>
      </c>
      <c r="T116" s="7" t="n">
        <f aca="false">IF(AND(F116="Closed",I116&lt;&gt;"",I116&gt;='Exec Summary'!$E$1,I116&lt;='Exec Summary'!$E$2),1,0)</f>
        <v>0</v>
      </c>
      <c r="U116" s="7" t="n">
        <f aca="false">IF(F116="Reopened",1,0)</f>
        <v>0</v>
      </c>
      <c r="V116" s="7" t="n">
        <f aca="false">IF(AND(R116=1,O116&gt;Q116),1,0)</f>
        <v>0</v>
      </c>
      <c r="W116" s="7" t="n">
        <f aca="false">IF(AND(T116=1,P116&lt;&gt;"",P116&lt;=Q116),1,0)</f>
        <v>0</v>
      </c>
    </row>
    <row r="117" customFormat="false" ht="15" hidden="false" customHeight="false" outlineLevel="0" collapsed="false">
      <c r="A117" s="7" t="s">
        <v>246</v>
      </c>
      <c r="B117" s="7" t="s">
        <v>135</v>
      </c>
      <c r="C117" s="7" t="s">
        <v>247</v>
      </c>
      <c r="D117" s="7" t="s">
        <v>108</v>
      </c>
      <c r="E117" s="7" t="s">
        <v>109</v>
      </c>
      <c r="F117" s="7" t="s">
        <v>50</v>
      </c>
      <c r="G117" s="7" t="s">
        <v>20</v>
      </c>
      <c r="H117" s="9" t="n">
        <v>45987</v>
      </c>
      <c r="I117" s="9" t="n">
        <v>46001</v>
      </c>
      <c r="J117" s="7" t="n">
        <v>8.6</v>
      </c>
      <c r="K117" s="7" t="s">
        <v>51</v>
      </c>
      <c r="L117" s="7" t="s">
        <v>21</v>
      </c>
      <c r="M117" s="7" t="s">
        <v>250</v>
      </c>
      <c r="N117" s="7" t="s">
        <v>53</v>
      </c>
      <c r="O117" s="10" t="n">
        <f aca="false">'Exec Summary'!$E$2-H117</f>
        <v>247</v>
      </c>
      <c r="P117" s="10" t="n">
        <f aca="false">IF(I117="","",I117-H117)</f>
        <v>14</v>
      </c>
      <c r="Q117" s="10" t="n">
        <f aca="false">VLOOKUP(G117,$AA$2:$AB$5,2,FALSE())</f>
        <v>30</v>
      </c>
      <c r="R117" s="7" t="n">
        <f aca="false">IF(OR(F117="Open",F117="Reopened"),1,0)</f>
        <v>0</v>
      </c>
      <c r="S117" s="7" t="n">
        <f aca="false">IF(AND(H117&gt;='Exec Summary'!$E$1,H117&lt;='Exec Summary'!$E$2),1,0)</f>
        <v>0</v>
      </c>
      <c r="T117" s="7" t="n">
        <f aca="false">IF(AND(F117="Closed",I117&lt;&gt;"",I117&gt;='Exec Summary'!$E$1,I117&lt;='Exec Summary'!$E$2),1,0)</f>
        <v>0</v>
      </c>
      <c r="U117" s="7" t="n">
        <f aca="false">IF(F117="Reopened",1,0)</f>
        <v>0</v>
      </c>
      <c r="V117" s="7" t="n">
        <f aca="false">IF(AND(R117=1,O117&gt;Q117),1,0)</f>
        <v>0</v>
      </c>
      <c r="W117" s="7" t="n">
        <f aca="false">IF(AND(T117=1,P117&lt;&gt;"",P117&lt;=Q117),1,0)</f>
        <v>0</v>
      </c>
    </row>
    <row r="118" customFormat="false" ht="15" hidden="false" customHeight="false" outlineLevel="0" collapsed="false">
      <c r="A118" s="7" t="s">
        <v>246</v>
      </c>
      <c r="B118" s="7" t="s">
        <v>135</v>
      </c>
      <c r="C118" s="7" t="s">
        <v>247</v>
      </c>
      <c r="D118" s="7" t="s">
        <v>117</v>
      </c>
      <c r="E118" s="7" t="s">
        <v>118</v>
      </c>
      <c r="F118" s="7" t="s">
        <v>50</v>
      </c>
      <c r="G118" s="7" t="s">
        <v>19</v>
      </c>
      <c r="H118" s="9" t="n">
        <v>46192</v>
      </c>
      <c r="I118" s="9" t="n">
        <v>46216</v>
      </c>
      <c r="J118" s="7" t="n">
        <v>10</v>
      </c>
      <c r="K118" s="7" t="s">
        <v>51</v>
      </c>
      <c r="L118" s="7" t="s">
        <v>21</v>
      </c>
      <c r="M118" s="7" t="s">
        <v>251</v>
      </c>
      <c r="N118" s="7" t="s">
        <v>58</v>
      </c>
      <c r="O118" s="10" t="n">
        <f aca="false">'Exec Summary'!$E$2-H118</f>
        <v>42</v>
      </c>
      <c r="P118" s="10" t="n">
        <f aca="false">IF(I118="","",I118-H118)</f>
        <v>24</v>
      </c>
      <c r="Q118" s="10" t="n">
        <f aca="false">VLOOKUP(G118,$AA$2:$AB$5,2,FALSE())</f>
        <v>15</v>
      </c>
      <c r="R118" s="7" t="n">
        <f aca="false">IF(OR(F118="Open",F118="Reopened"),1,0)</f>
        <v>0</v>
      </c>
      <c r="S118" s="7" t="n">
        <f aca="false">IF(AND(H118&gt;='Exec Summary'!$E$1,H118&lt;='Exec Summary'!$E$2),1,0)</f>
        <v>0</v>
      </c>
      <c r="T118" s="7" t="n">
        <f aca="false">IF(AND(F118="Closed",I118&lt;&gt;"",I118&gt;='Exec Summary'!$E$1,I118&lt;='Exec Summary'!$E$2),1,0)</f>
        <v>1</v>
      </c>
      <c r="U118" s="7" t="n">
        <f aca="false">IF(F118="Reopened",1,0)</f>
        <v>0</v>
      </c>
      <c r="V118" s="7" t="n">
        <f aca="false">IF(AND(R118=1,O118&gt;Q118),1,0)</f>
        <v>0</v>
      </c>
      <c r="W118" s="7" t="n">
        <f aca="false">IF(AND(T118=1,P118&lt;&gt;"",P118&lt;=Q118),1,0)</f>
        <v>0</v>
      </c>
    </row>
    <row r="119" customFormat="false" ht="15" hidden="false" customHeight="false" outlineLevel="0" collapsed="false">
      <c r="A119" s="7" t="s">
        <v>246</v>
      </c>
      <c r="B119" s="7" t="s">
        <v>135</v>
      </c>
      <c r="C119" s="7" t="s">
        <v>247</v>
      </c>
      <c r="D119" s="7" t="s">
        <v>54</v>
      </c>
      <c r="E119" s="7" t="s">
        <v>55</v>
      </c>
      <c r="F119" s="7" t="s">
        <v>50</v>
      </c>
      <c r="G119" s="7" t="s">
        <v>19</v>
      </c>
      <c r="H119" s="9" t="n">
        <v>46095</v>
      </c>
      <c r="I119" s="9" t="n">
        <v>46126</v>
      </c>
      <c r="J119" s="7" t="n">
        <v>9.8</v>
      </c>
      <c r="K119" s="7" t="s">
        <v>51</v>
      </c>
      <c r="L119" s="7" t="s">
        <v>21</v>
      </c>
      <c r="M119" s="7" t="s">
        <v>252</v>
      </c>
      <c r="N119" s="7" t="s">
        <v>58</v>
      </c>
      <c r="O119" s="10" t="n">
        <f aca="false">'Exec Summary'!$E$2-H119</f>
        <v>139</v>
      </c>
      <c r="P119" s="10" t="n">
        <f aca="false">IF(I119="","",I119-H119)</f>
        <v>31</v>
      </c>
      <c r="Q119" s="10" t="n">
        <f aca="false">VLOOKUP(G119,$AA$2:$AB$5,2,FALSE())</f>
        <v>15</v>
      </c>
      <c r="R119" s="7" t="n">
        <f aca="false">IF(OR(F119="Open",F119="Reopened"),1,0)</f>
        <v>0</v>
      </c>
      <c r="S119" s="7" t="n">
        <f aca="false">IF(AND(H119&gt;='Exec Summary'!$E$1,H119&lt;='Exec Summary'!$E$2),1,0)</f>
        <v>0</v>
      </c>
      <c r="T119" s="7" t="n">
        <f aca="false">IF(AND(F119="Closed",I119&lt;&gt;"",I119&gt;='Exec Summary'!$E$1,I119&lt;='Exec Summary'!$E$2),1,0)</f>
        <v>0</v>
      </c>
      <c r="U119" s="7" t="n">
        <f aca="false">IF(F119="Reopened",1,0)</f>
        <v>0</v>
      </c>
      <c r="V119" s="7" t="n">
        <f aca="false">IF(AND(R119=1,O119&gt;Q119),1,0)</f>
        <v>0</v>
      </c>
      <c r="W119" s="7" t="n">
        <f aca="false">IF(AND(T119=1,P119&lt;&gt;"",P119&lt;=Q119),1,0)</f>
        <v>0</v>
      </c>
    </row>
    <row r="120" customFormat="false" ht="15" hidden="false" customHeight="false" outlineLevel="0" collapsed="false">
      <c r="A120" s="7" t="s">
        <v>246</v>
      </c>
      <c r="B120" s="7" t="s">
        <v>135</v>
      </c>
      <c r="C120" s="7" t="s">
        <v>247</v>
      </c>
      <c r="D120" s="7" t="s">
        <v>71</v>
      </c>
      <c r="E120" s="7" t="s">
        <v>72</v>
      </c>
      <c r="F120" s="7" t="s">
        <v>56</v>
      </c>
      <c r="G120" s="7" t="s">
        <v>19</v>
      </c>
      <c r="H120" s="9" t="n">
        <v>46145</v>
      </c>
      <c r="I120" s="9"/>
      <c r="J120" s="7" t="n">
        <v>9.8</v>
      </c>
      <c r="K120" s="7" t="s">
        <v>51</v>
      </c>
      <c r="L120" s="7" t="s">
        <v>21</v>
      </c>
      <c r="M120" s="7" t="s">
        <v>253</v>
      </c>
      <c r="N120" s="7" t="s">
        <v>58</v>
      </c>
      <c r="O120" s="10" t="n">
        <f aca="false">'Exec Summary'!$E$2-H120</f>
        <v>89</v>
      </c>
      <c r="P120" s="10" t="str">
        <f aca="false">IF(I120="","",I120-H120)</f>
        <v/>
      </c>
      <c r="Q120" s="10" t="n">
        <f aca="false">VLOOKUP(G120,$AA$2:$AB$5,2,FALSE())</f>
        <v>15</v>
      </c>
      <c r="R120" s="7" t="n">
        <f aca="false">IF(OR(F120="Open",F120="Reopened"),1,0)</f>
        <v>1</v>
      </c>
      <c r="S120" s="7" t="n">
        <f aca="false">IF(AND(H120&gt;='Exec Summary'!$E$1,H120&lt;='Exec Summary'!$E$2),1,0)</f>
        <v>0</v>
      </c>
      <c r="T120" s="7" t="n">
        <f aca="false">IF(AND(F120="Closed",I120&lt;&gt;"",I120&gt;='Exec Summary'!$E$1,I120&lt;='Exec Summary'!$E$2),1,0)</f>
        <v>0</v>
      </c>
      <c r="U120" s="7" t="n">
        <f aca="false">IF(F120="Reopened",1,0)</f>
        <v>0</v>
      </c>
      <c r="V120" s="7" t="n">
        <f aca="false">IF(AND(R120=1,O120&gt;Q120),1,0)</f>
        <v>1</v>
      </c>
      <c r="W120" s="7" t="n">
        <f aca="false">IF(AND(T120=1,P120&lt;&gt;"",P120&lt;=Q120),1,0)</f>
        <v>0</v>
      </c>
    </row>
    <row r="121" customFormat="false" ht="15" hidden="false" customHeight="false" outlineLevel="0" collapsed="false">
      <c r="A121" s="7" t="s">
        <v>246</v>
      </c>
      <c r="B121" s="7" t="s">
        <v>135</v>
      </c>
      <c r="C121" s="7" t="s">
        <v>247</v>
      </c>
      <c r="D121" s="7" t="s">
        <v>104</v>
      </c>
      <c r="E121" s="7" t="s">
        <v>105</v>
      </c>
      <c r="F121" s="7" t="s">
        <v>56</v>
      </c>
      <c r="G121" s="7" t="s">
        <v>19</v>
      </c>
      <c r="H121" s="9" t="n">
        <v>46099</v>
      </c>
      <c r="I121" s="9"/>
      <c r="J121" s="7" t="n">
        <v>9.8</v>
      </c>
      <c r="K121" s="7" t="s">
        <v>51</v>
      </c>
      <c r="L121" s="7" t="s">
        <v>21</v>
      </c>
      <c r="M121" s="7" t="s">
        <v>254</v>
      </c>
      <c r="N121" s="7" t="s">
        <v>58</v>
      </c>
      <c r="O121" s="10" t="n">
        <f aca="false">'Exec Summary'!$E$2-H121</f>
        <v>135</v>
      </c>
      <c r="P121" s="10" t="str">
        <f aca="false">IF(I121="","",I121-H121)</f>
        <v/>
      </c>
      <c r="Q121" s="10" t="n">
        <f aca="false">VLOOKUP(G121,$AA$2:$AB$5,2,FALSE())</f>
        <v>15</v>
      </c>
      <c r="R121" s="7" t="n">
        <f aca="false">IF(OR(F121="Open",F121="Reopened"),1,0)</f>
        <v>1</v>
      </c>
      <c r="S121" s="7" t="n">
        <f aca="false">IF(AND(H121&gt;='Exec Summary'!$E$1,H121&lt;='Exec Summary'!$E$2),1,0)</f>
        <v>0</v>
      </c>
      <c r="T121" s="7" t="n">
        <f aca="false">IF(AND(F121="Closed",I121&lt;&gt;"",I121&gt;='Exec Summary'!$E$1,I121&lt;='Exec Summary'!$E$2),1,0)</f>
        <v>0</v>
      </c>
      <c r="U121" s="7" t="n">
        <f aca="false">IF(F121="Reopened",1,0)</f>
        <v>0</v>
      </c>
      <c r="V121" s="7" t="n">
        <f aca="false">IF(AND(R121=1,O121&gt;Q121),1,0)</f>
        <v>1</v>
      </c>
      <c r="W121" s="7" t="n">
        <f aca="false">IF(AND(T121=1,P121&lt;&gt;"",P121&lt;=Q121),1,0)</f>
        <v>0</v>
      </c>
    </row>
    <row r="122" customFormat="false" ht="15" hidden="false" customHeight="false" outlineLevel="0" collapsed="false">
      <c r="A122" s="7" t="s">
        <v>255</v>
      </c>
      <c r="B122" s="7" t="s">
        <v>46</v>
      </c>
      <c r="C122" s="7" t="s">
        <v>79</v>
      </c>
      <c r="D122" s="7" t="s">
        <v>101</v>
      </c>
      <c r="E122" s="7" t="s">
        <v>102</v>
      </c>
      <c r="F122" s="7" t="s">
        <v>56</v>
      </c>
      <c r="G122" s="7" t="s">
        <v>19</v>
      </c>
      <c r="H122" s="9" t="n">
        <v>46003</v>
      </c>
      <c r="I122" s="9"/>
      <c r="J122" s="7" t="n">
        <v>10</v>
      </c>
      <c r="K122" s="7" t="s">
        <v>51</v>
      </c>
      <c r="L122" s="7" t="s">
        <v>21</v>
      </c>
      <c r="M122" s="7" t="s">
        <v>256</v>
      </c>
      <c r="N122" s="7" t="s">
        <v>58</v>
      </c>
      <c r="O122" s="10" t="n">
        <f aca="false">'Exec Summary'!$E$2-H122</f>
        <v>231</v>
      </c>
      <c r="P122" s="10" t="str">
        <f aca="false">IF(I122="","",I122-H122)</f>
        <v/>
      </c>
      <c r="Q122" s="10" t="n">
        <f aca="false">VLOOKUP(G122,$AA$2:$AB$5,2,FALSE())</f>
        <v>15</v>
      </c>
      <c r="R122" s="7" t="n">
        <f aca="false">IF(OR(F122="Open",F122="Reopened"),1,0)</f>
        <v>1</v>
      </c>
      <c r="S122" s="7" t="n">
        <f aca="false">IF(AND(H122&gt;='Exec Summary'!$E$1,H122&lt;='Exec Summary'!$E$2),1,0)</f>
        <v>0</v>
      </c>
      <c r="T122" s="7" t="n">
        <f aca="false">IF(AND(F122="Closed",I122&lt;&gt;"",I122&gt;='Exec Summary'!$E$1,I122&lt;='Exec Summary'!$E$2),1,0)</f>
        <v>0</v>
      </c>
      <c r="U122" s="7" t="n">
        <f aca="false">IF(F122="Reopened",1,0)</f>
        <v>0</v>
      </c>
      <c r="V122" s="7" t="n">
        <f aca="false">IF(AND(R122=1,O122&gt;Q122),1,0)</f>
        <v>1</v>
      </c>
      <c r="W122" s="7" t="n">
        <f aca="false">IF(AND(T122=1,P122&lt;&gt;"",P122&lt;=Q122),1,0)</f>
        <v>0</v>
      </c>
    </row>
    <row r="123" customFormat="false" ht="15" hidden="false" customHeight="false" outlineLevel="0" collapsed="false">
      <c r="A123" s="7" t="s">
        <v>255</v>
      </c>
      <c r="B123" s="7" t="s">
        <v>46</v>
      </c>
      <c r="C123" s="7" t="s">
        <v>79</v>
      </c>
      <c r="D123" s="7" t="s">
        <v>206</v>
      </c>
      <c r="E123" s="7" t="s">
        <v>207</v>
      </c>
      <c r="F123" s="7" t="s">
        <v>123</v>
      </c>
      <c r="G123" s="7" t="s">
        <v>20</v>
      </c>
      <c r="H123" s="9" t="n">
        <v>45937</v>
      </c>
      <c r="I123" s="9" t="n">
        <v>45964</v>
      </c>
      <c r="J123" s="7" t="n">
        <v>8.8</v>
      </c>
      <c r="K123" s="7" t="s">
        <v>51</v>
      </c>
      <c r="L123" s="7" t="s">
        <v>21</v>
      </c>
      <c r="M123" s="7" t="s">
        <v>257</v>
      </c>
      <c r="N123" s="7" t="s">
        <v>53</v>
      </c>
      <c r="O123" s="10" t="n">
        <f aca="false">'Exec Summary'!$E$2-H123</f>
        <v>297</v>
      </c>
      <c r="P123" s="10" t="n">
        <f aca="false">IF(I123="","",I123-H123)</f>
        <v>27</v>
      </c>
      <c r="Q123" s="10" t="n">
        <f aca="false">VLOOKUP(G123,$AA$2:$AB$5,2,FALSE())</f>
        <v>30</v>
      </c>
      <c r="R123" s="7" t="n">
        <f aca="false">IF(OR(F123="Open",F123="Reopened"),1,0)</f>
        <v>1</v>
      </c>
      <c r="S123" s="7" t="n">
        <f aca="false">IF(AND(H123&gt;='Exec Summary'!$E$1,H123&lt;='Exec Summary'!$E$2),1,0)</f>
        <v>0</v>
      </c>
      <c r="T123" s="7" t="n">
        <f aca="false">IF(AND(F123="Closed",I123&lt;&gt;"",I123&gt;='Exec Summary'!$E$1,I123&lt;='Exec Summary'!$E$2),1,0)</f>
        <v>0</v>
      </c>
      <c r="U123" s="7" t="n">
        <f aca="false">IF(F123="Reopened",1,0)</f>
        <v>1</v>
      </c>
      <c r="V123" s="7" t="n">
        <f aca="false">IF(AND(R123=1,O123&gt;Q123),1,0)</f>
        <v>1</v>
      </c>
      <c r="W123" s="7" t="n">
        <f aca="false">IF(AND(T123=1,P123&lt;&gt;"",P123&lt;=Q123),1,0)</f>
        <v>0</v>
      </c>
    </row>
    <row r="124" customFormat="false" ht="15" hidden="false" customHeight="false" outlineLevel="0" collapsed="false">
      <c r="A124" s="7" t="s">
        <v>255</v>
      </c>
      <c r="B124" s="7" t="s">
        <v>46</v>
      </c>
      <c r="C124" s="7" t="s">
        <v>79</v>
      </c>
      <c r="D124" s="7" t="s">
        <v>192</v>
      </c>
      <c r="E124" s="7" t="s">
        <v>193</v>
      </c>
      <c r="F124" s="7" t="s">
        <v>50</v>
      </c>
      <c r="G124" s="7" t="s">
        <v>19</v>
      </c>
      <c r="H124" s="9" t="n">
        <v>46217</v>
      </c>
      <c r="I124" s="9" t="n">
        <v>46234</v>
      </c>
      <c r="J124" s="7" t="n">
        <v>9.8</v>
      </c>
      <c r="K124" s="7" t="s">
        <v>51</v>
      </c>
      <c r="L124" s="7" t="s">
        <v>21</v>
      </c>
      <c r="M124" s="7" t="s">
        <v>258</v>
      </c>
      <c r="N124" s="7" t="s">
        <v>58</v>
      </c>
      <c r="O124" s="10" t="n">
        <f aca="false">'Exec Summary'!$E$2-H124</f>
        <v>17</v>
      </c>
      <c r="P124" s="10" t="n">
        <f aca="false">IF(I124="","",I124-H124)</f>
        <v>17</v>
      </c>
      <c r="Q124" s="10" t="n">
        <f aca="false">VLOOKUP(G124,$AA$2:$AB$5,2,FALSE())</f>
        <v>15</v>
      </c>
      <c r="R124" s="7" t="n">
        <f aca="false">IF(OR(F124="Open",F124="Reopened"),1,0)</f>
        <v>0</v>
      </c>
      <c r="S124" s="7" t="n">
        <f aca="false">IF(AND(H124&gt;='Exec Summary'!$E$1,H124&lt;='Exec Summary'!$E$2),1,0)</f>
        <v>1</v>
      </c>
      <c r="T124" s="7" t="n">
        <f aca="false">IF(AND(F124="Closed",I124&lt;&gt;"",I124&gt;='Exec Summary'!$E$1,I124&lt;='Exec Summary'!$E$2),1,0)</f>
        <v>1</v>
      </c>
      <c r="U124" s="7" t="n">
        <f aca="false">IF(F124="Reopened",1,0)</f>
        <v>0</v>
      </c>
      <c r="V124" s="7" t="n">
        <f aca="false">IF(AND(R124=1,O124&gt;Q124),1,0)</f>
        <v>0</v>
      </c>
      <c r="W124" s="7" t="n">
        <f aca="false">IF(AND(T124=1,P124&lt;&gt;"",P124&lt;=Q124),1,0)</f>
        <v>0</v>
      </c>
    </row>
    <row r="125" customFormat="false" ht="15" hidden="false" customHeight="false" outlineLevel="0" collapsed="false">
      <c r="A125" s="7" t="s">
        <v>255</v>
      </c>
      <c r="B125" s="7" t="s">
        <v>46</v>
      </c>
      <c r="C125" s="7" t="s">
        <v>79</v>
      </c>
      <c r="D125" s="7" t="s">
        <v>87</v>
      </c>
      <c r="E125" s="7" t="s">
        <v>88</v>
      </c>
      <c r="F125" s="7" t="s">
        <v>50</v>
      </c>
      <c r="G125" s="7" t="s">
        <v>19</v>
      </c>
      <c r="H125" s="9" t="n">
        <v>45982</v>
      </c>
      <c r="I125" s="9" t="n">
        <v>45990</v>
      </c>
      <c r="J125" s="7" t="n">
        <v>10</v>
      </c>
      <c r="K125" s="7" t="s">
        <v>51</v>
      </c>
      <c r="L125" s="7" t="s">
        <v>21</v>
      </c>
      <c r="M125" s="7" t="s">
        <v>259</v>
      </c>
      <c r="N125" s="7" t="s">
        <v>58</v>
      </c>
      <c r="O125" s="10" t="n">
        <f aca="false">'Exec Summary'!$E$2-H125</f>
        <v>252</v>
      </c>
      <c r="P125" s="10" t="n">
        <f aca="false">IF(I125="","",I125-H125)</f>
        <v>8</v>
      </c>
      <c r="Q125" s="10" t="n">
        <f aca="false">VLOOKUP(G125,$AA$2:$AB$5,2,FALSE())</f>
        <v>15</v>
      </c>
      <c r="R125" s="7" t="n">
        <f aca="false">IF(OR(F125="Open",F125="Reopened"),1,0)</f>
        <v>0</v>
      </c>
      <c r="S125" s="7" t="n">
        <f aca="false">IF(AND(H125&gt;='Exec Summary'!$E$1,H125&lt;='Exec Summary'!$E$2),1,0)</f>
        <v>0</v>
      </c>
      <c r="T125" s="7" t="n">
        <f aca="false">IF(AND(F125="Closed",I125&lt;&gt;"",I125&gt;='Exec Summary'!$E$1,I125&lt;='Exec Summary'!$E$2),1,0)</f>
        <v>0</v>
      </c>
      <c r="U125" s="7" t="n">
        <f aca="false">IF(F125="Reopened",1,0)</f>
        <v>0</v>
      </c>
      <c r="V125" s="7" t="n">
        <f aca="false">IF(AND(R125=1,O125&gt;Q125),1,0)</f>
        <v>0</v>
      </c>
      <c r="W125" s="7" t="n">
        <f aca="false">IF(AND(T125=1,P125&lt;&gt;"",P125&lt;=Q125),1,0)</f>
        <v>0</v>
      </c>
    </row>
    <row r="126" customFormat="false" ht="15" hidden="false" customHeight="false" outlineLevel="0" collapsed="false">
      <c r="A126" s="7" t="s">
        <v>255</v>
      </c>
      <c r="B126" s="7" t="s">
        <v>46</v>
      </c>
      <c r="C126" s="7" t="s">
        <v>79</v>
      </c>
      <c r="D126" s="7" t="s">
        <v>65</v>
      </c>
      <c r="E126" s="7" t="s">
        <v>66</v>
      </c>
      <c r="F126" s="7" t="s">
        <v>50</v>
      </c>
      <c r="G126" s="7" t="s">
        <v>19</v>
      </c>
      <c r="H126" s="9" t="n">
        <v>46053</v>
      </c>
      <c r="I126" s="9" t="n">
        <v>46067</v>
      </c>
      <c r="J126" s="7" t="n">
        <v>9.8</v>
      </c>
      <c r="K126" s="7" t="s">
        <v>51</v>
      </c>
      <c r="L126" s="7" t="s">
        <v>21</v>
      </c>
      <c r="M126" s="7" t="s">
        <v>260</v>
      </c>
      <c r="N126" s="7" t="s">
        <v>58</v>
      </c>
      <c r="O126" s="10" t="n">
        <f aca="false">'Exec Summary'!$E$2-H126</f>
        <v>181</v>
      </c>
      <c r="P126" s="10" t="n">
        <f aca="false">IF(I126="","",I126-H126)</f>
        <v>14</v>
      </c>
      <c r="Q126" s="10" t="n">
        <f aca="false">VLOOKUP(G126,$AA$2:$AB$5,2,FALSE())</f>
        <v>15</v>
      </c>
      <c r="R126" s="7" t="n">
        <f aca="false">IF(OR(F126="Open",F126="Reopened"),1,0)</f>
        <v>0</v>
      </c>
      <c r="S126" s="7" t="n">
        <f aca="false">IF(AND(H126&gt;='Exec Summary'!$E$1,H126&lt;='Exec Summary'!$E$2),1,0)</f>
        <v>0</v>
      </c>
      <c r="T126" s="7" t="n">
        <f aca="false">IF(AND(F126="Closed",I126&lt;&gt;"",I126&gt;='Exec Summary'!$E$1,I126&lt;='Exec Summary'!$E$2),1,0)</f>
        <v>0</v>
      </c>
      <c r="U126" s="7" t="n">
        <f aca="false">IF(F126="Reopened",1,0)</f>
        <v>0</v>
      </c>
      <c r="V126" s="7" t="n">
        <f aca="false">IF(AND(R126=1,O126&gt;Q126),1,0)</f>
        <v>0</v>
      </c>
      <c r="W126" s="7" t="n">
        <f aca="false">IF(AND(T126=1,P126&lt;&gt;"",P126&lt;=Q126),1,0)</f>
        <v>0</v>
      </c>
    </row>
    <row r="127" customFormat="false" ht="15" hidden="false" customHeight="false" outlineLevel="0" collapsed="false">
      <c r="A127" s="7" t="s">
        <v>255</v>
      </c>
      <c r="B127" s="7" t="s">
        <v>46</v>
      </c>
      <c r="C127" s="7" t="s">
        <v>79</v>
      </c>
      <c r="D127" s="7" t="s">
        <v>74</v>
      </c>
      <c r="E127" s="7" t="s">
        <v>75</v>
      </c>
      <c r="F127" s="7" t="s">
        <v>56</v>
      </c>
      <c r="G127" s="7" t="s">
        <v>21</v>
      </c>
      <c r="H127" s="9" t="n">
        <v>46045</v>
      </c>
      <c r="I127" s="9"/>
      <c r="J127" s="7" t="n">
        <v>6.5</v>
      </c>
      <c r="K127" s="7" t="s">
        <v>51</v>
      </c>
      <c r="L127" s="7" t="s">
        <v>21</v>
      </c>
      <c r="M127" s="7" t="s">
        <v>261</v>
      </c>
      <c r="N127" s="7" t="s">
        <v>77</v>
      </c>
      <c r="O127" s="10" t="n">
        <f aca="false">'Exec Summary'!$E$2-H127</f>
        <v>189</v>
      </c>
      <c r="P127" s="10" t="str">
        <f aca="false">IF(I127="","",I127-H127)</f>
        <v/>
      </c>
      <c r="Q127" s="10" t="n">
        <f aca="false">VLOOKUP(G127,$AA$2:$AB$5,2,FALSE())</f>
        <v>90</v>
      </c>
      <c r="R127" s="7" t="n">
        <f aca="false">IF(OR(F127="Open",F127="Reopened"),1,0)</f>
        <v>1</v>
      </c>
      <c r="S127" s="7" t="n">
        <f aca="false">IF(AND(H127&gt;='Exec Summary'!$E$1,H127&lt;='Exec Summary'!$E$2),1,0)</f>
        <v>0</v>
      </c>
      <c r="T127" s="7" t="n">
        <f aca="false">IF(AND(F127="Closed",I127&lt;&gt;"",I127&gt;='Exec Summary'!$E$1,I127&lt;='Exec Summary'!$E$2),1,0)</f>
        <v>0</v>
      </c>
      <c r="U127" s="7" t="n">
        <f aca="false">IF(F127="Reopened",1,0)</f>
        <v>0</v>
      </c>
      <c r="V127" s="7" t="n">
        <f aca="false">IF(AND(R127=1,O127&gt;Q127),1,0)</f>
        <v>1</v>
      </c>
      <c r="W127" s="7" t="n">
        <f aca="false">IF(AND(T127=1,P127&lt;&gt;"",P127&lt;=Q127),1,0)</f>
        <v>0</v>
      </c>
    </row>
    <row r="128" customFormat="false" ht="15" hidden="false" customHeight="false" outlineLevel="0" collapsed="false">
      <c r="A128" s="7" t="s">
        <v>255</v>
      </c>
      <c r="B128" s="7" t="s">
        <v>46</v>
      </c>
      <c r="C128" s="7" t="s">
        <v>79</v>
      </c>
      <c r="D128" s="7" t="s">
        <v>108</v>
      </c>
      <c r="E128" s="7" t="s">
        <v>109</v>
      </c>
      <c r="F128" s="7" t="s">
        <v>50</v>
      </c>
      <c r="G128" s="7" t="s">
        <v>20</v>
      </c>
      <c r="H128" s="9" t="n">
        <v>46181</v>
      </c>
      <c r="I128" s="9" t="n">
        <v>46212</v>
      </c>
      <c r="J128" s="7" t="n">
        <v>8.6</v>
      </c>
      <c r="K128" s="7" t="s">
        <v>51</v>
      </c>
      <c r="L128" s="7" t="s">
        <v>21</v>
      </c>
      <c r="M128" s="7" t="s">
        <v>262</v>
      </c>
      <c r="N128" s="7" t="s">
        <v>53</v>
      </c>
      <c r="O128" s="10" t="n">
        <f aca="false">'Exec Summary'!$E$2-H128</f>
        <v>53</v>
      </c>
      <c r="P128" s="10" t="n">
        <f aca="false">IF(I128="","",I128-H128)</f>
        <v>31</v>
      </c>
      <c r="Q128" s="10" t="n">
        <f aca="false">VLOOKUP(G128,$AA$2:$AB$5,2,FALSE())</f>
        <v>30</v>
      </c>
      <c r="R128" s="7" t="n">
        <f aca="false">IF(OR(F128="Open",F128="Reopened"),1,0)</f>
        <v>0</v>
      </c>
      <c r="S128" s="7" t="n">
        <f aca="false">IF(AND(H128&gt;='Exec Summary'!$E$1,H128&lt;='Exec Summary'!$E$2),1,0)</f>
        <v>0</v>
      </c>
      <c r="T128" s="7" t="n">
        <f aca="false">IF(AND(F128="Closed",I128&lt;&gt;"",I128&gt;='Exec Summary'!$E$1,I128&lt;='Exec Summary'!$E$2),1,0)</f>
        <v>1</v>
      </c>
      <c r="U128" s="7" t="n">
        <f aca="false">IF(F128="Reopened",1,0)</f>
        <v>0</v>
      </c>
      <c r="V128" s="7" t="n">
        <f aca="false">IF(AND(R128=1,O128&gt;Q128),1,0)</f>
        <v>0</v>
      </c>
      <c r="W128" s="7" t="n">
        <f aca="false">IF(AND(T128=1,P128&lt;&gt;"",P128&lt;=Q128),1,0)</f>
        <v>0</v>
      </c>
    </row>
    <row r="129" customFormat="false" ht="15" hidden="false" customHeight="false" outlineLevel="0" collapsed="false">
      <c r="A129" s="7" t="s">
        <v>263</v>
      </c>
      <c r="B129" s="7" t="s">
        <v>46</v>
      </c>
      <c r="C129" s="7" t="s">
        <v>47</v>
      </c>
      <c r="D129" s="7" t="s">
        <v>192</v>
      </c>
      <c r="E129" s="7" t="s">
        <v>193</v>
      </c>
      <c r="F129" s="7" t="s">
        <v>50</v>
      </c>
      <c r="G129" s="7" t="s">
        <v>19</v>
      </c>
      <c r="H129" s="9" t="n">
        <v>46090</v>
      </c>
      <c r="I129" s="9" t="n">
        <v>46092</v>
      </c>
      <c r="J129" s="7" t="n">
        <v>9.8</v>
      </c>
      <c r="K129" s="7" t="s">
        <v>51</v>
      </c>
      <c r="L129" s="7" t="s">
        <v>21</v>
      </c>
      <c r="M129" s="7" t="s">
        <v>264</v>
      </c>
      <c r="N129" s="7" t="s">
        <v>58</v>
      </c>
      <c r="O129" s="10" t="n">
        <f aca="false">'Exec Summary'!$E$2-H129</f>
        <v>144</v>
      </c>
      <c r="P129" s="10" t="n">
        <f aca="false">IF(I129="","",I129-H129)</f>
        <v>2</v>
      </c>
      <c r="Q129" s="10" t="n">
        <f aca="false">VLOOKUP(G129,$AA$2:$AB$5,2,FALSE())</f>
        <v>15</v>
      </c>
      <c r="R129" s="7" t="n">
        <f aca="false">IF(OR(F129="Open",F129="Reopened"),1,0)</f>
        <v>0</v>
      </c>
      <c r="S129" s="7" t="n">
        <f aca="false">IF(AND(H129&gt;='Exec Summary'!$E$1,H129&lt;='Exec Summary'!$E$2),1,0)</f>
        <v>0</v>
      </c>
      <c r="T129" s="7" t="n">
        <f aca="false">IF(AND(F129="Closed",I129&lt;&gt;"",I129&gt;='Exec Summary'!$E$1,I129&lt;='Exec Summary'!$E$2),1,0)</f>
        <v>0</v>
      </c>
      <c r="U129" s="7" t="n">
        <f aca="false">IF(F129="Reopened",1,0)</f>
        <v>0</v>
      </c>
      <c r="V129" s="7" t="n">
        <f aca="false">IF(AND(R129=1,O129&gt;Q129),1,0)</f>
        <v>0</v>
      </c>
      <c r="W129" s="7" t="n">
        <f aca="false">IF(AND(T129=1,P129&lt;&gt;"",P129&lt;=Q129),1,0)</f>
        <v>0</v>
      </c>
    </row>
    <row r="130" customFormat="false" ht="15" hidden="false" customHeight="false" outlineLevel="0" collapsed="false">
      <c r="A130" s="7" t="s">
        <v>263</v>
      </c>
      <c r="B130" s="7" t="s">
        <v>46</v>
      </c>
      <c r="C130" s="7" t="s">
        <v>47</v>
      </c>
      <c r="D130" s="7" t="s">
        <v>152</v>
      </c>
      <c r="E130" s="7" t="s">
        <v>153</v>
      </c>
      <c r="F130" s="7" t="s">
        <v>50</v>
      </c>
      <c r="G130" s="7" t="s">
        <v>20</v>
      </c>
      <c r="H130" s="9" t="n">
        <v>46101</v>
      </c>
      <c r="I130" s="9" t="n">
        <v>46124</v>
      </c>
      <c r="J130" s="7" t="n">
        <v>7.5</v>
      </c>
      <c r="K130" s="7" t="s">
        <v>51</v>
      </c>
      <c r="L130" s="7" t="s">
        <v>21</v>
      </c>
      <c r="M130" s="7" t="s">
        <v>265</v>
      </c>
      <c r="N130" s="7" t="s">
        <v>53</v>
      </c>
      <c r="O130" s="10" t="n">
        <f aca="false">'Exec Summary'!$E$2-H130</f>
        <v>133</v>
      </c>
      <c r="P130" s="10" t="n">
        <f aca="false">IF(I130="","",I130-H130)</f>
        <v>23</v>
      </c>
      <c r="Q130" s="10" t="n">
        <f aca="false">VLOOKUP(G130,$AA$2:$AB$5,2,FALSE())</f>
        <v>30</v>
      </c>
      <c r="R130" s="7" t="n">
        <f aca="false">IF(OR(F130="Open",F130="Reopened"),1,0)</f>
        <v>0</v>
      </c>
      <c r="S130" s="7" t="n">
        <f aca="false">IF(AND(H130&gt;='Exec Summary'!$E$1,H130&lt;='Exec Summary'!$E$2),1,0)</f>
        <v>0</v>
      </c>
      <c r="T130" s="7" t="n">
        <f aca="false">IF(AND(F130="Closed",I130&lt;&gt;"",I130&gt;='Exec Summary'!$E$1,I130&lt;='Exec Summary'!$E$2),1,0)</f>
        <v>0</v>
      </c>
      <c r="U130" s="7" t="n">
        <f aca="false">IF(F130="Reopened",1,0)</f>
        <v>0</v>
      </c>
      <c r="V130" s="7" t="n">
        <f aca="false">IF(AND(R130=1,O130&gt;Q130),1,0)</f>
        <v>0</v>
      </c>
      <c r="W130" s="7" t="n">
        <f aca="false">IF(AND(T130=1,P130&lt;&gt;"",P130&lt;=Q130),1,0)</f>
        <v>0</v>
      </c>
    </row>
    <row r="131" customFormat="false" ht="15" hidden="false" customHeight="false" outlineLevel="0" collapsed="false">
      <c r="A131" s="7" t="s">
        <v>263</v>
      </c>
      <c r="B131" s="7" t="s">
        <v>46</v>
      </c>
      <c r="C131" s="7" t="s">
        <v>47</v>
      </c>
      <c r="D131" s="7" t="s">
        <v>163</v>
      </c>
      <c r="E131" s="7" t="s">
        <v>164</v>
      </c>
      <c r="F131" s="7" t="s">
        <v>56</v>
      </c>
      <c r="G131" s="7" t="s">
        <v>19</v>
      </c>
      <c r="H131" s="9" t="n">
        <v>46162</v>
      </c>
      <c r="I131" s="9"/>
      <c r="J131" s="7" t="n">
        <v>9.1</v>
      </c>
      <c r="K131" s="7" t="s">
        <v>51</v>
      </c>
      <c r="L131" s="7" t="s">
        <v>21</v>
      </c>
      <c r="M131" s="7" t="s">
        <v>266</v>
      </c>
      <c r="N131" s="7" t="s">
        <v>58</v>
      </c>
      <c r="O131" s="10" t="n">
        <f aca="false">'Exec Summary'!$E$2-H131</f>
        <v>72</v>
      </c>
      <c r="P131" s="10" t="str">
        <f aca="false">IF(I131="","",I131-H131)</f>
        <v/>
      </c>
      <c r="Q131" s="10" t="n">
        <f aca="false">VLOOKUP(G131,$AA$2:$AB$5,2,FALSE())</f>
        <v>15</v>
      </c>
      <c r="R131" s="7" t="n">
        <f aca="false">IF(OR(F131="Open",F131="Reopened"),1,0)</f>
        <v>1</v>
      </c>
      <c r="S131" s="7" t="n">
        <f aca="false">IF(AND(H131&gt;='Exec Summary'!$E$1,H131&lt;='Exec Summary'!$E$2),1,0)</f>
        <v>0</v>
      </c>
      <c r="T131" s="7" t="n">
        <f aca="false">IF(AND(F131="Closed",I131&lt;&gt;"",I131&gt;='Exec Summary'!$E$1,I131&lt;='Exec Summary'!$E$2),1,0)</f>
        <v>0</v>
      </c>
      <c r="U131" s="7" t="n">
        <f aca="false">IF(F131="Reopened",1,0)</f>
        <v>0</v>
      </c>
      <c r="V131" s="7" t="n">
        <f aca="false">IF(AND(R131=1,O131&gt;Q131),1,0)</f>
        <v>1</v>
      </c>
      <c r="W131" s="7" t="n">
        <f aca="false">IF(AND(T131=1,P131&lt;&gt;"",P131&lt;=Q131),1,0)</f>
        <v>0</v>
      </c>
    </row>
    <row r="132" customFormat="false" ht="15" hidden="false" customHeight="false" outlineLevel="0" collapsed="false">
      <c r="A132" s="7" t="s">
        <v>263</v>
      </c>
      <c r="B132" s="7" t="s">
        <v>46</v>
      </c>
      <c r="C132" s="7" t="s">
        <v>47</v>
      </c>
      <c r="D132" s="7" t="s">
        <v>166</v>
      </c>
      <c r="E132" s="7" t="s">
        <v>167</v>
      </c>
      <c r="F132" s="7" t="s">
        <v>50</v>
      </c>
      <c r="G132" s="7" t="s">
        <v>19</v>
      </c>
      <c r="H132" s="9" t="n">
        <v>45980</v>
      </c>
      <c r="I132" s="9" t="n">
        <v>45993</v>
      </c>
      <c r="J132" s="7" t="n">
        <v>9.8</v>
      </c>
      <c r="K132" s="7" t="s">
        <v>51</v>
      </c>
      <c r="L132" s="7" t="s">
        <v>21</v>
      </c>
      <c r="M132" s="7" t="s">
        <v>267</v>
      </c>
      <c r="N132" s="7" t="s">
        <v>58</v>
      </c>
      <c r="O132" s="10" t="n">
        <f aca="false">'Exec Summary'!$E$2-H132</f>
        <v>254</v>
      </c>
      <c r="P132" s="10" t="n">
        <f aca="false">IF(I132="","",I132-H132)</f>
        <v>13</v>
      </c>
      <c r="Q132" s="10" t="n">
        <f aca="false">VLOOKUP(G132,$AA$2:$AB$5,2,FALSE())</f>
        <v>15</v>
      </c>
      <c r="R132" s="7" t="n">
        <f aca="false">IF(OR(F132="Open",F132="Reopened"),1,0)</f>
        <v>0</v>
      </c>
      <c r="S132" s="7" t="n">
        <f aca="false">IF(AND(H132&gt;='Exec Summary'!$E$1,H132&lt;='Exec Summary'!$E$2),1,0)</f>
        <v>0</v>
      </c>
      <c r="T132" s="7" t="n">
        <f aca="false">IF(AND(F132="Closed",I132&lt;&gt;"",I132&gt;='Exec Summary'!$E$1,I132&lt;='Exec Summary'!$E$2),1,0)</f>
        <v>0</v>
      </c>
      <c r="U132" s="7" t="n">
        <f aca="false">IF(F132="Reopened",1,0)</f>
        <v>0</v>
      </c>
      <c r="V132" s="7" t="n">
        <f aca="false">IF(AND(R132=1,O132&gt;Q132),1,0)</f>
        <v>0</v>
      </c>
      <c r="W132" s="7" t="n">
        <f aca="false">IF(AND(T132=1,P132&lt;&gt;"",P132&lt;=Q132),1,0)</f>
        <v>0</v>
      </c>
    </row>
    <row r="133" customFormat="false" ht="15" hidden="false" customHeight="false" outlineLevel="0" collapsed="false">
      <c r="A133" s="7" t="s">
        <v>263</v>
      </c>
      <c r="B133" s="7" t="s">
        <v>46</v>
      </c>
      <c r="C133" s="7" t="s">
        <v>47</v>
      </c>
      <c r="D133" s="7" t="s">
        <v>62</v>
      </c>
      <c r="E133" s="7" t="s">
        <v>63</v>
      </c>
      <c r="F133" s="7" t="s">
        <v>123</v>
      </c>
      <c r="G133" s="7" t="s">
        <v>20</v>
      </c>
      <c r="H133" s="9" t="n">
        <v>46009</v>
      </c>
      <c r="I133" s="9" t="n">
        <v>46046</v>
      </c>
      <c r="J133" s="7" t="n">
        <v>8.1</v>
      </c>
      <c r="K133" s="7" t="s">
        <v>51</v>
      </c>
      <c r="L133" s="7" t="s">
        <v>21</v>
      </c>
      <c r="M133" s="7" t="s">
        <v>268</v>
      </c>
      <c r="N133" s="7" t="s">
        <v>53</v>
      </c>
      <c r="O133" s="10" t="n">
        <f aca="false">'Exec Summary'!$E$2-H133</f>
        <v>225</v>
      </c>
      <c r="P133" s="10" t="n">
        <f aca="false">IF(I133="","",I133-H133)</f>
        <v>37</v>
      </c>
      <c r="Q133" s="10" t="n">
        <f aca="false">VLOOKUP(G133,$AA$2:$AB$5,2,FALSE())</f>
        <v>30</v>
      </c>
      <c r="R133" s="7" t="n">
        <f aca="false">IF(OR(F133="Open",F133="Reopened"),1,0)</f>
        <v>1</v>
      </c>
      <c r="S133" s="7" t="n">
        <f aca="false">IF(AND(H133&gt;='Exec Summary'!$E$1,H133&lt;='Exec Summary'!$E$2),1,0)</f>
        <v>0</v>
      </c>
      <c r="T133" s="7" t="n">
        <f aca="false">IF(AND(F133="Closed",I133&lt;&gt;"",I133&gt;='Exec Summary'!$E$1,I133&lt;='Exec Summary'!$E$2),1,0)</f>
        <v>0</v>
      </c>
      <c r="U133" s="7" t="n">
        <f aca="false">IF(F133="Reopened",1,0)</f>
        <v>1</v>
      </c>
      <c r="V133" s="7" t="n">
        <f aca="false">IF(AND(R133=1,O133&gt;Q133),1,0)</f>
        <v>1</v>
      </c>
      <c r="W133" s="7" t="n">
        <f aca="false">IF(AND(T133=1,P133&lt;&gt;"",P133&lt;=Q133),1,0)</f>
        <v>0</v>
      </c>
    </row>
    <row r="134" customFormat="false" ht="15" hidden="false" customHeight="false" outlineLevel="0" collapsed="false">
      <c r="A134" s="7" t="s">
        <v>263</v>
      </c>
      <c r="B134" s="7" t="s">
        <v>46</v>
      </c>
      <c r="C134" s="7" t="s">
        <v>47</v>
      </c>
      <c r="D134" s="7" t="s">
        <v>120</v>
      </c>
      <c r="E134" s="7" t="s">
        <v>121</v>
      </c>
      <c r="F134" s="7" t="s">
        <v>50</v>
      </c>
      <c r="G134" s="7" t="s">
        <v>19</v>
      </c>
      <c r="H134" s="9" t="n">
        <v>46068</v>
      </c>
      <c r="I134" s="9" t="n">
        <v>46083</v>
      </c>
      <c r="J134" s="7" t="n">
        <v>8.8</v>
      </c>
      <c r="K134" s="7" t="s">
        <v>51</v>
      </c>
      <c r="L134" s="7" t="s">
        <v>21</v>
      </c>
      <c r="M134" s="7" t="s">
        <v>269</v>
      </c>
      <c r="N134" s="7" t="s">
        <v>58</v>
      </c>
      <c r="O134" s="10" t="n">
        <f aca="false">'Exec Summary'!$E$2-H134</f>
        <v>166</v>
      </c>
      <c r="P134" s="10" t="n">
        <f aca="false">IF(I134="","",I134-H134)</f>
        <v>15</v>
      </c>
      <c r="Q134" s="10" t="n">
        <f aca="false">VLOOKUP(G134,$AA$2:$AB$5,2,FALSE())</f>
        <v>15</v>
      </c>
      <c r="R134" s="7" t="n">
        <f aca="false">IF(OR(F134="Open",F134="Reopened"),1,0)</f>
        <v>0</v>
      </c>
      <c r="S134" s="7" t="n">
        <f aca="false">IF(AND(H134&gt;='Exec Summary'!$E$1,H134&lt;='Exec Summary'!$E$2),1,0)</f>
        <v>0</v>
      </c>
      <c r="T134" s="7" t="n">
        <f aca="false">IF(AND(F134="Closed",I134&lt;&gt;"",I134&gt;='Exec Summary'!$E$1,I134&lt;='Exec Summary'!$E$2),1,0)</f>
        <v>0</v>
      </c>
      <c r="U134" s="7" t="n">
        <f aca="false">IF(F134="Reopened",1,0)</f>
        <v>0</v>
      </c>
      <c r="V134" s="7" t="n">
        <f aca="false">IF(AND(R134=1,O134&gt;Q134),1,0)</f>
        <v>0</v>
      </c>
      <c r="W134" s="7" t="n">
        <f aca="false">IF(AND(T134=1,P134&lt;&gt;"",P134&lt;=Q134),1,0)</f>
        <v>0</v>
      </c>
    </row>
    <row r="135" customFormat="false" ht="15" hidden="false" customHeight="false" outlineLevel="0" collapsed="false">
      <c r="A135" s="7" t="s">
        <v>263</v>
      </c>
      <c r="B135" s="7" t="s">
        <v>46</v>
      </c>
      <c r="C135" s="7" t="s">
        <v>47</v>
      </c>
      <c r="D135" s="7" t="s">
        <v>131</v>
      </c>
      <c r="E135" s="7" t="s">
        <v>132</v>
      </c>
      <c r="F135" s="7" t="s">
        <v>50</v>
      </c>
      <c r="G135" s="7" t="s">
        <v>19</v>
      </c>
      <c r="H135" s="9" t="n">
        <v>46003</v>
      </c>
      <c r="I135" s="9" t="n">
        <v>46016</v>
      </c>
      <c r="J135" s="7" t="n">
        <v>9.8</v>
      </c>
      <c r="K135" s="7" t="s">
        <v>51</v>
      </c>
      <c r="L135" s="7" t="s">
        <v>21</v>
      </c>
      <c r="M135" s="7" t="s">
        <v>270</v>
      </c>
      <c r="N135" s="7" t="s">
        <v>58</v>
      </c>
      <c r="O135" s="10" t="n">
        <f aca="false">'Exec Summary'!$E$2-H135</f>
        <v>231</v>
      </c>
      <c r="P135" s="10" t="n">
        <f aca="false">IF(I135="","",I135-H135)</f>
        <v>13</v>
      </c>
      <c r="Q135" s="10" t="n">
        <f aca="false">VLOOKUP(G135,$AA$2:$AB$5,2,FALSE())</f>
        <v>15</v>
      </c>
      <c r="R135" s="7" t="n">
        <f aca="false">IF(OR(F135="Open",F135="Reopened"),1,0)</f>
        <v>0</v>
      </c>
      <c r="S135" s="7" t="n">
        <f aca="false">IF(AND(H135&gt;='Exec Summary'!$E$1,H135&lt;='Exec Summary'!$E$2),1,0)</f>
        <v>0</v>
      </c>
      <c r="T135" s="7" t="n">
        <f aca="false">IF(AND(F135="Closed",I135&lt;&gt;"",I135&gt;='Exec Summary'!$E$1,I135&lt;='Exec Summary'!$E$2),1,0)</f>
        <v>0</v>
      </c>
      <c r="U135" s="7" t="n">
        <f aca="false">IF(F135="Reopened",1,0)</f>
        <v>0</v>
      </c>
      <c r="V135" s="7" t="n">
        <f aca="false">IF(AND(R135=1,O135&gt;Q135),1,0)</f>
        <v>0</v>
      </c>
      <c r="W135" s="7" t="n">
        <f aca="false">IF(AND(T135=1,P135&lt;&gt;"",P135&lt;=Q135),1,0)</f>
        <v>0</v>
      </c>
    </row>
    <row r="136" customFormat="false" ht="15" hidden="false" customHeight="false" outlineLevel="0" collapsed="false">
      <c r="A136" s="7" t="s">
        <v>263</v>
      </c>
      <c r="B136" s="7" t="s">
        <v>46</v>
      </c>
      <c r="C136" s="7" t="s">
        <v>47</v>
      </c>
      <c r="D136" s="7" t="s">
        <v>54</v>
      </c>
      <c r="E136" s="7" t="s">
        <v>55</v>
      </c>
      <c r="F136" s="7" t="s">
        <v>50</v>
      </c>
      <c r="G136" s="7" t="s">
        <v>19</v>
      </c>
      <c r="H136" s="9" t="n">
        <v>46060</v>
      </c>
      <c r="I136" s="9" t="n">
        <v>46077</v>
      </c>
      <c r="J136" s="7" t="n">
        <v>9.8</v>
      </c>
      <c r="K136" s="7" t="s">
        <v>51</v>
      </c>
      <c r="L136" s="7" t="s">
        <v>21</v>
      </c>
      <c r="M136" s="7" t="s">
        <v>271</v>
      </c>
      <c r="N136" s="7" t="s">
        <v>58</v>
      </c>
      <c r="O136" s="10" t="n">
        <f aca="false">'Exec Summary'!$E$2-H136</f>
        <v>174</v>
      </c>
      <c r="P136" s="10" t="n">
        <f aca="false">IF(I136="","",I136-H136)</f>
        <v>17</v>
      </c>
      <c r="Q136" s="10" t="n">
        <f aca="false">VLOOKUP(G136,$AA$2:$AB$5,2,FALSE())</f>
        <v>15</v>
      </c>
      <c r="R136" s="7" t="n">
        <f aca="false">IF(OR(F136="Open",F136="Reopened"),1,0)</f>
        <v>0</v>
      </c>
      <c r="S136" s="7" t="n">
        <f aca="false">IF(AND(H136&gt;='Exec Summary'!$E$1,H136&lt;='Exec Summary'!$E$2),1,0)</f>
        <v>0</v>
      </c>
      <c r="T136" s="7" t="n">
        <f aca="false">IF(AND(F136="Closed",I136&lt;&gt;"",I136&gt;='Exec Summary'!$E$1,I136&lt;='Exec Summary'!$E$2),1,0)</f>
        <v>0</v>
      </c>
      <c r="U136" s="7" t="n">
        <f aca="false">IF(F136="Reopened",1,0)</f>
        <v>0</v>
      </c>
      <c r="V136" s="7" t="n">
        <f aca="false">IF(AND(R136=1,O136&gt;Q136),1,0)</f>
        <v>0</v>
      </c>
      <c r="W136" s="7" t="n">
        <f aca="false">IF(AND(T136=1,P136&lt;&gt;"",P136&lt;=Q136),1,0)</f>
        <v>0</v>
      </c>
    </row>
    <row r="137" customFormat="false" ht="15" hidden="false" customHeight="false" outlineLevel="0" collapsed="false">
      <c r="A137" s="7" t="s">
        <v>263</v>
      </c>
      <c r="B137" s="7" t="s">
        <v>46</v>
      </c>
      <c r="C137" s="7" t="s">
        <v>47</v>
      </c>
      <c r="D137" s="7" t="s">
        <v>104</v>
      </c>
      <c r="E137" s="7" t="s">
        <v>105</v>
      </c>
      <c r="F137" s="7" t="s">
        <v>56</v>
      </c>
      <c r="G137" s="7" t="s">
        <v>19</v>
      </c>
      <c r="H137" s="9" t="n">
        <v>46099</v>
      </c>
      <c r="I137" s="9"/>
      <c r="J137" s="7" t="n">
        <v>9.8</v>
      </c>
      <c r="K137" s="7" t="s">
        <v>51</v>
      </c>
      <c r="L137" s="7" t="s">
        <v>21</v>
      </c>
      <c r="M137" s="7" t="s">
        <v>272</v>
      </c>
      <c r="N137" s="7" t="s">
        <v>58</v>
      </c>
      <c r="O137" s="10" t="n">
        <f aca="false">'Exec Summary'!$E$2-H137</f>
        <v>135</v>
      </c>
      <c r="P137" s="10" t="str">
        <f aca="false">IF(I137="","",I137-H137)</f>
        <v/>
      </c>
      <c r="Q137" s="10" t="n">
        <f aca="false">VLOOKUP(G137,$AA$2:$AB$5,2,FALSE())</f>
        <v>15</v>
      </c>
      <c r="R137" s="7" t="n">
        <f aca="false">IF(OR(F137="Open",F137="Reopened"),1,0)</f>
        <v>1</v>
      </c>
      <c r="S137" s="7" t="n">
        <f aca="false">IF(AND(H137&gt;='Exec Summary'!$E$1,H137&lt;='Exec Summary'!$E$2),1,0)</f>
        <v>0</v>
      </c>
      <c r="T137" s="7" t="n">
        <f aca="false">IF(AND(F137="Closed",I137&lt;&gt;"",I137&gt;='Exec Summary'!$E$1,I137&lt;='Exec Summary'!$E$2),1,0)</f>
        <v>0</v>
      </c>
      <c r="U137" s="7" t="n">
        <f aca="false">IF(F137="Reopened",1,0)</f>
        <v>0</v>
      </c>
      <c r="V137" s="7" t="n">
        <f aca="false">IF(AND(R137=1,O137&gt;Q137),1,0)</f>
        <v>1</v>
      </c>
      <c r="W137" s="7" t="n">
        <f aca="false">IF(AND(T137=1,P137&lt;&gt;"",P137&lt;=Q137),1,0)</f>
        <v>0</v>
      </c>
    </row>
    <row r="138" customFormat="false" ht="15" hidden="false" customHeight="false" outlineLevel="0" collapsed="false">
      <c r="A138" s="7" t="s">
        <v>263</v>
      </c>
      <c r="B138" s="7" t="s">
        <v>46</v>
      </c>
      <c r="C138" s="7" t="s">
        <v>47</v>
      </c>
      <c r="D138" s="7" t="s">
        <v>65</v>
      </c>
      <c r="E138" s="7" t="s">
        <v>66</v>
      </c>
      <c r="F138" s="7" t="s">
        <v>56</v>
      </c>
      <c r="G138" s="7" t="s">
        <v>19</v>
      </c>
      <c r="H138" s="9" t="n">
        <v>45991</v>
      </c>
      <c r="I138" s="9"/>
      <c r="J138" s="7" t="n">
        <v>9.8</v>
      </c>
      <c r="K138" s="7" t="s">
        <v>51</v>
      </c>
      <c r="L138" s="7" t="s">
        <v>21</v>
      </c>
      <c r="M138" s="7" t="s">
        <v>273</v>
      </c>
      <c r="N138" s="7" t="s">
        <v>58</v>
      </c>
      <c r="O138" s="10" t="n">
        <f aca="false">'Exec Summary'!$E$2-H138</f>
        <v>243</v>
      </c>
      <c r="P138" s="10" t="str">
        <f aca="false">IF(I138="","",I138-H138)</f>
        <v/>
      </c>
      <c r="Q138" s="10" t="n">
        <f aca="false">VLOOKUP(G138,$AA$2:$AB$5,2,FALSE())</f>
        <v>15</v>
      </c>
      <c r="R138" s="7" t="n">
        <f aca="false">IF(OR(F138="Open",F138="Reopened"),1,0)</f>
        <v>1</v>
      </c>
      <c r="S138" s="7" t="n">
        <f aca="false">IF(AND(H138&gt;='Exec Summary'!$E$1,H138&lt;='Exec Summary'!$E$2),1,0)</f>
        <v>0</v>
      </c>
      <c r="T138" s="7" t="n">
        <f aca="false">IF(AND(F138="Closed",I138&lt;&gt;"",I138&gt;='Exec Summary'!$E$1,I138&lt;='Exec Summary'!$E$2),1,0)</f>
        <v>0</v>
      </c>
      <c r="U138" s="7" t="n">
        <f aca="false">IF(F138="Reopened",1,0)</f>
        <v>0</v>
      </c>
      <c r="V138" s="7" t="n">
        <f aca="false">IF(AND(R138=1,O138&gt;Q138),1,0)</f>
        <v>1</v>
      </c>
      <c r="W138" s="7" t="n">
        <f aca="false">IF(AND(T138=1,P138&lt;&gt;"",P138&lt;=Q138),1,0)</f>
        <v>0</v>
      </c>
    </row>
    <row r="139" customFormat="false" ht="15" hidden="false" customHeight="false" outlineLevel="0" collapsed="false">
      <c r="A139" s="7" t="s">
        <v>263</v>
      </c>
      <c r="B139" s="7" t="s">
        <v>46</v>
      </c>
      <c r="C139" s="7" t="s">
        <v>47</v>
      </c>
      <c r="D139" s="7" t="s">
        <v>101</v>
      </c>
      <c r="E139" s="7" t="s">
        <v>102</v>
      </c>
      <c r="F139" s="7" t="s">
        <v>123</v>
      </c>
      <c r="G139" s="7" t="s">
        <v>19</v>
      </c>
      <c r="H139" s="9" t="n">
        <v>46121</v>
      </c>
      <c r="I139" s="9" t="n">
        <v>46128</v>
      </c>
      <c r="J139" s="7" t="n">
        <v>10</v>
      </c>
      <c r="K139" s="7" t="s">
        <v>51</v>
      </c>
      <c r="L139" s="7" t="s">
        <v>21</v>
      </c>
      <c r="M139" s="7" t="s">
        <v>274</v>
      </c>
      <c r="N139" s="7" t="s">
        <v>58</v>
      </c>
      <c r="O139" s="10" t="n">
        <f aca="false">'Exec Summary'!$E$2-H139</f>
        <v>113</v>
      </c>
      <c r="P139" s="10" t="n">
        <f aca="false">IF(I139="","",I139-H139)</f>
        <v>7</v>
      </c>
      <c r="Q139" s="10" t="n">
        <f aca="false">VLOOKUP(G139,$AA$2:$AB$5,2,FALSE())</f>
        <v>15</v>
      </c>
      <c r="R139" s="7" t="n">
        <f aca="false">IF(OR(F139="Open",F139="Reopened"),1,0)</f>
        <v>1</v>
      </c>
      <c r="S139" s="7" t="n">
        <f aca="false">IF(AND(H139&gt;='Exec Summary'!$E$1,H139&lt;='Exec Summary'!$E$2),1,0)</f>
        <v>0</v>
      </c>
      <c r="T139" s="7" t="n">
        <f aca="false">IF(AND(F139="Closed",I139&lt;&gt;"",I139&gt;='Exec Summary'!$E$1,I139&lt;='Exec Summary'!$E$2),1,0)</f>
        <v>0</v>
      </c>
      <c r="U139" s="7" t="n">
        <f aca="false">IF(F139="Reopened",1,0)</f>
        <v>1</v>
      </c>
      <c r="V139" s="7" t="n">
        <f aca="false">IF(AND(R139=1,O139&gt;Q139),1,0)</f>
        <v>1</v>
      </c>
      <c r="W139" s="7" t="n">
        <f aca="false">IF(AND(T139=1,P139&lt;&gt;"",P139&lt;=Q139),1,0)</f>
        <v>0</v>
      </c>
    </row>
    <row r="140" customFormat="false" ht="15" hidden="false" customHeight="false" outlineLevel="0" collapsed="false">
      <c r="A140" s="7" t="s">
        <v>263</v>
      </c>
      <c r="B140" s="7" t="s">
        <v>46</v>
      </c>
      <c r="C140" s="7" t="s">
        <v>47</v>
      </c>
      <c r="D140" s="7" t="s">
        <v>145</v>
      </c>
      <c r="E140" s="7" t="s">
        <v>146</v>
      </c>
      <c r="F140" s="7" t="s">
        <v>56</v>
      </c>
      <c r="G140" s="7" t="s">
        <v>19</v>
      </c>
      <c r="H140" s="9" t="n">
        <v>46020</v>
      </c>
      <c r="I140" s="9"/>
      <c r="J140" s="7" t="n">
        <v>9.8</v>
      </c>
      <c r="K140" s="7" t="s">
        <v>51</v>
      </c>
      <c r="L140" s="7" t="s">
        <v>21</v>
      </c>
      <c r="M140" s="7" t="s">
        <v>275</v>
      </c>
      <c r="N140" s="7" t="s">
        <v>58</v>
      </c>
      <c r="O140" s="10" t="n">
        <f aca="false">'Exec Summary'!$E$2-H140</f>
        <v>214</v>
      </c>
      <c r="P140" s="10" t="str">
        <f aca="false">IF(I140="","",I140-H140)</f>
        <v/>
      </c>
      <c r="Q140" s="10" t="n">
        <f aca="false">VLOOKUP(G140,$AA$2:$AB$5,2,FALSE())</f>
        <v>15</v>
      </c>
      <c r="R140" s="7" t="n">
        <f aca="false">IF(OR(F140="Open",F140="Reopened"),1,0)</f>
        <v>1</v>
      </c>
      <c r="S140" s="7" t="n">
        <f aca="false">IF(AND(H140&gt;='Exec Summary'!$E$1,H140&lt;='Exec Summary'!$E$2),1,0)</f>
        <v>0</v>
      </c>
      <c r="T140" s="7" t="n">
        <f aca="false">IF(AND(F140="Closed",I140&lt;&gt;"",I140&gt;='Exec Summary'!$E$1,I140&lt;='Exec Summary'!$E$2),1,0)</f>
        <v>0</v>
      </c>
      <c r="U140" s="7" t="n">
        <f aca="false">IF(F140="Reopened",1,0)</f>
        <v>0</v>
      </c>
      <c r="V140" s="7" t="n">
        <f aca="false">IF(AND(R140=1,O140&gt;Q140),1,0)</f>
        <v>1</v>
      </c>
      <c r="W140" s="7" t="n">
        <f aca="false">IF(AND(T140=1,P140&lt;&gt;"",P140&lt;=Q140),1,0)</f>
        <v>0</v>
      </c>
    </row>
    <row r="141" customFormat="false" ht="15" hidden="false" customHeight="false" outlineLevel="0" collapsed="false">
      <c r="A141" s="7" t="s">
        <v>263</v>
      </c>
      <c r="B141" s="7" t="s">
        <v>46</v>
      </c>
      <c r="C141" s="7" t="s">
        <v>47</v>
      </c>
      <c r="D141" s="7" t="s">
        <v>74</v>
      </c>
      <c r="E141" s="7" t="s">
        <v>75</v>
      </c>
      <c r="F141" s="7" t="s">
        <v>50</v>
      </c>
      <c r="G141" s="7" t="s">
        <v>21</v>
      </c>
      <c r="H141" s="9" t="n">
        <v>46008</v>
      </c>
      <c r="I141" s="9" t="n">
        <v>46124</v>
      </c>
      <c r="J141" s="7" t="n">
        <v>6.5</v>
      </c>
      <c r="K141" s="7" t="s">
        <v>51</v>
      </c>
      <c r="L141" s="7" t="s">
        <v>21</v>
      </c>
      <c r="M141" s="7" t="s">
        <v>276</v>
      </c>
      <c r="N141" s="7" t="s">
        <v>77</v>
      </c>
      <c r="O141" s="10" t="n">
        <f aca="false">'Exec Summary'!$E$2-H141</f>
        <v>226</v>
      </c>
      <c r="P141" s="10" t="n">
        <f aca="false">IF(I141="","",I141-H141)</f>
        <v>116</v>
      </c>
      <c r="Q141" s="10" t="n">
        <f aca="false">VLOOKUP(G141,$AA$2:$AB$5,2,FALSE())</f>
        <v>90</v>
      </c>
      <c r="R141" s="7" t="n">
        <f aca="false">IF(OR(F141="Open",F141="Reopened"),1,0)</f>
        <v>0</v>
      </c>
      <c r="S141" s="7" t="n">
        <f aca="false">IF(AND(H141&gt;='Exec Summary'!$E$1,H141&lt;='Exec Summary'!$E$2),1,0)</f>
        <v>0</v>
      </c>
      <c r="T141" s="7" t="n">
        <f aca="false">IF(AND(F141="Closed",I141&lt;&gt;"",I141&gt;='Exec Summary'!$E$1,I141&lt;='Exec Summary'!$E$2),1,0)</f>
        <v>0</v>
      </c>
      <c r="U141" s="7" t="n">
        <f aca="false">IF(F141="Reopened",1,0)</f>
        <v>0</v>
      </c>
      <c r="V141" s="7" t="n">
        <f aca="false">IF(AND(R141=1,O141&gt;Q141),1,0)</f>
        <v>0</v>
      </c>
      <c r="W141" s="7" t="n">
        <f aca="false">IF(AND(T141=1,P141&lt;&gt;"",P141&lt;=Q141),1,0)</f>
        <v>0</v>
      </c>
    </row>
    <row r="142" customFormat="false" ht="15" hidden="false" customHeight="false" outlineLevel="0" collapsed="false">
      <c r="A142" s="7" t="s">
        <v>277</v>
      </c>
      <c r="B142" s="7" t="s">
        <v>46</v>
      </c>
      <c r="C142" s="7" t="s">
        <v>47</v>
      </c>
      <c r="D142" s="7" t="s">
        <v>192</v>
      </c>
      <c r="E142" s="7" t="s">
        <v>193</v>
      </c>
      <c r="F142" s="7" t="s">
        <v>50</v>
      </c>
      <c r="G142" s="7" t="s">
        <v>19</v>
      </c>
      <c r="H142" s="9" t="n">
        <v>45945</v>
      </c>
      <c r="I142" s="9" t="n">
        <v>45955</v>
      </c>
      <c r="J142" s="7" t="n">
        <v>9.8</v>
      </c>
      <c r="K142" s="7" t="s">
        <v>51</v>
      </c>
      <c r="L142" s="7" t="s">
        <v>21</v>
      </c>
      <c r="M142" s="7" t="s">
        <v>278</v>
      </c>
      <c r="N142" s="7" t="s">
        <v>58</v>
      </c>
      <c r="O142" s="10" t="n">
        <f aca="false">'Exec Summary'!$E$2-H142</f>
        <v>289</v>
      </c>
      <c r="P142" s="10" t="n">
        <f aca="false">IF(I142="","",I142-H142)</f>
        <v>10</v>
      </c>
      <c r="Q142" s="10" t="n">
        <f aca="false">VLOOKUP(G142,$AA$2:$AB$5,2,FALSE())</f>
        <v>15</v>
      </c>
      <c r="R142" s="7" t="n">
        <f aca="false">IF(OR(F142="Open",F142="Reopened"),1,0)</f>
        <v>0</v>
      </c>
      <c r="S142" s="7" t="n">
        <f aca="false">IF(AND(H142&gt;='Exec Summary'!$E$1,H142&lt;='Exec Summary'!$E$2),1,0)</f>
        <v>0</v>
      </c>
      <c r="T142" s="7" t="n">
        <f aca="false">IF(AND(F142="Closed",I142&lt;&gt;"",I142&gt;='Exec Summary'!$E$1,I142&lt;='Exec Summary'!$E$2),1,0)</f>
        <v>0</v>
      </c>
      <c r="U142" s="7" t="n">
        <f aca="false">IF(F142="Reopened",1,0)</f>
        <v>0</v>
      </c>
      <c r="V142" s="7" t="n">
        <f aca="false">IF(AND(R142=1,O142&gt;Q142),1,0)</f>
        <v>0</v>
      </c>
      <c r="W142" s="7" t="n">
        <f aca="false">IF(AND(T142=1,P142&lt;&gt;"",P142&lt;=Q142),1,0)</f>
        <v>0</v>
      </c>
    </row>
    <row r="143" customFormat="false" ht="15" hidden="false" customHeight="false" outlineLevel="0" collapsed="false">
      <c r="A143" s="7" t="s">
        <v>277</v>
      </c>
      <c r="B143" s="7" t="s">
        <v>46</v>
      </c>
      <c r="C143" s="7" t="s">
        <v>47</v>
      </c>
      <c r="D143" s="7" t="s">
        <v>54</v>
      </c>
      <c r="E143" s="7" t="s">
        <v>55</v>
      </c>
      <c r="F143" s="7" t="s">
        <v>50</v>
      </c>
      <c r="G143" s="7" t="s">
        <v>19</v>
      </c>
      <c r="H143" s="9" t="n">
        <v>46214</v>
      </c>
      <c r="I143" s="9" t="n">
        <v>46220</v>
      </c>
      <c r="J143" s="7" t="n">
        <v>9.8</v>
      </c>
      <c r="K143" s="7" t="s">
        <v>51</v>
      </c>
      <c r="L143" s="7" t="s">
        <v>21</v>
      </c>
      <c r="M143" s="7" t="s">
        <v>279</v>
      </c>
      <c r="N143" s="7" t="s">
        <v>58</v>
      </c>
      <c r="O143" s="10" t="n">
        <f aca="false">'Exec Summary'!$E$2-H143</f>
        <v>20</v>
      </c>
      <c r="P143" s="10" t="n">
        <f aca="false">IF(I143="","",I143-H143)</f>
        <v>6</v>
      </c>
      <c r="Q143" s="10" t="n">
        <f aca="false">VLOOKUP(G143,$AA$2:$AB$5,2,FALSE())</f>
        <v>15</v>
      </c>
      <c r="R143" s="7" t="n">
        <f aca="false">IF(OR(F143="Open",F143="Reopened"),1,0)</f>
        <v>0</v>
      </c>
      <c r="S143" s="7" t="n">
        <f aca="false">IF(AND(H143&gt;='Exec Summary'!$E$1,H143&lt;='Exec Summary'!$E$2),1,0)</f>
        <v>1</v>
      </c>
      <c r="T143" s="7" t="n">
        <f aca="false">IF(AND(F143="Closed",I143&lt;&gt;"",I143&gt;='Exec Summary'!$E$1,I143&lt;='Exec Summary'!$E$2),1,0)</f>
        <v>1</v>
      </c>
      <c r="U143" s="7" t="n">
        <f aca="false">IF(F143="Reopened",1,0)</f>
        <v>0</v>
      </c>
      <c r="V143" s="7" t="n">
        <f aca="false">IF(AND(R143=1,O143&gt;Q143),1,0)</f>
        <v>0</v>
      </c>
      <c r="W143" s="7" t="n">
        <f aca="false">IF(AND(T143=1,P143&lt;&gt;"",P143&lt;=Q143),1,0)</f>
        <v>1</v>
      </c>
    </row>
    <row r="144" customFormat="false" ht="15" hidden="false" customHeight="false" outlineLevel="0" collapsed="false">
      <c r="A144" s="7" t="s">
        <v>277</v>
      </c>
      <c r="B144" s="7" t="s">
        <v>46</v>
      </c>
      <c r="C144" s="7" t="s">
        <v>47</v>
      </c>
      <c r="D144" s="7" t="s">
        <v>65</v>
      </c>
      <c r="E144" s="7" t="s">
        <v>66</v>
      </c>
      <c r="F144" s="7" t="s">
        <v>50</v>
      </c>
      <c r="G144" s="7" t="s">
        <v>19</v>
      </c>
      <c r="H144" s="9" t="n">
        <v>45943</v>
      </c>
      <c r="I144" s="9" t="n">
        <v>45961</v>
      </c>
      <c r="J144" s="7" t="n">
        <v>9.8</v>
      </c>
      <c r="K144" s="7" t="s">
        <v>51</v>
      </c>
      <c r="L144" s="7" t="s">
        <v>21</v>
      </c>
      <c r="M144" s="7" t="s">
        <v>280</v>
      </c>
      <c r="N144" s="7" t="s">
        <v>58</v>
      </c>
      <c r="O144" s="10" t="n">
        <f aca="false">'Exec Summary'!$E$2-H144</f>
        <v>291</v>
      </c>
      <c r="P144" s="10" t="n">
        <f aca="false">IF(I144="","",I144-H144)</f>
        <v>18</v>
      </c>
      <c r="Q144" s="10" t="n">
        <f aca="false">VLOOKUP(G144,$AA$2:$AB$5,2,FALSE())</f>
        <v>15</v>
      </c>
      <c r="R144" s="7" t="n">
        <f aca="false">IF(OR(F144="Open",F144="Reopened"),1,0)</f>
        <v>0</v>
      </c>
      <c r="S144" s="7" t="n">
        <f aca="false">IF(AND(H144&gt;='Exec Summary'!$E$1,H144&lt;='Exec Summary'!$E$2),1,0)</f>
        <v>0</v>
      </c>
      <c r="T144" s="7" t="n">
        <f aca="false">IF(AND(F144="Closed",I144&lt;&gt;"",I144&gt;='Exec Summary'!$E$1,I144&lt;='Exec Summary'!$E$2),1,0)</f>
        <v>0</v>
      </c>
      <c r="U144" s="7" t="n">
        <f aca="false">IF(F144="Reopened",1,0)</f>
        <v>0</v>
      </c>
      <c r="V144" s="7" t="n">
        <f aca="false">IF(AND(R144=1,O144&gt;Q144),1,0)</f>
        <v>0</v>
      </c>
      <c r="W144" s="7" t="n">
        <f aca="false">IF(AND(T144=1,P144&lt;&gt;"",P144&lt;=Q144),1,0)</f>
        <v>0</v>
      </c>
    </row>
    <row r="145" customFormat="false" ht="15" hidden="false" customHeight="false" outlineLevel="0" collapsed="false">
      <c r="A145" s="7" t="s">
        <v>277</v>
      </c>
      <c r="B145" s="7" t="s">
        <v>46</v>
      </c>
      <c r="C145" s="7" t="s">
        <v>47</v>
      </c>
      <c r="D145" s="7" t="s">
        <v>68</v>
      </c>
      <c r="E145" s="7" t="s">
        <v>69</v>
      </c>
      <c r="F145" s="7" t="s">
        <v>50</v>
      </c>
      <c r="G145" s="7" t="s">
        <v>19</v>
      </c>
      <c r="H145" s="9" t="n">
        <v>46079</v>
      </c>
      <c r="I145" s="9" t="n">
        <v>46085</v>
      </c>
      <c r="J145" s="7" t="n">
        <v>9.8</v>
      </c>
      <c r="K145" s="7" t="s">
        <v>51</v>
      </c>
      <c r="L145" s="7" t="s">
        <v>21</v>
      </c>
      <c r="M145" s="7" t="s">
        <v>281</v>
      </c>
      <c r="N145" s="7" t="s">
        <v>58</v>
      </c>
      <c r="O145" s="10" t="n">
        <f aca="false">'Exec Summary'!$E$2-H145</f>
        <v>155</v>
      </c>
      <c r="P145" s="10" t="n">
        <f aca="false">IF(I145="","",I145-H145)</f>
        <v>6</v>
      </c>
      <c r="Q145" s="10" t="n">
        <f aca="false">VLOOKUP(G145,$AA$2:$AB$5,2,FALSE())</f>
        <v>15</v>
      </c>
      <c r="R145" s="7" t="n">
        <f aca="false">IF(OR(F145="Open",F145="Reopened"),1,0)</f>
        <v>0</v>
      </c>
      <c r="S145" s="7" t="n">
        <f aca="false">IF(AND(H145&gt;='Exec Summary'!$E$1,H145&lt;='Exec Summary'!$E$2),1,0)</f>
        <v>0</v>
      </c>
      <c r="T145" s="7" t="n">
        <f aca="false">IF(AND(F145="Closed",I145&lt;&gt;"",I145&gt;='Exec Summary'!$E$1,I145&lt;='Exec Summary'!$E$2),1,0)</f>
        <v>0</v>
      </c>
      <c r="U145" s="7" t="n">
        <f aca="false">IF(F145="Reopened",1,0)</f>
        <v>0</v>
      </c>
      <c r="V145" s="7" t="n">
        <f aca="false">IF(AND(R145=1,O145&gt;Q145),1,0)</f>
        <v>0</v>
      </c>
      <c r="W145" s="7" t="n">
        <f aca="false">IF(AND(T145=1,P145&lt;&gt;"",P145&lt;=Q145),1,0)</f>
        <v>0</v>
      </c>
    </row>
    <row r="146" customFormat="false" ht="15" hidden="false" customHeight="false" outlineLevel="0" collapsed="false">
      <c r="A146" s="7" t="s">
        <v>277</v>
      </c>
      <c r="B146" s="7" t="s">
        <v>46</v>
      </c>
      <c r="C146" s="7" t="s">
        <v>47</v>
      </c>
      <c r="D146" s="7" t="s">
        <v>87</v>
      </c>
      <c r="E146" s="7" t="s">
        <v>88</v>
      </c>
      <c r="F146" s="7" t="s">
        <v>50</v>
      </c>
      <c r="G146" s="7" t="s">
        <v>19</v>
      </c>
      <c r="H146" s="9" t="n">
        <v>45961</v>
      </c>
      <c r="I146" s="9" t="n">
        <v>45974</v>
      </c>
      <c r="J146" s="7" t="n">
        <v>10</v>
      </c>
      <c r="K146" s="7" t="s">
        <v>51</v>
      </c>
      <c r="L146" s="7" t="s">
        <v>21</v>
      </c>
      <c r="M146" s="7" t="s">
        <v>282</v>
      </c>
      <c r="N146" s="7" t="s">
        <v>58</v>
      </c>
      <c r="O146" s="10" t="n">
        <f aca="false">'Exec Summary'!$E$2-H146</f>
        <v>273</v>
      </c>
      <c r="P146" s="10" t="n">
        <f aca="false">IF(I146="","",I146-H146)</f>
        <v>13</v>
      </c>
      <c r="Q146" s="10" t="n">
        <f aca="false">VLOOKUP(G146,$AA$2:$AB$5,2,FALSE())</f>
        <v>15</v>
      </c>
      <c r="R146" s="7" t="n">
        <f aca="false">IF(OR(F146="Open",F146="Reopened"),1,0)</f>
        <v>0</v>
      </c>
      <c r="S146" s="7" t="n">
        <f aca="false">IF(AND(H146&gt;='Exec Summary'!$E$1,H146&lt;='Exec Summary'!$E$2),1,0)</f>
        <v>0</v>
      </c>
      <c r="T146" s="7" t="n">
        <f aca="false">IF(AND(F146="Closed",I146&lt;&gt;"",I146&gt;='Exec Summary'!$E$1,I146&lt;='Exec Summary'!$E$2),1,0)</f>
        <v>0</v>
      </c>
      <c r="U146" s="7" t="n">
        <f aca="false">IF(F146="Reopened",1,0)</f>
        <v>0</v>
      </c>
      <c r="V146" s="7" t="n">
        <f aca="false">IF(AND(R146=1,O146&gt;Q146),1,0)</f>
        <v>0</v>
      </c>
      <c r="W146" s="7" t="n">
        <f aca="false">IF(AND(T146=1,P146&lt;&gt;"",P146&lt;=Q146),1,0)</f>
        <v>0</v>
      </c>
    </row>
    <row r="147" customFormat="false" ht="15" hidden="false" customHeight="false" outlineLevel="0" collapsed="false">
      <c r="A147" s="7" t="s">
        <v>277</v>
      </c>
      <c r="B147" s="7" t="s">
        <v>46</v>
      </c>
      <c r="C147" s="7" t="s">
        <v>47</v>
      </c>
      <c r="D147" s="7" t="s">
        <v>101</v>
      </c>
      <c r="E147" s="7" t="s">
        <v>102</v>
      </c>
      <c r="F147" s="7" t="s">
        <v>50</v>
      </c>
      <c r="G147" s="7" t="s">
        <v>19</v>
      </c>
      <c r="H147" s="9" t="n">
        <v>45989</v>
      </c>
      <c r="I147" s="9" t="n">
        <v>45999</v>
      </c>
      <c r="J147" s="7" t="n">
        <v>10</v>
      </c>
      <c r="K147" s="7" t="s">
        <v>51</v>
      </c>
      <c r="L147" s="7" t="s">
        <v>21</v>
      </c>
      <c r="M147" s="7" t="s">
        <v>283</v>
      </c>
      <c r="N147" s="7" t="s">
        <v>58</v>
      </c>
      <c r="O147" s="10" t="n">
        <f aca="false">'Exec Summary'!$E$2-H147</f>
        <v>245</v>
      </c>
      <c r="P147" s="10" t="n">
        <f aca="false">IF(I147="","",I147-H147)</f>
        <v>10</v>
      </c>
      <c r="Q147" s="10" t="n">
        <f aca="false">VLOOKUP(G147,$AA$2:$AB$5,2,FALSE())</f>
        <v>15</v>
      </c>
      <c r="R147" s="7" t="n">
        <f aca="false">IF(OR(F147="Open",F147="Reopened"),1,0)</f>
        <v>0</v>
      </c>
      <c r="S147" s="7" t="n">
        <f aca="false">IF(AND(H147&gt;='Exec Summary'!$E$1,H147&lt;='Exec Summary'!$E$2),1,0)</f>
        <v>0</v>
      </c>
      <c r="T147" s="7" t="n">
        <f aca="false">IF(AND(F147="Closed",I147&lt;&gt;"",I147&gt;='Exec Summary'!$E$1,I147&lt;='Exec Summary'!$E$2),1,0)</f>
        <v>0</v>
      </c>
      <c r="U147" s="7" t="n">
        <f aca="false">IF(F147="Reopened",1,0)</f>
        <v>0</v>
      </c>
      <c r="V147" s="7" t="n">
        <f aca="false">IF(AND(R147=1,O147&gt;Q147),1,0)</f>
        <v>0</v>
      </c>
      <c r="W147" s="7" t="n">
        <f aca="false">IF(AND(T147=1,P147&lt;&gt;"",P147&lt;=Q147),1,0)</f>
        <v>0</v>
      </c>
    </row>
    <row r="148" customFormat="false" ht="15" hidden="false" customHeight="false" outlineLevel="0" collapsed="false">
      <c r="A148" s="7" t="s">
        <v>277</v>
      </c>
      <c r="B148" s="7" t="s">
        <v>46</v>
      </c>
      <c r="C148" s="7" t="s">
        <v>47</v>
      </c>
      <c r="D148" s="7" t="s">
        <v>163</v>
      </c>
      <c r="E148" s="7" t="s">
        <v>164</v>
      </c>
      <c r="F148" s="7" t="s">
        <v>56</v>
      </c>
      <c r="G148" s="7" t="s">
        <v>19</v>
      </c>
      <c r="H148" s="9" t="n">
        <v>46052</v>
      </c>
      <c r="I148" s="9"/>
      <c r="J148" s="7" t="n">
        <v>9.1</v>
      </c>
      <c r="K148" s="7" t="s">
        <v>51</v>
      </c>
      <c r="L148" s="7" t="s">
        <v>21</v>
      </c>
      <c r="M148" s="7" t="s">
        <v>284</v>
      </c>
      <c r="N148" s="7" t="s">
        <v>58</v>
      </c>
      <c r="O148" s="10" t="n">
        <f aca="false">'Exec Summary'!$E$2-H148</f>
        <v>182</v>
      </c>
      <c r="P148" s="10" t="str">
        <f aca="false">IF(I148="","",I148-H148)</f>
        <v/>
      </c>
      <c r="Q148" s="10" t="n">
        <f aca="false">VLOOKUP(G148,$AA$2:$AB$5,2,FALSE())</f>
        <v>15</v>
      </c>
      <c r="R148" s="7" t="n">
        <f aca="false">IF(OR(F148="Open",F148="Reopened"),1,0)</f>
        <v>1</v>
      </c>
      <c r="S148" s="7" t="n">
        <f aca="false">IF(AND(H148&gt;='Exec Summary'!$E$1,H148&lt;='Exec Summary'!$E$2),1,0)</f>
        <v>0</v>
      </c>
      <c r="T148" s="7" t="n">
        <f aca="false">IF(AND(F148="Closed",I148&lt;&gt;"",I148&gt;='Exec Summary'!$E$1,I148&lt;='Exec Summary'!$E$2),1,0)</f>
        <v>0</v>
      </c>
      <c r="U148" s="7" t="n">
        <f aca="false">IF(F148="Reopened",1,0)</f>
        <v>0</v>
      </c>
      <c r="V148" s="7" t="n">
        <f aca="false">IF(AND(R148=1,O148&gt;Q148),1,0)</f>
        <v>1</v>
      </c>
      <c r="W148" s="7" t="n">
        <f aca="false">IF(AND(T148=1,P148&lt;&gt;"",P148&lt;=Q148),1,0)</f>
        <v>0</v>
      </c>
    </row>
    <row r="149" customFormat="false" ht="15" hidden="false" customHeight="false" outlineLevel="0" collapsed="false">
      <c r="A149" s="7" t="s">
        <v>277</v>
      </c>
      <c r="B149" s="7" t="s">
        <v>46</v>
      </c>
      <c r="C149" s="7" t="s">
        <v>47</v>
      </c>
      <c r="D149" s="7" t="s">
        <v>173</v>
      </c>
      <c r="E149" s="7" t="s">
        <v>174</v>
      </c>
      <c r="F149" s="7" t="s">
        <v>56</v>
      </c>
      <c r="G149" s="7" t="s">
        <v>19</v>
      </c>
      <c r="H149" s="9" t="n">
        <v>45984</v>
      </c>
      <c r="I149" s="9"/>
      <c r="J149" s="7" t="n">
        <v>9.8</v>
      </c>
      <c r="K149" s="7" t="s">
        <v>51</v>
      </c>
      <c r="L149" s="7" t="s">
        <v>21</v>
      </c>
      <c r="M149" s="7" t="s">
        <v>285</v>
      </c>
      <c r="N149" s="7" t="s">
        <v>58</v>
      </c>
      <c r="O149" s="10" t="n">
        <f aca="false">'Exec Summary'!$E$2-H149</f>
        <v>250</v>
      </c>
      <c r="P149" s="10" t="str">
        <f aca="false">IF(I149="","",I149-H149)</f>
        <v/>
      </c>
      <c r="Q149" s="10" t="n">
        <f aca="false">VLOOKUP(G149,$AA$2:$AB$5,2,FALSE())</f>
        <v>15</v>
      </c>
      <c r="R149" s="7" t="n">
        <f aca="false">IF(OR(F149="Open",F149="Reopened"),1,0)</f>
        <v>1</v>
      </c>
      <c r="S149" s="7" t="n">
        <f aca="false">IF(AND(H149&gt;='Exec Summary'!$E$1,H149&lt;='Exec Summary'!$E$2),1,0)</f>
        <v>0</v>
      </c>
      <c r="T149" s="7" t="n">
        <f aca="false">IF(AND(F149="Closed",I149&lt;&gt;"",I149&gt;='Exec Summary'!$E$1,I149&lt;='Exec Summary'!$E$2),1,0)</f>
        <v>0</v>
      </c>
      <c r="U149" s="7" t="n">
        <f aca="false">IF(F149="Reopened",1,0)</f>
        <v>0</v>
      </c>
      <c r="V149" s="7" t="n">
        <f aca="false">IF(AND(R149=1,O149&gt;Q149),1,0)</f>
        <v>1</v>
      </c>
      <c r="W149" s="7" t="n">
        <f aca="false">IF(AND(T149=1,P149&lt;&gt;"",P149&lt;=Q149),1,0)</f>
        <v>0</v>
      </c>
    </row>
    <row r="150" customFormat="false" ht="15" hidden="false" customHeight="false" outlineLevel="0" collapsed="false">
      <c r="A150" s="7" t="s">
        <v>277</v>
      </c>
      <c r="B150" s="7" t="s">
        <v>46</v>
      </c>
      <c r="C150" s="7" t="s">
        <v>47</v>
      </c>
      <c r="D150" s="7" t="s">
        <v>131</v>
      </c>
      <c r="E150" s="7" t="s">
        <v>132</v>
      </c>
      <c r="F150" s="7" t="s">
        <v>50</v>
      </c>
      <c r="G150" s="7" t="s">
        <v>19</v>
      </c>
      <c r="H150" s="9" t="n">
        <v>46206</v>
      </c>
      <c r="I150" s="9" t="n">
        <v>46222</v>
      </c>
      <c r="J150" s="7" t="n">
        <v>9.8</v>
      </c>
      <c r="K150" s="7" t="s">
        <v>51</v>
      </c>
      <c r="L150" s="7" t="s">
        <v>21</v>
      </c>
      <c r="M150" s="7" t="s">
        <v>286</v>
      </c>
      <c r="N150" s="7" t="s">
        <v>58</v>
      </c>
      <c r="O150" s="10" t="n">
        <f aca="false">'Exec Summary'!$E$2-H150</f>
        <v>28</v>
      </c>
      <c r="P150" s="10" t="n">
        <f aca="false">IF(I150="","",I150-H150)</f>
        <v>16</v>
      </c>
      <c r="Q150" s="10" t="n">
        <f aca="false">VLOOKUP(G150,$AA$2:$AB$5,2,FALSE())</f>
        <v>15</v>
      </c>
      <c r="R150" s="7" t="n">
        <f aca="false">IF(OR(F150="Open",F150="Reopened"),1,0)</f>
        <v>0</v>
      </c>
      <c r="S150" s="7" t="n">
        <f aca="false">IF(AND(H150&gt;='Exec Summary'!$E$1,H150&lt;='Exec Summary'!$E$2),1,0)</f>
        <v>1</v>
      </c>
      <c r="T150" s="7" t="n">
        <f aca="false">IF(AND(F150="Closed",I150&lt;&gt;"",I150&gt;='Exec Summary'!$E$1,I150&lt;='Exec Summary'!$E$2),1,0)</f>
        <v>1</v>
      </c>
      <c r="U150" s="7" t="n">
        <f aca="false">IF(F150="Reopened",1,0)</f>
        <v>0</v>
      </c>
      <c r="V150" s="7" t="n">
        <f aca="false">IF(AND(R150=1,O150&gt;Q150),1,0)</f>
        <v>0</v>
      </c>
      <c r="W150" s="7" t="n">
        <f aca="false">IF(AND(T150=1,P150&lt;&gt;"",P150&lt;=Q150),1,0)</f>
        <v>0</v>
      </c>
    </row>
    <row r="151" customFormat="false" ht="15" hidden="false" customHeight="false" outlineLevel="0" collapsed="false">
      <c r="A151" s="7" t="s">
        <v>277</v>
      </c>
      <c r="B151" s="7" t="s">
        <v>46</v>
      </c>
      <c r="C151" s="7" t="s">
        <v>47</v>
      </c>
      <c r="D151" s="7" t="s">
        <v>120</v>
      </c>
      <c r="E151" s="7" t="s">
        <v>121</v>
      </c>
      <c r="F151" s="7" t="s">
        <v>50</v>
      </c>
      <c r="G151" s="7" t="s">
        <v>19</v>
      </c>
      <c r="H151" s="9" t="n">
        <v>45954</v>
      </c>
      <c r="I151" s="9" t="n">
        <v>45981</v>
      </c>
      <c r="J151" s="7" t="n">
        <v>8.8</v>
      </c>
      <c r="K151" s="7" t="s">
        <v>51</v>
      </c>
      <c r="L151" s="7" t="s">
        <v>21</v>
      </c>
      <c r="M151" s="7" t="s">
        <v>287</v>
      </c>
      <c r="N151" s="7" t="s">
        <v>58</v>
      </c>
      <c r="O151" s="10" t="n">
        <f aca="false">'Exec Summary'!$E$2-H151</f>
        <v>280</v>
      </c>
      <c r="P151" s="10" t="n">
        <f aca="false">IF(I151="","",I151-H151)</f>
        <v>27</v>
      </c>
      <c r="Q151" s="10" t="n">
        <f aca="false">VLOOKUP(G151,$AA$2:$AB$5,2,FALSE())</f>
        <v>15</v>
      </c>
      <c r="R151" s="7" t="n">
        <f aca="false">IF(OR(F151="Open",F151="Reopened"),1,0)</f>
        <v>0</v>
      </c>
      <c r="S151" s="7" t="n">
        <f aca="false">IF(AND(H151&gt;='Exec Summary'!$E$1,H151&lt;='Exec Summary'!$E$2),1,0)</f>
        <v>0</v>
      </c>
      <c r="T151" s="7" t="n">
        <f aca="false">IF(AND(F151="Closed",I151&lt;&gt;"",I151&gt;='Exec Summary'!$E$1,I151&lt;='Exec Summary'!$E$2),1,0)</f>
        <v>0</v>
      </c>
      <c r="U151" s="7" t="n">
        <f aca="false">IF(F151="Reopened",1,0)</f>
        <v>0</v>
      </c>
      <c r="V151" s="7" t="n">
        <f aca="false">IF(AND(R151=1,O151&gt;Q151),1,0)</f>
        <v>0</v>
      </c>
      <c r="W151" s="7" t="n">
        <f aca="false">IF(AND(T151=1,P151&lt;&gt;"",P151&lt;=Q151),1,0)</f>
        <v>0</v>
      </c>
    </row>
    <row r="152" customFormat="false" ht="15" hidden="false" customHeight="false" outlineLevel="0" collapsed="false">
      <c r="A152" s="7" t="s">
        <v>277</v>
      </c>
      <c r="B152" s="7" t="s">
        <v>46</v>
      </c>
      <c r="C152" s="7" t="s">
        <v>47</v>
      </c>
      <c r="D152" s="7" t="s">
        <v>112</v>
      </c>
      <c r="E152" s="7" t="s">
        <v>113</v>
      </c>
      <c r="F152" s="7" t="s">
        <v>50</v>
      </c>
      <c r="G152" s="7" t="s">
        <v>20</v>
      </c>
      <c r="H152" s="9" t="n">
        <v>46184</v>
      </c>
      <c r="I152" s="9" t="n">
        <v>46213</v>
      </c>
      <c r="J152" s="7" t="n">
        <v>7.8</v>
      </c>
      <c r="K152" s="7" t="s">
        <v>51</v>
      </c>
      <c r="L152" s="7" t="s">
        <v>21</v>
      </c>
      <c r="M152" s="7" t="s">
        <v>288</v>
      </c>
      <c r="N152" s="7" t="s">
        <v>53</v>
      </c>
      <c r="O152" s="10" t="n">
        <f aca="false">'Exec Summary'!$E$2-H152</f>
        <v>50</v>
      </c>
      <c r="P152" s="10" t="n">
        <f aca="false">IF(I152="","",I152-H152)</f>
        <v>29</v>
      </c>
      <c r="Q152" s="10" t="n">
        <f aca="false">VLOOKUP(G152,$AA$2:$AB$5,2,FALSE())</f>
        <v>30</v>
      </c>
      <c r="R152" s="7" t="n">
        <f aca="false">IF(OR(F152="Open",F152="Reopened"),1,0)</f>
        <v>0</v>
      </c>
      <c r="S152" s="7" t="n">
        <f aca="false">IF(AND(H152&gt;='Exec Summary'!$E$1,H152&lt;='Exec Summary'!$E$2),1,0)</f>
        <v>0</v>
      </c>
      <c r="T152" s="7" t="n">
        <f aca="false">IF(AND(F152="Closed",I152&lt;&gt;"",I152&gt;='Exec Summary'!$E$1,I152&lt;='Exec Summary'!$E$2),1,0)</f>
        <v>1</v>
      </c>
      <c r="U152" s="7" t="n">
        <f aca="false">IF(F152="Reopened",1,0)</f>
        <v>0</v>
      </c>
      <c r="V152" s="7" t="n">
        <f aca="false">IF(AND(R152=1,O152&gt;Q152),1,0)</f>
        <v>0</v>
      </c>
      <c r="W152" s="7" t="n">
        <f aca="false">IF(AND(T152=1,P152&lt;&gt;"",P152&lt;=Q152),1,0)</f>
        <v>1</v>
      </c>
    </row>
    <row r="153" customFormat="false" ht="15" hidden="false" customHeight="false" outlineLevel="0" collapsed="false">
      <c r="A153" s="7" t="s">
        <v>277</v>
      </c>
      <c r="B153" s="7" t="s">
        <v>46</v>
      </c>
      <c r="C153" s="7" t="s">
        <v>47</v>
      </c>
      <c r="D153" s="7" t="s">
        <v>139</v>
      </c>
      <c r="E153" s="7" t="s">
        <v>140</v>
      </c>
      <c r="F153" s="7" t="s">
        <v>56</v>
      </c>
      <c r="G153" s="7" t="s">
        <v>19</v>
      </c>
      <c r="H153" s="9" t="n">
        <v>46054</v>
      </c>
      <c r="I153" s="9"/>
      <c r="J153" s="7" t="n">
        <v>9.8</v>
      </c>
      <c r="K153" s="7" t="s">
        <v>51</v>
      </c>
      <c r="L153" s="7" t="s">
        <v>21</v>
      </c>
      <c r="M153" s="7" t="s">
        <v>289</v>
      </c>
      <c r="N153" s="7" t="s">
        <v>58</v>
      </c>
      <c r="O153" s="10" t="n">
        <f aca="false">'Exec Summary'!$E$2-H153</f>
        <v>180</v>
      </c>
      <c r="P153" s="10" t="str">
        <f aca="false">IF(I153="","",I153-H153)</f>
        <v/>
      </c>
      <c r="Q153" s="10" t="n">
        <f aca="false">VLOOKUP(G153,$AA$2:$AB$5,2,FALSE())</f>
        <v>15</v>
      </c>
      <c r="R153" s="7" t="n">
        <f aca="false">IF(OR(F153="Open",F153="Reopened"),1,0)</f>
        <v>1</v>
      </c>
      <c r="S153" s="7" t="n">
        <f aca="false">IF(AND(H153&gt;='Exec Summary'!$E$1,H153&lt;='Exec Summary'!$E$2),1,0)</f>
        <v>0</v>
      </c>
      <c r="T153" s="7" t="n">
        <f aca="false">IF(AND(F153="Closed",I153&lt;&gt;"",I153&gt;='Exec Summary'!$E$1,I153&lt;='Exec Summary'!$E$2),1,0)</f>
        <v>0</v>
      </c>
      <c r="U153" s="7" t="n">
        <f aca="false">IF(F153="Reopened",1,0)</f>
        <v>0</v>
      </c>
      <c r="V153" s="7" t="n">
        <f aca="false">IF(AND(R153=1,O153&gt;Q153),1,0)</f>
        <v>1</v>
      </c>
      <c r="W153" s="7" t="n">
        <f aca="false">IF(AND(T153=1,P153&lt;&gt;"",P153&lt;=Q153),1,0)</f>
        <v>0</v>
      </c>
    </row>
    <row r="154" customFormat="false" ht="15" hidden="false" customHeight="false" outlineLevel="0" collapsed="false">
      <c r="A154" s="7" t="s">
        <v>290</v>
      </c>
      <c r="B154" s="7" t="s">
        <v>46</v>
      </c>
      <c r="C154" s="7" t="s">
        <v>158</v>
      </c>
      <c r="D154" s="7" t="s">
        <v>101</v>
      </c>
      <c r="E154" s="7" t="s">
        <v>102</v>
      </c>
      <c r="F154" s="7" t="s">
        <v>50</v>
      </c>
      <c r="G154" s="7" t="s">
        <v>19</v>
      </c>
      <c r="H154" s="9" t="n">
        <v>46057</v>
      </c>
      <c r="I154" s="9" t="n">
        <v>46073</v>
      </c>
      <c r="J154" s="7" t="n">
        <v>10</v>
      </c>
      <c r="K154" s="7" t="s">
        <v>51</v>
      </c>
      <c r="L154" s="7" t="s">
        <v>21</v>
      </c>
      <c r="M154" s="7" t="s">
        <v>291</v>
      </c>
      <c r="N154" s="7" t="s">
        <v>58</v>
      </c>
      <c r="O154" s="10" t="n">
        <f aca="false">'Exec Summary'!$E$2-H154</f>
        <v>177</v>
      </c>
      <c r="P154" s="10" t="n">
        <f aca="false">IF(I154="","",I154-H154)</f>
        <v>16</v>
      </c>
      <c r="Q154" s="10" t="n">
        <f aca="false">VLOOKUP(G154,$AA$2:$AB$5,2,FALSE())</f>
        <v>15</v>
      </c>
      <c r="R154" s="7" t="n">
        <f aca="false">IF(OR(F154="Open",F154="Reopened"),1,0)</f>
        <v>0</v>
      </c>
      <c r="S154" s="7" t="n">
        <f aca="false">IF(AND(H154&gt;='Exec Summary'!$E$1,H154&lt;='Exec Summary'!$E$2),1,0)</f>
        <v>0</v>
      </c>
      <c r="T154" s="7" t="n">
        <f aca="false">IF(AND(F154="Closed",I154&lt;&gt;"",I154&gt;='Exec Summary'!$E$1,I154&lt;='Exec Summary'!$E$2),1,0)</f>
        <v>0</v>
      </c>
      <c r="U154" s="7" t="n">
        <f aca="false">IF(F154="Reopened",1,0)</f>
        <v>0</v>
      </c>
      <c r="V154" s="7" t="n">
        <f aca="false">IF(AND(R154=1,O154&gt;Q154),1,0)</f>
        <v>0</v>
      </c>
      <c r="W154" s="7" t="n">
        <f aca="false">IF(AND(T154=1,P154&lt;&gt;"",P154&lt;=Q154),1,0)</f>
        <v>0</v>
      </c>
    </row>
    <row r="155" customFormat="false" ht="15" hidden="false" customHeight="false" outlineLevel="0" collapsed="false">
      <c r="A155" s="7" t="s">
        <v>290</v>
      </c>
      <c r="B155" s="7" t="s">
        <v>46</v>
      </c>
      <c r="C155" s="7" t="s">
        <v>158</v>
      </c>
      <c r="D155" s="7" t="s">
        <v>91</v>
      </c>
      <c r="E155" s="7" t="s">
        <v>92</v>
      </c>
      <c r="F155" s="7" t="s">
        <v>50</v>
      </c>
      <c r="G155" s="7" t="s">
        <v>20</v>
      </c>
      <c r="H155" s="9" t="n">
        <v>46102</v>
      </c>
      <c r="I155" s="9" t="n">
        <v>46137</v>
      </c>
      <c r="J155" s="7" t="n">
        <v>8.1</v>
      </c>
      <c r="K155" s="7" t="s">
        <v>51</v>
      </c>
      <c r="L155" s="7" t="s">
        <v>21</v>
      </c>
      <c r="M155" s="7" t="s">
        <v>292</v>
      </c>
      <c r="N155" s="7" t="s">
        <v>53</v>
      </c>
      <c r="O155" s="10" t="n">
        <f aca="false">'Exec Summary'!$E$2-H155</f>
        <v>132</v>
      </c>
      <c r="P155" s="10" t="n">
        <f aca="false">IF(I155="","",I155-H155)</f>
        <v>35</v>
      </c>
      <c r="Q155" s="10" t="n">
        <f aca="false">VLOOKUP(G155,$AA$2:$AB$5,2,FALSE())</f>
        <v>30</v>
      </c>
      <c r="R155" s="7" t="n">
        <f aca="false">IF(OR(F155="Open",F155="Reopened"),1,0)</f>
        <v>0</v>
      </c>
      <c r="S155" s="7" t="n">
        <f aca="false">IF(AND(H155&gt;='Exec Summary'!$E$1,H155&lt;='Exec Summary'!$E$2),1,0)</f>
        <v>0</v>
      </c>
      <c r="T155" s="7" t="n">
        <f aca="false">IF(AND(F155="Closed",I155&lt;&gt;"",I155&gt;='Exec Summary'!$E$1,I155&lt;='Exec Summary'!$E$2),1,0)</f>
        <v>0</v>
      </c>
      <c r="U155" s="7" t="n">
        <f aca="false">IF(F155="Reopened",1,0)</f>
        <v>0</v>
      </c>
      <c r="V155" s="7" t="n">
        <f aca="false">IF(AND(R155=1,O155&gt;Q155),1,0)</f>
        <v>0</v>
      </c>
      <c r="W155" s="7" t="n">
        <f aca="false">IF(AND(T155=1,P155&lt;&gt;"",P155&lt;=Q155),1,0)</f>
        <v>0</v>
      </c>
    </row>
    <row r="156" customFormat="false" ht="15" hidden="false" customHeight="false" outlineLevel="0" collapsed="false">
      <c r="A156" s="7" t="s">
        <v>290</v>
      </c>
      <c r="B156" s="7" t="s">
        <v>46</v>
      </c>
      <c r="C156" s="7" t="s">
        <v>158</v>
      </c>
      <c r="D156" s="7" t="s">
        <v>95</v>
      </c>
      <c r="E156" s="7" t="s">
        <v>96</v>
      </c>
      <c r="F156" s="7" t="s">
        <v>50</v>
      </c>
      <c r="G156" s="7" t="s">
        <v>20</v>
      </c>
      <c r="H156" s="9" t="n">
        <v>46004</v>
      </c>
      <c r="I156" s="9" t="n">
        <v>46040</v>
      </c>
      <c r="J156" s="7" t="n">
        <v>8.8</v>
      </c>
      <c r="K156" s="7" t="s">
        <v>51</v>
      </c>
      <c r="L156" s="7" t="s">
        <v>21</v>
      </c>
      <c r="M156" s="7" t="s">
        <v>293</v>
      </c>
      <c r="N156" s="7" t="s">
        <v>53</v>
      </c>
      <c r="O156" s="10" t="n">
        <f aca="false">'Exec Summary'!$E$2-H156</f>
        <v>230</v>
      </c>
      <c r="P156" s="10" t="n">
        <f aca="false">IF(I156="","",I156-H156)</f>
        <v>36</v>
      </c>
      <c r="Q156" s="10" t="n">
        <f aca="false">VLOOKUP(G156,$AA$2:$AB$5,2,FALSE())</f>
        <v>30</v>
      </c>
      <c r="R156" s="7" t="n">
        <f aca="false">IF(OR(F156="Open",F156="Reopened"),1,0)</f>
        <v>0</v>
      </c>
      <c r="S156" s="7" t="n">
        <f aca="false">IF(AND(H156&gt;='Exec Summary'!$E$1,H156&lt;='Exec Summary'!$E$2),1,0)</f>
        <v>0</v>
      </c>
      <c r="T156" s="7" t="n">
        <f aca="false">IF(AND(F156="Closed",I156&lt;&gt;"",I156&gt;='Exec Summary'!$E$1,I156&lt;='Exec Summary'!$E$2),1,0)</f>
        <v>0</v>
      </c>
      <c r="U156" s="7" t="n">
        <f aca="false">IF(F156="Reopened",1,0)</f>
        <v>0</v>
      </c>
      <c r="V156" s="7" t="n">
        <f aca="false">IF(AND(R156=1,O156&gt;Q156),1,0)</f>
        <v>0</v>
      </c>
      <c r="W156" s="7" t="n">
        <f aca="false">IF(AND(T156=1,P156&lt;&gt;"",P156&lt;=Q156),1,0)</f>
        <v>0</v>
      </c>
    </row>
    <row r="157" customFormat="false" ht="15" hidden="false" customHeight="false" outlineLevel="0" collapsed="false">
      <c r="A157" s="7" t="s">
        <v>290</v>
      </c>
      <c r="B157" s="7" t="s">
        <v>46</v>
      </c>
      <c r="C157" s="7" t="s">
        <v>158</v>
      </c>
      <c r="D157" s="7" t="s">
        <v>54</v>
      </c>
      <c r="E157" s="7" t="s">
        <v>55</v>
      </c>
      <c r="F157" s="7" t="s">
        <v>50</v>
      </c>
      <c r="G157" s="7" t="s">
        <v>19</v>
      </c>
      <c r="H157" s="9" t="n">
        <v>46003</v>
      </c>
      <c r="I157" s="9" t="n">
        <v>46023</v>
      </c>
      <c r="J157" s="7" t="n">
        <v>9.8</v>
      </c>
      <c r="K157" s="7" t="s">
        <v>51</v>
      </c>
      <c r="L157" s="7" t="s">
        <v>21</v>
      </c>
      <c r="M157" s="7" t="s">
        <v>294</v>
      </c>
      <c r="N157" s="7" t="s">
        <v>58</v>
      </c>
      <c r="O157" s="10" t="n">
        <f aca="false">'Exec Summary'!$E$2-H157</f>
        <v>231</v>
      </c>
      <c r="P157" s="10" t="n">
        <f aca="false">IF(I157="","",I157-H157)</f>
        <v>20</v>
      </c>
      <c r="Q157" s="10" t="n">
        <f aca="false">VLOOKUP(G157,$AA$2:$AB$5,2,FALSE())</f>
        <v>15</v>
      </c>
      <c r="R157" s="7" t="n">
        <f aca="false">IF(OR(F157="Open",F157="Reopened"),1,0)</f>
        <v>0</v>
      </c>
      <c r="S157" s="7" t="n">
        <f aca="false">IF(AND(H157&gt;='Exec Summary'!$E$1,H157&lt;='Exec Summary'!$E$2),1,0)</f>
        <v>0</v>
      </c>
      <c r="T157" s="7" t="n">
        <f aca="false">IF(AND(F157="Closed",I157&lt;&gt;"",I157&gt;='Exec Summary'!$E$1,I157&lt;='Exec Summary'!$E$2),1,0)</f>
        <v>0</v>
      </c>
      <c r="U157" s="7" t="n">
        <f aca="false">IF(F157="Reopened",1,0)</f>
        <v>0</v>
      </c>
      <c r="V157" s="7" t="n">
        <f aca="false">IF(AND(R157=1,O157&gt;Q157),1,0)</f>
        <v>0</v>
      </c>
      <c r="W157" s="7" t="n">
        <f aca="false">IF(AND(T157=1,P157&lt;&gt;"",P157&lt;=Q157),1,0)</f>
        <v>0</v>
      </c>
    </row>
    <row r="158" customFormat="false" ht="15" hidden="false" customHeight="false" outlineLevel="0" collapsed="false">
      <c r="A158" s="7" t="s">
        <v>290</v>
      </c>
      <c r="B158" s="7" t="s">
        <v>46</v>
      </c>
      <c r="C158" s="7" t="s">
        <v>158</v>
      </c>
      <c r="D158" s="7" t="s">
        <v>68</v>
      </c>
      <c r="E158" s="7" t="s">
        <v>69</v>
      </c>
      <c r="F158" s="7" t="s">
        <v>50</v>
      </c>
      <c r="G158" s="7" t="s">
        <v>19</v>
      </c>
      <c r="H158" s="9" t="n">
        <v>46096</v>
      </c>
      <c r="I158" s="9" t="n">
        <v>46100</v>
      </c>
      <c r="J158" s="7" t="n">
        <v>9.8</v>
      </c>
      <c r="K158" s="7" t="s">
        <v>51</v>
      </c>
      <c r="L158" s="7" t="s">
        <v>21</v>
      </c>
      <c r="M158" s="7" t="s">
        <v>295</v>
      </c>
      <c r="N158" s="7" t="s">
        <v>58</v>
      </c>
      <c r="O158" s="10" t="n">
        <f aca="false">'Exec Summary'!$E$2-H158</f>
        <v>138</v>
      </c>
      <c r="P158" s="10" t="n">
        <f aca="false">IF(I158="","",I158-H158)</f>
        <v>4</v>
      </c>
      <c r="Q158" s="10" t="n">
        <f aca="false">VLOOKUP(G158,$AA$2:$AB$5,2,FALSE())</f>
        <v>15</v>
      </c>
      <c r="R158" s="7" t="n">
        <f aca="false">IF(OR(F158="Open",F158="Reopened"),1,0)</f>
        <v>0</v>
      </c>
      <c r="S158" s="7" t="n">
        <f aca="false">IF(AND(H158&gt;='Exec Summary'!$E$1,H158&lt;='Exec Summary'!$E$2),1,0)</f>
        <v>0</v>
      </c>
      <c r="T158" s="7" t="n">
        <f aca="false">IF(AND(F158="Closed",I158&lt;&gt;"",I158&gt;='Exec Summary'!$E$1,I158&lt;='Exec Summary'!$E$2),1,0)</f>
        <v>0</v>
      </c>
      <c r="U158" s="7" t="n">
        <f aca="false">IF(F158="Reopened",1,0)</f>
        <v>0</v>
      </c>
      <c r="V158" s="7" t="n">
        <f aca="false">IF(AND(R158=1,O158&gt;Q158),1,0)</f>
        <v>0</v>
      </c>
      <c r="W158" s="7" t="n">
        <f aca="false">IF(AND(T158=1,P158&lt;&gt;"",P158&lt;=Q158),1,0)</f>
        <v>0</v>
      </c>
    </row>
    <row r="159" customFormat="false" ht="15" hidden="false" customHeight="false" outlineLevel="0" collapsed="false">
      <c r="A159" s="7" t="s">
        <v>290</v>
      </c>
      <c r="B159" s="7" t="s">
        <v>46</v>
      </c>
      <c r="C159" s="7" t="s">
        <v>158</v>
      </c>
      <c r="D159" s="7" t="s">
        <v>163</v>
      </c>
      <c r="E159" s="7" t="s">
        <v>164</v>
      </c>
      <c r="F159" s="7" t="s">
        <v>50</v>
      </c>
      <c r="G159" s="7" t="s">
        <v>19</v>
      </c>
      <c r="H159" s="9" t="n">
        <v>46028</v>
      </c>
      <c r="I159" s="9" t="n">
        <v>46047</v>
      </c>
      <c r="J159" s="7" t="n">
        <v>9.1</v>
      </c>
      <c r="K159" s="7" t="s">
        <v>51</v>
      </c>
      <c r="L159" s="7" t="s">
        <v>21</v>
      </c>
      <c r="M159" s="7" t="s">
        <v>296</v>
      </c>
      <c r="N159" s="7" t="s">
        <v>58</v>
      </c>
      <c r="O159" s="10" t="n">
        <f aca="false">'Exec Summary'!$E$2-H159</f>
        <v>206</v>
      </c>
      <c r="P159" s="10" t="n">
        <f aca="false">IF(I159="","",I159-H159)</f>
        <v>19</v>
      </c>
      <c r="Q159" s="10" t="n">
        <f aca="false">VLOOKUP(G159,$AA$2:$AB$5,2,FALSE())</f>
        <v>15</v>
      </c>
      <c r="R159" s="7" t="n">
        <f aca="false">IF(OR(F159="Open",F159="Reopened"),1,0)</f>
        <v>0</v>
      </c>
      <c r="S159" s="7" t="n">
        <f aca="false">IF(AND(H159&gt;='Exec Summary'!$E$1,H159&lt;='Exec Summary'!$E$2),1,0)</f>
        <v>0</v>
      </c>
      <c r="T159" s="7" t="n">
        <f aca="false">IF(AND(F159="Closed",I159&lt;&gt;"",I159&gt;='Exec Summary'!$E$1,I159&lt;='Exec Summary'!$E$2),1,0)</f>
        <v>0</v>
      </c>
      <c r="U159" s="7" t="n">
        <f aca="false">IF(F159="Reopened",1,0)</f>
        <v>0</v>
      </c>
      <c r="V159" s="7" t="n">
        <f aca="false">IF(AND(R159=1,O159&gt;Q159),1,0)</f>
        <v>0</v>
      </c>
      <c r="W159" s="7" t="n">
        <f aca="false">IF(AND(T159=1,P159&lt;&gt;"",P159&lt;=Q159),1,0)</f>
        <v>0</v>
      </c>
    </row>
    <row r="160" customFormat="false" ht="15" hidden="false" customHeight="false" outlineLevel="0" collapsed="false">
      <c r="A160" s="7" t="s">
        <v>290</v>
      </c>
      <c r="B160" s="7" t="s">
        <v>46</v>
      </c>
      <c r="C160" s="7" t="s">
        <v>158</v>
      </c>
      <c r="D160" s="7" t="s">
        <v>145</v>
      </c>
      <c r="E160" s="7" t="s">
        <v>146</v>
      </c>
      <c r="F160" s="7" t="s">
        <v>50</v>
      </c>
      <c r="G160" s="7" t="s">
        <v>19</v>
      </c>
      <c r="H160" s="9" t="n">
        <v>46144</v>
      </c>
      <c r="I160" s="9" t="n">
        <v>46147</v>
      </c>
      <c r="J160" s="7" t="n">
        <v>9.8</v>
      </c>
      <c r="K160" s="7" t="s">
        <v>51</v>
      </c>
      <c r="L160" s="7" t="s">
        <v>21</v>
      </c>
      <c r="M160" s="7" t="s">
        <v>297</v>
      </c>
      <c r="N160" s="7" t="s">
        <v>58</v>
      </c>
      <c r="O160" s="10" t="n">
        <f aca="false">'Exec Summary'!$E$2-H160</f>
        <v>90</v>
      </c>
      <c r="P160" s="10" t="n">
        <f aca="false">IF(I160="","",I160-H160)</f>
        <v>3</v>
      </c>
      <c r="Q160" s="10" t="n">
        <f aca="false">VLOOKUP(G160,$AA$2:$AB$5,2,FALSE())</f>
        <v>15</v>
      </c>
      <c r="R160" s="7" t="n">
        <f aca="false">IF(OR(F160="Open",F160="Reopened"),1,0)</f>
        <v>0</v>
      </c>
      <c r="S160" s="7" t="n">
        <f aca="false">IF(AND(H160&gt;='Exec Summary'!$E$1,H160&lt;='Exec Summary'!$E$2),1,0)</f>
        <v>0</v>
      </c>
      <c r="T160" s="7" t="n">
        <f aca="false">IF(AND(F160="Closed",I160&lt;&gt;"",I160&gt;='Exec Summary'!$E$1,I160&lt;='Exec Summary'!$E$2),1,0)</f>
        <v>0</v>
      </c>
      <c r="U160" s="7" t="n">
        <f aca="false">IF(F160="Reopened",1,0)</f>
        <v>0</v>
      </c>
      <c r="V160" s="7" t="n">
        <f aca="false">IF(AND(R160=1,O160&gt;Q160),1,0)</f>
        <v>0</v>
      </c>
      <c r="W160" s="7" t="n">
        <f aca="false">IF(AND(T160=1,P160&lt;&gt;"",P160&lt;=Q160),1,0)</f>
        <v>0</v>
      </c>
    </row>
    <row r="161" customFormat="false" ht="15" hidden="false" customHeight="false" outlineLevel="0" collapsed="false">
      <c r="A161" s="7" t="s">
        <v>290</v>
      </c>
      <c r="B161" s="7" t="s">
        <v>46</v>
      </c>
      <c r="C161" s="7" t="s">
        <v>158</v>
      </c>
      <c r="D161" s="7" t="s">
        <v>117</v>
      </c>
      <c r="E161" s="7" t="s">
        <v>118</v>
      </c>
      <c r="F161" s="7" t="s">
        <v>56</v>
      </c>
      <c r="G161" s="7" t="s">
        <v>19</v>
      </c>
      <c r="H161" s="9" t="n">
        <v>46011</v>
      </c>
      <c r="I161" s="9"/>
      <c r="J161" s="7" t="n">
        <v>10</v>
      </c>
      <c r="K161" s="7" t="s">
        <v>51</v>
      </c>
      <c r="L161" s="7" t="s">
        <v>21</v>
      </c>
      <c r="M161" s="7" t="s">
        <v>298</v>
      </c>
      <c r="N161" s="7" t="s">
        <v>58</v>
      </c>
      <c r="O161" s="10" t="n">
        <f aca="false">'Exec Summary'!$E$2-H161</f>
        <v>223</v>
      </c>
      <c r="P161" s="10" t="str">
        <f aca="false">IF(I161="","",I161-H161)</f>
        <v/>
      </c>
      <c r="Q161" s="10" t="n">
        <f aca="false">VLOOKUP(G161,$AA$2:$AB$5,2,FALSE())</f>
        <v>15</v>
      </c>
      <c r="R161" s="7" t="n">
        <f aca="false">IF(OR(F161="Open",F161="Reopened"),1,0)</f>
        <v>1</v>
      </c>
      <c r="S161" s="7" t="n">
        <f aca="false">IF(AND(H161&gt;='Exec Summary'!$E$1,H161&lt;='Exec Summary'!$E$2),1,0)</f>
        <v>0</v>
      </c>
      <c r="T161" s="7" t="n">
        <f aca="false">IF(AND(F161="Closed",I161&lt;&gt;"",I161&gt;='Exec Summary'!$E$1,I161&lt;='Exec Summary'!$E$2),1,0)</f>
        <v>0</v>
      </c>
      <c r="U161" s="7" t="n">
        <f aca="false">IF(F161="Reopened",1,0)</f>
        <v>0</v>
      </c>
      <c r="V161" s="7" t="n">
        <f aca="false">IF(AND(R161=1,O161&gt;Q161),1,0)</f>
        <v>1</v>
      </c>
      <c r="W161" s="7" t="n">
        <f aca="false">IF(AND(T161=1,P161&lt;&gt;"",P161&lt;=Q161),1,0)</f>
        <v>0</v>
      </c>
    </row>
    <row r="162" customFormat="false" ht="15" hidden="false" customHeight="false" outlineLevel="0" collapsed="false">
      <c r="A162" s="7" t="s">
        <v>290</v>
      </c>
      <c r="B162" s="7" t="s">
        <v>46</v>
      </c>
      <c r="C162" s="7" t="s">
        <v>158</v>
      </c>
      <c r="D162" s="7" t="s">
        <v>120</v>
      </c>
      <c r="E162" s="7" t="s">
        <v>121</v>
      </c>
      <c r="F162" s="7" t="s">
        <v>50</v>
      </c>
      <c r="G162" s="7" t="s">
        <v>19</v>
      </c>
      <c r="H162" s="9" t="n">
        <v>46001</v>
      </c>
      <c r="I162" s="9" t="n">
        <v>46012</v>
      </c>
      <c r="J162" s="7" t="n">
        <v>8.8</v>
      </c>
      <c r="K162" s="7" t="s">
        <v>51</v>
      </c>
      <c r="L162" s="7" t="s">
        <v>21</v>
      </c>
      <c r="M162" s="7" t="s">
        <v>299</v>
      </c>
      <c r="N162" s="7" t="s">
        <v>58</v>
      </c>
      <c r="O162" s="10" t="n">
        <f aca="false">'Exec Summary'!$E$2-H162</f>
        <v>233</v>
      </c>
      <c r="P162" s="10" t="n">
        <f aca="false">IF(I162="","",I162-H162)</f>
        <v>11</v>
      </c>
      <c r="Q162" s="10" t="n">
        <f aca="false">VLOOKUP(G162,$AA$2:$AB$5,2,FALSE())</f>
        <v>15</v>
      </c>
      <c r="R162" s="7" t="n">
        <f aca="false">IF(OR(F162="Open",F162="Reopened"),1,0)</f>
        <v>0</v>
      </c>
      <c r="S162" s="7" t="n">
        <f aca="false">IF(AND(H162&gt;='Exec Summary'!$E$1,H162&lt;='Exec Summary'!$E$2),1,0)</f>
        <v>0</v>
      </c>
      <c r="T162" s="7" t="n">
        <f aca="false">IF(AND(F162="Closed",I162&lt;&gt;"",I162&gt;='Exec Summary'!$E$1,I162&lt;='Exec Summary'!$E$2),1,0)</f>
        <v>0</v>
      </c>
      <c r="U162" s="7" t="n">
        <f aca="false">IF(F162="Reopened",1,0)</f>
        <v>0</v>
      </c>
      <c r="V162" s="7" t="n">
        <f aca="false">IF(AND(R162=1,O162&gt;Q162),1,0)</f>
        <v>0</v>
      </c>
      <c r="W162" s="7" t="n">
        <f aca="false">IF(AND(T162=1,P162&lt;&gt;"",P162&lt;=Q162),1,0)</f>
        <v>0</v>
      </c>
    </row>
    <row r="163" customFormat="false" ht="15" hidden="false" customHeight="false" outlineLevel="0" collapsed="false">
      <c r="A163" s="7" t="s">
        <v>290</v>
      </c>
      <c r="B163" s="7" t="s">
        <v>46</v>
      </c>
      <c r="C163" s="7" t="s">
        <v>158</v>
      </c>
      <c r="D163" s="7" t="s">
        <v>84</v>
      </c>
      <c r="E163" s="7" t="s">
        <v>85</v>
      </c>
      <c r="F163" s="7" t="s">
        <v>123</v>
      </c>
      <c r="G163" s="7" t="s">
        <v>20</v>
      </c>
      <c r="H163" s="9" t="n">
        <v>46052</v>
      </c>
      <c r="I163" s="9" t="n">
        <v>46055</v>
      </c>
      <c r="J163" s="7" t="n">
        <v>7.5</v>
      </c>
      <c r="K163" s="7" t="s">
        <v>51</v>
      </c>
      <c r="L163" s="7" t="s">
        <v>21</v>
      </c>
      <c r="M163" s="7" t="s">
        <v>300</v>
      </c>
      <c r="N163" s="7" t="s">
        <v>53</v>
      </c>
      <c r="O163" s="10" t="n">
        <f aca="false">'Exec Summary'!$E$2-H163</f>
        <v>182</v>
      </c>
      <c r="P163" s="10" t="n">
        <f aca="false">IF(I163="","",I163-H163)</f>
        <v>3</v>
      </c>
      <c r="Q163" s="10" t="n">
        <f aca="false">VLOOKUP(G163,$AA$2:$AB$5,2,FALSE())</f>
        <v>30</v>
      </c>
      <c r="R163" s="7" t="n">
        <f aca="false">IF(OR(F163="Open",F163="Reopened"),1,0)</f>
        <v>1</v>
      </c>
      <c r="S163" s="7" t="n">
        <f aca="false">IF(AND(H163&gt;='Exec Summary'!$E$1,H163&lt;='Exec Summary'!$E$2),1,0)</f>
        <v>0</v>
      </c>
      <c r="T163" s="7" t="n">
        <f aca="false">IF(AND(F163="Closed",I163&lt;&gt;"",I163&gt;='Exec Summary'!$E$1,I163&lt;='Exec Summary'!$E$2),1,0)</f>
        <v>0</v>
      </c>
      <c r="U163" s="7" t="n">
        <f aca="false">IF(F163="Reopened",1,0)</f>
        <v>1</v>
      </c>
      <c r="V163" s="7" t="n">
        <f aca="false">IF(AND(R163=1,O163&gt;Q163),1,0)</f>
        <v>1</v>
      </c>
      <c r="W163" s="7" t="n">
        <f aca="false">IF(AND(T163=1,P163&lt;&gt;"",P163&lt;=Q163),1,0)</f>
        <v>0</v>
      </c>
    </row>
    <row r="164" customFormat="false" ht="15" hidden="false" customHeight="false" outlineLevel="0" collapsed="false">
      <c r="A164" s="7" t="s">
        <v>290</v>
      </c>
      <c r="B164" s="7" t="s">
        <v>46</v>
      </c>
      <c r="C164" s="7" t="s">
        <v>158</v>
      </c>
      <c r="D164" s="7" t="s">
        <v>206</v>
      </c>
      <c r="E164" s="7" t="s">
        <v>207</v>
      </c>
      <c r="F164" s="7" t="s">
        <v>50</v>
      </c>
      <c r="G164" s="7" t="s">
        <v>20</v>
      </c>
      <c r="H164" s="9" t="n">
        <v>46178</v>
      </c>
      <c r="I164" s="9" t="n">
        <v>46209</v>
      </c>
      <c r="J164" s="7" t="n">
        <v>8.8</v>
      </c>
      <c r="K164" s="7" t="s">
        <v>51</v>
      </c>
      <c r="L164" s="7" t="s">
        <v>21</v>
      </c>
      <c r="M164" s="7" t="s">
        <v>301</v>
      </c>
      <c r="N164" s="7" t="s">
        <v>53</v>
      </c>
      <c r="O164" s="10" t="n">
        <f aca="false">'Exec Summary'!$E$2-H164</f>
        <v>56</v>
      </c>
      <c r="P164" s="10" t="n">
        <f aca="false">IF(I164="","",I164-H164)</f>
        <v>31</v>
      </c>
      <c r="Q164" s="10" t="n">
        <f aca="false">VLOOKUP(G164,$AA$2:$AB$5,2,FALSE())</f>
        <v>30</v>
      </c>
      <c r="R164" s="7" t="n">
        <f aca="false">IF(OR(F164="Open",F164="Reopened"),1,0)</f>
        <v>0</v>
      </c>
      <c r="S164" s="7" t="n">
        <f aca="false">IF(AND(H164&gt;='Exec Summary'!$E$1,H164&lt;='Exec Summary'!$E$2),1,0)</f>
        <v>0</v>
      </c>
      <c r="T164" s="7" t="n">
        <f aca="false">IF(AND(F164="Closed",I164&lt;&gt;"",I164&gt;='Exec Summary'!$E$1,I164&lt;='Exec Summary'!$E$2),1,0)</f>
        <v>1</v>
      </c>
      <c r="U164" s="7" t="n">
        <f aca="false">IF(F164="Reopened",1,0)</f>
        <v>0</v>
      </c>
      <c r="V164" s="7" t="n">
        <f aca="false">IF(AND(R164=1,O164&gt;Q164),1,0)</f>
        <v>0</v>
      </c>
      <c r="W164" s="7" t="n">
        <f aca="false">IF(AND(T164=1,P164&lt;&gt;"",P164&lt;=Q164),1,0)</f>
        <v>0</v>
      </c>
    </row>
    <row r="165" customFormat="false" ht="15" hidden="false" customHeight="false" outlineLevel="0" collapsed="false">
      <c r="A165" s="7" t="s">
        <v>290</v>
      </c>
      <c r="B165" s="7" t="s">
        <v>46</v>
      </c>
      <c r="C165" s="7" t="s">
        <v>158</v>
      </c>
      <c r="D165" s="7" t="s">
        <v>108</v>
      </c>
      <c r="E165" s="7" t="s">
        <v>109</v>
      </c>
      <c r="F165" s="7" t="s">
        <v>50</v>
      </c>
      <c r="G165" s="7" t="s">
        <v>20</v>
      </c>
      <c r="H165" s="9" t="n">
        <v>46132</v>
      </c>
      <c r="I165" s="9" t="n">
        <v>46142</v>
      </c>
      <c r="J165" s="7" t="n">
        <v>8.6</v>
      </c>
      <c r="K165" s="7" t="s">
        <v>51</v>
      </c>
      <c r="L165" s="7" t="s">
        <v>21</v>
      </c>
      <c r="M165" s="7" t="s">
        <v>302</v>
      </c>
      <c r="N165" s="7" t="s">
        <v>53</v>
      </c>
      <c r="O165" s="10" t="n">
        <f aca="false">'Exec Summary'!$E$2-H165</f>
        <v>102</v>
      </c>
      <c r="P165" s="10" t="n">
        <f aca="false">IF(I165="","",I165-H165)</f>
        <v>10</v>
      </c>
      <c r="Q165" s="10" t="n">
        <f aca="false">VLOOKUP(G165,$AA$2:$AB$5,2,FALSE())</f>
        <v>30</v>
      </c>
      <c r="R165" s="7" t="n">
        <f aca="false">IF(OR(F165="Open",F165="Reopened"),1,0)</f>
        <v>0</v>
      </c>
      <c r="S165" s="7" t="n">
        <f aca="false">IF(AND(H165&gt;='Exec Summary'!$E$1,H165&lt;='Exec Summary'!$E$2),1,0)</f>
        <v>0</v>
      </c>
      <c r="T165" s="7" t="n">
        <f aca="false">IF(AND(F165="Closed",I165&lt;&gt;"",I165&gt;='Exec Summary'!$E$1,I165&lt;='Exec Summary'!$E$2),1,0)</f>
        <v>0</v>
      </c>
      <c r="U165" s="7" t="n">
        <f aca="false">IF(F165="Reopened",1,0)</f>
        <v>0</v>
      </c>
      <c r="V165" s="7" t="n">
        <f aca="false">IF(AND(R165=1,O165&gt;Q165),1,0)</f>
        <v>0</v>
      </c>
      <c r="W165" s="7" t="n">
        <f aca="false">IF(AND(T165=1,P165&lt;&gt;"",P165&lt;=Q165),1,0)</f>
        <v>0</v>
      </c>
    </row>
    <row r="166" customFormat="false" ht="15" hidden="false" customHeight="false" outlineLevel="0" collapsed="false">
      <c r="A166" s="7" t="s">
        <v>290</v>
      </c>
      <c r="B166" s="7" t="s">
        <v>46</v>
      </c>
      <c r="C166" s="7" t="s">
        <v>158</v>
      </c>
      <c r="D166" s="7" t="s">
        <v>59</v>
      </c>
      <c r="E166" s="7" t="s">
        <v>60</v>
      </c>
      <c r="F166" s="7" t="s">
        <v>50</v>
      </c>
      <c r="G166" s="7" t="s">
        <v>19</v>
      </c>
      <c r="H166" s="9" t="n">
        <v>46049</v>
      </c>
      <c r="I166" s="9" t="n">
        <v>46060</v>
      </c>
      <c r="J166" s="7" t="n">
        <v>7.8</v>
      </c>
      <c r="K166" s="7" t="s">
        <v>51</v>
      </c>
      <c r="L166" s="7" t="s">
        <v>21</v>
      </c>
      <c r="M166" s="7" t="s">
        <v>303</v>
      </c>
      <c r="N166" s="7" t="s">
        <v>58</v>
      </c>
      <c r="O166" s="10" t="n">
        <f aca="false">'Exec Summary'!$E$2-H166</f>
        <v>185</v>
      </c>
      <c r="P166" s="10" t="n">
        <f aca="false">IF(I166="","",I166-H166)</f>
        <v>11</v>
      </c>
      <c r="Q166" s="10" t="n">
        <f aca="false">VLOOKUP(G166,$AA$2:$AB$5,2,FALSE())</f>
        <v>15</v>
      </c>
      <c r="R166" s="7" t="n">
        <f aca="false">IF(OR(F166="Open",F166="Reopened"),1,0)</f>
        <v>0</v>
      </c>
      <c r="S166" s="7" t="n">
        <f aca="false">IF(AND(H166&gt;='Exec Summary'!$E$1,H166&lt;='Exec Summary'!$E$2),1,0)</f>
        <v>0</v>
      </c>
      <c r="T166" s="7" t="n">
        <f aca="false">IF(AND(F166="Closed",I166&lt;&gt;"",I166&gt;='Exec Summary'!$E$1,I166&lt;='Exec Summary'!$E$2),1,0)</f>
        <v>0</v>
      </c>
      <c r="U166" s="7" t="n">
        <f aca="false">IF(F166="Reopened",1,0)</f>
        <v>0</v>
      </c>
      <c r="V166" s="7" t="n">
        <f aca="false">IF(AND(R166=1,O166&gt;Q166),1,0)</f>
        <v>0</v>
      </c>
      <c r="W166" s="7" t="n">
        <f aca="false">IF(AND(T166=1,P166&lt;&gt;"",P166&lt;=Q166),1,0)</f>
        <v>0</v>
      </c>
    </row>
    <row r="167" customFormat="false" ht="15" hidden="false" customHeight="false" outlineLevel="0" collapsed="false">
      <c r="A167" s="7" t="s">
        <v>290</v>
      </c>
      <c r="B167" s="7" t="s">
        <v>46</v>
      </c>
      <c r="C167" s="7" t="s">
        <v>158</v>
      </c>
      <c r="D167" s="7" t="s">
        <v>62</v>
      </c>
      <c r="E167" s="7" t="s">
        <v>63</v>
      </c>
      <c r="F167" s="7" t="s">
        <v>56</v>
      </c>
      <c r="G167" s="7" t="s">
        <v>20</v>
      </c>
      <c r="H167" s="9" t="n">
        <v>46047</v>
      </c>
      <c r="I167" s="9"/>
      <c r="J167" s="7" t="n">
        <v>8.1</v>
      </c>
      <c r="K167" s="7" t="s">
        <v>51</v>
      </c>
      <c r="L167" s="7" t="s">
        <v>21</v>
      </c>
      <c r="M167" s="7" t="s">
        <v>304</v>
      </c>
      <c r="N167" s="7" t="s">
        <v>53</v>
      </c>
      <c r="O167" s="10" t="n">
        <f aca="false">'Exec Summary'!$E$2-H167</f>
        <v>187</v>
      </c>
      <c r="P167" s="10" t="str">
        <f aca="false">IF(I167="","",I167-H167)</f>
        <v/>
      </c>
      <c r="Q167" s="10" t="n">
        <f aca="false">VLOOKUP(G167,$AA$2:$AB$5,2,FALSE())</f>
        <v>30</v>
      </c>
      <c r="R167" s="7" t="n">
        <f aca="false">IF(OR(F167="Open",F167="Reopened"),1,0)</f>
        <v>1</v>
      </c>
      <c r="S167" s="7" t="n">
        <f aca="false">IF(AND(H167&gt;='Exec Summary'!$E$1,H167&lt;='Exec Summary'!$E$2),1,0)</f>
        <v>0</v>
      </c>
      <c r="T167" s="7" t="n">
        <f aca="false">IF(AND(F167="Closed",I167&lt;&gt;"",I167&gt;='Exec Summary'!$E$1,I167&lt;='Exec Summary'!$E$2),1,0)</f>
        <v>0</v>
      </c>
      <c r="U167" s="7" t="n">
        <f aca="false">IF(F167="Reopened",1,0)</f>
        <v>0</v>
      </c>
      <c r="V167" s="7" t="n">
        <f aca="false">IF(AND(R167=1,O167&gt;Q167),1,0)</f>
        <v>1</v>
      </c>
      <c r="W167" s="7" t="n">
        <f aca="false">IF(AND(T167=1,P167&lt;&gt;"",P167&lt;=Q167),1,0)</f>
        <v>0</v>
      </c>
    </row>
    <row r="168" customFormat="false" ht="15" hidden="false" customHeight="false" outlineLevel="0" collapsed="false">
      <c r="A168" s="7" t="s">
        <v>305</v>
      </c>
      <c r="B168" s="7" t="s">
        <v>135</v>
      </c>
      <c r="C168" s="7" t="s">
        <v>306</v>
      </c>
      <c r="D168" s="7" t="s">
        <v>139</v>
      </c>
      <c r="E168" s="7" t="s">
        <v>140</v>
      </c>
      <c r="F168" s="7" t="s">
        <v>50</v>
      </c>
      <c r="G168" s="7" t="s">
        <v>19</v>
      </c>
      <c r="H168" s="9" t="n">
        <v>46094</v>
      </c>
      <c r="I168" s="9" t="n">
        <v>46104</v>
      </c>
      <c r="J168" s="7" t="n">
        <v>9.8</v>
      </c>
      <c r="K168" s="7" t="s">
        <v>51</v>
      </c>
      <c r="L168" s="7" t="s">
        <v>21</v>
      </c>
      <c r="M168" s="7" t="s">
        <v>307</v>
      </c>
      <c r="N168" s="7" t="s">
        <v>58</v>
      </c>
      <c r="O168" s="10" t="n">
        <f aca="false">'Exec Summary'!$E$2-H168</f>
        <v>140</v>
      </c>
      <c r="P168" s="10" t="n">
        <f aca="false">IF(I168="","",I168-H168)</f>
        <v>10</v>
      </c>
      <c r="Q168" s="10" t="n">
        <f aca="false">VLOOKUP(G168,$AA$2:$AB$5,2,FALSE())</f>
        <v>15</v>
      </c>
      <c r="R168" s="7" t="n">
        <f aca="false">IF(OR(F168="Open",F168="Reopened"),1,0)</f>
        <v>0</v>
      </c>
      <c r="S168" s="7" t="n">
        <f aca="false">IF(AND(H168&gt;='Exec Summary'!$E$1,H168&lt;='Exec Summary'!$E$2),1,0)</f>
        <v>0</v>
      </c>
      <c r="T168" s="7" t="n">
        <f aca="false">IF(AND(F168="Closed",I168&lt;&gt;"",I168&gt;='Exec Summary'!$E$1,I168&lt;='Exec Summary'!$E$2),1,0)</f>
        <v>0</v>
      </c>
      <c r="U168" s="7" t="n">
        <f aca="false">IF(F168="Reopened",1,0)</f>
        <v>0</v>
      </c>
      <c r="V168" s="7" t="n">
        <f aca="false">IF(AND(R168=1,O168&gt;Q168),1,0)</f>
        <v>0</v>
      </c>
      <c r="W168" s="7" t="n">
        <f aca="false">IF(AND(T168=1,P168&lt;&gt;"",P168&lt;=Q168),1,0)</f>
        <v>0</v>
      </c>
    </row>
    <row r="169" customFormat="false" ht="15" hidden="false" customHeight="false" outlineLevel="0" collapsed="false">
      <c r="A169" s="7" t="s">
        <v>305</v>
      </c>
      <c r="B169" s="7" t="s">
        <v>135</v>
      </c>
      <c r="C169" s="7" t="s">
        <v>306</v>
      </c>
      <c r="D169" s="7" t="s">
        <v>173</v>
      </c>
      <c r="E169" s="7" t="s">
        <v>174</v>
      </c>
      <c r="F169" s="7" t="s">
        <v>56</v>
      </c>
      <c r="G169" s="7" t="s">
        <v>19</v>
      </c>
      <c r="H169" s="9" t="n">
        <v>46202</v>
      </c>
      <c r="I169" s="9"/>
      <c r="J169" s="7" t="n">
        <v>9.8</v>
      </c>
      <c r="K169" s="7" t="s">
        <v>51</v>
      </c>
      <c r="L169" s="7" t="s">
        <v>21</v>
      </c>
      <c r="M169" s="7" t="s">
        <v>308</v>
      </c>
      <c r="N169" s="7" t="s">
        <v>58</v>
      </c>
      <c r="O169" s="10" t="n">
        <f aca="false">'Exec Summary'!$E$2-H169</f>
        <v>32</v>
      </c>
      <c r="P169" s="10" t="str">
        <f aca="false">IF(I169="","",I169-H169)</f>
        <v/>
      </c>
      <c r="Q169" s="10" t="n">
        <f aca="false">VLOOKUP(G169,$AA$2:$AB$5,2,FALSE())</f>
        <v>15</v>
      </c>
      <c r="R169" s="7" t="n">
        <f aca="false">IF(OR(F169="Open",F169="Reopened"),1,0)</f>
        <v>1</v>
      </c>
      <c r="S169" s="7" t="n">
        <f aca="false">IF(AND(H169&gt;='Exec Summary'!$E$1,H169&lt;='Exec Summary'!$E$2),1,0)</f>
        <v>0</v>
      </c>
      <c r="T169" s="7" t="n">
        <f aca="false">IF(AND(F169="Closed",I169&lt;&gt;"",I169&gt;='Exec Summary'!$E$1,I169&lt;='Exec Summary'!$E$2),1,0)</f>
        <v>0</v>
      </c>
      <c r="U169" s="7" t="n">
        <f aca="false">IF(F169="Reopened",1,0)</f>
        <v>0</v>
      </c>
      <c r="V169" s="7" t="n">
        <f aca="false">IF(AND(R169=1,O169&gt;Q169),1,0)</f>
        <v>1</v>
      </c>
      <c r="W169" s="7" t="n">
        <f aca="false">IF(AND(T169=1,P169&lt;&gt;"",P169&lt;=Q169),1,0)</f>
        <v>0</v>
      </c>
    </row>
    <row r="170" customFormat="false" ht="15" hidden="false" customHeight="false" outlineLevel="0" collapsed="false">
      <c r="A170" s="7" t="s">
        <v>305</v>
      </c>
      <c r="B170" s="7" t="s">
        <v>135</v>
      </c>
      <c r="C170" s="7" t="s">
        <v>306</v>
      </c>
      <c r="D170" s="7" t="s">
        <v>163</v>
      </c>
      <c r="E170" s="7" t="s">
        <v>164</v>
      </c>
      <c r="F170" s="7" t="s">
        <v>50</v>
      </c>
      <c r="G170" s="7" t="s">
        <v>19</v>
      </c>
      <c r="H170" s="9" t="n">
        <v>46200</v>
      </c>
      <c r="I170" s="9" t="n">
        <v>46201</v>
      </c>
      <c r="J170" s="7" t="n">
        <v>9.1</v>
      </c>
      <c r="K170" s="7" t="s">
        <v>51</v>
      </c>
      <c r="L170" s="7" t="s">
        <v>21</v>
      </c>
      <c r="M170" s="7" t="s">
        <v>309</v>
      </c>
      <c r="N170" s="7" t="s">
        <v>58</v>
      </c>
      <c r="O170" s="10" t="n">
        <f aca="false">'Exec Summary'!$E$2-H170</f>
        <v>34</v>
      </c>
      <c r="P170" s="10" t="n">
        <f aca="false">IF(I170="","",I170-H170)</f>
        <v>1</v>
      </c>
      <c r="Q170" s="10" t="n">
        <f aca="false">VLOOKUP(G170,$AA$2:$AB$5,2,FALSE())</f>
        <v>15</v>
      </c>
      <c r="R170" s="7" t="n">
        <f aca="false">IF(OR(F170="Open",F170="Reopened"),1,0)</f>
        <v>0</v>
      </c>
      <c r="S170" s="7" t="n">
        <f aca="false">IF(AND(H170&gt;='Exec Summary'!$E$1,H170&lt;='Exec Summary'!$E$2),1,0)</f>
        <v>0</v>
      </c>
      <c r="T170" s="7" t="n">
        <f aca="false">IF(AND(F170="Closed",I170&lt;&gt;"",I170&gt;='Exec Summary'!$E$1,I170&lt;='Exec Summary'!$E$2),1,0)</f>
        <v>0</v>
      </c>
      <c r="U170" s="7" t="n">
        <f aca="false">IF(F170="Reopened",1,0)</f>
        <v>0</v>
      </c>
      <c r="V170" s="7" t="n">
        <f aca="false">IF(AND(R170=1,O170&gt;Q170),1,0)</f>
        <v>0</v>
      </c>
      <c r="W170" s="7" t="n">
        <f aca="false">IF(AND(T170=1,P170&lt;&gt;"",P170&lt;=Q170),1,0)</f>
        <v>0</v>
      </c>
    </row>
    <row r="171" customFormat="false" ht="15" hidden="false" customHeight="false" outlineLevel="0" collapsed="false">
      <c r="A171" s="7" t="s">
        <v>305</v>
      </c>
      <c r="B171" s="7" t="s">
        <v>135</v>
      </c>
      <c r="C171" s="7" t="s">
        <v>306</v>
      </c>
      <c r="D171" s="7" t="s">
        <v>112</v>
      </c>
      <c r="E171" s="7" t="s">
        <v>113</v>
      </c>
      <c r="F171" s="7" t="s">
        <v>50</v>
      </c>
      <c r="G171" s="7" t="s">
        <v>20</v>
      </c>
      <c r="H171" s="9" t="n">
        <v>46199</v>
      </c>
      <c r="I171" s="9" t="n">
        <v>46228</v>
      </c>
      <c r="J171" s="7" t="n">
        <v>7.8</v>
      </c>
      <c r="K171" s="7" t="s">
        <v>51</v>
      </c>
      <c r="L171" s="7" t="s">
        <v>21</v>
      </c>
      <c r="M171" s="7" t="s">
        <v>310</v>
      </c>
      <c r="N171" s="7" t="s">
        <v>53</v>
      </c>
      <c r="O171" s="10" t="n">
        <f aca="false">'Exec Summary'!$E$2-H171</f>
        <v>35</v>
      </c>
      <c r="P171" s="10" t="n">
        <f aca="false">IF(I171="","",I171-H171)</f>
        <v>29</v>
      </c>
      <c r="Q171" s="10" t="n">
        <f aca="false">VLOOKUP(G171,$AA$2:$AB$5,2,FALSE())</f>
        <v>30</v>
      </c>
      <c r="R171" s="7" t="n">
        <f aca="false">IF(OR(F171="Open",F171="Reopened"),1,0)</f>
        <v>0</v>
      </c>
      <c r="S171" s="7" t="n">
        <f aca="false">IF(AND(H171&gt;='Exec Summary'!$E$1,H171&lt;='Exec Summary'!$E$2),1,0)</f>
        <v>0</v>
      </c>
      <c r="T171" s="7" t="n">
        <f aca="false">IF(AND(F171="Closed",I171&lt;&gt;"",I171&gt;='Exec Summary'!$E$1,I171&lt;='Exec Summary'!$E$2),1,0)</f>
        <v>1</v>
      </c>
      <c r="U171" s="7" t="n">
        <f aca="false">IF(F171="Reopened",1,0)</f>
        <v>0</v>
      </c>
      <c r="V171" s="7" t="n">
        <f aca="false">IF(AND(R171=1,O171&gt;Q171),1,0)</f>
        <v>0</v>
      </c>
      <c r="W171" s="7" t="n">
        <f aca="false">IF(AND(T171=1,P171&lt;&gt;"",P171&lt;=Q171),1,0)</f>
        <v>1</v>
      </c>
    </row>
    <row r="172" customFormat="false" ht="15" hidden="false" customHeight="false" outlineLevel="0" collapsed="false">
      <c r="A172" s="7" t="s">
        <v>305</v>
      </c>
      <c r="B172" s="7" t="s">
        <v>135</v>
      </c>
      <c r="C172" s="7" t="s">
        <v>306</v>
      </c>
      <c r="D172" s="7" t="s">
        <v>54</v>
      </c>
      <c r="E172" s="7" t="s">
        <v>55</v>
      </c>
      <c r="F172" s="7" t="s">
        <v>50</v>
      </c>
      <c r="G172" s="7" t="s">
        <v>19</v>
      </c>
      <c r="H172" s="9" t="n">
        <v>46219</v>
      </c>
      <c r="I172" s="9" t="n">
        <v>46231</v>
      </c>
      <c r="J172" s="7" t="n">
        <v>9.8</v>
      </c>
      <c r="K172" s="7" t="s">
        <v>51</v>
      </c>
      <c r="L172" s="7" t="s">
        <v>21</v>
      </c>
      <c r="M172" s="7" t="s">
        <v>311</v>
      </c>
      <c r="N172" s="7" t="s">
        <v>58</v>
      </c>
      <c r="O172" s="10" t="n">
        <f aca="false">'Exec Summary'!$E$2-H172</f>
        <v>15</v>
      </c>
      <c r="P172" s="10" t="n">
        <f aca="false">IF(I172="","",I172-H172)</f>
        <v>12</v>
      </c>
      <c r="Q172" s="10" t="n">
        <f aca="false">VLOOKUP(G172,$AA$2:$AB$5,2,FALSE())</f>
        <v>15</v>
      </c>
      <c r="R172" s="7" t="n">
        <f aca="false">IF(OR(F172="Open",F172="Reopened"),1,0)</f>
        <v>0</v>
      </c>
      <c r="S172" s="7" t="n">
        <f aca="false">IF(AND(H172&gt;='Exec Summary'!$E$1,H172&lt;='Exec Summary'!$E$2),1,0)</f>
        <v>1</v>
      </c>
      <c r="T172" s="7" t="n">
        <f aca="false">IF(AND(F172="Closed",I172&lt;&gt;"",I172&gt;='Exec Summary'!$E$1,I172&lt;='Exec Summary'!$E$2),1,0)</f>
        <v>1</v>
      </c>
      <c r="U172" s="7" t="n">
        <f aca="false">IF(F172="Reopened",1,0)</f>
        <v>0</v>
      </c>
      <c r="V172" s="7" t="n">
        <f aca="false">IF(AND(R172=1,O172&gt;Q172),1,0)</f>
        <v>0</v>
      </c>
      <c r="W172" s="7" t="n">
        <f aca="false">IF(AND(T172=1,P172&lt;&gt;"",P172&lt;=Q172),1,0)</f>
        <v>1</v>
      </c>
    </row>
    <row r="173" customFormat="false" ht="15" hidden="false" customHeight="false" outlineLevel="0" collapsed="false">
      <c r="A173" s="7" t="s">
        <v>305</v>
      </c>
      <c r="B173" s="7" t="s">
        <v>135</v>
      </c>
      <c r="C173" s="7" t="s">
        <v>306</v>
      </c>
      <c r="D173" s="7" t="s">
        <v>62</v>
      </c>
      <c r="E173" s="7" t="s">
        <v>63</v>
      </c>
      <c r="F173" s="7" t="s">
        <v>56</v>
      </c>
      <c r="G173" s="7" t="s">
        <v>20</v>
      </c>
      <c r="H173" s="9" t="n">
        <v>46137</v>
      </c>
      <c r="I173" s="9"/>
      <c r="J173" s="7" t="n">
        <v>8.1</v>
      </c>
      <c r="K173" s="7" t="s">
        <v>51</v>
      </c>
      <c r="L173" s="7" t="s">
        <v>21</v>
      </c>
      <c r="M173" s="7" t="s">
        <v>312</v>
      </c>
      <c r="N173" s="7" t="s">
        <v>53</v>
      </c>
      <c r="O173" s="10" t="n">
        <f aca="false">'Exec Summary'!$E$2-H173</f>
        <v>97</v>
      </c>
      <c r="P173" s="10" t="str">
        <f aca="false">IF(I173="","",I173-H173)</f>
        <v/>
      </c>
      <c r="Q173" s="10" t="n">
        <f aca="false">VLOOKUP(G173,$AA$2:$AB$5,2,FALSE())</f>
        <v>30</v>
      </c>
      <c r="R173" s="7" t="n">
        <f aca="false">IF(OR(F173="Open",F173="Reopened"),1,0)</f>
        <v>1</v>
      </c>
      <c r="S173" s="7" t="n">
        <f aca="false">IF(AND(H173&gt;='Exec Summary'!$E$1,H173&lt;='Exec Summary'!$E$2),1,0)</f>
        <v>0</v>
      </c>
      <c r="T173" s="7" t="n">
        <f aca="false">IF(AND(F173="Closed",I173&lt;&gt;"",I173&gt;='Exec Summary'!$E$1,I173&lt;='Exec Summary'!$E$2),1,0)</f>
        <v>0</v>
      </c>
      <c r="U173" s="7" t="n">
        <f aca="false">IF(F173="Reopened",1,0)</f>
        <v>0</v>
      </c>
      <c r="V173" s="7" t="n">
        <f aca="false">IF(AND(R173=1,O173&gt;Q173),1,0)</f>
        <v>1</v>
      </c>
      <c r="W173" s="7" t="n">
        <f aca="false">IF(AND(T173=1,P173&lt;&gt;"",P173&lt;=Q173),1,0)</f>
        <v>0</v>
      </c>
    </row>
    <row r="174" customFormat="false" ht="15" hidden="false" customHeight="false" outlineLevel="0" collapsed="false">
      <c r="A174" s="7" t="s">
        <v>305</v>
      </c>
      <c r="B174" s="7" t="s">
        <v>135</v>
      </c>
      <c r="C174" s="7" t="s">
        <v>306</v>
      </c>
      <c r="D174" s="7" t="s">
        <v>145</v>
      </c>
      <c r="E174" s="7" t="s">
        <v>146</v>
      </c>
      <c r="F174" s="7" t="s">
        <v>50</v>
      </c>
      <c r="G174" s="7" t="s">
        <v>19</v>
      </c>
      <c r="H174" s="9" t="n">
        <v>46170</v>
      </c>
      <c r="I174" s="9" t="n">
        <v>46171</v>
      </c>
      <c r="J174" s="7" t="n">
        <v>9.8</v>
      </c>
      <c r="K174" s="7" t="s">
        <v>51</v>
      </c>
      <c r="L174" s="7" t="s">
        <v>21</v>
      </c>
      <c r="M174" s="7" t="s">
        <v>313</v>
      </c>
      <c r="N174" s="7" t="s">
        <v>58</v>
      </c>
      <c r="O174" s="10" t="n">
        <f aca="false">'Exec Summary'!$E$2-H174</f>
        <v>64</v>
      </c>
      <c r="P174" s="10" t="n">
        <f aca="false">IF(I174="","",I174-H174)</f>
        <v>1</v>
      </c>
      <c r="Q174" s="10" t="n">
        <f aca="false">VLOOKUP(G174,$AA$2:$AB$5,2,FALSE())</f>
        <v>15</v>
      </c>
      <c r="R174" s="7" t="n">
        <f aca="false">IF(OR(F174="Open",F174="Reopened"),1,0)</f>
        <v>0</v>
      </c>
      <c r="S174" s="7" t="n">
        <f aca="false">IF(AND(H174&gt;='Exec Summary'!$E$1,H174&lt;='Exec Summary'!$E$2),1,0)</f>
        <v>0</v>
      </c>
      <c r="T174" s="7" t="n">
        <f aca="false">IF(AND(F174="Closed",I174&lt;&gt;"",I174&gt;='Exec Summary'!$E$1,I174&lt;='Exec Summary'!$E$2),1,0)</f>
        <v>0</v>
      </c>
      <c r="U174" s="7" t="n">
        <f aca="false">IF(F174="Reopened",1,0)</f>
        <v>0</v>
      </c>
      <c r="V174" s="7" t="n">
        <f aca="false">IF(AND(R174=1,O174&gt;Q174),1,0)</f>
        <v>0</v>
      </c>
      <c r="W174" s="7" t="n">
        <f aca="false">IF(AND(T174=1,P174&lt;&gt;"",P174&lt;=Q174),1,0)</f>
        <v>0</v>
      </c>
    </row>
    <row r="175" customFormat="false" ht="15" hidden="false" customHeight="false" outlineLevel="0" collapsed="false">
      <c r="A175" s="7" t="s">
        <v>305</v>
      </c>
      <c r="B175" s="7" t="s">
        <v>135</v>
      </c>
      <c r="C175" s="7" t="s">
        <v>306</v>
      </c>
      <c r="D175" s="7" t="s">
        <v>192</v>
      </c>
      <c r="E175" s="7" t="s">
        <v>193</v>
      </c>
      <c r="F175" s="7" t="s">
        <v>56</v>
      </c>
      <c r="G175" s="7" t="s">
        <v>19</v>
      </c>
      <c r="H175" s="9" t="n">
        <v>46198</v>
      </c>
      <c r="I175" s="9"/>
      <c r="J175" s="7" t="n">
        <v>9.8</v>
      </c>
      <c r="K175" s="7" t="s">
        <v>51</v>
      </c>
      <c r="L175" s="7" t="s">
        <v>21</v>
      </c>
      <c r="M175" s="7" t="s">
        <v>314</v>
      </c>
      <c r="N175" s="7" t="s">
        <v>58</v>
      </c>
      <c r="O175" s="10" t="n">
        <f aca="false">'Exec Summary'!$E$2-H175</f>
        <v>36</v>
      </c>
      <c r="P175" s="10" t="str">
        <f aca="false">IF(I175="","",I175-H175)</f>
        <v/>
      </c>
      <c r="Q175" s="10" t="n">
        <f aca="false">VLOOKUP(G175,$AA$2:$AB$5,2,FALSE())</f>
        <v>15</v>
      </c>
      <c r="R175" s="7" t="n">
        <f aca="false">IF(OR(F175="Open",F175="Reopened"),1,0)</f>
        <v>1</v>
      </c>
      <c r="S175" s="7" t="n">
        <f aca="false">IF(AND(H175&gt;='Exec Summary'!$E$1,H175&lt;='Exec Summary'!$E$2),1,0)</f>
        <v>0</v>
      </c>
      <c r="T175" s="7" t="n">
        <f aca="false">IF(AND(F175="Closed",I175&lt;&gt;"",I175&gt;='Exec Summary'!$E$1,I175&lt;='Exec Summary'!$E$2),1,0)</f>
        <v>0</v>
      </c>
      <c r="U175" s="7" t="n">
        <f aca="false">IF(F175="Reopened",1,0)</f>
        <v>0</v>
      </c>
      <c r="V175" s="7" t="n">
        <f aca="false">IF(AND(R175=1,O175&gt;Q175),1,0)</f>
        <v>1</v>
      </c>
      <c r="W175" s="7" t="n">
        <f aca="false">IF(AND(T175=1,P175&lt;&gt;"",P175&lt;=Q175),1,0)</f>
        <v>0</v>
      </c>
    </row>
    <row r="176" customFormat="false" ht="15" hidden="false" customHeight="false" outlineLevel="0" collapsed="false">
      <c r="A176" s="7" t="s">
        <v>305</v>
      </c>
      <c r="B176" s="7" t="s">
        <v>135</v>
      </c>
      <c r="C176" s="7" t="s">
        <v>306</v>
      </c>
      <c r="D176" s="7" t="s">
        <v>65</v>
      </c>
      <c r="E176" s="7" t="s">
        <v>66</v>
      </c>
      <c r="F176" s="7" t="s">
        <v>50</v>
      </c>
      <c r="G176" s="7" t="s">
        <v>19</v>
      </c>
      <c r="H176" s="9" t="n">
        <v>46165</v>
      </c>
      <c r="I176" s="9" t="n">
        <v>46172</v>
      </c>
      <c r="J176" s="7" t="n">
        <v>9.8</v>
      </c>
      <c r="K176" s="7" t="s">
        <v>51</v>
      </c>
      <c r="L176" s="7" t="s">
        <v>21</v>
      </c>
      <c r="M176" s="7" t="s">
        <v>315</v>
      </c>
      <c r="N176" s="7" t="s">
        <v>58</v>
      </c>
      <c r="O176" s="10" t="n">
        <f aca="false">'Exec Summary'!$E$2-H176</f>
        <v>69</v>
      </c>
      <c r="P176" s="10" t="n">
        <f aca="false">IF(I176="","",I176-H176)</f>
        <v>7</v>
      </c>
      <c r="Q176" s="10" t="n">
        <f aca="false">VLOOKUP(G176,$AA$2:$AB$5,2,FALSE())</f>
        <v>15</v>
      </c>
      <c r="R176" s="7" t="n">
        <f aca="false">IF(OR(F176="Open",F176="Reopened"),1,0)</f>
        <v>0</v>
      </c>
      <c r="S176" s="7" t="n">
        <f aca="false">IF(AND(H176&gt;='Exec Summary'!$E$1,H176&lt;='Exec Summary'!$E$2),1,0)</f>
        <v>0</v>
      </c>
      <c r="T176" s="7" t="n">
        <f aca="false">IF(AND(F176="Closed",I176&lt;&gt;"",I176&gt;='Exec Summary'!$E$1,I176&lt;='Exec Summary'!$E$2),1,0)</f>
        <v>0</v>
      </c>
      <c r="U176" s="7" t="n">
        <f aca="false">IF(F176="Reopened",1,0)</f>
        <v>0</v>
      </c>
      <c r="V176" s="7" t="n">
        <f aca="false">IF(AND(R176=1,O176&gt;Q176),1,0)</f>
        <v>0</v>
      </c>
      <c r="W176" s="7" t="n">
        <f aca="false">IF(AND(T176=1,P176&lt;&gt;"",P176&lt;=Q176),1,0)</f>
        <v>0</v>
      </c>
    </row>
    <row r="177" customFormat="false" ht="15" hidden="false" customHeight="false" outlineLevel="0" collapsed="false">
      <c r="A177" s="7" t="s">
        <v>305</v>
      </c>
      <c r="B177" s="7" t="s">
        <v>135</v>
      </c>
      <c r="C177" s="7" t="s">
        <v>306</v>
      </c>
      <c r="D177" s="7" t="s">
        <v>206</v>
      </c>
      <c r="E177" s="7" t="s">
        <v>207</v>
      </c>
      <c r="F177" s="7" t="s">
        <v>50</v>
      </c>
      <c r="G177" s="7" t="s">
        <v>20</v>
      </c>
      <c r="H177" s="9" t="n">
        <v>46135</v>
      </c>
      <c r="I177" s="9" t="n">
        <v>46157</v>
      </c>
      <c r="J177" s="7" t="n">
        <v>8.8</v>
      </c>
      <c r="K177" s="7" t="s">
        <v>51</v>
      </c>
      <c r="L177" s="7" t="s">
        <v>21</v>
      </c>
      <c r="M177" s="7" t="s">
        <v>316</v>
      </c>
      <c r="N177" s="7" t="s">
        <v>53</v>
      </c>
      <c r="O177" s="10" t="n">
        <f aca="false">'Exec Summary'!$E$2-H177</f>
        <v>99</v>
      </c>
      <c r="P177" s="10" t="n">
        <f aca="false">IF(I177="","",I177-H177)</f>
        <v>22</v>
      </c>
      <c r="Q177" s="10" t="n">
        <f aca="false">VLOOKUP(G177,$AA$2:$AB$5,2,FALSE())</f>
        <v>30</v>
      </c>
      <c r="R177" s="7" t="n">
        <f aca="false">IF(OR(F177="Open",F177="Reopened"),1,0)</f>
        <v>0</v>
      </c>
      <c r="S177" s="7" t="n">
        <f aca="false">IF(AND(H177&gt;='Exec Summary'!$E$1,H177&lt;='Exec Summary'!$E$2),1,0)</f>
        <v>0</v>
      </c>
      <c r="T177" s="7" t="n">
        <f aca="false">IF(AND(F177="Closed",I177&lt;&gt;"",I177&gt;='Exec Summary'!$E$1,I177&lt;='Exec Summary'!$E$2),1,0)</f>
        <v>0</v>
      </c>
      <c r="U177" s="7" t="n">
        <f aca="false">IF(F177="Reopened",1,0)</f>
        <v>0</v>
      </c>
      <c r="V177" s="7" t="n">
        <f aca="false">IF(AND(R177=1,O177&gt;Q177),1,0)</f>
        <v>0</v>
      </c>
      <c r="W177" s="7" t="n">
        <f aca="false">IF(AND(T177=1,P177&lt;&gt;"",P177&lt;=Q177),1,0)</f>
        <v>0</v>
      </c>
    </row>
    <row r="178" customFormat="false" ht="15" hidden="false" customHeight="false" outlineLevel="0" collapsed="false">
      <c r="A178" s="7" t="s">
        <v>317</v>
      </c>
      <c r="B178" s="7" t="s">
        <v>46</v>
      </c>
      <c r="C178" s="7" t="s">
        <v>128</v>
      </c>
      <c r="D178" s="7" t="s">
        <v>74</v>
      </c>
      <c r="E178" s="7" t="s">
        <v>75</v>
      </c>
      <c r="F178" s="7" t="s">
        <v>50</v>
      </c>
      <c r="G178" s="7" t="s">
        <v>21</v>
      </c>
      <c r="H178" s="9" t="n">
        <v>45977</v>
      </c>
      <c r="I178" s="9" t="n">
        <v>45991</v>
      </c>
      <c r="J178" s="7" t="n">
        <v>6.5</v>
      </c>
      <c r="K178" s="7" t="s">
        <v>51</v>
      </c>
      <c r="L178" s="7" t="s">
        <v>19</v>
      </c>
      <c r="M178" s="7" t="s">
        <v>318</v>
      </c>
      <c r="N178" s="7" t="s">
        <v>77</v>
      </c>
      <c r="O178" s="10" t="n">
        <f aca="false">'Exec Summary'!$E$2-H178</f>
        <v>257</v>
      </c>
      <c r="P178" s="10" t="n">
        <f aca="false">IF(I178="","",I178-H178)</f>
        <v>14</v>
      </c>
      <c r="Q178" s="10" t="n">
        <f aca="false">VLOOKUP(G178,$AA$2:$AB$5,2,FALSE())</f>
        <v>90</v>
      </c>
      <c r="R178" s="7" t="n">
        <f aca="false">IF(OR(F178="Open",F178="Reopened"),1,0)</f>
        <v>0</v>
      </c>
      <c r="S178" s="7" t="n">
        <f aca="false">IF(AND(H178&gt;='Exec Summary'!$E$1,H178&lt;='Exec Summary'!$E$2),1,0)</f>
        <v>0</v>
      </c>
      <c r="T178" s="7" t="n">
        <f aca="false">IF(AND(F178="Closed",I178&lt;&gt;"",I178&gt;='Exec Summary'!$E$1,I178&lt;='Exec Summary'!$E$2),1,0)</f>
        <v>0</v>
      </c>
      <c r="U178" s="7" t="n">
        <f aca="false">IF(F178="Reopened",1,0)</f>
        <v>0</v>
      </c>
      <c r="V178" s="7" t="n">
        <f aca="false">IF(AND(R178=1,O178&gt;Q178),1,0)</f>
        <v>0</v>
      </c>
      <c r="W178" s="7" t="n">
        <f aca="false">IF(AND(T178=1,P178&lt;&gt;"",P178&lt;=Q178),1,0)</f>
        <v>0</v>
      </c>
    </row>
    <row r="179" customFormat="false" ht="15" hidden="false" customHeight="false" outlineLevel="0" collapsed="false">
      <c r="A179" s="7" t="s">
        <v>317</v>
      </c>
      <c r="B179" s="7" t="s">
        <v>46</v>
      </c>
      <c r="C179" s="7" t="s">
        <v>128</v>
      </c>
      <c r="D179" s="7" t="s">
        <v>173</v>
      </c>
      <c r="E179" s="7" t="s">
        <v>174</v>
      </c>
      <c r="F179" s="7" t="s">
        <v>123</v>
      </c>
      <c r="G179" s="7" t="s">
        <v>19</v>
      </c>
      <c r="H179" s="9" t="n">
        <v>46127</v>
      </c>
      <c r="I179" s="9" t="n">
        <v>46146</v>
      </c>
      <c r="J179" s="7" t="n">
        <v>9.8</v>
      </c>
      <c r="K179" s="7" t="s">
        <v>51</v>
      </c>
      <c r="L179" s="7" t="s">
        <v>19</v>
      </c>
      <c r="M179" s="7" t="s">
        <v>319</v>
      </c>
      <c r="N179" s="7" t="s">
        <v>58</v>
      </c>
      <c r="O179" s="10" t="n">
        <f aca="false">'Exec Summary'!$E$2-H179</f>
        <v>107</v>
      </c>
      <c r="P179" s="10" t="n">
        <f aca="false">IF(I179="","",I179-H179)</f>
        <v>19</v>
      </c>
      <c r="Q179" s="10" t="n">
        <f aca="false">VLOOKUP(G179,$AA$2:$AB$5,2,FALSE())</f>
        <v>15</v>
      </c>
      <c r="R179" s="7" t="n">
        <f aca="false">IF(OR(F179="Open",F179="Reopened"),1,0)</f>
        <v>1</v>
      </c>
      <c r="S179" s="7" t="n">
        <f aca="false">IF(AND(H179&gt;='Exec Summary'!$E$1,H179&lt;='Exec Summary'!$E$2),1,0)</f>
        <v>0</v>
      </c>
      <c r="T179" s="7" t="n">
        <f aca="false">IF(AND(F179="Closed",I179&lt;&gt;"",I179&gt;='Exec Summary'!$E$1,I179&lt;='Exec Summary'!$E$2),1,0)</f>
        <v>0</v>
      </c>
      <c r="U179" s="7" t="n">
        <f aca="false">IF(F179="Reopened",1,0)</f>
        <v>1</v>
      </c>
      <c r="V179" s="7" t="n">
        <f aca="false">IF(AND(R179=1,O179&gt;Q179),1,0)</f>
        <v>1</v>
      </c>
      <c r="W179" s="7" t="n">
        <f aca="false">IF(AND(T179=1,P179&lt;&gt;"",P179&lt;=Q179),1,0)</f>
        <v>0</v>
      </c>
    </row>
    <row r="180" customFormat="false" ht="15" hidden="false" customHeight="false" outlineLevel="0" collapsed="false">
      <c r="A180" s="7" t="s">
        <v>317</v>
      </c>
      <c r="B180" s="7" t="s">
        <v>46</v>
      </c>
      <c r="C180" s="7" t="s">
        <v>128</v>
      </c>
      <c r="D180" s="7" t="s">
        <v>120</v>
      </c>
      <c r="E180" s="7" t="s">
        <v>121</v>
      </c>
      <c r="F180" s="7" t="s">
        <v>50</v>
      </c>
      <c r="G180" s="7" t="s">
        <v>19</v>
      </c>
      <c r="H180" s="9" t="n">
        <v>46105</v>
      </c>
      <c r="I180" s="9" t="n">
        <v>46114</v>
      </c>
      <c r="J180" s="7" t="n">
        <v>8.8</v>
      </c>
      <c r="K180" s="7" t="s">
        <v>51</v>
      </c>
      <c r="L180" s="7" t="s">
        <v>19</v>
      </c>
      <c r="M180" s="7" t="s">
        <v>320</v>
      </c>
      <c r="N180" s="7" t="s">
        <v>58</v>
      </c>
      <c r="O180" s="10" t="n">
        <f aca="false">'Exec Summary'!$E$2-H180</f>
        <v>129</v>
      </c>
      <c r="P180" s="10" t="n">
        <f aca="false">IF(I180="","",I180-H180)</f>
        <v>9</v>
      </c>
      <c r="Q180" s="10" t="n">
        <f aca="false">VLOOKUP(G180,$AA$2:$AB$5,2,FALSE())</f>
        <v>15</v>
      </c>
      <c r="R180" s="7" t="n">
        <f aca="false">IF(OR(F180="Open",F180="Reopened"),1,0)</f>
        <v>0</v>
      </c>
      <c r="S180" s="7" t="n">
        <f aca="false">IF(AND(H180&gt;='Exec Summary'!$E$1,H180&lt;='Exec Summary'!$E$2),1,0)</f>
        <v>0</v>
      </c>
      <c r="T180" s="7" t="n">
        <f aca="false">IF(AND(F180="Closed",I180&lt;&gt;"",I180&gt;='Exec Summary'!$E$1,I180&lt;='Exec Summary'!$E$2),1,0)</f>
        <v>0</v>
      </c>
      <c r="U180" s="7" t="n">
        <f aca="false">IF(F180="Reopened",1,0)</f>
        <v>0</v>
      </c>
      <c r="V180" s="7" t="n">
        <f aca="false">IF(AND(R180=1,O180&gt;Q180),1,0)</f>
        <v>0</v>
      </c>
      <c r="W180" s="7" t="n">
        <f aca="false">IF(AND(T180=1,P180&lt;&gt;"",P180&lt;=Q180),1,0)</f>
        <v>0</v>
      </c>
    </row>
    <row r="181" customFormat="false" ht="15" hidden="false" customHeight="false" outlineLevel="0" collapsed="false">
      <c r="A181" s="7" t="s">
        <v>317</v>
      </c>
      <c r="B181" s="7" t="s">
        <v>46</v>
      </c>
      <c r="C181" s="7" t="s">
        <v>128</v>
      </c>
      <c r="D181" s="7" t="s">
        <v>48</v>
      </c>
      <c r="E181" s="7" t="s">
        <v>49</v>
      </c>
      <c r="F181" s="7" t="s">
        <v>50</v>
      </c>
      <c r="G181" s="7" t="s">
        <v>20</v>
      </c>
      <c r="H181" s="9" t="n">
        <v>45960</v>
      </c>
      <c r="I181" s="9" t="n">
        <v>45976</v>
      </c>
      <c r="J181" s="7" t="n">
        <v>7.5</v>
      </c>
      <c r="K181" s="7" t="s">
        <v>51</v>
      </c>
      <c r="L181" s="7" t="s">
        <v>19</v>
      </c>
      <c r="M181" s="7" t="s">
        <v>321</v>
      </c>
      <c r="N181" s="7" t="s">
        <v>53</v>
      </c>
      <c r="O181" s="10" t="n">
        <f aca="false">'Exec Summary'!$E$2-H181</f>
        <v>274</v>
      </c>
      <c r="P181" s="10" t="n">
        <f aca="false">IF(I181="","",I181-H181)</f>
        <v>16</v>
      </c>
      <c r="Q181" s="10" t="n">
        <f aca="false">VLOOKUP(G181,$AA$2:$AB$5,2,FALSE())</f>
        <v>30</v>
      </c>
      <c r="R181" s="7" t="n">
        <f aca="false">IF(OR(F181="Open",F181="Reopened"),1,0)</f>
        <v>0</v>
      </c>
      <c r="S181" s="7" t="n">
        <f aca="false">IF(AND(H181&gt;='Exec Summary'!$E$1,H181&lt;='Exec Summary'!$E$2),1,0)</f>
        <v>0</v>
      </c>
      <c r="T181" s="7" t="n">
        <f aca="false">IF(AND(F181="Closed",I181&lt;&gt;"",I181&gt;='Exec Summary'!$E$1,I181&lt;='Exec Summary'!$E$2),1,0)</f>
        <v>0</v>
      </c>
      <c r="U181" s="7" t="n">
        <f aca="false">IF(F181="Reopened",1,0)</f>
        <v>0</v>
      </c>
      <c r="V181" s="7" t="n">
        <f aca="false">IF(AND(R181=1,O181&gt;Q181),1,0)</f>
        <v>0</v>
      </c>
      <c r="W181" s="7" t="n">
        <f aca="false">IF(AND(T181=1,P181&lt;&gt;"",P181&lt;=Q181),1,0)</f>
        <v>0</v>
      </c>
    </row>
    <row r="182" customFormat="false" ht="15" hidden="false" customHeight="false" outlineLevel="0" collapsed="false">
      <c r="A182" s="7" t="s">
        <v>317</v>
      </c>
      <c r="B182" s="7" t="s">
        <v>46</v>
      </c>
      <c r="C182" s="7" t="s">
        <v>128</v>
      </c>
      <c r="D182" s="7" t="s">
        <v>210</v>
      </c>
      <c r="E182" s="7" t="s">
        <v>211</v>
      </c>
      <c r="F182" s="7" t="s">
        <v>56</v>
      </c>
      <c r="G182" s="7" t="s">
        <v>19</v>
      </c>
      <c r="H182" s="9" t="n">
        <v>46081</v>
      </c>
      <c r="I182" s="9"/>
      <c r="J182" s="7" t="n">
        <v>9.8</v>
      </c>
      <c r="K182" s="7" t="s">
        <v>51</v>
      </c>
      <c r="L182" s="7" t="s">
        <v>19</v>
      </c>
      <c r="M182" s="7" t="s">
        <v>322</v>
      </c>
      <c r="N182" s="7" t="s">
        <v>58</v>
      </c>
      <c r="O182" s="10" t="n">
        <f aca="false">'Exec Summary'!$E$2-H182</f>
        <v>153</v>
      </c>
      <c r="P182" s="10" t="str">
        <f aca="false">IF(I182="","",I182-H182)</f>
        <v/>
      </c>
      <c r="Q182" s="10" t="n">
        <f aca="false">VLOOKUP(G182,$AA$2:$AB$5,2,FALSE())</f>
        <v>15</v>
      </c>
      <c r="R182" s="7" t="n">
        <f aca="false">IF(OR(F182="Open",F182="Reopened"),1,0)</f>
        <v>1</v>
      </c>
      <c r="S182" s="7" t="n">
        <f aca="false">IF(AND(H182&gt;='Exec Summary'!$E$1,H182&lt;='Exec Summary'!$E$2),1,0)</f>
        <v>0</v>
      </c>
      <c r="T182" s="7" t="n">
        <f aca="false">IF(AND(F182="Closed",I182&lt;&gt;"",I182&gt;='Exec Summary'!$E$1,I182&lt;='Exec Summary'!$E$2),1,0)</f>
        <v>0</v>
      </c>
      <c r="U182" s="7" t="n">
        <f aca="false">IF(F182="Reopened",1,0)</f>
        <v>0</v>
      </c>
      <c r="V182" s="7" t="n">
        <f aca="false">IF(AND(R182=1,O182&gt;Q182),1,0)</f>
        <v>1</v>
      </c>
      <c r="W182" s="7" t="n">
        <f aca="false">IF(AND(T182=1,P182&lt;&gt;"",P182&lt;=Q182),1,0)</f>
        <v>0</v>
      </c>
    </row>
    <row r="183" customFormat="false" ht="15" hidden="false" customHeight="false" outlineLevel="0" collapsed="false">
      <c r="A183" s="7" t="s">
        <v>317</v>
      </c>
      <c r="B183" s="7" t="s">
        <v>46</v>
      </c>
      <c r="C183" s="7" t="s">
        <v>128</v>
      </c>
      <c r="D183" s="7" t="s">
        <v>206</v>
      </c>
      <c r="E183" s="7" t="s">
        <v>207</v>
      </c>
      <c r="F183" s="7" t="s">
        <v>56</v>
      </c>
      <c r="G183" s="7" t="s">
        <v>20</v>
      </c>
      <c r="H183" s="9" t="n">
        <v>46001</v>
      </c>
      <c r="I183" s="9"/>
      <c r="J183" s="7" t="n">
        <v>8.8</v>
      </c>
      <c r="K183" s="7" t="s">
        <v>51</v>
      </c>
      <c r="L183" s="7" t="s">
        <v>19</v>
      </c>
      <c r="M183" s="7" t="s">
        <v>323</v>
      </c>
      <c r="N183" s="7" t="s">
        <v>53</v>
      </c>
      <c r="O183" s="10" t="n">
        <f aca="false">'Exec Summary'!$E$2-H183</f>
        <v>233</v>
      </c>
      <c r="P183" s="10" t="str">
        <f aca="false">IF(I183="","",I183-H183)</f>
        <v/>
      </c>
      <c r="Q183" s="10" t="n">
        <f aca="false">VLOOKUP(G183,$AA$2:$AB$5,2,FALSE())</f>
        <v>30</v>
      </c>
      <c r="R183" s="7" t="n">
        <f aca="false">IF(OR(F183="Open",F183="Reopened"),1,0)</f>
        <v>1</v>
      </c>
      <c r="S183" s="7" t="n">
        <f aca="false">IF(AND(H183&gt;='Exec Summary'!$E$1,H183&lt;='Exec Summary'!$E$2),1,0)</f>
        <v>0</v>
      </c>
      <c r="T183" s="7" t="n">
        <f aca="false">IF(AND(F183="Closed",I183&lt;&gt;"",I183&gt;='Exec Summary'!$E$1,I183&lt;='Exec Summary'!$E$2),1,0)</f>
        <v>0</v>
      </c>
      <c r="U183" s="7" t="n">
        <f aca="false">IF(F183="Reopened",1,0)</f>
        <v>0</v>
      </c>
      <c r="V183" s="7" t="n">
        <f aca="false">IF(AND(R183=1,O183&gt;Q183),1,0)</f>
        <v>1</v>
      </c>
      <c r="W183" s="7" t="n">
        <f aca="false">IF(AND(T183=1,P183&lt;&gt;"",P183&lt;=Q183),1,0)</f>
        <v>0</v>
      </c>
    </row>
    <row r="184" customFormat="false" ht="15" hidden="false" customHeight="false" outlineLevel="0" collapsed="false">
      <c r="A184" s="7" t="s">
        <v>317</v>
      </c>
      <c r="B184" s="7" t="s">
        <v>46</v>
      </c>
      <c r="C184" s="7" t="s">
        <v>128</v>
      </c>
      <c r="D184" s="7" t="s">
        <v>131</v>
      </c>
      <c r="E184" s="7" t="s">
        <v>132</v>
      </c>
      <c r="F184" s="7" t="s">
        <v>50</v>
      </c>
      <c r="G184" s="7" t="s">
        <v>19</v>
      </c>
      <c r="H184" s="9" t="n">
        <v>46063</v>
      </c>
      <c r="I184" s="9" t="n">
        <v>46066</v>
      </c>
      <c r="J184" s="7" t="n">
        <v>9.8</v>
      </c>
      <c r="K184" s="7" t="s">
        <v>51</v>
      </c>
      <c r="L184" s="7" t="s">
        <v>19</v>
      </c>
      <c r="M184" s="7" t="s">
        <v>324</v>
      </c>
      <c r="N184" s="7" t="s">
        <v>58</v>
      </c>
      <c r="O184" s="10" t="n">
        <f aca="false">'Exec Summary'!$E$2-H184</f>
        <v>171</v>
      </c>
      <c r="P184" s="10" t="n">
        <f aca="false">IF(I184="","",I184-H184)</f>
        <v>3</v>
      </c>
      <c r="Q184" s="10" t="n">
        <f aca="false">VLOOKUP(G184,$AA$2:$AB$5,2,FALSE())</f>
        <v>15</v>
      </c>
      <c r="R184" s="7" t="n">
        <f aca="false">IF(OR(F184="Open",F184="Reopened"),1,0)</f>
        <v>0</v>
      </c>
      <c r="S184" s="7" t="n">
        <f aca="false">IF(AND(H184&gt;='Exec Summary'!$E$1,H184&lt;='Exec Summary'!$E$2),1,0)</f>
        <v>0</v>
      </c>
      <c r="T184" s="7" t="n">
        <f aca="false">IF(AND(F184="Closed",I184&lt;&gt;"",I184&gt;='Exec Summary'!$E$1,I184&lt;='Exec Summary'!$E$2),1,0)</f>
        <v>0</v>
      </c>
      <c r="U184" s="7" t="n">
        <f aca="false">IF(F184="Reopened",1,0)</f>
        <v>0</v>
      </c>
      <c r="V184" s="7" t="n">
        <f aca="false">IF(AND(R184=1,O184&gt;Q184),1,0)</f>
        <v>0</v>
      </c>
      <c r="W184" s="7" t="n">
        <f aca="false">IF(AND(T184=1,P184&lt;&gt;"",P184&lt;=Q184),1,0)</f>
        <v>0</v>
      </c>
    </row>
    <row r="185" customFormat="false" ht="15" hidden="false" customHeight="false" outlineLevel="0" collapsed="false">
      <c r="A185" s="7" t="s">
        <v>317</v>
      </c>
      <c r="B185" s="7" t="s">
        <v>46</v>
      </c>
      <c r="C185" s="7" t="s">
        <v>128</v>
      </c>
      <c r="D185" s="7" t="s">
        <v>84</v>
      </c>
      <c r="E185" s="7" t="s">
        <v>85</v>
      </c>
      <c r="F185" s="7" t="s">
        <v>50</v>
      </c>
      <c r="G185" s="7" t="s">
        <v>20</v>
      </c>
      <c r="H185" s="9" t="n">
        <v>46055</v>
      </c>
      <c r="I185" s="9" t="n">
        <v>46077</v>
      </c>
      <c r="J185" s="7" t="n">
        <v>7.5</v>
      </c>
      <c r="K185" s="7" t="s">
        <v>51</v>
      </c>
      <c r="L185" s="7" t="s">
        <v>19</v>
      </c>
      <c r="M185" s="7" t="s">
        <v>325</v>
      </c>
      <c r="N185" s="7" t="s">
        <v>53</v>
      </c>
      <c r="O185" s="10" t="n">
        <f aca="false">'Exec Summary'!$E$2-H185</f>
        <v>179</v>
      </c>
      <c r="P185" s="10" t="n">
        <f aca="false">IF(I185="","",I185-H185)</f>
        <v>22</v>
      </c>
      <c r="Q185" s="10" t="n">
        <f aca="false">VLOOKUP(G185,$AA$2:$AB$5,2,FALSE())</f>
        <v>30</v>
      </c>
      <c r="R185" s="7" t="n">
        <f aca="false">IF(OR(F185="Open",F185="Reopened"),1,0)</f>
        <v>0</v>
      </c>
      <c r="S185" s="7" t="n">
        <f aca="false">IF(AND(H185&gt;='Exec Summary'!$E$1,H185&lt;='Exec Summary'!$E$2),1,0)</f>
        <v>0</v>
      </c>
      <c r="T185" s="7" t="n">
        <f aca="false">IF(AND(F185="Closed",I185&lt;&gt;"",I185&gt;='Exec Summary'!$E$1,I185&lt;='Exec Summary'!$E$2),1,0)</f>
        <v>0</v>
      </c>
      <c r="U185" s="7" t="n">
        <f aca="false">IF(F185="Reopened",1,0)</f>
        <v>0</v>
      </c>
      <c r="V185" s="7" t="n">
        <f aca="false">IF(AND(R185=1,O185&gt;Q185),1,0)</f>
        <v>0</v>
      </c>
      <c r="W185" s="7" t="n">
        <f aca="false">IF(AND(T185=1,P185&lt;&gt;"",P185&lt;=Q185),1,0)</f>
        <v>0</v>
      </c>
    </row>
    <row r="186" customFormat="false" ht="15" hidden="false" customHeight="false" outlineLevel="0" collapsed="false">
      <c r="A186" s="7" t="s">
        <v>317</v>
      </c>
      <c r="B186" s="7" t="s">
        <v>46</v>
      </c>
      <c r="C186" s="7" t="s">
        <v>128</v>
      </c>
      <c r="D186" s="7" t="s">
        <v>152</v>
      </c>
      <c r="E186" s="7" t="s">
        <v>153</v>
      </c>
      <c r="F186" s="7" t="s">
        <v>50</v>
      </c>
      <c r="G186" s="7" t="s">
        <v>20</v>
      </c>
      <c r="H186" s="9" t="n">
        <v>46143</v>
      </c>
      <c r="I186" s="9" t="n">
        <v>46164</v>
      </c>
      <c r="J186" s="7" t="n">
        <v>7.5</v>
      </c>
      <c r="K186" s="7" t="s">
        <v>51</v>
      </c>
      <c r="L186" s="7" t="s">
        <v>19</v>
      </c>
      <c r="M186" s="7" t="s">
        <v>326</v>
      </c>
      <c r="N186" s="7" t="s">
        <v>53</v>
      </c>
      <c r="O186" s="10" t="n">
        <f aca="false">'Exec Summary'!$E$2-H186</f>
        <v>91</v>
      </c>
      <c r="P186" s="10" t="n">
        <f aca="false">IF(I186="","",I186-H186)</f>
        <v>21</v>
      </c>
      <c r="Q186" s="10" t="n">
        <f aca="false">VLOOKUP(G186,$AA$2:$AB$5,2,FALSE())</f>
        <v>30</v>
      </c>
      <c r="R186" s="7" t="n">
        <f aca="false">IF(OR(F186="Open",F186="Reopened"),1,0)</f>
        <v>0</v>
      </c>
      <c r="S186" s="7" t="n">
        <f aca="false">IF(AND(H186&gt;='Exec Summary'!$E$1,H186&lt;='Exec Summary'!$E$2),1,0)</f>
        <v>0</v>
      </c>
      <c r="T186" s="7" t="n">
        <f aca="false">IF(AND(F186="Closed",I186&lt;&gt;"",I186&gt;='Exec Summary'!$E$1,I186&lt;='Exec Summary'!$E$2),1,0)</f>
        <v>0</v>
      </c>
      <c r="U186" s="7" t="n">
        <f aca="false">IF(F186="Reopened",1,0)</f>
        <v>0</v>
      </c>
      <c r="V186" s="7" t="n">
        <f aca="false">IF(AND(R186=1,O186&gt;Q186),1,0)</f>
        <v>0</v>
      </c>
      <c r="W186" s="7" t="n">
        <f aca="false">IF(AND(T186=1,P186&lt;&gt;"",P186&lt;=Q186),1,0)</f>
        <v>0</v>
      </c>
    </row>
    <row r="187" customFormat="false" ht="15" hidden="false" customHeight="false" outlineLevel="0" collapsed="false">
      <c r="A187" s="7" t="s">
        <v>317</v>
      </c>
      <c r="B187" s="7" t="s">
        <v>46</v>
      </c>
      <c r="C187" s="7" t="s">
        <v>128</v>
      </c>
      <c r="D187" s="7" t="s">
        <v>112</v>
      </c>
      <c r="E187" s="7" t="s">
        <v>113</v>
      </c>
      <c r="F187" s="7" t="s">
        <v>56</v>
      </c>
      <c r="G187" s="7" t="s">
        <v>20</v>
      </c>
      <c r="H187" s="9" t="n">
        <v>46219</v>
      </c>
      <c r="I187" s="9"/>
      <c r="J187" s="7" t="n">
        <v>7.8</v>
      </c>
      <c r="K187" s="7" t="s">
        <v>51</v>
      </c>
      <c r="L187" s="7" t="s">
        <v>19</v>
      </c>
      <c r="M187" s="7" t="s">
        <v>327</v>
      </c>
      <c r="N187" s="7" t="s">
        <v>53</v>
      </c>
      <c r="O187" s="10" t="n">
        <f aca="false">'Exec Summary'!$E$2-H187</f>
        <v>15</v>
      </c>
      <c r="P187" s="10" t="str">
        <f aca="false">IF(I187="","",I187-H187)</f>
        <v/>
      </c>
      <c r="Q187" s="10" t="n">
        <f aca="false">VLOOKUP(G187,$AA$2:$AB$5,2,FALSE())</f>
        <v>30</v>
      </c>
      <c r="R187" s="7" t="n">
        <f aca="false">IF(OR(F187="Open",F187="Reopened"),1,0)</f>
        <v>1</v>
      </c>
      <c r="S187" s="7" t="n">
        <f aca="false">IF(AND(H187&gt;='Exec Summary'!$E$1,H187&lt;='Exec Summary'!$E$2),1,0)</f>
        <v>1</v>
      </c>
      <c r="T187" s="7" t="n">
        <f aca="false">IF(AND(F187="Closed",I187&lt;&gt;"",I187&gt;='Exec Summary'!$E$1,I187&lt;='Exec Summary'!$E$2),1,0)</f>
        <v>0</v>
      </c>
      <c r="U187" s="7" t="n">
        <f aca="false">IF(F187="Reopened",1,0)</f>
        <v>0</v>
      </c>
      <c r="V187" s="7" t="n">
        <f aca="false">IF(AND(R187=1,O187&gt;Q187),1,0)</f>
        <v>0</v>
      </c>
      <c r="W187" s="7" t="n">
        <f aca="false">IF(AND(T187=1,P187&lt;&gt;"",P187&lt;=Q187),1,0)</f>
        <v>0</v>
      </c>
    </row>
    <row r="188" customFormat="false" ht="15" hidden="false" customHeight="false" outlineLevel="0" collapsed="false">
      <c r="A188" s="7" t="s">
        <v>317</v>
      </c>
      <c r="B188" s="7" t="s">
        <v>46</v>
      </c>
      <c r="C188" s="7" t="s">
        <v>128</v>
      </c>
      <c r="D188" s="7" t="s">
        <v>166</v>
      </c>
      <c r="E188" s="7" t="s">
        <v>167</v>
      </c>
      <c r="F188" s="7" t="s">
        <v>123</v>
      </c>
      <c r="G188" s="7" t="s">
        <v>19</v>
      </c>
      <c r="H188" s="9" t="n">
        <v>45959</v>
      </c>
      <c r="I188" s="9" t="n">
        <v>45969</v>
      </c>
      <c r="J188" s="7" t="n">
        <v>9.8</v>
      </c>
      <c r="K188" s="7" t="s">
        <v>51</v>
      </c>
      <c r="L188" s="7" t="s">
        <v>19</v>
      </c>
      <c r="M188" s="7" t="s">
        <v>328</v>
      </c>
      <c r="N188" s="7" t="s">
        <v>58</v>
      </c>
      <c r="O188" s="10" t="n">
        <f aca="false">'Exec Summary'!$E$2-H188</f>
        <v>275</v>
      </c>
      <c r="P188" s="10" t="n">
        <f aca="false">IF(I188="","",I188-H188)</f>
        <v>10</v>
      </c>
      <c r="Q188" s="10" t="n">
        <f aca="false">VLOOKUP(G188,$AA$2:$AB$5,2,FALSE())</f>
        <v>15</v>
      </c>
      <c r="R188" s="7" t="n">
        <f aca="false">IF(OR(F188="Open",F188="Reopened"),1,0)</f>
        <v>1</v>
      </c>
      <c r="S188" s="7" t="n">
        <f aca="false">IF(AND(H188&gt;='Exec Summary'!$E$1,H188&lt;='Exec Summary'!$E$2),1,0)</f>
        <v>0</v>
      </c>
      <c r="T188" s="7" t="n">
        <f aca="false">IF(AND(F188="Closed",I188&lt;&gt;"",I188&gt;='Exec Summary'!$E$1,I188&lt;='Exec Summary'!$E$2),1,0)</f>
        <v>0</v>
      </c>
      <c r="U188" s="7" t="n">
        <f aca="false">IF(F188="Reopened",1,0)</f>
        <v>1</v>
      </c>
      <c r="V188" s="7" t="n">
        <f aca="false">IF(AND(R188=1,O188&gt;Q188),1,0)</f>
        <v>1</v>
      </c>
      <c r="W188" s="7" t="n">
        <f aca="false">IF(AND(T188=1,P188&lt;&gt;"",P188&lt;=Q188),1,0)</f>
        <v>0</v>
      </c>
    </row>
    <row r="189" customFormat="false" ht="15" hidden="false" customHeight="false" outlineLevel="0" collapsed="false">
      <c r="A189" s="7" t="s">
        <v>329</v>
      </c>
      <c r="B189" s="7" t="s">
        <v>46</v>
      </c>
      <c r="C189" s="7" t="s">
        <v>158</v>
      </c>
      <c r="D189" s="7" t="s">
        <v>62</v>
      </c>
      <c r="E189" s="7" t="s">
        <v>63</v>
      </c>
      <c r="F189" s="7" t="s">
        <v>56</v>
      </c>
      <c r="G189" s="7" t="s">
        <v>20</v>
      </c>
      <c r="H189" s="9" t="n">
        <v>46016</v>
      </c>
      <c r="I189" s="9"/>
      <c r="J189" s="7" t="n">
        <v>8.1</v>
      </c>
      <c r="K189" s="7" t="s">
        <v>51</v>
      </c>
      <c r="L189" s="7" t="s">
        <v>21</v>
      </c>
      <c r="M189" s="7" t="s">
        <v>330</v>
      </c>
      <c r="N189" s="7" t="s">
        <v>53</v>
      </c>
      <c r="O189" s="10" t="n">
        <f aca="false">'Exec Summary'!$E$2-H189</f>
        <v>218</v>
      </c>
      <c r="P189" s="10" t="str">
        <f aca="false">IF(I189="","",I189-H189)</f>
        <v/>
      </c>
      <c r="Q189" s="10" t="n">
        <f aca="false">VLOOKUP(G189,$AA$2:$AB$5,2,FALSE())</f>
        <v>30</v>
      </c>
      <c r="R189" s="7" t="n">
        <f aca="false">IF(OR(F189="Open",F189="Reopened"),1,0)</f>
        <v>1</v>
      </c>
      <c r="S189" s="7" t="n">
        <f aca="false">IF(AND(H189&gt;='Exec Summary'!$E$1,H189&lt;='Exec Summary'!$E$2),1,0)</f>
        <v>0</v>
      </c>
      <c r="T189" s="7" t="n">
        <f aca="false">IF(AND(F189="Closed",I189&lt;&gt;"",I189&gt;='Exec Summary'!$E$1,I189&lt;='Exec Summary'!$E$2),1,0)</f>
        <v>0</v>
      </c>
      <c r="U189" s="7" t="n">
        <f aca="false">IF(F189="Reopened",1,0)</f>
        <v>0</v>
      </c>
      <c r="V189" s="7" t="n">
        <f aca="false">IF(AND(R189=1,O189&gt;Q189),1,0)</f>
        <v>1</v>
      </c>
      <c r="W189" s="7" t="n">
        <f aca="false">IF(AND(T189=1,P189&lt;&gt;"",P189&lt;=Q189),1,0)</f>
        <v>0</v>
      </c>
    </row>
    <row r="190" customFormat="false" ht="15" hidden="false" customHeight="false" outlineLevel="0" collapsed="false">
      <c r="A190" s="7" t="s">
        <v>329</v>
      </c>
      <c r="B190" s="7" t="s">
        <v>46</v>
      </c>
      <c r="C190" s="7" t="s">
        <v>158</v>
      </c>
      <c r="D190" s="7" t="s">
        <v>48</v>
      </c>
      <c r="E190" s="7" t="s">
        <v>49</v>
      </c>
      <c r="F190" s="7" t="s">
        <v>56</v>
      </c>
      <c r="G190" s="7" t="s">
        <v>20</v>
      </c>
      <c r="H190" s="9" t="n">
        <v>46167</v>
      </c>
      <c r="I190" s="9"/>
      <c r="J190" s="7" t="n">
        <v>7.5</v>
      </c>
      <c r="K190" s="7" t="s">
        <v>51</v>
      </c>
      <c r="L190" s="7" t="s">
        <v>21</v>
      </c>
      <c r="M190" s="7" t="s">
        <v>331</v>
      </c>
      <c r="N190" s="7" t="s">
        <v>53</v>
      </c>
      <c r="O190" s="10" t="n">
        <f aca="false">'Exec Summary'!$E$2-H190</f>
        <v>67</v>
      </c>
      <c r="P190" s="10" t="str">
        <f aca="false">IF(I190="","",I190-H190)</f>
        <v/>
      </c>
      <c r="Q190" s="10" t="n">
        <f aca="false">VLOOKUP(G190,$AA$2:$AB$5,2,FALSE())</f>
        <v>30</v>
      </c>
      <c r="R190" s="7" t="n">
        <f aca="false">IF(OR(F190="Open",F190="Reopened"),1,0)</f>
        <v>1</v>
      </c>
      <c r="S190" s="7" t="n">
        <f aca="false">IF(AND(H190&gt;='Exec Summary'!$E$1,H190&lt;='Exec Summary'!$E$2),1,0)</f>
        <v>0</v>
      </c>
      <c r="T190" s="7" t="n">
        <f aca="false">IF(AND(F190="Closed",I190&lt;&gt;"",I190&gt;='Exec Summary'!$E$1,I190&lt;='Exec Summary'!$E$2),1,0)</f>
        <v>0</v>
      </c>
      <c r="U190" s="7" t="n">
        <f aca="false">IF(F190="Reopened",1,0)</f>
        <v>0</v>
      </c>
      <c r="V190" s="7" t="n">
        <f aca="false">IF(AND(R190=1,O190&gt;Q190),1,0)</f>
        <v>1</v>
      </c>
      <c r="W190" s="7" t="n">
        <f aca="false">IF(AND(T190=1,P190&lt;&gt;"",P190&lt;=Q190),1,0)</f>
        <v>0</v>
      </c>
    </row>
    <row r="191" customFormat="false" ht="15" hidden="false" customHeight="false" outlineLevel="0" collapsed="false">
      <c r="A191" s="7" t="s">
        <v>332</v>
      </c>
      <c r="B191" s="7" t="s">
        <v>135</v>
      </c>
      <c r="C191" s="7" t="s">
        <v>306</v>
      </c>
      <c r="D191" s="7" t="s">
        <v>152</v>
      </c>
      <c r="E191" s="7" t="s">
        <v>153</v>
      </c>
      <c r="F191" s="7" t="s">
        <v>50</v>
      </c>
      <c r="G191" s="7" t="s">
        <v>20</v>
      </c>
      <c r="H191" s="9" t="n">
        <v>46215</v>
      </c>
      <c r="I191" s="9" t="n">
        <v>46230</v>
      </c>
      <c r="J191" s="7" t="n">
        <v>7.5</v>
      </c>
      <c r="K191" s="7" t="s">
        <v>51</v>
      </c>
      <c r="L191" s="7" t="s">
        <v>21</v>
      </c>
      <c r="M191" s="7" t="s">
        <v>333</v>
      </c>
      <c r="N191" s="7" t="s">
        <v>53</v>
      </c>
      <c r="O191" s="10" t="n">
        <f aca="false">'Exec Summary'!$E$2-H191</f>
        <v>19</v>
      </c>
      <c r="P191" s="10" t="n">
        <f aca="false">IF(I191="","",I191-H191)</f>
        <v>15</v>
      </c>
      <c r="Q191" s="10" t="n">
        <f aca="false">VLOOKUP(G191,$AA$2:$AB$5,2,FALSE())</f>
        <v>30</v>
      </c>
      <c r="R191" s="7" t="n">
        <f aca="false">IF(OR(F191="Open",F191="Reopened"),1,0)</f>
        <v>0</v>
      </c>
      <c r="S191" s="7" t="n">
        <f aca="false">IF(AND(H191&gt;='Exec Summary'!$E$1,H191&lt;='Exec Summary'!$E$2),1,0)</f>
        <v>1</v>
      </c>
      <c r="T191" s="7" t="n">
        <f aca="false">IF(AND(F191="Closed",I191&lt;&gt;"",I191&gt;='Exec Summary'!$E$1,I191&lt;='Exec Summary'!$E$2),1,0)</f>
        <v>1</v>
      </c>
      <c r="U191" s="7" t="n">
        <f aca="false">IF(F191="Reopened",1,0)</f>
        <v>0</v>
      </c>
      <c r="V191" s="7" t="n">
        <f aca="false">IF(AND(R191=1,O191&gt;Q191),1,0)</f>
        <v>0</v>
      </c>
      <c r="W191" s="7" t="n">
        <f aca="false">IF(AND(T191=1,P191&lt;&gt;"",P191&lt;=Q191),1,0)</f>
        <v>1</v>
      </c>
    </row>
    <row r="192" customFormat="false" ht="15" hidden="false" customHeight="false" outlineLevel="0" collapsed="false">
      <c r="A192" s="7" t="s">
        <v>332</v>
      </c>
      <c r="B192" s="7" t="s">
        <v>135</v>
      </c>
      <c r="C192" s="7" t="s">
        <v>306</v>
      </c>
      <c r="D192" s="7" t="s">
        <v>62</v>
      </c>
      <c r="E192" s="7" t="s">
        <v>63</v>
      </c>
      <c r="F192" s="7" t="s">
        <v>50</v>
      </c>
      <c r="G192" s="7" t="s">
        <v>20</v>
      </c>
      <c r="H192" s="9" t="n">
        <v>46203</v>
      </c>
      <c r="I192" s="9" t="n">
        <v>46226</v>
      </c>
      <c r="J192" s="7" t="n">
        <v>8.1</v>
      </c>
      <c r="K192" s="7" t="s">
        <v>51</v>
      </c>
      <c r="L192" s="7" t="s">
        <v>21</v>
      </c>
      <c r="M192" s="7" t="s">
        <v>334</v>
      </c>
      <c r="N192" s="7" t="s">
        <v>53</v>
      </c>
      <c r="O192" s="10" t="n">
        <f aca="false">'Exec Summary'!$E$2-H192</f>
        <v>31</v>
      </c>
      <c r="P192" s="10" t="n">
        <f aca="false">IF(I192="","",I192-H192)</f>
        <v>23</v>
      </c>
      <c r="Q192" s="10" t="n">
        <f aca="false">VLOOKUP(G192,$AA$2:$AB$5,2,FALSE())</f>
        <v>30</v>
      </c>
      <c r="R192" s="7" t="n">
        <f aca="false">IF(OR(F192="Open",F192="Reopened"),1,0)</f>
        <v>0</v>
      </c>
      <c r="S192" s="7" t="n">
        <f aca="false">IF(AND(H192&gt;='Exec Summary'!$E$1,H192&lt;='Exec Summary'!$E$2),1,0)</f>
        <v>0</v>
      </c>
      <c r="T192" s="7" t="n">
        <f aca="false">IF(AND(F192="Closed",I192&lt;&gt;"",I192&gt;='Exec Summary'!$E$1,I192&lt;='Exec Summary'!$E$2),1,0)</f>
        <v>1</v>
      </c>
      <c r="U192" s="7" t="n">
        <f aca="false">IF(F192="Reopened",1,0)</f>
        <v>0</v>
      </c>
      <c r="V192" s="7" t="n">
        <f aca="false">IF(AND(R192=1,O192&gt;Q192),1,0)</f>
        <v>0</v>
      </c>
      <c r="W192" s="7" t="n">
        <f aca="false">IF(AND(T192=1,P192&lt;&gt;"",P192&lt;=Q192),1,0)</f>
        <v>1</v>
      </c>
    </row>
    <row r="193" customFormat="false" ht="15" hidden="false" customHeight="false" outlineLevel="0" collapsed="false">
      <c r="A193" s="7" t="s">
        <v>335</v>
      </c>
      <c r="B193" s="7" t="s">
        <v>46</v>
      </c>
      <c r="C193" s="7" t="s">
        <v>158</v>
      </c>
      <c r="D193" s="7" t="s">
        <v>173</v>
      </c>
      <c r="E193" s="7" t="s">
        <v>174</v>
      </c>
      <c r="F193" s="7" t="s">
        <v>56</v>
      </c>
      <c r="G193" s="7" t="s">
        <v>19</v>
      </c>
      <c r="H193" s="9" t="n">
        <v>46000</v>
      </c>
      <c r="I193" s="9"/>
      <c r="J193" s="7" t="n">
        <v>9.8</v>
      </c>
      <c r="K193" s="7" t="s">
        <v>51</v>
      </c>
      <c r="L193" s="7" t="s">
        <v>21</v>
      </c>
      <c r="M193" s="7" t="s">
        <v>336</v>
      </c>
      <c r="N193" s="7" t="s">
        <v>58</v>
      </c>
      <c r="O193" s="10" t="n">
        <f aca="false">'Exec Summary'!$E$2-H193</f>
        <v>234</v>
      </c>
      <c r="P193" s="10" t="str">
        <f aca="false">IF(I193="","",I193-H193)</f>
        <v/>
      </c>
      <c r="Q193" s="10" t="n">
        <f aca="false">VLOOKUP(G193,$AA$2:$AB$5,2,FALSE())</f>
        <v>15</v>
      </c>
      <c r="R193" s="7" t="n">
        <f aca="false">IF(OR(F193="Open",F193="Reopened"),1,0)</f>
        <v>1</v>
      </c>
      <c r="S193" s="7" t="n">
        <f aca="false">IF(AND(H193&gt;='Exec Summary'!$E$1,H193&lt;='Exec Summary'!$E$2),1,0)</f>
        <v>0</v>
      </c>
      <c r="T193" s="7" t="n">
        <f aca="false">IF(AND(F193="Closed",I193&lt;&gt;"",I193&gt;='Exec Summary'!$E$1,I193&lt;='Exec Summary'!$E$2),1,0)</f>
        <v>0</v>
      </c>
      <c r="U193" s="7" t="n">
        <f aca="false">IF(F193="Reopened",1,0)</f>
        <v>0</v>
      </c>
      <c r="V193" s="7" t="n">
        <f aca="false">IF(AND(R193=1,O193&gt;Q193),1,0)</f>
        <v>1</v>
      </c>
      <c r="W193" s="7" t="n">
        <f aca="false">IF(AND(T193=1,P193&lt;&gt;"",P193&lt;=Q193),1,0)</f>
        <v>0</v>
      </c>
    </row>
    <row r="194" customFormat="false" ht="15" hidden="false" customHeight="false" outlineLevel="0" collapsed="false">
      <c r="A194" s="7" t="s">
        <v>335</v>
      </c>
      <c r="B194" s="7" t="s">
        <v>46</v>
      </c>
      <c r="C194" s="7" t="s">
        <v>158</v>
      </c>
      <c r="D194" s="7" t="s">
        <v>65</v>
      </c>
      <c r="E194" s="7" t="s">
        <v>66</v>
      </c>
      <c r="F194" s="7" t="s">
        <v>56</v>
      </c>
      <c r="G194" s="7" t="s">
        <v>19</v>
      </c>
      <c r="H194" s="9" t="n">
        <v>46200</v>
      </c>
      <c r="I194" s="9"/>
      <c r="J194" s="7" t="n">
        <v>9.8</v>
      </c>
      <c r="K194" s="7" t="s">
        <v>51</v>
      </c>
      <c r="L194" s="7" t="s">
        <v>21</v>
      </c>
      <c r="M194" s="7" t="s">
        <v>337</v>
      </c>
      <c r="N194" s="7" t="s">
        <v>58</v>
      </c>
      <c r="O194" s="10" t="n">
        <f aca="false">'Exec Summary'!$E$2-H194</f>
        <v>34</v>
      </c>
      <c r="P194" s="10" t="str">
        <f aca="false">IF(I194="","",I194-H194)</f>
        <v/>
      </c>
      <c r="Q194" s="10" t="n">
        <f aca="false">VLOOKUP(G194,$AA$2:$AB$5,2,FALSE())</f>
        <v>15</v>
      </c>
      <c r="R194" s="7" t="n">
        <f aca="false">IF(OR(F194="Open",F194="Reopened"),1,0)</f>
        <v>1</v>
      </c>
      <c r="S194" s="7" t="n">
        <f aca="false">IF(AND(H194&gt;='Exec Summary'!$E$1,H194&lt;='Exec Summary'!$E$2),1,0)</f>
        <v>0</v>
      </c>
      <c r="T194" s="7" t="n">
        <f aca="false">IF(AND(F194="Closed",I194&lt;&gt;"",I194&gt;='Exec Summary'!$E$1,I194&lt;='Exec Summary'!$E$2),1,0)</f>
        <v>0</v>
      </c>
      <c r="U194" s="7" t="n">
        <f aca="false">IF(F194="Reopened",1,0)</f>
        <v>0</v>
      </c>
      <c r="V194" s="7" t="n">
        <f aca="false">IF(AND(R194=1,O194&gt;Q194),1,0)</f>
        <v>1</v>
      </c>
      <c r="W194" s="7" t="n">
        <f aca="false">IF(AND(T194=1,P194&lt;&gt;"",P194&lt;=Q194),1,0)</f>
        <v>0</v>
      </c>
    </row>
    <row r="195" customFormat="false" ht="15" hidden="false" customHeight="false" outlineLevel="0" collapsed="false">
      <c r="A195" s="7" t="s">
        <v>335</v>
      </c>
      <c r="B195" s="7" t="s">
        <v>46</v>
      </c>
      <c r="C195" s="7" t="s">
        <v>158</v>
      </c>
      <c r="D195" s="7" t="s">
        <v>120</v>
      </c>
      <c r="E195" s="7" t="s">
        <v>121</v>
      </c>
      <c r="F195" s="7" t="s">
        <v>56</v>
      </c>
      <c r="G195" s="7" t="s">
        <v>19</v>
      </c>
      <c r="H195" s="9" t="n">
        <v>46186</v>
      </c>
      <c r="I195" s="9"/>
      <c r="J195" s="7" t="n">
        <v>8.8</v>
      </c>
      <c r="K195" s="7" t="s">
        <v>51</v>
      </c>
      <c r="L195" s="7" t="s">
        <v>21</v>
      </c>
      <c r="M195" s="7" t="s">
        <v>338</v>
      </c>
      <c r="N195" s="7" t="s">
        <v>58</v>
      </c>
      <c r="O195" s="10" t="n">
        <f aca="false">'Exec Summary'!$E$2-H195</f>
        <v>48</v>
      </c>
      <c r="P195" s="10" t="str">
        <f aca="false">IF(I195="","",I195-H195)</f>
        <v/>
      </c>
      <c r="Q195" s="10" t="n">
        <f aca="false">VLOOKUP(G195,$AA$2:$AB$5,2,FALSE())</f>
        <v>15</v>
      </c>
      <c r="R195" s="7" t="n">
        <f aca="false">IF(OR(F195="Open",F195="Reopened"),1,0)</f>
        <v>1</v>
      </c>
      <c r="S195" s="7" t="n">
        <f aca="false">IF(AND(H195&gt;='Exec Summary'!$E$1,H195&lt;='Exec Summary'!$E$2),1,0)</f>
        <v>0</v>
      </c>
      <c r="T195" s="7" t="n">
        <f aca="false">IF(AND(F195="Closed",I195&lt;&gt;"",I195&gt;='Exec Summary'!$E$1,I195&lt;='Exec Summary'!$E$2),1,0)</f>
        <v>0</v>
      </c>
      <c r="U195" s="7" t="n">
        <f aca="false">IF(F195="Reopened",1,0)</f>
        <v>0</v>
      </c>
      <c r="V195" s="7" t="n">
        <f aca="false">IF(AND(R195=1,O195&gt;Q195),1,0)</f>
        <v>1</v>
      </c>
      <c r="W195" s="7" t="n">
        <f aca="false">IF(AND(T195=1,P195&lt;&gt;"",P195&lt;=Q195),1,0)</f>
        <v>0</v>
      </c>
    </row>
    <row r="196" customFormat="false" ht="15" hidden="false" customHeight="false" outlineLevel="0" collapsed="false">
      <c r="A196" s="7" t="s">
        <v>335</v>
      </c>
      <c r="B196" s="7" t="s">
        <v>46</v>
      </c>
      <c r="C196" s="7" t="s">
        <v>158</v>
      </c>
      <c r="D196" s="7" t="s">
        <v>74</v>
      </c>
      <c r="E196" s="7" t="s">
        <v>75</v>
      </c>
      <c r="F196" s="7" t="s">
        <v>56</v>
      </c>
      <c r="G196" s="7" t="s">
        <v>21</v>
      </c>
      <c r="H196" s="9" t="n">
        <v>46082</v>
      </c>
      <c r="I196" s="9"/>
      <c r="J196" s="7" t="n">
        <v>6.5</v>
      </c>
      <c r="K196" s="7" t="s">
        <v>51</v>
      </c>
      <c r="L196" s="7" t="s">
        <v>21</v>
      </c>
      <c r="M196" s="7" t="s">
        <v>339</v>
      </c>
      <c r="N196" s="7" t="s">
        <v>77</v>
      </c>
      <c r="O196" s="10" t="n">
        <f aca="false">'Exec Summary'!$E$2-H196</f>
        <v>152</v>
      </c>
      <c r="P196" s="10" t="str">
        <f aca="false">IF(I196="","",I196-H196)</f>
        <v/>
      </c>
      <c r="Q196" s="10" t="n">
        <f aca="false">VLOOKUP(G196,$AA$2:$AB$5,2,FALSE())</f>
        <v>90</v>
      </c>
      <c r="R196" s="7" t="n">
        <f aca="false">IF(OR(F196="Open",F196="Reopened"),1,0)</f>
        <v>1</v>
      </c>
      <c r="S196" s="7" t="n">
        <f aca="false">IF(AND(H196&gt;='Exec Summary'!$E$1,H196&lt;='Exec Summary'!$E$2),1,0)</f>
        <v>0</v>
      </c>
      <c r="T196" s="7" t="n">
        <f aca="false">IF(AND(F196="Closed",I196&lt;&gt;"",I196&gt;='Exec Summary'!$E$1,I196&lt;='Exec Summary'!$E$2),1,0)</f>
        <v>0</v>
      </c>
      <c r="U196" s="7" t="n">
        <f aca="false">IF(F196="Reopened",1,0)</f>
        <v>0</v>
      </c>
      <c r="V196" s="7" t="n">
        <f aca="false">IF(AND(R196=1,O196&gt;Q196),1,0)</f>
        <v>1</v>
      </c>
      <c r="W196" s="7" t="n">
        <f aca="false">IF(AND(T196=1,P196&lt;&gt;"",P196&lt;=Q196),1,0)</f>
        <v>0</v>
      </c>
    </row>
    <row r="197" customFormat="false" ht="15" hidden="false" customHeight="false" outlineLevel="0" collapsed="false">
      <c r="A197" s="7" t="s">
        <v>335</v>
      </c>
      <c r="B197" s="7" t="s">
        <v>46</v>
      </c>
      <c r="C197" s="7" t="s">
        <v>158</v>
      </c>
      <c r="D197" s="7" t="s">
        <v>87</v>
      </c>
      <c r="E197" s="7" t="s">
        <v>88</v>
      </c>
      <c r="F197" s="7" t="s">
        <v>50</v>
      </c>
      <c r="G197" s="7" t="s">
        <v>19</v>
      </c>
      <c r="H197" s="9" t="n">
        <v>45994</v>
      </c>
      <c r="I197" s="9" t="n">
        <v>46002</v>
      </c>
      <c r="J197" s="7" t="n">
        <v>10</v>
      </c>
      <c r="K197" s="7" t="s">
        <v>51</v>
      </c>
      <c r="L197" s="7" t="s">
        <v>21</v>
      </c>
      <c r="M197" s="7" t="s">
        <v>340</v>
      </c>
      <c r="N197" s="7" t="s">
        <v>58</v>
      </c>
      <c r="O197" s="10" t="n">
        <f aca="false">'Exec Summary'!$E$2-H197</f>
        <v>240</v>
      </c>
      <c r="P197" s="10" t="n">
        <f aca="false">IF(I197="","",I197-H197)</f>
        <v>8</v>
      </c>
      <c r="Q197" s="10" t="n">
        <f aca="false">VLOOKUP(G197,$AA$2:$AB$5,2,FALSE())</f>
        <v>15</v>
      </c>
      <c r="R197" s="7" t="n">
        <f aca="false">IF(OR(F197="Open",F197="Reopened"),1,0)</f>
        <v>0</v>
      </c>
      <c r="S197" s="7" t="n">
        <f aca="false">IF(AND(H197&gt;='Exec Summary'!$E$1,H197&lt;='Exec Summary'!$E$2),1,0)</f>
        <v>0</v>
      </c>
      <c r="T197" s="7" t="n">
        <f aca="false">IF(AND(F197="Closed",I197&lt;&gt;"",I197&gt;='Exec Summary'!$E$1,I197&lt;='Exec Summary'!$E$2),1,0)</f>
        <v>0</v>
      </c>
      <c r="U197" s="7" t="n">
        <f aca="false">IF(F197="Reopened",1,0)</f>
        <v>0</v>
      </c>
      <c r="V197" s="7" t="n">
        <f aca="false">IF(AND(R197=1,O197&gt;Q197),1,0)</f>
        <v>0</v>
      </c>
      <c r="W197" s="7" t="n">
        <f aca="false">IF(AND(T197=1,P197&lt;&gt;"",P197&lt;=Q197),1,0)</f>
        <v>0</v>
      </c>
    </row>
    <row r="198" customFormat="false" ht="15" hidden="false" customHeight="false" outlineLevel="0" collapsed="false">
      <c r="A198" s="7" t="s">
        <v>335</v>
      </c>
      <c r="B198" s="7" t="s">
        <v>46</v>
      </c>
      <c r="C198" s="7" t="s">
        <v>158</v>
      </c>
      <c r="D198" s="7" t="s">
        <v>62</v>
      </c>
      <c r="E198" s="7" t="s">
        <v>63</v>
      </c>
      <c r="F198" s="7" t="s">
        <v>50</v>
      </c>
      <c r="G198" s="7" t="s">
        <v>20</v>
      </c>
      <c r="H198" s="9" t="n">
        <v>46145</v>
      </c>
      <c r="I198" s="9" t="n">
        <v>46162</v>
      </c>
      <c r="J198" s="7" t="n">
        <v>8.1</v>
      </c>
      <c r="K198" s="7" t="s">
        <v>51</v>
      </c>
      <c r="L198" s="7" t="s">
        <v>21</v>
      </c>
      <c r="M198" s="7" t="s">
        <v>341</v>
      </c>
      <c r="N198" s="7" t="s">
        <v>53</v>
      </c>
      <c r="O198" s="10" t="n">
        <f aca="false">'Exec Summary'!$E$2-H198</f>
        <v>89</v>
      </c>
      <c r="P198" s="10" t="n">
        <f aca="false">IF(I198="","",I198-H198)</f>
        <v>17</v>
      </c>
      <c r="Q198" s="10" t="n">
        <f aca="false">VLOOKUP(G198,$AA$2:$AB$5,2,FALSE())</f>
        <v>30</v>
      </c>
      <c r="R198" s="7" t="n">
        <f aca="false">IF(OR(F198="Open",F198="Reopened"),1,0)</f>
        <v>0</v>
      </c>
      <c r="S198" s="7" t="n">
        <f aca="false">IF(AND(H198&gt;='Exec Summary'!$E$1,H198&lt;='Exec Summary'!$E$2),1,0)</f>
        <v>0</v>
      </c>
      <c r="T198" s="7" t="n">
        <f aca="false">IF(AND(F198="Closed",I198&lt;&gt;"",I198&gt;='Exec Summary'!$E$1,I198&lt;='Exec Summary'!$E$2),1,0)</f>
        <v>0</v>
      </c>
      <c r="U198" s="7" t="n">
        <f aca="false">IF(F198="Reopened",1,0)</f>
        <v>0</v>
      </c>
      <c r="V198" s="7" t="n">
        <f aca="false">IF(AND(R198=1,O198&gt;Q198),1,0)</f>
        <v>0</v>
      </c>
      <c r="W198" s="7" t="n">
        <f aca="false">IF(AND(T198=1,P198&lt;&gt;"",P198&lt;=Q198),1,0)</f>
        <v>0</v>
      </c>
    </row>
    <row r="199" customFormat="false" ht="15" hidden="false" customHeight="false" outlineLevel="0" collapsed="false">
      <c r="A199" s="7" t="s">
        <v>335</v>
      </c>
      <c r="B199" s="7" t="s">
        <v>46</v>
      </c>
      <c r="C199" s="7" t="s">
        <v>158</v>
      </c>
      <c r="D199" s="7" t="s">
        <v>210</v>
      </c>
      <c r="E199" s="7" t="s">
        <v>211</v>
      </c>
      <c r="F199" s="7" t="s">
        <v>56</v>
      </c>
      <c r="G199" s="7" t="s">
        <v>19</v>
      </c>
      <c r="H199" s="9" t="n">
        <v>45939</v>
      </c>
      <c r="I199" s="9"/>
      <c r="J199" s="7" t="n">
        <v>9.8</v>
      </c>
      <c r="K199" s="7" t="s">
        <v>51</v>
      </c>
      <c r="L199" s="7" t="s">
        <v>21</v>
      </c>
      <c r="M199" s="7" t="s">
        <v>342</v>
      </c>
      <c r="N199" s="7" t="s">
        <v>58</v>
      </c>
      <c r="O199" s="10" t="n">
        <f aca="false">'Exec Summary'!$E$2-H199</f>
        <v>295</v>
      </c>
      <c r="P199" s="10" t="str">
        <f aca="false">IF(I199="","",I199-H199)</f>
        <v/>
      </c>
      <c r="Q199" s="10" t="n">
        <f aca="false">VLOOKUP(G199,$AA$2:$AB$5,2,FALSE())</f>
        <v>15</v>
      </c>
      <c r="R199" s="7" t="n">
        <f aca="false">IF(OR(F199="Open",F199="Reopened"),1,0)</f>
        <v>1</v>
      </c>
      <c r="S199" s="7" t="n">
        <f aca="false">IF(AND(H199&gt;='Exec Summary'!$E$1,H199&lt;='Exec Summary'!$E$2),1,0)</f>
        <v>0</v>
      </c>
      <c r="T199" s="7" t="n">
        <f aca="false">IF(AND(F199="Closed",I199&lt;&gt;"",I199&gt;='Exec Summary'!$E$1,I199&lt;='Exec Summary'!$E$2),1,0)</f>
        <v>0</v>
      </c>
      <c r="U199" s="7" t="n">
        <f aca="false">IF(F199="Reopened",1,0)</f>
        <v>0</v>
      </c>
      <c r="V199" s="7" t="n">
        <f aca="false">IF(AND(R199=1,O199&gt;Q199),1,0)</f>
        <v>1</v>
      </c>
      <c r="W199" s="7" t="n">
        <f aca="false">IF(AND(T199=1,P199&lt;&gt;"",P199&lt;=Q199),1,0)</f>
        <v>0</v>
      </c>
    </row>
    <row r="200" customFormat="false" ht="15" hidden="false" customHeight="false" outlineLevel="0" collapsed="false">
      <c r="A200" s="7" t="s">
        <v>335</v>
      </c>
      <c r="B200" s="7" t="s">
        <v>46</v>
      </c>
      <c r="C200" s="7" t="s">
        <v>158</v>
      </c>
      <c r="D200" s="7" t="s">
        <v>163</v>
      </c>
      <c r="E200" s="7" t="s">
        <v>164</v>
      </c>
      <c r="F200" s="7" t="s">
        <v>56</v>
      </c>
      <c r="G200" s="7" t="s">
        <v>19</v>
      </c>
      <c r="H200" s="9" t="n">
        <v>46064</v>
      </c>
      <c r="I200" s="9"/>
      <c r="J200" s="7" t="n">
        <v>9.1</v>
      </c>
      <c r="K200" s="7" t="s">
        <v>51</v>
      </c>
      <c r="L200" s="7" t="s">
        <v>21</v>
      </c>
      <c r="M200" s="7" t="s">
        <v>343</v>
      </c>
      <c r="N200" s="7" t="s">
        <v>58</v>
      </c>
      <c r="O200" s="10" t="n">
        <f aca="false">'Exec Summary'!$E$2-H200</f>
        <v>170</v>
      </c>
      <c r="P200" s="10" t="str">
        <f aca="false">IF(I200="","",I200-H200)</f>
        <v/>
      </c>
      <c r="Q200" s="10" t="n">
        <f aca="false">VLOOKUP(G200,$AA$2:$AB$5,2,FALSE())</f>
        <v>15</v>
      </c>
      <c r="R200" s="7" t="n">
        <f aca="false">IF(OR(F200="Open",F200="Reopened"),1,0)</f>
        <v>1</v>
      </c>
      <c r="S200" s="7" t="n">
        <f aca="false">IF(AND(H200&gt;='Exec Summary'!$E$1,H200&lt;='Exec Summary'!$E$2),1,0)</f>
        <v>0</v>
      </c>
      <c r="T200" s="7" t="n">
        <f aca="false">IF(AND(F200="Closed",I200&lt;&gt;"",I200&gt;='Exec Summary'!$E$1,I200&lt;='Exec Summary'!$E$2),1,0)</f>
        <v>0</v>
      </c>
      <c r="U200" s="7" t="n">
        <f aca="false">IF(F200="Reopened",1,0)</f>
        <v>0</v>
      </c>
      <c r="V200" s="7" t="n">
        <f aca="false">IF(AND(R200=1,O200&gt;Q200),1,0)</f>
        <v>1</v>
      </c>
      <c r="W200" s="7" t="n">
        <f aca="false">IF(AND(T200=1,P200&lt;&gt;"",P200&lt;=Q200),1,0)</f>
        <v>0</v>
      </c>
    </row>
    <row r="201" customFormat="false" ht="15" hidden="false" customHeight="false" outlineLevel="0" collapsed="false">
      <c r="A201" s="7" t="s">
        <v>335</v>
      </c>
      <c r="B201" s="7" t="s">
        <v>46</v>
      </c>
      <c r="C201" s="7" t="s">
        <v>158</v>
      </c>
      <c r="D201" s="7" t="s">
        <v>95</v>
      </c>
      <c r="E201" s="7" t="s">
        <v>96</v>
      </c>
      <c r="F201" s="7" t="s">
        <v>50</v>
      </c>
      <c r="G201" s="7" t="s">
        <v>20</v>
      </c>
      <c r="H201" s="9" t="n">
        <v>46087</v>
      </c>
      <c r="I201" s="9" t="n">
        <v>46108</v>
      </c>
      <c r="J201" s="7" t="n">
        <v>8.8</v>
      </c>
      <c r="K201" s="7" t="s">
        <v>51</v>
      </c>
      <c r="L201" s="7" t="s">
        <v>21</v>
      </c>
      <c r="M201" s="7" t="s">
        <v>344</v>
      </c>
      <c r="N201" s="7" t="s">
        <v>53</v>
      </c>
      <c r="O201" s="10" t="n">
        <f aca="false">'Exec Summary'!$E$2-H201</f>
        <v>147</v>
      </c>
      <c r="P201" s="10" t="n">
        <f aca="false">IF(I201="","",I201-H201)</f>
        <v>21</v>
      </c>
      <c r="Q201" s="10" t="n">
        <f aca="false">VLOOKUP(G201,$AA$2:$AB$5,2,FALSE())</f>
        <v>30</v>
      </c>
      <c r="R201" s="7" t="n">
        <f aca="false">IF(OR(F201="Open",F201="Reopened"),1,0)</f>
        <v>0</v>
      </c>
      <c r="S201" s="7" t="n">
        <f aca="false">IF(AND(H201&gt;='Exec Summary'!$E$1,H201&lt;='Exec Summary'!$E$2),1,0)</f>
        <v>0</v>
      </c>
      <c r="T201" s="7" t="n">
        <f aca="false">IF(AND(F201="Closed",I201&lt;&gt;"",I201&gt;='Exec Summary'!$E$1,I201&lt;='Exec Summary'!$E$2),1,0)</f>
        <v>0</v>
      </c>
      <c r="U201" s="7" t="n">
        <f aca="false">IF(F201="Reopened",1,0)</f>
        <v>0</v>
      </c>
      <c r="V201" s="7" t="n">
        <f aca="false">IF(AND(R201=1,O201&gt;Q201),1,0)</f>
        <v>0</v>
      </c>
      <c r="W201" s="7" t="n">
        <f aca="false">IF(AND(T201=1,P201&lt;&gt;"",P201&lt;=Q201),1,0)</f>
        <v>0</v>
      </c>
    </row>
    <row r="202" customFormat="false" ht="15" hidden="false" customHeight="false" outlineLevel="0" collapsed="false">
      <c r="A202" s="7" t="s">
        <v>335</v>
      </c>
      <c r="B202" s="7" t="s">
        <v>46</v>
      </c>
      <c r="C202" s="7" t="s">
        <v>158</v>
      </c>
      <c r="D202" s="7" t="s">
        <v>108</v>
      </c>
      <c r="E202" s="7" t="s">
        <v>109</v>
      </c>
      <c r="F202" s="7" t="s">
        <v>56</v>
      </c>
      <c r="G202" s="7" t="s">
        <v>20</v>
      </c>
      <c r="H202" s="9" t="n">
        <v>46136</v>
      </c>
      <c r="I202" s="9"/>
      <c r="J202" s="7" t="n">
        <v>8.6</v>
      </c>
      <c r="K202" s="7" t="s">
        <v>51</v>
      </c>
      <c r="L202" s="7" t="s">
        <v>21</v>
      </c>
      <c r="M202" s="7" t="s">
        <v>345</v>
      </c>
      <c r="N202" s="7" t="s">
        <v>53</v>
      </c>
      <c r="O202" s="10" t="n">
        <f aca="false">'Exec Summary'!$E$2-H202</f>
        <v>98</v>
      </c>
      <c r="P202" s="10" t="str">
        <f aca="false">IF(I202="","",I202-H202)</f>
        <v/>
      </c>
      <c r="Q202" s="10" t="n">
        <f aca="false">VLOOKUP(G202,$AA$2:$AB$5,2,FALSE())</f>
        <v>30</v>
      </c>
      <c r="R202" s="7" t="n">
        <f aca="false">IF(OR(F202="Open",F202="Reopened"),1,0)</f>
        <v>1</v>
      </c>
      <c r="S202" s="7" t="n">
        <f aca="false">IF(AND(H202&gt;='Exec Summary'!$E$1,H202&lt;='Exec Summary'!$E$2),1,0)</f>
        <v>0</v>
      </c>
      <c r="T202" s="7" t="n">
        <f aca="false">IF(AND(F202="Closed",I202&lt;&gt;"",I202&gt;='Exec Summary'!$E$1,I202&lt;='Exec Summary'!$E$2),1,0)</f>
        <v>0</v>
      </c>
      <c r="U202" s="7" t="n">
        <f aca="false">IF(F202="Reopened",1,0)</f>
        <v>0</v>
      </c>
      <c r="V202" s="7" t="n">
        <f aca="false">IF(AND(R202=1,O202&gt;Q202),1,0)</f>
        <v>1</v>
      </c>
      <c r="W202" s="7" t="n">
        <f aca="false">IF(AND(T202=1,P202&lt;&gt;"",P202&lt;=Q202),1,0)</f>
        <v>0</v>
      </c>
    </row>
    <row r="203" customFormat="false" ht="15" hidden="false" customHeight="false" outlineLevel="0" collapsed="false">
      <c r="A203" s="7" t="s">
        <v>335</v>
      </c>
      <c r="B203" s="7" t="s">
        <v>46</v>
      </c>
      <c r="C203" s="7" t="s">
        <v>158</v>
      </c>
      <c r="D203" s="7" t="s">
        <v>71</v>
      </c>
      <c r="E203" s="7" t="s">
        <v>72</v>
      </c>
      <c r="F203" s="7" t="s">
        <v>50</v>
      </c>
      <c r="G203" s="7" t="s">
        <v>19</v>
      </c>
      <c r="H203" s="9" t="n">
        <v>46023</v>
      </c>
      <c r="I203" s="9" t="n">
        <v>46034</v>
      </c>
      <c r="J203" s="7" t="n">
        <v>9.8</v>
      </c>
      <c r="K203" s="7" t="s">
        <v>51</v>
      </c>
      <c r="L203" s="7" t="s">
        <v>21</v>
      </c>
      <c r="M203" s="7" t="s">
        <v>346</v>
      </c>
      <c r="N203" s="7" t="s">
        <v>58</v>
      </c>
      <c r="O203" s="10" t="n">
        <f aca="false">'Exec Summary'!$E$2-H203</f>
        <v>211</v>
      </c>
      <c r="P203" s="10" t="n">
        <f aca="false">IF(I203="","",I203-H203)</f>
        <v>11</v>
      </c>
      <c r="Q203" s="10" t="n">
        <f aca="false">VLOOKUP(G203,$AA$2:$AB$5,2,FALSE())</f>
        <v>15</v>
      </c>
      <c r="R203" s="7" t="n">
        <f aca="false">IF(OR(F203="Open",F203="Reopened"),1,0)</f>
        <v>0</v>
      </c>
      <c r="S203" s="7" t="n">
        <f aca="false">IF(AND(H203&gt;='Exec Summary'!$E$1,H203&lt;='Exec Summary'!$E$2),1,0)</f>
        <v>0</v>
      </c>
      <c r="T203" s="7" t="n">
        <f aca="false">IF(AND(F203="Closed",I203&lt;&gt;"",I203&gt;='Exec Summary'!$E$1,I203&lt;='Exec Summary'!$E$2),1,0)</f>
        <v>0</v>
      </c>
      <c r="U203" s="7" t="n">
        <f aca="false">IF(F203="Reopened",1,0)</f>
        <v>0</v>
      </c>
      <c r="V203" s="7" t="n">
        <f aca="false">IF(AND(R203=1,O203&gt;Q203),1,0)</f>
        <v>0</v>
      </c>
      <c r="W203" s="7" t="n">
        <f aca="false">IF(AND(T203=1,P203&lt;&gt;"",P203&lt;=Q203),1,0)</f>
        <v>0</v>
      </c>
    </row>
    <row r="204" customFormat="false" ht="15" hidden="false" customHeight="false" outlineLevel="0" collapsed="false">
      <c r="A204" s="7" t="s">
        <v>335</v>
      </c>
      <c r="B204" s="7" t="s">
        <v>46</v>
      </c>
      <c r="C204" s="7" t="s">
        <v>158</v>
      </c>
      <c r="D204" s="7" t="s">
        <v>166</v>
      </c>
      <c r="E204" s="7" t="s">
        <v>167</v>
      </c>
      <c r="F204" s="7" t="s">
        <v>56</v>
      </c>
      <c r="G204" s="7" t="s">
        <v>19</v>
      </c>
      <c r="H204" s="9" t="n">
        <v>46176</v>
      </c>
      <c r="I204" s="9"/>
      <c r="J204" s="7" t="n">
        <v>9.8</v>
      </c>
      <c r="K204" s="7" t="s">
        <v>51</v>
      </c>
      <c r="L204" s="7" t="s">
        <v>21</v>
      </c>
      <c r="M204" s="7" t="s">
        <v>347</v>
      </c>
      <c r="N204" s="7" t="s">
        <v>58</v>
      </c>
      <c r="O204" s="10" t="n">
        <f aca="false">'Exec Summary'!$E$2-H204</f>
        <v>58</v>
      </c>
      <c r="P204" s="10" t="str">
        <f aca="false">IF(I204="","",I204-H204)</f>
        <v/>
      </c>
      <c r="Q204" s="10" t="n">
        <f aca="false">VLOOKUP(G204,$AA$2:$AB$5,2,FALSE())</f>
        <v>15</v>
      </c>
      <c r="R204" s="7" t="n">
        <f aca="false">IF(OR(F204="Open",F204="Reopened"),1,0)</f>
        <v>1</v>
      </c>
      <c r="S204" s="7" t="n">
        <f aca="false">IF(AND(H204&gt;='Exec Summary'!$E$1,H204&lt;='Exec Summary'!$E$2),1,0)</f>
        <v>0</v>
      </c>
      <c r="T204" s="7" t="n">
        <f aca="false">IF(AND(F204="Closed",I204&lt;&gt;"",I204&gt;='Exec Summary'!$E$1,I204&lt;='Exec Summary'!$E$2),1,0)</f>
        <v>0</v>
      </c>
      <c r="U204" s="7" t="n">
        <f aca="false">IF(F204="Reopened",1,0)</f>
        <v>0</v>
      </c>
      <c r="V204" s="7" t="n">
        <f aca="false">IF(AND(R204=1,O204&gt;Q204),1,0)</f>
        <v>1</v>
      </c>
      <c r="W204" s="7" t="n">
        <f aca="false">IF(AND(T204=1,P204&lt;&gt;"",P204&lt;=Q204),1,0)</f>
        <v>0</v>
      </c>
    </row>
    <row r="205" customFormat="false" ht="15" hidden="false" customHeight="false" outlineLevel="0" collapsed="false">
      <c r="A205" s="7" t="s">
        <v>348</v>
      </c>
      <c r="B205" s="7" t="s">
        <v>46</v>
      </c>
      <c r="C205" s="7" t="s">
        <v>177</v>
      </c>
      <c r="D205" s="7" t="s">
        <v>192</v>
      </c>
      <c r="E205" s="7" t="s">
        <v>193</v>
      </c>
      <c r="F205" s="7" t="s">
        <v>56</v>
      </c>
      <c r="G205" s="7" t="s">
        <v>19</v>
      </c>
      <c r="H205" s="9" t="n">
        <v>46103</v>
      </c>
      <c r="I205" s="9"/>
      <c r="J205" s="7" t="n">
        <v>9.8</v>
      </c>
      <c r="K205" s="7" t="s">
        <v>51</v>
      </c>
      <c r="L205" s="7" t="s">
        <v>21</v>
      </c>
      <c r="M205" s="7" t="s">
        <v>349</v>
      </c>
      <c r="N205" s="7" t="s">
        <v>58</v>
      </c>
      <c r="O205" s="10" t="n">
        <f aca="false">'Exec Summary'!$E$2-H205</f>
        <v>131</v>
      </c>
      <c r="P205" s="10" t="str">
        <f aca="false">IF(I205="","",I205-H205)</f>
        <v/>
      </c>
      <c r="Q205" s="10" t="n">
        <f aca="false">VLOOKUP(G205,$AA$2:$AB$5,2,FALSE())</f>
        <v>15</v>
      </c>
      <c r="R205" s="7" t="n">
        <f aca="false">IF(OR(F205="Open",F205="Reopened"),1,0)</f>
        <v>1</v>
      </c>
      <c r="S205" s="7" t="n">
        <f aca="false">IF(AND(H205&gt;='Exec Summary'!$E$1,H205&lt;='Exec Summary'!$E$2),1,0)</f>
        <v>0</v>
      </c>
      <c r="T205" s="7" t="n">
        <f aca="false">IF(AND(F205="Closed",I205&lt;&gt;"",I205&gt;='Exec Summary'!$E$1,I205&lt;='Exec Summary'!$E$2),1,0)</f>
        <v>0</v>
      </c>
      <c r="U205" s="7" t="n">
        <f aca="false">IF(F205="Reopened",1,0)</f>
        <v>0</v>
      </c>
      <c r="V205" s="7" t="n">
        <f aca="false">IF(AND(R205=1,O205&gt;Q205),1,0)</f>
        <v>1</v>
      </c>
      <c r="W205" s="7" t="n">
        <f aca="false">IF(AND(T205=1,P205&lt;&gt;"",P205&lt;=Q205),1,0)</f>
        <v>0</v>
      </c>
    </row>
    <row r="206" customFormat="false" ht="15" hidden="false" customHeight="false" outlineLevel="0" collapsed="false">
      <c r="A206" s="7" t="s">
        <v>348</v>
      </c>
      <c r="B206" s="7" t="s">
        <v>46</v>
      </c>
      <c r="C206" s="7" t="s">
        <v>177</v>
      </c>
      <c r="D206" s="7" t="s">
        <v>59</v>
      </c>
      <c r="E206" s="7" t="s">
        <v>60</v>
      </c>
      <c r="F206" s="7" t="s">
        <v>56</v>
      </c>
      <c r="G206" s="7" t="s">
        <v>19</v>
      </c>
      <c r="H206" s="9" t="n">
        <v>45967</v>
      </c>
      <c r="I206" s="9"/>
      <c r="J206" s="7" t="n">
        <v>7.8</v>
      </c>
      <c r="K206" s="7" t="s">
        <v>51</v>
      </c>
      <c r="L206" s="7" t="s">
        <v>21</v>
      </c>
      <c r="M206" s="7" t="s">
        <v>350</v>
      </c>
      <c r="N206" s="7" t="s">
        <v>58</v>
      </c>
      <c r="O206" s="10" t="n">
        <f aca="false">'Exec Summary'!$E$2-H206</f>
        <v>267</v>
      </c>
      <c r="P206" s="10" t="str">
        <f aca="false">IF(I206="","",I206-H206)</f>
        <v/>
      </c>
      <c r="Q206" s="10" t="n">
        <f aca="false">VLOOKUP(G206,$AA$2:$AB$5,2,FALSE())</f>
        <v>15</v>
      </c>
      <c r="R206" s="7" t="n">
        <f aca="false">IF(OR(F206="Open",F206="Reopened"),1,0)</f>
        <v>1</v>
      </c>
      <c r="S206" s="7" t="n">
        <f aca="false">IF(AND(H206&gt;='Exec Summary'!$E$1,H206&lt;='Exec Summary'!$E$2),1,0)</f>
        <v>0</v>
      </c>
      <c r="T206" s="7" t="n">
        <f aca="false">IF(AND(F206="Closed",I206&lt;&gt;"",I206&gt;='Exec Summary'!$E$1,I206&lt;='Exec Summary'!$E$2),1,0)</f>
        <v>0</v>
      </c>
      <c r="U206" s="7" t="n">
        <f aca="false">IF(F206="Reopened",1,0)</f>
        <v>0</v>
      </c>
      <c r="V206" s="7" t="n">
        <f aca="false">IF(AND(R206=1,O206&gt;Q206),1,0)</f>
        <v>1</v>
      </c>
      <c r="W206" s="7" t="n">
        <f aca="false">IF(AND(T206=1,P206&lt;&gt;"",P206&lt;=Q206),1,0)</f>
        <v>0</v>
      </c>
    </row>
    <row r="207" customFormat="false" ht="15" hidden="false" customHeight="false" outlineLevel="0" collapsed="false">
      <c r="A207" s="7" t="s">
        <v>348</v>
      </c>
      <c r="B207" s="7" t="s">
        <v>46</v>
      </c>
      <c r="C207" s="7" t="s">
        <v>177</v>
      </c>
      <c r="D207" s="7" t="s">
        <v>108</v>
      </c>
      <c r="E207" s="7" t="s">
        <v>109</v>
      </c>
      <c r="F207" s="7" t="s">
        <v>50</v>
      </c>
      <c r="G207" s="7" t="s">
        <v>20</v>
      </c>
      <c r="H207" s="9" t="n">
        <v>45949</v>
      </c>
      <c r="I207" s="9" t="n">
        <v>45959</v>
      </c>
      <c r="J207" s="7" t="n">
        <v>8.6</v>
      </c>
      <c r="K207" s="7" t="s">
        <v>51</v>
      </c>
      <c r="L207" s="7" t="s">
        <v>21</v>
      </c>
      <c r="M207" s="7" t="s">
        <v>351</v>
      </c>
      <c r="N207" s="7" t="s">
        <v>53</v>
      </c>
      <c r="O207" s="10" t="n">
        <f aca="false">'Exec Summary'!$E$2-H207</f>
        <v>285</v>
      </c>
      <c r="P207" s="10" t="n">
        <f aca="false">IF(I207="","",I207-H207)</f>
        <v>10</v>
      </c>
      <c r="Q207" s="10" t="n">
        <f aca="false">VLOOKUP(G207,$AA$2:$AB$5,2,FALSE())</f>
        <v>30</v>
      </c>
      <c r="R207" s="7" t="n">
        <f aca="false">IF(OR(F207="Open",F207="Reopened"),1,0)</f>
        <v>0</v>
      </c>
      <c r="S207" s="7" t="n">
        <f aca="false">IF(AND(H207&gt;='Exec Summary'!$E$1,H207&lt;='Exec Summary'!$E$2),1,0)</f>
        <v>0</v>
      </c>
      <c r="T207" s="7" t="n">
        <f aca="false">IF(AND(F207="Closed",I207&lt;&gt;"",I207&gt;='Exec Summary'!$E$1,I207&lt;='Exec Summary'!$E$2),1,0)</f>
        <v>0</v>
      </c>
      <c r="U207" s="7" t="n">
        <f aca="false">IF(F207="Reopened",1,0)</f>
        <v>0</v>
      </c>
      <c r="V207" s="7" t="n">
        <f aca="false">IF(AND(R207=1,O207&gt;Q207),1,0)</f>
        <v>0</v>
      </c>
      <c r="W207" s="7" t="n">
        <f aca="false">IF(AND(T207=1,P207&lt;&gt;"",P207&lt;=Q207),1,0)</f>
        <v>0</v>
      </c>
    </row>
    <row r="208" customFormat="false" ht="15" hidden="false" customHeight="false" outlineLevel="0" collapsed="false">
      <c r="A208" s="7" t="s">
        <v>348</v>
      </c>
      <c r="B208" s="7" t="s">
        <v>46</v>
      </c>
      <c r="C208" s="7" t="s">
        <v>177</v>
      </c>
      <c r="D208" s="7" t="s">
        <v>87</v>
      </c>
      <c r="E208" s="7" t="s">
        <v>88</v>
      </c>
      <c r="F208" s="7" t="s">
        <v>56</v>
      </c>
      <c r="G208" s="7" t="s">
        <v>19</v>
      </c>
      <c r="H208" s="9" t="n">
        <v>46029</v>
      </c>
      <c r="I208" s="9"/>
      <c r="J208" s="7" t="n">
        <v>10</v>
      </c>
      <c r="K208" s="7" t="s">
        <v>51</v>
      </c>
      <c r="L208" s="7" t="s">
        <v>21</v>
      </c>
      <c r="M208" s="7" t="s">
        <v>352</v>
      </c>
      <c r="N208" s="7" t="s">
        <v>58</v>
      </c>
      <c r="O208" s="10" t="n">
        <f aca="false">'Exec Summary'!$E$2-H208</f>
        <v>205</v>
      </c>
      <c r="P208" s="10" t="str">
        <f aca="false">IF(I208="","",I208-H208)</f>
        <v/>
      </c>
      <c r="Q208" s="10" t="n">
        <f aca="false">VLOOKUP(G208,$AA$2:$AB$5,2,FALSE())</f>
        <v>15</v>
      </c>
      <c r="R208" s="7" t="n">
        <f aca="false">IF(OR(F208="Open",F208="Reopened"),1,0)</f>
        <v>1</v>
      </c>
      <c r="S208" s="7" t="n">
        <f aca="false">IF(AND(H208&gt;='Exec Summary'!$E$1,H208&lt;='Exec Summary'!$E$2),1,0)</f>
        <v>0</v>
      </c>
      <c r="T208" s="7" t="n">
        <f aca="false">IF(AND(F208="Closed",I208&lt;&gt;"",I208&gt;='Exec Summary'!$E$1,I208&lt;='Exec Summary'!$E$2),1,0)</f>
        <v>0</v>
      </c>
      <c r="U208" s="7" t="n">
        <f aca="false">IF(F208="Reopened",1,0)</f>
        <v>0</v>
      </c>
      <c r="V208" s="7" t="n">
        <f aca="false">IF(AND(R208=1,O208&gt;Q208),1,0)</f>
        <v>1</v>
      </c>
      <c r="W208" s="7" t="n">
        <f aca="false">IF(AND(T208=1,P208&lt;&gt;"",P208&lt;=Q208),1,0)</f>
        <v>0</v>
      </c>
    </row>
    <row r="209" customFormat="false" ht="15" hidden="false" customHeight="false" outlineLevel="0" collapsed="false">
      <c r="A209" s="7" t="s">
        <v>348</v>
      </c>
      <c r="B209" s="7" t="s">
        <v>46</v>
      </c>
      <c r="C209" s="7" t="s">
        <v>177</v>
      </c>
      <c r="D209" s="7" t="s">
        <v>71</v>
      </c>
      <c r="E209" s="7" t="s">
        <v>72</v>
      </c>
      <c r="F209" s="7" t="s">
        <v>56</v>
      </c>
      <c r="G209" s="7" t="s">
        <v>19</v>
      </c>
      <c r="H209" s="9" t="n">
        <v>46095</v>
      </c>
      <c r="I209" s="9"/>
      <c r="J209" s="7" t="n">
        <v>9.8</v>
      </c>
      <c r="K209" s="7" t="s">
        <v>51</v>
      </c>
      <c r="L209" s="7" t="s">
        <v>21</v>
      </c>
      <c r="M209" s="7" t="s">
        <v>353</v>
      </c>
      <c r="N209" s="7" t="s">
        <v>58</v>
      </c>
      <c r="O209" s="10" t="n">
        <f aca="false">'Exec Summary'!$E$2-H209</f>
        <v>139</v>
      </c>
      <c r="P209" s="10" t="str">
        <f aca="false">IF(I209="","",I209-H209)</f>
        <v/>
      </c>
      <c r="Q209" s="10" t="n">
        <f aca="false">VLOOKUP(G209,$AA$2:$AB$5,2,FALSE())</f>
        <v>15</v>
      </c>
      <c r="R209" s="7" t="n">
        <f aca="false">IF(OR(F209="Open",F209="Reopened"),1,0)</f>
        <v>1</v>
      </c>
      <c r="S209" s="7" t="n">
        <f aca="false">IF(AND(H209&gt;='Exec Summary'!$E$1,H209&lt;='Exec Summary'!$E$2),1,0)</f>
        <v>0</v>
      </c>
      <c r="T209" s="7" t="n">
        <f aca="false">IF(AND(F209="Closed",I209&lt;&gt;"",I209&gt;='Exec Summary'!$E$1,I209&lt;='Exec Summary'!$E$2),1,0)</f>
        <v>0</v>
      </c>
      <c r="U209" s="7" t="n">
        <f aca="false">IF(F209="Reopened",1,0)</f>
        <v>0</v>
      </c>
      <c r="V209" s="7" t="n">
        <f aca="false">IF(AND(R209=1,O209&gt;Q209),1,0)</f>
        <v>1</v>
      </c>
      <c r="W209" s="7" t="n">
        <f aca="false">IF(AND(T209=1,P209&lt;&gt;"",P209&lt;=Q209),1,0)</f>
        <v>0</v>
      </c>
    </row>
    <row r="210" customFormat="false" ht="15" hidden="false" customHeight="false" outlineLevel="0" collapsed="false">
      <c r="A210" s="7" t="s">
        <v>348</v>
      </c>
      <c r="B210" s="7" t="s">
        <v>46</v>
      </c>
      <c r="C210" s="7" t="s">
        <v>177</v>
      </c>
      <c r="D210" s="7" t="s">
        <v>206</v>
      </c>
      <c r="E210" s="7" t="s">
        <v>207</v>
      </c>
      <c r="F210" s="7" t="s">
        <v>50</v>
      </c>
      <c r="G210" s="7" t="s">
        <v>20</v>
      </c>
      <c r="H210" s="9" t="n">
        <v>46145</v>
      </c>
      <c r="I210" s="9" t="n">
        <v>46179</v>
      </c>
      <c r="J210" s="7" t="n">
        <v>8.8</v>
      </c>
      <c r="K210" s="7" t="s">
        <v>51</v>
      </c>
      <c r="L210" s="7" t="s">
        <v>21</v>
      </c>
      <c r="M210" s="7" t="s">
        <v>354</v>
      </c>
      <c r="N210" s="7" t="s">
        <v>53</v>
      </c>
      <c r="O210" s="10" t="n">
        <f aca="false">'Exec Summary'!$E$2-H210</f>
        <v>89</v>
      </c>
      <c r="P210" s="10" t="n">
        <f aca="false">IF(I210="","",I210-H210)</f>
        <v>34</v>
      </c>
      <c r="Q210" s="10" t="n">
        <f aca="false">VLOOKUP(G210,$AA$2:$AB$5,2,FALSE())</f>
        <v>30</v>
      </c>
      <c r="R210" s="7" t="n">
        <f aca="false">IF(OR(F210="Open",F210="Reopened"),1,0)</f>
        <v>0</v>
      </c>
      <c r="S210" s="7" t="n">
        <f aca="false">IF(AND(H210&gt;='Exec Summary'!$E$1,H210&lt;='Exec Summary'!$E$2),1,0)</f>
        <v>0</v>
      </c>
      <c r="T210" s="7" t="n">
        <f aca="false">IF(AND(F210="Closed",I210&lt;&gt;"",I210&gt;='Exec Summary'!$E$1,I210&lt;='Exec Summary'!$E$2),1,0)</f>
        <v>0</v>
      </c>
      <c r="U210" s="7" t="n">
        <f aca="false">IF(F210="Reopened",1,0)</f>
        <v>0</v>
      </c>
      <c r="V210" s="7" t="n">
        <f aca="false">IF(AND(R210=1,O210&gt;Q210),1,0)</f>
        <v>0</v>
      </c>
      <c r="W210" s="7" t="n">
        <f aca="false">IF(AND(T210=1,P210&lt;&gt;"",P210&lt;=Q210),1,0)</f>
        <v>0</v>
      </c>
    </row>
    <row r="211" customFormat="false" ht="15" hidden="false" customHeight="false" outlineLevel="0" collapsed="false">
      <c r="A211" s="7" t="s">
        <v>348</v>
      </c>
      <c r="B211" s="7" t="s">
        <v>46</v>
      </c>
      <c r="C211" s="7" t="s">
        <v>177</v>
      </c>
      <c r="D211" s="7" t="s">
        <v>117</v>
      </c>
      <c r="E211" s="7" t="s">
        <v>118</v>
      </c>
      <c r="F211" s="7" t="s">
        <v>56</v>
      </c>
      <c r="G211" s="7" t="s">
        <v>19</v>
      </c>
      <c r="H211" s="9" t="n">
        <v>46165</v>
      </c>
      <c r="I211" s="9"/>
      <c r="J211" s="7" t="n">
        <v>10</v>
      </c>
      <c r="K211" s="7" t="s">
        <v>51</v>
      </c>
      <c r="L211" s="7" t="s">
        <v>21</v>
      </c>
      <c r="M211" s="7" t="s">
        <v>355</v>
      </c>
      <c r="N211" s="7" t="s">
        <v>58</v>
      </c>
      <c r="O211" s="10" t="n">
        <f aca="false">'Exec Summary'!$E$2-H211</f>
        <v>69</v>
      </c>
      <c r="P211" s="10" t="str">
        <f aca="false">IF(I211="","",I211-H211)</f>
        <v/>
      </c>
      <c r="Q211" s="10" t="n">
        <f aca="false">VLOOKUP(G211,$AA$2:$AB$5,2,FALSE())</f>
        <v>15</v>
      </c>
      <c r="R211" s="7" t="n">
        <f aca="false">IF(OR(F211="Open",F211="Reopened"),1,0)</f>
        <v>1</v>
      </c>
      <c r="S211" s="7" t="n">
        <f aca="false">IF(AND(H211&gt;='Exec Summary'!$E$1,H211&lt;='Exec Summary'!$E$2),1,0)</f>
        <v>0</v>
      </c>
      <c r="T211" s="7" t="n">
        <f aca="false">IF(AND(F211="Closed",I211&lt;&gt;"",I211&gt;='Exec Summary'!$E$1,I211&lt;='Exec Summary'!$E$2),1,0)</f>
        <v>0</v>
      </c>
      <c r="U211" s="7" t="n">
        <f aca="false">IF(F211="Reopened",1,0)</f>
        <v>0</v>
      </c>
      <c r="V211" s="7" t="n">
        <f aca="false">IF(AND(R211=1,O211&gt;Q211),1,0)</f>
        <v>1</v>
      </c>
      <c r="W211" s="7" t="n">
        <f aca="false">IF(AND(T211=1,P211&lt;&gt;"",P211&lt;=Q211),1,0)</f>
        <v>0</v>
      </c>
    </row>
    <row r="212" customFormat="false" ht="15" hidden="false" customHeight="false" outlineLevel="0" collapsed="false">
      <c r="A212" s="7" t="s">
        <v>348</v>
      </c>
      <c r="B212" s="7" t="s">
        <v>46</v>
      </c>
      <c r="C212" s="7" t="s">
        <v>177</v>
      </c>
      <c r="D212" s="7" t="s">
        <v>163</v>
      </c>
      <c r="E212" s="7" t="s">
        <v>164</v>
      </c>
      <c r="F212" s="7" t="s">
        <v>123</v>
      </c>
      <c r="G212" s="7" t="s">
        <v>19</v>
      </c>
      <c r="H212" s="9" t="n">
        <v>46044</v>
      </c>
      <c r="I212" s="9" t="n">
        <v>46058</v>
      </c>
      <c r="J212" s="7" t="n">
        <v>9.1</v>
      </c>
      <c r="K212" s="7" t="s">
        <v>51</v>
      </c>
      <c r="L212" s="7" t="s">
        <v>21</v>
      </c>
      <c r="M212" s="7" t="s">
        <v>356</v>
      </c>
      <c r="N212" s="7" t="s">
        <v>58</v>
      </c>
      <c r="O212" s="10" t="n">
        <f aca="false">'Exec Summary'!$E$2-H212</f>
        <v>190</v>
      </c>
      <c r="P212" s="10" t="n">
        <f aca="false">IF(I212="","",I212-H212)</f>
        <v>14</v>
      </c>
      <c r="Q212" s="10" t="n">
        <f aca="false">VLOOKUP(G212,$AA$2:$AB$5,2,FALSE())</f>
        <v>15</v>
      </c>
      <c r="R212" s="7" t="n">
        <f aca="false">IF(OR(F212="Open",F212="Reopened"),1,0)</f>
        <v>1</v>
      </c>
      <c r="S212" s="7" t="n">
        <f aca="false">IF(AND(H212&gt;='Exec Summary'!$E$1,H212&lt;='Exec Summary'!$E$2),1,0)</f>
        <v>0</v>
      </c>
      <c r="T212" s="7" t="n">
        <f aca="false">IF(AND(F212="Closed",I212&lt;&gt;"",I212&gt;='Exec Summary'!$E$1,I212&lt;='Exec Summary'!$E$2),1,0)</f>
        <v>0</v>
      </c>
      <c r="U212" s="7" t="n">
        <f aca="false">IF(F212="Reopened",1,0)</f>
        <v>1</v>
      </c>
      <c r="V212" s="7" t="n">
        <f aca="false">IF(AND(R212=1,O212&gt;Q212),1,0)</f>
        <v>1</v>
      </c>
      <c r="W212" s="7" t="n">
        <f aca="false">IF(AND(T212=1,P212&lt;&gt;"",P212&lt;=Q212),1,0)</f>
        <v>0</v>
      </c>
    </row>
    <row r="213" customFormat="false" ht="15" hidden="false" customHeight="false" outlineLevel="0" collapsed="false">
      <c r="A213" s="7" t="s">
        <v>348</v>
      </c>
      <c r="B213" s="7" t="s">
        <v>46</v>
      </c>
      <c r="C213" s="7" t="s">
        <v>177</v>
      </c>
      <c r="D213" s="7" t="s">
        <v>91</v>
      </c>
      <c r="E213" s="7" t="s">
        <v>92</v>
      </c>
      <c r="F213" s="7" t="s">
        <v>123</v>
      </c>
      <c r="G213" s="7" t="s">
        <v>20</v>
      </c>
      <c r="H213" s="9" t="n">
        <v>45981</v>
      </c>
      <c r="I213" s="9" t="n">
        <v>46015</v>
      </c>
      <c r="J213" s="7" t="n">
        <v>8.1</v>
      </c>
      <c r="K213" s="7" t="s">
        <v>51</v>
      </c>
      <c r="L213" s="7" t="s">
        <v>21</v>
      </c>
      <c r="M213" s="7" t="s">
        <v>357</v>
      </c>
      <c r="N213" s="7" t="s">
        <v>53</v>
      </c>
      <c r="O213" s="10" t="n">
        <f aca="false">'Exec Summary'!$E$2-H213</f>
        <v>253</v>
      </c>
      <c r="P213" s="10" t="n">
        <f aca="false">IF(I213="","",I213-H213)</f>
        <v>34</v>
      </c>
      <c r="Q213" s="10" t="n">
        <f aca="false">VLOOKUP(G213,$AA$2:$AB$5,2,FALSE())</f>
        <v>30</v>
      </c>
      <c r="R213" s="7" t="n">
        <f aca="false">IF(OR(F213="Open",F213="Reopened"),1,0)</f>
        <v>1</v>
      </c>
      <c r="S213" s="7" t="n">
        <f aca="false">IF(AND(H213&gt;='Exec Summary'!$E$1,H213&lt;='Exec Summary'!$E$2),1,0)</f>
        <v>0</v>
      </c>
      <c r="T213" s="7" t="n">
        <f aca="false">IF(AND(F213="Closed",I213&lt;&gt;"",I213&gt;='Exec Summary'!$E$1,I213&lt;='Exec Summary'!$E$2),1,0)</f>
        <v>0</v>
      </c>
      <c r="U213" s="7" t="n">
        <f aca="false">IF(F213="Reopened",1,0)</f>
        <v>1</v>
      </c>
      <c r="V213" s="7" t="n">
        <f aca="false">IF(AND(R213=1,O213&gt;Q213),1,0)</f>
        <v>1</v>
      </c>
      <c r="W213" s="7" t="n">
        <f aca="false">IF(AND(T213=1,P213&lt;&gt;"",P213&lt;=Q213),1,0)</f>
        <v>0</v>
      </c>
    </row>
    <row r="214" customFormat="false" ht="15" hidden="false" customHeight="false" outlineLevel="0" collapsed="false">
      <c r="A214" s="7" t="s">
        <v>348</v>
      </c>
      <c r="B214" s="7" t="s">
        <v>46</v>
      </c>
      <c r="C214" s="7" t="s">
        <v>177</v>
      </c>
      <c r="D214" s="7" t="s">
        <v>152</v>
      </c>
      <c r="E214" s="7" t="s">
        <v>153</v>
      </c>
      <c r="F214" s="7" t="s">
        <v>50</v>
      </c>
      <c r="G214" s="7" t="s">
        <v>20</v>
      </c>
      <c r="H214" s="9" t="n">
        <v>46190</v>
      </c>
      <c r="I214" s="9" t="n">
        <v>46204</v>
      </c>
      <c r="J214" s="7" t="n">
        <v>7.5</v>
      </c>
      <c r="K214" s="7" t="s">
        <v>51</v>
      </c>
      <c r="L214" s="7" t="s">
        <v>21</v>
      </c>
      <c r="M214" s="7" t="s">
        <v>358</v>
      </c>
      <c r="N214" s="7" t="s">
        <v>53</v>
      </c>
      <c r="O214" s="10" t="n">
        <f aca="false">'Exec Summary'!$E$2-H214</f>
        <v>44</v>
      </c>
      <c r="P214" s="10" t="n">
        <f aca="false">IF(I214="","",I214-H214)</f>
        <v>14</v>
      </c>
      <c r="Q214" s="10" t="n">
        <f aca="false">VLOOKUP(G214,$AA$2:$AB$5,2,FALSE())</f>
        <v>30</v>
      </c>
      <c r="R214" s="7" t="n">
        <f aca="false">IF(OR(F214="Open",F214="Reopened"),1,0)</f>
        <v>0</v>
      </c>
      <c r="S214" s="7" t="n">
        <f aca="false">IF(AND(H214&gt;='Exec Summary'!$E$1,H214&lt;='Exec Summary'!$E$2),1,0)</f>
        <v>0</v>
      </c>
      <c r="T214" s="7" t="n">
        <f aca="false">IF(AND(F214="Closed",I214&lt;&gt;"",I214&gt;='Exec Summary'!$E$1,I214&lt;='Exec Summary'!$E$2),1,0)</f>
        <v>1</v>
      </c>
      <c r="U214" s="7" t="n">
        <f aca="false">IF(F214="Reopened",1,0)</f>
        <v>0</v>
      </c>
      <c r="V214" s="7" t="n">
        <f aca="false">IF(AND(R214=1,O214&gt;Q214),1,0)</f>
        <v>0</v>
      </c>
      <c r="W214" s="7" t="n">
        <f aca="false">IF(AND(T214=1,P214&lt;&gt;"",P214&lt;=Q214),1,0)</f>
        <v>1</v>
      </c>
    </row>
    <row r="215" customFormat="false" ht="15" hidden="false" customHeight="false" outlineLevel="0" collapsed="false">
      <c r="A215" s="7" t="s">
        <v>348</v>
      </c>
      <c r="B215" s="7" t="s">
        <v>46</v>
      </c>
      <c r="C215" s="7" t="s">
        <v>177</v>
      </c>
      <c r="D215" s="7" t="s">
        <v>101</v>
      </c>
      <c r="E215" s="7" t="s">
        <v>102</v>
      </c>
      <c r="F215" s="7" t="s">
        <v>50</v>
      </c>
      <c r="G215" s="7" t="s">
        <v>19</v>
      </c>
      <c r="H215" s="9" t="n">
        <v>46101</v>
      </c>
      <c r="I215" s="9" t="n">
        <v>46118</v>
      </c>
      <c r="J215" s="7" t="n">
        <v>10</v>
      </c>
      <c r="K215" s="7" t="s">
        <v>51</v>
      </c>
      <c r="L215" s="7" t="s">
        <v>21</v>
      </c>
      <c r="M215" s="7" t="s">
        <v>359</v>
      </c>
      <c r="N215" s="7" t="s">
        <v>58</v>
      </c>
      <c r="O215" s="10" t="n">
        <f aca="false">'Exec Summary'!$E$2-H215</f>
        <v>133</v>
      </c>
      <c r="P215" s="10" t="n">
        <f aca="false">IF(I215="","",I215-H215)</f>
        <v>17</v>
      </c>
      <c r="Q215" s="10" t="n">
        <f aca="false">VLOOKUP(G215,$AA$2:$AB$5,2,FALSE())</f>
        <v>15</v>
      </c>
      <c r="R215" s="7" t="n">
        <f aca="false">IF(OR(F215="Open",F215="Reopened"),1,0)</f>
        <v>0</v>
      </c>
      <c r="S215" s="7" t="n">
        <f aca="false">IF(AND(H215&gt;='Exec Summary'!$E$1,H215&lt;='Exec Summary'!$E$2),1,0)</f>
        <v>0</v>
      </c>
      <c r="T215" s="7" t="n">
        <f aca="false">IF(AND(F215="Closed",I215&lt;&gt;"",I215&gt;='Exec Summary'!$E$1,I215&lt;='Exec Summary'!$E$2),1,0)</f>
        <v>0</v>
      </c>
      <c r="U215" s="7" t="n">
        <f aca="false">IF(F215="Reopened",1,0)</f>
        <v>0</v>
      </c>
      <c r="V215" s="7" t="n">
        <f aca="false">IF(AND(R215=1,O215&gt;Q215),1,0)</f>
        <v>0</v>
      </c>
      <c r="W215" s="7" t="n">
        <f aca="false">IF(AND(T215=1,P215&lt;&gt;"",P215&lt;=Q215),1,0)</f>
        <v>0</v>
      </c>
    </row>
    <row r="216" customFormat="false" ht="15" hidden="false" customHeight="false" outlineLevel="0" collapsed="false">
      <c r="A216" s="7" t="s">
        <v>348</v>
      </c>
      <c r="B216" s="7" t="s">
        <v>46</v>
      </c>
      <c r="C216" s="7" t="s">
        <v>177</v>
      </c>
      <c r="D216" s="7" t="s">
        <v>98</v>
      </c>
      <c r="E216" s="7" t="s">
        <v>99</v>
      </c>
      <c r="F216" s="7" t="s">
        <v>50</v>
      </c>
      <c r="G216" s="7" t="s">
        <v>19</v>
      </c>
      <c r="H216" s="9" t="n">
        <v>46001</v>
      </c>
      <c r="I216" s="9" t="n">
        <v>46018</v>
      </c>
      <c r="J216" s="7" t="n">
        <v>10</v>
      </c>
      <c r="K216" s="7" t="s">
        <v>51</v>
      </c>
      <c r="L216" s="7" t="s">
        <v>21</v>
      </c>
      <c r="M216" s="7" t="s">
        <v>360</v>
      </c>
      <c r="N216" s="7" t="s">
        <v>58</v>
      </c>
      <c r="O216" s="10" t="n">
        <f aca="false">'Exec Summary'!$E$2-H216</f>
        <v>233</v>
      </c>
      <c r="P216" s="10" t="n">
        <f aca="false">IF(I216="","",I216-H216)</f>
        <v>17</v>
      </c>
      <c r="Q216" s="10" t="n">
        <f aca="false">VLOOKUP(G216,$AA$2:$AB$5,2,FALSE())</f>
        <v>15</v>
      </c>
      <c r="R216" s="7" t="n">
        <f aca="false">IF(OR(F216="Open",F216="Reopened"),1,0)</f>
        <v>0</v>
      </c>
      <c r="S216" s="7" t="n">
        <f aca="false">IF(AND(H216&gt;='Exec Summary'!$E$1,H216&lt;='Exec Summary'!$E$2),1,0)</f>
        <v>0</v>
      </c>
      <c r="T216" s="7" t="n">
        <f aca="false">IF(AND(F216="Closed",I216&lt;&gt;"",I216&gt;='Exec Summary'!$E$1,I216&lt;='Exec Summary'!$E$2),1,0)</f>
        <v>0</v>
      </c>
      <c r="U216" s="7" t="n">
        <f aca="false">IF(F216="Reopened",1,0)</f>
        <v>0</v>
      </c>
      <c r="V216" s="7" t="n">
        <f aca="false">IF(AND(R216=1,O216&gt;Q216),1,0)</f>
        <v>0</v>
      </c>
      <c r="W216" s="7" t="n">
        <f aca="false">IF(AND(T216=1,P216&lt;&gt;"",P216&lt;=Q216),1,0)</f>
        <v>0</v>
      </c>
    </row>
    <row r="217" customFormat="false" ht="15" hidden="false" customHeight="false" outlineLevel="0" collapsed="false">
      <c r="A217" s="7" t="s">
        <v>361</v>
      </c>
      <c r="B217" s="7" t="s">
        <v>46</v>
      </c>
      <c r="C217" s="7" t="s">
        <v>158</v>
      </c>
      <c r="D217" s="7" t="s">
        <v>131</v>
      </c>
      <c r="E217" s="7" t="s">
        <v>132</v>
      </c>
      <c r="F217" s="7" t="s">
        <v>56</v>
      </c>
      <c r="G217" s="7" t="s">
        <v>19</v>
      </c>
      <c r="H217" s="9" t="n">
        <v>46200</v>
      </c>
      <c r="I217" s="9"/>
      <c r="J217" s="7" t="n">
        <v>9.8</v>
      </c>
      <c r="K217" s="7" t="s">
        <v>51</v>
      </c>
      <c r="L217" s="7" t="s">
        <v>19</v>
      </c>
      <c r="M217" s="7" t="s">
        <v>362</v>
      </c>
      <c r="N217" s="7" t="s">
        <v>58</v>
      </c>
      <c r="O217" s="10" t="n">
        <f aca="false">'Exec Summary'!$E$2-H217</f>
        <v>34</v>
      </c>
      <c r="P217" s="10" t="str">
        <f aca="false">IF(I217="","",I217-H217)</f>
        <v/>
      </c>
      <c r="Q217" s="10" t="n">
        <f aca="false">VLOOKUP(G217,$AA$2:$AB$5,2,FALSE())</f>
        <v>15</v>
      </c>
      <c r="R217" s="7" t="n">
        <f aca="false">IF(OR(F217="Open",F217="Reopened"),1,0)</f>
        <v>1</v>
      </c>
      <c r="S217" s="7" t="n">
        <f aca="false">IF(AND(H217&gt;='Exec Summary'!$E$1,H217&lt;='Exec Summary'!$E$2),1,0)</f>
        <v>0</v>
      </c>
      <c r="T217" s="7" t="n">
        <f aca="false">IF(AND(F217="Closed",I217&lt;&gt;"",I217&gt;='Exec Summary'!$E$1,I217&lt;='Exec Summary'!$E$2),1,0)</f>
        <v>0</v>
      </c>
      <c r="U217" s="7" t="n">
        <f aca="false">IF(F217="Reopened",1,0)</f>
        <v>0</v>
      </c>
      <c r="V217" s="7" t="n">
        <f aca="false">IF(AND(R217=1,O217&gt;Q217),1,0)</f>
        <v>1</v>
      </c>
      <c r="W217" s="7" t="n">
        <f aca="false">IF(AND(T217=1,P217&lt;&gt;"",P217&lt;=Q217),1,0)</f>
        <v>0</v>
      </c>
    </row>
    <row r="218" customFormat="false" ht="15" hidden="false" customHeight="false" outlineLevel="0" collapsed="false">
      <c r="A218" s="7" t="s">
        <v>363</v>
      </c>
      <c r="B218" s="7" t="s">
        <v>46</v>
      </c>
      <c r="C218" s="7" t="s">
        <v>47</v>
      </c>
      <c r="D218" s="7" t="s">
        <v>87</v>
      </c>
      <c r="E218" s="7" t="s">
        <v>88</v>
      </c>
      <c r="F218" s="7" t="s">
        <v>56</v>
      </c>
      <c r="G218" s="7" t="s">
        <v>19</v>
      </c>
      <c r="H218" s="9" t="n">
        <v>46159</v>
      </c>
      <c r="I218" s="9"/>
      <c r="J218" s="7" t="n">
        <v>10</v>
      </c>
      <c r="K218" s="7" t="s">
        <v>51</v>
      </c>
      <c r="L218" s="7" t="s">
        <v>21</v>
      </c>
      <c r="M218" s="7" t="s">
        <v>364</v>
      </c>
      <c r="N218" s="7" t="s">
        <v>58</v>
      </c>
      <c r="O218" s="10" t="n">
        <f aca="false">'Exec Summary'!$E$2-H218</f>
        <v>75</v>
      </c>
      <c r="P218" s="10" t="str">
        <f aca="false">IF(I218="","",I218-H218)</f>
        <v/>
      </c>
      <c r="Q218" s="10" t="n">
        <f aca="false">VLOOKUP(G218,$AA$2:$AB$5,2,FALSE())</f>
        <v>15</v>
      </c>
      <c r="R218" s="7" t="n">
        <f aca="false">IF(OR(F218="Open",F218="Reopened"),1,0)</f>
        <v>1</v>
      </c>
      <c r="S218" s="7" t="n">
        <f aca="false">IF(AND(H218&gt;='Exec Summary'!$E$1,H218&lt;='Exec Summary'!$E$2),1,0)</f>
        <v>0</v>
      </c>
      <c r="T218" s="7" t="n">
        <f aca="false">IF(AND(F218="Closed",I218&lt;&gt;"",I218&gt;='Exec Summary'!$E$1,I218&lt;='Exec Summary'!$E$2),1,0)</f>
        <v>0</v>
      </c>
      <c r="U218" s="7" t="n">
        <f aca="false">IF(F218="Reopened",1,0)</f>
        <v>0</v>
      </c>
      <c r="V218" s="7" t="n">
        <f aca="false">IF(AND(R218=1,O218&gt;Q218),1,0)</f>
        <v>1</v>
      </c>
      <c r="W218" s="7" t="n">
        <f aca="false">IF(AND(T218=1,P218&lt;&gt;"",P218&lt;=Q218),1,0)</f>
        <v>0</v>
      </c>
    </row>
    <row r="219" customFormat="false" ht="15" hidden="false" customHeight="false" outlineLevel="0" collapsed="false">
      <c r="A219" s="7" t="s">
        <v>363</v>
      </c>
      <c r="B219" s="7" t="s">
        <v>46</v>
      </c>
      <c r="C219" s="7" t="s">
        <v>47</v>
      </c>
      <c r="D219" s="7" t="s">
        <v>95</v>
      </c>
      <c r="E219" s="7" t="s">
        <v>96</v>
      </c>
      <c r="F219" s="7" t="s">
        <v>50</v>
      </c>
      <c r="G219" s="7" t="s">
        <v>20</v>
      </c>
      <c r="H219" s="9" t="n">
        <v>46010</v>
      </c>
      <c r="I219" s="9" t="n">
        <v>46035</v>
      </c>
      <c r="J219" s="7" t="n">
        <v>8.8</v>
      </c>
      <c r="K219" s="7" t="s">
        <v>51</v>
      </c>
      <c r="L219" s="7" t="s">
        <v>21</v>
      </c>
      <c r="M219" s="7" t="s">
        <v>365</v>
      </c>
      <c r="N219" s="7" t="s">
        <v>53</v>
      </c>
      <c r="O219" s="10" t="n">
        <f aca="false">'Exec Summary'!$E$2-H219</f>
        <v>224</v>
      </c>
      <c r="P219" s="10" t="n">
        <f aca="false">IF(I219="","",I219-H219)</f>
        <v>25</v>
      </c>
      <c r="Q219" s="10" t="n">
        <f aca="false">VLOOKUP(G219,$AA$2:$AB$5,2,FALSE())</f>
        <v>30</v>
      </c>
      <c r="R219" s="7" t="n">
        <f aca="false">IF(OR(F219="Open",F219="Reopened"),1,0)</f>
        <v>0</v>
      </c>
      <c r="S219" s="7" t="n">
        <f aca="false">IF(AND(H219&gt;='Exec Summary'!$E$1,H219&lt;='Exec Summary'!$E$2),1,0)</f>
        <v>0</v>
      </c>
      <c r="T219" s="7" t="n">
        <f aca="false">IF(AND(F219="Closed",I219&lt;&gt;"",I219&gt;='Exec Summary'!$E$1,I219&lt;='Exec Summary'!$E$2),1,0)</f>
        <v>0</v>
      </c>
      <c r="U219" s="7" t="n">
        <f aca="false">IF(F219="Reopened",1,0)</f>
        <v>0</v>
      </c>
      <c r="V219" s="7" t="n">
        <f aca="false">IF(AND(R219=1,O219&gt;Q219),1,0)</f>
        <v>0</v>
      </c>
      <c r="W219" s="7" t="n">
        <f aca="false">IF(AND(T219=1,P219&lt;&gt;"",P219&lt;=Q219),1,0)</f>
        <v>0</v>
      </c>
    </row>
    <row r="220" customFormat="false" ht="15" hidden="false" customHeight="false" outlineLevel="0" collapsed="false">
      <c r="A220" s="7" t="s">
        <v>363</v>
      </c>
      <c r="B220" s="7" t="s">
        <v>46</v>
      </c>
      <c r="C220" s="7" t="s">
        <v>47</v>
      </c>
      <c r="D220" s="7" t="s">
        <v>91</v>
      </c>
      <c r="E220" s="7" t="s">
        <v>92</v>
      </c>
      <c r="F220" s="7" t="s">
        <v>50</v>
      </c>
      <c r="G220" s="7" t="s">
        <v>20</v>
      </c>
      <c r="H220" s="9" t="n">
        <v>45986</v>
      </c>
      <c r="I220" s="9" t="n">
        <v>46001</v>
      </c>
      <c r="J220" s="7" t="n">
        <v>8.1</v>
      </c>
      <c r="K220" s="7" t="s">
        <v>51</v>
      </c>
      <c r="L220" s="7" t="s">
        <v>21</v>
      </c>
      <c r="M220" s="7" t="s">
        <v>366</v>
      </c>
      <c r="N220" s="7" t="s">
        <v>53</v>
      </c>
      <c r="O220" s="10" t="n">
        <f aca="false">'Exec Summary'!$E$2-H220</f>
        <v>248</v>
      </c>
      <c r="P220" s="10" t="n">
        <f aca="false">IF(I220="","",I220-H220)</f>
        <v>15</v>
      </c>
      <c r="Q220" s="10" t="n">
        <f aca="false">VLOOKUP(G220,$AA$2:$AB$5,2,FALSE())</f>
        <v>30</v>
      </c>
      <c r="R220" s="7" t="n">
        <f aca="false">IF(OR(F220="Open",F220="Reopened"),1,0)</f>
        <v>0</v>
      </c>
      <c r="S220" s="7" t="n">
        <f aca="false">IF(AND(H220&gt;='Exec Summary'!$E$1,H220&lt;='Exec Summary'!$E$2),1,0)</f>
        <v>0</v>
      </c>
      <c r="T220" s="7" t="n">
        <f aca="false">IF(AND(F220="Closed",I220&lt;&gt;"",I220&gt;='Exec Summary'!$E$1,I220&lt;='Exec Summary'!$E$2),1,0)</f>
        <v>0</v>
      </c>
      <c r="U220" s="7" t="n">
        <f aca="false">IF(F220="Reopened",1,0)</f>
        <v>0</v>
      </c>
      <c r="V220" s="7" t="n">
        <f aca="false">IF(AND(R220=1,O220&gt;Q220),1,0)</f>
        <v>0</v>
      </c>
      <c r="W220" s="7" t="n">
        <f aca="false">IF(AND(T220=1,P220&lt;&gt;"",P220&lt;=Q220),1,0)</f>
        <v>0</v>
      </c>
    </row>
    <row r="221" customFormat="false" ht="15" hidden="false" customHeight="false" outlineLevel="0" collapsed="false">
      <c r="A221" s="7" t="s">
        <v>363</v>
      </c>
      <c r="B221" s="7" t="s">
        <v>46</v>
      </c>
      <c r="C221" s="7" t="s">
        <v>47</v>
      </c>
      <c r="D221" s="7" t="s">
        <v>163</v>
      </c>
      <c r="E221" s="7" t="s">
        <v>164</v>
      </c>
      <c r="F221" s="7" t="s">
        <v>50</v>
      </c>
      <c r="G221" s="7" t="s">
        <v>19</v>
      </c>
      <c r="H221" s="9" t="n">
        <v>46059</v>
      </c>
      <c r="I221" s="9" t="n">
        <v>46075</v>
      </c>
      <c r="J221" s="7" t="n">
        <v>9.1</v>
      </c>
      <c r="K221" s="7" t="s">
        <v>51</v>
      </c>
      <c r="L221" s="7" t="s">
        <v>21</v>
      </c>
      <c r="M221" s="7" t="s">
        <v>367</v>
      </c>
      <c r="N221" s="7" t="s">
        <v>58</v>
      </c>
      <c r="O221" s="10" t="n">
        <f aca="false">'Exec Summary'!$E$2-H221</f>
        <v>175</v>
      </c>
      <c r="P221" s="10" t="n">
        <f aca="false">IF(I221="","",I221-H221)</f>
        <v>16</v>
      </c>
      <c r="Q221" s="10" t="n">
        <f aca="false">VLOOKUP(G221,$AA$2:$AB$5,2,FALSE())</f>
        <v>15</v>
      </c>
      <c r="R221" s="7" t="n">
        <f aca="false">IF(OR(F221="Open",F221="Reopened"),1,0)</f>
        <v>0</v>
      </c>
      <c r="S221" s="7" t="n">
        <f aca="false">IF(AND(H221&gt;='Exec Summary'!$E$1,H221&lt;='Exec Summary'!$E$2),1,0)</f>
        <v>0</v>
      </c>
      <c r="T221" s="7" t="n">
        <f aca="false">IF(AND(F221="Closed",I221&lt;&gt;"",I221&gt;='Exec Summary'!$E$1,I221&lt;='Exec Summary'!$E$2),1,0)</f>
        <v>0</v>
      </c>
      <c r="U221" s="7" t="n">
        <f aca="false">IF(F221="Reopened",1,0)</f>
        <v>0</v>
      </c>
      <c r="V221" s="7" t="n">
        <f aca="false">IF(AND(R221=1,O221&gt;Q221),1,0)</f>
        <v>0</v>
      </c>
      <c r="W221" s="7" t="n">
        <f aca="false">IF(AND(T221=1,P221&lt;&gt;"",P221&lt;=Q221),1,0)</f>
        <v>0</v>
      </c>
    </row>
    <row r="222" customFormat="false" ht="15" hidden="false" customHeight="false" outlineLevel="0" collapsed="false">
      <c r="A222" s="7" t="s">
        <v>368</v>
      </c>
      <c r="B222" s="7" t="s">
        <v>46</v>
      </c>
      <c r="C222" s="7" t="s">
        <v>158</v>
      </c>
      <c r="D222" s="7" t="s">
        <v>192</v>
      </c>
      <c r="E222" s="7" t="s">
        <v>193</v>
      </c>
      <c r="F222" s="7" t="s">
        <v>56</v>
      </c>
      <c r="G222" s="7" t="s">
        <v>19</v>
      </c>
      <c r="H222" s="9" t="n">
        <v>46162</v>
      </c>
      <c r="I222" s="9"/>
      <c r="J222" s="7" t="n">
        <v>9.8</v>
      </c>
      <c r="K222" s="7" t="s">
        <v>51</v>
      </c>
      <c r="L222" s="7" t="s">
        <v>21</v>
      </c>
      <c r="M222" s="7" t="s">
        <v>369</v>
      </c>
      <c r="N222" s="7" t="s">
        <v>58</v>
      </c>
      <c r="O222" s="10" t="n">
        <f aca="false">'Exec Summary'!$E$2-H222</f>
        <v>72</v>
      </c>
      <c r="P222" s="10" t="str">
        <f aca="false">IF(I222="","",I222-H222)</f>
        <v/>
      </c>
      <c r="Q222" s="10" t="n">
        <f aca="false">VLOOKUP(G222,$AA$2:$AB$5,2,FALSE())</f>
        <v>15</v>
      </c>
      <c r="R222" s="7" t="n">
        <f aca="false">IF(OR(F222="Open",F222="Reopened"),1,0)</f>
        <v>1</v>
      </c>
      <c r="S222" s="7" t="n">
        <f aca="false">IF(AND(H222&gt;='Exec Summary'!$E$1,H222&lt;='Exec Summary'!$E$2),1,0)</f>
        <v>0</v>
      </c>
      <c r="T222" s="7" t="n">
        <f aca="false">IF(AND(F222="Closed",I222&lt;&gt;"",I222&gt;='Exec Summary'!$E$1,I222&lt;='Exec Summary'!$E$2),1,0)</f>
        <v>0</v>
      </c>
      <c r="U222" s="7" t="n">
        <f aca="false">IF(F222="Reopened",1,0)</f>
        <v>0</v>
      </c>
      <c r="V222" s="7" t="n">
        <f aca="false">IF(AND(R222=1,O222&gt;Q222),1,0)</f>
        <v>1</v>
      </c>
      <c r="W222" s="7" t="n">
        <f aca="false">IF(AND(T222=1,P222&lt;&gt;"",P222&lt;=Q222),1,0)</f>
        <v>0</v>
      </c>
    </row>
    <row r="223" customFormat="false" ht="15" hidden="false" customHeight="false" outlineLevel="0" collapsed="false">
      <c r="A223" s="7" t="s">
        <v>368</v>
      </c>
      <c r="B223" s="7" t="s">
        <v>46</v>
      </c>
      <c r="C223" s="7" t="s">
        <v>158</v>
      </c>
      <c r="D223" s="7" t="s">
        <v>84</v>
      </c>
      <c r="E223" s="7" t="s">
        <v>85</v>
      </c>
      <c r="F223" s="7" t="s">
        <v>56</v>
      </c>
      <c r="G223" s="7" t="s">
        <v>20</v>
      </c>
      <c r="H223" s="9" t="n">
        <v>46104</v>
      </c>
      <c r="I223" s="9"/>
      <c r="J223" s="7" t="n">
        <v>7.5</v>
      </c>
      <c r="K223" s="7" t="s">
        <v>51</v>
      </c>
      <c r="L223" s="7" t="s">
        <v>21</v>
      </c>
      <c r="M223" s="7" t="s">
        <v>370</v>
      </c>
      <c r="N223" s="7" t="s">
        <v>53</v>
      </c>
      <c r="O223" s="10" t="n">
        <f aca="false">'Exec Summary'!$E$2-H223</f>
        <v>130</v>
      </c>
      <c r="P223" s="10" t="str">
        <f aca="false">IF(I223="","",I223-H223)</f>
        <v/>
      </c>
      <c r="Q223" s="10" t="n">
        <f aca="false">VLOOKUP(G223,$AA$2:$AB$5,2,FALSE())</f>
        <v>30</v>
      </c>
      <c r="R223" s="7" t="n">
        <f aca="false">IF(OR(F223="Open",F223="Reopened"),1,0)</f>
        <v>1</v>
      </c>
      <c r="S223" s="7" t="n">
        <f aca="false">IF(AND(H223&gt;='Exec Summary'!$E$1,H223&lt;='Exec Summary'!$E$2),1,0)</f>
        <v>0</v>
      </c>
      <c r="T223" s="7" t="n">
        <f aca="false">IF(AND(F223="Closed",I223&lt;&gt;"",I223&gt;='Exec Summary'!$E$1,I223&lt;='Exec Summary'!$E$2),1,0)</f>
        <v>0</v>
      </c>
      <c r="U223" s="7" t="n">
        <f aca="false">IF(F223="Reopened",1,0)</f>
        <v>0</v>
      </c>
      <c r="V223" s="7" t="n">
        <f aca="false">IF(AND(R223=1,O223&gt;Q223),1,0)</f>
        <v>1</v>
      </c>
      <c r="W223" s="7" t="n">
        <f aca="false">IF(AND(T223=1,P223&lt;&gt;"",P223&lt;=Q223),1,0)</f>
        <v>0</v>
      </c>
    </row>
    <row r="224" customFormat="false" ht="15" hidden="false" customHeight="false" outlineLevel="0" collapsed="false">
      <c r="A224" s="7" t="s">
        <v>368</v>
      </c>
      <c r="B224" s="7" t="s">
        <v>46</v>
      </c>
      <c r="C224" s="7" t="s">
        <v>158</v>
      </c>
      <c r="D224" s="7" t="s">
        <v>62</v>
      </c>
      <c r="E224" s="7" t="s">
        <v>63</v>
      </c>
      <c r="F224" s="7" t="s">
        <v>56</v>
      </c>
      <c r="G224" s="7" t="s">
        <v>20</v>
      </c>
      <c r="H224" s="9" t="n">
        <v>45974</v>
      </c>
      <c r="I224" s="9"/>
      <c r="J224" s="7" t="n">
        <v>8.1</v>
      </c>
      <c r="K224" s="7" t="s">
        <v>51</v>
      </c>
      <c r="L224" s="7" t="s">
        <v>21</v>
      </c>
      <c r="M224" s="7" t="s">
        <v>371</v>
      </c>
      <c r="N224" s="7" t="s">
        <v>53</v>
      </c>
      <c r="O224" s="10" t="n">
        <f aca="false">'Exec Summary'!$E$2-H224</f>
        <v>260</v>
      </c>
      <c r="P224" s="10" t="str">
        <f aca="false">IF(I224="","",I224-H224)</f>
        <v/>
      </c>
      <c r="Q224" s="10" t="n">
        <f aca="false">VLOOKUP(G224,$AA$2:$AB$5,2,FALSE())</f>
        <v>30</v>
      </c>
      <c r="R224" s="7" t="n">
        <f aca="false">IF(OR(F224="Open",F224="Reopened"),1,0)</f>
        <v>1</v>
      </c>
      <c r="S224" s="7" t="n">
        <f aca="false">IF(AND(H224&gt;='Exec Summary'!$E$1,H224&lt;='Exec Summary'!$E$2),1,0)</f>
        <v>0</v>
      </c>
      <c r="T224" s="7" t="n">
        <f aca="false">IF(AND(F224="Closed",I224&lt;&gt;"",I224&gt;='Exec Summary'!$E$1,I224&lt;='Exec Summary'!$E$2),1,0)</f>
        <v>0</v>
      </c>
      <c r="U224" s="7" t="n">
        <f aca="false">IF(F224="Reopened",1,0)</f>
        <v>0</v>
      </c>
      <c r="V224" s="7" t="n">
        <f aca="false">IF(AND(R224=1,O224&gt;Q224),1,0)</f>
        <v>1</v>
      </c>
      <c r="W224" s="7" t="n">
        <f aca="false">IF(AND(T224=1,P224&lt;&gt;"",P224&lt;=Q224),1,0)</f>
        <v>0</v>
      </c>
    </row>
    <row r="225" customFormat="false" ht="15" hidden="false" customHeight="false" outlineLevel="0" collapsed="false">
      <c r="A225" s="7" t="s">
        <v>368</v>
      </c>
      <c r="B225" s="7" t="s">
        <v>46</v>
      </c>
      <c r="C225" s="7" t="s">
        <v>158</v>
      </c>
      <c r="D225" s="7" t="s">
        <v>145</v>
      </c>
      <c r="E225" s="7" t="s">
        <v>146</v>
      </c>
      <c r="F225" s="7" t="s">
        <v>50</v>
      </c>
      <c r="G225" s="7" t="s">
        <v>19</v>
      </c>
      <c r="H225" s="9" t="n">
        <v>46224</v>
      </c>
      <c r="I225" s="9" t="n">
        <v>46234</v>
      </c>
      <c r="J225" s="7" t="n">
        <v>9.8</v>
      </c>
      <c r="K225" s="7" t="s">
        <v>51</v>
      </c>
      <c r="L225" s="7" t="s">
        <v>21</v>
      </c>
      <c r="M225" s="7" t="s">
        <v>372</v>
      </c>
      <c r="N225" s="7" t="s">
        <v>58</v>
      </c>
      <c r="O225" s="10" t="n">
        <f aca="false">'Exec Summary'!$E$2-H225</f>
        <v>10</v>
      </c>
      <c r="P225" s="10" t="n">
        <f aca="false">IF(I225="","",I225-H225)</f>
        <v>10</v>
      </c>
      <c r="Q225" s="10" t="n">
        <f aca="false">VLOOKUP(G225,$AA$2:$AB$5,2,FALSE())</f>
        <v>15</v>
      </c>
      <c r="R225" s="7" t="n">
        <f aca="false">IF(OR(F225="Open",F225="Reopened"),1,0)</f>
        <v>0</v>
      </c>
      <c r="S225" s="7" t="n">
        <f aca="false">IF(AND(H225&gt;='Exec Summary'!$E$1,H225&lt;='Exec Summary'!$E$2),1,0)</f>
        <v>1</v>
      </c>
      <c r="T225" s="7" t="n">
        <f aca="false">IF(AND(F225="Closed",I225&lt;&gt;"",I225&gt;='Exec Summary'!$E$1,I225&lt;='Exec Summary'!$E$2),1,0)</f>
        <v>1</v>
      </c>
      <c r="U225" s="7" t="n">
        <f aca="false">IF(F225="Reopened",1,0)</f>
        <v>0</v>
      </c>
      <c r="V225" s="7" t="n">
        <f aca="false">IF(AND(R225=1,O225&gt;Q225),1,0)</f>
        <v>0</v>
      </c>
      <c r="W225" s="7" t="n">
        <f aca="false">IF(AND(T225=1,P225&lt;&gt;"",P225&lt;=Q225),1,0)</f>
        <v>1</v>
      </c>
    </row>
    <row r="226" customFormat="false" ht="15" hidden="false" customHeight="false" outlineLevel="0" collapsed="false">
      <c r="A226" s="7" t="s">
        <v>368</v>
      </c>
      <c r="B226" s="7" t="s">
        <v>46</v>
      </c>
      <c r="C226" s="7" t="s">
        <v>158</v>
      </c>
      <c r="D226" s="7" t="s">
        <v>48</v>
      </c>
      <c r="E226" s="7" t="s">
        <v>49</v>
      </c>
      <c r="F226" s="7" t="s">
        <v>56</v>
      </c>
      <c r="G226" s="7" t="s">
        <v>20</v>
      </c>
      <c r="H226" s="9" t="n">
        <v>46092</v>
      </c>
      <c r="I226" s="9"/>
      <c r="J226" s="7" t="n">
        <v>7.5</v>
      </c>
      <c r="K226" s="7" t="s">
        <v>51</v>
      </c>
      <c r="L226" s="7" t="s">
        <v>21</v>
      </c>
      <c r="M226" s="7" t="s">
        <v>373</v>
      </c>
      <c r="N226" s="7" t="s">
        <v>53</v>
      </c>
      <c r="O226" s="10" t="n">
        <f aca="false">'Exec Summary'!$E$2-H226</f>
        <v>142</v>
      </c>
      <c r="P226" s="10" t="str">
        <f aca="false">IF(I226="","",I226-H226)</f>
        <v/>
      </c>
      <c r="Q226" s="10" t="n">
        <f aca="false">VLOOKUP(G226,$AA$2:$AB$5,2,FALSE())</f>
        <v>30</v>
      </c>
      <c r="R226" s="7" t="n">
        <f aca="false">IF(OR(F226="Open",F226="Reopened"),1,0)</f>
        <v>1</v>
      </c>
      <c r="S226" s="7" t="n">
        <f aca="false">IF(AND(H226&gt;='Exec Summary'!$E$1,H226&lt;='Exec Summary'!$E$2),1,0)</f>
        <v>0</v>
      </c>
      <c r="T226" s="7" t="n">
        <f aca="false">IF(AND(F226="Closed",I226&lt;&gt;"",I226&gt;='Exec Summary'!$E$1,I226&lt;='Exec Summary'!$E$2),1,0)</f>
        <v>0</v>
      </c>
      <c r="U226" s="7" t="n">
        <f aca="false">IF(F226="Reopened",1,0)</f>
        <v>0</v>
      </c>
      <c r="V226" s="7" t="n">
        <f aca="false">IF(AND(R226=1,O226&gt;Q226),1,0)</f>
        <v>1</v>
      </c>
      <c r="W226" s="7" t="n">
        <f aca="false">IF(AND(T226=1,P226&lt;&gt;"",P226&lt;=Q226),1,0)</f>
        <v>0</v>
      </c>
    </row>
    <row r="227" customFormat="false" ht="15" hidden="false" customHeight="false" outlineLevel="0" collapsed="false">
      <c r="A227" s="7" t="s">
        <v>368</v>
      </c>
      <c r="B227" s="7" t="s">
        <v>46</v>
      </c>
      <c r="C227" s="7" t="s">
        <v>158</v>
      </c>
      <c r="D227" s="7" t="s">
        <v>173</v>
      </c>
      <c r="E227" s="7" t="s">
        <v>174</v>
      </c>
      <c r="F227" s="7" t="s">
        <v>50</v>
      </c>
      <c r="G227" s="7" t="s">
        <v>19</v>
      </c>
      <c r="H227" s="9" t="n">
        <v>46174</v>
      </c>
      <c r="I227" s="9" t="n">
        <v>46175</v>
      </c>
      <c r="J227" s="7" t="n">
        <v>9.8</v>
      </c>
      <c r="K227" s="7" t="s">
        <v>51</v>
      </c>
      <c r="L227" s="7" t="s">
        <v>21</v>
      </c>
      <c r="M227" s="7" t="s">
        <v>374</v>
      </c>
      <c r="N227" s="7" t="s">
        <v>58</v>
      </c>
      <c r="O227" s="10" t="n">
        <f aca="false">'Exec Summary'!$E$2-H227</f>
        <v>60</v>
      </c>
      <c r="P227" s="10" t="n">
        <f aca="false">IF(I227="","",I227-H227)</f>
        <v>1</v>
      </c>
      <c r="Q227" s="10" t="n">
        <f aca="false">VLOOKUP(G227,$AA$2:$AB$5,2,FALSE())</f>
        <v>15</v>
      </c>
      <c r="R227" s="7" t="n">
        <f aca="false">IF(OR(F227="Open",F227="Reopened"),1,0)</f>
        <v>0</v>
      </c>
      <c r="S227" s="7" t="n">
        <f aca="false">IF(AND(H227&gt;='Exec Summary'!$E$1,H227&lt;='Exec Summary'!$E$2),1,0)</f>
        <v>0</v>
      </c>
      <c r="T227" s="7" t="n">
        <f aca="false">IF(AND(F227="Closed",I227&lt;&gt;"",I227&gt;='Exec Summary'!$E$1,I227&lt;='Exec Summary'!$E$2),1,0)</f>
        <v>0</v>
      </c>
      <c r="U227" s="7" t="n">
        <f aca="false">IF(F227="Reopened",1,0)</f>
        <v>0</v>
      </c>
      <c r="V227" s="7" t="n">
        <f aca="false">IF(AND(R227=1,O227&gt;Q227),1,0)</f>
        <v>0</v>
      </c>
      <c r="W227" s="7" t="n">
        <f aca="false">IF(AND(T227=1,P227&lt;&gt;"",P227&lt;=Q227),1,0)</f>
        <v>0</v>
      </c>
    </row>
    <row r="228" customFormat="false" ht="15" hidden="false" customHeight="false" outlineLevel="0" collapsed="false">
      <c r="A228" s="7" t="s">
        <v>368</v>
      </c>
      <c r="B228" s="7" t="s">
        <v>46</v>
      </c>
      <c r="C228" s="7" t="s">
        <v>158</v>
      </c>
      <c r="D228" s="7" t="s">
        <v>65</v>
      </c>
      <c r="E228" s="7" t="s">
        <v>66</v>
      </c>
      <c r="F228" s="7" t="s">
        <v>50</v>
      </c>
      <c r="G228" s="7" t="s">
        <v>19</v>
      </c>
      <c r="H228" s="9" t="n">
        <v>46120</v>
      </c>
      <c r="I228" s="9" t="n">
        <v>46128</v>
      </c>
      <c r="J228" s="7" t="n">
        <v>9.8</v>
      </c>
      <c r="K228" s="7" t="s">
        <v>51</v>
      </c>
      <c r="L228" s="7" t="s">
        <v>21</v>
      </c>
      <c r="M228" s="7" t="s">
        <v>375</v>
      </c>
      <c r="N228" s="7" t="s">
        <v>58</v>
      </c>
      <c r="O228" s="10" t="n">
        <f aca="false">'Exec Summary'!$E$2-H228</f>
        <v>114</v>
      </c>
      <c r="P228" s="10" t="n">
        <f aca="false">IF(I228="","",I228-H228)</f>
        <v>8</v>
      </c>
      <c r="Q228" s="10" t="n">
        <f aca="false">VLOOKUP(G228,$AA$2:$AB$5,2,FALSE())</f>
        <v>15</v>
      </c>
      <c r="R228" s="7" t="n">
        <f aca="false">IF(OR(F228="Open",F228="Reopened"),1,0)</f>
        <v>0</v>
      </c>
      <c r="S228" s="7" t="n">
        <f aca="false">IF(AND(H228&gt;='Exec Summary'!$E$1,H228&lt;='Exec Summary'!$E$2),1,0)</f>
        <v>0</v>
      </c>
      <c r="T228" s="7" t="n">
        <f aca="false">IF(AND(F228="Closed",I228&lt;&gt;"",I228&gt;='Exec Summary'!$E$1,I228&lt;='Exec Summary'!$E$2),1,0)</f>
        <v>0</v>
      </c>
      <c r="U228" s="7" t="n">
        <f aca="false">IF(F228="Reopened",1,0)</f>
        <v>0</v>
      </c>
      <c r="V228" s="7" t="n">
        <f aca="false">IF(AND(R228=1,O228&gt;Q228),1,0)</f>
        <v>0</v>
      </c>
      <c r="W228" s="7" t="n">
        <f aca="false">IF(AND(T228=1,P228&lt;&gt;"",P228&lt;=Q228),1,0)</f>
        <v>0</v>
      </c>
    </row>
    <row r="229" customFormat="false" ht="15" hidden="false" customHeight="false" outlineLevel="0" collapsed="false">
      <c r="A229" s="7" t="s">
        <v>376</v>
      </c>
      <c r="B229" s="7" t="s">
        <v>46</v>
      </c>
      <c r="C229" s="7" t="s">
        <v>158</v>
      </c>
      <c r="D229" s="7" t="s">
        <v>81</v>
      </c>
      <c r="E229" s="7" t="s">
        <v>82</v>
      </c>
      <c r="F229" s="7" t="s">
        <v>50</v>
      </c>
      <c r="G229" s="7" t="s">
        <v>20</v>
      </c>
      <c r="H229" s="9" t="n">
        <v>46194</v>
      </c>
      <c r="I229" s="9" t="n">
        <v>46197</v>
      </c>
      <c r="J229" s="7" t="n">
        <v>7.8</v>
      </c>
      <c r="K229" s="7" t="s">
        <v>51</v>
      </c>
      <c r="L229" s="7" t="s">
        <v>21</v>
      </c>
      <c r="M229" s="7" t="s">
        <v>377</v>
      </c>
      <c r="N229" s="7" t="s">
        <v>53</v>
      </c>
      <c r="O229" s="10" t="n">
        <f aca="false">'Exec Summary'!$E$2-H229</f>
        <v>40</v>
      </c>
      <c r="P229" s="10" t="n">
        <f aca="false">IF(I229="","",I229-H229)</f>
        <v>3</v>
      </c>
      <c r="Q229" s="10" t="n">
        <f aca="false">VLOOKUP(G229,$AA$2:$AB$5,2,FALSE())</f>
        <v>30</v>
      </c>
      <c r="R229" s="7" t="n">
        <f aca="false">IF(OR(F229="Open",F229="Reopened"),1,0)</f>
        <v>0</v>
      </c>
      <c r="S229" s="7" t="n">
        <f aca="false">IF(AND(H229&gt;='Exec Summary'!$E$1,H229&lt;='Exec Summary'!$E$2),1,0)</f>
        <v>0</v>
      </c>
      <c r="T229" s="7" t="n">
        <f aca="false">IF(AND(F229="Closed",I229&lt;&gt;"",I229&gt;='Exec Summary'!$E$1,I229&lt;='Exec Summary'!$E$2),1,0)</f>
        <v>0</v>
      </c>
      <c r="U229" s="7" t="n">
        <f aca="false">IF(F229="Reopened",1,0)</f>
        <v>0</v>
      </c>
      <c r="V229" s="7" t="n">
        <f aca="false">IF(AND(R229=1,O229&gt;Q229),1,0)</f>
        <v>0</v>
      </c>
      <c r="W229" s="7" t="n">
        <f aca="false">IF(AND(T229=1,P229&lt;&gt;"",P229&lt;=Q229),1,0)</f>
        <v>0</v>
      </c>
    </row>
    <row r="230" customFormat="false" ht="15" hidden="false" customHeight="false" outlineLevel="0" collapsed="false">
      <c r="A230" s="7" t="s">
        <v>376</v>
      </c>
      <c r="B230" s="7" t="s">
        <v>46</v>
      </c>
      <c r="C230" s="7" t="s">
        <v>158</v>
      </c>
      <c r="D230" s="7" t="s">
        <v>48</v>
      </c>
      <c r="E230" s="7" t="s">
        <v>49</v>
      </c>
      <c r="F230" s="7" t="s">
        <v>50</v>
      </c>
      <c r="G230" s="7" t="s">
        <v>20</v>
      </c>
      <c r="H230" s="9" t="n">
        <v>46100</v>
      </c>
      <c r="I230" s="9" t="n">
        <v>46132</v>
      </c>
      <c r="J230" s="7" t="n">
        <v>7.5</v>
      </c>
      <c r="K230" s="7" t="s">
        <v>51</v>
      </c>
      <c r="L230" s="7" t="s">
        <v>21</v>
      </c>
      <c r="M230" s="7" t="s">
        <v>378</v>
      </c>
      <c r="N230" s="7" t="s">
        <v>53</v>
      </c>
      <c r="O230" s="10" t="n">
        <f aca="false">'Exec Summary'!$E$2-H230</f>
        <v>134</v>
      </c>
      <c r="P230" s="10" t="n">
        <f aca="false">IF(I230="","",I230-H230)</f>
        <v>32</v>
      </c>
      <c r="Q230" s="10" t="n">
        <f aca="false">VLOOKUP(G230,$AA$2:$AB$5,2,FALSE())</f>
        <v>30</v>
      </c>
      <c r="R230" s="7" t="n">
        <f aca="false">IF(OR(F230="Open",F230="Reopened"),1,0)</f>
        <v>0</v>
      </c>
      <c r="S230" s="7" t="n">
        <f aca="false">IF(AND(H230&gt;='Exec Summary'!$E$1,H230&lt;='Exec Summary'!$E$2),1,0)</f>
        <v>0</v>
      </c>
      <c r="T230" s="7" t="n">
        <f aca="false">IF(AND(F230="Closed",I230&lt;&gt;"",I230&gt;='Exec Summary'!$E$1,I230&lt;='Exec Summary'!$E$2),1,0)</f>
        <v>0</v>
      </c>
      <c r="U230" s="7" t="n">
        <f aca="false">IF(F230="Reopened",1,0)</f>
        <v>0</v>
      </c>
      <c r="V230" s="7" t="n">
        <f aca="false">IF(AND(R230=1,O230&gt;Q230),1,0)</f>
        <v>0</v>
      </c>
      <c r="W230" s="7" t="n">
        <f aca="false">IF(AND(T230=1,P230&lt;&gt;"",P230&lt;=Q230),1,0)</f>
        <v>0</v>
      </c>
    </row>
    <row r="231" customFormat="false" ht="15" hidden="false" customHeight="false" outlineLevel="0" collapsed="false">
      <c r="A231" s="7" t="s">
        <v>376</v>
      </c>
      <c r="B231" s="7" t="s">
        <v>46</v>
      </c>
      <c r="C231" s="7" t="s">
        <v>158</v>
      </c>
      <c r="D231" s="7" t="s">
        <v>87</v>
      </c>
      <c r="E231" s="7" t="s">
        <v>88</v>
      </c>
      <c r="F231" s="7" t="s">
        <v>56</v>
      </c>
      <c r="G231" s="7" t="s">
        <v>19</v>
      </c>
      <c r="H231" s="9" t="n">
        <v>46056</v>
      </c>
      <c r="I231" s="9"/>
      <c r="J231" s="7" t="n">
        <v>10</v>
      </c>
      <c r="K231" s="7" t="s">
        <v>51</v>
      </c>
      <c r="L231" s="7" t="s">
        <v>21</v>
      </c>
      <c r="M231" s="7" t="s">
        <v>379</v>
      </c>
      <c r="N231" s="7" t="s">
        <v>58</v>
      </c>
      <c r="O231" s="10" t="n">
        <f aca="false">'Exec Summary'!$E$2-H231</f>
        <v>178</v>
      </c>
      <c r="P231" s="10" t="str">
        <f aca="false">IF(I231="","",I231-H231)</f>
        <v/>
      </c>
      <c r="Q231" s="10" t="n">
        <f aca="false">VLOOKUP(G231,$AA$2:$AB$5,2,FALSE())</f>
        <v>15</v>
      </c>
      <c r="R231" s="7" t="n">
        <f aca="false">IF(OR(F231="Open",F231="Reopened"),1,0)</f>
        <v>1</v>
      </c>
      <c r="S231" s="7" t="n">
        <f aca="false">IF(AND(H231&gt;='Exec Summary'!$E$1,H231&lt;='Exec Summary'!$E$2),1,0)</f>
        <v>0</v>
      </c>
      <c r="T231" s="7" t="n">
        <f aca="false">IF(AND(F231="Closed",I231&lt;&gt;"",I231&gt;='Exec Summary'!$E$1,I231&lt;='Exec Summary'!$E$2),1,0)</f>
        <v>0</v>
      </c>
      <c r="U231" s="7" t="n">
        <f aca="false">IF(F231="Reopened",1,0)</f>
        <v>0</v>
      </c>
      <c r="V231" s="7" t="n">
        <f aca="false">IF(AND(R231=1,O231&gt;Q231),1,0)</f>
        <v>1</v>
      </c>
      <c r="W231" s="7" t="n">
        <f aca="false">IF(AND(T231=1,P231&lt;&gt;"",P231&lt;=Q231),1,0)</f>
        <v>0</v>
      </c>
    </row>
    <row r="232" customFormat="false" ht="15" hidden="false" customHeight="false" outlineLevel="0" collapsed="false">
      <c r="A232" s="7" t="s">
        <v>376</v>
      </c>
      <c r="B232" s="7" t="s">
        <v>46</v>
      </c>
      <c r="C232" s="7" t="s">
        <v>158</v>
      </c>
      <c r="D232" s="7" t="s">
        <v>152</v>
      </c>
      <c r="E232" s="7" t="s">
        <v>153</v>
      </c>
      <c r="F232" s="7" t="s">
        <v>50</v>
      </c>
      <c r="G232" s="7" t="s">
        <v>20</v>
      </c>
      <c r="H232" s="9" t="n">
        <v>46180</v>
      </c>
      <c r="I232" s="9" t="n">
        <v>46207</v>
      </c>
      <c r="J232" s="7" t="n">
        <v>7.5</v>
      </c>
      <c r="K232" s="7" t="s">
        <v>51</v>
      </c>
      <c r="L232" s="7" t="s">
        <v>21</v>
      </c>
      <c r="M232" s="7" t="s">
        <v>380</v>
      </c>
      <c r="N232" s="7" t="s">
        <v>53</v>
      </c>
      <c r="O232" s="10" t="n">
        <f aca="false">'Exec Summary'!$E$2-H232</f>
        <v>54</v>
      </c>
      <c r="P232" s="10" t="n">
        <f aca="false">IF(I232="","",I232-H232)</f>
        <v>27</v>
      </c>
      <c r="Q232" s="10" t="n">
        <f aca="false">VLOOKUP(G232,$AA$2:$AB$5,2,FALSE())</f>
        <v>30</v>
      </c>
      <c r="R232" s="7" t="n">
        <f aca="false">IF(OR(F232="Open",F232="Reopened"),1,0)</f>
        <v>0</v>
      </c>
      <c r="S232" s="7" t="n">
        <f aca="false">IF(AND(H232&gt;='Exec Summary'!$E$1,H232&lt;='Exec Summary'!$E$2),1,0)</f>
        <v>0</v>
      </c>
      <c r="T232" s="7" t="n">
        <f aca="false">IF(AND(F232="Closed",I232&lt;&gt;"",I232&gt;='Exec Summary'!$E$1,I232&lt;='Exec Summary'!$E$2),1,0)</f>
        <v>1</v>
      </c>
      <c r="U232" s="7" t="n">
        <f aca="false">IF(F232="Reopened",1,0)</f>
        <v>0</v>
      </c>
      <c r="V232" s="7" t="n">
        <f aca="false">IF(AND(R232=1,O232&gt;Q232),1,0)</f>
        <v>0</v>
      </c>
      <c r="W232" s="7" t="n">
        <f aca="false">IF(AND(T232=1,P232&lt;&gt;"",P232&lt;=Q232),1,0)</f>
        <v>1</v>
      </c>
    </row>
    <row r="233" customFormat="false" ht="15" hidden="false" customHeight="false" outlineLevel="0" collapsed="false">
      <c r="A233" s="7" t="s">
        <v>376</v>
      </c>
      <c r="B233" s="7" t="s">
        <v>46</v>
      </c>
      <c r="C233" s="7" t="s">
        <v>158</v>
      </c>
      <c r="D233" s="7" t="s">
        <v>166</v>
      </c>
      <c r="E233" s="7" t="s">
        <v>167</v>
      </c>
      <c r="F233" s="7" t="s">
        <v>50</v>
      </c>
      <c r="G233" s="7" t="s">
        <v>19</v>
      </c>
      <c r="H233" s="9" t="n">
        <v>46156</v>
      </c>
      <c r="I233" s="9" t="n">
        <v>46161</v>
      </c>
      <c r="J233" s="7" t="n">
        <v>9.8</v>
      </c>
      <c r="K233" s="7" t="s">
        <v>51</v>
      </c>
      <c r="L233" s="7" t="s">
        <v>21</v>
      </c>
      <c r="M233" s="7" t="s">
        <v>381</v>
      </c>
      <c r="N233" s="7" t="s">
        <v>58</v>
      </c>
      <c r="O233" s="10" t="n">
        <f aca="false">'Exec Summary'!$E$2-H233</f>
        <v>78</v>
      </c>
      <c r="P233" s="10" t="n">
        <f aca="false">IF(I233="","",I233-H233)</f>
        <v>5</v>
      </c>
      <c r="Q233" s="10" t="n">
        <f aca="false">VLOOKUP(G233,$AA$2:$AB$5,2,FALSE())</f>
        <v>15</v>
      </c>
      <c r="R233" s="7" t="n">
        <f aca="false">IF(OR(F233="Open",F233="Reopened"),1,0)</f>
        <v>0</v>
      </c>
      <c r="S233" s="7" t="n">
        <f aca="false">IF(AND(H233&gt;='Exec Summary'!$E$1,H233&lt;='Exec Summary'!$E$2),1,0)</f>
        <v>0</v>
      </c>
      <c r="T233" s="7" t="n">
        <f aca="false">IF(AND(F233="Closed",I233&lt;&gt;"",I233&gt;='Exec Summary'!$E$1,I233&lt;='Exec Summary'!$E$2),1,0)</f>
        <v>0</v>
      </c>
      <c r="U233" s="7" t="n">
        <f aca="false">IF(F233="Reopened",1,0)</f>
        <v>0</v>
      </c>
      <c r="V233" s="7" t="n">
        <f aca="false">IF(AND(R233=1,O233&gt;Q233),1,0)</f>
        <v>0</v>
      </c>
      <c r="W233" s="7" t="n">
        <f aca="false">IF(AND(T233=1,P233&lt;&gt;"",P233&lt;=Q233),1,0)</f>
        <v>0</v>
      </c>
    </row>
    <row r="234" customFormat="false" ht="15" hidden="false" customHeight="false" outlineLevel="0" collapsed="false">
      <c r="A234" s="7" t="s">
        <v>376</v>
      </c>
      <c r="B234" s="7" t="s">
        <v>46</v>
      </c>
      <c r="C234" s="7" t="s">
        <v>158</v>
      </c>
      <c r="D234" s="7" t="s">
        <v>65</v>
      </c>
      <c r="E234" s="7" t="s">
        <v>66</v>
      </c>
      <c r="F234" s="7" t="s">
        <v>50</v>
      </c>
      <c r="G234" s="7" t="s">
        <v>19</v>
      </c>
      <c r="H234" s="9" t="n">
        <v>46183</v>
      </c>
      <c r="I234" s="9" t="n">
        <v>46202</v>
      </c>
      <c r="J234" s="7" t="n">
        <v>9.8</v>
      </c>
      <c r="K234" s="7" t="s">
        <v>51</v>
      </c>
      <c r="L234" s="7" t="s">
        <v>21</v>
      </c>
      <c r="M234" s="7" t="s">
        <v>382</v>
      </c>
      <c r="N234" s="7" t="s">
        <v>58</v>
      </c>
      <c r="O234" s="10" t="n">
        <f aca="false">'Exec Summary'!$E$2-H234</f>
        <v>51</v>
      </c>
      <c r="P234" s="10" t="n">
        <f aca="false">IF(I234="","",I234-H234)</f>
        <v>19</v>
      </c>
      <c r="Q234" s="10" t="n">
        <f aca="false">VLOOKUP(G234,$AA$2:$AB$5,2,FALSE())</f>
        <v>15</v>
      </c>
      <c r="R234" s="7" t="n">
        <f aca="false">IF(OR(F234="Open",F234="Reopened"),1,0)</f>
        <v>0</v>
      </c>
      <c r="S234" s="7" t="n">
        <f aca="false">IF(AND(H234&gt;='Exec Summary'!$E$1,H234&lt;='Exec Summary'!$E$2),1,0)</f>
        <v>0</v>
      </c>
      <c r="T234" s="7" t="n">
        <f aca="false">IF(AND(F234="Closed",I234&lt;&gt;"",I234&gt;='Exec Summary'!$E$1,I234&lt;='Exec Summary'!$E$2),1,0)</f>
        <v>0</v>
      </c>
      <c r="U234" s="7" t="n">
        <f aca="false">IF(F234="Reopened",1,0)</f>
        <v>0</v>
      </c>
      <c r="V234" s="7" t="n">
        <f aca="false">IF(AND(R234=1,O234&gt;Q234),1,0)</f>
        <v>0</v>
      </c>
      <c r="W234" s="7" t="n">
        <f aca="false">IF(AND(T234=1,P234&lt;&gt;"",P234&lt;=Q234),1,0)</f>
        <v>0</v>
      </c>
    </row>
    <row r="235" customFormat="false" ht="15" hidden="false" customHeight="false" outlineLevel="0" collapsed="false">
      <c r="A235" s="7" t="s">
        <v>376</v>
      </c>
      <c r="B235" s="7" t="s">
        <v>46</v>
      </c>
      <c r="C235" s="7" t="s">
        <v>158</v>
      </c>
      <c r="D235" s="7" t="s">
        <v>71</v>
      </c>
      <c r="E235" s="7" t="s">
        <v>72</v>
      </c>
      <c r="F235" s="7" t="s">
        <v>50</v>
      </c>
      <c r="G235" s="7" t="s">
        <v>19</v>
      </c>
      <c r="H235" s="9" t="n">
        <v>46218</v>
      </c>
      <c r="I235" s="9" t="n">
        <v>46223</v>
      </c>
      <c r="J235" s="7" t="n">
        <v>9.8</v>
      </c>
      <c r="K235" s="7" t="s">
        <v>51</v>
      </c>
      <c r="L235" s="7" t="s">
        <v>21</v>
      </c>
      <c r="M235" s="7" t="s">
        <v>383</v>
      </c>
      <c r="N235" s="7" t="s">
        <v>58</v>
      </c>
      <c r="O235" s="10" t="n">
        <f aca="false">'Exec Summary'!$E$2-H235</f>
        <v>16</v>
      </c>
      <c r="P235" s="10" t="n">
        <f aca="false">IF(I235="","",I235-H235)</f>
        <v>5</v>
      </c>
      <c r="Q235" s="10" t="n">
        <f aca="false">VLOOKUP(G235,$AA$2:$AB$5,2,FALSE())</f>
        <v>15</v>
      </c>
      <c r="R235" s="7" t="n">
        <f aca="false">IF(OR(F235="Open",F235="Reopened"),1,0)</f>
        <v>0</v>
      </c>
      <c r="S235" s="7" t="n">
        <f aca="false">IF(AND(H235&gt;='Exec Summary'!$E$1,H235&lt;='Exec Summary'!$E$2),1,0)</f>
        <v>1</v>
      </c>
      <c r="T235" s="7" t="n">
        <f aca="false">IF(AND(F235="Closed",I235&lt;&gt;"",I235&gt;='Exec Summary'!$E$1,I235&lt;='Exec Summary'!$E$2),1,0)</f>
        <v>1</v>
      </c>
      <c r="U235" s="7" t="n">
        <f aca="false">IF(F235="Reopened",1,0)</f>
        <v>0</v>
      </c>
      <c r="V235" s="7" t="n">
        <f aca="false">IF(AND(R235=1,O235&gt;Q235),1,0)</f>
        <v>0</v>
      </c>
      <c r="W235" s="7" t="n">
        <f aca="false">IF(AND(T235=1,P235&lt;&gt;"",P235&lt;=Q235),1,0)</f>
        <v>1</v>
      </c>
    </row>
    <row r="236" customFormat="false" ht="15" hidden="false" customHeight="false" outlineLevel="0" collapsed="false">
      <c r="A236" s="7" t="s">
        <v>376</v>
      </c>
      <c r="B236" s="7" t="s">
        <v>46</v>
      </c>
      <c r="C236" s="7" t="s">
        <v>158</v>
      </c>
      <c r="D236" s="7" t="s">
        <v>68</v>
      </c>
      <c r="E236" s="7" t="s">
        <v>69</v>
      </c>
      <c r="F236" s="7" t="s">
        <v>50</v>
      </c>
      <c r="G236" s="7" t="s">
        <v>19</v>
      </c>
      <c r="H236" s="9" t="n">
        <v>46128</v>
      </c>
      <c r="I236" s="9" t="n">
        <v>46141</v>
      </c>
      <c r="J236" s="7" t="n">
        <v>9.8</v>
      </c>
      <c r="K236" s="7" t="s">
        <v>51</v>
      </c>
      <c r="L236" s="7" t="s">
        <v>21</v>
      </c>
      <c r="M236" s="7" t="s">
        <v>384</v>
      </c>
      <c r="N236" s="7" t="s">
        <v>58</v>
      </c>
      <c r="O236" s="10" t="n">
        <f aca="false">'Exec Summary'!$E$2-H236</f>
        <v>106</v>
      </c>
      <c r="P236" s="10" t="n">
        <f aca="false">IF(I236="","",I236-H236)</f>
        <v>13</v>
      </c>
      <c r="Q236" s="10" t="n">
        <f aca="false">VLOOKUP(G236,$AA$2:$AB$5,2,FALSE())</f>
        <v>15</v>
      </c>
      <c r="R236" s="7" t="n">
        <f aca="false">IF(OR(F236="Open",F236="Reopened"),1,0)</f>
        <v>0</v>
      </c>
      <c r="S236" s="7" t="n">
        <f aca="false">IF(AND(H236&gt;='Exec Summary'!$E$1,H236&lt;='Exec Summary'!$E$2),1,0)</f>
        <v>0</v>
      </c>
      <c r="T236" s="7" t="n">
        <f aca="false">IF(AND(F236="Closed",I236&lt;&gt;"",I236&gt;='Exec Summary'!$E$1,I236&lt;='Exec Summary'!$E$2),1,0)</f>
        <v>0</v>
      </c>
      <c r="U236" s="7" t="n">
        <f aca="false">IF(F236="Reopened",1,0)</f>
        <v>0</v>
      </c>
      <c r="V236" s="7" t="n">
        <f aca="false">IF(AND(R236=1,O236&gt;Q236),1,0)</f>
        <v>0</v>
      </c>
      <c r="W236" s="7" t="n">
        <f aca="false">IF(AND(T236=1,P236&lt;&gt;"",P236&lt;=Q236),1,0)</f>
        <v>0</v>
      </c>
    </row>
    <row r="237" customFormat="false" ht="15" hidden="false" customHeight="false" outlineLevel="0" collapsed="false">
      <c r="A237" s="7" t="s">
        <v>385</v>
      </c>
      <c r="B237" s="7" t="s">
        <v>46</v>
      </c>
      <c r="C237" s="7" t="s">
        <v>128</v>
      </c>
      <c r="D237" s="7" t="s">
        <v>112</v>
      </c>
      <c r="E237" s="7" t="s">
        <v>113</v>
      </c>
      <c r="F237" s="7" t="s">
        <v>56</v>
      </c>
      <c r="G237" s="7" t="s">
        <v>20</v>
      </c>
      <c r="H237" s="9" t="n">
        <v>46133</v>
      </c>
      <c r="I237" s="9"/>
      <c r="J237" s="7" t="n">
        <v>7.8</v>
      </c>
      <c r="K237" s="7" t="s">
        <v>51</v>
      </c>
      <c r="L237" s="7" t="s">
        <v>19</v>
      </c>
      <c r="M237" s="7" t="s">
        <v>386</v>
      </c>
      <c r="N237" s="7" t="s">
        <v>53</v>
      </c>
      <c r="O237" s="10" t="n">
        <f aca="false">'Exec Summary'!$E$2-H237</f>
        <v>101</v>
      </c>
      <c r="P237" s="10" t="str">
        <f aca="false">IF(I237="","",I237-H237)</f>
        <v/>
      </c>
      <c r="Q237" s="10" t="n">
        <f aca="false">VLOOKUP(G237,$AA$2:$AB$5,2,FALSE())</f>
        <v>30</v>
      </c>
      <c r="R237" s="7" t="n">
        <f aca="false">IF(OR(F237="Open",F237="Reopened"),1,0)</f>
        <v>1</v>
      </c>
      <c r="S237" s="7" t="n">
        <f aca="false">IF(AND(H237&gt;='Exec Summary'!$E$1,H237&lt;='Exec Summary'!$E$2),1,0)</f>
        <v>0</v>
      </c>
      <c r="T237" s="7" t="n">
        <f aca="false">IF(AND(F237="Closed",I237&lt;&gt;"",I237&gt;='Exec Summary'!$E$1,I237&lt;='Exec Summary'!$E$2),1,0)</f>
        <v>0</v>
      </c>
      <c r="U237" s="7" t="n">
        <f aca="false">IF(F237="Reopened",1,0)</f>
        <v>0</v>
      </c>
      <c r="V237" s="7" t="n">
        <f aca="false">IF(AND(R237=1,O237&gt;Q237),1,0)</f>
        <v>1</v>
      </c>
      <c r="W237" s="7" t="n">
        <f aca="false">IF(AND(T237=1,P237&lt;&gt;"",P237&lt;=Q237),1,0)</f>
        <v>0</v>
      </c>
    </row>
    <row r="238" customFormat="false" ht="15" hidden="false" customHeight="false" outlineLevel="0" collapsed="false">
      <c r="A238" s="7" t="s">
        <v>385</v>
      </c>
      <c r="B238" s="7" t="s">
        <v>46</v>
      </c>
      <c r="C238" s="7" t="s">
        <v>128</v>
      </c>
      <c r="D238" s="7" t="s">
        <v>91</v>
      </c>
      <c r="E238" s="7" t="s">
        <v>92</v>
      </c>
      <c r="F238" s="7" t="s">
        <v>50</v>
      </c>
      <c r="G238" s="7" t="s">
        <v>20</v>
      </c>
      <c r="H238" s="9" t="n">
        <v>46034</v>
      </c>
      <c r="I238" s="9" t="n">
        <v>46064</v>
      </c>
      <c r="J238" s="7" t="n">
        <v>8.1</v>
      </c>
      <c r="K238" s="7" t="s">
        <v>51</v>
      </c>
      <c r="L238" s="7" t="s">
        <v>19</v>
      </c>
      <c r="M238" s="7" t="s">
        <v>387</v>
      </c>
      <c r="N238" s="7" t="s">
        <v>53</v>
      </c>
      <c r="O238" s="10" t="n">
        <f aca="false">'Exec Summary'!$E$2-H238</f>
        <v>200</v>
      </c>
      <c r="P238" s="10" t="n">
        <f aca="false">IF(I238="","",I238-H238)</f>
        <v>30</v>
      </c>
      <c r="Q238" s="10" t="n">
        <f aca="false">VLOOKUP(G238,$AA$2:$AB$5,2,FALSE())</f>
        <v>30</v>
      </c>
      <c r="R238" s="7" t="n">
        <f aca="false">IF(OR(F238="Open",F238="Reopened"),1,0)</f>
        <v>0</v>
      </c>
      <c r="S238" s="7" t="n">
        <f aca="false">IF(AND(H238&gt;='Exec Summary'!$E$1,H238&lt;='Exec Summary'!$E$2),1,0)</f>
        <v>0</v>
      </c>
      <c r="T238" s="7" t="n">
        <f aca="false">IF(AND(F238="Closed",I238&lt;&gt;"",I238&gt;='Exec Summary'!$E$1,I238&lt;='Exec Summary'!$E$2),1,0)</f>
        <v>0</v>
      </c>
      <c r="U238" s="7" t="n">
        <f aca="false">IF(F238="Reopened",1,0)</f>
        <v>0</v>
      </c>
      <c r="V238" s="7" t="n">
        <f aca="false">IF(AND(R238=1,O238&gt;Q238),1,0)</f>
        <v>0</v>
      </c>
      <c r="W238" s="7" t="n">
        <f aca="false">IF(AND(T238=1,P238&lt;&gt;"",P238&lt;=Q238),1,0)</f>
        <v>0</v>
      </c>
    </row>
    <row r="239" customFormat="false" ht="15" hidden="false" customHeight="false" outlineLevel="0" collapsed="false">
      <c r="A239" s="7" t="s">
        <v>385</v>
      </c>
      <c r="B239" s="7" t="s">
        <v>46</v>
      </c>
      <c r="C239" s="7" t="s">
        <v>128</v>
      </c>
      <c r="D239" s="7" t="s">
        <v>87</v>
      </c>
      <c r="E239" s="7" t="s">
        <v>88</v>
      </c>
      <c r="F239" s="7" t="s">
        <v>56</v>
      </c>
      <c r="G239" s="7" t="s">
        <v>19</v>
      </c>
      <c r="H239" s="9" t="n">
        <v>46156</v>
      </c>
      <c r="I239" s="9"/>
      <c r="J239" s="7" t="n">
        <v>10</v>
      </c>
      <c r="K239" s="7" t="s">
        <v>51</v>
      </c>
      <c r="L239" s="7" t="s">
        <v>19</v>
      </c>
      <c r="M239" s="7" t="s">
        <v>388</v>
      </c>
      <c r="N239" s="7" t="s">
        <v>58</v>
      </c>
      <c r="O239" s="10" t="n">
        <f aca="false">'Exec Summary'!$E$2-H239</f>
        <v>78</v>
      </c>
      <c r="P239" s="10" t="str">
        <f aca="false">IF(I239="","",I239-H239)</f>
        <v/>
      </c>
      <c r="Q239" s="10" t="n">
        <f aca="false">VLOOKUP(G239,$AA$2:$AB$5,2,FALSE())</f>
        <v>15</v>
      </c>
      <c r="R239" s="7" t="n">
        <f aca="false">IF(OR(F239="Open",F239="Reopened"),1,0)</f>
        <v>1</v>
      </c>
      <c r="S239" s="7" t="n">
        <f aca="false">IF(AND(H239&gt;='Exec Summary'!$E$1,H239&lt;='Exec Summary'!$E$2),1,0)</f>
        <v>0</v>
      </c>
      <c r="T239" s="7" t="n">
        <f aca="false">IF(AND(F239="Closed",I239&lt;&gt;"",I239&gt;='Exec Summary'!$E$1,I239&lt;='Exec Summary'!$E$2),1,0)</f>
        <v>0</v>
      </c>
      <c r="U239" s="7" t="n">
        <f aca="false">IF(F239="Reopened",1,0)</f>
        <v>0</v>
      </c>
      <c r="V239" s="7" t="n">
        <f aca="false">IF(AND(R239=1,O239&gt;Q239),1,0)</f>
        <v>1</v>
      </c>
      <c r="W239" s="7" t="n">
        <f aca="false">IF(AND(T239=1,P239&lt;&gt;"",P239&lt;=Q239),1,0)</f>
        <v>0</v>
      </c>
    </row>
    <row r="240" customFormat="false" ht="15" hidden="false" customHeight="false" outlineLevel="0" collapsed="false">
      <c r="A240" s="7" t="s">
        <v>389</v>
      </c>
      <c r="B240" s="7" t="s">
        <v>135</v>
      </c>
      <c r="C240" s="7" t="s">
        <v>247</v>
      </c>
      <c r="D240" s="7" t="s">
        <v>81</v>
      </c>
      <c r="E240" s="7" t="s">
        <v>82</v>
      </c>
      <c r="F240" s="7" t="s">
        <v>56</v>
      </c>
      <c r="G240" s="7" t="s">
        <v>20</v>
      </c>
      <c r="H240" s="9" t="n">
        <v>46123</v>
      </c>
      <c r="I240" s="9"/>
      <c r="J240" s="7" t="n">
        <v>7.8</v>
      </c>
      <c r="K240" s="7" t="s">
        <v>51</v>
      </c>
      <c r="L240" s="7" t="s">
        <v>21</v>
      </c>
      <c r="M240" s="7" t="s">
        <v>390</v>
      </c>
      <c r="N240" s="7" t="s">
        <v>53</v>
      </c>
      <c r="O240" s="10" t="n">
        <f aca="false">'Exec Summary'!$E$2-H240</f>
        <v>111</v>
      </c>
      <c r="P240" s="10" t="str">
        <f aca="false">IF(I240="","",I240-H240)</f>
        <v/>
      </c>
      <c r="Q240" s="10" t="n">
        <f aca="false">VLOOKUP(G240,$AA$2:$AB$5,2,FALSE())</f>
        <v>30</v>
      </c>
      <c r="R240" s="7" t="n">
        <f aca="false">IF(OR(F240="Open",F240="Reopened"),1,0)</f>
        <v>1</v>
      </c>
      <c r="S240" s="7" t="n">
        <f aca="false">IF(AND(H240&gt;='Exec Summary'!$E$1,H240&lt;='Exec Summary'!$E$2),1,0)</f>
        <v>0</v>
      </c>
      <c r="T240" s="7" t="n">
        <f aca="false">IF(AND(F240="Closed",I240&lt;&gt;"",I240&gt;='Exec Summary'!$E$1,I240&lt;='Exec Summary'!$E$2),1,0)</f>
        <v>0</v>
      </c>
      <c r="U240" s="7" t="n">
        <f aca="false">IF(F240="Reopened",1,0)</f>
        <v>0</v>
      </c>
      <c r="V240" s="7" t="n">
        <f aca="false">IF(AND(R240=1,O240&gt;Q240),1,0)</f>
        <v>1</v>
      </c>
      <c r="W240" s="7" t="n">
        <f aca="false">IF(AND(T240=1,P240&lt;&gt;"",P240&lt;=Q240),1,0)</f>
        <v>0</v>
      </c>
    </row>
    <row r="241" customFormat="false" ht="15" hidden="false" customHeight="false" outlineLevel="0" collapsed="false">
      <c r="A241" s="7" t="s">
        <v>389</v>
      </c>
      <c r="B241" s="7" t="s">
        <v>135</v>
      </c>
      <c r="C241" s="7" t="s">
        <v>247</v>
      </c>
      <c r="D241" s="7" t="s">
        <v>87</v>
      </c>
      <c r="E241" s="7" t="s">
        <v>88</v>
      </c>
      <c r="F241" s="7" t="s">
        <v>56</v>
      </c>
      <c r="G241" s="7" t="s">
        <v>19</v>
      </c>
      <c r="H241" s="9" t="n">
        <v>45934</v>
      </c>
      <c r="I241" s="9"/>
      <c r="J241" s="7" t="n">
        <v>10</v>
      </c>
      <c r="K241" s="7" t="s">
        <v>51</v>
      </c>
      <c r="L241" s="7" t="s">
        <v>21</v>
      </c>
      <c r="M241" s="7" t="s">
        <v>391</v>
      </c>
      <c r="N241" s="7" t="s">
        <v>58</v>
      </c>
      <c r="O241" s="10" t="n">
        <f aca="false">'Exec Summary'!$E$2-H241</f>
        <v>300</v>
      </c>
      <c r="P241" s="10" t="str">
        <f aca="false">IF(I241="","",I241-H241)</f>
        <v/>
      </c>
      <c r="Q241" s="10" t="n">
        <f aca="false">VLOOKUP(G241,$AA$2:$AB$5,2,FALSE())</f>
        <v>15</v>
      </c>
      <c r="R241" s="7" t="n">
        <f aca="false">IF(OR(F241="Open",F241="Reopened"),1,0)</f>
        <v>1</v>
      </c>
      <c r="S241" s="7" t="n">
        <f aca="false">IF(AND(H241&gt;='Exec Summary'!$E$1,H241&lt;='Exec Summary'!$E$2),1,0)</f>
        <v>0</v>
      </c>
      <c r="T241" s="7" t="n">
        <f aca="false">IF(AND(F241="Closed",I241&lt;&gt;"",I241&gt;='Exec Summary'!$E$1,I241&lt;='Exec Summary'!$E$2),1,0)</f>
        <v>0</v>
      </c>
      <c r="U241" s="7" t="n">
        <f aca="false">IF(F241="Reopened",1,0)</f>
        <v>0</v>
      </c>
      <c r="V241" s="7" t="n">
        <f aca="false">IF(AND(R241=1,O241&gt;Q241),1,0)</f>
        <v>1</v>
      </c>
      <c r="W241" s="7" t="n">
        <f aca="false">IF(AND(T241=1,P241&lt;&gt;"",P241&lt;=Q241),1,0)</f>
        <v>0</v>
      </c>
    </row>
    <row r="242" customFormat="false" ht="15" hidden="false" customHeight="false" outlineLevel="0" collapsed="false">
      <c r="A242" s="7" t="s">
        <v>389</v>
      </c>
      <c r="B242" s="7" t="s">
        <v>135</v>
      </c>
      <c r="C242" s="7" t="s">
        <v>247</v>
      </c>
      <c r="D242" s="7" t="s">
        <v>192</v>
      </c>
      <c r="E242" s="7" t="s">
        <v>193</v>
      </c>
      <c r="F242" s="7" t="s">
        <v>56</v>
      </c>
      <c r="G242" s="7" t="s">
        <v>19</v>
      </c>
      <c r="H242" s="9" t="n">
        <v>45990</v>
      </c>
      <c r="I242" s="9"/>
      <c r="J242" s="7" t="n">
        <v>9.8</v>
      </c>
      <c r="K242" s="7" t="s">
        <v>51</v>
      </c>
      <c r="L242" s="7" t="s">
        <v>21</v>
      </c>
      <c r="M242" s="7" t="s">
        <v>392</v>
      </c>
      <c r="N242" s="7" t="s">
        <v>58</v>
      </c>
      <c r="O242" s="10" t="n">
        <f aca="false">'Exec Summary'!$E$2-H242</f>
        <v>244</v>
      </c>
      <c r="P242" s="10" t="str">
        <f aca="false">IF(I242="","",I242-H242)</f>
        <v/>
      </c>
      <c r="Q242" s="10" t="n">
        <f aca="false">VLOOKUP(G242,$AA$2:$AB$5,2,FALSE())</f>
        <v>15</v>
      </c>
      <c r="R242" s="7" t="n">
        <f aca="false">IF(OR(F242="Open",F242="Reopened"),1,0)</f>
        <v>1</v>
      </c>
      <c r="S242" s="7" t="n">
        <f aca="false">IF(AND(H242&gt;='Exec Summary'!$E$1,H242&lt;='Exec Summary'!$E$2),1,0)</f>
        <v>0</v>
      </c>
      <c r="T242" s="7" t="n">
        <f aca="false">IF(AND(F242="Closed",I242&lt;&gt;"",I242&gt;='Exec Summary'!$E$1,I242&lt;='Exec Summary'!$E$2),1,0)</f>
        <v>0</v>
      </c>
      <c r="U242" s="7" t="n">
        <f aca="false">IF(F242="Reopened",1,0)</f>
        <v>0</v>
      </c>
      <c r="V242" s="7" t="n">
        <f aca="false">IF(AND(R242=1,O242&gt;Q242),1,0)</f>
        <v>1</v>
      </c>
      <c r="W242" s="7" t="n">
        <f aca="false">IF(AND(T242=1,P242&lt;&gt;"",P242&lt;=Q242),1,0)</f>
        <v>0</v>
      </c>
    </row>
    <row r="243" customFormat="false" ht="15" hidden="false" customHeight="false" outlineLevel="0" collapsed="false">
      <c r="A243" s="7" t="s">
        <v>393</v>
      </c>
      <c r="B243" s="7" t="s">
        <v>46</v>
      </c>
      <c r="C243" s="7" t="s">
        <v>79</v>
      </c>
      <c r="D243" s="7" t="s">
        <v>62</v>
      </c>
      <c r="E243" s="7" t="s">
        <v>63</v>
      </c>
      <c r="F243" s="7" t="s">
        <v>50</v>
      </c>
      <c r="G243" s="7" t="s">
        <v>20</v>
      </c>
      <c r="H243" s="9" t="n">
        <v>46030</v>
      </c>
      <c r="I243" s="9" t="n">
        <v>46044</v>
      </c>
      <c r="J243" s="7" t="n">
        <v>8.1</v>
      </c>
      <c r="K243" s="7" t="s">
        <v>51</v>
      </c>
      <c r="L243" s="7" t="s">
        <v>21</v>
      </c>
      <c r="M243" s="7" t="s">
        <v>394</v>
      </c>
      <c r="N243" s="7" t="s">
        <v>53</v>
      </c>
      <c r="O243" s="10" t="n">
        <f aca="false">'Exec Summary'!$E$2-H243</f>
        <v>204</v>
      </c>
      <c r="P243" s="10" t="n">
        <f aca="false">IF(I243="","",I243-H243)</f>
        <v>14</v>
      </c>
      <c r="Q243" s="10" t="n">
        <f aca="false">VLOOKUP(G243,$AA$2:$AB$5,2,FALSE())</f>
        <v>30</v>
      </c>
      <c r="R243" s="7" t="n">
        <f aca="false">IF(OR(F243="Open",F243="Reopened"),1,0)</f>
        <v>0</v>
      </c>
      <c r="S243" s="7" t="n">
        <f aca="false">IF(AND(H243&gt;='Exec Summary'!$E$1,H243&lt;='Exec Summary'!$E$2),1,0)</f>
        <v>0</v>
      </c>
      <c r="T243" s="7" t="n">
        <f aca="false">IF(AND(F243="Closed",I243&lt;&gt;"",I243&gt;='Exec Summary'!$E$1,I243&lt;='Exec Summary'!$E$2),1,0)</f>
        <v>0</v>
      </c>
      <c r="U243" s="7" t="n">
        <f aca="false">IF(F243="Reopened",1,0)</f>
        <v>0</v>
      </c>
      <c r="V243" s="7" t="n">
        <f aca="false">IF(AND(R243=1,O243&gt;Q243),1,0)</f>
        <v>0</v>
      </c>
      <c r="W243" s="7" t="n">
        <f aca="false">IF(AND(T243=1,P243&lt;&gt;"",P243&lt;=Q243),1,0)</f>
        <v>0</v>
      </c>
    </row>
    <row r="244" customFormat="false" ht="15" hidden="false" customHeight="false" outlineLevel="0" collapsed="false">
      <c r="A244" s="7" t="s">
        <v>393</v>
      </c>
      <c r="B244" s="7" t="s">
        <v>46</v>
      </c>
      <c r="C244" s="7" t="s">
        <v>79</v>
      </c>
      <c r="D244" s="7" t="s">
        <v>91</v>
      </c>
      <c r="E244" s="7" t="s">
        <v>92</v>
      </c>
      <c r="F244" s="7" t="s">
        <v>50</v>
      </c>
      <c r="G244" s="7" t="s">
        <v>20</v>
      </c>
      <c r="H244" s="9" t="n">
        <v>46147</v>
      </c>
      <c r="I244" s="9" t="n">
        <v>46189</v>
      </c>
      <c r="J244" s="7" t="n">
        <v>8.1</v>
      </c>
      <c r="K244" s="7" t="s">
        <v>51</v>
      </c>
      <c r="L244" s="7" t="s">
        <v>21</v>
      </c>
      <c r="M244" s="7" t="s">
        <v>395</v>
      </c>
      <c r="N244" s="7" t="s">
        <v>53</v>
      </c>
      <c r="O244" s="10" t="n">
        <f aca="false">'Exec Summary'!$E$2-H244</f>
        <v>87</v>
      </c>
      <c r="P244" s="10" t="n">
        <f aca="false">IF(I244="","",I244-H244)</f>
        <v>42</v>
      </c>
      <c r="Q244" s="10" t="n">
        <f aca="false">VLOOKUP(G244,$AA$2:$AB$5,2,FALSE())</f>
        <v>30</v>
      </c>
      <c r="R244" s="7" t="n">
        <f aca="false">IF(OR(F244="Open",F244="Reopened"),1,0)</f>
        <v>0</v>
      </c>
      <c r="S244" s="7" t="n">
        <f aca="false">IF(AND(H244&gt;='Exec Summary'!$E$1,H244&lt;='Exec Summary'!$E$2),1,0)</f>
        <v>0</v>
      </c>
      <c r="T244" s="7" t="n">
        <f aca="false">IF(AND(F244="Closed",I244&lt;&gt;"",I244&gt;='Exec Summary'!$E$1,I244&lt;='Exec Summary'!$E$2),1,0)</f>
        <v>0</v>
      </c>
      <c r="U244" s="7" t="n">
        <f aca="false">IF(F244="Reopened",1,0)</f>
        <v>0</v>
      </c>
      <c r="V244" s="7" t="n">
        <f aca="false">IF(AND(R244=1,O244&gt;Q244),1,0)</f>
        <v>0</v>
      </c>
      <c r="W244" s="7" t="n">
        <f aca="false">IF(AND(T244=1,P244&lt;&gt;"",P244&lt;=Q244),1,0)</f>
        <v>0</v>
      </c>
    </row>
    <row r="245" customFormat="false" ht="15" hidden="false" customHeight="false" outlineLevel="0" collapsed="false">
      <c r="A245" s="7" t="s">
        <v>393</v>
      </c>
      <c r="B245" s="7" t="s">
        <v>46</v>
      </c>
      <c r="C245" s="7" t="s">
        <v>79</v>
      </c>
      <c r="D245" s="7" t="s">
        <v>98</v>
      </c>
      <c r="E245" s="7" t="s">
        <v>99</v>
      </c>
      <c r="F245" s="7" t="s">
        <v>50</v>
      </c>
      <c r="G245" s="7" t="s">
        <v>19</v>
      </c>
      <c r="H245" s="9" t="n">
        <v>45942</v>
      </c>
      <c r="I245" s="9" t="n">
        <v>45953</v>
      </c>
      <c r="J245" s="7" t="n">
        <v>10</v>
      </c>
      <c r="K245" s="7" t="s">
        <v>51</v>
      </c>
      <c r="L245" s="7" t="s">
        <v>21</v>
      </c>
      <c r="M245" s="7" t="s">
        <v>396</v>
      </c>
      <c r="N245" s="7" t="s">
        <v>58</v>
      </c>
      <c r="O245" s="10" t="n">
        <f aca="false">'Exec Summary'!$E$2-H245</f>
        <v>292</v>
      </c>
      <c r="P245" s="10" t="n">
        <f aca="false">IF(I245="","",I245-H245)</f>
        <v>11</v>
      </c>
      <c r="Q245" s="10" t="n">
        <f aca="false">VLOOKUP(G245,$AA$2:$AB$5,2,FALSE())</f>
        <v>15</v>
      </c>
      <c r="R245" s="7" t="n">
        <f aca="false">IF(OR(F245="Open",F245="Reopened"),1,0)</f>
        <v>0</v>
      </c>
      <c r="S245" s="7" t="n">
        <f aca="false">IF(AND(H245&gt;='Exec Summary'!$E$1,H245&lt;='Exec Summary'!$E$2),1,0)</f>
        <v>0</v>
      </c>
      <c r="T245" s="7" t="n">
        <f aca="false">IF(AND(F245="Closed",I245&lt;&gt;"",I245&gt;='Exec Summary'!$E$1,I245&lt;='Exec Summary'!$E$2),1,0)</f>
        <v>0</v>
      </c>
      <c r="U245" s="7" t="n">
        <f aca="false">IF(F245="Reopened",1,0)</f>
        <v>0</v>
      </c>
      <c r="V245" s="7" t="n">
        <f aca="false">IF(AND(R245=1,O245&gt;Q245),1,0)</f>
        <v>0</v>
      </c>
      <c r="W245" s="7" t="n">
        <f aca="false">IF(AND(T245=1,P245&lt;&gt;"",P245&lt;=Q245),1,0)</f>
        <v>0</v>
      </c>
    </row>
    <row r="246" customFormat="false" ht="15" hidden="false" customHeight="false" outlineLevel="0" collapsed="false">
      <c r="A246" s="7" t="s">
        <v>393</v>
      </c>
      <c r="B246" s="7" t="s">
        <v>46</v>
      </c>
      <c r="C246" s="7" t="s">
        <v>79</v>
      </c>
      <c r="D246" s="7" t="s">
        <v>117</v>
      </c>
      <c r="E246" s="7" t="s">
        <v>118</v>
      </c>
      <c r="F246" s="7" t="s">
        <v>50</v>
      </c>
      <c r="G246" s="7" t="s">
        <v>19</v>
      </c>
      <c r="H246" s="9" t="n">
        <v>46003</v>
      </c>
      <c r="I246" s="9" t="n">
        <v>46009</v>
      </c>
      <c r="J246" s="7" t="n">
        <v>10</v>
      </c>
      <c r="K246" s="7" t="s">
        <v>51</v>
      </c>
      <c r="L246" s="7" t="s">
        <v>21</v>
      </c>
      <c r="M246" s="7" t="s">
        <v>397</v>
      </c>
      <c r="N246" s="7" t="s">
        <v>58</v>
      </c>
      <c r="O246" s="10" t="n">
        <f aca="false">'Exec Summary'!$E$2-H246</f>
        <v>231</v>
      </c>
      <c r="P246" s="10" t="n">
        <f aca="false">IF(I246="","",I246-H246)</f>
        <v>6</v>
      </c>
      <c r="Q246" s="10" t="n">
        <f aca="false">VLOOKUP(G246,$AA$2:$AB$5,2,FALSE())</f>
        <v>15</v>
      </c>
      <c r="R246" s="7" t="n">
        <f aca="false">IF(OR(F246="Open",F246="Reopened"),1,0)</f>
        <v>0</v>
      </c>
      <c r="S246" s="7" t="n">
        <f aca="false">IF(AND(H246&gt;='Exec Summary'!$E$1,H246&lt;='Exec Summary'!$E$2),1,0)</f>
        <v>0</v>
      </c>
      <c r="T246" s="7" t="n">
        <f aca="false">IF(AND(F246="Closed",I246&lt;&gt;"",I246&gt;='Exec Summary'!$E$1,I246&lt;='Exec Summary'!$E$2),1,0)</f>
        <v>0</v>
      </c>
      <c r="U246" s="7" t="n">
        <f aca="false">IF(F246="Reopened",1,0)</f>
        <v>0</v>
      </c>
      <c r="V246" s="7" t="n">
        <f aca="false">IF(AND(R246=1,O246&gt;Q246),1,0)</f>
        <v>0</v>
      </c>
      <c r="W246" s="7" t="n">
        <f aca="false">IF(AND(T246=1,P246&lt;&gt;"",P246&lt;=Q246),1,0)</f>
        <v>0</v>
      </c>
    </row>
    <row r="247" customFormat="false" ht="15" hidden="false" customHeight="false" outlineLevel="0" collapsed="false">
      <c r="A247" s="7" t="s">
        <v>393</v>
      </c>
      <c r="B247" s="7" t="s">
        <v>46</v>
      </c>
      <c r="C247" s="7" t="s">
        <v>79</v>
      </c>
      <c r="D247" s="7" t="s">
        <v>48</v>
      </c>
      <c r="E247" s="7" t="s">
        <v>49</v>
      </c>
      <c r="F247" s="7" t="s">
        <v>50</v>
      </c>
      <c r="G247" s="7" t="s">
        <v>20</v>
      </c>
      <c r="H247" s="9" t="n">
        <v>46026</v>
      </c>
      <c r="I247" s="9" t="n">
        <v>46037</v>
      </c>
      <c r="J247" s="7" t="n">
        <v>7.5</v>
      </c>
      <c r="K247" s="7" t="s">
        <v>51</v>
      </c>
      <c r="L247" s="7" t="s">
        <v>21</v>
      </c>
      <c r="M247" s="7" t="s">
        <v>398</v>
      </c>
      <c r="N247" s="7" t="s">
        <v>53</v>
      </c>
      <c r="O247" s="10" t="n">
        <f aca="false">'Exec Summary'!$E$2-H247</f>
        <v>208</v>
      </c>
      <c r="P247" s="10" t="n">
        <f aca="false">IF(I247="","",I247-H247)</f>
        <v>11</v>
      </c>
      <c r="Q247" s="10" t="n">
        <f aca="false">VLOOKUP(G247,$AA$2:$AB$5,2,FALSE())</f>
        <v>30</v>
      </c>
      <c r="R247" s="7" t="n">
        <f aca="false">IF(OR(F247="Open",F247="Reopened"),1,0)</f>
        <v>0</v>
      </c>
      <c r="S247" s="7" t="n">
        <f aca="false">IF(AND(H247&gt;='Exec Summary'!$E$1,H247&lt;='Exec Summary'!$E$2),1,0)</f>
        <v>0</v>
      </c>
      <c r="T247" s="7" t="n">
        <f aca="false">IF(AND(F247="Closed",I247&lt;&gt;"",I247&gt;='Exec Summary'!$E$1,I247&lt;='Exec Summary'!$E$2),1,0)</f>
        <v>0</v>
      </c>
      <c r="U247" s="7" t="n">
        <f aca="false">IF(F247="Reopened",1,0)</f>
        <v>0</v>
      </c>
      <c r="V247" s="7" t="n">
        <f aca="false">IF(AND(R247=1,O247&gt;Q247),1,0)</f>
        <v>0</v>
      </c>
      <c r="W247" s="7" t="n">
        <f aca="false">IF(AND(T247=1,P247&lt;&gt;"",P247&lt;=Q247),1,0)</f>
        <v>0</v>
      </c>
    </row>
    <row r="248" customFormat="false" ht="15" hidden="false" customHeight="false" outlineLevel="0" collapsed="false">
      <c r="A248" s="7" t="s">
        <v>393</v>
      </c>
      <c r="B248" s="7" t="s">
        <v>46</v>
      </c>
      <c r="C248" s="7" t="s">
        <v>79</v>
      </c>
      <c r="D248" s="7" t="s">
        <v>139</v>
      </c>
      <c r="E248" s="7" t="s">
        <v>140</v>
      </c>
      <c r="F248" s="7" t="s">
        <v>50</v>
      </c>
      <c r="G248" s="7" t="s">
        <v>19</v>
      </c>
      <c r="H248" s="9" t="n">
        <v>46130</v>
      </c>
      <c r="I248" s="9" t="n">
        <v>46144</v>
      </c>
      <c r="J248" s="7" t="n">
        <v>9.8</v>
      </c>
      <c r="K248" s="7" t="s">
        <v>51</v>
      </c>
      <c r="L248" s="7" t="s">
        <v>21</v>
      </c>
      <c r="M248" s="7" t="s">
        <v>399</v>
      </c>
      <c r="N248" s="7" t="s">
        <v>58</v>
      </c>
      <c r="O248" s="10" t="n">
        <f aca="false">'Exec Summary'!$E$2-H248</f>
        <v>104</v>
      </c>
      <c r="P248" s="10" t="n">
        <f aca="false">IF(I248="","",I248-H248)</f>
        <v>14</v>
      </c>
      <c r="Q248" s="10" t="n">
        <f aca="false">VLOOKUP(G248,$AA$2:$AB$5,2,FALSE())</f>
        <v>15</v>
      </c>
      <c r="R248" s="7" t="n">
        <f aca="false">IF(OR(F248="Open",F248="Reopened"),1,0)</f>
        <v>0</v>
      </c>
      <c r="S248" s="7" t="n">
        <f aca="false">IF(AND(H248&gt;='Exec Summary'!$E$1,H248&lt;='Exec Summary'!$E$2),1,0)</f>
        <v>0</v>
      </c>
      <c r="T248" s="7" t="n">
        <f aca="false">IF(AND(F248="Closed",I248&lt;&gt;"",I248&gt;='Exec Summary'!$E$1,I248&lt;='Exec Summary'!$E$2),1,0)</f>
        <v>0</v>
      </c>
      <c r="U248" s="7" t="n">
        <f aca="false">IF(F248="Reopened",1,0)</f>
        <v>0</v>
      </c>
      <c r="V248" s="7" t="n">
        <f aca="false">IF(AND(R248=1,O248&gt;Q248),1,0)</f>
        <v>0</v>
      </c>
      <c r="W248" s="7" t="n">
        <f aca="false">IF(AND(T248=1,P248&lt;&gt;"",P248&lt;=Q248),1,0)</f>
        <v>0</v>
      </c>
    </row>
    <row r="249" customFormat="false" ht="15" hidden="false" customHeight="false" outlineLevel="0" collapsed="false">
      <c r="A249" s="7" t="s">
        <v>393</v>
      </c>
      <c r="B249" s="7" t="s">
        <v>46</v>
      </c>
      <c r="C249" s="7" t="s">
        <v>79</v>
      </c>
      <c r="D249" s="7" t="s">
        <v>68</v>
      </c>
      <c r="E249" s="7" t="s">
        <v>69</v>
      </c>
      <c r="F249" s="7" t="s">
        <v>50</v>
      </c>
      <c r="G249" s="7" t="s">
        <v>19</v>
      </c>
      <c r="H249" s="9" t="n">
        <v>46190</v>
      </c>
      <c r="I249" s="9" t="n">
        <v>46209</v>
      </c>
      <c r="J249" s="7" t="n">
        <v>9.8</v>
      </c>
      <c r="K249" s="7" t="s">
        <v>51</v>
      </c>
      <c r="L249" s="7" t="s">
        <v>21</v>
      </c>
      <c r="M249" s="7" t="s">
        <v>400</v>
      </c>
      <c r="N249" s="7" t="s">
        <v>58</v>
      </c>
      <c r="O249" s="10" t="n">
        <f aca="false">'Exec Summary'!$E$2-H249</f>
        <v>44</v>
      </c>
      <c r="P249" s="10" t="n">
        <f aca="false">IF(I249="","",I249-H249)</f>
        <v>19</v>
      </c>
      <c r="Q249" s="10" t="n">
        <f aca="false">VLOOKUP(G249,$AA$2:$AB$5,2,FALSE())</f>
        <v>15</v>
      </c>
      <c r="R249" s="7" t="n">
        <f aca="false">IF(OR(F249="Open",F249="Reopened"),1,0)</f>
        <v>0</v>
      </c>
      <c r="S249" s="7" t="n">
        <f aca="false">IF(AND(H249&gt;='Exec Summary'!$E$1,H249&lt;='Exec Summary'!$E$2),1,0)</f>
        <v>0</v>
      </c>
      <c r="T249" s="7" t="n">
        <f aca="false">IF(AND(F249="Closed",I249&lt;&gt;"",I249&gt;='Exec Summary'!$E$1,I249&lt;='Exec Summary'!$E$2),1,0)</f>
        <v>1</v>
      </c>
      <c r="U249" s="7" t="n">
        <f aca="false">IF(F249="Reopened",1,0)</f>
        <v>0</v>
      </c>
      <c r="V249" s="7" t="n">
        <f aca="false">IF(AND(R249=1,O249&gt;Q249),1,0)</f>
        <v>0</v>
      </c>
      <c r="W249" s="7" t="n">
        <f aca="false">IF(AND(T249=1,P249&lt;&gt;"",P249&lt;=Q249),1,0)</f>
        <v>0</v>
      </c>
    </row>
    <row r="250" customFormat="false" ht="15" hidden="false" customHeight="false" outlineLevel="0" collapsed="false">
      <c r="A250" s="7" t="s">
        <v>401</v>
      </c>
      <c r="B250" s="7" t="s">
        <v>46</v>
      </c>
      <c r="C250" s="7" t="s">
        <v>158</v>
      </c>
      <c r="D250" s="7" t="s">
        <v>139</v>
      </c>
      <c r="E250" s="7" t="s">
        <v>140</v>
      </c>
      <c r="F250" s="7" t="s">
        <v>50</v>
      </c>
      <c r="G250" s="7" t="s">
        <v>19</v>
      </c>
      <c r="H250" s="9" t="n">
        <v>45974</v>
      </c>
      <c r="I250" s="9" t="n">
        <v>45981</v>
      </c>
      <c r="J250" s="7" t="n">
        <v>9.8</v>
      </c>
      <c r="K250" s="7" t="s">
        <v>51</v>
      </c>
      <c r="L250" s="7" t="s">
        <v>21</v>
      </c>
      <c r="M250" s="7" t="s">
        <v>402</v>
      </c>
      <c r="N250" s="7" t="s">
        <v>58</v>
      </c>
      <c r="O250" s="10" t="n">
        <f aca="false">'Exec Summary'!$E$2-H250</f>
        <v>260</v>
      </c>
      <c r="P250" s="10" t="n">
        <f aca="false">IF(I250="","",I250-H250)</f>
        <v>7</v>
      </c>
      <c r="Q250" s="10" t="n">
        <f aca="false">VLOOKUP(G250,$AA$2:$AB$5,2,FALSE())</f>
        <v>15</v>
      </c>
      <c r="R250" s="7" t="n">
        <f aca="false">IF(OR(F250="Open",F250="Reopened"),1,0)</f>
        <v>0</v>
      </c>
      <c r="S250" s="7" t="n">
        <f aca="false">IF(AND(H250&gt;='Exec Summary'!$E$1,H250&lt;='Exec Summary'!$E$2),1,0)</f>
        <v>0</v>
      </c>
      <c r="T250" s="7" t="n">
        <f aca="false">IF(AND(F250="Closed",I250&lt;&gt;"",I250&gt;='Exec Summary'!$E$1,I250&lt;='Exec Summary'!$E$2),1,0)</f>
        <v>0</v>
      </c>
      <c r="U250" s="7" t="n">
        <f aca="false">IF(F250="Reopened",1,0)</f>
        <v>0</v>
      </c>
      <c r="V250" s="7" t="n">
        <f aca="false">IF(AND(R250=1,O250&gt;Q250),1,0)</f>
        <v>0</v>
      </c>
      <c r="W250" s="7" t="n">
        <f aca="false">IF(AND(T250=1,P250&lt;&gt;"",P250&lt;=Q250),1,0)</f>
        <v>0</v>
      </c>
    </row>
    <row r="251" customFormat="false" ht="15" hidden="false" customHeight="false" outlineLevel="0" collapsed="false">
      <c r="A251" s="7" t="s">
        <v>401</v>
      </c>
      <c r="B251" s="7" t="s">
        <v>46</v>
      </c>
      <c r="C251" s="7" t="s">
        <v>158</v>
      </c>
      <c r="D251" s="7" t="s">
        <v>173</v>
      </c>
      <c r="E251" s="7" t="s">
        <v>174</v>
      </c>
      <c r="F251" s="7" t="s">
        <v>56</v>
      </c>
      <c r="G251" s="7" t="s">
        <v>19</v>
      </c>
      <c r="H251" s="9" t="n">
        <v>46210</v>
      </c>
      <c r="I251" s="9"/>
      <c r="J251" s="7" t="n">
        <v>9.8</v>
      </c>
      <c r="K251" s="7" t="s">
        <v>51</v>
      </c>
      <c r="L251" s="7" t="s">
        <v>21</v>
      </c>
      <c r="M251" s="7" t="s">
        <v>403</v>
      </c>
      <c r="N251" s="7" t="s">
        <v>58</v>
      </c>
      <c r="O251" s="10" t="n">
        <f aca="false">'Exec Summary'!$E$2-H251</f>
        <v>24</v>
      </c>
      <c r="P251" s="10" t="str">
        <f aca="false">IF(I251="","",I251-H251)</f>
        <v/>
      </c>
      <c r="Q251" s="10" t="n">
        <f aca="false">VLOOKUP(G251,$AA$2:$AB$5,2,FALSE())</f>
        <v>15</v>
      </c>
      <c r="R251" s="7" t="n">
        <f aca="false">IF(OR(F251="Open",F251="Reopened"),1,0)</f>
        <v>1</v>
      </c>
      <c r="S251" s="7" t="n">
        <f aca="false">IF(AND(H251&gt;='Exec Summary'!$E$1,H251&lt;='Exec Summary'!$E$2),1,0)</f>
        <v>1</v>
      </c>
      <c r="T251" s="7" t="n">
        <f aca="false">IF(AND(F251="Closed",I251&lt;&gt;"",I251&gt;='Exec Summary'!$E$1,I251&lt;='Exec Summary'!$E$2),1,0)</f>
        <v>0</v>
      </c>
      <c r="U251" s="7" t="n">
        <f aca="false">IF(F251="Reopened",1,0)</f>
        <v>0</v>
      </c>
      <c r="V251" s="7" t="n">
        <f aca="false">IF(AND(R251=1,O251&gt;Q251),1,0)</f>
        <v>1</v>
      </c>
      <c r="W251" s="7" t="n">
        <f aca="false">IF(AND(T251=1,P251&lt;&gt;"",P251&lt;=Q251),1,0)</f>
        <v>0</v>
      </c>
    </row>
    <row r="252" customFormat="false" ht="15" hidden="false" customHeight="false" outlineLevel="0" collapsed="false">
      <c r="A252" s="7" t="s">
        <v>401</v>
      </c>
      <c r="B252" s="7" t="s">
        <v>46</v>
      </c>
      <c r="C252" s="7" t="s">
        <v>158</v>
      </c>
      <c r="D252" s="7" t="s">
        <v>84</v>
      </c>
      <c r="E252" s="7" t="s">
        <v>85</v>
      </c>
      <c r="F252" s="7" t="s">
        <v>56</v>
      </c>
      <c r="G252" s="7" t="s">
        <v>20</v>
      </c>
      <c r="H252" s="9" t="n">
        <v>45961</v>
      </c>
      <c r="I252" s="9"/>
      <c r="J252" s="7" t="n">
        <v>7.5</v>
      </c>
      <c r="K252" s="7" t="s">
        <v>51</v>
      </c>
      <c r="L252" s="7" t="s">
        <v>21</v>
      </c>
      <c r="M252" s="7" t="s">
        <v>404</v>
      </c>
      <c r="N252" s="7" t="s">
        <v>53</v>
      </c>
      <c r="O252" s="10" t="n">
        <f aca="false">'Exec Summary'!$E$2-H252</f>
        <v>273</v>
      </c>
      <c r="P252" s="10" t="str">
        <f aca="false">IF(I252="","",I252-H252)</f>
        <v/>
      </c>
      <c r="Q252" s="10" t="n">
        <f aca="false">VLOOKUP(G252,$AA$2:$AB$5,2,FALSE())</f>
        <v>30</v>
      </c>
      <c r="R252" s="7" t="n">
        <f aca="false">IF(OR(F252="Open",F252="Reopened"),1,0)</f>
        <v>1</v>
      </c>
      <c r="S252" s="7" t="n">
        <f aca="false">IF(AND(H252&gt;='Exec Summary'!$E$1,H252&lt;='Exec Summary'!$E$2),1,0)</f>
        <v>0</v>
      </c>
      <c r="T252" s="7" t="n">
        <f aca="false">IF(AND(F252="Closed",I252&lt;&gt;"",I252&gt;='Exec Summary'!$E$1,I252&lt;='Exec Summary'!$E$2),1,0)</f>
        <v>0</v>
      </c>
      <c r="U252" s="7" t="n">
        <f aca="false">IF(F252="Reopened",1,0)</f>
        <v>0</v>
      </c>
      <c r="V252" s="7" t="n">
        <f aca="false">IF(AND(R252=1,O252&gt;Q252),1,0)</f>
        <v>1</v>
      </c>
      <c r="W252" s="7" t="n">
        <f aca="false">IF(AND(T252=1,P252&lt;&gt;"",P252&lt;=Q252),1,0)</f>
        <v>0</v>
      </c>
    </row>
    <row r="253" customFormat="false" ht="15" hidden="false" customHeight="false" outlineLevel="0" collapsed="false">
      <c r="A253" s="7" t="s">
        <v>401</v>
      </c>
      <c r="B253" s="7" t="s">
        <v>46</v>
      </c>
      <c r="C253" s="7" t="s">
        <v>158</v>
      </c>
      <c r="D253" s="7" t="s">
        <v>68</v>
      </c>
      <c r="E253" s="7" t="s">
        <v>69</v>
      </c>
      <c r="F253" s="7" t="s">
        <v>50</v>
      </c>
      <c r="G253" s="7" t="s">
        <v>19</v>
      </c>
      <c r="H253" s="9" t="n">
        <v>45939</v>
      </c>
      <c r="I253" s="9" t="n">
        <v>45947</v>
      </c>
      <c r="J253" s="7" t="n">
        <v>9.8</v>
      </c>
      <c r="K253" s="7" t="s">
        <v>51</v>
      </c>
      <c r="L253" s="7" t="s">
        <v>21</v>
      </c>
      <c r="M253" s="7" t="s">
        <v>405</v>
      </c>
      <c r="N253" s="7" t="s">
        <v>58</v>
      </c>
      <c r="O253" s="10" t="n">
        <f aca="false">'Exec Summary'!$E$2-H253</f>
        <v>295</v>
      </c>
      <c r="P253" s="10" t="n">
        <f aca="false">IF(I253="","",I253-H253)</f>
        <v>8</v>
      </c>
      <c r="Q253" s="10" t="n">
        <f aca="false">VLOOKUP(G253,$AA$2:$AB$5,2,FALSE())</f>
        <v>15</v>
      </c>
      <c r="R253" s="7" t="n">
        <f aca="false">IF(OR(F253="Open",F253="Reopened"),1,0)</f>
        <v>0</v>
      </c>
      <c r="S253" s="7" t="n">
        <f aca="false">IF(AND(H253&gt;='Exec Summary'!$E$1,H253&lt;='Exec Summary'!$E$2),1,0)</f>
        <v>0</v>
      </c>
      <c r="T253" s="7" t="n">
        <f aca="false">IF(AND(F253="Closed",I253&lt;&gt;"",I253&gt;='Exec Summary'!$E$1,I253&lt;='Exec Summary'!$E$2),1,0)</f>
        <v>0</v>
      </c>
      <c r="U253" s="7" t="n">
        <f aca="false">IF(F253="Reopened",1,0)</f>
        <v>0</v>
      </c>
      <c r="V253" s="7" t="n">
        <f aca="false">IF(AND(R253=1,O253&gt;Q253),1,0)</f>
        <v>0</v>
      </c>
      <c r="W253" s="7" t="n">
        <f aca="false">IF(AND(T253=1,P253&lt;&gt;"",P253&lt;=Q253),1,0)</f>
        <v>0</v>
      </c>
    </row>
    <row r="254" customFormat="false" ht="15" hidden="false" customHeight="false" outlineLevel="0" collapsed="false">
      <c r="A254" s="7" t="s">
        <v>401</v>
      </c>
      <c r="B254" s="7" t="s">
        <v>46</v>
      </c>
      <c r="C254" s="7" t="s">
        <v>158</v>
      </c>
      <c r="D254" s="7" t="s">
        <v>206</v>
      </c>
      <c r="E254" s="7" t="s">
        <v>207</v>
      </c>
      <c r="F254" s="7" t="s">
        <v>50</v>
      </c>
      <c r="G254" s="7" t="s">
        <v>20</v>
      </c>
      <c r="H254" s="9" t="n">
        <v>46103</v>
      </c>
      <c r="I254" s="9" t="n">
        <v>46148</v>
      </c>
      <c r="J254" s="7" t="n">
        <v>8.8</v>
      </c>
      <c r="K254" s="7" t="s">
        <v>51</v>
      </c>
      <c r="L254" s="7" t="s">
        <v>21</v>
      </c>
      <c r="M254" s="7" t="s">
        <v>406</v>
      </c>
      <c r="N254" s="7" t="s">
        <v>53</v>
      </c>
      <c r="O254" s="10" t="n">
        <f aca="false">'Exec Summary'!$E$2-H254</f>
        <v>131</v>
      </c>
      <c r="P254" s="10" t="n">
        <f aca="false">IF(I254="","",I254-H254)</f>
        <v>45</v>
      </c>
      <c r="Q254" s="10" t="n">
        <f aca="false">VLOOKUP(G254,$AA$2:$AB$5,2,FALSE())</f>
        <v>30</v>
      </c>
      <c r="R254" s="7" t="n">
        <f aca="false">IF(OR(F254="Open",F254="Reopened"),1,0)</f>
        <v>0</v>
      </c>
      <c r="S254" s="7" t="n">
        <f aca="false">IF(AND(H254&gt;='Exec Summary'!$E$1,H254&lt;='Exec Summary'!$E$2),1,0)</f>
        <v>0</v>
      </c>
      <c r="T254" s="7" t="n">
        <f aca="false">IF(AND(F254="Closed",I254&lt;&gt;"",I254&gt;='Exec Summary'!$E$1,I254&lt;='Exec Summary'!$E$2),1,0)</f>
        <v>0</v>
      </c>
      <c r="U254" s="7" t="n">
        <f aca="false">IF(F254="Reopened",1,0)</f>
        <v>0</v>
      </c>
      <c r="V254" s="7" t="n">
        <f aca="false">IF(AND(R254=1,O254&gt;Q254),1,0)</f>
        <v>0</v>
      </c>
      <c r="W254" s="7" t="n">
        <f aca="false">IF(AND(T254=1,P254&lt;&gt;"",P254&lt;=Q254),1,0)</f>
        <v>0</v>
      </c>
    </row>
    <row r="255" customFormat="false" ht="15" hidden="false" customHeight="false" outlineLevel="0" collapsed="false">
      <c r="A255" s="7" t="s">
        <v>401</v>
      </c>
      <c r="B255" s="7" t="s">
        <v>46</v>
      </c>
      <c r="C255" s="7" t="s">
        <v>158</v>
      </c>
      <c r="D255" s="7" t="s">
        <v>120</v>
      </c>
      <c r="E255" s="7" t="s">
        <v>121</v>
      </c>
      <c r="F255" s="7" t="s">
        <v>56</v>
      </c>
      <c r="G255" s="7" t="s">
        <v>19</v>
      </c>
      <c r="H255" s="9" t="n">
        <v>46089</v>
      </c>
      <c r="I255" s="9"/>
      <c r="J255" s="7" t="n">
        <v>8.8</v>
      </c>
      <c r="K255" s="7" t="s">
        <v>51</v>
      </c>
      <c r="L255" s="7" t="s">
        <v>21</v>
      </c>
      <c r="M255" s="7" t="s">
        <v>407</v>
      </c>
      <c r="N255" s="7" t="s">
        <v>58</v>
      </c>
      <c r="O255" s="10" t="n">
        <f aca="false">'Exec Summary'!$E$2-H255</f>
        <v>145</v>
      </c>
      <c r="P255" s="10" t="str">
        <f aca="false">IF(I255="","",I255-H255)</f>
        <v/>
      </c>
      <c r="Q255" s="10" t="n">
        <f aca="false">VLOOKUP(G255,$AA$2:$AB$5,2,FALSE())</f>
        <v>15</v>
      </c>
      <c r="R255" s="7" t="n">
        <f aca="false">IF(OR(F255="Open",F255="Reopened"),1,0)</f>
        <v>1</v>
      </c>
      <c r="S255" s="7" t="n">
        <f aca="false">IF(AND(H255&gt;='Exec Summary'!$E$1,H255&lt;='Exec Summary'!$E$2),1,0)</f>
        <v>0</v>
      </c>
      <c r="T255" s="7" t="n">
        <f aca="false">IF(AND(F255="Closed",I255&lt;&gt;"",I255&gt;='Exec Summary'!$E$1,I255&lt;='Exec Summary'!$E$2),1,0)</f>
        <v>0</v>
      </c>
      <c r="U255" s="7" t="n">
        <f aca="false">IF(F255="Reopened",1,0)</f>
        <v>0</v>
      </c>
      <c r="V255" s="7" t="n">
        <f aca="false">IF(AND(R255=1,O255&gt;Q255),1,0)</f>
        <v>1</v>
      </c>
      <c r="W255" s="7" t="n">
        <f aca="false">IF(AND(T255=1,P255&lt;&gt;"",P255&lt;=Q255),1,0)</f>
        <v>0</v>
      </c>
    </row>
    <row r="256" customFormat="false" ht="15" hidden="false" customHeight="false" outlineLevel="0" collapsed="false">
      <c r="A256" s="7" t="s">
        <v>401</v>
      </c>
      <c r="B256" s="7" t="s">
        <v>46</v>
      </c>
      <c r="C256" s="7" t="s">
        <v>158</v>
      </c>
      <c r="D256" s="7" t="s">
        <v>108</v>
      </c>
      <c r="E256" s="7" t="s">
        <v>109</v>
      </c>
      <c r="F256" s="7" t="s">
        <v>56</v>
      </c>
      <c r="G256" s="7" t="s">
        <v>20</v>
      </c>
      <c r="H256" s="9" t="n">
        <v>45965</v>
      </c>
      <c r="I256" s="9"/>
      <c r="J256" s="7" t="n">
        <v>8.6</v>
      </c>
      <c r="K256" s="7" t="s">
        <v>51</v>
      </c>
      <c r="L256" s="7" t="s">
        <v>21</v>
      </c>
      <c r="M256" s="7" t="s">
        <v>408</v>
      </c>
      <c r="N256" s="7" t="s">
        <v>53</v>
      </c>
      <c r="O256" s="10" t="n">
        <f aca="false">'Exec Summary'!$E$2-H256</f>
        <v>269</v>
      </c>
      <c r="P256" s="10" t="str">
        <f aca="false">IF(I256="","",I256-H256)</f>
        <v/>
      </c>
      <c r="Q256" s="10" t="n">
        <f aca="false">VLOOKUP(G256,$AA$2:$AB$5,2,FALSE())</f>
        <v>30</v>
      </c>
      <c r="R256" s="7" t="n">
        <f aca="false">IF(OR(F256="Open",F256="Reopened"),1,0)</f>
        <v>1</v>
      </c>
      <c r="S256" s="7" t="n">
        <f aca="false">IF(AND(H256&gt;='Exec Summary'!$E$1,H256&lt;='Exec Summary'!$E$2),1,0)</f>
        <v>0</v>
      </c>
      <c r="T256" s="7" t="n">
        <f aca="false">IF(AND(F256="Closed",I256&lt;&gt;"",I256&gt;='Exec Summary'!$E$1,I256&lt;='Exec Summary'!$E$2),1,0)</f>
        <v>0</v>
      </c>
      <c r="U256" s="7" t="n">
        <f aca="false">IF(F256="Reopened",1,0)</f>
        <v>0</v>
      </c>
      <c r="V256" s="7" t="n">
        <f aca="false">IF(AND(R256=1,O256&gt;Q256),1,0)</f>
        <v>1</v>
      </c>
      <c r="W256" s="7" t="n">
        <f aca="false">IF(AND(T256=1,P256&lt;&gt;"",P256&lt;=Q256),1,0)</f>
        <v>0</v>
      </c>
    </row>
    <row r="257" customFormat="false" ht="15" hidden="false" customHeight="false" outlineLevel="0" collapsed="false">
      <c r="A257" s="7" t="s">
        <v>401</v>
      </c>
      <c r="B257" s="7" t="s">
        <v>46</v>
      </c>
      <c r="C257" s="7" t="s">
        <v>158</v>
      </c>
      <c r="D257" s="7" t="s">
        <v>95</v>
      </c>
      <c r="E257" s="7" t="s">
        <v>96</v>
      </c>
      <c r="F257" s="7" t="s">
        <v>56</v>
      </c>
      <c r="G257" s="7" t="s">
        <v>20</v>
      </c>
      <c r="H257" s="9" t="n">
        <v>45960</v>
      </c>
      <c r="I257" s="9"/>
      <c r="J257" s="7" t="n">
        <v>8.8</v>
      </c>
      <c r="K257" s="7" t="s">
        <v>51</v>
      </c>
      <c r="L257" s="7" t="s">
        <v>21</v>
      </c>
      <c r="M257" s="7" t="s">
        <v>409</v>
      </c>
      <c r="N257" s="7" t="s">
        <v>53</v>
      </c>
      <c r="O257" s="10" t="n">
        <f aca="false">'Exec Summary'!$E$2-H257</f>
        <v>274</v>
      </c>
      <c r="P257" s="10" t="str">
        <f aca="false">IF(I257="","",I257-H257)</f>
        <v/>
      </c>
      <c r="Q257" s="10" t="n">
        <f aca="false">VLOOKUP(G257,$AA$2:$AB$5,2,FALSE())</f>
        <v>30</v>
      </c>
      <c r="R257" s="7" t="n">
        <f aca="false">IF(OR(F257="Open",F257="Reopened"),1,0)</f>
        <v>1</v>
      </c>
      <c r="S257" s="7" t="n">
        <f aca="false">IF(AND(H257&gt;='Exec Summary'!$E$1,H257&lt;='Exec Summary'!$E$2),1,0)</f>
        <v>0</v>
      </c>
      <c r="T257" s="7" t="n">
        <f aca="false">IF(AND(F257="Closed",I257&lt;&gt;"",I257&gt;='Exec Summary'!$E$1,I257&lt;='Exec Summary'!$E$2),1,0)</f>
        <v>0</v>
      </c>
      <c r="U257" s="7" t="n">
        <f aca="false">IF(F257="Reopened",1,0)</f>
        <v>0</v>
      </c>
      <c r="V257" s="7" t="n">
        <f aca="false">IF(AND(R257=1,O257&gt;Q257),1,0)</f>
        <v>1</v>
      </c>
      <c r="W257" s="7" t="n">
        <f aca="false">IF(AND(T257=1,P257&lt;&gt;"",P257&lt;=Q257),1,0)</f>
        <v>0</v>
      </c>
    </row>
    <row r="258" customFormat="false" ht="15" hidden="false" customHeight="false" outlineLevel="0" collapsed="false">
      <c r="A258" s="7" t="s">
        <v>401</v>
      </c>
      <c r="B258" s="7" t="s">
        <v>46</v>
      </c>
      <c r="C258" s="7" t="s">
        <v>158</v>
      </c>
      <c r="D258" s="7" t="s">
        <v>112</v>
      </c>
      <c r="E258" s="7" t="s">
        <v>113</v>
      </c>
      <c r="F258" s="7" t="s">
        <v>123</v>
      </c>
      <c r="G258" s="7" t="s">
        <v>20</v>
      </c>
      <c r="H258" s="9" t="n">
        <v>45947</v>
      </c>
      <c r="I258" s="9" t="n">
        <v>45963</v>
      </c>
      <c r="J258" s="7" t="n">
        <v>7.8</v>
      </c>
      <c r="K258" s="7" t="s">
        <v>51</v>
      </c>
      <c r="L258" s="7" t="s">
        <v>21</v>
      </c>
      <c r="M258" s="7" t="s">
        <v>410</v>
      </c>
      <c r="N258" s="7" t="s">
        <v>53</v>
      </c>
      <c r="O258" s="10" t="n">
        <f aca="false">'Exec Summary'!$E$2-H258</f>
        <v>287</v>
      </c>
      <c r="P258" s="10" t="n">
        <f aca="false">IF(I258="","",I258-H258)</f>
        <v>16</v>
      </c>
      <c r="Q258" s="10" t="n">
        <f aca="false">VLOOKUP(G258,$AA$2:$AB$5,2,FALSE())</f>
        <v>30</v>
      </c>
      <c r="R258" s="7" t="n">
        <f aca="false">IF(OR(F258="Open",F258="Reopened"),1,0)</f>
        <v>1</v>
      </c>
      <c r="S258" s="7" t="n">
        <f aca="false">IF(AND(H258&gt;='Exec Summary'!$E$1,H258&lt;='Exec Summary'!$E$2),1,0)</f>
        <v>0</v>
      </c>
      <c r="T258" s="7" t="n">
        <f aca="false">IF(AND(F258="Closed",I258&lt;&gt;"",I258&gt;='Exec Summary'!$E$1,I258&lt;='Exec Summary'!$E$2),1,0)</f>
        <v>0</v>
      </c>
      <c r="U258" s="7" t="n">
        <f aca="false">IF(F258="Reopened",1,0)</f>
        <v>1</v>
      </c>
      <c r="V258" s="7" t="n">
        <f aca="false">IF(AND(R258=1,O258&gt;Q258),1,0)</f>
        <v>1</v>
      </c>
      <c r="W258" s="7" t="n">
        <f aca="false">IF(AND(T258=1,P258&lt;&gt;"",P258&lt;=Q258),1,0)</f>
        <v>0</v>
      </c>
    </row>
    <row r="259" customFormat="false" ht="15" hidden="false" customHeight="false" outlineLevel="0" collapsed="false">
      <c r="A259" s="7" t="s">
        <v>401</v>
      </c>
      <c r="B259" s="7" t="s">
        <v>46</v>
      </c>
      <c r="C259" s="7" t="s">
        <v>158</v>
      </c>
      <c r="D259" s="7" t="s">
        <v>152</v>
      </c>
      <c r="E259" s="7" t="s">
        <v>153</v>
      </c>
      <c r="F259" s="7" t="s">
        <v>56</v>
      </c>
      <c r="G259" s="7" t="s">
        <v>20</v>
      </c>
      <c r="H259" s="9" t="n">
        <v>45973</v>
      </c>
      <c r="I259" s="9"/>
      <c r="J259" s="7" t="n">
        <v>7.5</v>
      </c>
      <c r="K259" s="7" t="s">
        <v>51</v>
      </c>
      <c r="L259" s="7" t="s">
        <v>21</v>
      </c>
      <c r="M259" s="7" t="s">
        <v>411</v>
      </c>
      <c r="N259" s="7" t="s">
        <v>53</v>
      </c>
      <c r="O259" s="10" t="n">
        <f aca="false">'Exec Summary'!$E$2-H259</f>
        <v>261</v>
      </c>
      <c r="P259" s="10" t="str">
        <f aca="false">IF(I259="","",I259-H259)</f>
        <v/>
      </c>
      <c r="Q259" s="10" t="n">
        <f aca="false">VLOOKUP(G259,$AA$2:$AB$5,2,FALSE())</f>
        <v>30</v>
      </c>
      <c r="R259" s="7" t="n">
        <f aca="false">IF(OR(F259="Open",F259="Reopened"),1,0)</f>
        <v>1</v>
      </c>
      <c r="S259" s="7" t="n">
        <f aca="false">IF(AND(H259&gt;='Exec Summary'!$E$1,H259&lt;='Exec Summary'!$E$2),1,0)</f>
        <v>0</v>
      </c>
      <c r="T259" s="7" t="n">
        <f aca="false">IF(AND(F259="Closed",I259&lt;&gt;"",I259&gt;='Exec Summary'!$E$1,I259&lt;='Exec Summary'!$E$2),1,0)</f>
        <v>0</v>
      </c>
      <c r="U259" s="7" t="n">
        <f aca="false">IF(F259="Reopened",1,0)</f>
        <v>0</v>
      </c>
      <c r="V259" s="7" t="n">
        <f aca="false">IF(AND(R259=1,O259&gt;Q259),1,0)</f>
        <v>1</v>
      </c>
      <c r="W259" s="7" t="n">
        <f aca="false">IF(AND(T259=1,P259&lt;&gt;"",P259&lt;=Q259),1,0)</f>
        <v>0</v>
      </c>
    </row>
    <row r="260" customFormat="false" ht="15" hidden="false" customHeight="false" outlineLevel="0" collapsed="false">
      <c r="A260" s="7" t="s">
        <v>412</v>
      </c>
      <c r="B260" s="7" t="s">
        <v>46</v>
      </c>
      <c r="C260" s="7" t="s">
        <v>79</v>
      </c>
      <c r="D260" s="7" t="s">
        <v>131</v>
      </c>
      <c r="E260" s="7" t="s">
        <v>132</v>
      </c>
      <c r="F260" s="7" t="s">
        <v>50</v>
      </c>
      <c r="G260" s="7" t="s">
        <v>19</v>
      </c>
      <c r="H260" s="9" t="n">
        <v>46182</v>
      </c>
      <c r="I260" s="9" t="n">
        <v>46191</v>
      </c>
      <c r="J260" s="7" t="n">
        <v>9.8</v>
      </c>
      <c r="K260" s="7" t="s">
        <v>51</v>
      </c>
      <c r="L260" s="7" t="s">
        <v>21</v>
      </c>
      <c r="M260" s="7" t="s">
        <v>413</v>
      </c>
      <c r="N260" s="7" t="s">
        <v>58</v>
      </c>
      <c r="O260" s="10" t="n">
        <f aca="false">'Exec Summary'!$E$2-H260</f>
        <v>52</v>
      </c>
      <c r="P260" s="10" t="n">
        <f aca="false">IF(I260="","",I260-H260)</f>
        <v>9</v>
      </c>
      <c r="Q260" s="10" t="n">
        <f aca="false">VLOOKUP(G260,$AA$2:$AB$5,2,FALSE())</f>
        <v>15</v>
      </c>
      <c r="R260" s="7" t="n">
        <f aca="false">IF(OR(F260="Open",F260="Reopened"),1,0)</f>
        <v>0</v>
      </c>
      <c r="S260" s="7" t="n">
        <f aca="false">IF(AND(H260&gt;='Exec Summary'!$E$1,H260&lt;='Exec Summary'!$E$2),1,0)</f>
        <v>0</v>
      </c>
      <c r="T260" s="7" t="n">
        <f aca="false">IF(AND(F260="Closed",I260&lt;&gt;"",I260&gt;='Exec Summary'!$E$1,I260&lt;='Exec Summary'!$E$2),1,0)</f>
        <v>0</v>
      </c>
      <c r="U260" s="7" t="n">
        <f aca="false">IF(F260="Reopened",1,0)</f>
        <v>0</v>
      </c>
      <c r="V260" s="7" t="n">
        <f aca="false">IF(AND(R260=1,O260&gt;Q260),1,0)</f>
        <v>0</v>
      </c>
      <c r="W260" s="7" t="n">
        <f aca="false">IF(AND(T260=1,P260&lt;&gt;"",P260&lt;=Q260),1,0)</f>
        <v>0</v>
      </c>
    </row>
    <row r="261" customFormat="false" ht="15" hidden="false" customHeight="false" outlineLevel="0" collapsed="false">
      <c r="A261" s="7" t="s">
        <v>412</v>
      </c>
      <c r="B261" s="7" t="s">
        <v>46</v>
      </c>
      <c r="C261" s="7" t="s">
        <v>79</v>
      </c>
      <c r="D261" s="7" t="s">
        <v>65</v>
      </c>
      <c r="E261" s="7" t="s">
        <v>66</v>
      </c>
      <c r="F261" s="7" t="s">
        <v>56</v>
      </c>
      <c r="G261" s="7" t="s">
        <v>19</v>
      </c>
      <c r="H261" s="9" t="n">
        <v>46012</v>
      </c>
      <c r="I261" s="9"/>
      <c r="J261" s="7" t="n">
        <v>9.8</v>
      </c>
      <c r="K261" s="7" t="s">
        <v>51</v>
      </c>
      <c r="L261" s="7" t="s">
        <v>21</v>
      </c>
      <c r="M261" s="7" t="s">
        <v>414</v>
      </c>
      <c r="N261" s="7" t="s">
        <v>58</v>
      </c>
      <c r="O261" s="10" t="n">
        <f aca="false">'Exec Summary'!$E$2-H261</f>
        <v>222</v>
      </c>
      <c r="P261" s="10" t="str">
        <f aca="false">IF(I261="","",I261-H261)</f>
        <v/>
      </c>
      <c r="Q261" s="10" t="n">
        <f aca="false">VLOOKUP(G261,$AA$2:$AB$5,2,FALSE())</f>
        <v>15</v>
      </c>
      <c r="R261" s="7" t="n">
        <f aca="false">IF(OR(F261="Open",F261="Reopened"),1,0)</f>
        <v>1</v>
      </c>
      <c r="S261" s="7" t="n">
        <f aca="false">IF(AND(H261&gt;='Exec Summary'!$E$1,H261&lt;='Exec Summary'!$E$2),1,0)</f>
        <v>0</v>
      </c>
      <c r="T261" s="7" t="n">
        <f aca="false">IF(AND(F261="Closed",I261&lt;&gt;"",I261&gt;='Exec Summary'!$E$1,I261&lt;='Exec Summary'!$E$2),1,0)</f>
        <v>0</v>
      </c>
      <c r="U261" s="7" t="n">
        <f aca="false">IF(F261="Reopened",1,0)</f>
        <v>0</v>
      </c>
      <c r="V261" s="7" t="n">
        <f aca="false">IF(AND(R261=1,O261&gt;Q261),1,0)</f>
        <v>1</v>
      </c>
      <c r="W261" s="7" t="n">
        <f aca="false">IF(AND(T261=1,P261&lt;&gt;"",P261&lt;=Q261),1,0)</f>
        <v>0</v>
      </c>
    </row>
    <row r="262" customFormat="false" ht="15" hidden="false" customHeight="false" outlineLevel="0" collapsed="false">
      <c r="A262" s="7" t="s">
        <v>412</v>
      </c>
      <c r="B262" s="7" t="s">
        <v>46</v>
      </c>
      <c r="C262" s="7" t="s">
        <v>79</v>
      </c>
      <c r="D262" s="7" t="s">
        <v>48</v>
      </c>
      <c r="E262" s="7" t="s">
        <v>49</v>
      </c>
      <c r="F262" s="7" t="s">
        <v>50</v>
      </c>
      <c r="G262" s="7" t="s">
        <v>20</v>
      </c>
      <c r="H262" s="9" t="n">
        <v>46130</v>
      </c>
      <c r="I262" s="9" t="n">
        <v>46151</v>
      </c>
      <c r="J262" s="7" t="n">
        <v>7.5</v>
      </c>
      <c r="K262" s="7" t="s">
        <v>51</v>
      </c>
      <c r="L262" s="7" t="s">
        <v>21</v>
      </c>
      <c r="M262" s="7" t="s">
        <v>415</v>
      </c>
      <c r="N262" s="7" t="s">
        <v>53</v>
      </c>
      <c r="O262" s="10" t="n">
        <f aca="false">'Exec Summary'!$E$2-H262</f>
        <v>104</v>
      </c>
      <c r="P262" s="10" t="n">
        <f aca="false">IF(I262="","",I262-H262)</f>
        <v>21</v>
      </c>
      <c r="Q262" s="10" t="n">
        <f aca="false">VLOOKUP(G262,$AA$2:$AB$5,2,FALSE())</f>
        <v>30</v>
      </c>
      <c r="R262" s="7" t="n">
        <f aca="false">IF(OR(F262="Open",F262="Reopened"),1,0)</f>
        <v>0</v>
      </c>
      <c r="S262" s="7" t="n">
        <f aca="false">IF(AND(H262&gt;='Exec Summary'!$E$1,H262&lt;='Exec Summary'!$E$2),1,0)</f>
        <v>0</v>
      </c>
      <c r="T262" s="7" t="n">
        <f aca="false">IF(AND(F262="Closed",I262&lt;&gt;"",I262&gt;='Exec Summary'!$E$1,I262&lt;='Exec Summary'!$E$2),1,0)</f>
        <v>0</v>
      </c>
      <c r="U262" s="7" t="n">
        <f aca="false">IF(F262="Reopened",1,0)</f>
        <v>0</v>
      </c>
      <c r="V262" s="7" t="n">
        <f aca="false">IF(AND(R262=1,O262&gt;Q262),1,0)</f>
        <v>0</v>
      </c>
      <c r="W262" s="7" t="n">
        <f aca="false">IF(AND(T262=1,P262&lt;&gt;"",P262&lt;=Q262),1,0)</f>
        <v>0</v>
      </c>
    </row>
    <row r="263" customFormat="false" ht="15" hidden="false" customHeight="false" outlineLevel="0" collapsed="false">
      <c r="A263" s="7" t="s">
        <v>412</v>
      </c>
      <c r="B263" s="7" t="s">
        <v>46</v>
      </c>
      <c r="C263" s="7" t="s">
        <v>79</v>
      </c>
      <c r="D263" s="7" t="s">
        <v>71</v>
      </c>
      <c r="E263" s="7" t="s">
        <v>72</v>
      </c>
      <c r="F263" s="7" t="s">
        <v>50</v>
      </c>
      <c r="G263" s="7" t="s">
        <v>19</v>
      </c>
      <c r="H263" s="9" t="n">
        <v>46041</v>
      </c>
      <c r="I263" s="9" t="n">
        <v>46053</v>
      </c>
      <c r="J263" s="7" t="n">
        <v>9.8</v>
      </c>
      <c r="K263" s="7" t="s">
        <v>51</v>
      </c>
      <c r="L263" s="7" t="s">
        <v>21</v>
      </c>
      <c r="M263" s="7" t="s">
        <v>416</v>
      </c>
      <c r="N263" s="7" t="s">
        <v>58</v>
      </c>
      <c r="O263" s="10" t="n">
        <f aca="false">'Exec Summary'!$E$2-H263</f>
        <v>193</v>
      </c>
      <c r="P263" s="10" t="n">
        <f aca="false">IF(I263="","",I263-H263)</f>
        <v>12</v>
      </c>
      <c r="Q263" s="10" t="n">
        <f aca="false">VLOOKUP(G263,$AA$2:$AB$5,2,FALSE())</f>
        <v>15</v>
      </c>
      <c r="R263" s="7" t="n">
        <f aca="false">IF(OR(F263="Open",F263="Reopened"),1,0)</f>
        <v>0</v>
      </c>
      <c r="S263" s="7" t="n">
        <f aca="false">IF(AND(H263&gt;='Exec Summary'!$E$1,H263&lt;='Exec Summary'!$E$2),1,0)</f>
        <v>0</v>
      </c>
      <c r="T263" s="7" t="n">
        <f aca="false">IF(AND(F263="Closed",I263&lt;&gt;"",I263&gt;='Exec Summary'!$E$1,I263&lt;='Exec Summary'!$E$2),1,0)</f>
        <v>0</v>
      </c>
      <c r="U263" s="7" t="n">
        <f aca="false">IF(F263="Reopened",1,0)</f>
        <v>0</v>
      </c>
      <c r="V263" s="7" t="n">
        <f aca="false">IF(AND(R263=1,O263&gt;Q263),1,0)</f>
        <v>0</v>
      </c>
      <c r="W263" s="7" t="n">
        <f aca="false">IF(AND(T263=1,P263&lt;&gt;"",P263&lt;=Q263),1,0)</f>
        <v>0</v>
      </c>
    </row>
    <row r="264" customFormat="false" ht="15" hidden="false" customHeight="false" outlineLevel="0" collapsed="false">
      <c r="A264" s="7" t="s">
        <v>412</v>
      </c>
      <c r="B264" s="7" t="s">
        <v>46</v>
      </c>
      <c r="C264" s="7" t="s">
        <v>79</v>
      </c>
      <c r="D264" s="7" t="s">
        <v>206</v>
      </c>
      <c r="E264" s="7" t="s">
        <v>207</v>
      </c>
      <c r="F264" s="7" t="s">
        <v>50</v>
      </c>
      <c r="G264" s="7" t="s">
        <v>20</v>
      </c>
      <c r="H264" s="9" t="n">
        <v>45960</v>
      </c>
      <c r="I264" s="9" t="n">
        <v>45978</v>
      </c>
      <c r="J264" s="7" t="n">
        <v>8.8</v>
      </c>
      <c r="K264" s="7" t="s">
        <v>51</v>
      </c>
      <c r="L264" s="7" t="s">
        <v>21</v>
      </c>
      <c r="M264" s="7" t="s">
        <v>417</v>
      </c>
      <c r="N264" s="7" t="s">
        <v>53</v>
      </c>
      <c r="O264" s="10" t="n">
        <f aca="false">'Exec Summary'!$E$2-H264</f>
        <v>274</v>
      </c>
      <c r="P264" s="10" t="n">
        <f aca="false">IF(I264="","",I264-H264)</f>
        <v>18</v>
      </c>
      <c r="Q264" s="10" t="n">
        <f aca="false">VLOOKUP(G264,$AA$2:$AB$5,2,FALSE())</f>
        <v>30</v>
      </c>
      <c r="R264" s="7" t="n">
        <f aca="false">IF(OR(F264="Open",F264="Reopened"),1,0)</f>
        <v>0</v>
      </c>
      <c r="S264" s="7" t="n">
        <f aca="false">IF(AND(H264&gt;='Exec Summary'!$E$1,H264&lt;='Exec Summary'!$E$2),1,0)</f>
        <v>0</v>
      </c>
      <c r="T264" s="7" t="n">
        <f aca="false">IF(AND(F264="Closed",I264&lt;&gt;"",I264&gt;='Exec Summary'!$E$1,I264&lt;='Exec Summary'!$E$2),1,0)</f>
        <v>0</v>
      </c>
      <c r="U264" s="7" t="n">
        <f aca="false">IF(F264="Reopened",1,0)</f>
        <v>0</v>
      </c>
      <c r="V264" s="7" t="n">
        <f aca="false">IF(AND(R264=1,O264&gt;Q264),1,0)</f>
        <v>0</v>
      </c>
      <c r="W264" s="7" t="n">
        <f aca="false">IF(AND(T264=1,P264&lt;&gt;"",P264&lt;=Q264),1,0)</f>
        <v>0</v>
      </c>
    </row>
    <row r="265" customFormat="false" ht="15" hidden="false" customHeight="false" outlineLevel="0" collapsed="false">
      <c r="A265" s="7" t="s">
        <v>412</v>
      </c>
      <c r="B265" s="7" t="s">
        <v>46</v>
      </c>
      <c r="C265" s="7" t="s">
        <v>79</v>
      </c>
      <c r="D265" s="7" t="s">
        <v>68</v>
      </c>
      <c r="E265" s="7" t="s">
        <v>69</v>
      </c>
      <c r="F265" s="7" t="s">
        <v>56</v>
      </c>
      <c r="G265" s="7" t="s">
        <v>19</v>
      </c>
      <c r="H265" s="9" t="n">
        <v>46177</v>
      </c>
      <c r="I265" s="9"/>
      <c r="J265" s="7" t="n">
        <v>9.8</v>
      </c>
      <c r="K265" s="7" t="s">
        <v>51</v>
      </c>
      <c r="L265" s="7" t="s">
        <v>21</v>
      </c>
      <c r="M265" s="7" t="s">
        <v>418</v>
      </c>
      <c r="N265" s="7" t="s">
        <v>58</v>
      </c>
      <c r="O265" s="10" t="n">
        <f aca="false">'Exec Summary'!$E$2-H265</f>
        <v>57</v>
      </c>
      <c r="P265" s="10" t="str">
        <f aca="false">IF(I265="","",I265-H265)</f>
        <v/>
      </c>
      <c r="Q265" s="10" t="n">
        <f aca="false">VLOOKUP(G265,$AA$2:$AB$5,2,FALSE())</f>
        <v>15</v>
      </c>
      <c r="R265" s="7" t="n">
        <f aca="false">IF(OR(F265="Open",F265="Reopened"),1,0)</f>
        <v>1</v>
      </c>
      <c r="S265" s="7" t="n">
        <f aca="false">IF(AND(H265&gt;='Exec Summary'!$E$1,H265&lt;='Exec Summary'!$E$2),1,0)</f>
        <v>0</v>
      </c>
      <c r="T265" s="7" t="n">
        <f aca="false">IF(AND(F265="Closed",I265&lt;&gt;"",I265&gt;='Exec Summary'!$E$1,I265&lt;='Exec Summary'!$E$2),1,0)</f>
        <v>0</v>
      </c>
      <c r="U265" s="7" t="n">
        <f aca="false">IF(F265="Reopened",1,0)</f>
        <v>0</v>
      </c>
      <c r="V265" s="7" t="n">
        <f aca="false">IF(AND(R265=1,O265&gt;Q265),1,0)</f>
        <v>1</v>
      </c>
      <c r="W265" s="7" t="n">
        <f aca="false">IF(AND(T265=1,P265&lt;&gt;"",P265&lt;=Q265),1,0)</f>
        <v>0</v>
      </c>
    </row>
    <row r="266" customFormat="false" ht="15" hidden="false" customHeight="false" outlineLevel="0" collapsed="false">
      <c r="A266" s="7" t="s">
        <v>412</v>
      </c>
      <c r="B266" s="7" t="s">
        <v>46</v>
      </c>
      <c r="C266" s="7" t="s">
        <v>79</v>
      </c>
      <c r="D266" s="7" t="s">
        <v>117</v>
      </c>
      <c r="E266" s="7" t="s">
        <v>118</v>
      </c>
      <c r="F266" s="7" t="s">
        <v>50</v>
      </c>
      <c r="G266" s="7" t="s">
        <v>19</v>
      </c>
      <c r="H266" s="9" t="n">
        <v>46053</v>
      </c>
      <c r="I266" s="9" t="n">
        <v>46062</v>
      </c>
      <c r="J266" s="7" t="n">
        <v>10</v>
      </c>
      <c r="K266" s="7" t="s">
        <v>51</v>
      </c>
      <c r="L266" s="7" t="s">
        <v>21</v>
      </c>
      <c r="M266" s="7" t="s">
        <v>419</v>
      </c>
      <c r="N266" s="7" t="s">
        <v>58</v>
      </c>
      <c r="O266" s="10" t="n">
        <f aca="false">'Exec Summary'!$E$2-H266</f>
        <v>181</v>
      </c>
      <c r="P266" s="10" t="n">
        <f aca="false">IF(I266="","",I266-H266)</f>
        <v>9</v>
      </c>
      <c r="Q266" s="10" t="n">
        <f aca="false">VLOOKUP(G266,$AA$2:$AB$5,2,FALSE())</f>
        <v>15</v>
      </c>
      <c r="R266" s="7" t="n">
        <f aca="false">IF(OR(F266="Open",F266="Reopened"),1,0)</f>
        <v>0</v>
      </c>
      <c r="S266" s="7" t="n">
        <f aca="false">IF(AND(H266&gt;='Exec Summary'!$E$1,H266&lt;='Exec Summary'!$E$2),1,0)</f>
        <v>0</v>
      </c>
      <c r="T266" s="7" t="n">
        <f aca="false">IF(AND(F266="Closed",I266&lt;&gt;"",I266&gt;='Exec Summary'!$E$1,I266&lt;='Exec Summary'!$E$2),1,0)</f>
        <v>0</v>
      </c>
      <c r="U266" s="7" t="n">
        <f aca="false">IF(F266="Reopened",1,0)</f>
        <v>0</v>
      </c>
      <c r="V266" s="7" t="n">
        <f aca="false">IF(AND(R266=1,O266&gt;Q266),1,0)</f>
        <v>0</v>
      </c>
      <c r="W266" s="7" t="n">
        <f aca="false">IF(AND(T266=1,P266&lt;&gt;"",P266&lt;=Q266),1,0)</f>
        <v>0</v>
      </c>
    </row>
    <row r="267" customFormat="false" ht="15" hidden="false" customHeight="false" outlineLevel="0" collapsed="false">
      <c r="A267" s="7" t="s">
        <v>412</v>
      </c>
      <c r="B267" s="7" t="s">
        <v>46</v>
      </c>
      <c r="C267" s="7" t="s">
        <v>79</v>
      </c>
      <c r="D267" s="7" t="s">
        <v>112</v>
      </c>
      <c r="E267" s="7" t="s">
        <v>113</v>
      </c>
      <c r="F267" s="7" t="s">
        <v>50</v>
      </c>
      <c r="G267" s="7" t="s">
        <v>20</v>
      </c>
      <c r="H267" s="9" t="n">
        <v>45940</v>
      </c>
      <c r="I267" s="9" t="n">
        <v>45947</v>
      </c>
      <c r="J267" s="7" t="n">
        <v>7.8</v>
      </c>
      <c r="K267" s="7" t="s">
        <v>51</v>
      </c>
      <c r="L267" s="7" t="s">
        <v>21</v>
      </c>
      <c r="M267" s="7" t="s">
        <v>420</v>
      </c>
      <c r="N267" s="7" t="s">
        <v>53</v>
      </c>
      <c r="O267" s="10" t="n">
        <f aca="false">'Exec Summary'!$E$2-H267</f>
        <v>294</v>
      </c>
      <c r="P267" s="10" t="n">
        <f aca="false">IF(I267="","",I267-H267)</f>
        <v>7</v>
      </c>
      <c r="Q267" s="10" t="n">
        <f aca="false">VLOOKUP(G267,$AA$2:$AB$5,2,FALSE())</f>
        <v>30</v>
      </c>
      <c r="R267" s="7" t="n">
        <f aca="false">IF(OR(F267="Open",F267="Reopened"),1,0)</f>
        <v>0</v>
      </c>
      <c r="S267" s="7" t="n">
        <f aca="false">IF(AND(H267&gt;='Exec Summary'!$E$1,H267&lt;='Exec Summary'!$E$2),1,0)</f>
        <v>0</v>
      </c>
      <c r="T267" s="7" t="n">
        <f aca="false">IF(AND(F267="Closed",I267&lt;&gt;"",I267&gt;='Exec Summary'!$E$1,I267&lt;='Exec Summary'!$E$2),1,0)</f>
        <v>0</v>
      </c>
      <c r="U267" s="7" t="n">
        <f aca="false">IF(F267="Reopened",1,0)</f>
        <v>0</v>
      </c>
      <c r="V267" s="7" t="n">
        <f aca="false">IF(AND(R267=1,O267&gt;Q267),1,0)</f>
        <v>0</v>
      </c>
      <c r="W267" s="7" t="n">
        <f aca="false">IF(AND(T267=1,P267&lt;&gt;"",P267&lt;=Q267),1,0)</f>
        <v>0</v>
      </c>
    </row>
    <row r="268" customFormat="false" ht="15" hidden="false" customHeight="false" outlineLevel="0" collapsed="false">
      <c r="A268" s="7" t="s">
        <v>412</v>
      </c>
      <c r="B268" s="7" t="s">
        <v>46</v>
      </c>
      <c r="C268" s="7" t="s">
        <v>79</v>
      </c>
      <c r="D268" s="7" t="s">
        <v>166</v>
      </c>
      <c r="E268" s="7" t="s">
        <v>167</v>
      </c>
      <c r="F268" s="7" t="s">
        <v>56</v>
      </c>
      <c r="G268" s="7" t="s">
        <v>19</v>
      </c>
      <c r="H268" s="9" t="n">
        <v>46095</v>
      </c>
      <c r="I268" s="9"/>
      <c r="J268" s="7" t="n">
        <v>9.8</v>
      </c>
      <c r="K268" s="7" t="s">
        <v>51</v>
      </c>
      <c r="L268" s="7" t="s">
        <v>21</v>
      </c>
      <c r="M268" s="7" t="s">
        <v>421</v>
      </c>
      <c r="N268" s="7" t="s">
        <v>58</v>
      </c>
      <c r="O268" s="10" t="n">
        <f aca="false">'Exec Summary'!$E$2-H268</f>
        <v>139</v>
      </c>
      <c r="P268" s="10" t="str">
        <f aca="false">IF(I268="","",I268-H268)</f>
        <v/>
      </c>
      <c r="Q268" s="10" t="n">
        <f aca="false">VLOOKUP(G268,$AA$2:$AB$5,2,FALSE())</f>
        <v>15</v>
      </c>
      <c r="R268" s="7" t="n">
        <f aca="false">IF(OR(F268="Open",F268="Reopened"),1,0)</f>
        <v>1</v>
      </c>
      <c r="S268" s="7" t="n">
        <f aca="false">IF(AND(H268&gt;='Exec Summary'!$E$1,H268&lt;='Exec Summary'!$E$2),1,0)</f>
        <v>0</v>
      </c>
      <c r="T268" s="7" t="n">
        <f aca="false">IF(AND(F268="Closed",I268&lt;&gt;"",I268&gt;='Exec Summary'!$E$1,I268&lt;='Exec Summary'!$E$2),1,0)</f>
        <v>0</v>
      </c>
      <c r="U268" s="7" t="n">
        <f aca="false">IF(F268="Reopened",1,0)</f>
        <v>0</v>
      </c>
      <c r="V268" s="7" t="n">
        <f aca="false">IF(AND(R268=1,O268&gt;Q268),1,0)</f>
        <v>1</v>
      </c>
      <c r="W268" s="7" t="n">
        <f aca="false">IF(AND(T268=1,P268&lt;&gt;"",P268&lt;=Q268),1,0)</f>
        <v>0</v>
      </c>
    </row>
    <row r="269" customFormat="false" ht="15" hidden="false" customHeight="false" outlineLevel="0" collapsed="false">
      <c r="A269" s="7" t="s">
        <v>412</v>
      </c>
      <c r="B269" s="7" t="s">
        <v>46</v>
      </c>
      <c r="C269" s="7" t="s">
        <v>79</v>
      </c>
      <c r="D269" s="7" t="s">
        <v>81</v>
      </c>
      <c r="E269" s="7" t="s">
        <v>82</v>
      </c>
      <c r="F269" s="7" t="s">
        <v>56</v>
      </c>
      <c r="G269" s="7" t="s">
        <v>20</v>
      </c>
      <c r="H269" s="9" t="n">
        <v>45983</v>
      </c>
      <c r="I269" s="9"/>
      <c r="J269" s="7" t="n">
        <v>7.8</v>
      </c>
      <c r="K269" s="7" t="s">
        <v>51</v>
      </c>
      <c r="L269" s="7" t="s">
        <v>21</v>
      </c>
      <c r="M269" s="7" t="s">
        <v>422</v>
      </c>
      <c r="N269" s="7" t="s">
        <v>53</v>
      </c>
      <c r="O269" s="10" t="n">
        <f aca="false">'Exec Summary'!$E$2-H269</f>
        <v>251</v>
      </c>
      <c r="P269" s="10" t="str">
        <f aca="false">IF(I269="","",I269-H269)</f>
        <v/>
      </c>
      <c r="Q269" s="10" t="n">
        <f aca="false">VLOOKUP(G269,$AA$2:$AB$5,2,FALSE())</f>
        <v>30</v>
      </c>
      <c r="R269" s="7" t="n">
        <f aca="false">IF(OR(F269="Open",F269="Reopened"),1,0)</f>
        <v>1</v>
      </c>
      <c r="S269" s="7" t="n">
        <f aca="false">IF(AND(H269&gt;='Exec Summary'!$E$1,H269&lt;='Exec Summary'!$E$2),1,0)</f>
        <v>0</v>
      </c>
      <c r="T269" s="7" t="n">
        <f aca="false">IF(AND(F269="Closed",I269&lt;&gt;"",I269&gt;='Exec Summary'!$E$1,I269&lt;='Exec Summary'!$E$2),1,0)</f>
        <v>0</v>
      </c>
      <c r="U269" s="7" t="n">
        <f aca="false">IF(F269="Reopened",1,0)</f>
        <v>0</v>
      </c>
      <c r="V269" s="7" t="n">
        <f aca="false">IF(AND(R269=1,O269&gt;Q269),1,0)</f>
        <v>1</v>
      </c>
      <c r="W269" s="7" t="n">
        <f aca="false">IF(AND(T269=1,P269&lt;&gt;"",P269&lt;=Q269),1,0)</f>
        <v>0</v>
      </c>
    </row>
    <row r="270" customFormat="false" ht="15" hidden="false" customHeight="false" outlineLevel="0" collapsed="false">
      <c r="A270" s="7" t="s">
        <v>412</v>
      </c>
      <c r="B270" s="7" t="s">
        <v>46</v>
      </c>
      <c r="C270" s="7" t="s">
        <v>79</v>
      </c>
      <c r="D270" s="7" t="s">
        <v>95</v>
      </c>
      <c r="E270" s="7" t="s">
        <v>96</v>
      </c>
      <c r="F270" s="7" t="s">
        <v>56</v>
      </c>
      <c r="G270" s="7" t="s">
        <v>20</v>
      </c>
      <c r="H270" s="9" t="n">
        <v>46155</v>
      </c>
      <c r="I270" s="9"/>
      <c r="J270" s="7" t="n">
        <v>8.8</v>
      </c>
      <c r="K270" s="7" t="s">
        <v>51</v>
      </c>
      <c r="L270" s="7" t="s">
        <v>21</v>
      </c>
      <c r="M270" s="7" t="s">
        <v>423</v>
      </c>
      <c r="N270" s="7" t="s">
        <v>53</v>
      </c>
      <c r="O270" s="10" t="n">
        <f aca="false">'Exec Summary'!$E$2-H270</f>
        <v>79</v>
      </c>
      <c r="P270" s="10" t="str">
        <f aca="false">IF(I270="","",I270-H270)</f>
        <v/>
      </c>
      <c r="Q270" s="10" t="n">
        <f aca="false">VLOOKUP(G270,$AA$2:$AB$5,2,FALSE())</f>
        <v>30</v>
      </c>
      <c r="R270" s="7" t="n">
        <f aca="false">IF(OR(F270="Open",F270="Reopened"),1,0)</f>
        <v>1</v>
      </c>
      <c r="S270" s="7" t="n">
        <f aca="false">IF(AND(H270&gt;='Exec Summary'!$E$1,H270&lt;='Exec Summary'!$E$2),1,0)</f>
        <v>0</v>
      </c>
      <c r="T270" s="7" t="n">
        <f aca="false">IF(AND(F270="Closed",I270&lt;&gt;"",I270&gt;='Exec Summary'!$E$1,I270&lt;='Exec Summary'!$E$2),1,0)</f>
        <v>0</v>
      </c>
      <c r="U270" s="7" t="n">
        <f aca="false">IF(F270="Reopened",1,0)</f>
        <v>0</v>
      </c>
      <c r="V270" s="7" t="n">
        <f aca="false">IF(AND(R270=1,O270&gt;Q270),1,0)</f>
        <v>1</v>
      </c>
      <c r="W270" s="7" t="n">
        <f aca="false">IF(AND(T270=1,P270&lt;&gt;"",P270&lt;=Q270),1,0)</f>
        <v>0</v>
      </c>
    </row>
    <row r="271" customFormat="false" ht="15" hidden="false" customHeight="false" outlineLevel="0" collapsed="false">
      <c r="A271" s="7" t="s">
        <v>412</v>
      </c>
      <c r="B271" s="7" t="s">
        <v>46</v>
      </c>
      <c r="C271" s="7" t="s">
        <v>79</v>
      </c>
      <c r="D271" s="7" t="s">
        <v>54</v>
      </c>
      <c r="E271" s="7" t="s">
        <v>55</v>
      </c>
      <c r="F271" s="7" t="s">
        <v>50</v>
      </c>
      <c r="G271" s="7" t="s">
        <v>19</v>
      </c>
      <c r="H271" s="9" t="n">
        <v>46105</v>
      </c>
      <c r="I271" s="9" t="n">
        <v>46117</v>
      </c>
      <c r="J271" s="7" t="n">
        <v>9.8</v>
      </c>
      <c r="K271" s="7" t="s">
        <v>51</v>
      </c>
      <c r="L271" s="7" t="s">
        <v>21</v>
      </c>
      <c r="M271" s="7" t="s">
        <v>424</v>
      </c>
      <c r="N271" s="7" t="s">
        <v>58</v>
      </c>
      <c r="O271" s="10" t="n">
        <f aca="false">'Exec Summary'!$E$2-H271</f>
        <v>129</v>
      </c>
      <c r="P271" s="10" t="n">
        <f aca="false">IF(I271="","",I271-H271)</f>
        <v>12</v>
      </c>
      <c r="Q271" s="10" t="n">
        <f aca="false">VLOOKUP(G271,$AA$2:$AB$5,2,FALSE())</f>
        <v>15</v>
      </c>
      <c r="R271" s="7" t="n">
        <f aca="false">IF(OR(F271="Open",F271="Reopened"),1,0)</f>
        <v>0</v>
      </c>
      <c r="S271" s="7" t="n">
        <f aca="false">IF(AND(H271&gt;='Exec Summary'!$E$1,H271&lt;='Exec Summary'!$E$2),1,0)</f>
        <v>0</v>
      </c>
      <c r="T271" s="7" t="n">
        <f aca="false">IF(AND(F271="Closed",I271&lt;&gt;"",I271&gt;='Exec Summary'!$E$1,I271&lt;='Exec Summary'!$E$2),1,0)</f>
        <v>0</v>
      </c>
      <c r="U271" s="7" t="n">
        <f aca="false">IF(F271="Reopened",1,0)</f>
        <v>0</v>
      </c>
      <c r="V271" s="7" t="n">
        <f aca="false">IF(AND(R271=1,O271&gt;Q271),1,0)</f>
        <v>0</v>
      </c>
      <c r="W271" s="7" t="n">
        <f aca="false">IF(AND(T271=1,P271&lt;&gt;"",P271&lt;=Q271),1,0)</f>
        <v>0</v>
      </c>
    </row>
    <row r="272" customFormat="false" ht="15" hidden="false" customHeight="false" outlineLevel="0" collapsed="false">
      <c r="A272" s="7" t="s">
        <v>425</v>
      </c>
      <c r="B272" s="7" t="s">
        <v>135</v>
      </c>
      <c r="C272" s="7" t="s">
        <v>247</v>
      </c>
      <c r="D272" s="7" t="s">
        <v>117</v>
      </c>
      <c r="E272" s="7" t="s">
        <v>118</v>
      </c>
      <c r="F272" s="7" t="s">
        <v>56</v>
      </c>
      <c r="G272" s="7" t="s">
        <v>19</v>
      </c>
      <c r="H272" s="9" t="n">
        <v>45938</v>
      </c>
      <c r="I272" s="9"/>
      <c r="J272" s="7" t="n">
        <v>10</v>
      </c>
      <c r="K272" s="7" t="s">
        <v>51</v>
      </c>
      <c r="L272" s="7" t="s">
        <v>21</v>
      </c>
      <c r="M272" s="7" t="s">
        <v>426</v>
      </c>
      <c r="N272" s="7" t="s">
        <v>58</v>
      </c>
      <c r="O272" s="10" t="n">
        <f aca="false">'Exec Summary'!$E$2-H272</f>
        <v>296</v>
      </c>
      <c r="P272" s="10" t="str">
        <f aca="false">IF(I272="","",I272-H272)</f>
        <v/>
      </c>
      <c r="Q272" s="10" t="n">
        <f aca="false">VLOOKUP(G272,$AA$2:$AB$5,2,FALSE())</f>
        <v>15</v>
      </c>
      <c r="R272" s="7" t="n">
        <f aca="false">IF(OR(F272="Open",F272="Reopened"),1,0)</f>
        <v>1</v>
      </c>
      <c r="S272" s="7" t="n">
        <f aca="false">IF(AND(H272&gt;='Exec Summary'!$E$1,H272&lt;='Exec Summary'!$E$2),1,0)</f>
        <v>0</v>
      </c>
      <c r="T272" s="7" t="n">
        <f aca="false">IF(AND(F272="Closed",I272&lt;&gt;"",I272&gt;='Exec Summary'!$E$1,I272&lt;='Exec Summary'!$E$2),1,0)</f>
        <v>0</v>
      </c>
      <c r="U272" s="7" t="n">
        <f aca="false">IF(F272="Reopened",1,0)</f>
        <v>0</v>
      </c>
      <c r="V272" s="7" t="n">
        <f aca="false">IF(AND(R272=1,O272&gt;Q272),1,0)</f>
        <v>1</v>
      </c>
      <c r="W272" s="7" t="n">
        <f aca="false">IF(AND(T272=1,P272&lt;&gt;"",P272&lt;=Q272),1,0)</f>
        <v>0</v>
      </c>
    </row>
    <row r="273" customFormat="false" ht="15" hidden="false" customHeight="false" outlineLevel="0" collapsed="false">
      <c r="A273" s="7" t="s">
        <v>425</v>
      </c>
      <c r="B273" s="7" t="s">
        <v>135</v>
      </c>
      <c r="C273" s="7" t="s">
        <v>247</v>
      </c>
      <c r="D273" s="7" t="s">
        <v>173</v>
      </c>
      <c r="E273" s="7" t="s">
        <v>174</v>
      </c>
      <c r="F273" s="7" t="s">
        <v>50</v>
      </c>
      <c r="G273" s="7" t="s">
        <v>19</v>
      </c>
      <c r="H273" s="9" t="n">
        <v>46144</v>
      </c>
      <c r="I273" s="9" t="n">
        <v>46150</v>
      </c>
      <c r="J273" s="7" t="n">
        <v>9.8</v>
      </c>
      <c r="K273" s="7" t="s">
        <v>51</v>
      </c>
      <c r="L273" s="7" t="s">
        <v>21</v>
      </c>
      <c r="M273" s="7" t="s">
        <v>427</v>
      </c>
      <c r="N273" s="7" t="s">
        <v>58</v>
      </c>
      <c r="O273" s="10" t="n">
        <f aca="false">'Exec Summary'!$E$2-H273</f>
        <v>90</v>
      </c>
      <c r="P273" s="10" t="n">
        <f aca="false">IF(I273="","",I273-H273)</f>
        <v>6</v>
      </c>
      <c r="Q273" s="10" t="n">
        <f aca="false">VLOOKUP(G273,$AA$2:$AB$5,2,FALSE())</f>
        <v>15</v>
      </c>
      <c r="R273" s="7" t="n">
        <f aca="false">IF(OR(F273="Open",F273="Reopened"),1,0)</f>
        <v>0</v>
      </c>
      <c r="S273" s="7" t="n">
        <f aca="false">IF(AND(H273&gt;='Exec Summary'!$E$1,H273&lt;='Exec Summary'!$E$2),1,0)</f>
        <v>0</v>
      </c>
      <c r="T273" s="7" t="n">
        <f aca="false">IF(AND(F273="Closed",I273&lt;&gt;"",I273&gt;='Exec Summary'!$E$1,I273&lt;='Exec Summary'!$E$2),1,0)</f>
        <v>0</v>
      </c>
      <c r="U273" s="7" t="n">
        <f aca="false">IF(F273="Reopened",1,0)</f>
        <v>0</v>
      </c>
      <c r="V273" s="7" t="n">
        <f aca="false">IF(AND(R273=1,O273&gt;Q273),1,0)</f>
        <v>0</v>
      </c>
      <c r="W273" s="7" t="n">
        <f aca="false">IF(AND(T273=1,P273&lt;&gt;"",P273&lt;=Q273),1,0)</f>
        <v>0</v>
      </c>
    </row>
    <row r="274" customFormat="false" ht="15" hidden="false" customHeight="false" outlineLevel="0" collapsed="false">
      <c r="A274" s="7" t="s">
        <v>425</v>
      </c>
      <c r="B274" s="7" t="s">
        <v>135</v>
      </c>
      <c r="C274" s="7" t="s">
        <v>247</v>
      </c>
      <c r="D274" s="7" t="s">
        <v>48</v>
      </c>
      <c r="E274" s="7" t="s">
        <v>49</v>
      </c>
      <c r="F274" s="7" t="s">
        <v>123</v>
      </c>
      <c r="G274" s="7" t="s">
        <v>20</v>
      </c>
      <c r="H274" s="9" t="n">
        <v>46113</v>
      </c>
      <c r="I274" s="9" t="n">
        <v>46133</v>
      </c>
      <c r="J274" s="7" t="n">
        <v>7.5</v>
      </c>
      <c r="K274" s="7" t="s">
        <v>51</v>
      </c>
      <c r="L274" s="7" t="s">
        <v>21</v>
      </c>
      <c r="M274" s="7" t="s">
        <v>428</v>
      </c>
      <c r="N274" s="7" t="s">
        <v>53</v>
      </c>
      <c r="O274" s="10" t="n">
        <f aca="false">'Exec Summary'!$E$2-H274</f>
        <v>121</v>
      </c>
      <c r="P274" s="10" t="n">
        <f aca="false">IF(I274="","",I274-H274)</f>
        <v>20</v>
      </c>
      <c r="Q274" s="10" t="n">
        <f aca="false">VLOOKUP(G274,$AA$2:$AB$5,2,FALSE())</f>
        <v>30</v>
      </c>
      <c r="R274" s="7" t="n">
        <f aca="false">IF(OR(F274="Open",F274="Reopened"),1,0)</f>
        <v>1</v>
      </c>
      <c r="S274" s="7" t="n">
        <f aca="false">IF(AND(H274&gt;='Exec Summary'!$E$1,H274&lt;='Exec Summary'!$E$2),1,0)</f>
        <v>0</v>
      </c>
      <c r="T274" s="7" t="n">
        <f aca="false">IF(AND(F274="Closed",I274&lt;&gt;"",I274&gt;='Exec Summary'!$E$1,I274&lt;='Exec Summary'!$E$2),1,0)</f>
        <v>0</v>
      </c>
      <c r="U274" s="7" t="n">
        <f aca="false">IF(F274="Reopened",1,0)</f>
        <v>1</v>
      </c>
      <c r="V274" s="7" t="n">
        <f aca="false">IF(AND(R274=1,O274&gt;Q274),1,0)</f>
        <v>1</v>
      </c>
      <c r="W274" s="7" t="n">
        <f aca="false">IF(AND(T274=1,P274&lt;&gt;"",P274&lt;=Q274),1,0)</f>
        <v>0</v>
      </c>
    </row>
    <row r="275" customFormat="false" ht="15" hidden="false" customHeight="false" outlineLevel="0" collapsed="false">
      <c r="A275" s="7" t="s">
        <v>425</v>
      </c>
      <c r="B275" s="7" t="s">
        <v>135</v>
      </c>
      <c r="C275" s="7" t="s">
        <v>247</v>
      </c>
      <c r="D275" s="7" t="s">
        <v>163</v>
      </c>
      <c r="E275" s="7" t="s">
        <v>164</v>
      </c>
      <c r="F275" s="7" t="s">
        <v>56</v>
      </c>
      <c r="G275" s="7" t="s">
        <v>19</v>
      </c>
      <c r="H275" s="9" t="n">
        <v>45963</v>
      </c>
      <c r="I275" s="9"/>
      <c r="J275" s="7" t="n">
        <v>9.1</v>
      </c>
      <c r="K275" s="7" t="s">
        <v>51</v>
      </c>
      <c r="L275" s="7" t="s">
        <v>21</v>
      </c>
      <c r="M275" s="7" t="s">
        <v>429</v>
      </c>
      <c r="N275" s="7" t="s">
        <v>58</v>
      </c>
      <c r="O275" s="10" t="n">
        <f aca="false">'Exec Summary'!$E$2-H275</f>
        <v>271</v>
      </c>
      <c r="P275" s="10" t="str">
        <f aca="false">IF(I275="","",I275-H275)</f>
        <v/>
      </c>
      <c r="Q275" s="10" t="n">
        <f aca="false">VLOOKUP(G275,$AA$2:$AB$5,2,FALSE())</f>
        <v>15</v>
      </c>
      <c r="R275" s="7" t="n">
        <f aca="false">IF(OR(F275="Open",F275="Reopened"),1,0)</f>
        <v>1</v>
      </c>
      <c r="S275" s="7" t="n">
        <f aca="false">IF(AND(H275&gt;='Exec Summary'!$E$1,H275&lt;='Exec Summary'!$E$2),1,0)</f>
        <v>0</v>
      </c>
      <c r="T275" s="7" t="n">
        <f aca="false">IF(AND(F275="Closed",I275&lt;&gt;"",I275&gt;='Exec Summary'!$E$1,I275&lt;='Exec Summary'!$E$2),1,0)</f>
        <v>0</v>
      </c>
      <c r="U275" s="7" t="n">
        <f aca="false">IF(F275="Reopened",1,0)</f>
        <v>0</v>
      </c>
      <c r="V275" s="7" t="n">
        <f aca="false">IF(AND(R275=1,O275&gt;Q275),1,0)</f>
        <v>1</v>
      </c>
      <c r="W275" s="7" t="n">
        <f aca="false">IF(AND(T275=1,P275&lt;&gt;"",P275&lt;=Q275),1,0)</f>
        <v>0</v>
      </c>
    </row>
    <row r="276" customFormat="false" ht="15" hidden="false" customHeight="false" outlineLevel="0" collapsed="false">
      <c r="A276" s="7" t="s">
        <v>425</v>
      </c>
      <c r="B276" s="7" t="s">
        <v>135</v>
      </c>
      <c r="C276" s="7" t="s">
        <v>247</v>
      </c>
      <c r="D276" s="7" t="s">
        <v>91</v>
      </c>
      <c r="E276" s="7" t="s">
        <v>92</v>
      </c>
      <c r="F276" s="7" t="s">
        <v>56</v>
      </c>
      <c r="G276" s="7" t="s">
        <v>20</v>
      </c>
      <c r="H276" s="9" t="n">
        <v>45996</v>
      </c>
      <c r="I276" s="9"/>
      <c r="J276" s="7" t="n">
        <v>8.1</v>
      </c>
      <c r="K276" s="7" t="s">
        <v>51</v>
      </c>
      <c r="L276" s="7" t="s">
        <v>21</v>
      </c>
      <c r="M276" s="7" t="s">
        <v>430</v>
      </c>
      <c r="N276" s="7" t="s">
        <v>53</v>
      </c>
      <c r="O276" s="10" t="n">
        <f aca="false">'Exec Summary'!$E$2-H276</f>
        <v>238</v>
      </c>
      <c r="P276" s="10" t="str">
        <f aca="false">IF(I276="","",I276-H276)</f>
        <v/>
      </c>
      <c r="Q276" s="10" t="n">
        <f aca="false">VLOOKUP(G276,$AA$2:$AB$5,2,FALSE())</f>
        <v>30</v>
      </c>
      <c r="R276" s="7" t="n">
        <f aca="false">IF(OR(F276="Open",F276="Reopened"),1,0)</f>
        <v>1</v>
      </c>
      <c r="S276" s="7" t="n">
        <f aca="false">IF(AND(H276&gt;='Exec Summary'!$E$1,H276&lt;='Exec Summary'!$E$2),1,0)</f>
        <v>0</v>
      </c>
      <c r="T276" s="7" t="n">
        <f aca="false">IF(AND(F276="Closed",I276&lt;&gt;"",I276&gt;='Exec Summary'!$E$1,I276&lt;='Exec Summary'!$E$2),1,0)</f>
        <v>0</v>
      </c>
      <c r="U276" s="7" t="n">
        <f aca="false">IF(F276="Reopened",1,0)</f>
        <v>0</v>
      </c>
      <c r="V276" s="7" t="n">
        <f aca="false">IF(AND(R276=1,O276&gt;Q276),1,0)</f>
        <v>1</v>
      </c>
      <c r="W276" s="7" t="n">
        <f aca="false">IF(AND(T276=1,P276&lt;&gt;"",P276&lt;=Q276),1,0)</f>
        <v>0</v>
      </c>
    </row>
    <row r="277" customFormat="false" ht="15" hidden="false" customHeight="false" outlineLevel="0" collapsed="false">
      <c r="A277" s="7" t="s">
        <v>425</v>
      </c>
      <c r="B277" s="7" t="s">
        <v>135</v>
      </c>
      <c r="C277" s="7" t="s">
        <v>247</v>
      </c>
      <c r="D277" s="7" t="s">
        <v>101</v>
      </c>
      <c r="E277" s="7" t="s">
        <v>102</v>
      </c>
      <c r="F277" s="7" t="s">
        <v>56</v>
      </c>
      <c r="G277" s="7" t="s">
        <v>19</v>
      </c>
      <c r="H277" s="9" t="n">
        <v>45978</v>
      </c>
      <c r="I277" s="9"/>
      <c r="J277" s="7" t="n">
        <v>10</v>
      </c>
      <c r="K277" s="7" t="s">
        <v>51</v>
      </c>
      <c r="L277" s="7" t="s">
        <v>21</v>
      </c>
      <c r="M277" s="7" t="s">
        <v>431</v>
      </c>
      <c r="N277" s="7" t="s">
        <v>58</v>
      </c>
      <c r="O277" s="10" t="n">
        <f aca="false">'Exec Summary'!$E$2-H277</f>
        <v>256</v>
      </c>
      <c r="P277" s="10" t="str">
        <f aca="false">IF(I277="","",I277-H277)</f>
        <v/>
      </c>
      <c r="Q277" s="10" t="n">
        <f aca="false">VLOOKUP(G277,$AA$2:$AB$5,2,FALSE())</f>
        <v>15</v>
      </c>
      <c r="R277" s="7" t="n">
        <f aca="false">IF(OR(F277="Open",F277="Reopened"),1,0)</f>
        <v>1</v>
      </c>
      <c r="S277" s="7" t="n">
        <f aca="false">IF(AND(H277&gt;='Exec Summary'!$E$1,H277&lt;='Exec Summary'!$E$2),1,0)</f>
        <v>0</v>
      </c>
      <c r="T277" s="7" t="n">
        <f aca="false">IF(AND(F277="Closed",I277&lt;&gt;"",I277&gt;='Exec Summary'!$E$1,I277&lt;='Exec Summary'!$E$2),1,0)</f>
        <v>0</v>
      </c>
      <c r="U277" s="7" t="n">
        <f aca="false">IF(F277="Reopened",1,0)</f>
        <v>0</v>
      </c>
      <c r="V277" s="7" t="n">
        <f aca="false">IF(AND(R277=1,O277&gt;Q277),1,0)</f>
        <v>1</v>
      </c>
      <c r="W277" s="7" t="n">
        <f aca="false">IF(AND(T277=1,P277&lt;&gt;"",P277&lt;=Q277),1,0)</f>
        <v>0</v>
      </c>
    </row>
    <row r="278" customFormat="false" ht="15" hidden="false" customHeight="false" outlineLevel="0" collapsed="false">
      <c r="A278" s="7" t="s">
        <v>432</v>
      </c>
      <c r="B278" s="7" t="s">
        <v>46</v>
      </c>
      <c r="C278" s="7" t="s">
        <v>79</v>
      </c>
      <c r="D278" s="7" t="s">
        <v>95</v>
      </c>
      <c r="E278" s="7" t="s">
        <v>96</v>
      </c>
      <c r="F278" s="7" t="s">
        <v>56</v>
      </c>
      <c r="G278" s="7" t="s">
        <v>20</v>
      </c>
      <c r="H278" s="9" t="n">
        <v>45972</v>
      </c>
      <c r="I278" s="9"/>
      <c r="J278" s="7" t="n">
        <v>8.8</v>
      </c>
      <c r="K278" s="7" t="s">
        <v>51</v>
      </c>
      <c r="L278" s="7" t="s">
        <v>20</v>
      </c>
      <c r="M278" s="7" t="s">
        <v>433</v>
      </c>
      <c r="N278" s="7" t="s">
        <v>53</v>
      </c>
      <c r="O278" s="10" t="n">
        <f aca="false">'Exec Summary'!$E$2-H278</f>
        <v>262</v>
      </c>
      <c r="P278" s="10" t="str">
        <f aca="false">IF(I278="","",I278-H278)</f>
        <v/>
      </c>
      <c r="Q278" s="10" t="n">
        <f aca="false">VLOOKUP(G278,$AA$2:$AB$5,2,FALSE())</f>
        <v>30</v>
      </c>
      <c r="R278" s="7" t="n">
        <f aca="false">IF(OR(F278="Open",F278="Reopened"),1,0)</f>
        <v>1</v>
      </c>
      <c r="S278" s="7" t="n">
        <f aca="false">IF(AND(H278&gt;='Exec Summary'!$E$1,H278&lt;='Exec Summary'!$E$2),1,0)</f>
        <v>0</v>
      </c>
      <c r="T278" s="7" t="n">
        <f aca="false">IF(AND(F278="Closed",I278&lt;&gt;"",I278&gt;='Exec Summary'!$E$1,I278&lt;='Exec Summary'!$E$2),1,0)</f>
        <v>0</v>
      </c>
      <c r="U278" s="7" t="n">
        <f aca="false">IF(F278="Reopened",1,0)</f>
        <v>0</v>
      </c>
      <c r="V278" s="7" t="n">
        <f aca="false">IF(AND(R278=1,O278&gt;Q278),1,0)</f>
        <v>1</v>
      </c>
      <c r="W278" s="7" t="n">
        <f aca="false">IF(AND(T278=1,P278&lt;&gt;"",P278&lt;=Q278),1,0)</f>
        <v>0</v>
      </c>
    </row>
    <row r="279" customFormat="false" ht="15" hidden="false" customHeight="false" outlineLevel="0" collapsed="false">
      <c r="A279" s="7" t="s">
        <v>432</v>
      </c>
      <c r="B279" s="7" t="s">
        <v>46</v>
      </c>
      <c r="C279" s="7" t="s">
        <v>79</v>
      </c>
      <c r="D279" s="7" t="s">
        <v>87</v>
      </c>
      <c r="E279" s="7" t="s">
        <v>88</v>
      </c>
      <c r="F279" s="7" t="s">
        <v>56</v>
      </c>
      <c r="G279" s="7" t="s">
        <v>19</v>
      </c>
      <c r="H279" s="9" t="n">
        <v>46152</v>
      </c>
      <c r="I279" s="9"/>
      <c r="J279" s="7" t="n">
        <v>10</v>
      </c>
      <c r="K279" s="7" t="s">
        <v>51</v>
      </c>
      <c r="L279" s="7" t="s">
        <v>20</v>
      </c>
      <c r="M279" s="7" t="s">
        <v>434</v>
      </c>
      <c r="N279" s="7" t="s">
        <v>58</v>
      </c>
      <c r="O279" s="10" t="n">
        <f aca="false">'Exec Summary'!$E$2-H279</f>
        <v>82</v>
      </c>
      <c r="P279" s="10" t="str">
        <f aca="false">IF(I279="","",I279-H279)</f>
        <v/>
      </c>
      <c r="Q279" s="10" t="n">
        <f aca="false">VLOOKUP(G279,$AA$2:$AB$5,2,FALSE())</f>
        <v>15</v>
      </c>
      <c r="R279" s="7" t="n">
        <f aca="false">IF(OR(F279="Open",F279="Reopened"),1,0)</f>
        <v>1</v>
      </c>
      <c r="S279" s="7" t="n">
        <f aca="false">IF(AND(H279&gt;='Exec Summary'!$E$1,H279&lt;='Exec Summary'!$E$2),1,0)</f>
        <v>0</v>
      </c>
      <c r="T279" s="7" t="n">
        <f aca="false">IF(AND(F279="Closed",I279&lt;&gt;"",I279&gt;='Exec Summary'!$E$1,I279&lt;='Exec Summary'!$E$2),1,0)</f>
        <v>0</v>
      </c>
      <c r="U279" s="7" t="n">
        <f aca="false">IF(F279="Reopened",1,0)</f>
        <v>0</v>
      </c>
      <c r="V279" s="7" t="n">
        <f aca="false">IF(AND(R279=1,O279&gt;Q279),1,0)</f>
        <v>1</v>
      </c>
      <c r="W279" s="7" t="n">
        <f aca="false">IF(AND(T279=1,P279&lt;&gt;"",P279&lt;=Q279),1,0)</f>
        <v>0</v>
      </c>
    </row>
    <row r="280" customFormat="false" ht="15" hidden="false" customHeight="false" outlineLevel="0" collapsed="false">
      <c r="A280" s="7" t="s">
        <v>432</v>
      </c>
      <c r="B280" s="7" t="s">
        <v>46</v>
      </c>
      <c r="C280" s="7" t="s">
        <v>79</v>
      </c>
      <c r="D280" s="7" t="s">
        <v>112</v>
      </c>
      <c r="E280" s="7" t="s">
        <v>113</v>
      </c>
      <c r="F280" s="7" t="s">
        <v>123</v>
      </c>
      <c r="G280" s="7" t="s">
        <v>20</v>
      </c>
      <c r="H280" s="9" t="n">
        <v>46065</v>
      </c>
      <c r="I280" s="9" t="n">
        <v>46096</v>
      </c>
      <c r="J280" s="7" t="n">
        <v>7.8</v>
      </c>
      <c r="K280" s="7" t="s">
        <v>51</v>
      </c>
      <c r="L280" s="7" t="s">
        <v>20</v>
      </c>
      <c r="M280" s="7" t="s">
        <v>435</v>
      </c>
      <c r="N280" s="7" t="s">
        <v>53</v>
      </c>
      <c r="O280" s="10" t="n">
        <f aca="false">'Exec Summary'!$E$2-H280</f>
        <v>169</v>
      </c>
      <c r="P280" s="10" t="n">
        <f aca="false">IF(I280="","",I280-H280)</f>
        <v>31</v>
      </c>
      <c r="Q280" s="10" t="n">
        <f aca="false">VLOOKUP(G280,$AA$2:$AB$5,2,FALSE())</f>
        <v>30</v>
      </c>
      <c r="R280" s="7" t="n">
        <f aca="false">IF(OR(F280="Open",F280="Reopened"),1,0)</f>
        <v>1</v>
      </c>
      <c r="S280" s="7" t="n">
        <f aca="false">IF(AND(H280&gt;='Exec Summary'!$E$1,H280&lt;='Exec Summary'!$E$2),1,0)</f>
        <v>0</v>
      </c>
      <c r="T280" s="7" t="n">
        <f aca="false">IF(AND(F280="Closed",I280&lt;&gt;"",I280&gt;='Exec Summary'!$E$1,I280&lt;='Exec Summary'!$E$2),1,0)</f>
        <v>0</v>
      </c>
      <c r="U280" s="7" t="n">
        <f aca="false">IF(F280="Reopened",1,0)</f>
        <v>1</v>
      </c>
      <c r="V280" s="7" t="n">
        <f aca="false">IF(AND(R280=1,O280&gt;Q280),1,0)</f>
        <v>1</v>
      </c>
      <c r="W280" s="7" t="n">
        <f aca="false">IF(AND(T280=1,P280&lt;&gt;"",P280&lt;=Q280),1,0)</f>
        <v>0</v>
      </c>
    </row>
    <row r="281" customFormat="false" ht="15" hidden="false" customHeight="false" outlineLevel="0" collapsed="false">
      <c r="A281" s="7" t="s">
        <v>436</v>
      </c>
      <c r="B281" s="7" t="s">
        <v>46</v>
      </c>
      <c r="C281" s="7" t="s">
        <v>47</v>
      </c>
      <c r="D281" s="7" t="s">
        <v>84</v>
      </c>
      <c r="E281" s="7" t="s">
        <v>85</v>
      </c>
      <c r="F281" s="7" t="s">
        <v>50</v>
      </c>
      <c r="G281" s="7" t="s">
        <v>20</v>
      </c>
      <c r="H281" s="9" t="n">
        <v>45989</v>
      </c>
      <c r="I281" s="9" t="n">
        <v>46012</v>
      </c>
      <c r="J281" s="7" t="n">
        <v>7.5</v>
      </c>
      <c r="K281" s="7" t="s">
        <v>51</v>
      </c>
      <c r="L281" s="7" t="s">
        <v>21</v>
      </c>
      <c r="M281" s="7" t="s">
        <v>437</v>
      </c>
      <c r="N281" s="7" t="s">
        <v>53</v>
      </c>
      <c r="O281" s="10" t="n">
        <f aca="false">'Exec Summary'!$E$2-H281</f>
        <v>245</v>
      </c>
      <c r="P281" s="10" t="n">
        <f aca="false">IF(I281="","",I281-H281)</f>
        <v>23</v>
      </c>
      <c r="Q281" s="10" t="n">
        <f aca="false">VLOOKUP(G281,$AA$2:$AB$5,2,FALSE())</f>
        <v>30</v>
      </c>
      <c r="R281" s="7" t="n">
        <f aca="false">IF(OR(F281="Open",F281="Reopened"),1,0)</f>
        <v>0</v>
      </c>
      <c r="S281" s="7" t="n">
        <f aca="false">IF(AND(H281&gt;='Exec Summary'!$E$1,H281&lt;='Exec Summary'!$E$2),1,0)</f>
        <v>0</v>
      </c>
      <c r="T281" s="7" t="n">
        <f aca="false">IF(AND(F281="Closed",I281&lt;&gt;"",I281&gt;='Exec Summary'!$E$1,I281&lt;='Exec Summary'!$E$2),1,0)</f>
        <v>0</v>
      </c>
      <c r="U281" s="7" t="n">
        <f aca="false">IF(F281="Reopened",1,0)</f>
        <v>0</v>
      </c>
      <c r="V281" s="7" t="n">
        <f aca="false">IF(AND(R281=1,O281&gt;Q281),1,0)</f>
        <v>0</v>
      </c>
      <c r="W281" s="7" t="n">
        <f aca="false">IF(AND(T281=1,P281&lt;&gt;"",P281&lt;=Q281),1,0)</f>
        <v>0</v>
      </c>
    </row>
    <row r="282" customFormat="false" ht="15" hidden="false" customHeight="false" outlineLevel="0" collapsed="false">
      <c r="A282" s="7" t="s">
        <v>436</v>
      </c>
      <c r="B282" s="7" t="s">
        <v>46</v>
      </c>
      <c r="C282" s="7" t="s">
        <v>47</v>
      </c>
      <c r="D282" s="7" t="s">
        <v>139</v>
      </c>
      <c r="E282" s="7" t="s">
        <v>140</v>
      </c>
      <c r="F282" s="7" t="s">
        <v>123</v>
      </c>
      <c r="G282" s="7" t="s">
        <v>19</v>
      </c>
      <c r="H282" s="9" t="n">
        <v>46066</v>
      </c>
      <c r="I282" s="9" t="n">
        <v>46072</v>
      </c>
      <c r="J282" s="7" t="n">
        <v>9.8</v>
      </c>
      <c r="K282" s="7" t="s">
        <v>51</v>
      </c>
      <c r="L282" s="7" t="s">
        <v>21</v>
      </c>
      <c r="M282" s="7" t="s">
        <v>438</v>
      </c>
      <c r="N282" s="7" t="s">
        <v>58</v>
      </c>
      <c r="O282" s="10" t="n">
        <f aca="false">'Exec Summary'!$E$2-H282</f>
        <v>168</v>
      </c>
      <c r="P282" s="10" t="n">
        <f aca="false">IF(I282="","",I282-H282)</f>
        <v>6</v>
      </c>
      <c r="Q282" s="10" t="n">
        <f aca="false">VLOOKUP(G282,$AA$2:$AB$5,2,FALSE())</f>
        <v>15</v>
      </c>
      <c r="R282" s="7" t="n">
        <f aca="false">IF(OR(F282="Open",F282="Reopened"),1,0)</f>
        <v>1</v>
      </c>
      <c r="S282" s="7" t="n">
        <f aca="false">IF(AND(H282&gt;='Exec Summary'!$E$1,H282&lt;='Exec Summary'!$E$2),1,0)</f>
        <v>0</v>
      </c>
      <c r="T282" s="7" t="n">
        <f aca="false">IF(AND(F282="Closed",I282&lt;&gt;"",I282&gt;='Exec Summary'!$E$1,I282&lt;='Exec Summary'!$E$2),1,0)</f>
        <v>0</v>
      </c>
      <c r="U282" s="7" t="n">
        <f aca="false">IF(F282="Reopened",1,0)</f>
        <v>1</v>
      </c>
      <c r="V282" s="7" t="n">
        <f aca="false">IF(AND(R282=1,O282&gt;Q282),1,0)</f>
        <v>1</v>
      </c>
      <c r="W282" s="7" t="n">
        <f aca="false">IF(AND(T282=1,P282&lt;&gt;"",P282&lt;=Q282),1,0)</f>
        <v>0</v>
      </c>
    </row>
    <row r="283" customFormat="false" ht="15" hidden="false" customHeight="false" outlineLevel="0" collapsed="false">
      <c r="A283" s="7" t="s">
        <v>436</v>
      </c>
      <c r="B283" s="7" t="s">
        <v>46</v>
      </c>
      <c r="C283" s="7" t="s">
        <v>47</v>
      </c>
      <c r="D283" s="7" t="s">
        <v>98</v>
      </c>
      <c r="E283" s="7" t="s">
        <v>99</v>
      </c>
      <c r="F283" s="7" t="s">
        <v>123</v>
      </c>
      <c r="G283" s="7" t="s">
        <v>19</v>
      </c>
      <c r="H283" s="9" t="n">
        <v>46162</v>
      </c>
      <c r="I283" s="9" t="n">
        <v>46163</v>
      </c>
      <c r="J283" s="7" t="n">
        <v>10</v>
      </c>
      <c r="K283" s="7" t="s">
        <v>51</v>
      </c>
      <c r="L283" s="7" t="s">
        <v>21</v>
      </c>
      <c r="M283" s="7" t="s">
        <v>439</v>
      </c>
      <c r="N283" s="7" t="s">
        <v>58</v>
      </c>
      <c r="O283" s="10" t="n">
        <f aca="false">'Exec Summary'!$E$2-H283</f>
        <v>72</v>
      </c>
      <c r="P283" s="10" t="n">
        <f aca="false">IF(I283="","",I283-H283)</f>
        <v>1</v>
      </c>
      <c r="Q283" s="10" t="n">
        <f aca="false">VLOOKUP(G283,$AA$2:$AB$5,2,FALSE())</f>
        <v>15</v>
      </c>
      <c r="R283" s="7" t="n">
        <f aca="false">IF(OR(F283="Open",F283="Reopened"),1,0)</f>
        <v>1</v>
      </c>
      <c r="S283" s="7" t="n">
        <f aca="false">IF(AND(H283&gt;='Exec Summary'!$E$1,H283&lt;='Exec Summary'!$E$2),1,0)</f>
        <v>0</v>
      </c>
      <c r="T283" s="7" t="n">
        <f aca="false">IF(AND(F283="Closed",I283&lt;&gt;"",I283&gt;='Exec Summary'!$E$1,I283&lt;='Exec Summary'!$E$2),1,0)</f>
        <v>0</v>
      </c>
      <c r="U283" s="7" t="n">
        <f aca="false">IF(F283="Reopened",1,0)</f>
        <v>1</v>
      </c>
      <c r="V283" s="7" t="n">
        <f aca="false">IF(AND(R283=1,O283&gt;Q283),1,0)</f>
        <v>1</v>
      </c>
      <c r="W283" s="7" t="n">
        <f aca="false">IF(AND(T283=1,P283&lt;&gt;"",P283&lt;=Q283),1,0)</f>
        <v>0</v>
      </c>
    </row>
    <row r="284" customFormat="false" ht="15" hidden="false" customHeight="false" outlineLevel="0" collapsed="false">
      <c r="A284" s="7" t="s">
        <v>436</v>
      </c>
      <c r="B284" s="7" t="s">
        <v>46</v>
      </c>
      <c r="C284" s="7" t="s">
        <v>47</v>
      </c>
      <c r="D284" s="7" t="s">
        <v>65</v>
      </c>
      <c r="E284" s="7" t="s">
        <v>66</v>
      </c>
      <c r="F284" s="7" t="s">
        <v>50</v>
      </c>
      <c r="G284" s="7" t="s">
        <v>19</v>
      </c>
      <c r="H284" s="9" t="n">
        <v>46133</v>
      </c>
      <c r="I284" s="9" t="n">
        <v>46144</v>
      </c>
      <c r="J284" s="7" t="n">
        <v>9.8</v>
      </c>
      <c r="K284" s="7" t="s">
        <v>51</v>
      </c>
      <c r="L284" s="7" t="s">
        <v>21</v>
      </c>
      <c r="M284" s="7" t="s">
        <v>440</v>
      </c>
      <c r="N284" s="7" t="s">
        <v>58</v>
      </c>
      <c r="O284" s="10" t="n">
        <f aca="false">'Exec Summary'!$E$2-H284</f>
        <v>101</v>
      </c>
      <c r="P284" s="10" t="n">
        <f aca="false">IF(I284="","",I284-H284)</f>
        <v>11</v>
      </c>
      <c r="Q284" s="10" t="n">
        <f aca="false">VLOOKUP(G284,$AA$2:$AB$5,2,FALSE())</f>
        <v>15</v>
      </c>
      <c r="R284" s="7" t="n">
        <f aca="false">IF(OR(F284="Open",F284="Reopened"),1,0)</f>
        <v>0</v>
      </c>
      <c r="S284" s="7" t="n">
        <f aca="false">IF(AND(H284&gt;='Exec Summary'!$E$1,H284&lt;='Exec Summary'!$E$2),1,0)</f>
        <v>0</v>
      </c>
      <c r="T284" s="7" t="n">
        <f aca="false">IF(AND(F284="Closed",I284&lt;&gt;"",I284&gt;='Exec Summary'!$E$1,I284&lt;='Exec Summary'!$E$2),1,0)</f>
        <v>0</v>
      </c>
      <c r="U284" s="7" t="n">
        <f aca="false">IF(F284="Reopened",1,0)</f>
        <v>0</v>
      </c>
      <c r="V284" s="7" t="n">
        <f aca="false">IF(AND(R284=1,O284&gt;Q284),1,0)</f>
        <v>0</v>
      </c>
      <c r="W284" s="7" t="n">
        <f aca="false">IF(AND(T284=1,P284&lt;&gt;"",P284&lt;=Q284),1,0)</f>
        <v>0</v>
      </c>
    </row>
    <row r="285" customFormat="false" ht="15" hidden="false" customHeight="false" outlineLevel="0" collapsed="false">
      <c r="A285" s="7" t="s">
        <v>436</v>
      </c>
      <c r="B285" s="7" t="s">
        <v>46</v>
      </c>
      <c r="C285" s="7" t="s">
        <v>47</v>
      </c>
      <c r="D285" s="7" t="s">
        <v>145</v>
      </c>
      <c r="E285" s="7" t="s">
        <v>146</v>
      </c>
      <c r="F285" s="7" t="s">
        <v>50</v>
      </c>
      <c r="G285" s="7" t="s">
        <v>19</v>
      </c>
      <c r="H285" s="9" t="n">
        <v>45935</v>
      </c>
      <c r="I285" s="9" t="n">
        <v>45953</v>
      </c>
      <c r="J285" s="7" t="n">
        <v>9.8</v>
      </c>
      <c r="K285" s="7" t="s">
        <v>51</v>
      </c>
      <c r="L285" s="7" t="s">
        <v>21</v>
      </c>
      <c r="M285" s="7" t="s">
        <v>441</v>
      </c>
      <c r="N285" s="7" t="s">
        <v>58</v>
      </c>
      <c r="O285" s="10" t="n">
        <f aca="false">'Exec Summary'!$E$2-H285</f>
        <v>299</v>
      </c>
      <c r="P285" s="10" t="n">
        <f aca="false">IF(I285="","",I285-H285)</f>
        <v>18</v>
      </c>
      <c r="Q285" s="10" t="n">
        <f aca="false">VLOOKUP(G285,$AA$2:$AB$5,2,FALSE())</f>
        <v>15</v>
      </c>
      <c r="R285" s="7" t="n">
        <f aca="false">IF(OR(F285="Open",F285="Reopened"),1,0)</f>
        <v>0</v>
      </c>
      <c r="S285" s="7" t="n">
        <f aca="false">IF(AND(H285&gt;='Exec Summary'!$E$1,H285&lt;='Exec Summary'!$E$2),1,0)</f>
        <v>0</v>
      </c>
      <c r="T285" s="7" t="n">
        <f aca="false">IF(AND(F285="Closed",I285&lt;&gt;"",I285&gt;='Exec Summary'!$E$1,I285&lt;='Exec Summary'!$E$2),1,0)</f>
        <v>0</v>
      </c>
      <c r="U285" s="7" t="n">
        <f aca="false">IF(F285="Reopened",1,0)</f>
        <v>0</v>
      </c>
      <c r="V285" s="7" t="n">
        <f aca="false">IF(AND(R285=1,O285&gt;Q285),1,0)</f>
        <v>0</v>
      </c>
      <c r="W285" s="7" t="n">
        <f aca="false">IF(AND(T285=1,P285&lt;&gt;"",P285&lt;=Q285),1,0)</f>
        <v>0</v>
      </c>
    </row>
    <row r="286" customFormat="false" ht="15" hidden="false" customHeight="false" outlineLevel="0" collapsed="false">
      <c r="A286" s="7" t="s">
        <v>436</v>
      </c>
      <c r="B286" s="7" t="s">
        <v>46</v>
      </c>
      <c r="C286" s="7" t="s">
        <v>47</v>
      </c>
      <c r="D286" s="7" t="s">
        <v>48</v>
      </c>
      <c r="E286" s="7" t="s">
        <v>49</v>
      </c>
      <c r="F286" s="7" t="s">
        <v>50</v>
      </c>
      <c r="G286" s="7" t="s">
        <v>20</v>
      </c>
      <c r="H286" s="9" t="n">
        <v>46210</v>
      </c>
      <c r="I286" s="9" t="n">
        <v>46226</v>
      </c>
      <c r="J286" s="7" t="n">
        <v>7.5</v>
      </c>
      <c r="K286" s="7" t="s">
        <v>51</v>
      </c>
      <c r="L286" s="7" t="s">
        <v>21</v>
      </c>
      <c r="M286" s="7" t="s">
        <v>442</v>
      </c>
      <c r="N286" s="7" t="s">
        <v>53</v>
      </c>
      <c r="O286" s="10" t="n">
        <f aca="false">'Exec Summary'!$E$2-H286</f>
        <v>24</v>
      </c>
      <c r="P286" s="10" t="n">
        <f aca="false">IF(I286="","",I286-H286)</f>
        <v>16</v>
      </c>
      <c r="Q286" s="10" t="n">
        <f aca="false">VLOOKUP(G286,$AA$2:$AB$5,2,FALSE())</f>
        <v>30</v>
      </c>
      <c r="R286" s="7" t="n">
        <f aca="false">IF(OR(F286="Open",F286="Reopened"),1,0)</f>
        <v>0</v>
      </c>
      <c r="S286" s="7" t="n">
        <f aca="false">IF(AND(H286&gt;='Exec Summary'!$E$1,H286&lt;='Exec Summary'!$E$2),1,0)</f>
        <v>1</v>
      </c>
      <c r="T286" s="7" t="n">
        <f aca="false">IF(AND(F286="Closed",I286&lt;&gt;"",I286&gt;='Exec Summary'!$E$1,I286&lt;='Exec Summary'!$E$2),1,0)</f>
        <v>1</v>
      </c>
      <c r="U286" s="7" t="n">
        <f aca="false">IF(F286="Reopened",1,0)</f>
        <v>0</v>
      </c>
      <c r="V286" s="7" t="n">
        <f aca="false">IF(AND(R286=1,O286&gt;Q286),1,0)</f>
        <v>0</v>
      </c>
      <c r="W286" s="7" t="n">
        <f aca="false">IF(AND(T286=1,P286&lt;&gt;"",P286&lt;=Q286),1,0)</f>
        <v>1</v>
      </c>
    </row>
    <row r="287" customFormat="false" ht="15" hidden="false" customHeight="false" outlineLevel="0" collapsed="false">
      <c r="A287" s="7" t="s">
        <v>436</v>
      </c>
      <c r="B287" s="7" t="s">
        <v>46</v>
      </c>
      <c r="C287" s="7" t="s">
        <v>47</v>
      </c>
      <c r="D287" s="7" t="s">
        <v>104</v>
      </c>
      <c r="E287" s="7" t="s">
        <v>105</v>
      </c>
      <c r="F287" s="7" t="s">
        <v>50</v>
      </c>
      <c r="G287" s="7" t="s">
        <v>19</v>
      </c>
      <c r="H287" s="9" t="n">
        <v>45996</v>
      </c>
      <c r="I287" s="9" t="n">
        <v>46013</v>
      </c>
      <c r="J287" s="7" t="n">
        <v>9.8</v>
      </c>
      <c r="K287" s="7" t="s">
        <v>51</v>
      </c>
      <c r="L287" s="7" t="s">
        <v>21</v>
      </c>
      <c r="M287" s="7" t="s">
        <v>443</v>
      </c>
      <c r="N287" s="7" t="s">
        <v>58</v>
      </c>
      <c r="O287" s="10" t="n">
        <f aca="false">'Exec Summary'!$E$2-H287</f>
        <v>238</v>
      </c>
      <c r="P287" s="10" t="n">
        <f aca="false">IF(I287="","",I287-H287)</f>
        <v>17</v>
      </c>
      <c r="Q287" s="10" t="n">
        <f aca="false">VLOOKUP(G287,$AA$2:$AB$5,2,FALSE())</f>
        <v>15</v>
      </c>
      <c r="R287" s="7" t="n">
        <f aca="false">IF(OR(F287="Open",F287="Reopened"),1,0)</f>
        <v>0</v>
      </c>
      <c r="S287" s="7" t="n">
        <f aca="false">IF(AND(H287&gt;='Exec Summary'!$E$1,H287&lt;='Exec Summary'!$E$2),1,0)</f>
        <v>0</v>
      </c>
      <c r="T287" s="7" t="n">
        <f aca="false">IF(AND(F287="Closed",I287&lt;&gt;"",I287&gt;='Exec Summary'!$E$1,I287&lt;='Exec Summary'!$E$2),1,0)</f>
        <v>0</v>
      </c>
      <c r="U287" s="7" t="n">
        <f aca="false">IF(F287="Reopened",1,0)</f>
        <v>0</v>
      </c>
      <c r="V287" s="7" t="n">
        <f aca="false">IF(AND(R287=1,O287&gt;Q287),1,0)</f>
        <v>0</v>
      </c>
      <c r="W287" s="7" t="n">
        <f aca="false">IF(AND(T287=1,P287&lt;&gt;"",P287&lt;=Q287),1,0)</f>
        <v>0</v>
      </c>
    </row>
    <row r="288" customFormat="false" ht="15" hidden="false" customHeight="false" outlineLevel="0" collapsed="false">
      <c r="A288" s="7" t="s">
        <v>436</v>
      </c>
      <c r="B288" s="7" t="s">
        <v>46</v>
      </c>
      <c r="C288" s="7" t="s">
        <v>47</v>
      </c>
      <c r="D288" s="7" t="s">
        <v>210</v>
      </c>
      <c r="E288" s="7" t="s">
        <v>211</v>
      </c>
      <c r="F288" s="7" t="s">
        <v>56</v>
      </c>
      <c r="G288" s="7" t="s">
        <v>19</v>
      </c>
      <c r="H288" s="9" t="n">
        <v>45962</v>
      </c>
      <c r="I288" s="9"/>
      <c r="J288" s="7" t="n">
        <v>9.8</v>
      </c>
      <c r="K288" s="7" t="s">
        <v>51</v>
      </c>
      <c r="L288" s="7" t="s">
        <v>21</v>
      </c>
      <c r="M288" s="7" t="s">
        <v>444</v>
      </c>
      <c r="N288" s="7" t="s">
        <v>58</v>
      </c>
      <c r="O288" s="10" t="n">
        <f aca="false">'Exec Summary'!$E$2-H288</f>
        <v>272</v>
      </c>
      <c r="P288" s="10" t="str">
        <f aca="false">IF(I288="","",I288-H288)</f>
        <v/>
      </c>
      <c r="Q288" s="10" t="n">
        <f aca="false">VLOOKUP(G288,$AA$2:$AB$5,2,FALSE())</f>
        <v>15</v>
      </c>
      <c r="R288" s="7" t="n">
        <f aca="false">IF(OR(F288="Open",F288="Reopened"),1,0)</f>
        <v>1</v>
      </c>
      <c r="S288" s="7" t="n">
        <f aca="false">IF(AND(H288&gt;='Exec Summary'!$E$1,H288&lt;='Exec Summary'!$E$2),1,0)</f>
        <v>0</v>
      </c>
      <c r="T288" s="7" t="n">
        <f aca="false">IF(AND(F288="Closed",I288&lt;&gt;"",I288&gt;='Exec Summary'!$E$1,I288&lt;='Exec Summary'!$E$2),1,0)</f>
        <v>0</v>
      </c>
      <c r="U288" s="7" t="n">
        <f aca="false">IF(F288="Reopened",1,0)</f>
        <v>0</v>
      </c>
      <c r="V288" s="7" t="n">
        <f aca="false">IF(AND(R288=1,O288&gt;Q288),1,0)</f>
        <v>1</v>
      </c>
      <c r="W288" s="7" t="n">
        <f aca="false">IF(AND(T288=1,P288&lt;&gt;"",P288&lt;=Q288),1,0)</f>
        <v>0</v>
      </c>
    </row>
    <row r="289" customFormat="false" ht="15" hidden="false" customHeight="false" outlineLevel="0" collapsed="false">
      <c r="A289" s="7" t="s">
        <v>445</v>
      </c>
      <c r="B289" s="7" t="s">
        <v>46</v>
      </c>
      <c r="C289" s="7" t="s">
        <v>47</v>
      </c>
      <c r="D289" s="7" t="s">
        <v>48</v>
      </c>
      <c r="E289" s="7" t="s">
        <v>49</v>
      </c>
      <c r="F289" s="7" t="s">
        <v>50</v>
      </c>
      <c r="G289" s="7" t="s">
        <v>20</v>
      </c>
      <c r="H289" s="9" t="n">
        <v>46031</v>
      </c>
      <c r="I289" s="9" t="n">
        <v>46048</v>
      </c>
      <c r="J289" s="7" t="n">
        <v>7.5</v>
      </c>
      <c r="K289" s="7" t="s">
        <v>51</v>
      </c>
      <c r="L289" s="7" t="s">
        <v>21</v>
      </c>
      <c r="M289" s="7" t="s">
        <v>446</v>
      </c>
      <c r="N289" s="7" t="s">
        <v>53</v>
      </c>
      <c r="O289" s="10" t="n">
        <f aca="false">'Exec Summary'!$E$2-H289</f>
        <v>203</v>
      </c>
      <c r="P289" s="10" t="n">
        <f aca="false">IF(I289="","",I289-H289)</f>
        <v>17</v>
      </c>
      <c r="Q289" s="10" t="n">
        <f aca="false">VLOOKUP(G289,$AA$2:$AB$5,2,FALSE())</f>
        <v>30</v>
      </c>
      <c r="R289" s="7" t="n">
        <f aca="false">IF(OR(F289="Open",F289="Reopened"),1,0)</f>
        <v>0</v>
      </c>
      <c r="S289" s="7" t="n">
        <f aca="false">IF(AND(H289&gt;='Exec Summary'!$E$1,H289&lt;='Exec Summary'!$E$2),1,0)</f>
        <v>0</v>
      </c>
      <c r="T289" s="7" t="n">
        <f aca="false">IF(AND(F289="Closed",I289&lt;&gt;"",I289&gt;='Exec Summary'!$E$1,I289&lt;='Exec Summary'!$E$2),1,0)</f>
        <v>0</v>
      </c>
      <c r="U289" s="7" t="n">
        <f aca="false">IF(F289="Reopened",1,0)</f>
        <v>0</v>
      </c>
      <c r="V289" s="7" t="n">
        <f aca="false">IF(AND(R289=1,O289&gt;Q289),1,0)</f>
        <v>0</v>
      </c>
      <c r="W289" s="7" t="n">
        <f aca="false">IF(AND(T289=1,P289&lt;&gt;"",P289&lt;=Q289),1,0)</f>
        <v>0</v>
      </c>
    </row>
    <row r="290" customFormat="false" ht="15" hidden="false" customHeight="false" outlineLevel="0" collapsed="false">
      <c r="A290" s="7" t="s">
        <v>445</v>
      </c>
      <c r="B290" s="7" t="s">
        <v>46</v>
      </c>
      <c r="C290" s="7" t="s">
        <v>47</v>
      </c>
      <c r="D290" s="7" t="s">
        <v>91</v>
      </c>
      <c r="E290" s="7" t="s">
        <v>92</v>
      </c>
      <c r="F290" s="7" t="s">
        <v>50</v>
      </c>
      <c r="G290" s="7" t="s">
        <v>20</v>
      </c>
      <c r="H290" s="9" t="n">
        <v>46117</v>
      </c>
      <c r="I290" s="9" t="n">
        <v>46150</v>
      </c>
      <c r="J290" s="7" t="n">
        <v>8.1</v>
      </c>
      <c r="K290" s="7" t="s">
        <v>51</v>
      </c>
      <c r="L290" s="7" t="s">
        <v>21</v>
      </c>
      <c r="M290" s="7" t="s">
        <v>447</v>
      </c>
      <c r="N290" s="7" t="s">
        <v>53</v>
      </c>
      <c r="O290" s="10" t="n">
        <f aca="false">'Exec Summary'!$E$2-H290</f>
        <v>117</v>
      </c>
      <c r="P290" s="10" t="n">
        <f aca="false">IF(I290="","",I290-H290)</f>
        <v>33</v>
      </c>
      <c r="Q290" s="10" t="n">
        <f aca="false">VLOOKUP(G290,$AA$2:$AB$5,2,FALSE())</f>
        <v>30</v>
      </c>
      <c r="R290" s="7" t="n">
        <f aca="false">IF(OR(F290="Open",F290="Reopened"),1,0)</f>
        <v>0</v>
      </c>
      <c r="S290" s="7" t="n">
        <f aca="false">IF(AND(H290&gt;='Exec Summary'!$E$1,H290&lt;='Exec Summary'!$E$2),1,0)</f>
        <v>0</v>
      </c>
      <c r="T290" s="7" t="n">
        <f aca="false">IF(AND(F290="Closed",I290&lt;&gt;"",I290&gt;='Exec Summary'!$E$1,I290&lt;='Exec Summary'!$E$2),1,0)</f>
        <v>0</v>
      </c>
      <c r="U290" s="7" t="n">
        <f aca="false">IF(F290="Reopened",1,0)</f>
        <v>0</v>
      </c>
      <c r="V290" s="7" t="n">
        <f aca="false">IF(AND(R290=1,O290&gt;Q290),1,0)</f>
        <v>0</v>
      </c>
      <c r="W290" s="7" t="n">
        <f aca="false">IF(AND(T290=1,P290&lt;&gt;"",P290&lt;=Q290),1,0)</f>
        <v>0</v>
      </c>
    </row>
    <row r="291" customFormat="false" ht="15" hidden="false" customHeight="false" outlineLevel="0" collapsed="false">
      <c r="A291" s="7" t="s">
        <v>445</v>
      </c>
      <c r="B291" s="7" t="s">
        <v>46</v>
      </c>
      <c r="C291" s="7" t="s">
        <v>47</v>
      </c>
      <c r="D291" s="7" t="s">
        <v>192</v>
      </c>
      <c r="E291" s="7" t="s">
        <v>193</v>
      </c>
      <c r="F291" s="7" t="s">
        <v>50</v>
      </c>
      <c r="G291" s="7" t="s">
        <v>19</v>
      </c>
      <c r="H291" s="9" t="n">
        <v>46032</v>
      </c>
      <c r="I291" s="9" t="n">
        <v>46038</v>
      </c>
      <c r="J291" s="7" t="n">
        <v>9.8</v>
      </c>
      <c r="K291" s="7" t="s">
        <v>51</v>
      </c>
      <c r="L291" s="7" t="s">
        <v>21</v>
      </c>
      <c r="M291" s="7" t="s">
        <v>448</v>
      </c>
      <c r="N291" s="7" t="s">
        <v>58</v>
      </c>
      <c r="O291" s="10" t="n">
        <f aca="false">'Exec Summary'!$E$2-H291</f>
        <v>202</v>
      </c>
      <c r="P291" s="10" t="n">
        <f aca="false">IF(I291="","",I291-H291)</f>
        <v>6</v>
      </c>
      <c r="Q291" s="10" t="n">
        <f aca="false">VLOOKUP(G291,$AA$2:$AB$5,2,FALSE())</f>
        <v>15</v>
      </c>
      <c r="R291" s="7" t="n">
        <f aca="false">IF(OR(F291="Open",F291="Reopened"),1,0)</f>
        <v>0</v>
      </c>
      <c r="S291" s="7" t="n">
        <f aca="false">IF(AND(H291&gt;='Exec Summary'!$E$1,H291&lt;='Exec Summary'!$E$2),1,0)</f>
        <v>0</v>
      </c>
      <c r="T291" s="7" t="n">
        <f aca="false">IF(AND(F291="Closed",I291&lt;&gt;"",I291&gt;='Exec Summary'!$E$1,I291&lt;='Exec Summary'!$E$2),1,0)</f>
        <v>0</v>
      </c>
      <c r="U291" s="7" t="n">
        <f aca="false">IF(F291="Reopened",1,0)</f>
        <v>0</v>
      </c>
      <c r="V291" s="7" t="n">
        <f aca="false">IF(AND(R291=1,O291&gt;Q291),1,0)</f>
        <v>0</v>
      </c>
      <c r="W291" s="7" t="n">
        <f aca="false">IF(AND(T291=1,P291&lt;&gt;"",P291&lt;=Q291),1,0)</f>
        <v>0</v>
      </c>
    </row>
    <row r="292" customFormat="false" ht="15" hidden="false" customHeight="false" outlineLevel="0" collapsed="false">
      <c r="A292" s="7" t="s">
        <v>445</v>
      </c>
      <c r="B292" s="7" t="s">
        <v>46</v>
      </c>
      <c r="C292" s="7" t="s">
        <v>47</v>
      </c>
      <c r="D292" s="7" t="s">
        <v>145</v>
      </c>
      <c r="E292" s="7" t="s">
        <v>146</v>
      </c>
      <c r="F292" s="7" t="s">
        <v>50</v>
      </c>
      <c r="G292" s="7" t="s">
        <v>19</v>
      </c>
      <c r="H292" s="9" t="n">
        <v>46184</v>
      </c>
      <c r="I292" s="9" t="n">
        <v>46197</v>
      </c>
      <c r="J292" s="7" t="n">
        <v>9.8</v>
      </c>
      <c r="K292" s="7" t="s">
        <v>51</v>
      </c>
      <c r="L292" s="7" t="s">
        <v>21</v>
      </c>
      <c r="M292" s="7" t="s">
        <v>449</v>
      </c>
      <c r="N292" s="7" t="s">
        <v>58</v>
      </c>
      <c r="O292" s="10" t="n">
        <f aca="false">'Exec Summary'!$E$2-H292</f>
        <v>50</v>
      </c>
      <c r="P292" s="10" t="n">
        <f aca="false">IF(I292="","",I292-H292)</f>
        <v>13</v>
      </c>
      <c r="Q292" s="10" t="n">
        <f aca="false">VLOOKUP(G292,$AA$2:$AB$5,2,FALSE())</f>
        <v>15</v>
      </c>
      <c r="R292" s="7" t="n">
        <f aca="false">IF(OR(F292="Open",F292="Reopened"),1,0)</f>
        <v>0</v>
      </c>
      <c r="S292" s="7" t="n">
        <f aca="false">IF(AND(H292&gt;='Exec Summary'!$E$1,H292&lt;='Exec Summary'!$E$2),1,0)</f>
        <v>0</v>
      </c>
      <c r="T292" s="7" t="n">
        <f aca="false">IF(AND(F292="Closed",I292&lt;&gt;"",I292&gt;='Exec Summary'!$E$1,I292&lt;='Exec Summary'!$E$2),1,0)</f>
        <v>0</v>
      </c>
      <c r="U292" s="7" t="n">
        <f aca="false">IF(F292="Reopened",1,0)</f>
        <v>0</v>
      </c>
      <c r="V292" s="7" t="n">
        <f aca="false">IF(AND(R292=1,O292&gt;Q292),1,0)</f>
        <v>0</v>
      </c>
      <c r="W292" s="7" t="n">
        <f aca="false">IF(AND(T292=1,P292&lt;&gt;"",P292&lt;=Q292),1,0)</f>
        <v>0</v>
      </c>
    </row>
    <row r="293" customFormat="false" ht="15" hidden="false" customHeight="false" outlineLevel="0" collapsed="false">
      <c r="A293" s="7" t="s">
        <v>450</v>
      </c>
      <c r="B293" s="7" t="s">
        <v>135</v>
      </c>
      <c r="C293" s="7" t="s">
        <v>306</v>
      </c>
      <c r="D293" s="7" t="s">
        <v>192</v>
      </c>
      <c r="E293" s="7" t="s">
        <v>193</v>
      </c>
      <c r="F293" s="7" t="s">
        <v>56</v>
      </c>
      <c r="G293" s="7" t="s">
        <v>19</v>
      </c>
      <c r="H293" s="9" t="n">
        <v>46053</v>
      </c>
      <c r="I293" s="9"/>
      <c r="J293" s="7" t="n">
        <v>9.8</v>
      </c>
      <c r="K293" s="7" t="s">
        <v>51</v>
      </c>
      <c r="L293" s="7" t="s">
        <v>21</v>
      </c>
      <c r="M293" s="7" t="s">
        <v>451</v>
      </c>
      <c r="N293" s="7" t="s">
        <v>58</v>
      </c>
      <c r="O293" s="10" t="n">
        <f aca="false">'Exec Summary'!$E$2-H293</f>
        <v>181</v>
      </c>
      <c r="P293" s="10" t="str">
        <f aca="false">IF(I293="","",I293-H293)</f>
        <v/>
      </c>
      <c r="Q293" s="10" t="n">
        <f aca="false">VLOOKUP(G293,$AA$2:$AB$5,2,FALSE())</f>
        <v>15</v>
      </c>
      <c r="R293" s="7" t="n">
        <f aca="false">IF(OR(F293="Open",F293="Reopened"),1,0)</f>
        <v>1</v>
      </c>
      <c r="S293" s="7" t="n">
        <f aca="false">IF(AND(H293&gt;='Exec Summary'!$E$1,H293&lt;='Exec Summary'!$E$2),1,0)</f>
        <v>0</v>
      </c>
      <c r="T293" s="7" t="n">
        <f aca="false">IF(AND(F293="Closed",I293&lt;&gt;"",I293&gt;='Exec Summary'!$E$1,I293&lt;='Exec Summary'!$E$2),1,0)</f>
        <v>0</v>
      </c>
      <c r="U293" s="7" t="n">
        <f aca="false">IF(F293="Reopened",1,0)</f>
        <v>0</v>
      </c>
      <c r="V293" s="7" t="n">
        <f aca="false">IF(AND(R293=1,O293&gt;Q293),1,0)</f>
        <v>1</v>
      </c>
      <c r="W293" s="7" t="n">
        <f aca="false">IF(AND(T293=1,P293&lt;&gt;"",P293&lt;=Q293),1,0)</f>
        <v>0</v>
      </c>
    </row>
    <row r="294" customFormat="false" ht="15" hidden="false" customHeight="false" outlineLevel="0" collapsed="false">
      <c r="A294" s="7" t="s">
        <v>450</v>
      </c>
      <c r="B294" s="7" t="s">
        <v>135</v>
      </c>
      <c r="C294" s="7" t="s">
        <v>306</v>
      </c>
      <c r="D294" s="7" t="s">
        <v>145</v>
      </c>
      <c r="E294" s="7" t="s">
        <v>146</v>
      </c>
      <c r="F294" s="7" t="s">
        <v>123</v>
      </c>
      <c r="G294" s="7" t="s">
        <v>19</v>
      </c>
      <c r="H294" s="9" t="n">
        <v>46006</v>
      </c>
      <c r="I294" s="9" t="n">
        <v>46007</v>
      </c>
      <c r="J294" s="7" t="n">
        <v>9.8</v>
      </c>
      <c r="K294" s="7" t="s">
        <v>51</v>
      </c>
      <c r="L294" s="7" t="s">
        <v>21</v>
      </c>
      <c r="M294" s="7" t="s">
        <v>452</v>
      </c>
      <c r="N294" s="7" t="s">
        <v>58</v>
      </c>
      <c r="O294" s="10" t="n">
        <f aca="false">'Exec Summary'!$E$2-H294</f>
        <v>228</v>
      </c>
      <c r="P294" s="10" t="n">
        <f aca="false">IF(I294="","",I294-H294)</f>
        <v>1</v>
      </c>
      <c r="Q294" s="10" t="n">
        <f aca="false">VLOOKUP(G294,$AA$2:$AB$5,2,FALSE())</f>
        <v>15</v>
      </c>
      <c r="R294" s="7" t="n">
        <f aca="false">IF(OR(F294="Open",F294="Reopened"),1,0)</f>
        <v>1</v>
      </c>
      <c r="S294" s="7" t="n">
        <f aca="false">IF(AND(H294&gt;='Exec Summary'!$E$1,H294&lt;='Exec Summary'!$E$2),1,0)</f>
        <v>0</v>
      </c>
      <c r="T294" s="7" t="n">
        <f aca="false">IF(AND(F294="Closed",I294&lt;&gt;"",I294&gt;='Exec Summary'!$E$1,I294&lt;='Exec Summary'!$E$2),1,0)</f>
        <v>0</v>
      </c>
      <c r="U294" s="7" t="n">
        <f aca="false">IF(F294="Reopened",1,0)</f>
        <v>1</v>
      </c>
      <c r="V294" s="7" t="n">
        <f aca="false">IF(AND(R294=1,O294&gt;Q294),1,0)</f>
        <v>1</v>
      </c>
      <c r="W294" s="7" t="n">
        <f aca="false">IF(AND(T294=1,P294&lt;&gt;"",P294&lt;=Q294),1,0)</f>
        <v>0</v>
      </c>
    </row>
    <row r="295" customFormat="false" ht="15" hidden="false" customHeight="false" outlineLevel="0" collapsed="false">
      <c r="A295" s="7" t="s">
        <v>450</v>
      </c>
      <c r="B295" s="7" t="s">
        <v>135</v>
      </c>
      <c r="C295" s="7" t="s">
        <v>306</v>
      </c>
      <c r="D295" s="7" t="s">
        <v>131</v>
      </c>
      <c r="E295" s="7" t="s">
        <v>132</v>
      </c>
      <c r="F295" s="7" t="s">
        <v>56</v>
      </c>
      <c r="G295" s="7" t="s">
        <v>19</v>
      </c>
      <c r="H295" s="9" t="n">
        <v>46058</v>
      </c>
      <c r="I295" s="9"/>
      <c r="J295" s="7" t="n">
        <v>9.8</v>
      </c>
      <c r="K295" s="7" t="s">
        <v>51</v>
      </c>
      <c r="L295" s="7" t="s">
        <v>21</v>
      </c>
      <c r="M295" s="7" t="s">
        <v>453</v>
      </c>
      <c r="N295" s="7" t="s">
        <v>58</v>
      </c>
      <c r="O295" s="10" t="n">
        <f aca="false">'Exec Summary'!$E$2-H295</f>
        <v>176</v>
      </c>
      <c r="P295" s="10" t="str">
        <f aca="false">IF(I295="","",I295-H295)</f>
        <v/>
      </c>
      <c r="Q295" s="10" t="n">
        <f aca="false">VLOOKUP(G295,$AA$2:$AB$5,2,FALSE())</f>
        <v>15</v>
      </c>
      <c r="R295" s="7" t="n">
        <f aca="false">IF(OR(F295="Open",F295="Reopened"),1,0)</f>
        <v>1</v>
      </c>
      <c r="S295" s="7" t="n">
        <f aca="false">IF(AND(H295&gt;='Exec Summary'!$E$1,H295&lt;='Exec Summary'!$E$2),1,0)</f>
        <v>0</v>
      </c>
      <c r="T295" s="7" t="n">
        <f aca="false">IF(AND(F295="Closed",I295&lt;&gt;"",I295&gt;='Exec Summary'!$E$1,I295&lt;='Exec Summary'!$E$2),1,0)</f>
        <v>0</v>
      </c>
      <c r="U295" s="7" t="n">
        <f aca="false">IF(F295="Reopened",1,0)</f>
        <v>0</v>
      </c>
      <c r="V295" s="7" t="n">
        <f aca="false">IF(AND(R295=1,O295&gt;Q295),1,0)</f>
        <v>1</v>
      </c>
      <c r="W295" s="7" t="n">
        <f aca="false">IF(AND(T295=1,P295&lt;&gt;"",P295&lt;=Q295),1,0)</f>
        <v>0</v>
      </c>
    </row>
    <row r="296" customFormat="false" ht="15" hidden="false" customHeight="false" outlineLevel="0" collapsed="false">
      <c r="A296" s="7" t="s">
        <v>450</v>
      </c>
      <c r="B296" s="7" t="s">
        <v>135</v>
      </c>
      <c r="C296" s="7" t="s">
        <v>306</v>
      </c>
      <c r="D296" s="7" t="s">
        <v>98</v>
      </c>
      <c r="E296" s="7" t="s">
        <v>99</v>
      </c>
      <c r="F296" s="7" t="s">
        <v>50</v>
      </c>
      <c r="G296" s="7" t="s">
        <v>19</v>
      </c>
      <c r="H296" s="9" t="n">
        <v>45941</v>
      </c>
      <c r="I296" s="9" t="n">
        <v>45957</v>
      </c>
      <c r="J296" s="7" t="n">
        <v>10</v>
      </c>
      <c r="K296" s="7" t="s">
        <v>51</v>
      </c>
      <c r="L296" s="7" t="s">
        <v>21</v>
      </c>
      <c r="M296" s="7" t="s">
        <v>454</v>
      </c>
      <c r="N296" s="7" t="s">
        <v>58</v>
      </c>
      <c r="O296" s="10" t="n">
        <f aca="false">'Exec Summary'!$E$2-H296</f>
        <v>293</v>
      </c>
      <c r="P296" s="10" t="n">
        <f aca="false">IF(I296="","",I296-H296)</f>
        <v>16</v>
      </c>
      <c r="Q296" s="10" t="n">
        <f aca="false">VLOOKUP(G296,$AA$2:$AB$5,2,FALSE())</f>
        <v>15</v>
      </c>
      <c r="R296" s="7" t="n">
        <f aca="false">IF(OR(F296="Open",F296="Reopened"),1,0)</f>
        <v>0</v>
      </c>
      <c r="S296" s="7" t="n">
        <f aca="false">IF(AND(H296&gt;='Exec Summary'!$E$1,H296&lt;='Exec Summary'!$E$2),1,0)</f>
        <v>0</v>
      </c>
      <c r="T296" s="7" t="n">
        <f aca="false">IF(AND(F296="Closed",I296&lt;&gt;"",I296&gt;='Exec Summary'!$E$1,I296&lt;='Exec Summary'!$E$2),1,0)</f>
        <v>0</v>
      </c>
      <c r="U296" s="7" t="n">
        <f aca="false">IF(F296="Reopened",1,0)</f>
        <v>0</v>
      </c>
      <c r="V296" s="7" t="n">
        <f aca="false">IF(AND(R296=1,O296&gt;Q296),1,0)</f>
        <v>0</v>
      </c>
      <c r="W296" s="7" t="n">
        <f aca="false">IF(AND(T296=1,P296&lt;&gt;"",P296&lt;=Q296),1,0)</f>
        <v>0</v>
      </c>
    </row>
    <row r="297" customFormat="false" ht="15" hidden="false" customHeight="false" outlineLevel="0" collapsed="false">
      <c r="A297" s="7" t="s">
        <v>450</v>
      </c>
      <c r="B297" s="7" t="s">
        <v>135</v>
      </c>
      <c r="C297" s="7" t="s">
        <v>306</v>
      </c>
      <c r="D297" s="7" t="s">
        <v>120</v>
      </c>
      <c r="E297" s="7" t="s">
        <v>121</v>
      </c>
      <c r="F297" s="7" t="s">
        <v>56</v>
      </c>
      <c r="G297" s="7" t="s">
        <v>19</v>
      </c>
      <c r="H297" s="9" t="n">
        <v>46021</v>
      </c>
      <c r="I297" s="9"/>
      <c r="J297" s="7" t="n">
        <v>8.8</v>
      </c>
      <c r="K297" s="7" t="s">
        <v>51</v>
      </c>
      <c r="L297" s="7" t="s">
        <v>21</v>
      </c>
      <c r="M297" s="7" t="s">
        <v>455</v>
      </c>
      <c r="N297" s="7" t="s">
        <v>58</v>
      </c>
      <c r="O297" s="10" t="n">
        <f aca="false">'Exec Summary'!$E$2-H297</f>
        <v>213</v>
      </c>
      <c r="P297" s="10" t="str">
        <f aca="false">IF(I297="","",I297-H297)</f>
        <v/>
      </c>
      <c r="Q297" s="10" t="n">
        <f aca="false">VLOOKUP(G297,$AA$2:$AB$5,2,FALSE())</f>
        <v>15</v>
      </c>
      <c r="R297" s="7" t="n">
        <f aca="false">IF(OR(F297="Open",F297="Reopened"),1,0)</f>
        <v>1</v>
      </c>
      <c r="S297" s="7" t="n">
        <f aca="false">IF(AND(H297&gt;='Exec Summary'!$E$1,H297&lt;='Exec Summary'!$E$2),1,0)</f>
        <v>0</v>
      </c>
      <c r="T297" s="7" t="n">
        <f aca="false">IF(AND(F297="Closed",I297&lt;&gt;"",I297&gt;='Exec Summary'!$E$1,I297&lt;='Exec Summary'!$E$2),1,0)</f>
        <v>0</v>
      </c>
      <c r="U297" s="7" t="n">
        <f aca="false">IF(F297="Reopened",1,0)</f>
        <v>0</v>
      </c>
      <c r="V297" s="7" t="n">
        <f aca="false">IF(AND(R297=1,O297&gt;Q297),1,0)</f>
        <v>1</v>
      </c>
      <c r="W297" s="7" t="n">
        <f aca="false">IF(AND(T297=1,P297&lt;&gt;"",P297&lt;=Q297),1,0)</f>
        <v>0</v>
      </c>
    </row>
    <row r="298" customFormat="false" ht="15" hidden="false" customHeight="false" outlineLevel="0" collapsed="false">
      <c r="A298" s="7" t="s">
        <v>450</v>
      </c>
      <c r="B298" s="7" t="s">
        <v>135</v>
      </c>
      <c r="C298" s="7" t="s">
        <v>306</v>
      </c>
      <c r="D298" s="7" t="s">
        <v>104</v>
      </c>
      <c r="E298" s="7" t="s">
        <v>105</v>
      </c>
      <c r="F298" s="7" t="s">
        <v>50</v>
      </c>
      <c r="G298" s="7" t="s">
        <v>19</v>
      </c>
      <c r="H298" s="9" t="n">
        <v>45988</v>
      </c>
      <c r="I298" s="9" t="n">
        <v>46001</v>
      </c>
      <c r="J298" s="7" t="n">
        <v>9.8</v>
      </c>
      <c r="K298" s="7" t="s">
        <v>51</v>
      </c>
      <c r="L298" s="7" t="s">
        <v>21</v>
      </c>
      <c r="M298" s="7" t="s">
        <v>456</v>
      </c>
      <c r="N298" s="7" t="s">
        <v>58</v>
      </c>
      <c r="O298" s="10" t="n">
        <f aca="false">'Exec Summary'!$E$2-H298</f>
        <v>246</v>
      </c>
      <c r="P298" s="10" t="n">
        <f aca="false">IF(I298="","",I298-H298)</f>
        <v>13</v>
      </c>
      <c r="Q298" s="10" t="n">
        <f aca="false">VLOOKUP(G298,$AA$2:$AB$5,2,FALSE())</f>
        <v>15</v>
      </c>
      <c r="R298" s="7" t="n">
        <f aca="false">IF(OR(F298="Open",F298="Reopened"),1,0)</f>
        <v>0</v>
      </c>
      <c r="S298" s="7" t="n">
        <f aca="false">IF(AND(H298&gt;='Exec Summary'!$E$1,H298&lt;='Exec Summary'!$E$2),1,0)</f>
        <v>0</v>
      </c>
      <c r="T298" s="7" t="n">
        <f aca="false">IF(AND(F298="Closed",I298&lt;&gt;"",I298&gt;='Exec Summary'!$E$1,I298&lt;='Exec Summary'!$E$2),1,0)</f>
        <v>0</v>
      </c>
      <c r="U298" s="7" t="n">
        <f aca="false">IF(F298="Reopened",1,0)</f>
        <v>0</v>
      </c>
      <c r="V298" s="7" t="n">
        <f aca="false">IF(AND(R298=1,O298&gt;Q298),1,0)</f>
        <v>0</v>
      </c>
      <c r="W298" s="7" t="n">
        <f aca="false">IF(AND(T298=1,P298&lt;&gt;"",P298&lt;=Q298),1,0)</f>
        <v>0</v>
      </c>
    </row>
    <row r="299" customFormat="false" ht="15" hidden="false" customHeight="false" outlineLevel="0" collapsed="false">
      <c r="A299" s="7" t="s">
        <v>450</v>
      </c>
      <c r="B299" s="7" t="s">
        <v>135</v>
      </c>
      <c r="C299" s="7" t="s">
        <v>306</v>
      </c>
      <c r="D299" s="7" t="s">
        <v>117</v>
      </c>
      <c r="E299" s="7" t="s">
        <v>118</v>
      </c>
      <c r="F299" s="7" t="s">
        <v>56</v>
      </c>
      <c r="G299" s="7" t="s">
        <v>19</v>
      </c>
      <c r="H299" s="9" t="n">
        <v>45966</v>
      </c>
      <c r="I299" s="9"/>
      <c r="J299" s="7" t="n">
        <v>10</v>
      </c>
      <c r="K299" s="7" t="s">
        <v>51</v>
      </c>
      <c r="L299" s="7" t="s">
        <v>21</v>
      </c>
      <c r="M299" s="7" t="s">
        <v>457</v>
      </c>
      <c r="N299" s="7" t="s">
        <v>58</v>
      </c>
      <c r="O299" s="10" t="n">
        <f aca="false">'Exec Summary'!$E$2-H299</f>
        <v>268</v>
      </c>
      <c r="P299" s="10" t="str">
        <f aca="false">IF(I299="","",I299-H299)</f>
        <v/>
      </c>
      <c r="Q299" s="10" t="n">
        <f aca="false">VLOOKUP(G299,$AA$2:$AB$5,2,FALSE())</f>
        <v>15</v>
      </c>
      <c r="R299" s="7" t="n">
        <f aca="false">IF(OR(F299="Open",F299="Reopened"),1,0)</f>
        <v>1</v>
      </c>
      <c r="S299" s="7" t="n">
        <f aca="false">IF(AND(H299&gt;='Exec Summary'!$E$1,H299&lt;='Exec Summary'!$E$2),1,0)</f>
        <v>0</v>
      </c>
      <c r="T299" s="7" t="n">
        <f aca="false">IF(AND(F299="Closed",I299&lt;&gt;"",I299&gt;='Exec Summary'!$E$1,I299&lt;='Exec Summary'!$E$2),1,0)</f>
        <v>0</v>
      </c>
      <c r="U299" s="7" t="n">
        <f aca="false">IF(F299="Reopened",1,0)</f>
        <v>0</v>
      </c>
      <c r="V299" s="7" t="n">
        <f aca="false">IF(AND(R299=1,O299&gt;Q299),1,0)</f>
        <v>1</v>
      </c>
      <c r="W299" s="7" t="n">
        <f aca="false">IF(AND(T299=1,P299&lt;&gt;"",P299&lt;=Q299),1,0)</f>
        <v>0</v>
      </c>
    </row>
    <row r="300" customFormat="false" ht="15" hidden="false" customHeight="false" outlineLevel="0" collapsed="false">
      <c r="A300" s="7" t="s">
        <v>450</v>
      </c>
      <c r="B300" s="7" t="s">
        <v>135</v>
      </c>
      <c r="C300" s="7" t="s">
        <v>306</v>
      </c>
      <c r="D300" s="7" t="s">
        <v>108</v>
      </c>
      <c r="E300" s="7" t="s">
        <v>109</v>
      </c>
      <c r="F300" s="7" t="s">
        <v>56</v>
      </c>
      <c r="G300" s="7" t="s">
        <v>20</v>
      </c>
      <c r="H300" s="9" t="n">
        <v>46106</v>
      </c>
      <c r="I300" s="9"/>
      <c r="J300" s="7" t="n">
        <v>8.6</v>
      </c>
      <c r="K300" s="7" t="s">
        <v>51</v>
      </c>
      <c r="L300" s="7" t="s">
        <v>21</v>
      </c>
      <c r="M300" s="7" t="s">
        <v>458</v>
      </c>
      <c r="N300" s="7" t="s">
        <v>53</v>
      </c>
      <c r="O300" s="10" t="n">
        <f aca="false">'Exec Summary'!$E$2-H300</f>
        <v>128</v>
      </c>
      <c r="P300" s="10" t="str">
        <f aca="false">IF(I300="","",I300-H300)</f>
        <v/>
      </c>
      <c r="Q300" s="10" t="n">
        <f aca="false">VLOOKUP(G300,$AA$2:$AB$5,2,FALSE())</f>
        <v>30</v>
      </c>
      <c r="R300" s="7" t="n">
        <f aca="false">IF(OR(F300="Open",F300="Reopened"),1,0)</f>
        <v>1</v>
      </c>
      <c r="S300" s="7" t="n">
        <f aca="false">IF(AND(H300&gt;='Exec Summary'!$E$1,H300&lt;='Exec Summary'!$E$2),1,0)</f>
        <v>0</v>
      </c>
      <c r="T300" s="7" t="n">
        <f aca="false">IF(AND(F300="Closed",I300&lt;&gt;"",I300&gt;='Exec Summary'!$E$1,I300&lt;='Exec Summary'!$E$2),1,0)</f>
        <v>0</v>
      </c>
      <c r="U300" s="7" t="n">
        <f aca="false">IF(F300="Reopened",1,0)</f>
        <v>0</v>
      </c>
      <c r="V300" s="7" t="n">
        <f aca="false">IF(AND(R300=1,O300&gt;Q300),1,0)</f>
        <v>1</v>
      </c>
      <c r="W300" s="7" t="n">
        <f aca="false">IF(AND(T300=1,P300&lt;&gt;"",P300&lt;=Q300),1,0)</f>
        <v>0</v>
      </c>
    </row>
    <row r="301" customFormat="false" ht="15" hidden="false" customHeight="false" outlineLevel="0" collapsed="false">
      <c r="A301" s="7" t="s">
        <v>450</v>
      </c>
      <c r="B301" s="7" t="s">
        <v>135</v>
      </c>
      <c r="C301" s="7" t="s">
        <v>306</v>
      </c>
      <c r="D301" s="7" t="s">
        <v>112</v>
      </c>
      <c r="E301" s="7" t="s">
        <v>113</v>
      </c>
      <c r="F301" s="7" t="s">
        <v>50</v>
      </c>
      <c r="G301" s="7" t="s">
        <v>20</v>
      </c>
      <c r="H301" s="9" t="n">
        <v>46100</v>
      </c>
      <c r="I301" s="9" t="n">
        <v>46115</v>
      </c>
      <c r="J301" s="7" t="n">
        <v>7.8</v>
      </c>
      <c r="K301" s="7" t="s">
        <v>51</v>
      </c>
      <c r="L301" s="7" t="s">
        <v>21</v>
      </c>
      <c r="M301" s="7" t="s">
        <v>459</v>
      </c>
      <c r="N301" s="7" t="s">
        <v>53</v>
      </c>
      <c r="O301" s="10" t="n">
        <f aca="false">'Exec Summary'!$E$2-H301</f>
        <v>134</v>
      </c>
      <c r="P301" s="10" t="n">
        <f aca="false">IF(I301="","",I301-H301)</f>
        <v>15</v>
      </c>
      <c r="Q301" s="10" t="n">
        <f aca="false">VLOOKUP(G301,$AA$2:$AB$5,2,FALSE())</f>
        <v>30</v>
      </c>
      <c r="R301" s="7" t="n">
        <f aca="false">IF(OR(F301="Open",F301="Reopened"),1,0)</f>
        <v>0</v>
      </c>
      <c r="S301" s="7" t="n">
        <f aca="false">IF(AND(H301&gt;='Exec Summary'!$E$1,H301&lt;='Exec Summary'!$E$2),1,0)</f>
        <v>0</v>
      </c>
      <c r="T301" s="7" t="n">
        <f aca="false">IF(AND(F301="Closed",I301&lt;&gt;"",I301&gt;='Exec Summary'!$E$1,I301&lt;='Exec Summary'!$E$2),1,0)</f>
        <v>0</v>
      </c>
      <c r="U301" s="7" t="n">
        <f aca="false">IF(F301="Reopened",1,0)</f>
        <v>0</v>
      </c>
      <c r="V301" s="7" t="n">
        <f aca="false">IF(AND(R301=1,O301&gt;Q301),1,0)</f>
        <v>0</v>
      </c>
      <c r="W301" s="7" t="n">
        <f aca="false">IF(AND(T301=1,P301&lt;&gt;"",P301&lt;=Q301),1,0)</f>
        <v>0</v>
      </c>
    </row>
    <row r="302" customFormat="false" ht="15" hidden="false" customHeight="false" outlineLevel="0" collapsed="false">
      <c r="A302" s="7" t="s">
        <v>450</v>
      </c>
      <c r="B302" s="7" t="s">
        <v>135</v>
      </c>
      <c r="C302" s="7" t="s">
        <v>306</v>
      </c>
      <c r="D302" s="7" t="s">
        <v>91</v>
      </c>
      <c r="E302" s="7" t="s">
        <v>92</v>
      </c>
      <c r="F302" s="7" t="s">
        <v>56</v>
      </c>
      <c r="G302" s="7" t="s">
        <v>20</v>
      </c>
      <c r="H302" s="9" t="n">
        <v>45957</v>
      </c>
      <c r="I302" s="9"/>
      <c r="J302" s="7" t="n">
        <v>8.1</v>
      </c>
      <c r="K302" s="7" t="s">
        <v>51</v>
      </c>
      <c r="L302" s="7" t="s">
        <v>21</v>
      </c>
      <c r="M302" s="7" t="s">
        <v>460</v>
      </c>
      <c r="N302" s="7" t="s">
        <v>53</v>
      </c>
      <c r="O302" s="10" t="n">
        <f aca="false">'Exec Summary'!$E$2-H302</f>
        <v>277</v>
      </c>
      <c r="P302" s="10" t="str">
        <f aca="false">IF(I302="","",I302-H302)</f>
        <v/>
      </c>
      <c r="Q302" s="10" t="n">
        <f aca="false">VLOOKUP(G302,$AA$2:$AB$5,2,FALSE())</f>
        <v>30</v>
      </c>
      <c r="R302" s="7" t="n">
        <f aca="false">IF(OR(F302="Open",F302="Reopened"),1,0)</f>
        <v>1</v>
      </c>
      <c r="S302" s="7" t="n">
        <f aca="false">IF(AND(H302&gt;='Exec Summary'!$E$1,H302&lt;='Exec Summary'!$E$2),1,0)</f>
        <v>0</v>
      </c>
      <c r="T302" s="7" t="n">
        <f aca="false">IF(AND(F302="Closed",I302&lt;&gt;"",I302&gt;='Exec Summary'!$E$1,I302&lt;='Exec Summary'!$E$2),1,0)</f>
        <v>0</v>
      </c>
      <c r="U302" s="7" t="n">
        <f aca="false">IF(F302="Reopened",1,0)</f>
        <v>0</v>
      </c>
      <c r="V302" s="7" t="n">
        <f aca="false">IF(AND(R302=1,O302&gt;Q302),1,0)</f>
        <v>1</v>
      </c>
      <c r="W302" s="7" t="n">
        <f aca="false">IF(AND(T302=1,P302&lt;&gt;"",P302&lt;=Q302),1,0)</f>
        <v>0</v>
      </c>
    </row>
    <row r="303" customFormat="false" ht="15" hidden="false" customHeight="false" outlineLevel="0" collapsed="false">
      <c r="A303" s="7" t="s">
        <v>450</v>
      </c>
      <c r="B303" s="7" t="s">
        <v>135</v>
      </c>
      <c r="C303" s="7" t="s">
        <v>306</v>
      </c>
      <c r="D303" s="7" t="s">
        <v>68</v>
      </c>
      <c r="E303" s="7" t="s">
        <v>69</v>
      </c>
      <c r="F303" s="7" t="s">
        <v>50</v>
      </c>
      <c r="G303" s="7" t="s">
        <v>19</v>
      </c>
      <c r="H303" s="9" t="n">
        <v>45966</v>
      </c>
      <c r="I303" s="9" t="n">
        <v>45969</v>
      </c>
      <c r="J303" s="7" t="n">
        <v>9.8</v>
      </c>
      <c r="K303" s="7" t="s">
        <v>51</v>
      </c>
      <c r="L303" s="7" t="s">
        <v>21</v>
      </c>
      <c r="M303" s="7" t="s">
        <v>461</v>
      </c>
      <c r="N303" s="7" t="s">
        <v>58</v>
      </c>
      <c r="O303" s="10" t="n">
        <f aca="false">'Exec Summary'!$E$2-H303</f>
        <v>268</v>
      </c>
      <c r="P303" s="10" t="n">
        <f aca="false">IF(I303="","",I303-H303)</f>
        <v>3</v>
      </c>
      <c r="Q303" s="10" t="n">
        <f aca="false">VLOOKUP(G303,$AA$2:$AB$5,2,FALSE())</f>
        <v>15</v>
      </c>
      <c r="R303" s="7" t="n">
        <f aca="false">IF(OR(F303="Open",F303="Reopened"),1,0)</f>
        <v>0</v>
      </c>
      <c r="S303" s="7" t="n">
        <f aca="false">IF(AND(H303&gt;='Exec Summary'!$E$1,H303&lt;='Exec Summary'!$E$2),1,0)</f>
        <v>0</v>
      </c>
      <c r="T303" s="7" t="n">
        <f aca="false">IF(AND(F303="Closed",I303&lt;&gt;"",I303&gt;='Exec Summary'!$E$1,I303&lt;='Exec Summary'!$E$2),1,0)</f>
        <v>0</v>
      </c>
      <c r="U303" s="7" t="n">
        <f aca="false">IF(F303="Reopened",1,0)</f>
        <v>0</v>
      </c>
      <c r="V303" s="7" t="n">
        <f aca="false">IF(AND(R303=1,O303&gt;Q303),1,0)</f>
        <v>0</v>
      </c>
      <c r="W303" s="7" t="n">
        <f aca="false">IF(AND(T303=1,P303&lt;&gt;"",P303&lt;=Q303),1,0)</f>
        <v>0</v>
      </c>
    </row>
    <row r="304" customFormat="false" ht="15" hidden="false" customHeight="false" outlineLevel="0" collapsed="false">
      <c r="A304" s="7" t="s">
        <v>450</v>
      </c>
      <c r="B304" s="7" t="s">
        <v>135</v>
      </c>
      <c r="C304" s="7" t="s">
        <v>306</v>
      </c>
      <c r="D304" s="7" t="s">
        <v>71</v>
      </c>
      <c r="E304" s="7" t="s">
        <v>72</v>
      </c>
      <c r="F304" s="7" t="s">
        <v>56</v>
      </c>
      <c r="G304" s="7" t="s">
        <v>19</v>
      </c>
      <c r="H304" s="9" t="n">
        <v>46020</v>
      </c>
      <c r="I304" s="9"/>
      <c r="J304" s="7" t="n">
        <v>9.8</v>
      </c>
      <c r="K304" s="7" t="s">
        <v>51</v>
      </c>
      <c r="L304" s="7" t="s">
        <v>21</v>
      </c>
      <c r="M304" s="7" t="s">
        <v>462</v>
      </c>
      <c r="N304" s="7" t="s">
        <v>58</v>
      </c>
      <c r="O304" s="10" t="n">
        <f aca="false">'Exec Summary'!$E$2-H304</f>
        <v>214</v>
      </c>
      <c r="P304" s="10" t="str">
        <f aca="false">IF(I304="","",I304-H304)</f>
        <v/>
      </c>
      <c r="Q304" s="10" t="n">
        <f aca="false">VLOOKUP(G304,$AA$2:$AB$5,2,FALSE())</f>
        <v>15</v>
      </c>
      <c r="R304" s="7" t="n">
        <f aca="false">IF(OR(F304="Open",F304="Reopened"),1,0)</f>
        <v>1</v>
      </c>
      <c r="S304" s="7" t="n">
        <f aca="false">IF(AND(H304&gt;='Exec Summary'!$E$1,H304&lt;='Exec Summary'!$E$2),1,0)</f>
        <v>0</v>
      </c>
      <c r="T304" s="7" t="n">
        <f aca="false">IF(AND(F304="Closed",I304&lt;&gt;"",I304&gt;='Exec Summary'!$E$1,I304&lt;='Exec Summary'!$E$2),1,0)</f>
        <v>0</v>
      </c>
      <c r="U304" s="7" t="n">
        <f aca="false">IF(F304="Reopened",1,0)</f>
        <v>0</v>
      </c>
      <c r="V304" s="7" t="n">
        <f aca="false">IF(AND(R304=1,O304&gt;Q304),1,0)</f>
        <v>1</v>
      </c>
      <c r="W304" s="7" t="n">
        <f aca="false">IF(AND(T304=1,P304&lt;&gt;"",P304&lt;=Q304),1,0)</f>
        <v>0</v>
      </c>
    </row>
    <row r="305" customFormat="false" ht="15" hidden="false" customHeight="false" outlineLevel="0" collapsed="false">
      <c r="A305" s="7" t="s">
        <v>463</v>
      </c>
      <c r="B305" s="7" t="s">
        <v>46</v>
      </c>
      <c r="C305" s="7" t="s">
        <v>79</v>
      </c>
      <c r="D305" s="7" t="s">
        <v>101</v>
      </c>
      <c r="E305" s="7" t="s">
        <v>102</v>
      </c>
      <c r="F305" s="7" t="s">
        <v>50</v>
      </c>
      <c r="G305" s="7" t="s">
        <v>19</v>
      </c>
      <c r="H305" s="9" t="n">
        <v>45975</v>
      </c>
      <c r="I305" s="9" t="n">
        <v>45987</v>
      </c>
      <c r="J305" s="7" t="n">
        <v>10</v>
      </c>
      <c r="K305" s="7" t="s">
        <v>51</v>
      </c>
      <c r="L305" s="7" t="s">
        <v>21</v>
      </c>
      <c r="M305" s="7" t="s">
        <v>464</v>
      </c>
      <c r="N305" s="7" t="s">
        <v>58</v>
      </c>
      <c r="O305" s="10" t="n">
        <f aca="false">'Exec Summary'!$E$2-H305</f>
        <v>259</v>
      </c>
      <c r="P305" s="10" t="n">
        <f aca="false">IF(I305="","",I305-H305)</f>
        <v>12</v>
      </c>
      <c r="Q305" s="10" t="n">
        <f aca="false">VLOOKUP(G305,$AA$2:$AB$5,2,FALSE())</f>
        <v>15</v>
      </c>
      <c r="R305" s="7" t="n">
        <f aca="false">IF(OR(F305="Open",F305="Reopened"),1,0)</f>
        <v>0</v>
      </c>
      <c r="S305" s="7" t="n">
        <f aca="false">IF(AND(H305&gt;='Exec Summary'!$E$1,H305&lt;='Exec Summary'!$E$2),1,0)</f>
        <v>0</v>
      </c>
      <c r="T305" s="7" t="n">
        <f aca="false">IF(AND(F305="Closed",I305&lt;&gt;"",I305&gt;='Exec Summary'!$E$1,I305&lt;='Exec Summary'!$E$2),1,0)</f>
        <v>0</v>
      </c>
      <c r="U305" s="7" t="n">
        <f aca="false">IF(F305="Reopened",1,0)</f>
        <v>0</v>
      </c>
      <c r="V305" s="7" t="n">
        <f aca="false">IF(AND(R305=1,O305&gt;Q305),1,0)</f>
        <v>0</v>
      </c>
      <c r="W305" s="7" t="n">
        <f aca="false">IF(AND(T305=1,P305&lt;&gt;"",P305&lt;=Q305),1,0)</f>
        <v>0</v>
      </c>
    </row>
    <row r="306" customFormat="false" ht="15" hidden="false" customHeight="false" outlineLevel="0" collapsed="false">
      <c r="A306" s="7" t="s">
        <v>463</v>
      </c>
      <c r="B306" s="7" t="s">
        <v>46</v>
      </c>
      <c r="C306" s="7" t="s">
        <v>79</v>
      </c>
      <c r="D306" s="7" t="s">
        <v>210</v>
      </c>
      <c r="E306" s="7" t="s">
        <v>211</v>
      </c>
      <c r="F306" s="7" t="s">
        <v>56</v>
      </c>
      <c r="G306" s="7" t="s">
        <v>19</v>
      </c>
      <c r="H306" s="9" t="n">
        <v>46147</v>
      </c>
      <c r="I306" s="9"/>
      <c r="J306" s="7" t="n">
        <v>9.8</v>
      </c>
      <c r="K306" s="7" t="s">
        <v>51</v>
      </c>
      <c r="L306" s="7" t="s">
        <v>21</v>
      </c>
      <c r="M306" s="7" t="s">
        <v>465</v>
      </c>
      <c r="N306" s="7" t="s">
        <v>58</v>
      </c>
      <c r="O306" s="10" t="n">
        <f aca="false">'Exec Summary'!$E$2-H306</f>
        <v>87</v>
      </c>
      <c r="P306" s="10" t="str">
        <f aca="false">IF(I306="","",I306-H306)</f>
        <v/>
      </c>
      <c r="Q306" s="10" t="n">
        <f aca="false">VLOOKUP(G306,$AA$2:$AB$5,2,FALSE())</f>
        <v>15</v>
      </c>
      <c r="R306" s="7" t="n">
        <f aca="false">IF(OR(F306="Open",F306="Reopened"),1,0)</f>
        <v>1</v>
      </c>
      <c r="S306" s="7" t="n">
        <f aca="false">IF(AND(H306&gt;='Exec Summary'!$E$1,H306&lt;='Exec Summary'!$E$2),1,0)</f>
        <v>0</v>
      </c>
      <c r="T306" s="7" t="n">
        <f aca="false">IF(AND(F306="Closed",I306&lt;&gt;"",I306&gt;='Exec Summary'!$E$1,I306&lt;='Exec Summary'!$E$2),1,0)</f>
        <v>0</v>
      </c>
      <c r="U306" s="7" t="n">
        <f aca="false">IF(F306="Reopened",1,0)</f>
        <v>0</v>
      </c>
      <c r="V306" s="7" t="n">
        <f aca="false">IF(AND(R306=1,O306&gt;Q306),1,0)</f>
        <v>1</v>
      </c>
      <c r="W306" s="7" t="n">
        <f aca="false">IF(AND(T306=1,P306&lt;&gt;"",P306&lt;=Q306),1,0)</f>
        <v>0</v>
      </c>
    </row>
    <row r="307" customFormat="false" ht="15" hidden="false" customHeight="false" outlineLevel="0" collapsed="false">
      <c r="A307" s="7" t="s">
        <v>463</v>
      </c>
      <c r="B307" s="7" t="s">
        <v>46</v>
      </c>
      <c r="C307" s="7" t="s">
        <v>79</v>
      </c>
      <c r="D307" s="7" t="s">
        <v>139</v>
      </c>
      <c r="E307" s="7" t="s">
        <v>140</v>
      </c>
      <c r="F307" s="7" t="s">
        <v>50</v>
      </c>
      <c r="G307" s="7" t="s">
        <v>19</v>
      </c>
      <c r="H307" s="9" t="n">
        <v>45998</v>
      </c>
      <c r="I307" s="9" t="n">
        <v>46011</v>
      </c>
      <c r="J307" s="7" t="n">
        <v>9.8</v>
      </c>
      <c r="K307" s="7" t="s">
        <v>51</v>
      </c>
      <c r="L307" s="7" t="s">
        <v>21</v>
      </c>
      <c r="M307" s="7" t="s">
        <v>466</v>
      </c>
      <c r="N307" s="7" t="s">
        <v>58</v>
      </c>
      <c r="O307" s="10" t="n">
        <f aca="false">'Exec Summary'!$E$2-H307</f>
        <v>236</v>
      </c>
      <c r="P307" s="10" t="n">
        <f aca="false">IF(I307="","",I307-H307)</f>
        <v>13</v>
      </c>
      <c r="Q307" s="10" t="n">
        <f aca="false">VLOOKUP(G307,$AA$2:$AB$5,2,FALSE())</f>
        <v>15</v>
      </c>
      <c r="R307" s="7" t="n">
        <f aca="false">IF(OR(F307="Open",F307="Reopened"),1,0)</f>
        <v>0</v>
      </c>
      <c r="S307" s="7" t="n">
        <f aca="false">IF(AND(H307&gt;='Exec Summary'!$E$1,H307&lt;='Exec Summary'!$E$2),1,0)</f>
        <v>0</v>
      </c>
      <c r="T307" s="7" t="n">
        <f aca="false">IF(AND(F307="Closed",I307&lt;&gt;"",I307&gt;='Exec Summary'!$E$1,I307&lt;='Exec Summary'!$E$2),1,0)</f>
        <v>0</v>
      </c>
      <c r="U307" s="7" t="n">
        <f aca="false">IF(F307="Reopened",1,0)</f>
        <v>0</v>
      </c>
      <c r="V307" s="7" t="n">
        <f aca="false">IF(AND(R307=1,O307&gt;Q307),1,0)</f>
        <v>0</v>
      </c>
      <c r="W307" s="7" t="n">
        <f aca="false">IF(AND(T307=1,P307&lt;&gt;"",P307&lt;=Q307),1,0)</f>
        <v>0</v>
      </c>
    </row>
    <row r="308" customFormat="false" ht="15" hidden="false" customHeight="false" outlineLevel="0" collapsed="false">
      <c r="A308" s="7" t="s">
        <v>467</v>
      </c>
      <c r="B308" s="7" t="s">
        <v>46</v>
      </c>
      <c r="C308" s="7" t="s">
        <v>128</v>
      </c>
      <c r="D308" s="7" t="s">
        <v>65</v>
      </c>
      <c r="E308" s="7" t="s">
        <v>66</v>
      </c>
      <c r="F308" s="7" t="s">
        <v>50</v>
      </c>
      <c r="G308" s="7" t="s">
        <v>19</v>
      </c>
      <c r="H308" s="9" t="n">
        <v>45936</v>
      </c>
      <c r="I308" s="9" t="n">
        <v>45954</v>
      </c>
      <c r="J308" s="7" t="n">
        <v>9.8</v>
      </c>
      <c r="K308" s="7" t="s">
        <v>51</v>
      </c>
      <c r="L308" s="7" t="s">
        <v>19</v>
      </c>
      <c r="M308" s="7" t="s">
        <v>468</v>
      </c>
      <c r="N308" s="7" t="s">
        <v>58</v>
      </c>
      <c r="O308" s="10" t="n">
        <f aca="false">'Exec Summary'!$E$2-H308</f>
        <v>298</v>
      </c>
      <c r="P308" s="10" t="n">
        <f aca="false">IF(I308="","",I308-H308)</f>
        <v>18</v>
      </c>
      <c r="Q308" s="10" t="n">
        <f aca="false">VLOOKUP(G308,$AA$2:$AB$5,2,FALSE())</f>
        <v>15</v>
      </c>
      <c r="R308" s="7" t="n">
        <f aca="false">IF(OR(F308="Open",F308="Reopened"),1,0)</f>
        <v>0</v>
      </c>
      <c r="S308" s="7" t="n">
        <f aca="false">IF(AND(H308&gt;='Exec Summary'!$E$1,H308&lt;='Exec Summary'!$E$2),1,0)</f>
        <v>0</v>
      </c>
      <c r="T308" s="7" t="n">
        <f aca="false">IF(AND(F308="Closed",I308&lt;&gt;"",I308&gt;='Exec Summary'!$E$1,I308&lt;='Exec Summary'!$E$2),1,0)</f>
        <v>0</v>
      </c>
      <c r="U308" s="7" t="n">
        <f aca="false">IF(F308="Reopened",1,0)</f>
        <v>0</v>
      </c>
      <c r="V308" s="7" t="n">
        <f aca="false">IF(AND(R308=1,O308&gt;Q308),1,0)</f>
        <v>0</v>
      </c>
      <c r="W308" s="7" t="n">
        <f aca="false">IF(AND(T308=1,P308&lt;&gt;"",P308&lt;=Q308),1,0)</f>
        <v>0</v>
      </c>
    </row>
    <row r="309" customFormat="false" ht="15" hidden="false" customHeight="false" outlineLevel="0" collapsed="false">
      <c r="A309" s="7" t="s">
        <v>467</v>
      </c>
      <c r="B309" s="7" t="s">
        <v>46</v>
      </c>
      <c r="C309" s="7" t="s">
        <v>128</v>
      </c>
      <c r="D309" s="7" t="s">
        <v>84</v>
      </c>
      <c r="E309" s="7" t="s">
        <v>85</v>
      </c>
      <c r="F309" s="7" t="s">
        <v>50</v>
      </c>
      <c r="G309" s="7" t="s">
        <v>20</v>
      </c>
      <c r="H309" s="9" t="n">
        <v>46210</v>
      </c>
      <c r="I309" s="9" t="n">
        <v>46234</v>
      </c>
      <c r="J309" s="7" t="n">
        <v>7.5</v>
      </c>
      <c r="K309" s="7" t="s">
        <v>51</v>
      </c>
      <c r="L309" s="7" t="s">
        <v>19</v>
      </c>
      <c r="M309" s="7" t="s">
        <v>469</v>
      </c>
      <c r="N309" s="7" t="s">
        <v>53</v>
      </c>
      <c r="O309" s="10" t="n">
        <f aca="false">'Exec Summary'!$E$2-H309</f>
        <v>24</v>
      </c>
      <c r="P309" s="10" t="n">
        <f aca="false">IF(I309="","",I309-H309)</f>
        <v>24</v>
      </c>
      <c r="Q309" s="10" t="n">
        <f aca="false">VLOOKUP(G309,$AA$2:$AB$5,2,FALSE())</f>
        <v>30</v>
      </c>
      <c r="R309" s="7" t="n">
        <f aca="false">IF(OR(F309="Open",F309="Reopened"),1,0)</f>
        <v>0</v>
      </c>
      <c r="S309" s="7" t="n">
        <f aca="false">IF(AND(H309&gt;='Exec Summary'!$E$1,H309&lt;='Exec Summary'!$E$2),1,0)</f>
        <v>1</v>
      </c>
      <c r="T309" s="7" t="n">
        <f aca="false">IF(AND(F309="Closed",I309&lt;&gt;"",I309&gt;='Exec Summary'!$E$1,I309&lt;='Exec Summary'!$E$2),1,0)</f>
        <v>1</v>
      </c>
      <c r="U309" s="7" t="n">
        <f aca="false">IF(F309="Reopened",1,0)</f>
        <v>0</v>
      </c>
      <c r="V309" s="7" t="n">
        <f aca="false">IF(AND(R309=1,O309&gt;Q309),1,0)</f>
        <v>0</v>
      </c>
      <c r="W309" s="7" t="n">
        <f aca="false">IF(AND(T309=1,P309&lt;&gt;"",P309&lt;=Q309),1,0)</f>
        <v>1</v>
      </c>
    </row>
    <row r="310" customFormat="false" ht="15" hidden="false" customHeight="false" outlineLevel="0" collapsed="false">
      <c r="A310" s="7" t="s">
        <v>467</v>
      </c>
      <c r="B310" s="7" t="s">
        <v>46</v>
      </c>
      <c r="C310" s="7" t="s">
        <v>128</v>
      </c>
      <c r="D310" s="7" t="s">
        <v>104</v>
      </c>
      <c r="E310" s="7" t="s">
        <v>105</v>
      </c>
      <c r="F310" s="7" t="s">
        <v>50</v>
      </c>
      <c r="G310" s="7" t="s">
        <v>19</v>
      </c>
      <c r="H310" s="9" t="n">
        <v>46075</v>
      </c>
      <c r="I310" s="9" t="n">
        <v>46089</v>
      </c>
      <c r="J310" s="7" t="n">
        <v>9.8</v>
      </c>
      <c r="K310" s="7" t="s">
        <v>51</v>
      </c>
      <c r="L310" s="7" t="s">
        <v>19</v>
      </c>
      <c r="M310" s="7" t="s">
        <v>470</v>
      </c>
      <c r="N310" s="7" t="s">
        <v>58</v>
      </c>
      <c r="O310" s="10" t="n">
        <f aca="false">'Exec Summary'!$E$2-H310</f>
        <v>159</v>
      </c>
      <c r="P310" s="10" t="n">
        <f aca="false">IF(I310="","",I310-H310)</f>
        <v>14</v>
      </c>
      <c r="Q310" s="10" t="n">
        <f aca="false">VLOOKUP(G310,$AA$2:$AB$5,2,FALSE())</f>
        <v>15</v>
      </c>
      <c r="R310" s="7" t="n">
        <f aca="false">IF(OR(F310="Open",F310="Reopened"),1,0)</f>
        <v>0</v>
      </c>
      <c r="S310" s="7" t="n">
        <f aca="false">IF(AND(H310&gt;='Exec Summary'!$E$1,H310&lt;='Exec Summary'!$E$2),1,0)</f>
        <v>0</v>
      </c>
      <c r="T310" s="7" t="n">
        <f aca="false">IF(AND(F310="Closed",I310&lt;&gt;"",I310&gt;='Exec Summary'!$E$1,I310&lt;='Exec Summary'!$E$2),1,0)</f>
        <v>0</v>
      </c>
      <c r="U310" s="7" t="n">
        <f aca="false">IF(F310="Reopened",1,0)</f>
        <v>0</v>
      </c>
      <c r="V310" s="7" t="n">
        <f aca="false">IF(AND(R310=1,O310&gt;Q310),1,0)</f>
        <v>0</v>
      </c>
      <c r="W310" s="7" t="n">
        <f aca="false">IF(AND(T310=1,P310&lt;&gt;"",P310&lt;=Q310),1,0)</f>
        <v>0</v>
      </c>
    </row>
    <row r="311" customFormat="false" ht="15" hidden="false" customHeight="false" outlineLevel="0" collapsed="false">
      <c r="A311" s="7" t="s">
        <v>467</v>
      </c>
      <c r="B311" s="7" t="s">
        <v>46</v>
      </c>
      <c r="C311" s="7" t="s">
        <v>128</v>
      </c>
      <c r="D311" s="7" t="s">
        <v>59</v>
      </c>
      <c r="E311" s="7" t="s">
        <v>60</v>
      </c>
      <c r="F311" s="7" t="s">
        <v>50</v>
      </c>
      <c r="G311" s="7" t="s">
        <v>19</v>
      </c>
      <c r="H311" s="9" t="n">
        <v>46188</v>
      </c>
      <c r="I311" s="9" t="n">
        <v>46201</v>
      </c>
      <c r="J311" s="7" t="n">
        <v>7.8</v>
      </c>
      <c r="K311" s="7" t="s">
        <v>51</v>
      </c>
      <c r="L311" s="7" t="s">
        <v>19</v>
      </c>
      <c r="M311" s="7" t="s">
        <v>471</v>
      </c>
      <c r="N311" s="7" t="s">
        <v>58</v>
      </c>
      <c r="O311" s="10" t="n">
        <f aca="false">'Exec Summary'!$E$2-H311</f>
        <v>46</v>
      </c>
      <c r="P311" s="10" t="n">
        <f aca="false">IF(I311="","",I311-H311)</f>
        <v>13</v>
      </c>
      <c r="Q311" s="10" t="n">
        <f aca="false">VLOOKUP(G311,$AA$2:$AB$5,2,FALSE())</f>
        <v>15</v>
      </c>
      <c r="R311" s="7" t="n">
        <f aca="false">IF(OR(F311="Open",F311="Reopened"),1,0)</f>
        <v>0</v>
      </c>
      <c r="S311" s="7" t="n">
        <f aca="false">IF(AND(H311&gt;='Exec Summary'!$E$1,H311&lt;='Exec Summary'!$E$2),1,0)</f>
        <v>0</v>
      </c>
      <c r="T311" s="7" t="n">
        <f aca="false">IF(AND(F311="Closed",I311&lt;&gt;"",I311&gt;='Exec Summary'!$E$1,I311&lt;='Exec Summary'!$E$2),1,0)</f>
        <v>0</v>
      </c>
      <c r="U311" s="7" t="n">
        <f aca="false">IF(F311="Reopened",1,0)</f>
        <v>0</v>
      </c>
      <c r="V311" s="7" t="n">
        <f aca="false">IF(AND(R311=1,O311&gt;Q311),1,0)</f>
        <v>0</v>
      </c>
      <c r="W311" s="7" t="n">
        <f aca="false">IF(AND(T311=1,P311&lt;&gt;"",P311&lt;=Q311),1,0)</f>
        <v>0</v>
      </c>
    </row>
    <row r="312" customFormat="false" ht="15" hidden="false" customHeight="false" outlineLevel="0" collapsed="false">
      <c r="A312" s="7" t="s">
        <v>467</v>
      </c>
      <c r="B312" s="7" t="s">
        <v>46</v>
      </c>
      <c r="C312" s="7" t="s">
        <v>128</v>
      </c>
      <c r="D312" s="7" t="s">
        <v>120</v>
      </c>
      <c r="E312" s="7" t="s">
        <v>121</v>
      </c>
      <c r="F312" s="7" t="s">
        <v>56</v>
      </c>
      <c r="G312" s="7" t="s">
        <v>19</v>
      </c>
      <c r="H312" s="9" t="n">
        <v>45961</v>
      </c>
      <c r="I312" s="9"/>
      <c r="J312" s="7" t="n">
        <v>8.8</v>
      </c>
      <c r="K312" s="7" t="s">
        <v>51</v>
      </c>
      <c r="L312" s="7" t="s">
        <v>19</v>
      </c>
      <c r="M312" s="7" t="s">
        <v>472</v>
      </c>
      <c r="N312" s="7" t="s">
        <v>58</v>
      </c>
      <c r="O312" s="10" t="n">
        <f aca="false">'Exec Summary'!$E$2-H312</f>
        <v>273</v>
      </c>
      <c r="P312" s="10" t="str">
        <f aca="false">IF(I312="","",I312-H312)</f>
        <v/>
      </c>
      <c r="Q312" s="10" t="n">
        <f aca="false">VLOOKUP(G312,$AA$2:$AB$5,2,FALSE())</f>
        <v>15</v>
      </c>
      <c r="R312" s="7" t="n">
        <f aca="false">IF(OR(F312="Open",F312="Reopened"),1,0)</f>
        <v>1</v>
      </c>
      <c r="S312" s="7" t="n">
        <f aca="false">IF(AND(H312&gt;='Exec Summary'!$E$1,H312&lt;='Exec Summary'!$E$2),1,0)</f>
        <v>0</v>
      </c>
      <c r="T312" s="7" t="n">
        <f aca="false">IF(AND(F312="Closed",I312&lt;&gt;"",I312&gt;='Exec Summary'!$E$1,I312&lt;='Exec Summary'!$E$2),1,0)</f>
        <v>0</v>
      </c>
      <c r="U312" s="7" t="n">
        <f aca="false">IF(F312="Reopened",1,0)</f>
        <v>0</v>
      </c>
      <c r="V312" s="7" t="n">
        <f aca="false">IF(AND(R312=1,O312&gt;Q312),1,0)</f>
        <v>1</v>
      </c>
      <c r="W312" s="7" t="n">
        <f aca="false">IF(AND(T312=1,P312&lt;&gt;"",P312&lt;=Q312),1,0)</f>
        <v>0</v>
      </c>
    </row>
    <row r="313" customFormat="false" ht="15" hidden="false" customHeight="false" outlineLevel="0" collapsed="false">
      <c r="A313" s="7" t="s">
        <v>467</v>
      </c>
      <c r="B313" s="7" t="s">
        <v>46</v>
      </c>
      <c r="C313" s="7" t="s">
        <v>128</v>
      </c>
      <c r="D313" s="7" t="s">
        <v>87</v>
      </c>
      <c r="E313" s="7" t="s">
        <v>88</v>
      </c>
      <c r="F313" s="7" t="s">
        <v>50</v>
      </c>
      <c r="G313" s="7" t="s">
        <v>19</v>
      </c>
      <c r="H313" s="9" t="n">
        <v>46041</v>
      </c>
      <c r="I313" s="9" t="n">
        <v>46046</v>
      </c>
      <c r="J313" s="7" t="n">
        <v>10</v>
      </c>
      <c r="K313" s="7" t="s">
        <v>51</v>
      </c>
      <c r="L313" s="7" t="s">
        <v>19</v>
      </c>
      <c r="M313" s="7" t="s">
        <v>473</v>
      </c>
      <c r="N313" s="7" t="s">
        <v>58</v>
      </c>
      <c r="O313" s="10" t="n">
        <f aca="false">'Exec Summary'!$E$2-H313</f>
        <v>193</v>
      </c>
      <c r="P313" s="10" t="n">
        <f aca="false">IF(I313="","",I313-H313)</f>
        <v>5</v>
      </c>
      <c r="Q313" s="10" t="n">
        <f aca="false">VLOOKUP(G313,$AA$2:$AB$5,2,FALSE())</f>
        <v>15</v>
      </c>
      <c r="R313" s="7" t="n">
        <f aca="false">IF(OR(F313="Open",F313="Reopened"),1,0)</f>
        <v>0</v>
      </c>
      <c r="S313" s="7" t="n">
        <f aca="false">IF(AND(H313&gt;='Exec Summary'!$E$1,H313&lt;='Exec Summary'!$E$2),1,0)</f>
        <v>0</v>
      </c>
      <c r="T313" s="7" t="n">
        <f aca="false">IF(AND(F313="Closed",I313&lt;&gt;"",I313&gt;='Exec Summary'!$E$1,I313&lt;='Exec Summary'!$E$2),1,0)</f>
        <v>0</v>
      </c>
      <c r="U313" s="7" t="n">
        <f aca="false">IF(F313="Reopened",1,0)</f>
        <v>0</v>
      </c>
      <c r="V313" s="7" t="n">
        <f aca="false">IF(AND(R313=1,O313&gt;Q313),1,0)</f>
        <v>0</v>
      </c>
      <c r="W313" s="7" t="n">
        <f aca="false">IF(AND(T313=1,P313&lt;&gt;"",P313&lt;=Q313),1,0)</f>
        <v>0</v>
      </c>
    </row>
    <row r="314" customFormat="false" ht="15" hidden="false" customHeight="false" outlineLevel="0" collapsed="false">
      <c r="A314" s="7" t="s">
        <v>467</v>
      </c>
      <c r="B314" s="7" t="s">
        <v>46</v>
      </c>
      <c r="C314" s="7" t="s">
        <v>128</v>
      </c>
      <c r="D314" s="7" t="s">
        <v>166</v>
      </c>
      <c r="E314" s="7" t="s">
        <v>167</v>
      </c>
      <c r="F314" s="7" t="s">
        <v>56</v>
      </c>
      <c r="G314" s="7" t="s">
        <v>19</v>
      </c>
      <c r="H314" s="9" t="n">
        <v>45987</v>
      </c>
      <c r="I314" s="9"/>
      <c r="J314" s="7" t="n">
        <v>9.8</v>
      </c>
      <c r="K314" s="7" t="s">
        <v>51</v>
      </c>
      <c r="L314" s="7" t="s">
        <v>19</v>
      </c>
      <c r="M314" s="7" t="s">
        <v>474</v>
      </c>
      <c r="N314" s="7" t="s">
        <v>58</v>
      </c>
      <c r="O314" s="10" t="n">
        <f aca="false">'Exec Summary'!$E$2-H314</f>
        <v>247</v>
      </c>
      <c r="P314" s="10" t="str">
        <f aca="false">IF(I314="","",I314-H314)</f>
        <v/>
      </c>
      <c r="Q314" s="10" t="n">
        <f aca="false">VLOOKUP(G314,$AA$2:$AB$5,2,FALSE())</f>
        <v>15</v>
      </c>
      <c r="R314" s="7" t="n">
        <f aca="false">IF(OR(F314="Open",F314="Reopened"),1,0)</f>
        <v>1</v>
      </c>
      <c r="S314" s="7" t="n">
        <f aca="false">IF(AND(H314&gt;='Exec Summary'!$E$1,H314&lt;='Exec Summary'!$E$2),1,0)</f>
        <v>0</v>
      </c>
      <c r="T314" s="7" t="n">
        <f aca="false">IF(AND(F314="Closed",I314&lt;&gt;"",I314&gt;='Exec Summary'!$E$1,I314&lt;='Exec Summary'!$E$2),1,0)</f>
        <v>0</v>
      </c>
      <c r="U314" s="7" t="n">
        <f aca="false">IF(F314="Reopened",1,0)</f>
        <v>0</v>
      </c>
      <c r="V314" s="7" t="n">
        <f aca="false">IF(AND(R314=1,O314&gt;Q314),1,0)</f>
        <v>1</v>
      </c>
      <c r="W314" s="7" t="n">
        <f aca="false">IF(AND(T314=1,P314&lt;&gt;"",P314&lt;=Q314),1,0)</f>
        <v>0</v>
      </c>
    </row>
    <row r="315" customFormat="false" ht="15" hidden="false" customHeight="false" outlineLevel="0" collapsed="false">
      <c r="A315" s="7" t="s">
        <v>467</v>
      </c>
      <c r="B315" s="7" t="s">
        <v>46</v>
      </c>
      <c r="C315" s="7" t="s">
        <v>128</v>
      </c>
      <c r="D315" s="7" t="s">
        <v>62</v>
      </c>
      <c r="E315" s="7" t="s">
        <v>63</v>
      </c>
      <c r="F315" s="7" t="s">
        <v>56</v>
      </c>
      <c r="G315" s="7" t="s">
        <v>20</v>
      </c>
      <c r="H315" s="9" t="n">
        <v>46014</v>
      </c>
      <c r="I315" s="9"/>
      <c r="J315" s="7" t="n">
        <v>8.1</v>
      </c>
      <c r="K315" s="7" t="s">
        <v>51</v>
      </c>
      <c r="L315" s="7" t="s">
        <v>19</v>
      </c>
      <c r="M315" s="7" t="s">
        <v>475</v>
      </c>
      <c r="N315" s="7" t="s">
        <v>53</v>
      </c>
      <c r="O315" s="10" t="n">
        <f aca="false">'Exec Summary'!$E$2-H315</f>
        <v>220</v>
      </c>
      <c r="P315" s="10" t="str">
        <f aca="false">IF(I315="","",I315-H315)</f>
        <v/>
      </c>
      <c r="Q315" s="10" t="n">
        <f aca="false">VLOOKUP(G315,$AA$2:$AB$5,2,FALSE())</f>
        <v>30</v>
      </c>
      <c r="R315" s="7" t="n">
        <f aca="false">IF(OR(F315="Open",F315="Reopened"),1,0)</f>
        <v>1</v>
      </c>
      <c r="S315" s="7" t="n">
        <f aca="false">IF(AND(H315&gt;='Exec Summary'!$E$1,H315&lt;='Exec Summary'!$E$2),1,0)</f>
        <v>0</v>
      </c>
      <c r="T315" s="7" t="n">
        <f aca="false">IF(AND(F315="Closed",I315&lt;&gt;"",I315&gt;='Exec Summary'!$E$1,I315&lt;='Exec Summary'!$E$2),1,0)</f>
        <v>0</v>
      </c>
      <c r="U315" s="7" t="n">
        <f aca="false">IF(F315="Reopened",1,0)</f>
        <v>0</v>
      </c>
      <c r="V315" s="7" t="n">
        <f aca="false">IF(AND(R315=1,O315&gt;Q315),1,0)</f>
        <v>1</v>
      </c>
      <c r="W315" s="7" t="n">
        <f aca="false">IF(AND(T315=1,P315&lt;&gt;"",P315&lt;=Q315),1,0)</f>
        <v>0</v>
      </c>
    </row>
    <row r="316" customFormat="false" ht="15" hidden="false" customHeight="false" outlineLevel="0" collapsed="false">
      <c r="A316" s="7" t="s">
        <v>476</v>
      </c>
      <c r="B316" s="7" t="s">
        <v>46</v>
      </c>
      <c r="C316" s="7" t="s">
        <v>158</v>
      </c>
      <c r="D316" s="7" t="s">
        <v>206</v>
      </c>
      <c r="E316" s="7" t="s">
        <v>207</v>
      </c>
      <c r="F316" s="7" t="s">
        <v>56</v>
      </c>
      <c r="G316" s="7" t="s">
        <v>20</v>
      </c>
      <c r="H316" s="9" t="n">
        <v>46051</v>
      </c>
      <c r="I316" s="9"/>
      <c r="J316" s="7" t="n">
        <v>8.8</v>
      </c>
      <c r="K316" s="7" t="s">
        <v>51</v>
      </c>
      <c r="L316" s="7" t="s">
        <v>22</v>
      </c>
      <c r="M316" s="7" t="s">
        <v>477</v>
      </c>
      <c r="N316" s="7" t="s">
        <v>53</v>
      </c>
      <c r="O316" s="10" t="n">
        <f aca="false">'Exec Summary'!$E$2-H316</f>
        <v>183</v>
      </c>
      <c r="P316" s="10" t="str">
        <f aca="false">IF(I316="","",I316-H316)</f>
        <v/>
      </c>
      <c r="Q316" s="10" t="n">
        <f aca="false">VLOOKUP(G316,$AA$2:$AB$5,2,FALSE())</f>
        <v>30</v>
      </c>
      <c r="R316" s="7" t="n">
        <f aca="false">IF(OR(F316="Open",F316="Reopened"),1,0)</f>
        <v>1</v>
      </c>
      <c r="S316" s="7" t="n">
        <f aca="false">IF(AND(H316&gt;='Exec Summary'!$E$1,H316&lt;='Exec Summary'!$E$2),1,0)</f>
        <v>0</v>
      </c>
      <c r="T316" s="7" t="n">
        <f aca="false">IF(AND(F316="Closed",I316&lt;&gt;"",I316&gt;='Exec Summary'!$E$1,I316&lt;='Exec Summary'!$E$2),1,0)</f>
        <v>0</v>
      </c>
      <c r="U316" s="7" t="n">
        <f aca="false">IF(F316="Reopened",1,0)</f>
        <v>0</v>
      </c>
      <c r="V316" s="7" t="n">
        <f aca="false">IF(AND(R316=1,O316&gt;Q316),1,0)</f>
        <v>1</v>
      </c>
      <c r="W316" s="7" t="n">
        <f aca="false">IF(AND(T316=1,P316&lt;&gt;"",P316&lt;=Q316),1,0)</f>
        <v>0</v>
      </c>
    </row>
    <row r="317" customFormat="false" ht="15" hidden="false" customHeight="false" outlineLevel="0" collapsed="false">
      <c r="A317" s="7" t="s">
        <v>476</v>
      </c>
      <c r="B317" s="7" t="s">
        <v>46</v>
      </c>
      <c r="C317" s="7" t="s">
        <v>158</v>
      </c>
      <c r="D317" s="7" t="s">
        <v>117</v>
      </c>
      <c r="E317" s="7" t="s">
        <v>118</v>
      </c>
      <c r="F317" s="7" t="s">
        <v>50</v>
      </c>
      <c r="G317" s="7" t="s">
        <v>19</v>
      </c>
      <c r="H317" s="9" t="n">
        <v>46050</v>
      </c>
      <c r="I317" s="9" t="n">
        <v>46071</v>
      </c>
      <c r="J317" s="7" t="n">
        <v>10</v>
      </c>
      <c r="K317" s="7" t="s">
        <v>51</v>
      </c>
      <c r="L317" s="7" t="s">
        <v>22</v>
      </c>
      <c r="M317" s="7" t="s">
        <v>478</v>
      </c>
      <c r="N317" s="7" t="s">
        <v>58</v>
      </c>
      <c r="O317" s="10" t="n">
        <f aca="false">'Exec Summary'!$E$2-H317</f>
        <v>184</v>
      </c>
      <c r="P317" s="10" t="n">
        <f aca="false">IF(I317="","",I317-H317)</f>
        <v>21</v>
      </c>
      <c r="Q317" s="10" t="n">
        <f aca="false">VLOOKUP(G317,$AA$2:$AB$5,2,FALSE())</f>
        <v>15</v>
      </c>
      <c r="R317" s="7" t="n">
        <f aca="false">IF(OR(F317="Open",F317="Reopened"),1,0)</f>
        <v>0</v>
      </c>
      <c r="S317" s="7" t="n">
        <f aca="false">IF(AND(H317&gt;='Exec Summary'!$E$1,H317&lt;='Exec Summary'!$E$2),1,0)</f>
        <v>0</v>
      </c>
      <c r="T317" s="7" t="n">
        <f aca="false">IF(AND(F317="Closed",I317&lt;&gt;"",I317&gt;='Exec Summary'!$E$1,I317&lt;='Exec Summary'!$E$2),1,0)</f>
        <v>0</v>
      </c>
      <c r="U317" s="7" t="n">
        <f aca="false">IF(F317="Reopened",1,0)</f>
        <v>0</v>
      </c>
      <c r="V317" s="7" t="n">
        <f aca="false">IF(AND(R317=1,O317&gt;Q317),1,0)</f>
        <v>0</v>
      </c>
      <c r="W317" s="7" t="n">
        <f aca="false">IF(AND(T317=1,P317&lt;&gt;"",P317&lt;=Q317),1,0)</f>
        <v>0</v>
      </c>
    </row>
    <row r="318" customFormat="false" ht="15" hidden="false" customHeight="false" outlineLevel="0" collapsed="false">
      <c r="A318" s="7" t="s">
        <v>476</v>
      </c>
      <c r="B318" s="7" t="s">
        <v>46</v>
      </c>
      <c r="C318" s="7" t="s">
        <v>158</v>
      </c>
      <c r="D318" s="7" t="s">
        <v>210</v>
      </c>
      <c r="E318" s="7" t="s">
        <v>211</v>
      </c>
      <c r="F318" s="7" t="s">
        <v>56</v>
      </c>
      <c r="G318" s="7" t="s">
        <v>19</v>
      </c>
      <c r="H318" s="9" t="n">
        <v>46126</v>
      </c>
      <c r="I318" s="9"/>
      <c r="J318" s="7" t="n">
        <v>9.8</v>
      </c>
      <c r="K318" s="7" t="s">
        <v>51</v>
      </c>
      <c r="L318" s="7" t="s">
        <v>22</v>
      </c>
      <c r="M318" s="7" t="s">
        <v>479</v>
      </c>
      <c r="N318" s="7" t="s">
        <v>58</v>
      </c>
      <c r="O318" s="10" t="n">
        <f aca="false">'Exec Summary'!$E$2-H318</f>
        <v>108</v>
      </c>
      <c r="P318" s="10" t="str">
        <f aca="false">IF(I318="","",I318-H318)</f>
        <v/>
      </c>
      <c r="Q318" s="10" t="n">
        <f aca="false">VLOOKUP(G318,$AA$2:$AB$5,2,FALSE())</f>
        <v>15</v>
      </c>
      <c r="R318" s="7" t="n">
        <f aca="false">IF(OR(F318="Open",F318="Reopened"),1,0)</f>
        <v>1</v>
      </c>
      <c r="S318" s="7" t="n">
        <f aca="false">IF(AND(H318&gt;='Exec Summary'!$E$1,H318&lt;='Exec Summary'!$E$2),1,0)</f>
        <v>0</v>
      </c>
      <c r="T318" s="7" t="n">
        <f aca="false">IF(AND(F318="Closed",I318&lt;&gt;"",I318&gt;='Exec Summary'!$E$1,I318&lt;='Exec Summary'!$E$2),1,0)</f>
        <v>0</v>
      </c>
      <c r="U318" s="7" t="n">
        <f aca="false">IF(F318="Reopened",1,0)</f>
        <v>0</v>
      </c>
      <c r="V318" s="7" t="n">
        <f aca="false">IF(AND(R318=1,O318&gt;Q318),1,0)</f>
        <v>1</v>
      </c>
      <c r="W318" s="7" t="n">
        <f aca="false">IF(AND(T318=1,P318&lt;&gt;"",P318&lt;=Q318),1,0)</f>
        <v>0</v>
      </c>
    </row>
    <row r="319" customFormat="false" ht="15" hidden="false" customHeight="false" outlineLevel="0" collapsed="false">
      <c r="A319" s="7" t="s">
        <v>476</v>
      </c>
      <c r="B319" s="7" t="s">
        <v>46</v>
      </c>
      <c r="C319" s="7" t="s">
        <v>158</v>
      </c>
      <c r="D319" s="7" t="s">
        <v>163</v>
      </c>
      <c r="E319" s="7" t="s">
        <v>164</v>
      </c>
      <c r="F319" s="7" t="s">
        <v>56</v>
      </c>
      <c r="G319" s="7" t="s">
        <v>19</v>
      </c>
      <c r="H319" s="9" t="n">
        <v>46175</v>
      </c>
      <c r="I319" s="9"/>
      <c r="J319" s="7" t="n">
        <v>9.1</v>
      </c>
      <c r="K319" s="7" t="s">
        <v>51</v>
      </c>
      <c r="L319" s="7" t="s">
        <v>22</v>
      </c>
      <c r="M319" s="7" t="s">
        <v>480</v>
      </c>
      <c r="N319" s="7" t="s">
        <v>58</v>
      </c>
      <c r="O319" s="10" t="n">
        <f aca="false">'Exec Summary'!$E$2-H319</f>
        <v>59</v>
      </c>
      <c r="P319" s="10" t="str">
        <f aca="false">IF(I319="","",I319-H319)</f>
        <v/>
      </c>
      <c r="Q319" s="10" t="n">
        <f aca="false">VLOOKUP(G319,$AA$2:$AB$5,2,FALSE())</f>
        <v>15</v>
      </c>
      <c r="R319" s="7" t="n">
        <f aca="false">IF(OR(F319="Open",F319="Reopened"),1,0)</f>
        <v>1</v>
      </c>
      <c r="S319" s="7" t="n">
        <f aca="false">IF(AND(H319&gt;='Exec Summary'!$E$1,H319&lt;='Exec Summary'!$E$2),1,0)</f>
        <v>0</v>
      </c>
      <c r="T319" s="7" t="n">
        <f aca="false">IF(AND(F319="Closed",I319&lt;&gt;"",I319&gt;='Exec Summary'!$E$1,I319&lt;='Exec Summary'!$E$2),1,0)</f>
        <v>0</v>
      </c>
      <c r="U319" s="7" t="n">
        <f aca="false">IF(F319="Reopened",1,0)</f>
        <v>0</v>
      </c>
      <c r="V319" s="7" t="n">
        <f aca="false">IF(AND(R319=1,O319&gt;Q319),1,0)</f>
        <v>1</v>
      </c>
      <c r="W319" s="7" t="n">
        <f aca="false">IF(AND(T319=1,P319&lt;&gt;"",P319&lt;=Q319),1,0)</f>
        <v>0</v>
      </c>
    </row>
    <row r="320" customFormat="false" ht="15" hidden="false" customHeight="false" outlineLevel="0" collapsed="false">
      <c r="A320" s="7" t="s">
        <v>481</v>
      </c>
      <c r="B320" s="7" t="s">
        <v>135</v>
      </c>
      <c r="C320" s="7" t="s">
        <v>136</v>
      </c>
      <c r="D320" s="7" t="s">
        <v>71</v>
      </c>
      <c r="E320" s="7" t="s">
        <v>72</v>
      </c>
      <c r="F320" s="7" t="s">
        <v>50</v>
      </c>
      <c r="G320" s="7" t="s">
        <v>19</v>
      </c>
      <c r="H320" s="9" t="n">
        <v>46112</v>
      </c>
      <c r="I320" s="9" t="n">
        <v>46125</v>
      </c>
      <c r="J320" s="7" t="n">
        <v>9.8</v>
      </c>
      <c r="K320" s="7" t="s">
        <v>482</v>
      </c>
      <c r="L320" s="7" t="s">
        <v>21</v>
      </c>
      <c r="M320" s="7" t="s">
        <v>483</v>
      </c>
      <c r="N320" s="7" t="s">
        <v>58</v>
      </c>
      <c r="O320" s="10" t="n">
        <f aca="false">'Exec Summary'!$E$2-H320</f>
        <v>122</v>
      </c>
      <c r="P320" s="10" t="n">
        <f aca="false">IF(I320="","",I320-H320)</f>
        <v>13</v>
      </c>
      <c r="Q320" s="10" t="n">
        <f aca="false">VLOOKUP(G320,$AA$2:$AB$5,2,FALSE())</f>
        <v>15</v>
      </c>
      <c r="R320" s="7" t="n">
        <f aca="false">IF(OR(F320="Open",F320="Reopened"),1,0)</f>
        <v>0</v>
      </c>
      <c r="S320" s="7" t="n">
        <f aca="false">IF(AND(H320&gt;='Exec Summary'!$E$1,H320&lt;='Exec Summary'!$E$2),1,0)</f>
        <v>0</v>
      </c>
      <c r="T320" s="7" t="n">
        <f aca="false">IF(AND(F320="Closed",I320&lt;&gt;"",I320&gt;='Exec Summary'!$E$1,I320&lt;='Exec Summary'!$E$2),1,0)</f>
        <v>0</v>
      </c>
      <c r="U320" s="7" t="n">
        <f aca="false">IF(F320="Reopened",1,0)</f>
        <v>0</v>
      </c>
      <c r="V320" s="7" t="n">
        <f aca="false">IF(AND(R320=1,O320&gt;Q320),1,0)</f>
        <v>0</v>
      </c>
      <c r="W320" s="7" t="n">
        <f aca="false">IF(AND(T320=1,P320&lt;&gt;"",P320&lt;=Q320),1,0)</f>
        <v>0</v>
      </c>
    </row>
    <row r="321" customFormat="false" ht="15" hidden="false" customHeight="false" outlineLevel="0" collapsed="false">
      <c r="A321" s="7" t="s">
        <v>481</v>
      </c>
      <c r="B321" s="7" t="s">
        <v>135</v>
      </c>
      <c r="C321" s="7" t="s">
        <v>136</v>
      </c>
      <c r="D321" s="7" t="s">
        <v>84</v>
      </c>
      <c r="E321" s="7" t="s">
        <v>85</v>
      </c>
      <c r="F321" s="7" t="s">
        <v>56</v>
      </c>
      <c r="G321" s="7" t="s">
        <v>20</v>
      </c>
      <c r="H321" s="9" t="n">
        <v>45963</v>
      </c>
      <c r="I321" s="9"/>
      <c r="J321" s="7" t="n">
        <v>7.5</v>
      </c>
      <c r="K321" s="7" t="s">
        <v>482</v>
      </c>
      <c r="L321" s="7" t="s">
        <v>21</v>
      </c>
      <c r="M321" s="7" t="s">
        <v>484</v>
      </c>
      <c r="N321" s="7" t="s">
        <v>53</v>
      </c>
      <c r="O321" s="10" t="n">
        <f aca="false">'Exec Summary'!$E$2-H321</f>
        <v>271</v>
      </c>
      <c r="P321" s="10" t="str">
        <f aca="false">IF(I321="","",I321-H321)</f>
        <v/>
      </c>
      <c r="Q321" s="10" t="n">
        <f aca="false">VLOOKUP(G321,$AA$2:$AB$5,2,FALSE())</f>
        <v>30</v>
      </c>
      <c r="R321" s="7" t="n">
        <f aca="false">IF(OR(F321="Open",F321="Reopened"),1,0)</f>
        <v>1</v>
      </c>
      <c r="S321" s="7" t="n">
        <f aca="false">IF(AND(H321&gt;='Exec Summary'!$E$1,H321&lt;='Exec Summary'!$E$2),1,0)</f>
        <v>0</v>
      </c>
      <c r="T321" s="7" t="n">
        <f aca="false">IF(AND(F321="Closed",I321&lt;&gt;"",I321&gt;='Exec Summary'!$E$1,I321&lt;='Exec Summary'!$E$2),1,0)</f>
        <v>0</v>
      </c>
      <c r="U321" s="7" t="n">
        <f aca="false">IF(F321="Reopened",1,0)</f>
        <v>0</v>
      </c>
      <c r="V321" s="7" t="n">
        <f aca="false">IF(AND(R321=1,O321&gt;Q321),1,0)</f>
        <v>1</v>
      </c>
      <c r="W321" s="7" t="n">
        <f aca="false">IF(AND(T321=1,P321&lt;&gt;"",P321&lt;=Q321),1,0)</f>
        <v>0</v>
      </c>
    </row>
    <row r="322" customFormat="false" ht="15" hidden="false" customHeight="false" outlineLevel="0" collapsed="false">
      <c r="A322" s="7" t="s">
        <v>481</v>
      </c>
      <c r="B322" s="7" t="s">
        <v>135</v>
      </c>
      <c r="C322" s="7" t="s">
        <v>136</v>
      </c>
      <c r="D322" s="7" t="s">
        <v>62</v>
      </c>
      <c r="E322" s="7" t="s">
        <v>63</v>
      </c>
      <c r="F322" s="7" t="s">
        <v>50</v>
      </c>
      <c r="G322" s="7" t="s">
        <v>20</v>
      </c>
      <c r="H322" s="9" t="n">
        <v>46060</v>
      </c>
      <c r="I322" s="9" t="n">
        <v>46106</v>
      </c>
      <c r="J322" s="7" t="n">
        <v>8.1</v>
      </c>
      <c r="K322" s="7" t="s">
        <v>482</v>
      </c>
      <c r="L322" s="7" t="s">
        <v>21</v>
      </c>
      <c r="M322" s="7" t="s">
        <v>485</v>
      </c>
      <c r="N322" s="7" t="s">
        <v>53</v>
      </c>
      <c r="O322" s="10" t="n">
        <f aca="false">'Exec Summary'!$E$2-H322</f>
        <v>174</v>
      </c>
      <c r="P322" s="10" t="n">
        <f aca="false">IF(I322="","",I322-H322)</f>
        <v>46</v>
      </c>
      <c r="Q322" s="10" t="n">
        <f aca="false">VLOOKUP(G322,$AA$2:$AB$5,2,FALSE())</f>
        <v>30</v>
      </c>
      <c r="R322" s="7" t="n">
        <f aca="false">IF(OR(F322="Open",F322="Reopened"),1,0)</f>
        <v>0</v>
      </c>
      <c r="S322" s="7" t="n">
        <f aca="false">IF(AND(H322&gt;='Exec Summary'!$E$1,H322&lt;='Exec Summary'!$E$2),1,0)</f>
        <v>0</v>
      </c>
      <c r="T322" s="7" t="n">
        <f aca="false">IF(AND(F322="Closed",I322&lt;&gt;"",I322&gt;='Exec Summary'!$E$1,I322&lt;='Exec Summary'!$E$2),1,0)</f>
        <v>0</v>
      </c>
      <c r="U322" s="7" t="n">
        <f aca="false">IF(F322="Reopened",1,0)</f>
        <v>0</v>
      </c>
      <c r="V322" s="7" t="n">
        <f aca="false">IF(AND(R322=1,O322&gt;Q322),1,0)</f>
        <v>0</v>
      </c>
      <c r="W322" s="7" t="n">
        <f aca="false">IF(AND(T322=1,P322&lt;&gt;"",P322&lt;=Q322),1,0)</f>
        <v>0</v>
      </c>
    </row>
    <row r="323" customFormat="false" ht="15" hidden="false" customHeight="false" outlineLevel="0" collapsed="false">
      <c r="A323" s="7" t="s">
        <v>481</v>
      </c>
      <c r="B323" s="7" t="s">
        <v>135</v>
      </c>
      <c r="C323" s="7" t="s">
        <v>136</v>
      </c>
      <c r="D323" s="7" t="s">
        <v>192</v>
      </c>
      <c r="E323" s="7" t="s">
        <v>193</v>
      </c>
      <c r="F323" s="7" t="s">
        <v>50</v>
      </c>
      <c r="G323" s="7" t="s">
        <v>19</v>
      </c>
      <c r="H323" s="9" t="n">
        <v>46009</v>
      </c>
      <c r="I323" s="9" t="n">
        <v>46022</v>
      </c>
      <c r="J323" s="7" t="n">
        <v>9.8</v>
      </c>
      <c r="K323" s="7" t="s">
        <v>482</v>
      </c>
      <c r="L323" s="7" t="s">
        <v>21</v>
      </c>
      <c r="M323" s="7" t="s">
        <v>486</v>
      </c>
      <c r="N323" s="7" t="s">
        <v>58</v>
      </c>
      <c r="O323" s="10" t="n">
        <f aca="false">'Exec Summary'!$E$2-H323</f>
        <v>225</v>
      </c>
      <c r="P323" s="10" t="n">
        <f aca="false">IF(I323="","",I323-H323)</f>
        <v>13</v>
      </c>
      <c r="Q323" s="10" t="n">
        <f aca="false">VLOOKUP(G323,$AA$2:$AB$5,2,FALSE())</f>
        <v>15</v>
      </c>
      <c r="R323" s="7" t="n">
        <f aca="false">IF(OR(F323="Open",F323="Reopened"),1,0)</f>
        <v>0</v>
      </c>
      <c r="S323" s="7" t="n">
        <f aca="false">IF(AND(H323&gt;='Exec Summary'!$E$1,H323&lt;='Exec Summary'!$E$2),1,0)</f>
        <v>0</v>
      </c>
      <c r="T323" s="7" t="n">
        <f aca="false">IF(AND(F323="Closed",I323&lt;&gt;"",I323&gt;='Exec Summary'!$E$1,I323&lt;='Exec Summary'!$E$2),1,0)</f>
        <v>0</v>
      </c>
      <c r="U323" s="7" t="n">
        <f aca="false">IF(F323="Reopened",1,0)</f>
        <v>0</v>
      </c>
      <c r="V323" s="7" t="n">
        <f aca="false">IF(AND(R323=1,O323&gt;Q323),1,0)</f>
        <v>0</v>
      </c>
      <c r="W323" s="7" t="n">
        <f aca="false">IF(AND(T323=1,P323&lt;&gt;"",P323&lt;=Q323),1,0)</f>
        <v>0</v>
      </c>
    </row>
    <row r="324" customFormat="false" ht="15" hidden="false" customHeight="false" outlineLevel="0" collapsed="false">
      <c r="A324" s="7" t="s">
        <v>481</v>
      </c>
      <c r="B324" s="7" t="s">
        <v>135</v>
      </c>
      <c r="C324" s="7" t="s">
        <v>136</v>
      </c>
      <c r="D324" s="7" t="s">
        <v>131</v>
      </c>
      <c r="E324" s="7" t="s">
        <v>132</v>
      </c>
      <c r="F324" s="7" t="s">
        <v>50</v>
      </c>
      <c r="G324" s="7" t="s">
        <v>19</v>
      </c>
      <c r="H324" s="9" t="n">
        <v>46064</v>
      </c>
      <c r="I324" s="9" t="n">
        <v>46066</v>
      </c>
      <c r="J324" s="7" t="n">
        <v>9.8</v>
      </c>
      <c r="K324" s="7" t="s">
        <v>482</v>
      </c>
      <c r="L324" s="7" t="s">
        <v>21</v>
      </c>
      <c r="M324" s="7" t="s">
        <v>487</v>
      </c>
      <c r="N324" s="7" t="s">
        <v>58</v>
      </c>
      <c r="O324" s="10" t="n">
        <f aca="false">'Exec Summary'!$E$2-H324</f>
        <v>170</v>
      </c>
      <c r="P324" s="10" t="n">
        <f aca="false">IF(I324="","",I324-H324)</f>
        <v>2</v>
      </c>
      <c r="Q324" s="10" t="n">
        <f aca="false">VLOOKUP(G324,$AA$2:$AB$5,2,FALSE())</f>
        <v>15</v>
      </c>
      <c r="R324" s="7" t="n">
        <f aca="false">IF(OR(F324="Open",F324="Reopened"),1,0)</f>
        <v>0</v>
      </c>
      <c r="S324" s="7" t="n">
        <f aca="false">IF(AND(H324&gt;='Exec Summary'!$E$1,H324&lt;='Exec Summary'!$E$2),1,0)</f>
        <v>0</v>
      </c>
      <c r="T324" s="7" t="n">
        <f aca="false">IF(AND(F324="Closed",I324&lt;&gt;"",I324&gt;='Exec Summary'!$E$1,I324&lt;='Exec Summary'!$E$2),1,0)</f>
        <v>0</v>
      </c>
      <c r="U324" s="7" t="n">
        <f aca="false">IF(F324="Reopened",1,0)</f>
        <v>0</v>
      </c>
      <c r="V324" s="7" t="n">
        <f aca="false">IF(AND(R324=1,O324&gt;Q324),1,0)</f>
        <v>0</v>
      </c>
      <c r="W324" s="7" t="n">
        <f aca="false">IF(AND(T324=1,P324&lt;&gt;"",P324&lt;=Q324),1,0)</f>
        <v>0</v>
      </c>
    </row>
    <row r="325" customFormat="false" ht="15" hidden="false" customHeight="false" outlineLevel="0" collapsed="false">
      <c r="A325" s="7" t="s">
        <v>481</v>
      </c>
      <c r="B325" s="7" t="s">
        <v>135</v>
      </c>
      <c r="C325" s="7" t="s">
        <v>136</v>
      </c>
      <c r="D325" s="7" t="s">
        <v>145</v>
      </c>
      <c r="E325" s="7" t="s">
        <v>146</v>
      </c>
      <c r="F325" s="7" t="s">
        <v>56</v>
      </c>
      <c r="G325" s="7" t="s">
        <v>19</v>
      </c>
      <c r="H325" s="9" t="n">
        <v>45981</v>
      </c>
      <c r="I325" s="9"/>
      <c r="J325" s="7" t="n">
        <v>9.8</v>
      </c>
      <c r="K325" s="7" t="s">
        <v>482</v>
      </c>
      <c r="L325" s="7" t="s">
        <v>21</v>
      </c>
      <c r="M325" s="7" t="s">
        <v>488</v>
      </c>
      <c r="N325" s="7" t="s">
        <v>58</v>
      </c>
      <c r="O325" s="10" t="n">
        <f aca="false">'Exec Summary'!$E$2-H325</f>
        <v>253</v>
      </c>
      <c r="P325" s="10" t="str">
        <f aca="false">IF(I325="","",I325-H325)</f>
        <v/>
      </c>
      <c r="Q325" s="10" t="n">
        <f aca="false">VLOOKUP(G325,$AA$2:$AB$5,2,FALSE())</f>
        <v>15</v>
      </c>
      <c r="R325" s="7" t="n">
        <f aca="false">IF(OR(F325="Open",F325="Reopened"),1,0)</f>
        <v>1</v>
      </c>
      <c r="S325" s="7" t="n">
        <f aca="false">IF(AND(H325&gt;='Exec Summary'!$E$1,H325&lt;='Exec Summary'!$E$2),1,0)</f>
        <v>0</v>
      </c>
      <c r="T325" s="7" t="n">
        <f aca="false">IF(AND(F325="Closed",I325&lt;&gt;"",I325&gt;='Exec Summary'!$E$1,I325&lt;='Exec Summary'!$E$2),1,0)</f>
        <v>0</v>
      </c>
      <c r="U325" s="7" t="n">
        <f aca="false">IF(F325="Reopened",1,0)</f>
        <v>0</v>
      </c>
      <c r="V325" s="7" t="n">
        <f aca="false">IF(AND(R325=1,O325&gt;Q325),1,0)</f>
        <v>1</v>
      </c>
      <c r="W325" s="7" t="n">
        <f aca="false">IF(AND(T325=1,P325&lt;&gt;"",P325&lt;=Q325),1,0)</f>
        <v>0</v>
      </c>
    </row>
    <row r="326" customFormat="false" ht="15" hidden="false" customHeight="false" outlineLevel="0" collapsed="false">
      <c r="A326" s="7" t="s">
        <v>481</v>
      </c>
      <c r="B326" s="7" t="s">
        <v>135</v>
      </c>
      <c r="C326" s="7" t="s">
        <v>136</v>
      </c>
      <c r="D326" s="7" t="s">
        <v>74</v>
      </c>
      <c r="E326" s="7" t="s">
        <v>75</v>
      </c>
      <c r="F326" s="7" t="s">
        <v>56</v>
      </c>
      <c r="G326" s="7" t="s">
        <v>21</v>
      </c>
      <c r="H326" s="9" t="n">
        <v>46137</v>
      </c>
      <c r="I326" s="9"/>
      <c r="J326" s="7" t="n">
        <v>6.5</v>
      </c>
      <c r="K326" s="7" t="s">
        <v>482</v>
      </c>
      <c r="L326" s="7" t="s">
        <v>21</v>
      </c>
      <c r="M326" s="7" t="s">
        <v>489</v>
      </c>
      <c r="N326" s="7" t="s">
        <v>77</v>
      </c>
      <c r="O326" s="10" t="n">
        <f aca="false">'Exec Summary'!$E$2-H326</f>
        <v>97</v>
      </c>
      <c r="P326" s="10" t="str">
        <f aca="false">IF(I326="","",I326-H326)</f>
        <v/>
      </c>
      <c r="Q326" s="10" t="n">
        <f aca="false">VLOOKUP(G326,$AA$2:$AB$5,2,FALSE())</f>
        <v>90</v>
      </c>
      <c r="R326" s="7" t="n">
        <f aca="false">IF(OR(F326="Open",F326="Reopened"),1,0)</f>
        <v>1</v>
      </c>
      <c r="S326" s="7" t="n">
        <f aca="false">IF(AND(H326&gt;='Exec Summary'!$E$1,H326&lt;='Exec Summary'!$E$2),1,0)</f>
        <v>0</v>
      </c>
      <c r="T326" s="7" t="n">
        <f aca="false">IF(AND(F326="Closed",I326&lt;&gt;"",I326&gt;='Exec Summary'!$E$1,I326&lt;='Exec Summary'!$E$2),1,0)</f>
        <v>0</v>
      </c>
      <c r="U326" s="7" t="n">
        <f aca="false">IF(F326="Reopened",1,0)</f>
        <v>0</v>
      </c>
      <c r="V326" s="7" t="n">
        <f aca="false">IF(AND(R326=1,O326&gt;Q326),1,0)</f>
        <v>1</v>
      </c>
      <c r="W326" s="7" t="n">
        <f aca="false">IF(AND(T326=1,P326&lt;&gt;"",P326&lt;=Q326),1,0)</f>
        <v>0</v>
      </c>
    </row>
    <row r="327" customFormat="false" ht="15" hidden="false" customHeight="false" outlineLevel="0" collapsed="false">
      <c r="A327" s="7" t="s">
        <v>481</v>
      </c>
      <c r="B327" s="7" t="s">
        <v>135</v>
      </c>
      <c r="C327" s="7" t="s">
        <v>136</v>
      </c>
      <c r="D327" s="7" t="s">
        <v>48</v>
      </c>
      <c r="E327" s="7" t="s">
        <v>49</v>
      </c>
      <c r="F327" s="7" t="s">
        <v>56</v>
      </c>
      <c r="G327" s="7" t="s">
        <v>20</v>
      </c>
      <c r="H327" s="9" t="n">
        <v>46199</v>
      </c>
      <c r="I327" s="9"/>
      <c r="J327" s="7" t="n">
        <v>7.5</v>
      </c>
      <c r="K327" s="7" t="s">
        <v>482</v>
      </c>
      <c r="L327" s="7" t="s">
        <v>21</v>
      </c>
      <c r="M327" s="7" t="s">
        <v>490</v>
      </c>
      <c r="N327" s="7" t="s">
        <v>53</v>
      </c>
      <c r="O327" s="10" t="n">
        <f aca="false">'Exec Summary'!$E$2-H327</f>
        <v>35</v>
      </c>
      <c r="P327" s="10" t="str">
        <f aca="false">IF(I327="","",I327-H327)</f>
        <v/>
      </c>
      <c r="Q327" s="10" t="n">
        <f aca="false">VLOOKUP(G327,$AA$2:$AB$5,2,FALSE())</f>
        <v>30</v>
      </c>
      <c r="R327" s="7" t="n">
        <f aca="false">IF(OR(F327="Open",F327="Reopened"),1,0)</f>
        <v>1</v>
      </c>
      <c r="S327" s="7" t="n">
        <f aca="false">IF(AND(H327&gt;='Exec Summary'!$E$1,H327&lt;='Exec Summary'!$E$2),1,0)</f>
        <v>0</v>
      </c>
      <c r="T327" s="7" t="n">
        <f aca="false">IF(AND(F327="Closed",I327&lt;&gt;"",I327&gt;='Exec Summary'!$E$1,I327&lt;='Exec Summary'!$E$2),1,0)</f>
        <v>0</v>
      </c>
      <c r="U327" s="7" t="n">
        <f aca="false">IF(F327="Reopened",1,0)</f>
        <v>0</v>
      </c>
      <c r="V327" s="7" t="n">
        <f aca="false">IF(AND(R327=1,O327&gt;Q327),1,0)</f>
        <v>1</v>
      </c>
      <c r="W327" s="7" t="n">
        <f aca="false">IF(AND(T327=1,P327&lt;&gt;"",P327&lt;=Q327),1,0)</f>
        <v>0</v>
      </c>
    </row>
    <row r="328" customFormat="false" ht="15" hidden="false" customHeight="false" outlineLevel="0" collapsed="false">
      <c r="A328" s="7" t="s">
        <v>481</v>
      </c>
      <c r="B328" s="7" t="s">
        <v>135</v>
      </c>
      <c r="C328" s="7" t="s">
        <v>136</v>
      </c>
      <c r="D328" s="7" t="s">
        <v>98</v>
      </c>
      <c r="E328" s="7" t="s">
        <v>99</v>
      </c>
      <c r="F328" s="7" t="s">
        <v>56</v>
      </c>
      <c r="G328" s="7" t="s">
        <v>19</v>
      </c>
      <c r="H328" s="9" t="n">
        <v>46018</v>
      </c>
      <c r="I328" s="9"/>
      <c r="J328" s="7" t="n">
        <v>10</v>
      </c>
      <c r="K328" s="7" t="s">
        <v>482</v>
      </c>
      <c r="L328" s="7" t="s">
        <v>21</v>
      </c>
      <c r="M328" s="7" t="s">
        <v>491</v>
      </c>
      <c r="N328" s="7" t="s">
        <v>58</v>
      </c>
      <c r="O328" s="10" t="n">
        <f aca="false">'Exec Summary'!$E$2-H328</f>
        <v>216</v>
      </c>
      <c r="P328" s="10" t="str">
        <f aca="false">IF(I328="","",I328-H328)</f>
        <v/>
      </c>
      <c r="Q328" s="10" t="n">
        <f aca="false">VLOOKUP(G328,$AA$2:$AB$5,2,FALSE())</f>
        <v>15</v>
      </c>
      <c r="R328" s="7" t="n">
        <f aca="false">IF(OR(F328="Open",F328="Reopened"),1,0)</f>
        <v>1</v>
      </c>
      <c r="S328" s="7" t="n">
        <f aca="false">IF(AND(H328&gt;='Exec Summary'!$E$1,H328&lt;='Exec Summary'!$E$2),1,0)</f>
        <v>0</v>
      </c>
      <c r="T328" s="7" t="n">
        <f aca="false">IF(AND(F328="Closed",I328&lt;&gt;"",I328&gt;='Exec Summary'!$E$1,I328&lt;='Exec Summary'!$E$2),1,0)</f>
        <v>0</v>
      </c>
      <c r="U328" s="7" t="n">
        <f aca="false">IF(F328="Reopened",1,0)</f>
        <v>0</v>
      </c>
      <c r="V328" s="7" t="n">
        <f aca="false">IF(AND(R328=1,O328&gt;Q328),1,0)</f>
        <v>1</v>
      </c>
      <c r="W328" s="7" t="n">
        <f aca="false">IF(AND(T328=1,P328&lt;&gt;"",P328&lt;=Q328),1,0)</f>
        <v>0</v>
      </c>
    </row>
    <row r="329" customFormat="false" ht="15" hidden="false" customHeight="false" outlineLevel="0" collapsed="false">
      <c r="A329" s="7" t="s">
        <v>481</v>
      </c>
      <c r="B329" s="7" t="s">
        <v>135</v>
      </c>
      <c r="C329" s="7" t="s">
        <v>136</v>
      </c>
      <c r="D329" s="7" t="s">
        <v>81</v>
      </c>
      <c r="E329" s="7" t="s">
        <v>82</v>
      </c>
      <c r="F329" s="7" t="s">
        <v>50</v>
      </c>
      <c r="G329" s="7" t="s">
        <v>20</v>
      </c>
      <c r="H329" s="9" t="n">
        <v>46088</v>
      </c>
      <c r="I329" s="9" t="n">
        <v>46101</v>
      </c>
      <c r="J329" s="7" t="n">
        <v>7.8</v>
      </c>
      <c r="K329" s="7" t="s">
        <v>482</v>
      </c>
      <c r="L329" s="7" t="s">
        <v>21</v>
      </c>
      <c r="M329" s="7" t="s">
        <v>492</v>
      </c>
      <c r="N329" s="7" t="s">
        <v>53</v>
      </c>
      <c r="O329" s="10" t="n">
        <f aca="false">'Exec Summary'!$E$2-H329</f>
        <v>146</v>
      </c>
      <c r="P329" s="10" t="n">
        <f aca="false">IF(I329="","",I329-H329)</f>
        <v>13</v>
      </c>
      <c r="Q329" s="10" t="n">
        <f aca="false">VLOOKUP(G329,$AA$2:$AB$5,2,FALSE())</f>
        <v>30</v>
      </c>
      <c r="R329" s="7" t="n">
        <f aca="false">IF(OR(F329="Open",F329="Reopened"),1,0)</f>
        <v>0</v>
      </c>
      <c r="S329" s="7" t="n">
        <f aca="false">IF(AND(H329&gt;='Exec Summary'!$E$1,H329&lt;='Exec Summary'!$E$2),1,0)</f>
        <v>0</v>
      </c>
      <c r="T329" s="7" t="n">
        <f aca="false">IF(AND(F329="Closed",I329&lt;&gt;"",I329&gt;='Exec Summary'!$E$1,I329&lt;='Exec Summary'!$E$2),1,0)</f>
        <v>0</v>
      </c>
      <c r="U329" s="7" t="n">
        <f aca="false">IF(F329="Reopened",1,0)</f>
        <v>0</v>
      </c>
      <c r="V329" s="7" t="n">
        <f aca="false">IF(AND(R329=1,O329&gt;Q329),1,0)</f>
        <v>0</v>
      </c>
      <c r="W329" s="7" t="n">
        <f aca="false">IF(AND(T329=1,P329&lt;&gt;"",P329&lt;=Q329),1,0)</f>
        <v>0</v>
      </c>
    </row>
    <row r="330" customFormat="false" ht="15" hidden="false" customHeight="false" outlineLevel="0" collapsed="false">
      <c r="A330" s="7" t="s">
        <v>481</v>
      </c>
      <c r="B330" s="7" t="s">
        <v>135</v>
      </c>
      <c r="C330" s="7" t="s">
        <v>136</v>
      </c>
      <c r="D330" s="7" t="s">
        <v>95</v>
      </c>
      <c r="E330" s="7" t="s">
        <v>96</v>
      </c>
      <c r="F330" s="7" t="s">
        <v>56</v>
      </c>
      <c r="G330" s="7" t="s">
        <v>20</v>
      </c>
      <c r="H330" s="9" t="n">
        <v>46091</v>
      </c>
      <c r="I330" s="9"/>
      <c r="J330" s="7" t="n">
        <v>8.8</v>
      </c>
      <c r="K330" s="7" t="s">
        <v>482</v>
      </c>
      <c r="L330" s="7" t="s">
        <v>21</v>
      </c>
      <c r="M330" s="7" t="s">
        <v>493</v>
      </c>
      <c r="N330" s="7" t="s">
        <v>53</v>
      </c>
      <c r="O330" s="10" t="n">
        <f aca="false">'Exec Summary'!$E$2-H330</f>
        <v>143</v>
      </c>
      <c r="P330" s="10" t="str">
        <f aca="false">IF(I330="","",I330-H330)</f>
        <v/>
      </c>
      <c r="Q330" s="10" t="n">
        <f aca="false">VLOOKUP(G330,$AA$2:$AB$5,2,FALSE())</f>
        <v>30</v>
      </c>
      <c r="R330" s="7" t="n">
        <f aca="false">IF(OR(F330="Open",F330="Reopened"),1,0)</f>
        <v>1</v>
      </c>
      <c r="S330" s="7" t="n">
        <f aca="false">IF(AND(H330&gt;='Exec Summary'!$E$1,H330&lt;='Exec Summary'!$E$2),1,0)</f>
        <v>0</v>
      </c>
      <c r="T330" s="7" t="n">
        <f aca="false">IF(AND(F330="Closed",I330&lt;&gt;"",I330&gt;='Exec Summary'!$E$1,I330&lt;='Exec Summary'!$E$2),1,0)</f>
        <v>0</v>
      </c>
      <c r="U330" s="7" t="n">
        <f aca="false">IF(F330="Reopened",1,0)</f>
        <v>0</v>
      </c>
      <c r="V330" s="7" t="n">
        <f aca="false">IF(AND(R330=1,O330&gt;Q330),1,0)</f>
        <v>1</v>
      </c>
      <c r="W330" s="7" t="n">
        <f aca="false">IF(AND(T330=1,P330&lt;&gt;"",P330&lt;=Q330),1,0)</f>
        <v>0</v>
      </c>
    </row>
    <row r="331" customFormat="false" ht="15" hidden="false" customHeight="false" outlineLevel="0" collapsed="false">
      <c r="A331" s="7" t="s">
        <v>494</v>
      </c>
      <c r="B331" s="7" t="s">
        <v>46</v>
      </c>
      <c r="C331" s="7" t="s">
        <v>79</v>
      </c>
      <c r="D331" s="7" t="s">
        <v>98</v>
      </c>
      <c r="E331" s="7" t="s">
        <v>99</v>
      </c>
      <c r="F331" s="7" t="s">
        <v>50</v>
      </c>
      <c r="G331" s="7" t="s">
        <v>19</v>
      </c>
      <c r="H331" s="9" t="n">
        <v>46202</v>
      </c>
      <c r="I331" s="9" t="n">
        <v>46211</v>
      </c>
      <c r="J331" s="7" t="n">
        <v>10</v>
      </c>
      <c r="K331" s="7" t="s">
        <v>482</v>
      </c>
      <c r="L331" s="7" t="s">
        <v>21</v>
      </c>
      <c r="M331" s="7" t="s">
        <v>495</v>
      </c>
      <c r="N331" s="7" t="s">
        <v>58</v>
      </c>
      <c r="O331" s="10" t="n">
        <f aca="false">'Exec Summary'!$E$2-H331</f>
        <v>32</v>
      </c>
      <c r="P331" s="10" t="n">
        <f aca="false">IF(I331="","",I331-H331)</f>
        <v>9</v>
      </c>
      <c r="Q331" s="10" t="n">
        <f aca="false">VLOOKUP(G331,$AA$2:$AB$5,2,FALSE())</f>
        <v>15</v>
      </c>
      <c r="R331" s="7" t="n">
        <f aca="false">IF(OR(F331="Open",F331="Reopened"),1,0)</f>
        <v>0</v>
      </c>
      <c r="S331" s="7" t="n">
        <f aca="false">IF(AND(H331&gt;='Exec Summary'!$E$1,H331&lt;='Exec Summary'!$E$2),1,0)</f>
        <v>0</v>
      </c>
      <c r="T331" s="7" t="n">
        <f aca="false">IF(AND(F331="Closed",I331&lt;&gt;"",I331&gt;='Exec Summary'!$E$1,I331&lt;='Exec Summary'!$E$2),1,0)</f>
        <v>1</v>
      </c>
      <c r="U331" s="7" t="n">
        <f aca="false">IF(F331="Reopened",1,0)</f>
        <v>0</v>
      </c>
      <c r="V331" s="7" t="n">
        <f aca="false">IF(AND(R331=1,O331&gt;Q331),1,0)</f>
        <v>0</v>
      </c>
      <c r="W331" s="7" t="n">
        <f aca="false">IF(AND(T331=1,P331&lt;&gt;"",P331&lt;=Q331),1,0)</f>
        <v>1</v>
      </c>
    </row>
    <row r="332" customFormat="false" ht="15" hidden="false" customHeight="false" outlineLevel="0" collapsed="false">
      <c r="A332" s="7" t="s">
        <v>494</v>
      </c>
      <c r="B332" s="7" t="s">
        <v>46</v>
      </c>
      <c r="C332" s="7" t="s">
        <v>79</v>
      </c>
      <c r="D332" s="7" t="s">
        <v>206</v>
      </c>
      <c r="E332" s="7" t="s">
        <v>207</v>
      </c>
      <c r="F332" s="7" t="s">
        <v>50</v>
      </c>
      <c r="G332" s="7" t="s">
        <v>20</v>
      </c>
      <c r="H332" s="9" t="n">
        <v>46002</v>
      </c>
      <c r="I332" s="9" t="n">
        <v>46038</v>
      </c>
      <c r="J332" s="7" t="n">
        <v>8.8</v>
      </c>
      <c r="K332" s="7" t="s">
        <v>482</v>
      </c>
      <c r="L332" s="7" t="s">
        <v>21</v>
      </c>
      <c r="M332" s="7" t="s">
        <v>496</v>
      </c>
      <c r="N332" s="7" t="s">
        <v>53</v>
      </c>
      <c r="O332" s="10" t="n">
        <f aca="false">'Exec Summary'!$E$2-H332</f>
        <v>232</v>
      </c>
      <c r="P332" s="10" t="n">
        <f aca="false">IF(I332="","",I332-H332)</f>
        <v>36</v>
      </c>
      <c r="Q332" s="10" t="n">
        <f aca="false">VLOOKUP(G332,$AA$2:$AB$5,2,FALSE())</f>
        <v>30</v>
      </c>
      <c r="R332" s="7" t="n">
        <f aca="false">IF(OR(F332="Open",F332="Reopened"),1,0)</f>
        <v>0</v>
      </c>
      <c r="S332" s="7" t="n">
        <f aca="false">IF(AND(H332&gt;='Exec Summary'!$E$1,H332&lt;='Exec Summary'!$E$2),1,0)</f>
        <v>0</v>
      </c>
      <c r="T332" s="7" t="n">
        <f aca="false">IF(AND(F332="Closed",I332&lt;&gt;"",I332&gt;='Exec Summary'!$E$1,I332&lt;='Exec Summary'!$E$2),1,0)</f>
        <v>0</v>
      </c>
      <c r="U332" s="7" t="n">
        <f aca="false">IF(F332="Reopened",1,0)</f>
        <v>0</v>
      </c>
      <c r="V332" s="7" t="n">
        <f aca="false">IF(AND(R332=1,O332&gt;Q332),1,0)</f>
        <v>0</v>
      </c>
      <c r="W332" s="7" t="n">
        <f aca="false">IF(AND(T332=1,P332&lt;&gt;"",P332&lt;=Q332),1,0)</f>
        <v>0</v>
      </c>
    </row>
    <row r="333" customFormat="false" ht="15" hidden="false" customHeight="false" outlineLevel="0" collapsed="false">
      <c r="A333" s="7" t="s">
        <v>494</v>
      </c>
      <c r="B333" s="7" t="s">
        <v>46</v>
      </c>
      <c r="C333" s="7" t="s">
        <v>79</v>
      </c>
      <c r="D333" s="7" t="s">
        <v>145</v>
      </c>
      <c r="E333" s="7" t="s">
        <v>146</v>
      </c>
      <c r="F333" s="7" t="s">
        <v>50</v>
      </c>
      <c r="G333" s="7" t="s">
        <v>19</v>
      </c>
      <c r="H333" s="9" t="n">
        <v>46164</v>
      </c>
      <c r="I333" s="9" t="n">
        <v>46176</v>
      </c>
      <c r="J333" s="7" t="n">
        <v>9.8</v>
      </c>
      <c r="K333" s="7" t="s">
        <v>482</v>
      </c>
      <c r="L333" s="7" t="s">
        <v>21</v>
      </c>
      <c r="M333" s="7" t="s">
        <v>497</v>
      </c>
      <c r="N333" s="7" t="s">
        <v>58</v>
      </c>
      <c r="O333" s="10" t="n">
        <f aca="false">'Exec Summary'!$E$2-H333</f>
        <v>70</v>
      </c>
      <c r="P333" s="10" t="n">
        <f aca="false">IF(I333="","",I333-H333)</f>
        <v>12</v>
      </c>
      <c r="Q333" s="10" t="n">
        <f aca="false">VLOOKUP(G333,$AA$2:$AB$5,2,FALSE())</f>
        <v>15</v>
      </c>
      <c r="R333" s="7" t="n">
        <f aca="false">IF(OR(F333="Open",F333="Reopened"),1,0)</f>
        <v>0</v>
      </c>
      <c r="S333" s="7" t="n">
        <f aca="false">IF(AND(H333&gt;='Exec Summary'!$E$1,H333&lt;='Exec Summary'!$E$2),1,0)</f>
        <v>0</v>
      </c>
      <c r="T333" s="7" t="n">
        <f aca="false">IF(AND(F333="Closed",I333&lt;&gt;"",I333&gt;='Exec Summary'!$E$1,I333&lt;='Exec Summary'!$E$2),1,0)</f>
        <v>0</v>
      </c>
      <c r="U333" s="7" t="n">
        <f aca="false">IF(F333="Reopened",1,0)</f>
        <v>0</v>
      </c>
      <c r="V333" s="7" t="n">
        <f aca="false">IF(AND(R333=1,O333&gt;Q333),1,0)</f>
        <v>0</v>
      </c>
      <c r="W333" s="7" t="n">
        <f aca="false">IF(AND(T333=1,P333&lt;&gt;"",P333&lt;=Q333),1,0)</f>
        <v>0</v>
      </c>
    </row>
    <row r="334" customFormat="false" ht="15" hidden="false" customHeight="false" outlineLevel="0" collapsed="false">
      <c r="A334" s="7" t="s">
        <v>494</v>
      </c>
      <c r="B334" s="7" t="s">
        <v>46</v>
      </c>
      <c r="C334" s="7" t="s">
        <v>79</v>
      </c>
      <c r="D334" s="7" t="s">
        <v>173</v>
      </c>
      <c r="E334" s="7" t="s">
        <v>174</v>
      </c>
      <c r="F334" s="7" t="s">
        <v>56</v>
      </c>
      <c r="G334" s="7" t="s">
        <v>19</v>
      </c>
      <c r="H334" s="9" t="n">
        <v>46066</v>
      </c>
      <c r="I334" s="9"/>
      <c r="J334" s="7" t="n">
        <v>9.8</v>
      </c>
      <c r="K334" s="7" t="s">
        <v>482</v>
      </c>
      <c r="L334" s="7" t="s">
        <v>21</v>
      </c>
      <c r="M334" s="7" t="s">
        <v>498</v>
      </c>
      <c r="N334" s="7" t="s">
        <v>58</v>
      </c>
      <c r="O334" s="10" t="n">
        <f aca="false">'Exec Summary'!$E$2-H334</f>
        <v>168</v>
      </c>
      <c r="P334" s="10" t="str">
        <f aca="false">IF(I334="","",I334-H334)</f>
        <v/>
      </c>
      <c r="Q334" s="10" t="n">
        <f aca="false">VLOOKUP(G334,$AA$2:$AB$5,2,FALSE())</f>
        <v>15</v>
      </c>
      <c r="R334" s="7" t="n">
        <f aca="false">IF(OR(F334="Open",F334="Reopened"),1,0)</f>
        <v>1</v>
      </c>
      <c r="S334" s="7" t="n">
        <f aca="false">IF(AND(H334&gt;='Exec Summary'!$E$1,H334&lt;='Exec Summary'!$E$2),1,0)</f>
        <v>0</v>
      </c>
      <c r="T334" s="7" t="n">
        <f aca="false">IF(AND(F334="Closed",I334&lt;&gt;"",I334&gt;='Exec Summary'!$E$1,I334&lt;='Exec Summary'!$E$2),1,0)</f>
        <v>0</v>
      </c>
      <c r="U334" s="7" t="n">
        <f aca="false">IF(F334="Reopened",1,0)</f>
        <v>0</v>
      </c>
      <c r="V334" s="7" t="n">
        <f aca="false">IF(AND(R334=1,O334&gt;Q334),1,0)</f>
        <v>1</v>
      </c>
      <c r="W334" s="7" t="n">
        <f aca="false">IF(AND(T334=1,P334&lt;&gt;"",P334&lt;=Q334),1,0)</f>
        <v>0</v>
      </c>
    </row>
    <row r="335" customFormat="false" ht="15" hidden="false" customHeight="false" outlineLevel="0" collapsed="false">
      <c r="A335" s="7" t="s">
        <v>494</v>
      </c>
      <c r="B335" s="7" t="s">
        <v>46</v>
      </c>
      <c r="C335" s="7" t="s">
        <v>79</v>
      </c>
      <c r="D335" s="7" t="s">
        <v>87</v>
      </c>
      <c r="E335" s="7" t="s">
        <v>88</v>
      </c>
      <c r="F335" s="7" t="s">
        <v>56</v>
      </c>
      <c r="G335" s="7" t="s">
        <v>19</v>
      </c>
      <c r="H335" s="9" t="n">
        <v>46159</v>
      </c>
      <c r="I335" s="9"/>
      <c r="J335" s="7" t="n">
        <v>10</v>
      </c>
      <c r="K335" s="7" t="s">
        <v>482</v>
      </c>
      <c r="L335" s="7" t="s">
        <v>21</v>
      </c>
      <c r="M335" s="7" t="s">
        <v>499</v>
      </c>
      <c r="N335" s="7" t="s">
        <v>58</v>
      </c>
      <c r="O335" s="10" t="n">
        <f aca="false">'Exec Summary'!$E$2-H335</f>
        <v>75</v>
      </c>
      <c r="P335" s="10" t="str">
        <f aca="false">IF(I335="","",I335-H335)</f>
        <v/>
      </c>
      <c r="Q335" s="10" t="n">
        <f aca="false">VLOOKUP(G335,$AA$2:$AB$5,2,FALSE())</f>
        <v>15</v>
      </c>
      <c r="R335" s="7" t="n">
        <f aca="false">IF(OR(F335="Open",F335="Reopened"),1,0)</f>
        <v>1</v>
      </c>
      <c r="S335" s="7" t="n">
        <f aca="false">IF(AND(H335&gt;='Exec Summary'!$E$1,H335&lt;='Exec Summary'!$E$2),1,0)</f>
        <v>0</v>
      </c>
      <c r="T335" s="7" t="n">
        <f aca="false">IF(AND(F335="Closed",I335&lt;&gt;"",I335&gt;='Exec Summary'!$E$1,I335&lt;='Exec Summary'!$E$2),1,0)</f>
        <v>0</v>
      </c>
      <c r="U335" s="7" t="n">
        <f aca="false">IF(F335="Reopened",1,0)</f>
        <v>0</v>
      </c>
      <c r="V335" s="7" t="n">
        <f aca="false">IF(AND(R335=1,O335&gt;Q335),1,0)</f>
        <v>1</v>
      </c>
      <c r="W335" s="7" t="n">
        <f aca="false">IF(AND(T335=1,P335&lt;&gt;"",P335&lt;=Q335),1,0)</f>
        <v>0</v>
      </c>
    </row>
    <row r="336" customFormat="false" ht="15" hidden="false" customHeight="false" outlineLevel="0" collapsed="false">
      <c r="A336" s="7" t="s">
        <v>494</v>
      </c>
      <c r="B336" s="7" t="s">
        <v>46</v>
      </c>
      <c r="C336" s="7" t="s">
        <v>79</v>
      </c>
      <c r="D336" s="7" t="s">
        <v>101</v>
      </c>
      <c r="E336" s="7" t="s">
        <v>102</v>
      </c>
      <c r="F336" s="7" t="s">
        <v>123</v>
      </c>
      <c r="G336" s="7" t="s">
        <v>19</v>
      </c>
      <c r="H336" s="9" t="n">
        <v>46019</v>
      </c>
      <c r="I336" s="9" t="n">
        <v>46034</v>
      </c>
      <c r="J336" s="7" t="n">
        <v>10</v>
      </c>
      <c r="K336" s="7" t="s">
        <v>482</v>
      </c>
      <c r="L336" s="7" t="s">
        <v>21</v>
      </c>
      <c r="M336" s="7" t="s">
        <v>500</v>
      </c>
      <c r="N336" s="7" t="s">
        <v>58</v>
      </c>
      <c r="O336" s="10" t="n">
        <f aca="false">'Exec Summary'!$E$2-H336</f>
        <v>215</v>
      </c>
      <c r="P336" s="10" t="n">
        <f aca="false">IF(I336="","",I336-H336)</f>
        <v>15</v>
      </c>
      <c r="Q336" s="10" t="n">
        <f aca="false">VLOOKUP(G336,$AA$2:$AB$5,2,FALSE())</f>
        <v>15</v>
      </c>
      <c r="R336" s="7" t="n">
        <f aca="false">IF(OR(F336="Open",F336="Reopened"),1,0)</f>
        <v>1</v>
      </c>
      <c r="S336" s="7" t="n">
        <f aca="false">IF(AND(H336&gt;='Exec Summary'!$E$1,H336&lt;='Exec Summary'!$E$2),1,0)</f>
        <v>0</v>
      </c>
      <c r="T336" s="7" t="n">
        <f aca="false">IF(AND(F336="Closed",I336&lt;&gt;"",I336&gt;='Exec Summary'!$E$1,I336&lt;='Exec Summary'!$E$2),1,0)</f>
        <v>0</v>
      </c>
      <c r="U336" s="7" t="n">
        <f aca="false">IF(F336="Reopened",1,0)</f>
        <v>1</v>
      </c>
      <c r="V336" s="7" t="n">
        <f aca="false">IF(AND(R336=1,O336&gt;Q336),1,0)</f>
        <v>1</v>
      </c>
      <c r="W336" s="7" t="n">
        <f aca="false">IF(AND(T336=1,P336&lt;&gt;"",P336&lt;=Q336),1,0)</f>
        <v>0</v>
      </c>
    </row>
    <row r="337" customFormat="false" ht="15" hidden="false" customHeight="false" outlineLevel="0" collapsed="false">
      <c r="A337" s="7" t="s">
        <v>494</v>
      </c>
      <c r="B337" s="7" t="s">
        <v>46</v>
      </c>
      <c r="C337" s="7" t="s">
        <v>79</v>
      </c>
      <c r="D337" s="7" t="s">
        <v>48</v>
      </c>
      <c r="E337" s="7" t="s">
        <v>49</v>
      </c>
      <c r="F337" s="7" t="s">
        <v>50</v>
      </c>
      <c r="G337" s="7" t="s">
        <v>20</v>
      </c>
      <c r="H337" s="9" t="n">
        <v>46075</v>
      </c>
      <c r="I337" s="9" t="n">
        <v>46107</v>
      </c>
      <c r="J337" s="7" t="n">
        <v>7.5</v>
      </c>
      <c r="K337" s="7" t="s">
        <v>482</v>
      </c>
      <c r="L337" s="7" t="s">
        <v>21</v>
      </c>
      <c r="M337" s="7" t="s">
        <v>501</v>
      </c>
      <c r="N337" s="7" t="s">
        <v>53</v>
      </c>
      <c r="O337" s="10" t="n">
        <f aca="false">'Exec Summary'!$E$2-H337</f>
        <v>159</v>
      </c>
      <c r="P337" s="10" t="n">
        <f aca="false">IF(I337="","",I337-H337)</f>
        <v>32</v>
      </c>
      <c r="Q337" s="10" t="n">
        <f aca="false">VLOOKUP(G337,$AA$2:$AB$5,2,FALSE())</f>
        <v>30</v>
      </c>
      <c r="R337" s="7" t="n">
        <f aca="false">IF(OR(F337="Open",F337="Reopened"),1,0)</f>
        <v>0</v>
      </c>
      <c r="S337" s="7" t="n">
        <f aca="false">IF(AND(H337&gt;='Exec Summary'!$E$1,H337&lt;='Exec Summary'!$E$2),1,0)</f>
        <v>0</v>
      </c>
      <c r="T337" s="7" t="n">
        <f aca="false">IF(AND(F337="Closed",I337&lt;&gt;"",I337&gt;='Exec Summary'!$E$1,I337&lt;='Exec Summary'!$E$2),1,0)</f>
        <v>0</v>
      </c>
      <c r="U337" s="7" t="n">
        <f aca="false">IF(F337="Reopened",1,0)</f>
        <v>0</v>
      </c>
      <c r="V337" s="7" t="n">
        <f aca="false">IF(AND(R337=1,O337&gt;Q337),1,0)</f>
        <v>0</v>
      </c>
      <c r="W337" s="7" t="n">
        <f aca="false">IF(AND(T337=1,P337&lt;&gt;"",P337&lt;=Q337),1,0)</f>
        <v>0</v>
      </c>
    </row>
    <row r="338" customFormat="false" ht="15" hidden="false" customHeight="false" outlineLevel="0" collapsed="false">
      <c r="A338" s="7" t="s">
        <v>494</v>
      </c>
      <c r="B338" s="7" t="s">
        <v>46</v>
      </c>
      <c r="C338" s="7" t="s">
        <v>79</v>
      </c>
      <c r="D338" s="7" t="s">
        <v>139</v>
      </c>
      <c r="E338" s="7" t="s">
        <v>140</v>
      </c>
      <c r="F338" s="7" t="s">
        <v>50</v>
      </c>
      <c r="G338" s="7" t="s">
        <v>19</v>
      </c>
      <c r="H338" s="9" t="n">
        <v>45938</v>
      </c>
      <c r="I338" s="9" t="n">
        <v>45950</v>
      </c>
      <c r="J338" s="7" t="n">
        <v>9.8</v>
      </c>
      <c r="K338" s="7" t="s">
        <v>482</v>
      </c>
      <c r="L338" s="7" t="s">
        <v>21</v>
      </c>
      <c r="M338" s="7" t="s">
        <v>502</v>
      </c>
      <c r="N338" s="7" t="s">
        <v>58</v>
      </c>
      <c r="O338" s="10" t="n">
        <f aca="false">'Exec Summary'!$E$2-H338</f>
        <v>296</v>
      </c>
      <c r="P338" s="10" t="n">
        <f aca="false">IF(I338="","",I338-H338)</f>
        <v>12</v>
      </c>
      <c r="Q338" s="10" t="n">
        <f aca="false">VLOOKUP(G338,$AA$2:$AB$5,2,FALSE())</f>
        <v>15</v>
      </c>
      <c r="R338" s="7" t="n">
        <f aca="false">IF(OR(F338="Open",F338="Reopened"),1,0)</f>
        <v>0</v>
      </c>
      <c r="S338" s="7" t="n">
        <f aca="false">IF(AND(H338&gt;='Exec Summary'!$E$1,H338&lt;='Exec Summary'!$E$2),1,0)</f>
        <v>0</v>
      </c>
      <c r="T338" s="7" t="n">
        <f aca="false">IF(AND(F338="Closed",I338&lt;&gt;"",I338&gt;='Exec Summary'!$E$1,I338&lt;='Exec Summary'!$E$2),1,0)</f>
        <v>0</v>
      </c>
      <c r="U338" s="7" t="n">
        <f aca="false">IF(F338="Reopened",1,0)</f>
        <v>0</v>
      </c>
      <c r="V338" s="7" t="n">
        <f aca="false">IF(AND(R338=1,O338&gt;Q338),1,0)</f>
        <v>0</v>
      </c>
      <c r="W338" s="7" t="n">
        <f aca="false">IF(AND(T338=1,P338&lt;&gt;"",P338&lt;=Q338),1,0)</f>
        <v>0</v>
      </c>
    </row>
    <row r="339" customFormat="false" ht="15" hidden="false" customHeight="false" outlineLevel="0" collapsed="false">
      <c r="A339" s="7" t="s">
        <v>494</v>
      </c>
      <c r="B339" s="7" t="s">
        <v>46</v>
      </c>
      <c r="C339" s="7" t="s">
        <v>79</v>
      </c>
      <c r="D339" s="7" t="s">
        <v>152</v>
      </c>
      <c r="E339" s="7" t="s">
        <v>153</v>
      </c>
      <c r="F339" s="7" t="s">
        <v>50</v>
      </c>
      <c r="G339" s="7" t="s">
        <v>20</v>
      </c>
      <c r="H339" s="9" t="n">
        <v>45955</v>
      </c>
      <c r="I339" s="9" t="n">
        <v>45975</v>
      </c>
      <c r="J339" s="7" t="n">
        <v>7.5</v>
      </c>
      <c r="K339" s="7" t="s">
        <v>482</v>
      </c>
      <c r="L339" s="7" t="s">
        <v>21</v>
      </c>
      <c r="M339" s="7" t="s">
        <v>503</v>
      </c>
      <c r="N339" s="7" t="s">
        <v>53</v>
      </c>
      <c r="O339" s="10" t="n">
        <f aca="false">'Exec Summary'!$E$2-H339</f>
        <v>279</v>
      </c>
      <c r="P339" s="10" t="n">
        <f aca="false">IF(I339="","",I339-H339)</f>
        <v>20</v>
      </c>
      <c r="Q339" s="10" t="n">
        <f aca="false">VLOOKUP(G339,$AA$2:$AB$5,2,FALSE())</f>
        <v>30</v>
      </c>
      <c r="R339" s="7" t="n">
        <f aca="false">IF(OR(F339="Open",F339="Reopened"),1,0)</f>
        <v>0</v>
      </c>
      <c r="S339" s="7" t="n">
        <f aca="false">IF(AND(H339&gt;='Exec Summary'!$E$1,H339&lt;='Exec Summary'!$E$2),1,0)</f>
        <v>0</v>
      </c>
      <c r="T339" s="7" t="n">
        <f aca="false">IF(AND(F339="Closed",I339&lt;&gt;"",I339&gt;='Exec Summary'!$E$1,I339&lt;='Exec Summary'!$E$2),1,0)</f>
        <v>0</v>
      </c>
      <c r="U339" s="7" t="n">
        <f aca="false">IF(F339="Reopened",1,0)</f>
        <v>0</v>
      </c>
      <c r="V339" s="7" t="n">
        <f aca="false">IF(AND(R339=1,O339&gt;Q339),1,0)</f>
        <v>0</v>
      </c>
      <c r="W339" s="7" t="n">
        <f aca="false">IF(AND(T339=1,P339&lt;&gt;"",P339&lt;=Q339),1,0)</f>
        <v>0</v>
      </c>
    </row>
    <row r="340" customFormat="false" ht="15" hidden="false" customHeight="false" outlineLevel="0" collapsed="false">
      <c r="A340" s="7" t="s">
        <v>494</v>
      </c>
      <c r="B340" s="7" t="s">
        <v>46</v>
      </c>
      <c r="C340" s="7" t="s">
        <v>79</v>
      </c>
      <c r="D340" s="7" t="s">
        <v>131</v>
      </c>
      <c r="E340" s="7" t="s">
        <v>132</v>
      </c>
      <c r="F340" s="7" t="s">
        <v>50</v>
      </c>
      <c r="G340" s="7" t="s">
        <v>19</v>
      </c>
      <c r="H340" s="9" t="n">
        <v>46182</v>
      </c>
      <c r="I340" s="9" t="n">
        <v>46193</v>
      </c>
      <c r="J340" s="7" t="n">
        <v>9.8</v>
      </c>
      <c r="K340" s="7" t="s">
        <v>482</v>
      </c>
      <c r="L340" s="7" t="s">
        <v>21</v>
      </c>
      <c r="M340" s="7" t="s">
        <v>504</v>
      </c>
      <c r="N340" s="7" t="s">
        <v>58</v>
      </c>
      <c r="O340" s="10" t="n">
        <f aca="false">'Exec Summary'!$E$2-H340</f>
        <v>52</v>
      </c>
      <c r="P340" s="10" t="n">
        <f aca="false">IF(I340="","",I340-H340)</f>
        <v>11</v>
      </c>
      <c r="Q340" s="10" t="n">
        <f aca="false">VLOOKUP(G340,$AA$2:$AB$5,2,FALSE())</f>
        <v>15</v>
      </c>
      <c r="R340" s="7" t="n">
        <f aca="false">IF(OR(F340="Open",F340="Reopened"),1,0)</f>
        <v>0</v>
      </c>
      <c r="S340" s="7" t="n">
        <f aca="false">IF(AND(H340&gt;='Exec Summary'!$E$1,H340&lt;='Exec Summary'!$E$2),1,0)</f>
        <v>0</v>
      </c>
      <c r="T340" s="7" t="n">
        <f aca="false">IF(AND(F340="Closed",I340&lt;&gt;"",I340&gt;='Exec Summary'!$E$1,I340&lt;='Exec Summary'!$E$2),1,0)</f>
        <v>0</v>
      </c>
      <c r="U340" s="7" t="n">
        <f aca="false">IF(F340="Reopened",1,0)</f>
        <v>0</v>
      </c>
      <c r="V340" s="7" t="n">
        <f aca="false">IF(AND(R340=1,O340&gt;Q340),1,0)</f>
        <v>0</v>
      </c>
      <c r="W340" s="7" t="n">
        <f aca="false">IF(AND(T340=1,P340&lt;&gt;"",P340&lt;=Q340),1,0)</f>
        <v>0</v>
      </c>
    </row>
    <row r="341" customFormat="false" ht="15" hidden="false" customHeight="false" outlineLevel="0" collapsed="false">
      <c r="A341" s="7" t="s">
        <v>494</v>
      </c>
      <c r="B341" s="7" t="s">
        <v>46</v>
      </c>
      <c r="C341" s="7" t="s">
        <v>79</v>
      </c>
      <c r="D341" s="7" t="s">
        <v>84</v>
      </c>
      <c r="E341" s="7" t="s">
        <v>85</v>
      </c>
      <c r="F341" s="7" t="s">
        <v>50</v>
      </c>
      <c r="G341" s="7" t="s">
        <v>20</v>
      </c>
      <c r="H341" s="9" t="n">
        <v>46106</v>
      </c>
      <c r="I341" s="9" t="n">
        <v>46168</v>
      </c>
      <c r="J341" s="7" t="n">
        <v>7.5</v>
      </c>
      <c r="K341" s="7" t="s">
        <v>482</v>
      </c>
      <c r="L341" s="7" t="s">
        <v>21</v>
      </c>
      <c r="M341" s="7" t="s">
        <v>505</v>
      </c>
      <c r="N341" s="7" t="s">
        <v>53</v>
      </c>
      <c r="O341" s="10" t="n">
        <f aca="false">'Exec Summary'!$E$2-H341</f>
        <v>128</v>
      </c>
      <c r="P341" s="10" t="n">
        <f aca="false">IF(I341="","",I341-H341)</f>
        <v>62</v>
      </c>
      <c r="Q341" s="10" t="n">
        <f aca="false">VLOOKUP(G341,$AA$2:$AB$5,2,FALSE())</f>
        <v>30</v>
      </c>
      <c r="R341" s="7" t="n">
        <f aca="false">IF(OR(F341="Open",F341="Reopened"),1,0)</f>
        <v>0</v>
      </c>
      <c r="S341" s="7" t="n">
        <f aca="false">IF(AND(H341&gt;='Exec Summary'!$E$1,H341&lt;='Exec Summary'!$E$2),1,0)</f>
        <v>0</v>
      </c>
      <c r="T341" s="7" t="n">
        <f aca="false">IF(AND(F341="Closed",I341&lt;&gt;"",I341&gt;='Exec Summary'!$E$1,I341&lt;='Exec Summary'!$E$2),1,0)</f>
        <v>0</v>
      </c>
      <c r="U341" s="7" t="n">
        <f aca="false">IF(F341="Reopened",1,0)</f>
        <v>0</v>
      </c>
      <c r="V341" s="7" t="n">
        <f aca="false">IF(AND(R341=1,O341&gt;Q341),1,0)</f>
        <v>0</v>
      </c>
      <c r="W341" s="7" t="n">
        <f aca="false">IF(AND(T341=1,P341&lt;&gt;"",P341&lt;=Q341),1,0)</f>
        <v>0</v>
      </c>
    </row>
    <row r="342" customFormat="false" ht="15" hidden="false" customHeight="false" outlineLevel="0" collapsed="false">
      <c r="A342" s="7" t="s">
        <v>494</v>
      </c>
      <c r="B342" s="7" t="s">
        <v>46</v>
      </c>
      <c r="C342" s="7" t="s">
        <v>79</v>
      </c>
      <c r="D342" s="7" t="s">
        <v>62</v>
      </c>
      <c r="E342" s="7" t="s">
        <v>63</v>
      </c>
      <c r="F342" s="7" t="s">
        <v>123</v>
      </c>
      <c r="G342" s="7" t="s">
        <v>20</v>
      </c>
      <c r="H342" s="9" t="n">
        <v>46138</v>
      </c>
      <c r="I342" s="9" t="n">
        <v>46139</v>
      </c>
      <c r="J342" s="7" t="n">
        <v>8.1</v>
      </c>
      <c r="K342" s="7" t="s">
        <v>482</v>
      </c>
      <c r="L342" s="7" t="s">
        <v>21</v>
      </c>
      <c r="M342" s="7" t="s">
        <v>506</v>
      </c>
      <c r="N342" s="7" t="s">
        <v>53</v>
      </c>
      <c r="O342" s="10" t="n">
        <f aca="false">'Exec Summary'!$E$2-H342</f>
        <v>96</v>
      </c>
      <c r="P342" s="10" t="n">
        <f aca="false">IF(I342="","",I342-H342)</f>
        <v>1</v>
      </c>
      <c r="Q342" s="10" t="n">
        <f aca="false">VLOOKUP(G342,$AA$2:$AB$5,2,FALSE())</f>
        <v>30</v>
      </c>
      <c r="R342" s="7" t="n">
        <f aca="false">IF(OR(F342="Open",F342="Reopened"),1,0)</f>
        <v>1</v>
      </c>
      <c r="S342" s="7" t="n">
        <f aca="false">IF(AND(H342&gt;='Exec Summary'!$E$1,H342&lt;='Exec Summary'!$E$2),1,0)</f>
        <v>0</v>
      </c>
      <c r="T342" s="7" t="n">
        <f aca="false">IF(AND(F342="Closed",I342&lt;&gt;"",I342&gt;='Exec Summary'!$E$1,I342&lt;='Exec Summary'!$E$2),1,0)</f>
        <v>0</v>
      </c>
      <c r="U342" s="7" t="n">
        <f aca="false">IF(F342="Reopened",1,0)</f>
        <v>1</v>
      </c>
      <c r="V342" s="7" t="n">
        <f aca="false">IF(AND(R342=1,O342&gt;Q342),1,0)</f>
        <v>1</v>
      </c>
      <c r="W342" s="7" t="n">
        <f aca="false">IF(AND(T342=1,P342&lt;&gt;"",P342&lt;=Q342),1,0)</f>
        <v>0</v>
      </c>
    </row>
    <row r="343" customFormat="false" ht="15" hidden="false" customHeight="false" outlineLevel="0" collapsed="false">
      <c r="A343" s="7" t="s">
        <v>507</v>
      </c>
      <c r="B343" s="7" t="s">
        <v>135</v>
      </c>
      <c r="C343" s="7" t="s">
        <v>306</v>
      </c>
      <c r="D343" s="7" t="s">
        <v>210</v>
      </c>
      <c r="E343" s="7" t="s">
        <v>211</v>
      </c>
      <c r="F343" s="7" t="s">
        <v>50</v>
      </c>
      <c r="G343" s="7" t="s">
        <v>19</v>
      </c>
      <c r="H343" s="9" t="n">
        <v>46030</v>
      </c>
      <c r="I343" s="9" t="n">
        <v>46031</v>
      </c>
      <c r="J343" s="7" t="n">
        <v>9.8</v>
      </c>
      <c r="K343" s="7" t="s">
        <v>482</v>
      </c>
      <c r="L343" s="7" t="s">
        <v>20</v>
      </c>
      <c r="M343" s="7" t="s">
        <v>508</v>
      </c>
      <c r="N343" s="7" t="s">
        <v>58</v>
      </c>
      <c r="O343" s="10" t="n">
        <f aca="false">'Exec Summary'!$E$2-H343</f>
        <v>204</v>
      </c>
      <c r="P343" s="10" t="n">
        <f aca="false">IF(I343="","",I343-H343)</f>
        <v>1</v>
      </c>
      <c r="Q343" s="10" t="n">
        <f aca="false">VLOOKUP(G343,$AA$2:$AB$5,2,FALSE())</f>
        <v>15</v>
      </c>
      <c r="R343" s="7" t="n">
        <f aca="false">IF(OR(F343="Open",F343="Reopened"),1,0)</f>
        <v>0</v>
      </c>
      <c r="S343" s="7" t="n">
        <f aca="false">IF(AND(H343&gt;='Exec Summary'!$E$1,H343&lt;='Exec Summary'!$E$2),1,0)</f>
        <v>0</v>
      </c>
      <c r="T343" s="7" t="n">
        <f aca="false">IF(AND(F343="Closed",I343&lt;&gt;"",I343&gt;='Exec Summary'!$E$1,I343&lt;='Exec Summary'!$E$2),1,0)</f>
        <v>0</v>
      </c>
      <c r="U343" s="7" t="n">
        <f aca="false">IF(F343="Reopened",1,0)</f>
        <v>0</v>
      </c>
      <c r="V343" s="7" t="n">
        <f aca="false">IF(AND(R343=1,O343&gt;Q343),1,0)</f>
        <v>0</v>
      </c>
      <c r="W343" s="7" t="n">
        <f aca="false">IF(AND(T343=1,P343&lt;&gt;"",P343&lt;=Q343),1,0)</f>
        <v>0</v>
      </c>
    </row>
    <row r="344" customFormat="false" ht="15" hidden="false" customHeight="false" outlineLevel="0" collapsed="false">
      <c r="A344" s="7" t="s">
        <v>507</v>
      </c>
      <c r="B344" s="7" t="s">
        <v>135</v>
      </c>
      <c r="C344" s="7" t="s">
        <v>306</v>
      </c>
      <c r="D344" s="7" t="s">
        <v>68</v>
      </c>
      <c r="E344" s="7" t="s">
        <v>69</v>
      </c>
      <c r="F344" s="7" t="s">
        <v>56</v>
      </c>
      <c r="G344" s="7" t="s">
        <v>19</v>
      </c>
      <c r="H344" s="9" t="n">
        <v>45957</v>
      </c>
      <c r="I344" s="9"/>
      <c r="J344" s="7" t="n">
        <v>9.8</v>
      </c>
      <c r="K344" s="7" t="s">
        <v>482</v>
      </c>
      <c r="L344" s="7" t="s">
        <v>20</v>
      </c>
      <c r="M344" s="7" t="s">
        <v>509</v>
      </c>
      <c r="N344" s="7" t="s">
        <v>58</v>
      </c>
      <c r="O344" s="10" t="n">
        <f aca="false">'Exec Summary'!$E$2-H344</f>
        <v>277</v>
      </c>
      <c r="P344" s="10" t="str">
        <f aca="false">IF(I344="","",I344-H344)</f>
        <v/>
      </c>
      <c r="Q344" s="10" t="n">
        <f aca="false">VLOOKUP(G344,$AA$2:$AB$5,2,FALSE())</f>
        <v>15</v>
      </c>
      <c r="R344" s="7" t="n">
        <f aca="false">IF(OR(F344="Open",F344="Reopened"),1,0)</f>
        <v>1</v>
      </c>
      <c r="S344" s="7" t="n">
        <f aca="false">IF(AND(H344&gt;='Exec Summary'!$E$1,H344&lt;='Exec Summary'!$E$2),1,0)</f>
        <v>0</v>
      </c>
      <c r="T344" s="7" t="n">
        <f aca="false">IF(AND(F344="Closed",I344&lt;&gt;"",I344&gt;='Exec Summary'!$E$1,I344&lt;='Exec Summary'!$E$2),1,0)</f>
        <v>0</v>
      </c>
      <c r="U344" s="7" t="n">
        <f aca="false">IF(F344="Reopened",1,0)</f>
        <v>0</v>
      </c>
      <c r="V344" s="7" t="n">
        <f aca="false">IF(AND(R344=1,O344&gt;Q344),1,0)</f>
        <v>1</v>
      </c>
      <c r="W344" s="7" t="n">
        <f aca="false">IF(AND(T344=1,P344&lt;&gt;"",P344&lt;=Q344),1,0)</f>
        <v>0</v>
      </c>
    </row>
    <row r="345" customFormat="false" ht="15" hidden="false" customHeight="false" outlineLevel="0" collapsed="false">
      <c r="A345" s="7" t="s">
        <v>507</v>
      </c>
      <c r="B345" s="7" t="s">
        <v>135</v>
      </c>
      <c r="C345" s="7" t="s">
        <v>306</v>
      </c>
      <c r="D345" s="7" t="s">
        <v>101</v>
      </c>
      <c r="E345" s="7" t="s">
        <v>102</v>
      </c>
      <c r="F345" s="7" t="s">
        <v>50</v>
      </c>
      <c r="G345" s="7" t="s">
        <v>19</v>
      </c>
      <c r="H345" s="9" t="n">
        <v>46161</v>
      </c>
      <c r="I345" s="9" t="n">
        <v>46162</v>
      </c>
      <c r="J345" s="7" t="n">
        <v>10</v>
      </c>
      <c r="K345" s="7" t="s">
        <v>482</v>
      </c>
      <c r="L345" s="7" t="s">
        <v>20</v>
      </c>
      <c r="M345" s="7" t="s">
        <v>510</v>
      </c>
      <c r="N345" s="7" t="s">
        <v>58</v>
      </c>
      <c r="O345" s="10" t="n">
        <f aca="false">'Exec Summary'!$E$2-H345</f>
        <v>73</v>
      </c>
      <c r="P345" s="10" t="n">
        <f aca="false">IF(I345="","",I345-H345)</f>
        <v>1</v>
      </c>
      <c r="Q345" s="10" t="n">
        <f aca="false">VLOOKUP(G345,$AA$2:$AB$5,2,FALSE())</f>
        <v>15</v>
      </c>
      <c r="R345" s="7" t="n">
        <f aca="false">IF(OR(F345="Open",F345="Reopened"),1,0)</f>
        <v>0</v>
      </c>
      <c r="S345" s="7" t="n">
        <f aca="false">IF(AND(H345&gt;='Exec Summary'!$E$1,H345&lt;='Exec Summary'!$E$2),1,0)</f>
        <v>0</v>
      </c>
      <c r="T345" s="7" t="n">
        <f aca="false">IF(AND(F345="Closed",I345&lt;&gt;"",I345&gt;='Exec Summary'!$E$1,I345&lt;='Exec Summary'!$E$2),1,0)</f>
        <v>0</v>
      </c>
      <c r="U345" s="7" t="n">
        <f aca="false">IF(F345="Reopened",1,0)</f>
        <v>0</v>
      </c>
      <c r="V345" s="7" t="n">
        <f aca="false">IF(AND(R345=1,O345&gt;Q345),1,0)</f>
        <v>0</v>
      </c>
      <c r="W345" s="7" t="n">
        <f aca="false">IF(AND(T345=1,P345&lt;&gt;"",P345&lt;=Q345),1,0)</f>
        <v>0</v>
      </c>
    </row>
    <row r="346" customFormat="false" ht="15" hidden="false" customHeight="false" outlineLevel="0" collapsed="false">
      <c r="A346" s="7" t="s">
        <v>507</v>
      </c>
      <c r="B346" s="7" t="s">
        <v>135</v>
      </c>
      <c r="C346" s="7" t="s">
        <v>306</v>
      </c>
      <c r="D346" s="7" t="s">
        <v>65</v>
      </c>
      <c r="E346" s="7" t="s">
        <v>66</v>
      </c>
      <c r="F346" s="7" t="s">
        <v>50</v>
      </c>
      <c r="G346" s="7" t="s">
        <v>19</v>
      </c>
      <c r="H346" s="9" t="n">
        <v>46112</v>
      </c>
      <c r="I346" s="9" t="n">
        <v>46137</v>
      </c>
      <c r="J346" s="7" t="n">
        <v>9.8</v>
      </c>
      <c r="K346" s="7" t="s">
        <v>482</v>
      </c>
      <c r="L346" s="7" t="s">
        <v>20</v>
      </c>
      <c r="M346" s="7" t="s">
        <v>511</v>
      </c>
      <c r="N346" s="7" t="s">
        <v>58</v>
      </c>
      <c r="O346" s="10" t="n">
        <f aca="false">'Exec Summary'!$E$2-H346</f>
        <v>122</v>
      </c>
      <c r="P346" s="10" t="n">
        <f aca="false">IF(I346="","",I346-H346)</f>
        <v>25</v>
      </c>
      <c r="Q346" s="10" t="n">
        <f aca="false">VLOOKUP(G346,$AA$2:$AB$5,2,FALSE())</f>
        <v>15</v>
      </c>
      <c r="R346" s="7" t="n">
        <f aca="false">IF(OR(F346="Open",F346="Reopened"),1,0)</f>
        <v>0</v>
      </c>
      <c r="S346" s="7" t="n">
        <f aca="false">IF(AND(H346&gt;='Exec Summary'!$E$1,H346&lt;='Exec Summary'!$E$2),1,0)</f>
        <v>0</v>
      </c>
      <c r="T346" s="7" t="n">
        <f aca="false">IF(AND(F346="Closed",I346&lt;&gt;"",I346&gt;='Exec Summary'!$E$1,I346&lt;='Exec Summary'!$E$2),1,0)</f>
        <v>0</v>
      </c>
      <c r="U346" s="7" t="n">
        <f aca="false">IF(F346="Reopened",1,0)</f>
        <v>0</v>
      </c>
      <c r="V346" s="7" t="n">
        <f aca="false">IF(AND(R346=1,O346&gt;Q346),1,0)</f>
        <v>0</v>
      </c>
      <c r="W346" s="7" t="n">
        <f aca="false">IF(AND(T346=1,P346&lt;&gt;"",P346&lt;=Q346),1,0)</f>
        <v>0</v>
      </c>
    </row>
    <row r="347" customFormat="false" ht="15" hidden="false" customHeight="false" outlineLevel="0" collapsed="false">
      <c r="A347" s="7" t="s">
        <v>507</v>
      </c>
      <c r="B347" s="7" t="s">
        <v>135</v>
      </c>
      <c r="C347" s="7" t="s">
        <v>306</v>
      </c>
      <c r="D347" s="7" t="s">
        <v>131</v>
      </c>
      <c r="E347" s="7" t="s">
        <v>132</v>
      </c>
      <c r="F347" s="7" t="s">
        <v>50</v>
      </c>
      <c r="G347" s="7" t="s">
        <v>19</v>
      </c>
      <c r="H347" s="9" t="n">
        <v>46131</v>
      </c>
      <c r="I347" s="9" t="n">
        <v>46135</v>
      </c>
      <c r="J347" s="7" t="n">
        <v>9.8</v>
      </c>
      <c r="K347" s="7" t="s">
        <v>482</v>
      </c>
      <c r="L347" s="7" t="s">
        <v>20</v>
      </c>
      <c r="M347" s="7" t="s">
        <v>512</v>
      </c>
      <c r="N347" s="7" t="s">
        <v>58</v>
      </c>
      <c r="O347" s="10" t="n">
        <f aca="false">'Exec Summary'!$E$2-H347</f>
        <v>103</v>
      </c>
      <c r="P347" s="10" t="n">
        <f aca="false">IF(I347="","",I347-H347)</f>
        <v>4</v>
      </c>
      <c r="Q347" s="10" t="n">
        <f aca="false">VLOOKUP(G347,$AA$2:$AB$5,2,FALSE())</f>
        <v>15</v>
      </c>
      <c r="R347" s="7" t="n">
        <f aca="false">IF(OR(F347="Open",F347="Reopened"),1,0)</f>
        <v>0</v>
      </c>
      <c r="S347" s="7" t="n">
        <f aca="false">IF(AND(H347&gt;='Exec Summary'!$E$1,H347&lt;='Exec Summary'!$E$2),1,0)</f>
        <v>0</v>
      </c>
      <c r="T347" s="7" t="n">
        <f aca="false">IF(AND(F347="Closed",I347&lt;&gt;"",I347&gt;='Exec Summary'!$E$1,I347&lt;='Exec Summary'!$E$2),1,0)</f>
        <v>0</v>
      </c>
      <c r="U347" s="7" t="n">
        <f aca="false">IF(F347="Reopened",1,0)</f>
        <v>0</v>
      </c>
      <c r="V347" s="7" t="n">
        <f aca="false">IF(AND(R347=1,O347&gt;Q347),1,0)</f>
        <v>0</v>
      </c>
      <c r="W347" s="7" t="n">
        <f aca="false">IF(AND(T347=1,P347&lt;&gt;"",P347&lt;=Q347),1,0)</f>
        <v>0</v>
      </c>
    </row>
    <row r="348" customFormat="false" ht="15" hidden="false" customHeight="false" outlineLevel="0" collapsed="false">
      <c r="A348" s="7" t="s">
        <v>507</v>
      </c>
      <c r="B348" s="7" t="s">
        <v>135</v>
      </c>
      <c r="C348" s="7" t="s">
        <v>306</v>
      </c>
      <c r="D348" s="7" t="s">
        <v>108</v>
      </c>
      <c r="E348" s="7" t="s">
        <v>109</v>
      </c>
      <c r="F348" s="7" t="s">
        <v>56</v>
      </c>
      <c r="G348" s="7" t="s">
        <v>20</v>
      </c>
      <c r="H348" s="9" t="n">
        <v>46200</v>
      </c>
      <c r="I348" s="9"/>
      <c r="J348" s="7" t="n">
        <v>8.6</v>
      </c>
      <c r="K348" s="7" t="s">
        <v>482</v>
      </c>
      <c r="L348" s="7" t="s">
        <v>20</v>
      </c>
      <c r="M348" s="7" t="s">
        <v>513</v>
      </c>
      <c r="N348" s="7" t="s">
        <v>53</v>
      </c>
      <c r="O348" s="10" t="n">
        <f aca="false">'Exec Summary'!$E$2-H348</f>
        <v>34</v>
      </c>
      <c r="P348" s="10" t="str">
        <f aca="false">IF(I348="","",I348-H348)</f>
        <v/>
      </c>
      <c r="Q348" s="10" t="n">
        <f aca="false">VLOOKUP(G348,$AA$2:$AB$5,2,FALSE())</f>
        <v>30</v>
      </c>
      <c r="R348" s="7" t="n">
        <f aca="false">IF(OR(F348="Open",F348="Reopened"),1,0)</f>
        <v>1</v>
      </c>
      <c r="S348" s="7" t="n">
        <f aca="false">IF(AND(H348&gt;='Exec Summary'!$E$1,H348&lt;='Exec Summary'!$E$2),1,0)</f>
        <v>0</v>
      </c>
      <c r="T348" s="7" t="n">
        <f aca="false">IF(AND(F348="Closed",I348&lt;&gt;"",I348&gt;='Exec Summary'!$E$1,I348&lt;='Exec Summary'!$E$2),1,0)</f>
        <v>0</v>
      </c>
      <c r="U348" s="7" t="n">
        <f aca="false">IF(F348="Reopened",1,0)</f>
        <v>0</v>
      </c>
      <c r="V348" s="7" t="n">
        <f aca="false">IF(AND(R348=1,O348&gt;Q348),1,0)</f>
        <v>1</v>
      </c>
      <c r="W348" s="7" t="n">
        <f aca="false">IF(AND(T348=1,P348&lt;&gt;"",P348&lt;=Q348),1,0)</f>
        <v>0</v>
      </c>
    </row>
    <row r="349" customFormat="false" ht="15" hidden="false" customHeight="false" outlineLevel="0" collapsed="false">
      <c r="A349" s="7" t="s">
        <v>507</v>
      </c>
      <c r="B349" s="7" t="s">
        <v>135</v>
      </c>
      <c r="C349" s="7" t="s">
        <v>306</v>
      </c>
      <c r="D349" s="7" t="s">
        <v>95</v>
      </c>
      <c r="E349" s="7" t="s">
        <v>96</v>
      </c>
      <c r="F349" s="7" t="s">
        <v>50</v>
      </c>
      <c r="G349" s="7" t="s">
        <v>20</v>
      </c>
      <c r="H349" s="9" t="n">
        <v>45950</v>
      </c>
      <c r="I349" s="9" t="n">
        <v>45975</v>
      </c>
      <c r="J349" s="7" t="n">
        <v>8.8</v>
      </c>
      <c r="K349" s="7" t="s">
        <v>482</v>
      </c>
      <c r="L349" s="7" t="s">
        <v>20</v>
      </c>
      <c r="M349" s="7" t="s">
        <v>514</v>
      </c>
      <c r="N349" s="7" t="s">
        <v>53</v>
      </c>
      <c r="O349" s="10" t="n">
        <f aca="false">'Exec Summary'!$E$2-H349</f>
        <v>284</v>
      </c>
      <c r="P349" s="10" t="n">
        <f aca="false">IF(I349="","",I349-H349)</f>
        <v>25</v>
      </c>
      <c r="Q349" s="10" t="n">
        <f aca="false">VLOOKUP(G349,$AA$2:$AB$5,2,FALSE())</f>
        <v>30</v>
      </c>
      <c r="R349" s="7" t="n">
        <f aca="false">IF(OR(F349="Open",F349="Reopened"),1,0)</f>
        <v>0</v>
      </c>
      <c r="S349" s="7" t="n">
        <f aca="false">IF(AND(H349&gt;='Exec Summary'!$E$1,H349&lt;='Exec Summary'!$E$2),1,0)</f>
        <v>0</v>
      </c>
      <c r="T349" s="7" t="n">
        <f aca="false">IF(AND(F349="Closed",I349&lt;&gt;"",I349&gt;='Exec Summary'!$E$1,I349&lt;='Exec Summary'!$E$2),1,0)</f>
        <v>0</v>
      </c>
      <c r="U349" s="7" t="n">
        <f aca="false">IF(F349="Reopened",1,0)</f>
        <v>0</v>
      </c>
      <c r="V349" s="7" t="n">
        <f aca="false">IF(AND(R349=1,O349&gt;Q349),1,0)</f>
        <v>0</v>
      </c>
      <c r="W349" s="7" t="n">
        <f aca="false">IF(AND(T349=1,P349&lt;&gt;"",P349&lt;=Q349),1,0)</f>
        <v>0</v>
      </c>
    </row>
    <row r="350" customFormat="false" ht="15" hidden="false" customHeight="false" outlineLevel="0" collapsed="false">
      <c r="A350" s="7" t="s">
        <v>507</v>
      </c>
      <c r="B350" s="7" t="s">
        <v>135</v>
      </c>
      <c r="C350" s="7" t="s">
        <v>306</v>
      </c>
      <c r="D350" s="7" t="s">
        <v>173</v>
      </c>
      <c r="E350" s="7" t="s">
        <v>174</v>
      </c>
      <c r="F350" s="7" t="s">
        <v>56</v>
      </c>
      <c r="G350" s="7" t="s">
        <v>19</v>
      </c>
      <c r="H350" s="9" t="n">
        <v>46020</v>
      </c>
      <c r="I350" s="9"/>
      <c r="J350" s="7" t="n">
        <v>9.8</v>
      </c>
      <c r="K350" s="7" t="s">
        <v>482</v>
      </c>
      <c r="L350" s="7" t="s">
        <v>20</v>
      </c>
      <c r="M350" s="7" t="s">
        <v>515</v>
      </c>
      <c r="N350" s="7" t="s">
        <v>58</v>
      </c>
      <c r="O350" s="10" t="n">
        <f aca="false">'Exec Summary'!$E$2-H350</f>
        <v>214</v>
      </c>
      <c r="P350" s="10" t="str">
        <f aca="false">IF(I350="","",I350-H350)</f>
        <v/>
      </c>
      <c r="Q350" s="10" t="n">
        <f aca="false">VLOOKUP(G350,$AA$2:$AB$5,2,FALSE())</f>
        <v>15</v>
      </c>
      <c r="R350" s="7" t="n">
        <f aca="false">IF(OR(F350="Open",F350="Reopened"),1,0)</f>
        <v>1</v>
      </c>
      <c r="S350" s="7" t="n">
        <f aca="false">IF(AND(H350&gt;='Exec Summary'!$E$1,H350&lt;='Exec Summary'!$E$2),1,0)</f>
        <v>0</v>
      </c>
      <c r="T350" s="7" t="n">
        <f aca="false">IF(AND(F350="Closed",I350&lt;&gt;"",I350&gt;='Exec Summary'!$E$1,I350&lt;='Exec Summary'!$E$2),1,0)</f>
        <v>0</v>
      </c>
      <c r="U350" s="7" t="n">
        <f aca="false">IF(F350="Reopened",1,0)</f>
        <v>0</v>
      </c>
      <c r="V350" s="7" t="n">
        <f aca="false">IF(AND(R350=1,O350&gt;Q350),1,0)</f>
        <v>1</v>
      </c>
      <c r="W350" s="7" t="n">
        <f aca="false">IF(AND(T350=1,P350&lt;&gt;"",P350&lt;=Q350),1,0)</f>
        <v>0</v>
      </c>
    </row>
    <row r="351" customFormat="false" ht="15" hidden="false" customHeight="false" outlineLevel="0" collapsed="false">
      <c r="A351" s="7" t="s">
        <v>507</v>
      </c>
      <c r="B351" s="7" t="s">
        <v>135</v>
      </c>
      <c r="C351" s="7" t="s">
        <v>306</v>
      </c>
      <c r="D351" s="7" t="s">
        <v>54</v>
      </c>
      <c r="E351" s="7" t="s">
        <v>55</v>
      </c>
      <c r="F351" s="7" t="s">
        <v>56</v>
      </c>
      <c r="G351" s="7" t="s">
        <v>19</v>
      </c>
      <c r="H351" s="9" t="n">
        <v>46180</v>
      </c>
      <c r="I351" s="9"/>
      <c r="J351" s="7" t="n">
        <v>9.8</v>
      </c>
      <c r="K351" s="7" t="s">
        <v>482</v>
      </c>
      <c r="L351" s="7" t="s">
        <v>20</v>
      </c>
      <c r="M351" s="7" t="s">
        <v>516</v>
      </c>
      <c r="N351" s="7" t="s">
        <v>58</v>
      </c>
      <c r="O351" s="10" t="n">
        <f aca="false">'Exec Summary'!$E$2-H351</f>
        <v>54</v>
      </c>
      <c r="P351" s="10" t="str">
        <f aca="false">IF(I351="","",I351-H351)</f>
        <v/>
      </c>
      <c r="Q351" s="10" t="n">
        <f aca="false">VLOOKUP(G351,$AA$2:$AB$5,2,FALSE())</f>
        <v>15</v>
      </c>
      <c r="R351" s="7" t="n">
        <f aca="false">IF(OR(F351="Open",F351="Reopened"),1,0)</f>
        <v>1</v>
      </c>
      <c r="S351" s="7" t="n">
        <f aca="false">IF(AND(H351&gt;='Exec Summary'!$E$1,H351&lt;='Exec Summary'!$E$2),1,0)</f>
        <v>0</v>
      </c>
      <c r="T351" s="7" t="n">
        <f aca="false">IF(AND(F351="Closed",I351&lt;&gt;"",I351&gt;='Exec Summary'!$E$1,I351&lt;='Exec Summary'!$E$2),1,0)</f>
        <v>0</v>
      </c>
      <c r="U351" s="7" t="n">
        <f aca="false">IF(F351="Reopened",1,0)</f>
        <v>0</v>
      </c>
      <c r="V351" s="7" t="n">
        <f aca="false">IF(AND(R351=1,O351&gt;Q351),1,0)</f>
        <v>1</v>
      </c>
      <c r="W351" s="7" t="n">
        <f aca="false">IF(AND(T351=1,P351&lt;&gt;"",P351&lt;=Q351),1,0)</f>
        <v>0</v>
      </c>
    </row>
    <row r="352" customFormat="false" ht="15" hidden="false" customHeight="false" outlineLevel="0" collapsed="false">
      <c r="A352" s="7" t="s">
        <v>507</v>
      </c>
      <c r="B352" s="7" t="s">
        <v>135</v>
      </c>
      <c r="C352" s="7" t="s">
        <v>306</v>
      </c>
      <c r="D352" s="7" t="s">
        <v>166</v>
      </c>
      <c r="E352" s="7" t="s">
        <v>167</v>
      </c>
      <c r="F352" s="7" t="s">
        <v>50</v>
      </c>
      <c r="G352" s="7" t="s">
        <v>19</v>
      </c>
      <c r="H352" s="9" t="n">
        <v>46058</v>
      </c>
      <c r="I352" s="9" t="n">
        <v>46063</v>
      </c>
      <c r="J352" s="7" t="n">
        <v>9.8</v>
      </c>
      <c r="K352" s="7" t="s">
        <v>482</v>
      </c>
      <c r="L352" s="7" t="s">
        <v>20</v>
      </c>
      <c r="M352" s="7" t="s">
        <v>517</v>
      </c>
      <c r="N352" s="7" t="s">
        <v>58</v>
      </c>
      <c r="O352" s="10" t="n">
        <f aca="false">'Exec Summary'!$E$2-H352</f>
        <v>176</v>
      </c>
      <c r="P352" s="10" t="n">
        <f aca="false">IF(I352="","",I352-H352)</f>
        <v>5</v>
      </c>
      <c r="Q352" s="10" t="n">
        <f aca="false">VLOOKUP(G352,$AA$2:$AB$5,2,FALSE())</f>
        <v>15</v>
      </c>
      <c r="R352" s="7" t="n">
        <f aca="false">IF(OR(F352="Open",F352="Reopened"),1,0)</f>
        <v>0</v>
      </c>
      <c r="S352" s="7" t="n">
        <f aca="false">IF(AND(H352&gt;='Exec Summary'!$E$1,H352&lt;='Exec Summary'!$E$2),1,0)</f>
        <v>0</v>
      </c>
      <c r="T352" s="7" t="n">
        <f aca="false">IF(AND(F352="Closed",I352&lt;&gt;"",I352&gt;='Exec Summary'!$E$1,I352&lt;='Exec Summary'!$E$2),1,0)</f>
        <v>0</v>
      </c>
      <c r="U352" s="7" t="n">
        <f aca="false">IF(F352="Reopened",1,0)</f>
        <v>0</v>
      </c>
      <c r="V352" s="7" t="n">
        <f aca="false">IF(AND(R352=1,O352&gt;Q352),1,0)</f>
        <v>0</v>
      </c>
      <c r="W352" s="7" t="n">
        <f aca="false">IF(AND(T352=1,P352&lt;&gt;"",P352&lt;=Q352),1,0)</f>
        <v>0</v>
      </c>
    </row>
    <row r="353" customFormat="false" ht="15" hidden="false" customHeight="false" outlineLevel="0" collapsed="false">
      <c r="A353" s="7" t="s">
        <v>507</v>
      </c>
      <c r="B353" s="7" t="s">
        <v>135</v>
      </c>
      <c r="C353" s="7" t="s">
        <v>306</v>
      </c>
      <c r="D353" s="7" t="s">
        <v>112</v>
      </c>
      <c r="E353" s="7" t="s">
        <v>113</v>
      </c>
      <c r="F353" s="7" t="s">
        <v>50</v>
      </c>
      <c r="G353" s="7" t="s">
        <v>20</v>
      </c>
      <c r="H353" s="9" t="n">
        <v>45988</v>
      </c>
      <c r="I353" s="9" t="n">
        <v>46008</v>
      </c>
      <c r="J353" s="7" t="n">
        <v>7.8</v>
      </c>
      <c r="K353" s="7" t="s">
        <v>482</v>
      </c>
      <c r="L353" s="7" t="s">
        <v>20</v>
      </c>
      <c r="M353" s="7" t="s">
        <v>518</v>
      </c>
      <c r="N353" s="7" t="s">
        <v>53</v>
      </c>
      <c r="O353" s="10" t="n">
        <f aca="false">'Exec Summary'!$E$2-H353</f>
        <v>246</v>
      </c>
      <c r="P353" s="10" t="n">
        <f aca="false">IF(I353="","",I353-H353)</f>
        <v>20</v>
      </c>
      <c r="Q353" s="10" t="n">
        <f aca="false">VLOOKUP(G353,$AA$2:$AB$5,2,FALSE())</f>
        <v>30</v>
      </c>
      <c r="R353" s="7" t="n">
        <f aca="false">IF(OR(F353="Open",F353="Reopened"),1,0)</f>
        <v>0</v>
      </c>
      <c r="S353" s="7" t="n">
        <f aca="false">IF(AND(H353&gt;='Exec Summary'!$E$1,H353&lt;='Exec Summary'!$E$2),1,0)</f>
        <v>0</v>
      </c>
      <c r="T353" s="7" t="n">
        <f aca="false">IF(AND(F353="Closed",I353&lt;&gt;"",I353&gt;='Exec Summary'!$E$1,I353&lt;='Exec Summary'!$E$2),1,0)</f>
        <v>0</v>
      </c>
      <c r="U353" s="7" t="n">
        <f aca="false">IF(F353="Reopened",1,0)</f>
        <v>0</v>
      </c>
      <c r="V353" s="7" t="n">
        <f aca="false">IF(AND(R353=1,O353&gt;Q353),1,0)</f>
        <v>0</v>
      </c>
      <c r="W353" s="7" t="n">
        <f aca="false">IF(AND(T353=1,P353&lt;&gt;"",P353&lt;=Q353),1,0)</f>
        <v>0</v>
      </c>
    </row>
    <row r="354" customFormat="false" ht="15" hidden="false" customHeight="false" outlineLevel="0" collapsed="false">
      <c r="A354" s="7" t="s">
        <v>507</v>
      </c>
      <c r="B354" s="7" t="s">
        <v>135</v>
      </c>
      <c r="C354" s="7" t="s">
        <v>306</v>
      </c>
      <c r="D354" s="7" t="s">
        <v>139</v>
      </c>
      <c r="E354" s="7" t="s">
        <v>140</v>
      </c>
      <c r="F354" s="7" t="s">
        <v>50</v>
      </c>
      <c r="G354" s="7" t="s">
        <v>19</v>
      </c>
      <c r="H354" s="9" t="n">
        <v>46077</v>
      </c>
      <c r="I354" s="9" t="n">
        <v>46084</v>
      </c>
      <c r="J354" s="7" t="n">
        <v>9.8</v>
      </c>
      <c r="K354" s="7" t="s">
        <v>482</v>
      </c>
      <c r="L354" s="7" t="s">
        <v>20</v>
      </c>
      <c r="M354" s="7" t="s">
        <v>519</v>
      </c>
      <c r="N354" s="7" t="s">
        <v>58</v>
      </c>
      <c r="O354" s="10" t="n">
        <f aca="false">'Exec Summary'!$E$2-H354</f>
        <v>157</v>
      </c>
      <c r="P354" s="10" t="n">
        <f aca="false">IF(I354="","",I354-H354)</f>
        <v>7</v>
      </c>
      <c r="Q354" s="10" t="n">
        <f aca="false">VLOOKUP(G354,$AA$2:$AB$5,2,FALSE())</f>
        <v>15</v>
      </c>
      <c r="R354" s="7" t="n">
        <f aca="false">IF(OR(F354="Open",F354="Reopened"),1,0)</f>
        <v>0</v>
      </c>
      <c r="S354" s="7" t="n">
        <f aca="false">IF(AND(H354&gt;='Exec Summary'!$E$1,H354&lt;='Exec Summary'!$E$2),1,0)</f>
        <v>0</v>
      </c>
      <c r="T354" s="7" t="n">
        <f aca="false">IF(AND(F354="Closed",I354&lt;&gt;"",I354&gt;='Exec Summary'!$E$1,I354&lt;='Exec Summary'!$E$2),1,0)</f>
        <v>0</v>
      </c>
      <c r="U354" s="7" t="n">
        <f aca="false">IF(F354="Reopened",1,0)</f>
        <v>0</v>
      </c>
      <c r="V354" s="7" t="n">
        <f aca="false">IF(AND(R354=1,O354&gt;Q354),1,0)</f>
        <v>0</v>
      </c>
      <c r="W354" s="7" t="n">
        <f aca="false">IF(AND(T354=1,P354&lt;&gt;"",P354&lt;=Q354),1,0)</f>
        <v>0</v>
      </c>
    </row>
    <row r="355" customFormat="false" ht="15" hidden="false" customHeight="false" outlineLevel="0" collapsed="false">
      <c r="A355" s="7" t="s">
        <v>507</v>
      </c>
      <c r="B355" s="7" t="s">
        <v>135</v>
      </c>
      <c r="C355" s="7" t="s">
        <v>306</v>
      </c>
      <c r="D355" s="7" t="s">
        <v>152</v>
      </c>
      <c r="E355" s="7" t="s">
        <v>153</v>
      </c>
      <c r="F355" s="7" t="s">
        <v>56</v>
      </c>
      <c r="G355" s="7" t="s">
        <v>20</v>
      </c>
      <c r="H355" s="9" t="n">
        <v>45997</v>
      </c>
      <c r="I355" s="9"/>
      <c r="J355" s="7" t="n">
        <v>7.5</v>
      </c>
      <c r="K355" s="7" t="s">
        <v>482</v>
      </c>
      <c r="L355" s="7" t="s">
        <v>20</v>
      </c>
      <c r="M355" s="7" t="s">
        <v>520</v>
      </c>
      <c r="N355" s="7" t="s">
        <v>53</v>
      </c>
      <c r="O355" s="10" t="n">
        <f aca="false">'Exec Summary'!$E$2-H355</f>
        <v>237</v>
      </c>
      <c r="P355" s="10" t="str">
        <f aca="false">IF(I355="","",I355-H355)</f>
        <v/>
      </c>
      <c r="Q355" s="10" t="n">
        <f aca="false">VLOOKUP(G355,$AA$2:$AB$5,2,FALSE())</f>
        <v>30</v>
      </c>
      <c r="R355" s="7" t="n">
        <f aca="false">IF(OR(F355="Open",F355="Reopened"),1,0)</f>
        <v>1</v>
      </c>
      <c r="S355" s="7" t="n">
        <f aca="false">IF(AND(H355&gt;='Exec Summary'!$E$1,H355&lt;='Exec Summary'!$E$2),1,0)</f>
        <v>0</v>
      </c>
      <c r="T355" s="7" t="n">
        <f aca="false">IF(AND(F355="Closed",I355&lt;&gt;"",I355&gt;='Exec Summary'!$E$1,I355&lt;='Exec Summary'!$E$2),1,0)</f>
        <v>0</v>
      </c>
      <c r="U355" s="7" t="n">
        <f aca="false">IF(F355="Reopened",1,0)</f>
        <v>0</v>
      </c>
      <c r="V355" s="7" t="n">
        <f aca="false">IF(AND(R355=1,O355&gt;Q355),1,0)</f>
        <v>1</v>
      </c>
      <c r="W355" s="7" t="n">
        <f aca="false">IF(AND(T355=1,P355&lt;&gt;"",P355&lt;=Q355),1,0)</f>
        <v>0</v>
      </c>
    </row>
    <row r="356" customFormat="false" ht="15" hidden="false" customHeight="false" outlineLevel="0" collapsed="false">
      <c r="A356" s="7" t="s">
        <v>507</v>
      </c>
      <c r="B356" s="7" t="s">
        <v>135</v>
      </c>
      <c r="C356" s="7" t="s">
        <v>306</v>
      </c>
      <c r="D356" s="7" t="s">
        <v>62</v>
      </c>
      <c r="E356" s="7" t="s">
        <v>63</v>
      </c>
      <c r="F356" s="7" t="s">
        <v>50</v>
      </c>
      <c r="G356" s="7" t="s">
        <v>20</v>
      </c>
      <c r="H356" s="9" t="n">
        <v>46185</v>
      </c>
      <c r="I356" s="9" t="n">
        <v>46197</v>
      </c>
      <c r="J356" s="7" t="n">
        <v>8.1</v>
      </c>
      <c r="K356" s="7" t="s">
        <v>482</v>
      </c>
      <c r="L356" s="7" t="s">
        <v>20</v>
      </c>
      <c r="M356" s="7" t="s">
        <v>521</v>
      </c>
      <c r="N356" s="7" t="s">
        <v>53</v>
      </c>
      <c r="O356" s="10" t="n">
        <f aca="false">'Exec Summary'!$E$2-H356</f>
        <v>49</v>
      </c>
      <c r="P356" s="10" t="n">
        <f aca="false">IF(I356="","",I356-H356)</f>
        <v>12</v>
      </c>
      <c r="Q356" s="10" t="n">
        <f aca="false">VLOOKUP(G356,$AA$2:$AB$5,2,FALSE())</f>
        <v>30</v>
      </c>
      <c r="R356" s="7" t="n">
        <f aca="false">IF(OR(F356="Open",F356="Reopened"),1,0)</f>
        <v>0</v>
      </c>
      <c r="S356" s="7" t="n">
        <f aca="false">IF(AND(H356&gt;='Exec Summary'!$E$1,H356&lt;='Exec Summary'!$E$2),1,0)</f>
        <v>0</v>
      </c>
      <c r="T356" s="7" t="n">
        <f aca="false">IF(AND(F356="Closed",I356&lt;&gt;"",I356&gt;='Exec Summary'!$E$1,I356&lt;='Exec Summary'!$E$2),1,0)</f>
        <v>0</v>
      </c>
      <c r="U356" s="7" t="n">
        <f aca="false">IF(F356="Reopened",1,0)</f>
        <v>0</v>
      </c>
      <c r="V356" s="7" t="n">
        <f aca="false">IF(AND(R356=1,O356&gt;Q356),1,0)</f>
        <v>0</v>
      </c>
      <c r="W356" s="7" t="n">
        <f aca="false">IF(AND(T356=1,P356&lt;&gt;"",P356&lt;=Q356),1,0)</f>
        <v>0</v>
      </c>
    </row>
    <row r="357" customFormat="false" ht="15" hidden="false" customHeight="false" outlineLevel="0" collapsed="false">
      <c r="A357" s="7" t="s">
        <v>522</v>
      </c>
      <c r="B357" s="7" t="s">
        <v>46</v>
      </c>
      <c r="C357" s="7" t="s">
        <v>177</v>
      </c>
      <c r="D357" s="7" t="s">
        <v>54</v>
      </c>
      <c r="E357" s="7" t="s">
        <v>55</v>
      </c>
      <c r="F357" s="7" t="s">
        <v>50</v>
      </c>
      <c r="G357" s="7" t="s">
        <v>19</v>
      </c>
      <c r="H357" s="9" t="n">
        <v>45978</v>
      </c>
      <c r="I357" s="9" t="n">
        <v>45979</v>
      </c>
      <c r="J357" s="7" t="n">
        <v>9.8</v>
      </c>
      <c r="K357" s="7" t="s">
        <v>482</v>
      </c>
      <c r="L357" s="7" t="s">
        <v>22</v>
      </c>
      <c r="M357" s="7" t="s">
        <v>523</v>
      </c>
      <c r="N357" s="7" t="s">
        <v>58</v>
      </c>
      <c r="O357" s="10" t="n">
        <f aca="false">'Exec Summary'!$E$2-H357</f>
        <v>256</v>
      </c>
      <c r="P357" s="10" t="n">
        <f aca="false">IF(I357="","",I357-H357)</f>
        <v>1</v>
      </c>
      <c r="Q357" s="10" t="n">
        <f aca="false">VLOOKUP(G357,$AA$2:$AB$5,2,FALSE())</f>
        <v>15</v>
      </c>
      <c r="R357" s="7" t="n">
        <f aca="false">IF(OR(F357="Open",F357="Reopened"),1,0)</f>
        <v>0</v>
      </c>
      <c r="S357" s="7" t="n">
        <f aca="false">IF(AND(H357&gt;='Exec Summary'!$E$1,H357&lt;='Exec Summary'!$E$2),1,0)</f>
        <v>0</v>
      </c>
      <c r="T357" s="7" t="n">
        <f aca="false">IF(AND(F357="Closed",I357&lt;&gt;"",I357&gt;='Exec Summary'!$E$1,I357&lt;='Exec Summary'!$E$2),1,0)</f>
        <v>0</v>
      </c>
      <c r="U357" s="7" t="n">
        <f aca="false">IF(F357="Reopened",1,0)</f>
        <v>0</v>
      </c>
      <c r="V357" s="7" t="n">
        <f aca="false">IF(AND(R357=1,O357&gt;Q357),1,0)</f>
        <v>0</v>
      </c>
      <c r="W357" s="7" t="n">
        <f aca="false">IF(AND(T357=1,P357&lt;&gt;"",P357&lt;=Q357),1,0)</f>
        <v>0</v>
      </c>
    </row>
    <row r="358" customFormat="false" ht="15" hidden="false" customHeight="false" outlineLevel="0" collapsed="false">
      <c r="A358" s="7" t="s">
        <v>522</v>
      </c>
      <c r="B358" s="7" t="s">
        <v>46</v>
      </c>
      <c r="C358" s="7" t="s">
        <v>177</v>
      </c>
      <c r="D358" s="7" t="s">
        <v>95</v>
      </c>
      <c r="E358" s="7" t="s">
        <v>96</v>
      </c>
      <c r="F358" s="7" t="s">
        <v>50</v>
      </c>
      <c r="G358" s="7" t="s">
        <v>20</v>
      </c>
      <c r="H358" s="9" t="n">
        <v>45993</v>
      </c>
      <c r="I358" s="9" t="n">
        <v>46023</v>
      </c>
      <c r="J358" s="7" t="n">
        <v>8.8</v>
      </c>
      <c r="K358" s="7" t="s">
        <v>482</v>
      </c>
      <c r="L358" s="7" t="s">
        <v>22</v>
      </c>
      <c r="M358" s="7" t="s">
        <v>524</v>
      </c>
      <c r="N358" s="7" t="s">
        <v>53</v>
      </c>
      <c r="O358" s="10" t="n">
        <f aca="false">'Exec Summary'!$E$2-H358</f>
        <v>241</v>
      </c>
      <c r="P358" s="10" t="n">
        <f aca="false">IF(I358="","",I358-H358)</f>
        <v>30</v>
      </c>
      <c r="Q358" s="10" t="n">
        <f aca="false">VLOOKUP(G358,$AA$2:$AB$5,2,FALSE())</f>
        <v>30</v>
      </c>
      <c r="R358" s="7" t="n">
        <f aca="false">IF(OR(F358="Open",F358="Reopened"),1,0)</f>
        <v>0</v>
      </c>
      <c r="S358" s="7" t="n">
        <f aca="false">IF(AND(H358&gt;='Exec Summary'!$E$1,H358&lt;='Exec Summary'!$E$2),1,0)</f>
        <v>0</v>
      </c>
      <c r="T358" s="7" t="n">
        <f aca="false">IF(AND(F358="Closed",I358&lt;&gt;"",I358&gt;='Exec Summary'!$E$1,I358&lt;='Exec Summary'!$E$2),1,0)</f>
        <v>0</v>
      </c>
      <c r="U358" s="7" t="n">
        <f aca="false">IF(F358="Reopened",1,0)</f>
        <v>0</v>
      </c>
      <c r="V358" s="7" t="n">
        <f aca="false">IF(AND(R358=1,O358&gt;Q358),1,0)</f>
        <v>0</v>
      </c>
      <c r="W358" s="7" t="n">
        <f aca="false">IF(AND(T358=1,P358&lt;&gt;"",P358&lt;=Q358),1,0)</f>
        <v>0</v>
      </c>
    </row>
    <row r="359" customFormat="false" ht="15" hidden="false" customHeight="false" outlineLevel="0" collapsed="false">
      <c r="A359" s="7" t="s">
        <v>522</v>
      </c>
      <c r="B359" s="7" t="s">
        <v>46</v>
      </c>
      <c r="C359" s="7" t="s">
        <v>177</v>
      </c>
      <c r="D359" s="7" t="s">
        <v>131</v>
      </c>
      <c r="E359" s="7" t="s">
        <v>132</v>
      </c>
      <c r="F359" s="7" t="s">
        <v>50</v>
      </c>
      <c r="G359" s="7" t="s">
        <v>19</v>
      </c>
      <c r="H359" s="9" t="n">
        <v>46093</v>
      </c>
      <c r="I359" s="9" t="n">
        <v>46108</v>
      </c>
      <c r="J359" s="7" t="n">
        <v>9.8</v>
      </c>
      <c r="K359" s="7" t="s">
        <v>482</v>
      </c>
      <c r="L359" s="7" t="s">
        <v>22</v>
      </c>
      <c r="M359" s="7" t="s">
        <v>525</v>
      </c>
      <c r="N359" s="7" t="s">
        <v>58</v>
      </c>
      <c r="O359" s="10" t="n">
        <f aca="false">'Exec Summary'!$E$2-H359</f>
        <v>141</v>
      </c>
      <c r="P359" s="10" t="n">
        <f aca="false">IF(I359="","",I359-H359)</f>
        <v>15</v>
      </c>
      <c r="Q359" s="10" t="n">
        <f aca="false">VLOOKUP(G359,$AA$2:$AB$5,2,FALSE())</f>
        <v>15</v>
      </c>
      <c r="R359" s="7" t="n">
        <f aca="false">IF(OR(F359="Open",F359="Reopened"),1,0)</f>
        <v>0</v>
      </c>
      <c r="S359" s="7" t="n">
        <f aca="false">IF(AND(H359&gt;='Exec Summary'!$E$1,H359&lt;='Exec Summary'!$E$2),1,0)</f>
        <v>0</v>
      </c>
      <c r="T359" s="7" t="n">
        <f aca="false">IF(AND(F359="Closed",I359&lt;&gt;"",I359&gt;='Exec Summary'!$E$1,I359&lt;='Exec Summary'!$E$2),1,0)</f>
        <v>0</v>
      </c>
      <c r="U359" s="7" t="n">
        <f aca="false">IF(F359="Reopened",1,0)</f>
        <v>0</v>
      </c>
      <c r="V359" s="7" t="n">
        <f aca="false">IF(AND(R359=1,O359&gt;Q359),1,0)</f>
        <v>0</v>
      </c>
      <c r="W359" s="7" t="n">
        <f aca="false">IF(AND(T359=1,P359&lt;&gt;"",P359&lt;=Q359),1,0)</f>
        <v>0</v>
      </c>
    </row>
    <row r="360" customFormat="false" ht="15" hidden="false" customHeight="false" outlineLevel="0" collapsed="false">
      <c r="A360" s="7" t="s">
        <v>522</v>
      </c>
      <c r="B360" s="7" t="s">
        <v>46</v>
      </c>
      <c r="C360" s="7" t="s">
        <v>177</v>
      </c>
      <c r="D360" s="7" t="s">
        <v>87</v>
      </c>
      <c r="E360" s="7" t="s">
        <v>88</v>
      </c>
      <c r="F360" s="7" t="s">
        <v>50</v>
      </c>
      <c r="G360" s="7" t="s">
        <v>19</v>
      </c>
      <c r="H360" s="9" t="n">
        <v>46150</v>
      </c>
      <c r="I360" s="9" t="n">
        <v>46154</v>
      </c>
      <c r="J360" s="7" t="n">
        <v>10</v>
      </c>
      <c r="K360" s="7" t="s">
        <v>482</v>
      </c>
      <c r="L360" s="7" t="s">
        <v>22</v>
      </c>
      <c r="M360" s="7" t="s">
        <v>526</v>
      </c>
      <c r="N360" s="7" t="s">
        <v>58</v>
      </c>
      <c r="O360" s="10" t="n">
        <f aca="false">'Exec Summary'!$E$2-H360</f>
        <v>84</v>
      </c>
      <c r="P360" s="10" t="n">
        <f aca="false">IF(I360="","",I360-H360)</f>
        <v>4</v>
      </c>
      <c r="Q360" s="10" t="n">
        <f aca="false">VLOOKUP(G360,$AA$2:$AB$5,2,FALSE())</f>
        <v>15</v>
      </c>
      <c r="R360" s="7" t="n">
        <f aca="false">IF(OR(F360="Open",F360="Reopened"),1,0)</f>
        <v>0</v>
      </c>
      <c r="S360" s="7" t="n">
        <f aca="false">IF(AND(H360&gt;='Exec Summary'!$E$1,H360&lt;='Exec Summary'!$E$2),1,0)</f>
        <v>0</v>
      </c>
      <c r="T360" s="7" t="n">
        <f aca="false">IF(AND(F360="Closed",I360&lt;&gt;"",I360&gt;='Exec Summary'!$E$1,I360&lt;='Exec Summary'!$E$2),1,0)</f>
        <v>0</v>
      </c>
      <c r="U360" s="7" t="n">
        <f aca="false">IF(F360="Reopened",1,0)</f>
        <v>0</v>
      </c>
      <c r="V360" s="7" t="n">
        <f aca="false">IF(AND(R360=1,O360&gt;Q360),1,0)</f>
        <v>0</v>
      </c>
      <c r="W360" s="7" t="n">
        <f aca="false">IF(AND(T360=1,P360&lt;&gt;"",P360&lt;=Q360),1,0)</f>
        <v>0</v>
      </c>
    </row>
    <row r="361" customFormat="false" ht="15" hidden="false" customHeight="false" outlineLevel="0" collapsed="false">
      <c r="A361" s="7" t="s">
        <v>527</v>
      </c>
      <c r="B361" s="7" t="s">
        <v>46</v>
      </c>
      <c r="C361" s="7" t="s">
        <v>79</v>
      </c>
      <c r="D361" s="7" t="s">
        <v>112</v>
      </c>
      <c r="E361" s="7" t="s">
        <v>113</v>
      </c>
      <c r="F361" s="7" t="s">
        <v>50</v>
      </c>
      <c r="G361" s="7" t="s">
        <v>20</v>
      </c>
      <c r="H361" s="9" t="n">
        <v>46097</v>
      </c>
      <c r="I361" s="9" t="n">
        <v>46134</v>
      </c>
      <c r="J361" s="7" t="n">
        <v>7.8</v>
      </c>
      <c r="K361" s="7" t="s">
        <v>482</v>
      </c>
      <c r="L361" s="7" t="s">
        <v>20</v>
      </c>
      <c r="M361" s="7" t="s">
        <v>528</v>
      </c>
      <c r="N361" s="7" t="s">
        <v>53</v>
      </c>
      <c r="O361" s="10" t="n">
        <f aca="false">'Exec Summary'!$E$2-H361</f>
        <v>137</v>
      </c>
      <c r="P361" s="10" t="n">
        <f aca="false">IF(I361="","",I361-H361)</f>
        <v>37</v>
      </c>
      <c r="Q361" s="10" t="n">
        <f aca="false">VLOOKUP(G361,$AA$2:$AB$5,2,FALSE())</f>
        <v>30</v>
      </c>
      <c r="R361" s="7" t="n">
        <f aca="false">IF(OR(F361="Open",F361="Reopened"),1,0)</f>
        <v>0</v>
      </c>
      <c r="S361" s="7" t="n">
        <f aca="false">IF(AND(H361&gt;='Exec Summary'!$E$1,H361&lt;='Exec Summary'!$E$2),1,0)</f>
        <v>0</v>
      </c>
      <c r="T361" s="7" t="n">
        <f aca="false">IF(AND(F361="Closed",I361&lt;&gt;"",I361&gt;='Exec Summary'!$E$1,I361&lt;='Exec Summary'!$E$2),1,0)</f>
        <v>0</v>
      </c>
      <c r="U361" s="7" t="n">
        <f aca="false">IF(F361="Reopened",1,0)</f>
        <v>0</v>
      </c>
      <c r="V361" s="7" t="n">
        <f aca="false">IF(AND(R361=1,O361&gt;Q361),1,0)</f>
        <v>0</v>
      </c>
      <c r="W361" s="7" t="n">
        <f aca="false">IF(AND(T361=1,P361&lt;&gt;"",P361&lt;=Q361),1,0)</f>
        <v>0</v>
      </c>
    </row>
    <row r="362" customFormat="false" ht="15" hidden="false" customHeight="false" outlineLevel="0" collapsed="false">
      <c r="A362" s="7" t="s">
        <v>527</v>
      </c>
      <c r="B362" s="7" t="s">
        <v>46</v>
      </c>
      <c r="C362" s="7" t="s">
        <v>79</v>
      </c>
      <c r="D362" s="7" t="s">
        <v>163</v>
      </c>
      <c r="E362" s="7" t="s">
        <v>164</v>
      </c>
      <c r="F362" s="7" t="s">
        <v>56</v>
      </c>
      <c r="G362" s="7" t="s">
        <v>19</v>
      </c>
      <c r="H362" s="9" t="n">
        <v>46074</v>
      </c>
      <c r="I362" s="9"/>
      <c r="J362" s="7" t="n">
        <v>9.1</v>
      </c>
      <c r="K362" s="7" t="s">
        <v>482</v>
      </c>
      <c r="L362" s="7" t="s">
        <v>20</v>
      </c>
      <c r="M362" s="7" t="s">
        <v>529</v>
      </c>
      <c r="N362" s="7" t="s">
        <v>58</v>
      </c>
      <c r="O362" s="10" t="n">
        <f aca="false">'Exec Summary'!$E$2-H362</f>
        <v>160</v>
      </c>
      <c r="P362" s="10" t="str">
        <f aca="false">IF(I362="","",I362-H362)</f>
        <v/>
      </c>
      <c r="Q362" s="10" t="n">
        <f aca="false">VLOOKUP(G362,$AA$2:$AB$5,2,FALSE())</f>
        <v>15</v>
      </c>
      <c r="R362" s="7" t="n">
        <f aca="false">IF(OR(F362="Open",F362="Reopened"),1,0)</f>
        <v>1</v>
      </c>
      <c r="S362" s="7" t="n">
        <f aca="false">IF(AND(H362&gt;='Exec Summary'!$E$1,H362&lt;='Exec Summary'!$E$2),1,0)</f>
        <v>0</v>
      </c>
      <c r="T362" s="7" t="n">
        <f aca="false">IF(AND(F362="Closed",I362&lt;&gt;"",I362&gt;='Exec Summary'!$E$1,I362&lt;='Exec Summary'!$E$2),1,0)</f>
        <v>0</v>
      </c>
      <c r="U362" s="7" t="n">
        <f aca="false">IF(F362="Reopened",1,0)</f>
        <v>0</v>
      </c>
      <c r="V362" s="7" t="n">
        <f aca="false">IF(AND(R362=1,O362&gt;Q362),1,0)</f>
        <v>1</v>
      </c>
      <c r="W362" s="7" t="n">
        <f aca="false">IF(AND(T362=1,P362&lt;&gt;"",P362&lt;=Q362),1,0)</f>
        <v>0</v>
      </c>
    </row>
    <row r="363" customFormat="false" ht="15" hidden="false" customHeight="false" outlineLevel="0" collapsed="false">
      <c r="A363" s="7" t="s">
        <v>527</v>
      </c>
      <c r="B363" s="7" t="s">
        <v>46</v>
      </c>
      <c r="C363" s="7" t="s">
        <v>79</v>
      </c>
      <c r="D363" s="7" t="s">
        <v>68</v>
      </c>
      <c r="E363" s="7" t="s">
        <v>69</v>
      </c>
      <c r="F363" s="7" t="s">
        <v>50</v>
      </c>
      <c r="G363" s="7" t="s">
        <v>19</v>
      </c>
      <c r="H363" s="9" t="n">
        <v>46044</v>
      </c>
      <c r="I363" s="9" t="n">
        <v>46053</v>
      </c>
      <c r="J363" s="7" t="n">
        <v>9.8</v>
      </c>
      <c r="K363" s="7" t="s">
        <v>482</v>
      </c>
      <c r="L363" s="7" t="s">
        <v>20</v>
      </c>
      <c r="M363" s="7" t="s">
        <v>530</v>
      </c>
      <c r="N363" s="7" t="s">
        <v>58</v>
      </c>
      <c r="O363" s="10" t="n">
        <f aca="false">'Exec Summary'!$E$2-H363</f>
        <v>190</v>
      </c>
      <c r="P363" s="10" t="n">
        <f aca="false">IF(I363="","",I363-H363)</f>
        <v>9</v>
      </c>
      <c r="Q363" s="10" t="n">
        <f aca="false">VLOOKUP(G363,$AA$2:$AB$5,2,FALSE())</f>
        <v>15</v>
      </c>
      <c r="R363" s="7" t="n">
        <f aca="false">IF(OR(F363="Open",F363="Reopened"),1,0)</f>
        <v>0</v>
      </c>
      <c r="S363" s="7" t="n">
        <f aca="false">IF(AND(H363&gt;='Exec Summary'!$E$1,H363&lt;='Exec Summary'!$E$2),1,0)</f>
        <v>0</v>
      </c>
      <c r="T363" s="7" t="n">
        <f aca="false">IF(AND(F363="Closed",I363&lt;&gt;"",I363&gt;='Exec Summary'!$E$1,I363&lt;='Exec Summary'!$E$2),1,0)</f>
        <v>0</v>
      </c>
      <c r="U363" s="7" t="n">
        <f aca="false">IF(F363="Reopened",1,0)</f>
        <v>0</v>
      </c>
      <c r="V363" s="7" t="n">
        <f aca="false">IF(AND(R363=1,O363&gt;Q363),1,0)</f>
        <v>0</v>
      </c>
      <c r="W363" s="7" t="n">
        <f aca="false">IF(AND(T363=1,P363&lt;&gt;"",P363&lt;=Q363),1,0)</f>
        <v>0</v>
      </c>
    </row>
    <row r="364" customFormat="false" ht="15" hidden="false" customHeight="false" outlineLevel="0" collapsed="false">
      <c r="A364" s="7" t="s">
        <v>527</v>
      </c>
      <c r="B364" s="7" t="s">
        <v>46</v>
      </c>
      <c r="C364" s="7" t="s">
        <v>79</v>
      </c>
      <c r="D364" s="7" t="s">
        <v>59</v>
      </c>
      <c r="E364" s="7" t="s">
        <v>60</v>
      </c>
      <c r="F364" s="7" t="s">
        <v>56</v>
      </c>
      <c r="G364" s="7" t="s">
        <v>19</v>
      </c>
      <c r="H364" s="9" t="n">
        <v>46012</v>
      </c>
      <c r="I364" s="9"/>
      <c r="J364" s="7" t="n">
        <v>7.8</v>
      </c>
      <c r="K364" s="7" t="s">
        <v>482</v>
      </c>
      <c r="L364" s="7" t="s">
        <v>20</v>
      </c>
      <c r="M364" s="7" t="s">
        <v>531</v>
      </c>
      <c r="N364" s="7" t="s">
        <v>58</v>
      </c>
      <c r="O364" s="10" t="n">
        <f aca="false">'Exec Summary'!$E$2-H364</f>
        <v>222</v>
      </c>
      <c r="P364" s="10" t="str">
        <f aca="false">IF(I364="","",I364-H364)</f>
        <v/>
      </c>
      <c r="Q364" s="10" t="n">
        <f aca="false">VLOOKUP(G364,$AA$2:$AB$5,2,FALSE())</f>
        <v>15</v>
      </c>
      <c r="R364" s="7" t="n">
        <f aca="false">IF(OR(F364="Open",F364="Reopened"),1,0)</f>
        <v>1</v>
      </c>
      <c r="S364" s="7" t="n">
        <f aca="false">IF(AND(H364&gt;='Exec Summary'!$E$1,H364&lt;='Exec Summary'!$E$2),1,0)</f>
        <v>0</v>
      </c>
      <c r="T364" s="7" t="n">
        <f aca="false">IF(AND(F364="Closed",I364&lt;&gt;"",I364&gt;='Exec Summary'!$E$1,I364&lt;='Exec Summary'!$E$2),1,0)</f>
        <v>0</v>
      </c>
      <c r="U364" s="7" t="n">
        <f aca="false">IF(F364="Reopened",1,0)</f>
        <v>0</v>
      </c>
      <c r="V364" s="7" t="n">
        <f aca="false">IF(AND(R364=1,O364&gt;Q364),1,0)</f>
        <v>1</v>
      </c>
      <c r="W364" s="7" t="n">
        <f aca="false">IF(AND(T364=1,P364&lt;&gt;"",P364&lt;=Q364),1,0)</f>
        <v>0</v>
      </c>
    </row>
    <row r="365" customFormat="false" ht="15" hidden="false" customHeight="false" outlineLevel="0" collapsed="false">
      <c r="A365" s="7" t="s">
        <v>527</v>
      </c>
      <c r="B365" s="7" t="s">
        <v>46</v>
      </c>
      <c r="C365" s="7" t="s">
        <v>79</v>
      </c>
      <c r="D365" s="7" t="s">
        <v>87</v>
      </c>
      <c r="E365" s="7" t="s">
        <v>88</v>
      </c>
      <c r="F365" s="7" t="s">
        <v>56</v>
      </c>
      <c r="G365" s="7" t="s">
        <v>19</v>
      </c>
      <c r="H365" s="9" t="n">
        <v>46049</v>
      </c>
      <c r="I365" s="9"/>
      <c r="J365" s="7" t="n">
        <v>10</v>
      </c>
      <c r="K365" s="7" t="s">
        <v>482</v>
      </c>
      <c r="L365" s="7" t="s">
        <v>20</v>
      </c>
      <c r="M365" s="7" t="s">
        <v>532</v>
      </c>
      <c r="N365" s="7" t="s">
        <v>58</v>
      </c>
      <c r="O365" s="10" t="n">
        <f aca="false">'Exec Summary'!$E$2-H365</f>
        <v>185</v>
      </c>
      <c r="P365" s="10" t="str">
        <f aca="false">IF(I365="","",I365-H365)</f>
        <v/>
      </c>
      <c r="Q365" s="10" t="n">
        <f aca="false">VLOOKUP(G365,$AA$2:$AB$5,2,FALSE())</f>
        <v>15</v>
      </c>
      <c r="R365" s="7" t="n">
        <f aca="false">IF(OR(F365="Open",F365="Reopened"),1,0)</f>
        <v>1</v>
      </c>
      <c r="S365" s="7" t="n">
        <f aca="false">IF(AND(H365&gt;='Exec Summary'!$E$1,H365&lt;='Exec Summary'!$E$2),1,0)</f>
        <v>0</v>
      </c>
      <c r="T365" s="7" t="n">
        <f aca="false">IF(AND(F365="Closed",I365&lt;&gt;"",I365&gt;='Exec Summary'!$E$1,I365&lt;='Exec Summary'!$E$2),1,0)</f>
        <v>0</v>
      </c>
      <c r="U365" s="7" t="n">
        <f aca="false">IF(F365="Reopened",1,0)</f>
        <v>0</v>
      </c>
      <c r="V365" s="7" t="n">
        <f aca="false">IF(AND(R365=1,O365&gt;Q365),1,0)</f>
        <v>1</v>
      </c>
      <c r="W365" s="7" t="n">
        <f aca="false">IF(AND(T365=1,P365&lt;&gt;"",P365&lt;=Q365),1,0)</f>
        <v>0</v>
      </c>
    </row>
    <row r="366" customFormat="false" ht="15" hidden="false" customHeight="false" outlineLevel="0" collapsed="false">
      <c r="A366" s="7" t="s">
        <v>527</v>
      </c>
      <c r="B366" s="7" t="s">
        <v>46</v>
      </c>
      <c r="C366" s="7" t="s">
        <v>79</v>
      </c>
      <c r="D366" s="7" t="s">
        <v>54</v>
      </c>
      <c r="E366" s="7" t="s">
        <v>55</v>
      </c>
      <c r="F366" s="7" t="s">
        <v>56</v>
      </c>
      <c r="G366" s="7" t="s">
        <v>19</v>
      </c>
      <c r="H366" s="9" t="n">
        <v>46025</v>
      </c>
      <c r="I366" s="9"/>
      <c r="J366" s="7" t="n">
        <v>9.8</v>
      </c>
      <c r="K366" s="7" t="s">
        <v>482</v>
      </c>
      <c r="L366" s="7" t="s">
        <v>20</v>
      </c>
      <c r="M366" s="7" t="s">
        <v>533</v>
      </c>
      <c r="N366" s="7" t="s">
        <v>58</v>
      </c>
      <c r="O366" s="10" t="n">
        <f aca="false">'Exec Summary'!$E$2-H366</f>
        <v>209</v>
      </c>
      <c r="P366" s="10" t="str">
        <f aca="false">IF(I366="","",I366-H366)</f>
        <v/>
      </c>
      <c r="Q366" s="10" t="n">
        <f aca="false">VLOOKUP(G366,$AA$2:$AB$5,2,FALSE())</f>
        <v>15</v>
      </c>
      <c r="R366" s="7" t="n">
        <f aca="false">IF(OR(F366="Open",F366="Reopened"),1,0)</f>
        <v>1</v>
      </c>
      <c r="S366" s="7" t="n">
        <f aca="false">IF(AND(H366&gt;='Exec Summary'!$E$1,H366&lt;='Exec Summary'!$E$2),1,0)</f>
        <v>0</v>
      </c>
      <c r="T366" s="7" t="n">
        <f aca="false">IF(AND(F366="Closed",I366&lt;&gt;"",I366&gt;='Exec Summary'!$E$1,I366&lt;='Exec Summary'!$E$2),1,0)</f>
        <v>0</v>
      </c>
      <c r="U366" s="7" t="n">
        <f aca="false">IF(F366="Reopened",1,0)</f>
        <v>0</v>
      </c>
      <c r="V366" s="7" t="n">
        <f aca="false">IF(AND(R366=1,O366&gt;Q366),1,0)</f>
        <v>1</v>
      </c>
      <c r="W366" s="7" t="n">
        <f aca="false">IF(AND(T366=1,P366&lt;&gt;"",P366&lt;=Q366),1,0)</f>
        <v>0</v>
      </c>
    </row>
    <row r="367" customFormat="false" ht="15" hidden="false" customHeight="false" outlineLevel="0" collapsed="false">
      <c r="A367" s="7" t="s">
        <v>527</v>
      </c>
      <c r="B367" s="7" t="s">
        <v>46</v>
      </c>
      <c r="C367" s="7" t="s">
        <v>79</v>
      </c>
      <c r="D367" s="7" t="s">
        <v>139</v>
      </c>
      <c r="E367" s="7" t="s">
        <v>140</v>
      </c>
      <c r="F367" s="7" t="s">
        <v>56</v>
      </c>
      <c r="G367" s="7" t="s">
        <v>19</v>
      </c>
      <c r="H367" s="9" t="n">
        <v>46087</v>
      </c>
      <c r="I367" s="9"/>
      <c r="J367" s="7" t="n">
        <v>9.8</v>
      </c>
      <c r="K367" s="7" t="s">
        <v>482</v>
      </c>
      <c r="L367" s="7" t="s">
        <v>20</v>
      </c>
      <c r="M367" s="7" t="s">
        <v>534</v>
      </c>
      <c r="N367" s="7" t="s">
        <v>58</v>
      </c>
      <c r="O367" s="10" t="n">
        <f aca="false">'Exec Summary'!$E$2-H367</f>
        <v>147</v>
      </c>
      <c r="P367" s="10" t="str">
        <f aca="false">IF(I367="","",I367-H367)</f>
        <v/>
      </c>
      <c r="Q367" s="10" t="n">
        <f aca="false">VLOOKUP(G367,$AA$2:$AB$5,2,FALSE())</f>
        <v>15</v>
      </c>
      <c r="R367" s="7" t="n">
        <f aca="false">IF(OR(F367="Open",F367="Reopened"),1,0)</f>
        <v>1</v>
      </c>
      <c r="S367" s="7" t="n">
        <f aca="false">IF(AND(H367&gt;='Exec Summary'!$E$1,H367&lt;='Exec Summary'!$E$2),1,0)</f>
        <v>0</v>
      </c>
      <c r="T367" s="7" t="n">
        <f aca="false">IF(AND(F367="Closed",I367&lt;&gt;"",I367&gt;='Exec Summary'!$E$1,I367&lt;='Exec Summary'!$E$2),1,0)</f>
        <v>0</v>
      </c>
      <c r="U367" s="7" t="n">
        <f aca="false">IF(F367="Reopened",1,0)</f>
        <v>0</v>
      </c>
      <c r="V367" s="7" t="n">
        <f aca="false">IF(AND(R367=1,O367&gt;Q367),1,0)</f>
        <v>1</v>
      </c>
      <c r="W367" s="7" t="n">
        <f aca="false">IF(AND(T367=1,P367&lt;&gt;"",P367&lt;=Q367),1,0)</f>
        <v>0</v>
      </c>
    </row>
    <row r="368" customFormat="false" ht="15" hidden="false" customHeight="false" outlineLevel="0" collapsed="false">
      <c r="A368" s="7" t="s">
        <v>527</v>
      </c>
      <c r="B368" s="7" t="s">
        <v>46</v>
      </c>
      <c r="C368" s="7" t="s">
        <v>79</v>
      </c>
      <c r="D368" s="7" t="s">
        <v>117</v>
      </c>
      <c r="E368" s="7" t="s">
        <v>118</v>
      </c>
      <c r="F368" s="7" t="s">
        <v>50</v>
      </c>
      <c r="G368" s="7" t="s">
        <v>19</v>
      </c>
      <c r="H368" s="9" t="n">
        <v>45945</v>
      </c>
      <c r="I368" s="9" t="n">
        <v>45949</v>
      </c>
      <c r="J368" s="7" t="n">
        <v>10</v>
      </c>
      <c r="K368" s="7" t="s">
        <v>482</v>
      </c>
      <c r="L368" s="7" t="s">
        <v>20</v>
      </c>
      <c r="M368" s="7" t="s">
        <v>535</v>
      </c>
      <c r="N368" s="7" t="s">
        <v>58</v>
      </c>
      <c r="O368" s="10" t="n">
        <f aca="false">'Exec Summary'!$E$2-H368</f>
        <v>289</v>
      </c>
      <c r="P368" s="10" t="n">
        <f aca="false">IF(I368="","",I368-H368)</f>
        <v>4</v>
      </c>
      <c r="Q368" s="10" t="n">
        <f aca="false">VLOOKUP(G368,$AA$2:$AB$5,2,FALSE())</f>
        <v>15</v>
      </c>
      <c r="R368" s="7" t="n">
        <f aca="false">IF(OR(F368="Open",F368="Reopened"),1,0)</f>
        <v>0</v>
      </c>
      <c r="S368" s="7" t="n">
        <f aca="false">IF(AND(H368&gt;='Exec Summary'!$E$1,H368&lt;='Exec Summary'!$E$2),1,0)</f>
        <v>0</v>
      </c>
      <c r="T368" s="7" t="n">
        <f aca="false">IF(AND(F368="Closed",I368&lt;&gt;"",I368&gt;='Exec Summary'!$E$1,I368&lt;='Exec Summary'!$E$2),1,0)</f>
        <v>0</v>
      </c>
      <c r="U368" s="7" t="n">
        <f aca="false">IF(F368="Reopened",1,0)</f>
        <v>0</v>
      </c>
      <c r="V368" s="7" t="n">
        <f aca="false">IF(AND(R368=1,O368&gt;Q368),1,0)</f>
        <v>0</v>
      </c>
      <c r="W368" s="7" t="n">
        <f aca="false">IF(AND(T368=1,P368&lt;&gt;"",P368&lt;=Q368),1,0)</f>
        <v>0</v>
      </c>
    </row>
    <row r="369" customFormat="false" ht="15" hidden="false" customHeight="false" outlineLevel="0" collapsed="false">
      <c r="A369" s="7" t="s">
        <v>527</v>
      </c>
      <c r="B369" s="7" t="s">
        <v>46</v>
      </c>
      <c r="C369" s="7" t="s">
        <v>79</v>
      </c>
      <c r="D369" s="7" t="s">
        <v>74</v>
      </c>
      <c r="E369" s="7" t="s">
        <v>75</v>
      </c>
      <c r="F369" s="7" t="s">
        <v>56</v>
      </c>
      <c r="G369" s="7" t="s">
        <v>21</v>
      </c>
      <c r="H369" s="9" t="n">
        <v>46112</v>
      </c>
      <c r="I369" s="9"/>
      <c r="J369" s="7" t="n">
        <v>6.5</v>
      </c>
      <c r="K369" s="7" t="s">
        <v>482</v>
      </c>
      <c r="L369" s="7" t="s">
        <v>20</v>
      </c>
      <c r="M369" s="7" t="s">
        <v>536</v>
      </c>
      <c r="N369" s="7" t="s">
        <v>77</v>
      </c>
      <c r="O369" s="10" t="n">
        <f aca="false">'Exec Summary'!$E$2-H369</f>
        <v>122</v>
      </c>
      <c r="P369" s="10" t="str">
        <f aca="false">IF(I369="","",I369-H369)</f>
        <v/>
      </c>
      <c r="Q369" s="10" t="n">
        <f aca="false">VLOOKUP(G369,$AA$2:$AB$5,2,FALSE())</f>
        <v>90</v>
      </c>
      <c r="R369" s="7" t="n">
        <f aca="false">IF(OR(F369="Open",F369="Reopened"),1,0)</f>
        <v>1</v>
      </c>
      <c r="S369" s="7" t="n">
        <f aca="false">IF(AND(H369&gt;='Exec Summary'!$E$1,H369&lt;='Exec Summary'!$E$2),1,0)</f>
        <v>0</v>
      </c>
      <c r="T369" s="7" t="n">
        <f aca="false">IF(AND(F369="Closed",I369&lt;&gt;"",I369&gt;='Exec Summary'!$E$1,I369&lt;='Exec Summary'!$E$2),1,0)</f>
        <v>0</v>
      </c>
      <c r="U369" s="7" t="n">
        <f aca="false">IF(F369="Reopened",1,0)</f>
        <v>0</v>
      </c>
      <c r="V369" s="7" t="n">
        <f aca="false">IF(AND(R369=1,O369&gt;Q369),1,0)</f>
        <v>1</v>
      </c>
      <c r="W369" s="7" t="n">
        <f aca="false">IF(AND(T369=1,P369&lt;&gt;"",P369&lt;=Q369),1,0)</f>
        <v>0</v>
      </c>
    </row>
    <row r="370" customFormat="false" ht="15" hidden="false" customHeight="false" outlineLevel="0" collapsed="false">
      <c r="A370" s="7" t="s">
        <v>527</v>
      </c>
      <c r="B370" s="7" t="s">
        <v>46</v>
      </c>
      <c r="C370" s="7" t="s">
        <v>79</v>
      </c>
      <c r="D370" s="7" t="s">
        <v>81</v>
      </c>
      <c r="E370" s="7" t="s">
        <v>82</v>
      </c>
      <c r="F370" s="7" t="s">
        <v>50</v>
      </c>
      <c r="G370" s="7" t="s">
        <v>20</v>
      </c>
      <c r="H370" s="9" t="n">
        <v>45970</v>
      </c>
      <c r="I370" s="9" t="n">
        <v>45988</v>
      </c>
      <c r="J370" s="7" t="n">
        <v>7.8</v>
      </c>
      <c r="K370" s="7" t="s">
        <v>482</v>
      </c>
      <c r="L370" s="7" t="s">
        <v>20</v>
      </c>
      <c r="M370" s="7" t="s">
        <v>537</v>
      </c>
      <c r="N370" s="7" t="s">
        <v>53</v>
      </c>
      <c r="O370" s="10" t="n">
        <f aca="false">'Exec Summary'!$E$2-H370</f>
        <v>264</v>
      </c>
      <c r="P370" s="10" t="n">
        <f aca="false">IF(I370="","",I370-H370)</f>
        <v>18</v>
      </c>
      <c r="Q370" s="10" t="n">
        <f aca="false">VLOOKUP(G370,$AA$2:$AB$5,2,FALSE())</f>
        <v>30</v>
      </c>
      <c r="R370" s="7" t="n">
        <f aca="false">IF(OR(F370="Open",F370="Reopened"),1,0)</f>
        <v>0</v>
      </c>
      <c r="S370" s="7" t="n">
        <f aca="false">IF(AND(H370&gt;='Exec Summary'!$E$1,H370&lt;='Exec Summary'!$E$2),1,0)</f>
        <v>0</v>
      </c>
      <c r="T370" s="7" t="n">
        <f aca="false">IF(AND(F370="Closed",I370&lt;&gt;"",I370&gt;='Exec Summary'!$E$1,I370&lt;='Exec Summary'!$E$2),1,0)</f>
        <v>0</v>
      </c>
      <c r="U370" s="7" t="n">
        <f aca="false">IF(F370="Reopened",1,0)</f>
        <v>0</v>
      </c>
      <c r="V370" s="7" t="n">
        <f aca="false">IF(AND(R370=1,O370&gt;Q370),1,0)</f>
        <v>0</v>
      </c>
      <c r="W370" s="7" t="n">
        <f aca="false">IF(AND(T370=1,P370&lt;&gt;"",P370&lt;=Q370),1,0)</f>
        <v>0</v>
      </c>
    </row>
    <row r="371" customFormat="false" ht="15" hidden="false" customHeight="false" outlineLevel="0" collapsed="false">
      <c r="A371" s="7" t="s">
        <v>527</v>
      </c>
      <c r="B371" s="7" t="s">
        <v>46</v>
      </c>
      <c r="C371" s="7" t="s">
        <v>79</v>
      </c>
      <c r="D371" s="7" t="s">
        <v>65</v>
      </c>
      <c r="E371" s="7" t="s">
        <v>66</v>
      </c>
      <c r="F371" s="7" t="s">
        <v>50</v>
      </c>
      <c r="G371" s="7" t="s">
        <v>19</v>
      </c>
      <c r="H371" s="9" t="n">
        <v>45983</v>
      </c>
      <c r="I371" s="9" t="n">
        <v>46004</v>
      </c>
      <c r="J371" s="7" t="n">
        <v>9.8</v>
      </c>
      <c r="K371" s="7" t="s">
        <v>482</v>
      </c>
      <c r="L371" s="7" t="s">
        <v>20</v>
      </c>
      <c r="M371" s="7" t="s">
        <v>538</v>
      </c>
      <c r="N371" s="7" t="s">
        <v>58</v>
      </c>
      <c r="O371" s="10" t="n">
        <f aca="false">'Exec Summary'!$E$2-H371</f>
        <v>251</v>
      </c>
      <c r="P371" s="10" t="n">
        <f aca="false">IF(I371="","",I371-H371)</f>
        <v>21</v>
      </c>
      <c r="Q371" s="10" t="n">
        <f aca="false">VLOOKUP(G371,$AA$2:$AB$5,2,FALSE())</f>
        <v>15</v>
      </c>
      <c r="R371" s="7" t="n">
        <f aca="false">IF(OR(F371="Open",F371="Reopened"),1,0)</f>
        <v>0</v>
      </c>
      <c r="S371" s="7" t="n">
        <f aca="false">IF(AND(H371&gt;='Exec Summary'!$E$1,H371&lt;='Exec Summary'!$E$2),1,0)</f>
        <v>0</v>
      </c>
      <c r="T371" s="7" t="n">
        <f aca="false">IF(AND(F371="Closed",I371&lt;&gt;"",I371&gt;='Exec Summary'!$E$1,I371&lt;='Exec Summary'!$E$2),1,0)</f>
        <v>0</v>
      </c>
      <c r="U371" s="7" t="n">
        <f aca="false">IF(F371="Reopened",1,0)</f>
        <v>0</v>
      </c>
      <c r="V371" s="7" t="n">
        <f aca="false">IF(AND(R371=1,O371&gt;Q371),1,0)</f>
        <v>0</v>
      </c>
      <c r="W371" s="7" t="n">
        <f aca="false">IF(AND(T371=1,P371&lt;&gt;"",P371&lt;=Q371),1,0)</f>
        <v>0</v>
      </c>
    </row>
    <row r="372" customFormat="false" ht="15" hidden="false" customHeight="false" outlineLevel="0" collapsed="false">
      <c r="A372" s="7" t="s">
        <v>527</v>
      </c>
      <c r="B372" s="7" t="s">
        <v>46</v>
      </c>
      <c r="C372" s="7" t="s">
        <v>79</v>
      </c>
      <c r="D372" s="7" t="s">
        <v>120</v>
      </c>
      <c r="E372" s="7" t="s">
        <v>121</v>
      </c>
      <c r="F372" s="7" t="s">
        <v>50</v>
      </c>
      <c r="G372" s="7" t="s">
        <v>19</v>
      </c>
      <c r="H372" s="9" t="n">
        <v>46089</v>
      </c>
      <c r="I372" s="9" t="n">
        <v>46102</v>
      </c>
      <c r="J372" s="7" t="n">
        <v>8.8</v>
      </c>
      <c r="K372" s="7" t="s">
        <v>482</v>
      </c>
      <c r="L372" s="7" t="s">
        <v>20</v>
      </c>
      <c r="M372" s="7" t="s">
        <v>539</v>
      </c>
      <c r="N372" s="7" t="s">
        <v>58</v>
      </c>
      <c r="O372" s="10" t="n">
        <f aca="false">'Exec Summary'!$E$2-H372</f>
        <v>145</v>
      </c>
      <c r="P372" s="10" t="n">
        <f aca="false">IF(I372="","",I372-H372)</f>
        <v>13</v>
      </c>
      <c r="Q372" s="10" t="n">
        <f aca="false">VLOOKUP(G372,$AA$2:$AB$5,2,FALSE())</f>
        <v>15</v>
      </c>
      <c r="R372" s="7" t="n">
        <f aca="false">IF(OR(F372="Open",F372="Reopened"),1,0)</f>
        <v>0</v>
      </c>
      <c r="S372" s="7" t="n">
        <f aca="false">IF(AND(H372&gt;='Exec Summary'!$E$1,H372&lt;='Exec Summary'!$E$2),1,0)</f>
        <v>0</v>
      </c>
      <c r="T372" s="7" t="n">
        <f aca="false">IF(AND(F372="Closed",I372&lt;&gt;"",I372&gt;='Exec Summary'!$E$1,I372&lt;='Exec Summary'!$E$2),1,0)</f>
        <v>0</v>
      </c>
      <c r="U372" s="7" t="n">
        <f aca="false">IF(F372="Reopened",1,0)</f>
        <v>0</v>
      </c>
      <c r="V372" s="7" t="n">
        <f aca="false">IF(AND(R372=1,O372&gt;Q372),1,0)</f>
        <v>0</v>
      </c>
      <c r="W372" s="7" t="n">
        <f aca="false">IF(AND(T372=1,P372&lt;&gt;"",P372&lt;=Q372),1,0)</f>
        <v>0</v>
      </c>
    </row>
    <row r="373" customFormat="false" ht="15" hidden="false" customHeight="false" outlineLevel="0" collapsed="false">
      <c r="A373" s="7" t="s">
        <v>527</v>
      </c>
      <c r="B373" s="7" t="s">
        <v>46</v>
      </c>
      <c r="C373" s="7" t="s">
        <v>79</v>
      </c>
      <c r="D373" s="7" t="s">
        <v>104</v>
      </c>
      <c r="E373" s="7" t="s">
        <v>105</v>
      </c>
      <c r="F373" s="7" t="s">
        <v>50</v>
      </c>
      <c r="G373" s="7" t="s">
        <v>19</v>
      </c>
      <c r="H373" s="9" t="n">
        <v>46008</v>
      </c>
      <c r="I373" s="9" t="n">
        <v>46022</v>
      </c>
      <c r="J373" s="7" t="n">
        <v>9.8</v>
      </c>
      <c r="K373" s="7" t="s">
        <v>482</v>
      </c>
      <c r="L373" s="7" t="s">
        <v>20</v>
      </c>
      <c r="M373" s="7" t="s">
        <v>540</v>
      </c>
      <c r="N373" s="7" t="s">
        <v>58</v>
      </c>
      <c r="O373" s="10" t="n">
        <f aca="false">'Exec Summary'!$E$2-H373</f>
        <v>226</v>
      </c>
      <c r="P373" s="10" t="n">
        <f aca="false">IF(I373="","",I373-H373)</f>
        <v>14</v>
      </c>
      <c r="Q373" s="10" t="n">
        <f aca="false">VLOOKUP(G373,$AA$2:$AB$5,2,FALSE())</f>
        <v>15</v>
      </c>
      <c r="R373" s="7" t="n">
        <f aca="false">IF(OR(F373="Open",F373="Reopened"),1,0)</f>
        <v>0</v>
      </c>
      <c r="S373" s="7" t="n">
        <f aca="false">IF(AND(H373&gt;='Exec Summary'!$E$1,H373&lt;='Exec Summary'!$E$2),1,0)</f>
        <v>0</v>
      </c>
      <c r="T373" s="7" t="n">
        <f aca="false">IF(AND(F373="Closed",I373&lt;&gt;"",I373&gt;='Exec Summary'!$E$1,I373&lt;='Exec Summary'!$E$2),1,0)</f>
        <v>0</v>
      </c>
      <c r="U373" s="7" t="n">
        <f aca="false">IF(F373="Reopened",1,0)</f>
        <v>0</v>
      </c>
      <c r="V373" s="7" t="n">
        <f aca="false">IF(AND(R373=1,O373&gt;Q373),1,0)</f>
        <v>0</v>
      </c>
      <c r="W373" s="7" t="n">
        <f aca="false">IF(AND(T373=1,P373&lt;&gt;"",P373&lt;=Q373),1,0)</f>
        <v>0</v>
      </c>
    </row>
    <row r="374" customFormat="false" ht="15" hidden="false" customHeight="false" outlineLevel="0" collapsed="false">
      <c r="A374" s="7" t="s">
        <v>527</v>
      </c>
      <c r="B374" s="7" t="s">
        <v>46</v>
      </c>
      <c r="C374" s="7" t="s">
        <v>79</v>
      </c>
      <c r="D374" s="7" t="s">
        <v>192</v>
      </c>
      <c r="E374" s="7" t="s">
        <v>193</v>
      </c>
      <c r="F374" s="7" t="s">
        <v>50</v>
      </c>
      <c r="G374" s="7" t="s">
        <v>19</v>
      </c>
      <c r="H374" s="9" t="n">
        <v>45938</v>
      </c>
      <c r="I374" s="9" t="n">
        <v>45951</v>
      </c>
      <c r="J374" s="7" t="n">
        <v>9.8</v>
      </c>
      <c r="K374" s="7" t="s">
        <v>482</v>
      </c>
      <c r="L374" s="7" t="s">
        <v>20</v>
      </c>
      <c r="M374" s="7" t="s">
        <v>541</v>
      </c>
      <c r="N374" s="7" t="s">
        <v>58</v>
      </c>
      <c r="O374" s="10" t="n">
        <f aca="false">'Exec Summary'!$E$2-H374</f>
        <v>296</v>
      </c>
      <c r="P374" s="10" t="n">
        <f aca="false">IF(I374="","",I374-H374)</f>
        <v>13</v>
      </c>
      <c r="Q374" s="10" t="n">
        <f aca="false">VLOOKUP(G374,$AA$2:$AB$5,2,FALSE())</f>
        <v>15</v>
      </c>
      <c r="R374" s="7" t="n">
        <f aca="false">IF(OR(F374="Open",F374="Reopened"),1,0)</f>
        <v>0</v>
      </c>
      <c r="S374" s="7" t="n">
        <f aca="false">IF(AND(H374&gt;='Exec Summary'!$E$1,H374&lt;='Exec Summary'!$E$2),1,0)</f>
        <v>0</v>
      </c>
      <c r="T374" s="7" t="n">
        <f aca="false">IF(AND(F374="Closed",I374&lt;&gt;"",I374&gt;='Exec Summary'!$E$1,I374&lt;='Exec Summary'!$E$2),1,0)</f>
        <v>0</v>
      </c>
      <c r="U374" s="7" t="n">
        <f aca="false">IF(F374="Reopened",1,0)</f>
        <v>0</v>
      </c>
      <c r="V374" s="7" t="n">
        <f aca="false">IF(AND(R374=1,O374&gt;Q374),1,0)</f>
        <v>0</v>
      </c>
      <c r="W374" s="7" t="n">
        <f aca="false">IF(AND(T374=1,P374&lt;&gt;"",P374&lt;=Q374),1,0)</f>
        <v>0</v>
      </c>
    </row>
    <row r="375" customFormat="false" ht="15" hidden="false" customHeight="false" outlineLevel="0" collapsed="false">
      <c r="A375" s="7" t="s">
        <v>542</v>
      </c>
      <c r="B375" s="7" t="s">
        <v>46</v>
      </c>
      <c r="C375" s="7" t="s">
        <v>177</v>
      </c>
      <c r="D375" s="7" t="s">
        <v>139</v>
      </c>
      <c r="E375" s="7" t="s">
        <v>140</v>
      </c>
      <c r="F375" s="7" t="s">
        <v>56</v>
      </c>
      <c r="G375" s="7" t="s">
        <v>19</v>
      </c>
      <c r="H375" s="9" t="n">
        <v>46107</v>
      </c>
      <c r="I375" s="9"/>
      <c r="J375" s="7" t="n">
        <v>9.8</v>
      </c>
      <c r="K375" s="7" t="s">
        <v>482</v>
      </c>
      <c r="L375" s="7" t="s">
        <v>20</v>
      </c>
      <c r="M375" s="7" t="s">
        <v>543</v>
      </c>
      <c r="N375" s="7" t="s">
        <v>58</v>
      </c>
      <c r="O375" s="10" t="n">
        <f aca="false">'Exec Summary'!$E$2-H375</f>
        <v>127</v>
      </c>
      <c r="P375" s="10" t="str">
        <f aca="false">IF(I375="","",I375-H375)</f>
        <v/>
      </c>
      <c r="Q375" s="10" t="n">
        <f aca="false">VLOOKUP(G375,$AA$2:$AB$5,2,FALSE())</f>
        <v>15</v>
      </c>
      <c r="R375" s="7" t="n">
        <f aca="false">IF(OR(F375="Open",F375="Reopened"),1,0)</f>
        <v>1</v>
      </c>
      <c r="S375" s="7" t="n">
        <f aca="false">IF(AND(H375&gt;='Exec Summary'!$E$1,H375&lt;='Exec Summary'!$E$2),1,0)</f>
        <v>0</v>
      </c>
      <c r="T375" s="7" t="n">
        <f aca="false">IF(AND(F375="Closed",I375&lt;&gt;"",I375&gt;='Exec Summary'!$E$1,I375&lt;='Exec Summary'!$E$2),1,0)</f>
        <v>0</v>
      </c>
      <c r="U375" s="7" t="n">
        <f aca="false">IF(F375="Reopened",1,0)</f>
        <v>0</v>
      </c>
      <c r="V375" s="7" t="n">
        <f aca="false">IF(AND(R375=1,O375&gt;Q375),1,0)</f>
        <v>1</v>
      </c>
      <c r="W375" s="7" t="n">
        <f aca="false">IF(AND(T375=1,P375&lt;&gt;"",P375&lt;=Q375),1,0)</f>
        <v>0</v>
      </c>
    </row>
    <row r="376" customFormat="false" ht="15" hidden="false" customHeight="false" outlineLevel="0" collapsed="false">
      <c r="A376" s="7" t="s">
        <v>542</v>
      </c>
      <c r="B376" s="7" t="s">
        <v>46</v>
      </c>
      <c r="C376" s="7" t="s">
        <v>177</v>
      </c>
      <c r="D376" s="7" t="s">
        <v>48</v>
      </c>
      <c r="E376" s="7" t="s">
        <v>49</v>
      </c>
      <c r="F376" s="7" t="s">
        <v>50</v>
      </c>
      <c r="G376" s="7" t="s">
        <v>20</v>
      </c>
      <c r="H376" s="9" t="n">
        <v>46140</v>
      </c>
      <c r="I376" s="9" t="n">
        <v>46157</v>
      </c>
      <c r="J376" s="7" t="n">
        <v>7.5</v>
      </c>
      <c r="K376" s="7" t="s">
        <v>482</v>
      </c>
      <c r="L376" s="7" t="s">
        <v>20</v>
      </c>
      <c r="M376" s="7" t="s">
        <v>544</v>
      </c>
      <c r="N376" s="7" t="s">
        <v>53</v>
      </c>
      <c r="O376" s="10" t="n">
        <f aca="false">'Exec Summary'!$E$2-H376</f>
        <v>94</v>
      </c>
      <c r="P376" s="10" t="n">
        <f aca="false">IF(I376="","",I376-H376)</f>
        <v>17</v>
      </c>
      <c r="Q376" s="10" t="n">
        <f aca="false">VLOOKUP(G376,$AA$2:$AB$5,2,FALSE())</f>
        <v>30</v>
      </c>
      <c r="R376" s="7" t="n">
        <f aca="false">IF(OR(F376="Open",F376="Reopened"),1,0)</f>
        <v>0</v>
      </c>
      <c r="S376" s="7" t="n">
        <f aca="false">IF(AND(H376&gt;='Exec Summary'!$E$1,H376&lt;='Exec Summary'!$E$2),1,0)</f>
        <v>0</v>
      </c>
      <c r="T376" s="7" t="n">
        <f aca="false">IF(AND(F376="Closed",I376&lt;&gt;"",I376&gt;='Exec Summary'!$E$1,I376&lt;='Exec Summary'!$E$2),1,0)</f>
        <v>0</v>
      </c>
      <c r="U376" s="7" t="n">
        <f aca="false">IF(F376="Reopened",1,0)</f>
        <v>0</v>
      </c>
      <c r="V376" s="7" t="n">
        <f aca="false">IF(AND(R376=1,O376&gt;Q376),1,0)</f>
        <v>0</v>
      </c>
      <c r="W376" s="7" t="n">
        <f aca="false">IF(AND(T376=1,P376&lt;&gt;"",P376&lt;=Q376),1,0)</f>
        <v>0</v>
      </c>
    </row>
    <row r="377" customFormat="false" ht="15" hidden="false" customHeight="false" outlineLevel="0" collapsed="false">
      <c r="A377" s="7" t="s">
        <v>542</v>
      </c>
      <c r="B377" s="7" t="s">
        <v>46</v>
      </c>
      <c r="C377" s="7" t="s">
        <v>177</v>
      </c>
      <c r="D377" s="7" t="s">
        <v>192</v>
      </c>
      <c r="E377" s="7" t="s">
        <v>193</v>
      </c>
      <c r="F377" s="7" t="s">
        <v>50</v>
      </c>
      <c r="G377" s="7" t="s">
        <v>19</v>
      </c>
      <c r="H377" s="9" t="n">
        <v>46184</v>
      </c>
      <c r="I377" s="9" t="n">
        <v>46191</v>
      </c>
      <c r="J377" s="7" t="n">
        <v>9.8</v>
      </c>
      <c r="K377" s="7" t="s">
        <v>482</v>
      </c>
      <c r="L377" s="7" t="s">
        <v>20</v>
      </c>
      <c r="M377" s="7" t="s">
        <v>545</v>
      </c>
      <c r="N377" s="7" t="s">
        <v>58</v>
      </c>
      <c r="O377" s="10" t="n">
        <f aca="false">'Exec Summary'!$E$2-H377</f>
        <v>50</v>
      </c>
      <c r="P377" s="10" t="n">
        <f aca="false">IF(I377="","",I377-H377)</f>
        <v>7</v>
      </c>
      <c r="Q377" s="10" t="n">
        <f aca="false">VLOOKUP(G377,$AA$2:$AB$5,2,FALSE())</f>
        <v>15</v>
      </c>
      <c r="R377" s="7" t="n">
        <f aca="false">IF(OR(F377="Open",F377="Reopened"),1,0)</f>
        <v>0</v>
      </c>
      <c r="S377" s="7" t="n">
        <f aca="false">IF(AND(H377&gt;='Exec Summary'!$E$1,H377&lt;='Exec Summary'!$E$2),1,0)</f>
        <v>0</v>
      </c>
      <c r="T377" s="7" t="n">
        <f aca="false">IF(AND(F377="Closed",I377&lt;&gt;"",I377&gt;='Exec Summary'!$E$1,I377&lt;='Exec Summary'!$E$2),1,0)</f>
        <v>0</v>
      </c>
      <c r="U377" s="7" t="n">
        <f aca="false">IF(F377="Reopened",1,0)</f>
        <v>0</v>
      </c>
      <c r="V377" s="7" t="n">
        <f aca="false">IF(AND(R377=1,O377&gt;Q377),1,0)</f>
        <v>0</v>
      </c>
      <c r="W377" s="7" t="n">
        <f aca="false">IF(AND(T377=1,P377&lt;&gt;"",P377&lt;=Q377),1,0)</f>
        <v>0</v>
      </c>
    </row>
    <row r="378" customFormat="false" ht="15" hidden="false" customHeight="false" outlineLevel="0" collapsed="false">
      <c r="A378" s="7" t="s">
        <v>542</v>
      </c>
      <c r="B378" s="7" t="s">
        <v>46</v>
      </c>
      <c r="C378" s="7" t="s">
        <v>177</v>
      </c>
      <c r="D378" s="7" t="s">
        <v>131</v>
      </c>
      <c r="E378" s="7" t="s">
        <v>132</v>
      </c>
      <c r="F378" s="7" t="s">
        <v>56</v>
      </c>
      <c r="G378" s="7" t="s">
        <v>19</v>
      </c>
      <c r="H378" s="9" t="n">
        <v>46171</v>
      </c>
      <c r="I378" s="9"/>
      <c r="J378" s="7" t="n">
        <v>9.8</v>
      </c>
      <c r="K378" s="7" t="s">
        <v>482</v>
      </c>
      <c r="L378" s="7" t="s">
        <v>20</v>
      </c>
      <c r="M378" s="7" t="s">
        <v>546</v>
      </c>
      <c r="N378" s="7" t="s">
        <v>58</v>
      </c>
      <c r="O378" s="10" t="n">
        <f aca="false">'Exec Summary'!$E$2-H378</f>
        <v>63</v>
      </c>
      <c r="P378" s="10" t="str">
        <f aca="false">IF(I378="","",I378-H378)</f>
        <v/>
      </c>
      <c r="Q378" s="10" t="n">
        <f aca="false">VLOOKUP(G378,$AA$2:$AB$5,2,FALSE())</f>
        <v>15</v>
      </c>
      <c r="R378" s="7" t="n">
        <f aca="false">IF(OR(F378="Open",F378="Reopened"),1,0)</f>
        <v>1</v>
      </c>
      <c r="S378" s="7" t="n">
        <f aca="false">IF(AND(H378&gt;='Exec Summary'!$E$1,H378&lt;='Exec Summary'!$E$2),1,0)</f>
        <v>0</v>
      </c>
      <c r="T378" s="7" t="n">
        <f aca="false">IF(AND(F378="Closed",I378&lt;&gt;"",I378&gt;='Exec Summary'!$E$1,I378&lt;='Exec Summary'!$E$2),1,0)</f>
        <v>0</v>
      </c>
      <c r="U378" s="7" t="n">
        <f aca="false">IF(F378="Reopened",1,0)</f>
        <v>0</v>
      </c>
      <c r="V378" s="7" t="n">
        <f aca="false">IF(AND(R378=1,O378&gt;Q378),1,0)</f>
        <v>1</v>
      </c>
      <c r="W378" s="7" t="n">
        <f aca="false">IF(AND(T378=1,P378&lt;&gt;"",P378&lt;=Q378),1,0)</f>
        <v>0</v>
      </c>
    </row>
    <row r="379" customFormat="false" ht="15" hidden="false" customHeight="false" outlineLevel="0" collapsed="false">
      <c r="A379" s="7" t="s">
        <v>542</v>
      </c>
      <c r="B379" s="7" t="s">
        <v>46</v>
      </c>
      <c r="C379" s="7" t="s">
        <v>177</v>
      </c>
      <c r="D379" s="7" t="s">
        <v>108</v>
      </c>
      <c r="E379" s="7" t="s">
        <v>109</v>
      </c>
      <c r="F379" s="7" t="s">
        <v>56</v>
      </c>
      <c r="G379" s="7" t="s">
        <v>20</v>
      </c>
      <c r="H379" s="9" t="n">
        <v>46074</v>
      </c>
      <c r="I379" s="9"/>
      <c r="J379" s="7" t="n">
        <v>8.6</v>
      </c>
      <c r="K379" s="7" t="s">
        <v>482</v>
      </c>
      <c r="L379" s="7" t="s">
        <v>20</v>
      </c>
      <c r="M379" s="7" t="s">
        <v>547</v>
      </c>
      <c r="N379" s="7" t="s">
        <v>53</v>
      </c>
      <c r="O379" s="10" t="n">
        <f aca="false">'Exec Summary'!$E$2-H379</f>
        <v>160</v>
      </c>
      <c r="P379" s="10" t="str">
        <f aca="false">IF(I379="","",I379-H379)</f>
        <v/>
      </c>
      <c r="Q379" s="10" t="n">
        <f aca="false">VLOOKUP(G379,$AA$2:$AB$5,2,FALSE())</f>
        <v>30</v>
      </c>
      <c r="R379" s="7" t="n">
        <f aca="false">IF(OR(F379="Open",F379="Reopened"),1,0)</f>
        <v>1</v>
      </c>
      <c r="S379" s="7" t="n">
        <f aca="false">IF(AND(H379&gt;='Exec Summary'!$E$1,H379&lt;='Exec Summary'!$E$2),1,0)</f>
        <v>0</v>
      </c>
      <c r="T379" s="7" t="n">
        <f aca="false">IF(AND(F379="Closed",I379&lt;&gt;"",I379&gt;='Exec Summary'!$E$1,I379&lt;='Exec Summary'!$E$2),1,0)</f>
        <v>0</v>
      </c>
      <c r="U379" s="7" t="n">
        <f aca="false">IF(F379="Reopened",1,0)</f>
        <v>0</v>
      </c>
      <c r="V379" s="7" t="n">
        <f aca="false">IF(AND(R379=1,O379&gt;Q379),1,0)</f>
        <v>1</v>
      </c>
      <c r="W379" s="7" t="n">
        <f aca="false">IF(AND(T379=1,P379&lt;&gt;"",P379&lt;=Q379),1,0)</f>
        <v>0</v>
      </c>
    </row>
    <row r="380" customFormat="false" ht="15" hidden="false" customHeight="false" outlineLevel="0" collapsed="false">
      <c r="A380" s="7" t="s">
        <v>542</v>
      </c>
      <c r="B380" s="7" t="s">
        <v>46</v>
      </c>
      <c r="C380" s="7" t="s">
        <v>177</v>
      </c>
      <c r="D380" s="7" t="s">
        <v>104</v>
      </c>
      <c r="E380" s="7" t="s">
        <v>105</v>
      </c>
      <c r="F380" s="7" t="s">
        <v>50</v>
      </c>
      <c r="G380" s="7" t="s">
        <v>19</v>
      </c>
      <c r="H380" s="9" t="n">
        <v>46122</v>
      </c>
      <c r="I380" s="9" t="n">
        <v>46130</v>
      </c>
      <c r="J380" s="7" t="n">
        <v>9.8</v>
      </c>
      <c r="K380" s="7" t="s">
        <v>482</v>
      </c>
      <c r="L380" s="7" t="s">
        <v>20</v>
      </c>
      <c r="M380" s="7" t="s">
        <v>548</v>
      </c>
      <c r="N380" s="7" t="s">
        <v>58</v>
      </c>
      <c r="O380" s="10" t="n">
        <f aca="false">'Exec Summary'!$E$2-H380</f>
        <v>112</v>
      </c>
      <c r="P380" s="10" t="n">
        <f aca="false">IF(I380="","",I380-H380)</f>
        <v>8</v>
      </c>
      <c r="Q380" s="10" t="n">
        <f aca="false">VLOOKUP(G380,$AA$2:$AB$5,2,FALSE())</f>
        <v>15</v>
      </c>
      <c r="R380" s="7" t="n">
        <f aca="false">IF(OR(F380="Open",F380="Reopened"),1,0)</f>
        <v>0</v>
      </c>
      <c r="S380" s="7" t="n">
        <f aca="false">IF(AND(H380&gt;='Exec Summary'!$E$1,H380&lt;='Exec Summary'!$E$2),1,0)</f>
        <v>0</v>
      </c>
      <c r="T380" s="7" t="n">
        <f aca="false">IF(AND(F380="Closed",I380&lt;&gt;"",I380&gt;='Exec Summary'!$E$1,I380&lt;='Exec Summary'!$E$2),1,0)</f>
        <v>0</v>
      </c>
      <c r="U380" s="7" t="n">
        <f aca="false">IF(F380="Reopened",1,0)</f>
        <v>0</v>
      </c>
      <c r="V380" s="7" t="n">
        <f aca="false">IF(AND(R380=1,O380&gt;Q380),1,0)</f>
        <v>0</v>
      </c>
      <c r="W380" s="7" t="n">
        <f aca="false">IF(AND(T380=1,P380&lt;&gt;"",P380&lt;=Q380),1,0)</f>
        <v>0</v>
      </c>
    </row>
    <row r="381" customFormat="false" ht="15" hidden="false" customHeight="false" outlineLevel="0" collapsed="false">
      <c r="A381" s="7" t="s">
        <v>549</v>
      </c>
      <c r="B381" s="7" t="s">
        <v>46</v>
      </c>
      <c r="C381" s="7" t="s">
        <v>79</v>
      </c>
      <c r="D381" s="7" t="s">
        <v>206</v>
      </c>
      <c r="E381" s="7" t="s">
        <v>207</v>
      </c>
      <c r="F381" s="7" t="s">
        <v>50</v>
      </c>
      <c r="G381" s="7" t="s">
        <v>20</v>
      </c>
      <c r="H381" s="9" t="n">
        <v>45984</v>
      </c>
      <c r="I381" s="9" t="n">
        <v>46000</v>
      </c>
      <c r="J381" s="7" t="n">
        <v>8.8</v>
      </c>
      <c r="K381" s="7" t="s">
        <v>482</v>
      </c>
      <c r="L381" s="7" t="s">
        <v>20</v>
      </c>
      <c r="M381" s="7" t="s">
        <v>550</v>
      </c>
      <c r="N381" s="7" t="s">
        <v>53</v>
      </c>
      <c r="O381" s="10" t="n">
        <f aca="false">'Exec Summary'!$E$2-H381</f>
        <v>250</v>
      </c>
      <c r="P381" s="10" t="n">
        <f aca="false">IF(I381="","",I381-H381)</f>
        <v>16</v>
      </c>
      <c r="Q381" s="10" t="n">
        <f aca="false">VLOOKUP(G381,$AA$2:$AB$5,2,FALSE())</f>
        <v>30</v>
      </c>
      <c r="R381" s="7" t="n">
        <f aca="false">IF(OR(F381="Open",F381="Reopened"),1,0)</f>
        <v>0</v>
      </c>
      <c r="S381" s="7" t="n">
        <f aca="false">IF(AND(H381&gt;='Exec Summary'!$E$1,H381&lt;='Exec Summary'!$E$2),1,0)</f>
        <v>0</v>
      </c>
      <c r="T381" s="7" t="n">
        <f aca="false">IF(AND(F381="Closed",I381&lt;&gt;"",I381&gt;='Exec Summary'!$E$1,I381&lt;='Exec Summary'!$E$2),1,0)</f>
        <v>0</v>
      </c>
      <c r="U381" s="7" t="n">
        <f aca="false">IF(F381="Reopened",1,0)</f>
        <v>0</v>
      </c>
      <c r="V381" s="7" t="n">
        <f aca="false">IF(AND(R381=1,O381&gt;Q381),1,0)</f>
        <v>0</v>
      </c>
      <c r="W381" s="7" t="n">
        <f aca="false">IF(AND(T381=1,P381&lt;&gt;"",P381&lt;=Q381),1,0)</f>
        <v>0</v>
      </c>
    </row>
    <row r="382" customFormat="false" ht="15" hidden="false" customHeight="false" outlineLevel="0" collapsed="false">
      <c r="A382" s="7" t="s">
        <v>549</v>
      </c>
      <c r="B382" s="7" t="s">
        <v>46</v>
      </c>
      <c r="C382" s="7" t="s">
        <v>79</v>
      </c>
      <c r="D382" s="7" t="s">
        <v>131</v>
      </c>
      <c r="E382" s="7" t="s">
        <v>132</v>
      </c>
      <c r="F382" s="7" t="s">
        <v>50</v>
      </c>
      <c r="G382" s="7" t="s">
        <v>19</v>
      </c>
      <c r="H382" s="9" t="n">
        <v>45944</v>
      </c>
      <c r="I382" s="9" t="n">
        <v>45945</v>
      </c>
      <c r="J382" s="7" t="n">
        <v>9.8</v>
      </c>
      <c r="K382" s="7" t="s">
        <v>482</v>
      </c>
      <c r="L382" s="7" t="s">
        <v>20</v>
      </c>
      <c r="M382" s="7" t="s">
        <v>551</v>
      </c>
      <c r="N382" s="7" t="s">
        <v>58</v>
      </c>
      <c r="O382" s="10" t="n">
        <f aca="false">'Exec Summary'!$E$2-H382</f>
        <v>290</v>
      </c>
      <c r="P382" s="10" t="n">
        <f aca="false">IF(I382="","",I382-H382)</f>
        <v>1</v>
      </c>
      <c r="Q382" s="10" t="n">
        <f aca="false">VLOOKUP(G382,$AA$2:$AB$5,2,FALSE())</f>
        <v>15</v>
      </c>
      <c r="R382" s="7" t="n">
        <f aca="false">IF(OR(F382="Open",F382="Reopened"),1,0)</f>
        <v>0</v>
      </c>
      <c r="S382" s="7" t="n">
        <f aca="false">IF(AND(H382&gt;='Exec Summary'!$E$1,H382&lt;='Exec Summary'!$E$2),1,0)</f>
        <v>0</v>
      </c>
      <c r="T382" s="7" t="n">
        <f aca="false">IF(AND(F382="Closed",I382&lt;&gt;"",I382&gt;='Exec Summary'!$E$1,I382&lt;='Exec Summary'!$E$2),1,0)</f>
        <v>0</v>
      </c>
      <c r="U382" s="7" t="n">
        <f aca="false">IF(F382="Reopened",1,0)</f>
        <v>0</v>
      </c>
      <c r="V382" s="7" t="n">
        <f aca="false">IF(AND(R382=1,O382&gt;Q382),1,0)</f>
        <v>0</v>
      </c>
      <c r="W382" s="7" t="n">
        <f aca="false">IF(AND(T382=1,P382&lt;&gt;"",P382&lt;=Q382),1,0)</f>
        <v>0</v>
      </c>
    </row>
    <row r="383" customFormat="false" ht="15" hidden="false" customHeight="false" outlineLevel="0" collapsed="false">
      <c r="A383" s="7" t="s">
        <v>549</v>
      </c>
      <c r="B383" s="7" t="s">
        <v>46</v>
      </c>
      <c r="C383" s="7" t="s">
        <v>79</v>
      </c>
      <c r="D383" s="7" t="s">
        <v>120</v>
      </c>
      <c r="E383" s="7" t="s">
        <v>121</v>
      </c>
      <c r="F383" s="7" t="s">
        <v>50</v>
      </c>
      <c r="G383" s="7" t="s">
        <v>19</v>
      </c>
      <c r="H383" s="9" t="n">
        <v>46184</v>
      </c>
      <c r="I383" s="9" t="n">
        <v>46199</v>
      </c>
      <c r="J383" s="7" t="n">
        <v>8.8</v>
      </c>
      <c r="K383" s="7" t="s">
        <v>482</v>
      </c>
      <c r="L383" s="7" t="s">
        <v>20</v>
      </c>
      <c r="M383" s="7" t="s">
        <v>552</v>
      </c>
      <c r="N383" s="7" t="s">
        <v>58</v>
      </c>
      <c r="O383" s="10" t="n">
        <f aca="false">'Exec Summary'!$E$2-H383</f>
        <v>50</v>
      </c>
      <c r="P383" s="10" t="n">
        <f aca="false">IF(I383="","",I383-H383)</f>
        <v>15</v>
      </c>
      <c r="Q383" s="10" t="n">
        <f aca="false">VLOOKUP(G383,$AA$2:$AB$5,2,FALSE())</f>
        <v>15</v>
      </c>
      <c r="R383" s="7" t="n">
        <f aca="false">IF(OR(F383="Open",F383="Reopened"),1,0)</f>
        <v>0</v>
      </c>
      <c r="S383" s="7" t="n">
        <f aca="false">IF(AND(H383&gt;='Exec Summary'!$E$1,H383&lt;='Exec Summary'!$E$2),1,0)</f>
        <v>0</v>
      </c>
      <c r="T383" s="7" t="n">
        <f aca="false">IF(AND(F383="Closed",I383&lt;&gt;"",I383&gt;='Exec Summary'!$E$1,I383&lt;='Exec Summary'!$E$2),1,0)</f>
        <v>0</v>
      </c>
      <c r="U383" s="7" t="n">
        <f aca="false">IF(F383="Reopened",1,0)</f>
        <v>0</v>
      </c>
      <c r="V383" s="7" t="n">
        <f aca="false">IF(AND(R383=1,O383&gt;Q383),1,0)</f>
        <v>0</v>
      </c>
      <c r="W383" s="7" t="n">
        <f aca="false">IF(AND(T383=1,P383&lt;&gt;"",P383&lt;=Q383),1,0)</f>
        <v>0</v>
      </c>
    </row>
    <row r="384" customFormat="false" ht="15" hidden="false" customHeight="false" outlineLevel="0" collapsed="false">
      <c r="A384" s="7" t="s">
        <v>549</v>
      </c>
      <c r="B384" s="7" t="s">
        <v>46</v>
      </c>
      <c r="C384" s="7" t="s">
        <v>79</v>
      </c>
      <c r="D384" s="7" t="s">
        <v>71</v>
      </c>
      <c r="E384" s="7" t="s">
        <v>72</v>
      </c>
      <c r="F384" s="7" t="s">
        <v>56</v>
      </c>
      <c r="G384" s="7" t="s">
        <v>19</v>
      </c>
      <c r="H384" s="9" t="n">
        <v>46040</v>
      </c>
      <c r="I384" s="9"/>
      <c r="J384" s="7" t="n">
        <v>9.8</v>
      </c>
      <c r="K384" s="7" t="s">
        <v>482</v>
      </c>
      <c r="L384" s="7" t="s">
        <v>20</v>
      </c>
      <c r="M384" s="7" t="s">
        <v>553</v>
      </c>
      <c r="N384" s="7" t="s">
        <v>58</v>
      </c>
      <c r="O384" s="10" t="n">
        <f aca="false">'Exec Summary'!$E$2-H384</f>
        <v>194</v>
      </c>
      <c r="P384" s="10" t="str">
        <f aca="false">IF(I384="","",I384-H384)</f>
        <v/>
      </c>
      <c r="Q384" s="10" t="n">
        <f aca="false">VLOOKUP(G384,$AA$2:$AB$5,2,FALSE())</f>
        <v>15</v>
      </c>
      <c r="R384" s="7" t="n">
        <f aca="false">IF(OR(F384="Open",F384="Reopened"),1,0)</f>
        <v>1</v>
      </c>
      <c r="S384" s="7" t="n">
        <f aca="false">IF(AND(H384&gt;='Exec Summary'!$E$1,H384&lt;='Exec Summary'!$E$2),1,0)</f>
        <v>0</v>
      </c>
      <c r="T384" s="7" t="n">
        <f aca="false">IF(AND(F384="Closed",I384&lt;&gt;"",I384&gt;='Exec Summary'!$E$1,I384&lt;='Exec Summary'!$E$2),1,0)</f>
        <v>0</v>
      </c>
      <c r="U384" s="7" t="n">
        <f aca="false">IF(F384="Reopened",1,0)</f>
        <v>0</v>
      </c>
      <c r="V384" s="7" t="n">
        <f aca="false">IF(AND(R384=1,O384&gt;Q384),1,0)</f>
        <v>1</v>
      </c>
      <c r="W384" s="7" t="n">
        <f aca="false">IF(AND(T384=1,P384&lt;&gt;"",P384&lt;=Q384),1,0)</f>
        <v>0</v>
      </c>
    </row>
    <row r="385" customFormat="false" ht="15" hidden="false" customHeight="false" outlineLevel="0" collapsed="false">
      <c r="A385" s="7" t="s">
        <v>549</v>
      </c>
      <c r="B385" s="7" t="s">
        <v>46</v>
      </c>
      <c r="C385" s="7" t="s">
        <v>79</v>
      </c>
      <c r="D385" s="7" t="s">
        <v>48</v>
      </c>
      <c r="E385" s="7" t="s">
        <v>49</v>
      </c>
      <c r="F385" s="7" t="s">
        <v>56</v>
      </c>
      <c r="G385" s="7" t="s">
        <v>20</v>
      </c>
      <c r="H385" s="9" t="n">
        <v>46026</v>
      </c>
      <c r="I385" s="9"/>
      <c r="J385" s="7" t="n">
        <v>7.5</v>
      </c>
      <c r="K385" s="7" t="s">
        <v>482</v>
      </c>
      <c r="L385" s="7" t="s">
        <v>20</v>
      </c>
      <c r="M385" s="7" t="s">
        <v>554</v>
      </c>
      <c r="N385" s="7" t="s">
        <v>53</v>
      </c>
      <c r="O385" s="10" t="n">
        <f aca="false">'Exec Summary'!$E$2-H385</f>
        <v>208</v>
      </c>
      <c r="P385" s="10" t="str">
        <f aca="false">IF(I385="","",I385-H385)</f>
        <v/>
      </c>
      <c r="Q385" s="10" t="n">
        <f aca="false">VLOOKUP(G385,$AA$2:$AB$5,2,FALSE())</f>
        <v>30</v>
      </c>
      <c r="R385" s="7" t="n">
        <f aca="false">IF(OR(F385="Open",F385="Reopened"),1,0)</f>
        <v>1</v>
      </c>
      <c r="S385" s="7" t="n">
        <f aca="false">IF(AND(H385&gt;='Exec Summary'!$E$1,H385&lt;='Exec Summary'!$E$2),1,0)</f>
        <v>0</v>
      </c>
      <c r="T385" s="7" t="n">
        <f aca="false">IF(AND(F385="Closed",I385&lt;&gt;"",I385&gt;='Exec Summary'!$E$1,I385&lt;='Exec Summary'!$E$2),1,0)</f>
        <v>0</v>
      </c>
      <c r="U385" s="7" t="n">
        <f aca="false">IF(F385="Reopened",1,0)</f>
        <v>0</v>
      </c>
      <c r="V385" s="7" t="n">
        <f aca="false">IF(AND(R385=1,O385&gt;Q385),1,0)</f>
        <v>1</v>
      </c>
      <c r="W385" s="7" t="n">
        <f aca="false">IF(AND(T385=1,P385&lt;&gt;"",P385&lt;=Q385),1,0)</f>
        <v>0</v>
      </c>
    </row>
    <row r="386" customFormat="false" ht="15" hidden="false" customHeight="false" outlineLevel="0" collapsed="false">
      <c r="A386" s="7" t="s">
        <v>549</v>
      </c>
      <c r="B386" s="7" t="s">
        <v>46</v>
      </c>
      <c r="C386" s="7" t="s">
        <v>79</v>
      </c>
      <c r="D386" s="7" t="s">
        <v>145</v>
      </c>
      <c r="E386" s="7" t="s">
        <v>146</v>
      </c>
      <c r="F386" s="7" t="s">
        <v>50</v>
      </c>
      <c r="G386" s="7" t="s">
        <v>19</v>
      </c>
      <c r="H386" s="9" t="n">
        <v>45936</v>
      </c>
      <c r="I386" s="9" t="n">
        <v>45940</v>
      </c>
      <c r="J386" s="7" t="n">
        <v>9.8</v>
      </c>
      <c r="K386" s="7" t="s">
        <v>482</v>
      </c>
      <c r="L386" s="7" t="s">
        <v>20</v>
      </c>
      <c r="M386" s="7" t="s">
        <v>555</v>
      </c>
      <c r="N386" s="7" t="s">
        <v>58</v>
      </c>
      <c r="O386" s="10" t="n">
        <f aca="false">'Exec Summary'!$E$2-H386</f>
        <v>298</v>
      </c>
      <c r="P386" s="10" t="n">
        <f aca="false">IF(I386="","",I386-H386)</f>
        <v>4</v>
      </c>
      <c r="Q386" s="10" t="n">
        <f aca="false">VLOOKUP(G386,$AA$2:$AB$5,2,FALSE())</f>
        <v>15</v>
      </c>
      <c r="R386" s="7" t="n">
        <f aca="false">IF(OR(F386="Open",F386="Reopened"),1,0)</f>
        <v>0</v>
      </c>
      <c r="S386" s="7" t="n">
        <f aca="false">IF(AND(H386&gt;='Exec Summary'!$E$1,H386&lt;='Exec Summary'!$E$2),1,0)</f>
        <v>0</v>
      </c>
      <c r="T386" s="7" t="n">
        <f aca="false">IF(AND(F386="Closed",I386&lt;&gt;"",I386&gt;='Exec Summary'!$E$1,I386&lt;='Exec Summary'!$E$2),1,0)</f>
        <v>0</v>
      </c>
      <c r="U386" s="7" t="n">
        <f aca="false">IF(F386="Reopened",1,0)</f>
        <v>0</v>
      </c>
      <c r="V386" s="7" t="n">
        <f aca="false">IF(AND(R386=1,O386&gt;Q386),1,0)</f>
        <v>0</v>
      </c>
      <c r="W386" s="7" t="n">
        <f aca="false">IF(AND(T386=1,P386&lt;&gt;"",P386&lt;=Q386),1,0)</f>
        <v>0</v>
      </c>
    </row>
    <row r="387" customFormat="false" ht="15" hidden="false" customHeight="false" outlineLevel="0" collapsed="false">
      <c r="A387" s="7" t="s">
        <v>549</v>
      </c>
      <c r="B387" s="7" t="s">
        <v>46</v>
      </c>
      <c r="C387" s="7" t="s">
        <v>79</v>
      </c>
      <c r="D387" s="7" t="s">
        <v>139</v>
      </c>
      <c r="E387" s="7" t="s">
        <v>140</v>
      </c>
      <c r="F387" s="7" t="s">
        <v>50</v>
      </c>
      <c r="G387" s="7" t="s">
        <v>19</v>
      </c>
      <c r="H387" s="9" t="n">
        <v>45954</v>
      </c>
      <c r="I387" s="9" t="n">
        <v>45966</v>
      </c>
      <c r="J387" s="7" t="n">
        <v>9.8</v>
      </c>
      <c r="K387" s="7" t="s">
        <v>482</v>
      </c>
      <c r="L387" s="7" t="s">
        <v>20</v>
      </c>
      <c r="M387" s="7" t="s">
        <v>556</v>
      </c>
      <c r="N387" s="7" t="s">
        <v>58</v>
      </c>
      <c r="O387" s="10" t="n">
        <f aca="false">'Exec Summary'!$E$2-H387</f>
        <v>280</v>
      </c>
      <c r="P387" s="10" t="n">
        <f aca="false">IF(I387="","",I387-H387)</f>
        <v>12</v>
      </c>
      <c r="Q387" s="10" t="n">
        <f aca="false">VLOOKUP(G387,$AA$2:$AB$5,2,FALSE())</f>
        <v>15</v>
      </c>
      <c r="R387" s="7" t="n">
        <f aca="false">IF(OR(F387="Open",F387="Reopened"),1,0)</f>
        <v>0</v>
      </c>
      <c r="S387" s="7" t="n">
        <f aca="false">IF(AND(H387&gt;='Exec Summary'!$E$1,H387&lt;='Exec Summary'!$E$2),1,0)</f>
        <v>0</v>
      </c>
      <c r="T387" s="7" t="n">
        <f aca="false">IF(AND(F387="Closed",I387&lt;&gt;"",I387&gt;='Exec Summary'!$E$1,I387&lt;='Exec Summary'!$E$2),1,0)</f>
        <v>0</v>
      </c>
      <c r="U387" s="7" t="n">
        <f aca="false">IF(F387="Reopened",1,0)</f>
        <v>0</v>
      </c>
      <c r="V387" s="7" t="n">
        <f aca="false">IF(AND(R387=1,O387&gt;Q387),1,0)</f>
        <v>0</v>
      </c>
      <c r="W387" s="7" t="n">
        <f aca="false">IF(AND(T387=1,P387&lt;&gt;"",P387&lt;=Q387),1,0)</f>
        <v>0</v>
      </c>
    </row>
    <row r="388" customFormat="false" ht="15" hidden="false" customHeight="false" outlineLevel="0" collapsed="false">
      <c r="A388" s="7" t="s">
        <v>549</v>
      </c>
      <c r="B388" s="7" t="s">
        <v>46</v>
      </c>
      <c r="C388" s="7" t="s">
        <v>79</v>
      </c>
      <c r="D388" s="7" t="s">
        <v>104</v>
      </c>
      <c r="E388" s="7" t="s">
        <v>105</v>
      </c>
      <c r="F388" s="7" t="s">
        <v>56</v>
      </c>
      <c r="G388" s="7" t="s">
        <v>19</v>
      </c>
      <c r="H388" s="9" t="n">
        <v>45977</v>
      </c>
      <c r="I388" s="9"/>
      <c r="J388" s="7" t="n">
        <v>9.8</v>
      </c>
      <c r="K388" s="7" t="s">
        <v>482</v>
      </c>
      <c r="L388" s="7" t="s">
        <v>20</v>
      </c>
      <c r="M388" s="7" t="s">
        <v>557</v>
      </c>
      <c r="N388" s="7" t="s">
        <v>58</v>
      </c>
      <c r="O388" s="10" t="n">
        <f aca="false">'Exec Summary'!$E$2-H388</f>
        <v>257</v>
      </c>
      <c r="P388" s="10" t="str">
        <f aca="false">IF(I388="","",I388-H388)</f>
        <v/>
      </c>
      <c r="Q388" s="10" t="n">
        <f aca="false">VLOOKUP(G388,$AA$2:$AB$5,2,FALSE())</f>
        <v>15</v>
      </c>
      <c r="R388" s="7" t="n">
        <f aca="false">IF(OR(F388="Open",F388="Reopened"),1,0)</f>
        <v>1</v>
      </c>
      <c r="S388" s="7" t="n">
        <f aca="false">IF(AND(H388&gt;='Exec Summary'!$E$1,H388&lt;='Exec Summary'!$E$2),1,0)</f>
        <v>0</v>
      </c>
      <c r="T388" s="7" t="n">
        <f aca="false">IF(AND(F388="Closed",I388&lt;&gt;"",I388&gt;='Exec Summary'!$E$1,I388&lt;='Exec Summary'!$E$2),1,0)</f>
        <v>0</v>
      </c>
      <c r="U388" s="7" t="n">
        <f aca="false">IF(F388="Reopened",1,0)</f>
        <v>0</v>
      </c>
      <c r="V388" s="7" t="n">
        <f aca="false">IF(AND(R388=1,O388&gt;Q388),1,0)</f>
        <v>1</v>
      </c>
      <c r="W388" s="7" t="n">
        <f aca="false">IF(AND(T388=1,P388&lt;&gt;"",P388&lt;=Q388),1,0)</f>
        <v>0</v>
      </c>
    </row>
    <row r="389" customFormat="false" ht="15" hidden="false" customHeight="false" outlineLevel="0" collapsed="false">
      <c r="A389" s="7" t="s">
        <v>549</v>
      </c>
      <c r="B389" s="7" t="s">
        <v>46</v>
      </c>
      <c r="C389" s="7" t="s">
        <v>79</v>
      </c>
      <c r="D389" s="7" t="s">
        <v>62</v>
      </c>
      <c r="E389" s="7" t="s">
        <v>63</v>
      </c>
      <c r="F389" s="7" t="s">
        <v>50</v>
      </c>
      <c r="G389" s="7" t="s">
        <v>20</v>
      </c>
      <c r="H389" s="9" t="n">
        <v>46086</v>
      </c>
      <c r="I389" s="9" t="n">
        <v>46116</v>
      </c>
      <c r="J389" s="7" t="n">
        <v>8.1</v>
      </c>
      <c r="K389" s="7" t="s">
        <v>482</v>
      </c>
      <c r="L389" s="7" t="s">
        <v>20</v>
      </c>
      <c r="M389" s="7" t="s">
        <v>558</v>
      </c>
      <c r="N389" s="7" t="s">
        <v>53</v>
      </c>
      <c r="O389" s="10" t="n">
        <f aca="false">'Exec Summary'!$E$2-H389</f>
        <v>148</v>
      </c>
      <c r="P389" s="10" t="n">
        <f aca="false">IF(I389="","",I389-H389)</f>
        <v>30</v>
      </c>
      <c r="Q389" s="10" t="n">
        <f aca="false">VLOOKUP(G389,$AA$2:$AB$5,2,FALSE())</f>
        <v>30</v>
      </c>
      <c r="R389" s="7" t="n">
        <f aca="false">IF(OR(F389="Open",F389="Reopened"),1,0)</f>
        <v>0</v>
      </c>
      <c r="S389" s="7" t="n">
        <f aca="false">IF(AND(H389&gt;='Exec Summary'!$E$1,H389&lt;='Exec Summary'!$E$2),1,0)</f>
        <v>0</v>
      </c>
      <c r="T389" s="7" t="n">
        <f aca="false">IF(AND(F389="Closed",I389&lt;&gt;"",I389&gt;='Exec Summary'!$E$1,I389&lt;='Exec Summary'!$E$2),1,0)</f>
        <v>0</v>
      </c>
      <c r="U389" s="7" t="n">
        <f aca="false">IF(F389="Reopened",1,0)</f>
        <v>0</v>
      </c>
      <c r="V389" s="7" t="n">
        <f aca="false">IF(AND(R389=1,O389&gt;Q389),1,0)</f>
        <v>0</v>
      </c>
      <c r="W389" s="7" t="n">
        <f aca="false">IF(AND(T389=1,P389&lt;&gt;"",P389&lt;=Q389),1,0)</f>
        <v>0</v>
      </c>
    </row>
    <row r="390" customFormat="false" ht="15" hidden="false" customHeight="false" outlineLevel="0" collapsed="false">
      <c r="A390" s="7" t="s">
        <v>549</v>
      </c>
      <c r="B390" s="7" t="s">
        <v>46</v>
      </c>
      <c r="C390" s="7" t="s">
        <v>79</v>
      </c>
      <c r="D390" s="7" t="s">
        <v>87</v>
      </c>
      <c r="E390" s="7" t="s">
        <v>88</v>
      </c>
      <c r="F390" s="7" t="s">
        <v>50</v>
      </c>
      <c r="G390" s="7" t="s">
        <v>19</v>
      </c>
      <c r="H390" s="9" t="n">
        <v>45934</v>
      </c>
      <c r="I390" s="9" t="n">
        <v>45960</v>
      </c>
      <c r="J390" s="7" t="n">
        <v>10</v>
      </c>
      <c r="K390" s="7" t="s">
        <v>482</v>
      </c>
      <c r="L390" s="7" t="s">
        <v>20</v>
      </c>
      <c r="M390" s="7" t="s">
        <v>559</v>
      </c>
      <c r="N390" s="7" t="s">
        <v>58</v>
      </c>
      <c r="O390" s="10" t="n">
        <f aca="false">'Exec Summary'!$E$2-H390</f>
        <v>300</v>
      </c>
      <c r="P390" s="10" t="n">
        <f aca="false">IF(I390="","",I390-H390)</f>
        <v>26</v>
      </c>
      <c r="Q390" s="10" t="n">
        <f aca="false">VLOOKUP(G390,$AA$2:$AB$5,2,FALSE())</f>
        <v>15</v>
      </c>
      <c r="R390" s="7" t="n">
        <f aca="false">IF(OR(F390="Open",F390="Reopened"),1,0)</f>
        <v>0</v>
      </c>
      <c r="S390" s="7" t="n">
        <f aca="false">IF(AND(H390&gt;='Exec Summary'!$E$1,H390&lt;='Exec Summary'!$E$2),1,0)</f>
        <v>0</v>
      </c>
      <c r="T390" s="7" t="n">
        <f aca="false">IF(AND(F390="Closed",I390&lt;&gt;"",I390&gt;='Exec Summary'!$E$1,I390&lt;='Exec Summary'!$E$2),1,0)</f>
        <v>0</v>
      </c>
      <c r="U390" s="7" t="n">
        <f aca="false">IF(F390="Reopened",1,0)</f>
        <v>0</v>
      </c>
      <c r="V390" s="7" t="n">
        <f aca="false">IF(AND(R390=1,O390&gt;Q390),1,0)</f>
        <v>0</v>
      </c>
      <c r="W390" s="7" t="n">
        <f aca="false">IF(AND(T390=1,P390&lt;&gt;"",P390&lt;=Q390),1,0)</f>
        <v>0</v>
      </c>
    </row>
    <row r="391" customFormat="false" ht="15" hidden="false" customHeight="false" outlineLevel="0" collapsed="false">
      <c r="A391" s="7" t="s">
        <v>549</v>
      </c>
      <c r="B391" s="7" t="s">
        <v>46</v>
      </c>
      <c r="C391" s="7" t="s">
        <v>79</v>
      </c>
      <c r="D391" s="7" t="s">
        <v>59</v>
      </c>
      <c r="E391" s="7" t="s">
        <v>60</v>
      </c>
      <c r="F391" s="7" t="s">
        <v>50</v>
      </c>
      <c r="G391" s="7" t="s">
        <v>19</v>
      </c>
      <c r="H391" s="9" t="n">
        <v>46207</v>
      </c>
      <c r="I391" s="9" t="n">
        <v>46222</v>
      </c>
      <c r="J391" s="7" t="n">
        <v>7.8</v>
      </c>
      <c r="K391" s="7" t="s">
        <v>482</v>
      </c>
      <c r="L391" s="7" t="s">
        <v>20</v>
      </c>
      <c r="M391" s="7" t="s">
        <v>560</v>
      </c>
      <c r="N391" s="7" t="s">
        <v>58</v>
      </c>
      <c r="O391" s="10" t="n">
        <f aca="false">'Exec Summary'!$E$2-H391</f>
        <v>27</v>
      </c>
      <c r="P391" s="10" t="n">
        <f aca="false">IF(I391="","",I391-H391)</f>
        <v>15</v>
      </c>
      <c r="Q391" s="10" t="n">
        <f aca="false">VLOOKUP(G391,$AA$2:$AB$5,2,FALSE())</f>
        <v>15</v>
      </c>
      <c r="R391" s="7" t="n">
        <f aca="false">IF(OR(F391="Open",F391="Reopened"),1,0)</f>
        <v>0</v>
      </c>
      <c r="S391" s="7" t="n">
        <f aca="false">IF(AND(H391&gt;='Exec Summary'!$E$1,H391&lt;='Exec Summary'!$E$2),1,0)</f>
        <v>1</v>
      </c>
      <c r="T391" s="7" t="n">
        <f aca="false">IF(AND(F391="Closed",I391&lt;&gt;"",I391&gt;='Exec Summary'!$E$1,I391&lt;='Exec Summary'!$E$2),1,0)</f>
        <v>1</v>
      </c>
      <c r="U391" s="7" t="n">
        <f aca="false">IF(F391="Reopened",1,0)</f>
        <v>0</v>
      </c>
      <c r="V391" s="7" t="n">
        <f aca="false">IF(AND(R391=1,O391&gt;Q391),1,0)</f>
        <v>0</v>
      </c>
      <c r="W391" s="7" t="n">
        <f aca="false">IF(AND(T391=1,P391&lt;&gt;"",P391&lt;=Q391),1,0)</f>
        <v>1</v>
      </c>
    </row>
    <row r="392" customFormat="false" ht="15" hidden="false" customHeight="false" outlineLevel="0" collapsed="false">
      <c r="A392" s="7" t="s">
        <v>549</v>
      </c>
      <c r="B392" s="7" t="s">
        <v>46</v>
      </c>
      <c r="C392" s="7" t="s">
        <v>79</v>
      </c>
      <c r="D392" s="7" t="s">
        <v>68</v>
      </c>
      <c r="E392" s="7" t="s">
        <v>69</v>
      </c>
      <c r="F392" s="7" t="s">
        <v>56</v>
      </c>
      <c r="G392" s="7" t="s">
        <v>19</v>
      </c>
      <c r="H392" s="9" t="n">
        <v>46201</v>
      </c>
      <c r="I392" s="9"/>
      <c r="J392" s="7" t="n">
        <v>9.8</v>
      </c>
      <c r="K392" s="7" t="s">
        <v>482</v>
      </c>
      <c r="L392" s="7" t="s">
        <v>20</v>
      </c>
      <c r="M392" s="7" t="s">
        <v>561</v>
      </c>
      <c r="N392" s="7" t="s">
        <v>58</v>
      </c>
      <c r="O392" s="10" t="n">
        <f aca="false">'Exec Summary'!$E$2-H392</f>
        <v>33</v>
      </c>
      <c r="P392" s="10" t="str">
        <f aca="false">IF(I392="","",I392-H392)</f>
        <v/>
      </c>
      <c r="Q392" s="10" t="n">
        <f aca="false">VLOOKUP(G392,$AA$2:$AB$5,2,FALSE())</f>
        <v>15</v>
      </c>
      <c r="R392" s="7" t="n">
        <f aca="false">IF(OR(F392="Open",F392="Reopened"),1,0)</f>
        <v>1</v>
      </c>
      <c r="S392" s="7" t="n">
        <f aca="false">IF(AND(H392&gt;='Exec Summary'!$E$1,H392&lt;='Exec Summary'!$E$2),1,0)</f>
        <v>0</v>
      </c>
      <c r="T392" s="7" t="n">
        <f aca="false">IF(AND(F392="Closed",I392&lt;&gt;"",I392&gt;='Exec Summary'!$E$1,I392&lt;='Exec Summary'!$E$2),1,0)</f>
        <v>0</v>
      </c>
      <c r="U392" s="7" t="n">
        <f aca="false">IF(F392="Reopened",1,0)</f>
        <v>0</v>
      </c>
      <c r="V392" s="7" t="n">
        <f aca="false">IF(AND(R392=1,O392&gt;Q392),1,0)</f>
        <v>1</v>
      </c>
      <c r="W392" s="7" t="n">
        <f aca="false">IF(AND(T392=1,P392&lt;&gt;"",P392&lt;=Q392),1,0)</f>
        <v>0</v>
      </c>
    </row>
    <row r="393" customFormat="false" ht="15" hidden="false" customHeight="false" outlineLevel="0" collapsed="false">
      <c r="A393" s="7" t="s">
        <v>562</v>
      </c>
      <c r="B393" s="7" t="s">
        <v>46</v>
      </c>
      <c r="C393" s="7" t="s">
        <v>79</v>
      </c>
      <c r="D393" s="7" t="s">
        <v>98</v>
      </c>
      <c r="E393" s="7" t="s">
        <v>99</v>
      </c>
      <c r="F393" s="7" t="s">
        <v>50</v>
      </c>
      <c r="G393" s="7" t="s">
        <v>19</v>
      </c>
      <c r="H393" s="9" t="n">
        <v>46006</v>
      </c>
      <c r="I393" s="9" t="n">
        <v>46025</v>
      </c>
      <c r="J393" s="7" t="n">
        <v>10</v>
      </c>
      <c r="K393" s="7" t="s">
        <v>482</v>
      </c>
      <c r="L393" s="7" t="s">
        <v>20</v>
      </c>
      <c r="M393" s="7" t="s">
        <v>563</v>
      </c>
      <c r="N393" s="7" t="s">
        <v>58</v>
      </c>
      <c r="O393" s="10" t="n">
        <f aca="false">'Exec Summary'!$E$2-H393</f>
        <v>228</v>
      </c>
      <c r="P393" s="10" t="n">
        <f aca="false">IF(I393="","",I393-H393)</f>
        <v>19</v>
      </c>
      <c r="Q393" s="10" t="n">
        <f aca="false">VLOOKUP(G393,$AA$2:$AB$5,2,FALSE())</f>
        <v>15</v>
      </c>
      <c r="R393" s="7" t="n">
        <f aca="false">IF(OR(F393="Open",F393="Reopened"),1,0)</f>
        <v>0</v>
      </c>
      <c r="S393" s="7" t="n">
        <f aca="false">IF(AND(H393&gt;='Exec Summary'!$E$1,H393&lt;='Exec Summary'!$E$2),1,0)</f>
        <v>0</v>
      </c>
      <c r="T393" s="7" t="n">
        <f aca="false">IF(AND(F393="Closed",I393&lt;&gt;"",I393&gt;='Exec Summary'!$E$1,I393&lt;='Exec Summary'!$E$2),1,0)</f>
        <v>0</v>
      </c>
      <c r="U393" s="7" t="n">
        <f aca="false">IF(F393="Reopened",1,0)</f>
        <v>0</v>
      </c>
      <c r="V393" s="7" t="n">
        <f aca="false">IF(AND(R393=1,O393&gt;Q393),1,0)</f>
        <v>0</v>
      </c>
      <c r="W393" s="7" t="n">
        <f aca="false">IF(AND(T393=1,P393&lt;&gt;"",P393&lt;=Q393),1,0)</f>
        <v>0</v>
      </c>
    </row>
    <row r="394" customFormat="false" ht="15" hidden="false" customHeight="false" outlineLevel="0" collapsed="false">
      <c r="A394" s="7" t="s">
        <v>564</v>
      </c>
      <c r="B394" s="7" t="s">
        <v>46</v>
      </c>
      <c r="C394" s="7" t="s">
        <v>47</v>
      </c>
      <c r="D394" s="7" t="s">
        <v>95</v>
      </c>
      <c r="E394" s="7" t="s">
        <v>96</v>
      </c>
      <c r="F394" s="7" t="s">
        <v>56</v>
      </c>
      <c r="G394" s="7" t="s">
        <v>20</v>
      </c>
      <c r="H394" s="9" t="n">
        <v>46151</v>
      </c>
      <c r="I394" s="9"/>
      <c r="J394" s="7" t="n">
        <v>8.8</v>
      </c>
      <c r="K394" s="7" t="s">
        <v>482</v>
      </c>
      <c r="L394" s="7" t="s">
        <v>20</v>
      </c>
      <c r="M394" s="7" t="s">
        <v>565</v>
      </c>
      <c r="N394" s="7" t="s">
        <v>53</v>
      </c>
      <c r="O394" s="10" t="n">
        <f aca="false">'Exec Summary'!$E$2-H394</f>
        <v>83</v>
      </c>
      <c r="P394" s="10" t="str">
        <f aca="false">IF(I394="","",I394-H394)</f>
        <v/>
      </c>
      <c r="Q394" s="10" t="n">
        <f aca="false">VLOOKUP(G394,$AA$2:$AB$5,2,FALSE())</f>
        <v>30</v>
      </c>
      <c r="R394" s="7" t="n">
        <f aca="false">IF(OR(F394="Open",F394="Reopened"),1,0)</f>
        <v>1</v>
      </c>
      <c r="S394" s="7" t="n">
        <f aca="false">IF(AND(H394&gt;='Exec Summary'!$E$1,H394&lt;='Exec Summary'!$E$2),1,0)</f>
        <v>0</v>
      </c>
      <c r="T394" s="7" t="n">
        <f aca="false">IF(AND(F394="Closed",I394&lt;&gt;"",I394&gt;='Exec Summary'!$E$1,I394&lt;='Exec Summary'!$E$2),1,0)</f>
        <v>0</v>
      </c>
      <c r="U394" s="7" t="n">
        <f aca="false">IF(F394="Reopened",1,0)</f>
        <v>0</v>
      </c>
      <c r="V394" s="7" t="n">
        <f aca="false">IF(AND(R394=1,O394&gt;Q394),1,0)</f>
        <v>1</v>
      </c>
      <c r="W394" s="7" t="n">
        <f aca="false">IF(AND(T394=1,P394&lt;&gt;"",P394&lt;=Q394),1,0)</f>
        <v>0</v>
      </c>
    </row>
    <row r="395" customFormat="false" ht="15" hidden="false" customHeight="false" outlineLevel="0" collapsed="false">
      <c r="A395" s="7" t="s">
        <v>564</v>
      </c>
      <c r="B395" s="7" t="s">
        <v>46</v>
      </c>
      <c r="C395" s="7" t="s">
        <v>47</v>
      </c>
      <c r="D395" s="7" t="s">
        <v>74</v>
      </c>
      <c r="E395" s="7" t="s">
        <v>75</v>
      </c>
      <c r="F395" s="7" t="s">
        <v>50</v>
      </c>
      <c r="G395" s="7" t="s">
        <v>21</v>
      </c>
      <c r="H395" s="9" t="n">
        <v>46208</v>
      </c>
      <c r="I395" s="9" t="n">
        <v>46209</v>
      </c>
      <c r="J395" s="7" t="n">
        <v>6.5</v>
      </c>
      <c r="K395" s="7" t="s">
        <v>482</v>
      </c>
      <c r="L395" s="7" t="s">
        <v>20</v>
      </c>
      <c r="M395" s="7" t="s">
        <v>566</v>
      </c>
      <c r="N395" s="7" t="s">
        <v>77</v>
      </c>
      <c r="O395" s="10" t="n">
        <f aca="false">'Exec Summary'!$E$2-H395</f>
        <v>26</v>
      </c>
      <c r="P395" s="10" t="n">
        <f aca="false">IF(I395="","",I395-H395)</f>
        <v>1</v>
      </c>
      <c r="Q395" s="10" t="n">
        <f aca="false">VLOOKUP(G395,$AA$2:$AB$5,2,FALSE())</f>
        <v>90</v>
      </c>
      <c r="R395" s="7" t="n">
        <f aca="false">IF(OR(F395="Open",F395="Reopened"),1,0)</f>
        <v>0</v>
      </c>
      <c r="S395" s="7" t="n">
        <f aca="false">IF(AND(H395&gt;='Exec Summary'!$E$1,H395&lt;='Exec Summary'!$E$2),1,0)</f>
        <v>1</v>
      </c>
      <c r="T395" s="7" t="n">
        <f aca="false">IF(AND(F395="Closed",I395&lt;&gt;"",I395&gt;='Exec Summary'!$E$1,I395&lt;='Exec Summary'!$E$2),1,0)</f>
        <v>1</v>
      </c>
      <c r="U395" s="7" t="n">
        <f aca="false">IF(F395="Reopened",1,0)</f>
        <v>0</v>
      </c>
      <c r="V395" s="7" t="n">
        <f aca="false">IF(AND(R395=1,O395&gt;Q395),1,0)</f>
        <v>0</v>
      </c>
      <c r="W395" s="7" t="n">
        <f aca="false">IF(AND(T395=1,P395&lt;&gt;"",P395&lt;=Q395),1,0)</f>
        <v>1</v>
      </c>
    </row>
    <row r="396" customFormat="false" ht="15" hidden="false" customHeight="false" outlineLevel="0" collapsed="false">
      <c r="A396" s="7" t="s">
        <v>564</v>
      </c>
      <c r="B396" s="7" t="s">
        <v>46</v>
      </c>
      <c r="C396" s="7" t="s">
        <v>47</v>
      </c>
      <c r="D396" s="7" t="s">
        <v>145</v>
      </c>
      <c r="E396" s="7" t="s">
        <v>146</v>
      </c>
      <c r="F396" s="7" t="s">
        <v>56</v>
      </c>
      <c r="G396" s="7" t="s">
        <v>19</v>
      </c>
      <c r="H396" s="9" t="n">
        <v>46032</v>
      </c>
      <c r="I396" s="9"/>
      <c r="J396" s="7" t="n">
        <v>9.8</v>
      </c>
      <c r="K396" s="7" t="s">
        <v>482</v>
      </c>
      <c r="L396" s="7" t="s">
        <v>20</v>
      </c>
      <c r="M396" s="7" t="s">
        <v>567</v>
      </c>
      <c r="N396" s="7" t="s">
        <v>58</v>
      </c>
      <c r="O396" s="10" t="n">
        <f aca="false">'Exec Summary'!$E$2-H396</f>
        <v>202</v>
      </c>
      <c r="P396" s="10" t="str">
        <f aca="false">IF(I396="","",I396-H396)</f>
        <v/>
      </c>
      <c r="Q396" s="10" t="n">
        <f aca="false">VLOOKUP(G396,$AA$2:$AB$5,2,FALSE())</f>
        <v>15</v>
      </c>
      <c r="R396" s="7" t="n">
        <f aca="false">IF(OR(F396="Open",F396="Reopened"),1,0)</f>
        <v>1</v>
      </c>
      <c r="S396" s="7" t="n">
        <f aca="false">IF(AND(H396&gt;='Exec Summary'!$E$1,H396&lt;='Exec Summary'!$E$2),1,0)</f>
        <v>0</v>
      </c>
      <c r="T396" s="7" t="n">
        <f aca="false">IF(AND(F396="Closed",I396&lt;&gt;"",I396&gt;='Exec Summary'!$E$1,I396&lt;='Exec Summary'!$E$2),1,0)</f>
        <v>0</v>
      </c>
      <c r="U396" s="7" t="n">
        <f aca="false">IF(F396="Reopened",1,0)</f>
        <v>0</v>
      </c>
      <c r="V396" s="7" t="n">
        <f aca="false">IF(AND(R396=1,O396&gt;Q396),1,0)</f>
        <v>1</v>
      </c>
      <c r="W396" s="7" t="n">
        <f aca="false">IF(AND(T396=1,P396&lt;&gt;"",P396&lt;=Q396),1,0)</f>
        <v>0</v>
      </c>
    </row>
    <row r="397" customFormat="false" ht="15" hidden="false" customHeight="false" outlineLevel="0" collapsed="false">
      <c r="A397" s="7" t="s">
        <v>564</v>
      </c>
      <c r="B397" s="7" t="s">
        <v>46</v>
      </c>
      <c r="C397" s="7" t="s">
        <v>47</v>
      </c>
      <c r="D397" s="7" t="s">
        <v>104</v>
      </c>
      <c r="E397" s="7" t="s">
        <v>105</v>
      </c>
      <c r="F397" s="7" t="s">
        <v>50</v>
      </c>
      <c r="G397" s="7" t="s">
        <v>19</v>
      </c>
      <c r="H397" s="9" t="n">
        <v>46017</v>
      </c>
      <c r="I397" s="9" t="n">
        <v>46040</v>
      </c>
      <c r="J397" s="7" t="n">
        <v>9.8</v>
      </c>
      <c r="K397" s="7" t="s">
        <v>482</v>
      </c>
      <c r="L397" s="7" t="s">
        <v>20</v>
      </c>
      <c r="M397" s="7" t="s">
        <v>568</v>
      </c>
      <c r="N397" s="7" t="s">
        <v>58</v>
      </c>
      <c r="O397" s="10" t="n">
        <f aca="false">'Exec Summary'!$E$2-H397</f>
        <v>217</v>
      </c>
      <c r="P397" s="10" t="n">
        <f aca="false">IF(I397="","",I397-H397)</f>
        <v>23</v>
      </c>
      <c r="Q397" s="10" t="n">
        <f aca="false">VLOOKUP(G397,$AA$2:$AB$5,2,FALSE())</f>
        <v>15</v>
      </c>
      <c r="R397" s="7" t="n">
        <f aca="false">IF(OR(F397="Open",F397="Reopened"),1,0)</f>
        <v>0</v>
      </c>
      <c r="S397" s="7" t="n">
        <f aca="false">IF(AND(H397&gt;='Exec Summary'!$E$1,H397&lt;='Exec Summary'!$E$2),1,0)</f>
        <v>0</v>
      </c>
      <c r="T397" s="7" t="n">
        <f aca="false">IF(AND(F397="Closed",I397&lt;&gt;"",I397&gt;='Exec Summary'!$E$1,I397&lt;='Exec Summary'!$E$2),1,0)</f>
        <v>0</v>
      </c>
      <c r="U397" s="7" t="n">
        <f aca="false">IF(F397="Reopened",1,0)</f>
        <v>0</v>
      </c>
      <c r="V397" s="7" t="n">
        <f aca="false">IF(AND(R397=1,O397&gt;Q397),1,0)</f>
        <v>0</v>
      </c>
      <c r="W397" s="7" t="n">
        <f aca="false">IF(AND(T397=1,P397&lt;&gt;"",P397&lt;=Q397),1,0)</f>
        <v>0</v>
      </c>
    </row>
    <row r="398" customFormat="false" ht="15" hidden="false" customHeight="false" outlineLevel="0" collapsed="false">
      <c r="A398" s="7" t="s">
        <v>564</v>
      </c>
      <c r="B398" s="7" t="s">
        <v>46</v>
      </c>
      <c r="C398" s="7" t="s">
        <v>47</v>
      </c>
      <c r="D398" s="7" t="s">
        <v>48</v>
      </c>
      <c r="E398" s="7" t="s">
        <v>49</v>
      </c>
      <c r="F398" s="7" t="s">
        <v>50</v>
      </c>
      <c r="G398" s="7" t="s">
        <v>20</v>
      </c>
      <c r="H398" s="9" t="n">
        <v>46060</v>
      </c>
      <c r="I398" s="9" t="n">
        <v>46117</v>
      </c>
      <c r="J398" s="7" t="n">
        <v>7.5</v>
      </c>
      <c r="K398" s="7" t="s">
        <v>482</v>
      </c>
      <c r="L398" s="7" t="s">
        <v>20</v>
      </c>
      <c r="M398" s="7" t="s">
        <v>569</v>
      </c>
      <c r="N398" s="7" t="s">
        <v>53</v>
      </c>
      <c r="O398" s="10" t="n">
        <f aca="false">'Exec Summary'!$E$2-H398</f>
        <v>174</v>
      </c>
      <c r="P398" s="10" t="n">
        <f aca="false">IF(I398="","",I398-H398)</f>
        <v>57</v>
      </c>
      <c r="Q398" s="10" t="n">
        <f aca="false">VLOOKUP(G398,$AA$2:$AB$5,2,FALSE())</f>
        <v>30</v>
      </c>
      <c r="R398" s="7" t="n">
        <f aca="false">IF(OR(F398="Open",F398="Reopened"),1,0)</f>
        <v>0</v>
      </c>
      <c r="S398" s="7" t="n">
        <f aca="false">IF(AND(H398&gt;='Exec Summary'!$E$1,H398&lt;='Exec Summary'!$E$2),1,0)</f>
        <v>0</v>
      </c>
      <c r="T398" s="7" t="n">
        <f aca="false">IF(AND(F398="Closed",I398&lt;&gt;"",I398&gt;='Exec Summary'!$E$1,I398&lt;='Exec Summary'!$E$2),1,0)</f>
        <v>0</v>
      </c>
      <c r="U398" s="7" t="n">
        <f aca="false">IF(F398="Reopened",1,0)</f>
        <v>0</v>
      </c>
      <c r="V398" s="7" t="n">
        <f aca="false">IF(AND(R398=1,O398&gt;Q398),1,0)</f>
        <v>0</v>
      </c>
      <c r="W398" s="7" t="n">
        <f aca="false">IF(AND(T398=1,P398&lt;&gt;"",P398&lt;=Q398),1,0)</f>
        <v>0</v>
      </c>
    </row>
    <row r="399" customFormat="false" ht="15" hidden="false" customHeight="false" outlineLevel="0" collapsed="false">
      <c r="A399" s="7" t="s">
        <v>564</v>
      </c>
      <c r="B399" s="7" t="s">
        <v>46</v>
      </c>
      <c r="C399" s="7" t="s">
        <v>47</v>
      </c>
      <c r="D399" s="7" t="s">
        <v>81</v>
      </c>
      <c r="E399" s="7" t="s">
        <v>82</v>
      </c>
      <c r="F399" s="7" t="s">
        <v>50</v>
      </c>
      <c r="G399" s="7" t="s">
        <v>20</v>
      </c>
      <c r="H399" s="9" t="n">
        <v>46214</v>
      </c>
      <c r="I399" s="9" t="n">
        <v>46233</v>
      </c>
      <c r="J399" s="7" t="n">
        <v>7.8</v>
      </c>
      <c r="K399" s="7" t="s">
        <v>482</v>
      </c>
      <c r="L399" s="7" t="s">
        <v>20</v>
      </c>
      <c r="M399" s="7" t="s">
        <v>570</v>
      </c>
      <c r="N399" s="7" t="s">
        <v>53</v>
      </c>
      <c r="O399" s="10" t="n">
        <f aca="false">'Exec Summary'!$E$2-H399</f>
        <v>20</v>
      </c>
      <c r="P399" s="10" t="n">
        <f aca="false">IF(I399="","",I399-H399)</f>
        <v>19</v>
      </c>
      <c r="Q399" s="10" t="n">
        <f aca="false">VLOOKUP(G399,$AA$2:$AB$5,2,FALSE())</f>
        <v>30</v>
      </c>
      <c r="R399" s="7" t="n">
        <f aca="false">IF(OR(F399="Open",F399="Reopened"),1,0)</f>
        <v>0</v>
      </c>
      <c r="S399" s="7" t="n">
        <f aca="false">IF(AND(H399&gt;='Exec Summary'!$E$1,H399&lt;='Exec Summary'!$E$2),1,0)</f>
        <v>1</v>
      </c>
      <c r="T399" s="7" t="n">
        <f aca="false">IF(AND(F399="Closed",I399&lt;&gt;"",I399&gt;='Exec Summary'!$E$1,I399&lt;='Exec Summary'!$E$2),1,0)</f>
        <v>1</v>
      </c>
      <c r="U399" s="7" t="n">
        <f aca="false">IF(F399="Reopened",1,0)</f>
        <v>0</v>
      </c>
      <c r="V399" s="7" t="n">
        <f aca="false">IF(AND(R399=1,O399&gt;Q399),1,0)</f>
        <v>0</v>
      </c>
      <c r="W399" s="7" t="n">
        <f aca="false">IF(AND(T399=1,P399&lt;&gt;"",P399&lt;=Q399),1,0)</f>
        <v>1</v>
      </c>
    </row>
    <row r="400" customFormat="false" ht="15" hidden="false" customHeight="false" outlineLevel="0" collapsed="false">
      <c r="A400" s="7" t="s">
        <v>564</v>
      </c>
      <c r="B400" s="7" t="s">
        <v>46</v>
      </c>
      <c r="C400" s="7" t="s">
        <v>47</v>
      </c>
      <c r="D400" s="7" t="s">
        <v>112</v>
      </c>
      <c r="E400" s="7" t="s">
        <v>113</v>
      </c>
      <c r="F400" s="7" t="s">
        <v>56</v>
      </c>
      <c r="G400" s="7" t="s">
        <v>20</v>
      </c>
      <c r="H400" s="9" t="n">
        <v>46008</v>
      </c>
      <c r="I400" s="9"/>
      <c r="J400" s="7" t="n">
        <v>7.8</v>
      </c>
      <c r="K400" s="7" t="s">
        <v>482</v>
      </c>
      <c r="L400" s="7" t="s">
        <v>20</v>
      </c>
      <c r="M400" s="7" t="s">
        <v>571</v>
      </c>
      <c r="N400" s="7" t="s">
        <v>53</v>
      </c>
      <c r="O400" s="10" t="n">
        <f aca="false">'Exec Summary'!$E$2-H400</f>
        <v>226</v>
      </c>
      <c r="P400" s="10" t="str">
        <f aca="false">IF(I400="","",I400-H400)</f>
        <v/>
      </c>
      <c r="Q400" s="10" t="n">
        <f aca="false">VLOOKUP(G400,$AA$2:$AB$5,2,FALSE())</f>
        <v>30</v>
      </c>
      <c r="R400" s="7" t="n">
        <f aca="false">IF(OR(F400="Open",F400="Reopened"),1,0)</f>
        <v>1</v>
      </c>
      <c r="S400" s="7" t="n">
        <f aca="false">IF(AND(H400&gt;='Exec Summary'!$E$1,H400&lt;='Exec Summary'!$E$2),1,0)</f>
        <v>0</v>
      </c>
      <c r="T400" s="7" t="n">
        <f aca="false">IF(AND(F400="Closed",I400&lt;&gt;"",I400&gt;='Exec Summary'!$E$1,I400&lt;='Exec Summary'!$E$2),1,0)</f>
        <v>0</v>
      </c>
      <c r="U400" s="7" t="n">
        <f aca="false">IF(F400="Reopened",1,0)</f>
        <v>0</v>
      </c>
      <c r="V400" s="7" t="n">
        <f aca="false">IF(AND(R400=1,O400&gt;Q400),1,0)</f>
        <v>1</v>
      </c>
      <c r="W400" s="7" t="n">
        <f aca="false">IF(AND(T400=1,P400&lt;&gt;"",P400&lt;=Q400),1,0)</f>
        <v>0</v>
      </c>
    </row>
    <row r="401" customFormat="false" ht="15" hidden="false" customHeight="false" outlineLevel="0" collapsed="false">
      <c r="A401" s="7" t="s">
        <v>564</v>
      </c>
      <c r="B401" s="7" t="s">
        <v>46</v>
      </c>
      <c r="C401" s="7" t="s">
        <v>47</v>
      </c>
      <c r="D401" s="7" t="s">
        <v>84</v>
      </c>
      <c r="E401" s="7" t="s">
        <v>85</v>
      </c>
      <c r="F401" s="7" t="s">
        <v>50</v>
      </c>
      <c r="G401" s="7" t="s">
        <v>20</v>
      </c>
      <c r="H401" s="9" t="n">
        <v>46074</v>
      </c>
      <c r="I401" s="9" t="n">
        <v>46101</v>
      </c>
      <c r="J401" s="7" t="n">
        <v>7.5</v>
      </c>
      <c r="K401" s="7" t="s">
        <v>482</v>
      </c>
      <c r="L401" s="7" t="s">
        <v>20</v>
      </c>
      <c r="M401" s="7" t="s">
        <v>572</v>
      </c>
      <c r="N401" s="7" t="s">
        <v>53</v>
      </c>
      <c r="O401" s="10" t="n">
        <f aca="false">'Exec Summary'!$E$2-H401</f>
        <v>160</v>
      </c>
      <c r="P401" s="10" t="n">
        <f aca="false">IF(I401="","",I401-H401)</f>
        <v>27</v>
      </c>
      <c r="Q401" s="10" t="n">
        <f aca="false">VLOOKUP(G401,$AA$2:$AB$5,2,FALSE())</f>
        <v>30</v>
      </c>
      <c r="R401" s="7" t="n">
        <f aca="false">IF(OR(F401="Open",F401="Reopened"),1,0)</f>
        <v>0</v>
      </c>
      <c r="S401" s="7" t="n">
        <f aca="false">IF(AND(H401&gt;='Exec Summary'!$E$1,H401&lt;='Exec Summary'!$E$2),1,0)</f>
        <v>0</v>
      </c>
      <c r="T401" s="7" t="n">
        <f aca="false">IF(AND(F401="Closed",I401&lt;&gt;"",I401&gt;='Exec Summary'!$E$1,I401&lt;='Exec Summary'!$E$2),1,0)</f>
        <v>0</v>
      </c>
      <c r="U401" s="7" t="n">
        <f aca="false">IF(F401="Reopened",1,0)</f>
        <v>0</v>
      </c>
      <c r="V401" s="7" t="n">
        <f aca="false">IF(AND(R401=1,O401&gt;Q401),1,0)</f>
        <v>0</v>
      </c>
      <c r="W401" s="7" t="n">
        <f aca="false">IF(AND(T401=1,P401&lt;&gt;"",P401&lt;=Q401),1,0)</f>
        <v>0</v>
      </c>
    </row>
    <row r="402" customFormat="false" ht="15" hidden="false" customHeight="false" outlineLevel="0" collapsed="false">
      <c r="A402" s="7" t="s">
        <v>564</v>
      </c>
      <c r="B402" s="7" t="s">
        <v>46</v>
      </c>
      <c r="C402" s="7" t="s">
        <v>47</v>
      </c>
      <c r="D402" s="7" t="s">
        <v>210</v>
      </c>
      <c r="E402" s="7" t="s">
        <v>211</v>
      </c>
      <c r="F402" s="7" t="s">
        <v>56</v>
      </c>
      <c r="G402" s="7" t="s">
        <v>19</v>
      </c>
      <c r="H402" s="9" t="n">
        <v>46127</v>
      </c>
      <c r="I402" s="9"/>
      <c r="J402" s="7" t="n">
        <v>9.8</v>
      </c>
      <c r="K402" s="7" t="s">
        <v>482</v>
      </c>
      <c r="L402" s="7" t="s">
        <v>20</v>
      </c>
      <c r="M402" s="7" t="s">
        <v>573</v>
      </c>
      <c r="N402" s="7" t="s">
        <v>58</v>
      </c>
      <c r="O402" s="10" t="n">
        <f aca="false">'Exec Summary'!$E$2-H402</f>
        <v>107</v>
      </c>
      <c r="P402" s="10" t="str">
        <f aca="false">IF(I402="","",I402-H402)</f>
        <v/>
      </c>
      <c r="Q402" s="10" t="n">
        <f aca="false">VLOOKUP(G402,$AA$2:$AB$5,2,FALSE())</f>
        <v>15</v>
      </c>
      <c r="R402" s="7" t="n">
        <f aca="false">IF(OR(F402="Open",F402="Reopened"),1,0)</f>
        <v>1</v>
      </c>
      <c r="S402" s="7" t="n">
        <f aca="false">IF(AND(H402&gt;='Exec Summary'!$E$1,H402&lt;='Exec Summary'!$E$2),1,0)</f>
        <v>0</v>
      </c>
      <c r="T402" s="7" t="n">
        <f aca="false">IF(AND(F402="Closed",I402&lt;&gt;"",I402&gt;='Exec Summary'!$E$1,I402&lt;='Exec Summary'!$E$2),1,0)</f>
        <v>0</v>
      </c>
      <c r="U402" s="7" t="n">
        <f aca="false">IF(F402="Reopened",1,0)</f>
        <v>0</v>
      </c>
      <c r="V402" s="7" t="n">
        <f aca="false">IF(AND(R402=1,O402&gt;Q402),1,0)</f>
        <v>1</v>
      </c>
      <c r="W402" s="7" t="n">
        <f aca="false">IF(AND(T402=1,P402&lt;&gt;"",P402&lt;=Q402),1,0)</f>
        <v>0</v>
      </c>
    </row>
    <row r="403" customFormat="false" ht="15" hidden="false" customHeight="false" outlineLevel="0" collapsed="false">
      <c r="A403" s="7" t="s">
        <v>574</v>
      </c>
      <c r="B403" s="7" t="s">
        <v>46</v>
      </c>
      <c r="C403" s="7" t="s">
        <v>47</v>
      </c>
      <c r="D403" s="7" t="s">
        <v>166</v>
      </c>
      <c r="E403" s="7" t="s">
        <v>167</v>
      </c>
      <c r="F403" s="7" t="s">
        <v>50</v>
      </c>
      <c r="G403" s="7" t="s">
        <v>19</v>
      </c>
      <c r="H403" s="9" t="n">
        <v>46021</v>
      </c>
      <c r="I403" s="9" t="n">
        <v>46032</v>
      </c>
      <c r="J403" s="7" t="n">
        <v>9.8</v>
      </c>
      <c r="K403" s="7" t="s">
        <v>482</v>
      </c>
      <c r="L403" s="7" t="s">
        <v>20</v>
      </c>
      <c r="M403" s="7" t="s">
        <v>575</v>
      </c>
      <c r="N403" s="7" t="s">
        <v>58</v>
      </c>
      <c r="O403" s="10" t="n">
        <f aca="false">'Exec Summary'!$E$2-H403</f>
        <v>213</v>
      </c>
      <c r="P403" s="10" t="n">
        <f aca="false">IF(I403="","",I403-H403)</f>
        <v>11</v>
      </c>
      <c r="Q403" s="10" t="n">
        <f aca="false">VLOOKUP(G403,$AA$2:$AB$5,2,FALSE())</f>
        <v>15</v>
      </c>
      <c r="R403" s="7" t="n">
        <f aca="false">IF(OR(F403="Open",F403="Reopened"),1,0)</f>
        <v>0</v>
      </c>
      <c r="S403" s="7" t="n">
        <f aca="false">IF(AND(H403&gt;='Exec Summary'!$E$1,H403&lt;='Exec Summary'!$E$2),1,0)</f>
        <v>0</v>
      </c>
      <c r="T403" s="7" t="n">
        <f aca="false">IF(AND(F403="Closed",I403&lt;&gt;"",I403&gt;='Exec Summary'!$E$1,I403&lt;='Exec Summary'!$E$2),1,0)</f>
        <v>0</v>
      </c>
      <c r="U403" s="7" t="n">
        <f aca="false">IF(F403="Reopened",1,0)</f>
        <v>0</v>
      </c>
      <c r="V403" s="7" t="n">
        <f aca="false">IF(AND(R403=1,O403&gt;Q403),1,0)</f>
        <v>0</v>
      </c>
      <c r="W403" s="7" t="n">
        <f aca="false">IF(AND(T403=1,P403&lt;&gt;"",P403&lt;=Q403),1,0)</f>
        <v>0</v>
      </c>
    </row>
    <row r="404" customFormat="false" ht="15" hidden="false" customHeight="false" outlineLevel="0" collapsed="false">
      <c r="A404" s="7" t="s">
        <v>574</v>
      </c>
      <c r="B404" s="7" t="s">
        <v>46</v>
      </c>
      <c r="C404" s="7" t="s">
        <v>47</v>
      </c>
      <c r="D404" s="7" t="s">
        <v>173</v>
      </c>
      <c r="E404" s="7" t="s">
        <v>174</v>
      </c>
      <c r="F404" s="7" t="s">
        <v>56</v>
      </c>
      <c r="G404" s="7" t="s">
        <v>19</v>
      </c>
      <c r="H404" s="9" t="n">
        <v>46216</v>
      </c>
      <c r="I404" s="9"/>
      <c r="J404" s="7" t="n">
        <v>9.8</v>
      </c>
      <c r="K404" s="7" t="s">
        <v>482</v>
      </c>
      <c r="L404" s="7" t="s">
        <v>20</v>
      </c>
      <c r="M404" s="7" t="s">
        <v>576</v>
      </c>
      <c r="N404" s="7" t="s">
        <v>58</v>
      </c>
      <c r="O404" s="10" t="n">
        <f aca="false">'Exec Summary'!$E$2-H404</f>
        <v>18</v>
      </c>
      <c r="P404" s="10" t="str">
        <f aca="false">IF(I404="","",I404-H404)</f>
        <v/>
      </c>
      <c r="Q404" s="10" t="n">
        <f aca="false">VLOOKUP(G404,$AA$2:$AB$5,2,FALSE())</f>
        <v>15</v>
      </c>
      <c r="R404" s="7" t="n">
        <f aca="false">IF(OR(F404="Open",F404="Reopened"),1,0)</f>
        <v>1</v>
      </c>
      <c r="S404" s="7" t="n">
        <f aca="false">IF(AND(H404&gt;='Exec Summary'!$E$1,H404&lt;='Exec Summary'!$E$2),1,0)</f>
        <v>1</v>
      </c>
      <c r="T404" s="7" t="n">
        <f aca="false">IF(AND(F404="Closed",I404&lt;&gt;"",I404&gt;='Exec Summary'!$E$1,I404&lt;='Exec Summary'!$E$2),1,0)</f>
        <v>0</v>
      </c>
      <c r="U404" s="7" t="n">
        <f aca="false">IF(F404="Reopened",1,0)</f>
        <v>0</v>
      </c>
      <c r="V404" s="7" t="n">
        <f aca="false">IF(AND(R404=1,O404&gt;Q404),1,0)</f>
        <v>1</v>
      </c>
      <c r="W404" s="7" t="n">
        <f aca="false">IF(AND(T404=1,P404&lt;&gt;"",P404&lt;=Q404),1,0)</f>
        <v>0</v>
      </c>
    </row>
    <row r="405" customFormat="false" ht="15" hidden="false" customHeight="false" outlineLevel="0" collapsed="false">
      <c r="A405" s="7" t="s">
        <v>574</v>
      </c>
      <c r="B405" s="7" t="s">
        <v>46</v>
      </c>
      <c r="C405" s="7" t="s">
        <v>47</v>
      </c>
      <c r="D405" s="7" t="s">
        <v>71</v>
      </c>
      <c r="E405" s="7" t="s">
        <v>72</v>
      </c>
      <c r="F405" s="7" t="s">
        <v>56</v>
      </c>
      <c r="G405" s="7" t="s">
        <v>19</v>
      </c>
      <c r="H405" s="9" t="n">
        <v>46178</v>
      </c>
      <c r="I405" s="9"/>
      <c r="J405" s="7" t="n">
        <v>9.8</v>
      </c>
      <c r="K405" s="7" t="s">
        <v>482</v>
      </c>
      <c r="L405" s="7" t="s">
        <v>20</v>
      </c>
      <c r="M405" s="7" t="s">
        <v>577</v>
      </c>
      <c r="N405" s="7" t="s">
        <v>58</v>
      </c>
      <c r="O405" s="10" t="n">
        <f aca="false">'Exec Summary'!$E$2-H405</f>
        <v>56</v>
      </c>
      <c r="P405" s="10" t="str">
        <f aca="false">IF(I405="","",I405-H405)</f>
        <v/>
      </c>
      <c r="Q405" s="10" t="n">
        <f aca="false">VLOOKUP(G405,$AA$2:$AB$5,2,FALSE())</f>
        <v>15</v>
      </c>
      <c r="R405" s="7" t="n">
        <f aca="false">IF(OR(F405="Open",F405="Reopened"),1,0)</f>
        <v>1</v>
      </c>
      <c r="S405" s="7" t="n">
        <f aca="false">IF(AND(H405&gt;='Exec Summary'!$E$1,H405&lt;='Exec Summary'!$E$2),1,0)</f>
        <v>0</v>
      </c>
      <c r="T405" s="7" t="n">
        <f aca="false">IF(AND(F405="Closed",I405&lt;&gt;"",I405&gt;='Exec Summary'!$E$1,I405&lt;='Exec Summary'!$E$2),1,0)</f>
        <v>0</v>
      </c>
      <c r="U405" s="7" t="n">
        <f aca="false">IF(F405="Reopened",1,0)</f>
        <v>0</v>
      </c>
      <c r="V405" s="7" t="n">
        <f aca="false">IF(AND(R405=1,O405&gt;Q405),1,0)</f>
        <v>1</v>
      </c>
      <c r="W405" s="7" t="n">
        <f aca="false">IF(AND(T405=1,P405&lt;&gt;"",P405&lt;=Q405),1,0)</f>
        <v>0</v>
      </c>
    </row>
    <row r="406" customFormat="false" ht="15" hidden="false" customHeight="false" outlineLevel="0" collapsed="false">
      <c r="A406" s="7" t="s">
        <v>574</v>
      </c>
      <c r="B406" s="7" t="s">
        <v>46</v>
      </c>
      <c r="C406" s="7" t="s">
        <v>47</v>
      </c>
      <c r="D406" s="7" t="s">
        <v>87</v>
      </c>
      <c r="E406" s="7" t="s">
        <v>88</v>
      </c>
      <c r="F406" s="7" t="s">
        <v>56</v>
      </c>
      <c r="G406" s="7" t="s">
        <v>19</v>
      </c>
      <c r="H406" s="9" t="n">
        <v>45938</v>
      </c>
      <c r="I406" s="9"/>
      <c r="J406" s="7" t="n">
        <v>10</v>
      </c>
      <c r="K406" s="7" t="s">
        <v>482</v>
      </c>
      <c r="L406" s="7" t="s">
        <v>20</v>
      </c>
      <c r="M406" s="7" t="s">
        <v>578</v>
      </c>
      <c r="N406" s="7" t="s">
        <v>58</v>
      </c>
      <c r="O406" s="10" t="n">
        <f aca="false">'Exec Summary'!$E$2-H406</f>
        <v>296</v>
      </c>
      <c r="P406" s="10" t="str">
        <f aca="false">IF(I406="","",I406-H406)</f>
        <v/>
      </c>
      <c r="Q406" s="10" t="n">
        <f aca="false">VLOOKUP(G406,$AA$2:$AB$5,2,FALSE())</f>
        <v>15</v>
      </c>
      <c r="R406" s="7" t="n">
        <f aca="false">IF(OR(F406="Open",F406="Reopened"),1,0)</f>
        <v>1</v>
      </c>
      <c r="S406" s="7" t="n">
        <f aca="false">IF(AND(H406&gt;='Exec Summary'!$E$1,H406&lt;='Exec Summary'!$E$2),1,0)</f>
        <v>0</v>
      </c>
      <c r="T406" s="7" t="n">
        <f aca="false">IF(AND(F406="Closed",I406&lt;&gt;"",I406&gt;='Exec Summary'!$E$1,I406&lt;='Exec Summary'!$E$2),1,0)</f>
        <v>0</v>
      </c>
      <c r="U406" s="7" t="n">
        <f aca="false">IF(F406="Reopened",1,0)</f>
        <v>0</v>
      </c>
      <c r="V406" s="7" t="n">
        <f aca="false">IF(AND(R406=1,O406&gt;Q406),1,0)</f>
        <v>1</v>
      </c>
      <c r="W406" s="7" t="n">
        <f aca="false">IF(AND(T406=1,P406&lt;&gt;"",P406&lt;=Q406),1,0)</f>
        <v>0</v>
      </c>
    </row>
    <row r="407" customFormat="false" ht="15" hidden="false" customHeight="false" outlineLevel="0" collapsed="false">
      <c r="A407" s="7" t="s">
        <v>574</v>
      </c>
      <c r="B407" s="7" t="s">
        <v>46</v>
      </c>
      <c r="C407" s="7" t="s">
        <v>47</v>
      </c>
      <c r="D407" s="7" t="s">
        <v>91</v>
      </c>
      <c r="E407" s="7" t="s">
        <v>92</v>
      </c>
      <c r="F407" s="7" t="s">
        <v>50</v>
      </c>
      <c r="G407" s="7" t="s">
        <v>20</v>
      </c>
      <c r="H407" s="9" t="n">
        <v>45998</v>
      </c>
      <c r="I407" s="9" t="n">
        <v>46011</v>
      </c>
      <c r="J407" s="7" t="n">
        <v>8.1</v>
      </c>
      <c r="K407" s="7" t="s">
        <v>482</v>
      </c>
      <c r="L407" s="7" t="s">
        <v>20</v>
      </c>
      <c r="M407" s="7" t="s">
        <v>579</v>
      </c>
      <c r="N407" s="7" t="s">
        <v>53</v>
      </c>
      <c r="O407" s="10" t="n">
        <f aca="false">'Exec Summary'!$E$2-H407</f>
        <v>236</v>
      </c>
      <c r="P407" s="10" t="n">
        <f aca="false">IF(I407="","",I407-H407)</f>
        <v>13</v>
      </c>
      <c r="Q407" s="10" t="n">
        <f aca="false">VLOOKUP(G407,$AA$2:$AB$5,2,FALSE())</f>
        <v>30</v>
      </c>
      <c r="R407" s="7" t="n">
        <f aca="false">IF(OR(F407="Open",F407="Reopened"),1,0)</f>
        <v>0</v>
      </c>
      <c r="S407" s="7" t="n">
        <f aca="false">IF(AND(H407&gt;='Exec Summary'!$E$1,H407&lt;='Exec Summary'!$E$2),1,0)</f>
        <v>0</v>
      </c>
      <c r="T407" s="7" t="n">
        <f aca="false">IF(AND(F407="Closed",I407&lt;&gt;"",I407&gt;='Exec Summary'!$E$1,I407&lt;='Exec Summary'!$E$2),1,0)</f>
        <v>0</v>
      </c>
      <c r="U407" s="7" t="n">
        <f aca="false">IF(F407="Reopened",1,0)</f>
        <v>0</v>
      </c>
      <c r="V407" s="7" t="n">
        <f aca="false">IF(AND(R407=1,O407&gt;Q407),1,0)</f>
        <v>0</v>
      </c>
      <c r="W407" s="7" t="n">
        <f aca="false">IF(AND(T407=1,P407&lt;&gt;"",P407&lt;=Q407),1,0)</f>
        <v>0</v>
      </c>
    </row>
    <row r="408" customFormat="false" ht="15" hidden="false" customHeight="false" outlineLevel="0" collapsed="false">
      <c r="A408" s="7" t="s">
        <v>574</v>
      </c>
      <c r="B408" s="7" t="s">
        <v>46</v>
      </c>
      <c r="C408" s="7" t="s">
        <v>47</v>
      </c>
      <c r="D408" s="7" t="s">
        <v>95</v>
      </c>
      <c r="E408" s="7" t="s">
        <v>96</v>
      </c>
      <c r="F408" s="7" t="s">
        <v>56</v>
      </c>
      <c r="G408" s="7" t="s">
        <v>20</v>
      </c>
      <c r="H408" s="9" t="n">
        <v>45961</v>
      </c>
      <c r="I408" s="9"/>
      <c r="J408" s="7" t="n">
        <v>8.8</v>
      </c>
      <c r="K408" s="7" t="s">
        <v>482</v>
      </c>
      <c r="L408" s="7" t="s">
        <v>20</v>
      </c>
      <c r="M408" s="7" t="s">
        <v>580</v>
      </c>
      <c r="N408" s="7" t="s">
        <v>53</v>
      </c>
      <c r="O408" s="10" t="n">
        <f aca="false">'Exec Summary'!$E$2-H408</f>
        <v>273</v>
      </c>
      <c r="P408" s="10" t="str">
        <f aca="false">IF(I408="","",I408-H408)</f>
        <v/>
      </c>
      <c r="Q408" s="10" t="n">
        <f aca="false">VLOOKUP(G408,$AA$2:$AB$5,2,FALSE())</f>
        <v>30</v>
      </c>
      <c r="R408" s="7" t="n">
        <f aca="false">IF(OR(F408="Open",F408="Reopened"),1,0)</f>
        <v>1</v>
      </c>
      <c r="S408" s="7" t="n">
        <f aca="false">IF(AND(H408&gt;='Exec Summary'!$E$1,H408&lt;='Exec Summary'!$E$2),1,0)</f>
        <v>0</v>
      </c>
      <c r="T408" s="7" t="n">
        <f aca="false">IF(AND(F408="Closed",I408&lt;&gt;"",I408&gt;='Exec Summary'!$E$1,I408&lt;='Exec Summary'!$E$2),1,0)</f>
        <v>0</v>
      </c>
      <c r="U408" s="7" t="n">
        <f aca="false">IF(F408="Reopened",1,0)</f>
        <v>0</v>
      </c>
      <c r="V408" s="7" t="n">
        <f aca="false">IF(AND(R408=1,O408&gt;Q408),1,0)</f>
        <v>1</v>
      </c>
      <c r="W408" s="7" t="n">
        <f aca="false">IF(AND(T408=1,P408&lt;&gt;"",P408&lt;=Q408),1,0)</f>
        <v>0</v>
      </c>
    </row>
    <row r="409" customFormat="false" ht="15" hidden="false" customHeight="false" outlineLevel="0" collapsed="false">
      <c r="A409" s="7" t="s">
        <v>574</v>
      </c>
      <c r="B409" s="7" t="s">
        <v>46</v>
      </c>
      <c r="C409" s="7" t="s">
        <v>47</v>
      </c>
      <c r="D409" s="7" t="s">
        <v>65</v>
      </c>
      <c r="E409" s="7" t="s">
        <v>66</v>
      </c>
      <c r="F409" s="7" t="s">
        <v>56</v>
      </c>
      <c r="G409" s="7" t="s">
        <v>19</v>
      </c>
      <c r="H409" s="9" t="n">
        <v>46061</v>
      </c>
      <c r="I409" s="9"/>
      <c r="J409" s="7" t="n">
        <v>9.8</v>
      </c>
      <c r="K409" s="7" t="s">
        <v>482</v>
      </c>
      <c r="L409" s="7" t="s">
        <v>20</v>
      </c>
      <c r="M409" s="7" t="s">
        <v>581</v>
      </c>
      <c r="N409" s="7" t="s">
        <v>58</v>
      </c>
      <c r="O409" s="10" t="n">
        <f aca="false">'Exec Summary'!$E$2-H409</f>
        <v>173</v>
      </c>
      <c r="P409" s="10" t="str">
        <f aca="false">IF(I409="","",I409-H409)</f>
        <v/>
      </c>
      <c r="Q409" s="10" t="n">
        <f aca="false">VLOOKUP(G409,$AA$2:$AB$5,2,FALSE())</f>
        <v>15</v>
      </c>
      <c r="R409" s="7" t="n">
        <f aca="false">IF(OR(F409="Open",F409="Reopened"),1,0)</f>
        <v>1</v>
      </c>
      <c r="S409" s="7" t="n">
        <f aca="false">IF(AND(H409&gt;='Exec Summary'!$E$1,H409&lt;='Exec Summary'!$E$2),1,0)</f>
        <v>0</v>
      </c>
      <c r="T409" s="7" t="n">
        <f aca="false">IF(AND(F409="Closed",I409&lt;&gt;"",I409&gt;='Exec Summary'!$E$1,I409&lt;='Exec Summary'!$E$2),1,0)</f>
        <v>0</v>
      </c>
      <c r="U409" s="7" t="n">
        <f aca="false">IF(F409="Reopened",1,0)</f>
        <v>0</v>
      </c>
      <c r="V409" s="7" t="n">
        <f aca="false">IF(AND(R409=1,O409&gt;Q409),1,0)</f>
        <v>1</v>
      </c>
      <c r="W409" s="7" t="n">
        <f aca="false">IF(AND(T409=1,P409&lt;&gt;"",P409&lt;=Q409),1,0)</f>
        <v>0</v>
      </c>
    </row>
    <row r="410" customFormat="false" ht="15" hidden="false" customHeight="false" outlineLevel="0" collapsed="false">
      <c r="A410" s="7" t="s">
        <v>574</v>
      </c>
      <c r="B410" s="7" t="s">
        <v>46</v>
      </c>
      <c r="C410" s="7" t="s">
        <v>47</v>
      </c>
      <c r="D410" s="7" t="s">
        <v>131</v>
      </c>
      <c r="E410" s="7" t="s">
        <v>132</v>
      </c>
      <c r="F410" s="7" t="s">
        <v>50</v>
      </c>
      <c r="G410" s="7" t="s">
        <v>19</v>
      </c>
      <c r="H410" s="9" t="n">
        <v>46168</v>
      </c>
      <c r="I410" s="9" t="n">
        <v>46191</v>
      </c>
      <c r="J410" s="7" t="n">
        <v>9.8</v>
      </c>
      <c r="K410" s="7" t="s">
        <v>482</v>
      </c>
      <c r="L410" s="7" t="s">
        <v>20</v>
      </c>
      <c r="M410" s="7" t="s">
        <v>582</v>
      </c>
      <c r="N410" s="7" t="s">
        <v>58</v>
      </c>
      <c r="O410" s="10" t="n">
        <f aca="false">'Exec Summary'!$E$2-H410</f>
        <v>66</v>
      </c>
      <c r="P410" s="10" t="n">
        <f aca="false">IF(I410="","",I410-H410)</f>
        <v>23</v>
      </c>
      <c r="Q410" s="10" t="n">
        <f aca="false">VLOOKUP(G410,$AA$2:$AB$5,2,FALSE())</f>
        <v>15</v>
      </c>
      <c r="R410" s="7" t="n">
        <f aca="false">IF(OR(F410="Open",F410="Reopened"),1,0)</f>
        <v>0</v>
      </c>
      <c r="S410" s="7" t="n">
        <f aca="false">IF(AND(H410&gt;='Exec Summary'!$E$1,H410&lt;='Exec Summary'!$E$2),1,0)</f>
        <v>0</v>
      </c>
      <c r="T410" s="7" t="n">
        <f aca="false">IF(AND(F410="Closed",I410&lt;&gt;"",I410&gt;='Exec Summary'!$E$1,I410&lt;='Exec Summary'!$E$2),1,0)</f>
        <v>0</v>
      </c>
      <c r="U410" s="7" t="n">
        <f aca="false">IF(F410="Reopened",1,0)</f>
        <v>0</v>
      </c>
      <c r="V410" s="7" t="n">
        <f aca="false">IF(AND(R410=1,O410&gt;Q410),1,0)</f>
        <v>0</v>
      </c>
      <c r="W410" s="7" t="n">
        <f aca="false">IF(AND(T410=1,P410&lt;&gt;"",P410&lt;=Q410),1,0)</f>
        <v>0</v>
      </c>
    </row>
    <row r="411" customFormat="false" ht="15" hidden="false" customHeight="false" outlineLevel="0" collapsed="false">
      <c r="A411" s="7" t="s">
        <v>574</v>
      </c>
      <c r="B411" s="7" t="s">
        <v>46</v>
      </c>
      <c r="C411" s="7" t="s">
        <v>47</v>
      </c>
      <c r="D411" s="7" t="s">
        <v>192</v>
      </c>
      <c r="E411" s="7" t="s">
        <v>193</v>
      </c>
      <c r="F411" s="7" t="s">
        <v>50</v>
      </c>
      <c r="G411" s="7" t="s">
        <v>19</v>
      </c>
      <c r="H411" s="9" t="n">
        <v>46153</v>
      </c>
      <c r="I411" s="9" t="n">
        <v>46163</v>
      </c>
      <c r="J411" s="7" t="n">
        <v>9.8</v>
      </c>
      <c r="K411" s="7" t="s">
        <v>482</v>
      </c>
      <c r="L411" s="7" t="s">
        <v>20</v>
      </c>
      <c r="M411" s="7" t="s">
        <v>583</v>
      </c>
      <c r="N411" s="7" t="s">
        <v>58</v>
      </c>
      <c r="O411" s="10" t="n">
        <f aca="false">'Exec Summary'!$E$2-H411</f>
        <v>81</v>
      </c>
      <c r="P411" s="10" t="n">
        <f aca="false">IF(I411="","",I411-H411)</f>
        <v>10</v>
      </c>
      <c r="Q411" s="10" t="n">
        <f aca="false">VLOOKUP(G411,$AA$2:$AB$5,2,FALSE())</f>
        <v>15</v>
      </c>
      <c r="R411" s="7" t="n">
        <f aca="false">IF(OR(F411="Open",F411="Reopened"),1,0)</f>
        <v>0</v>
      </c>
      <c r="S411" s="7" t="n">
        <f aca="false">IF(AND(H411&gt;='Exec Summary'!$E$1,H411&lt;='Exec Summary'!$E$2),1,0)</f>
        <v>0</v>
      </c>
      <c r="T411" s="7" t="n">
        <f aca="false">IF(AND(F411="Closed",I411&lt;&gt;"",I411&gt;='Exec Summary'!$E$1,I411&lt;='Exec Summary'!$E$2),1,0)</f>
        <v>0</v>
      </c>
      <c r="U411" s="7" t="n">
        <f aca="false">IF(F411="Reopened",1,0)</f>
        <v>0</v>
      </c>
      <c r="V411" s="7" t="n">
        <f aca="false">IF(AND(R411=1,O411&gt;Q411),1,0)</f>
        <v>0</v>
      </c>
      <c r="W411" s="7" t="n">
        <f aca="false">IF(AND(T411=1,P411&lt;&gt;"",P411&lt;=Q411),1,0)</f>
        <v>0</v>
      </c>
    </row>
    <row r="412" customFormat="false" ht="15" hidden="false" customHeight="false" outlineLevel="0" collapsed="false">
      <c r="A412" s="7" t="s">
        <v>584</v>
      </c>
      <c r="B412" s="7" t="s">
        <v>46</v>
      </c>
      <c r="C412" s="7" t="s">
        <v>158</v>
      </c>
      <c r="D412" s="7" t="s">
        <v>104</v>
      </c>
      <c r="E412" s="7" t="s">
        <v>105</v>
      </c>
      <c r="F412" s="7" t="s">
        <v>56</v>
      </c>
      <c r="G412" s="7" t="s">
        <v>19</v>
      </c>
      <c r="H412" s="9" t="n">
        <v>45973</v>
      </c>
      <c r="I412" s="9"/>
      <c r="J412" s="7" t="n">
        <v>9.8</v>
      </c>
      <c r="K412" s="7" t="s">
        <v>482</v>
      </c>
      <c r="L412" s="7" t="s">
        <v>22</v>
      </c>
      <c r="M412" s="7" t="s">
        <v>585</v>
      </c>
      <c r="N412" s="7" t="s">
        <v>58</v>
      </c>
      <c r="O412" s="10" t="n">
        <f aca="false">'Exec Summary'!$E$2-H412</f>
        <v>261</v>
      </c>
      <c r="P412" s="10" t="str">
        <f aca="false">IF(I412="","",I412-H412)</f>
        <v/>
      </c>
      <c r="Q412" s="10" t="n">
        <f aca="false">VLOOKUP(G412,$AA$2:$AB$5,2,FALSE())</f>
        <v>15</v>
      </c>
      <c r="R412" s="7" t="n">
        <f aca="false">IF(OR(F412="Open",F412="Reopened"),1,0)</f>
        <v>1</v>
      </c>
      <c r="S412" s="7" t="n">
        <f aca="false">IF(AND(H412&gt;='Exec Summary'!$E$1,H412&lt;='Exec Summary'!$E$2),1,0)</f>
        <v>0</v>
      </c>
      <c r="T412" s="7" t="n">
        <f aca="false">IF(AND(F412="Closed",I412&lt;&gt;"",I412&gt;='Exec Summary'!$E$1,I412&lt;='Exec Summary'!$E$2),1,0)</f>
        <v>0</v>
      </c>
      <c r="U412" s="7" t="n">
        <f aca="false">IF(F412="Reopened",1,0)</f>
        <v>0</v>
      </c>
      <c r="V412" s="7" t="n">
        <f aca="false">IF(AND(R412=1,O412&gt;Q412),1,0)</f>
        <v>1</v>
      </c>
      <c r="W412" s="7" t="n">
        <f aca="false">IF(AND(T412=1,P412&lt;&gt;"",P412&lt;=Q412),1,0)</f>
        <v>0</v>
      </c>
    </row>
    <row r="413" customFormat="false" ht="15" hidden="false" customHeight="false" outlineLevel="0" collapsed="false">
      <c r="A413" s="7" t="s">
        <v>584</v>
      </c>
      <c r="B413" s="7" t="s">
        <v>46</v>
      </c>
      <c r="C413" s="7" t="s">
        <v>158</v>
      </c>
      <c r="D413" s="7" t="s">
        <v>84</v>
      </c>
      <c r="E413" s="7" t="s">
        <v>85</v>
      </c>
      <c r="F413" s="7" t="s">
        <v>50</v>
      </c>
      <c r="G413" s="7" t="s">
        <v>20</v>
      </c>
      <c r="H413" s="9" t="n">
        <v>46018</v>
      </c>
      <c r="I413" s="9" t="n">
        <v>46050</v>
      </c>
      <c r="J413" s="7" t="n">
        <v>7.5</v>
      </c>
      <c r="K413" s="7" t="s">
        <v>482</v>
      </c>
      <c r="L413" s="7" t="s">
        <v>22</v>
      </c>
      <c r="M413" s="7" t="s">
        <v>586</v>
      </c>
      <c r="N413" s="7" t="s">
        <v>53</v>
      </c>
      <c r="O413" s="10" t="n">
        <f aca="false">'Exec Summary'!$E$2-H413</f>
        <v>216</v>
      </c>
      <c r="P413" s="10" t="n">
        <f aca="false">IF(I413="","",I413-H413)</f>
        <v>32</v>
      </c>
      <c r="Q413" s="10" t="n">
        <f aca="false">VLOOKUP(G413,$AA$2:$AB$5,2,FALSE())</f>
        <v>30</v>
      </c>
      <c r="R413" s="7" t="n">
        <f aca="false">IF(OR(F413="Open",F413="Reopened"),1,0)</f>
        <v>0</v>
      </c>
      <c r="S413" s="7" t="n">
        <f aca="false">IF(AND(H413&gt;='Exec Summary'!$E$1,H413&lt;='Exec Summary'!$E$2),1,0)</f>
        <v>0</v>
      </c>
      <c r="T413" s="7" t="n">
        <f aca="false">IF(AND(F413="Closed",I413&lt;&gt;"",I413&gt;='Exec Summary'!$E$1,I413&lt;='Exec Summary'!$E$2),1,0)</f>
        <v>0</v>
      </c>
      <c r="U413" s="7" t="n">
        <f aca="false">IF(F413="Reopened",1,0)</f>
        <v>0</v>
      </c>
      <c r="V413" s="7" t="n">
        <f aca="false">IF(AND(R413=1,O413&gt;Q413),1,0)</f>
        <v>0</v>
      </c>
      <c r="W413" s="7" t="n">
        <f aca="false">IF(AND(T413=1,P413&lt;&gt;"",P413&lt;=Q413),1,0)</f>
        <v>0</v>
      </c>
    </row>
    <row r="414" customFormat="false" ht="15" hidden="false" customHeight="false" outlineLevel="0" collapsed="false">
      <c r="A414" s="7" t="s">
        <v>587</v>
      </c>
      <c r="B414" s="7" t="s">
        <v>135</v>
      </c>
      <c r="C414" s="7" t="s">
        <v>136</v>
      </c>
      <c r="D414" s="7" t="s">
        <v>117</v>
      </c>
      <c r="E414" s="7" t="s">
        <v>118</v>
      </c>
      <c r="F414" s="7" t="s">
        <v>56</v>
      </c>
      <c r="G414" s="7" t="s">
        <v>19</v>
      </c>
      <c r="H414" s="9" t="n">
        <v>46207</v>
      </c>
      <c r="I414" s="9"/>
      <c r="J414" s="7" t="n">
        <v>10</v>
      </c>
      <c r="K414" s="7" t="s">
        <v>482</v>
      </c>
      <c r="L414" s="7" t="s">
        <v>20</v>
      </c>
      <c r="M414" s="7" t="s">
        <v>588</v>
      </c>
      <c r="N414" s="7" t="s">
        <v>58</v>
      </c>
      <c r="O414" s="10" t="n">
        <f aca="false">'Exec Summary'!$E$2-H414</f>
        <v>27</v>
      </c>
      <c r="P414" s="10" t="str">
        <f aca="false">IF(I414="","",I414-H414)</f>
        <v/>
      </c>
      <c r="Q414" s="10" t="n">
        <f aca="false">VLOOKUP(G414,$AA$2:$AB$5,2,FALSE())</f>
        <v>15</v>
      </c>
      <c r="R414" s="7" t="n">
        <f aca="false">IF(OR(F414="Open",F414="Reopened"),1,0)</f>
        <v>1</v>
      </c>
      <c r="S414" s="7" t="n">
        <f aca="false">IF(AND(H414&gt;='Exec Summary'!$E$1,H414&lt;='Exec Summary'!$E$2),1,0)</f>
        <v>1</v>
      </c>
      <c r="T414" s="7" t="n">
        <f aca="false">IF(AND(F414="Closed",I414&lt;&gt;"",I414&gt;='Exec Summary'!$E$1,I414&lt;='Exec Summary'!$E$2),1,0)</f>
        <v>0</v>
      </c>
      <c r="U414" s="7" t="n">
        <f aca="false">IF(F414="Reopened",1,0)</f>
        <v>0</v>
      </c>
      <c r="V414" s="7" t="n">
        <f aca="false">IF(AND(R414=1,O414&gt;Q414),1,0)</f>
        <v>1</v>
      </c>
      <c r="W414" s="7" t="n">
        <f aca="false">IF(AND(T414=1,P414&lt;&gt;"",P414&lt;=Q414),1,0)</f>
        <v>0</v>
      </c>
    </row>
    <row r="415" customFormat="false" ht="15" hidden="false" customHeight="false" outlineLevel="0" collapsed="false">
      <c r="A415" s="7" t="s">
        <v>587</v>
      </c>
      <c r="B415" s="7" t="s">
        <v>135</v>
      </c>
      <c r="C415" s="7" t="s">
        <v>136</v>
      </c>
      <c r="D415" s="7" t="s">
        <v>210</v>
      </c>
      <c r="E415" s="7" t="s">
        <v>211</v>
      </c>
      <c r="F415" s="7" t="s">
        <v>56</v>
      </c>
      <c r="G415" s="7" t="s">
        <v>19</v>
      </c>
      <c r="H415" s="9" t="n">
        <v>46204</v>
      </c>
      <c r="I415" s="9"/>
      <c r="J415" s="7" t="n">
        <v>9.8</v>
      </c>
      <c r="K415" s="7" t="s">
        <v>482</v>
      </c>
      <c r="L415" s="7" t="s">
        <v>20</v>
      </c>
      <c r="M415" s="7" t="s">
        <v>589</v>
      </c>
      <c r="N415" s="7" t="s">
        <v>58</v>
      </c>
      <c r="O415" s="10" t="n">
        <f aca="false">'Exec Summary'!$E$2-H415</f>
        <v>30</v>
      </c>
      <c r="P415" s="10" t="str">
        <f aca="false">IF(I415="","",I415-H415)</f>
        <v/>
      </c>
      <c r="Q415" s="10" t="n">
        <f aca="false">VLOOKUP(G415,$AA$2:$AB$5,2,FALSE())</f>
        <v>15</v>
      </c>
      <c r="R415" s="7" t="n">
        <f aca="false">IF(OR(F415="Open",F415="Reopened"),1,0)</f>
        <v>1</v>
      </c>
      <c r="S415" s="7" t="n">
        <f aca="false">IF(AND(H415&gt;='Exec Summary'!$E$1,H415&lt;='Exec Summary'!$E$2),1,0)</f>
        <v>1</v>
      </c>
      <c r="T415" s="7" t="n">
        <f aca="false">IF(AND(F415="Closed",I415&lt;&gt;"",I415&gt;='Exec Summary'!$E$1,I415&lt;='Exec Summary'!$E$2),1,0)</f>
        <v>0</v>
      </c>
      <c r="U415" s="7" t="n">
        <f aca="false">IF(F415="Reopened",1,0)</f>
        <v>0</v>
      </c>
      <c r="V415" s="7" t="n">
        <f aca="false">IF(AND(R415=1,O415&gt;Q415),1,0)</f>
        <v>1</v>
      </c>
      <c r="W415" s="7" t="n">
        <f aca="false">IF(AND(T415=1,P415&lt;&gt;"",P415&lt;=Q415),1,0)</f>
        <v>0</v>
      </c>
    </row>
    <row r="416" customFormat="false" ht="15" hidden="false" customHeight="false" outlineLevel="0" collapsed="false">
      <c r="A416" s="7" t="s">
        <v>587</v>
      </c>
      <c r="B416" s="7" t="s">
        <v>135</v>
      </c>
      <c r="C416" s="7" t="s">
        <v>136</v>
      </c>
      <c r="D416" s="7" t="s">
        <v>91</v>
      </c>
      <c r="E416" s="7" t="s">
        <v>92</v>
      </c>
      <c r="F416" s="7" t="s">
        <v>56</v>
      </c>
      <c r="G416" s="7" t="s">
        <v>20</v>
      </c>
      <c r="H416" s="9" t="n">
        <v>46163</v>
      </c>
      <c r="I416" s="9"/>
      <c r="J416" s="7" t="n">
        <v>8.1</v>
      </c>
      <c r="K416" s="7" t="s">
        <v>482</v>
      </c>
      <c r="L416" s="7" t="s">
        <v>20</v>
      </c>
      <c r="M416" s="7" t="s">
        <v>590</v>
      </c>
      <c r="N416" s="7" t="s">
        <v>53</v>
      </c>
      <c r="O416" s="10" t="n">
        <f aca="false">'Exec Summary'!$E$2-H416</f>
        <v>71</v>
      </c>
      <c r="P416" s="10" t="str">
        <f aca="false">IF(I416="","",I416-H416)</f>
        <v/>
      </c>
      <c r="Q416" s="10" t="n">
        <f aca="false">VLOOKUP(G416,$AA$2:$AB$5,2,FALSE())</f>
        <v>30</v>
      </c>
      <c r="R416" s="7" t="n">
        <f aca="false">IF(OR(F416="Open",F416="Reopened"),1,0)</f>
        <v>1</v>
      </c>
      <c r="S416" s="7" t="n">
        <f aca="false">IF(AND(H416&gt;='Exec Summary'!$E$1,H416&lt;='Exec Summary'!$E$2),1,0)</f>
        <v>0</v>
      </c>
      <c r="T416" s="7" t="n">
        <f aca="false">IF(AND(F416="Closed",I416&lt;&gt;"",I416&gt;='Exec Summary'!$E$1,I416&lt;='Exec Summary'!$E$2),1,0)</f>
        <v>0</v>
      </c>
      <c r="U416" s="7" t="n">
        <f aca="false">IF(F416="Reopened",1,0)</f>
        <v>0</v>
      </c>
      <c r="V416" s="7" t="n">
        <f aca="false">IF(AND(R416=1,O416&gt;Q416),1,0)</f>
        <v>1</v>
      </c>
      <c r="W416" s="7" t="n">
        <f aca="false">IF(AND(T416=1,P416&lt;&gt;"",P416&lt;=Q416),1,0)</f>
        <v>0</v>
      </c>
    </row>
    <row r="417" customFormat="false" ht="15" hidden="false" customHeight="false" outlineLevel="0" collapsed="false">
      <c r="A417" s="7" t="s">
        <v>587</v>
      </c>
      <c r="B417" s="7" t="s">
        <v>135</v>
      </c>
      <c r="C417" s="7" t="s">
        <v>136</v>
      </c>
      <c r="D417" s="7" t="s">
        <v>173</v>
      </c>
      <c r="E417" s="7" t="s">
        <v>174</v>
      </c>
      <c r="F417" s="7" t="s">
        <v>50</v>
      </c>
      <c r="G417" s="7" t="s">
        <v>19</v>
      </c>
      <c r="H417" s="9" t="n">
        <v>46049</v>
      </c>
      <c r="I417" s="9" t="n">
        <v>46063</v>
      </c>
      <c r="J417" s="7" t="n">
        <v>9.8</v>
      </c>
      <c r="K417" s="7" t="s">
        <v>482</v>
      </c>
      <c r="L417" s="7" t="s">
        <v>20</v>
      </c>
      <c r="M417" s="7" t="s">
        <v>591</v>
      </c>
      <c r="N417" s="7" t="s">
        <v>58</v>
      </c>
      <c r="O417" s="10" t="n">
        <f aca="false">'Exec Summary'!$E$2-H417</f>
        <v>185</v>
      </c>
      <c r="P417" s="10" t="n">
        <f aca="false">IF(I417="","",I417-H417)</f>
        <v>14</v>
      </c>
      <c r="Q417" s="10" t="n">
        <f aca="false">VLOOKUP(G417,$AA$2:$AB$5,2,FALSE())</f>
        <v>15</v>
      </c>
      <c r="R417" s="7" t="n">
        <f aca="false">IF(OR(F417="Open",F417="Reopened"),1,0)</f>
        <v>0</v>
      </c>
      <c r="S417" s="7" t="n">
        <f aca="false">IF(AND(H417&gt;='Exec Summary'!$E$1,H417&lt;='Exec Summary'!$E$2),1,0)</f>
        <v>0</v>
      </c>
      <c r="T417" s="7" t="n">
        <f aca="false">IF(AND(F417="Closed",I417&lt;&gt;"",I417&gt;='Exec Summary'!$E$1,I417&lt;='Exec Summary'!$E$2),1,0)</f>
        <v>0</v>
      </c>
      <c r="U417" s="7" t="n">
        <f aca="false">IF(F417="Reopened",1,0)</f>
        <v>0</v>
      </c>
      <c r="V417" s="7" t="n">
        <f aca="false">IF(AND(R417=1,O417&gt;Q417),1,0)</f>
        <v>0</v>
      </c>
      <c r="W417" s="7" t="n">
        <f aca="false">IF(AND(T417=1,P417&lt;&gt;"",P417&lt;=Q417),1,0)</f>
        <v>0</v>
      </c>
    </row>
    <row r="418" customFormat="false" ht="15" hidden="false" customHeight="false" outlineLevel="0" collapsed="false">
      <c r="A418" s="7" t="s">
        <v>587</v>
      </c>
      <c r="B418" s="7" t="s">
        <v>135</v>
      </c>
      <c r="C418" s="7" t="s">
        <v>136</v>
      </c>
      <c r="D418" s="7" t="s">
        <v>131</v>
      </c>
      <c r="E418" s="7" t="s">
        <v>132</v>
      </c>
      <c r="F418" s="7" t="s">
        <v>50</v>
      </c>
      <c r="G418" s="7" t="s">
        <v>19</v>
      </c>
      <c r="H418" s="9" t="n">
        <v>46197</v>
      </c>
      <c r="I418" s="9" t="n">
        <v>46215</v>
      </c>
      <c r="J418" s="7" t="n">
        <v>9.8</v>
      </c>
      <c r="K418" s="7" t="s">
        <v>482</v>
      </c>
      <c r="L418" s="7" t="s">
        <v>20</v>
      </c>
      <c r="M418" s="7" t="s">
        <v>592</v>
      </c>
      <c r="N418" s="7" t="s">
        <v>58</v>
      </c>
      <c r="O418" s="10" t="n">
        <f aca="false">'Exec Summary'!$E$2-H418</f>
        <v>37</v>
      </c>
      <c r="P418" s="10" t="n">
        <f aca="false">IF(I418="","",I418-H418)</f>
        <v>18</v>
      </c>
      <c r="Q418" s="10" t="n">
        <f aca="false">VLOOKUP(G418,$AA$2:$AB$5,2,FALSE())</f>
        <v>15</v>
      </c>
      <c r="R418" s="7" t="n">
        <f aca="false">IF(OR(F418="Open",F418="Reopened"),1,0)</f>
        <v>0</v>
      </c>
      <c r="S418" s="7" t="n">
        <f aca="false">IF(AND(H418&gt;='Exec Summary'!$E$1,H418&lt;='Exec Summary'!$E$2),1,0)</f>
        <v>0</v>
      </c>
      <c r="T418" s="7" t="n">
        <f aca="false">IF(AND(F418="Closed",I418&lt;&gt;"",I418&gt;='Exec Summary'!$E$1,I418&lt;='Exec Summary'!$E$2),1,0)</f>
        <v>1</v>
      </c>
      <c r="U418" s="7" t="n">
        <f aca="false">IF(F418="Reopened",1,0)</f>
        <v>0</v>
      </c>
      <c r="V418" s="7" t="n">
        <f aca="false">IF(AND(R418=1,O418&gt;Q418),1,0)</f>
        <v>0</v>
      </c>
      <c r="W418" s="7" t="n">
        <f aca="false">IF(AND(T418=1,P418&lt;&gt;"",P418&lt;=Q418),1,0)</f>
        <v>0</v>
      </c>
    </row>
    <row r="419" customFormat="false" ht="15" hidden="false" customHeight="false" outlineLevel="0" collapsed="false">
      <c r="A419" s="7" t="s">
        <v>587</v>
      </c>
      <c r="B419" s="7" t="s">
        <v>135</v>
      </c>
      <c r="C419" s="7" t="s">
        <v>136</v>
      </c>
      <c r="D419" s="7" t="s">
        <v>145</v>
      </c>
      <c r="E419" s="7" t="s">
        <v>146</v>
      </c>
      <c r="F419" s="7" t="s">
        <v>56</v>
      </c>
      <c r="G419" s="7" t="s">
        <v>19</v>
      </c>
      <c r="H419" s="9" t="n">
        <v>46107</v>
      </c>
      <c r="I419" s="9"/>
      <c r="J419" s="7" t="n">
        <v>9.8</v>
      </c>
      <c r="K419" s="7" t="s">
        <v>482</v>
      </c>
      <c r="L419" s="7" t="s">
        <v>20</v>
      </c>
      <c r="M419" s="7" t="s">
        <v>593</v>
      </c>
      <c r="N419" s="7" t="s">
        <v>58</v>
      </c>
      <c r="O419" s="10" t="n">
        <f aca="false">'Exec Summary'!$E$2-H419</f>
        <v>127</v>
      </c>
      <c r="P419" s="10" t="str">
        <f aca="false">IF(I419="","",I419-H419)</f>
        <v/>
      </c>
      <c r="Q419" s="10" t="n">
        <f aca="false">VLOOKUP(G419,$AA$2:$AB$5,2,FALSE())</f>
        <v>15</v>
      </c>
      <c r="R419" s="7" t="n">
        <f aca="false">IF(OR(F419="Open",F419="Reopened"),1,0)</f>
        <v>1</v>
      </c>
      <c r="S419" s="7" t="n">
        <f aca="false">IF(AND(H419&gt;='Exec Summary'!$E$1,H419&lt;='Exec Summary'!$E$2),1,0)</f>
        <v>0</v>
      </c>
      <c r="T419" s="7" t="n">
        <f aca="false">IF(AND(F419="Closed",I419&lt;&gt;"",I419&gt;='Exec Summary'!$E$1,I419&lt;='Exec Summary'!$E$2),1,0)</f>
        <v>0</v>
      </c>
      <c r="U419" s="7" t="n">
        <f aca="false">IF(F419="Reopened",1,0)</f>
        <v>0</v>
      </c>
      <c r="V419" s="7" t="n">
        <f aca="false">IF(AND(R419=1,O419&gt;Q419),1,0)</f>
        <v>1</v>
      </c>
      <c r="W419" s="7" t="n">
        <f aca="false">IF(AND(T419=1,P419&lt;&gt;"",P419&lt;=Q419),1,0)</f>
        <v>0</v>
      </c>
    </row>
    <row r="420" customFormat="false" ht="15" hidden="false" customHeight="false" outlineLevel="0" collapsed="false">
      <c r="A420" s="7" t="s">
        <v>587</v>
      </c>
      <c r="B420" s="7" t="s">
        <v>135</v>
      </c>
      <c r="C420" s="7" t="s">
        <v>136</v>
      </c>
      <c r="D420" s="7" t="s">
        <v>101</v>
      </c>
      <c r="E420" s="7" t="s">
        <v>102</v>
      </c>
      <c r="F420" s="7" t="s">
        <v>56</v>
      </c>
      <c r="G420" s="7" t="s">
        <v>19</v>
      </c>
      <c r="H420" s="9" t="n">
        <v>46210</v>
      </c>
      <c r="I420" s="9"/>
      <c r="J420" s="7" t="n">
        <v>10</v>
      </c>
      <c r="K420" s="7" t="s">
        <v>482</v>
      </c>
      <c r="L420" s="7" t="s">
        <v>20</v>
      </c>
      <c r="M420" s="7" t="s">
        <v>594</v>
      </c>
      <c r="N420" s="7" t="s">
        <v>58</v>
      </c>
      <c r="O420" s="10" t="n">
        <f aca="false">'Exec Summary'!$E$2-H420</f>
        <v>24</v>
      </c>
      <c r="P420" s="10" t="str">
        <f aca="false">IF(I420="","",I420-H420)</f>
        <v/>
      </c>
      <c r="Q420" s="10" t="n">
        <f aca="false">VLOOKUP(G420,$AA$2:$AB$5,2,FALSE())</f>
        <v>15</v>
      </c>
      <c r="R420" s="7" t="n">
        <f aca="false">IF(OR(F420="Open",F420="Reopened"),1,0)</f>
        <v>1</v>
      </c>
      <c r="S420" s="7" t="n">
        <f aca="false">IF(AND(H420&gt;='Exec Summary'!$E$1,H420&lt;='Exec Summary'!$E$2),1,0)</f>
        <v>1</v>
      </c>
      <c r="T420" s="7" t="n">
        <f aca="false">IF(AND(F420="Closed",I420&lt;&gt;"",I420&gt;='Exec Summary'!$E$1,I420&lt;='Exec Summary'!$E$2),1,0)</f>
        <v>0</v>
      </c>
      <c r="U420" s="7" t="n">
        <f aca="false">IF(F420="Reopened",1,0)</f>
        <v>0</v>
      </c>
      <c r="V420" s="7" t="n">
        <f aca="false">IF(AND(R420=1,O420&gt;Q420),1,0)</f>
        <v>1</v>
      </c>
      <c r="W420" s="7" t="n">
        <f aca="false">IF(AND(T420=1,P420&lt;&gt;"",P420&lt;=Q420),1,0)</f>
        <v>0</v>
      </c>
    </row>
    <row r="421" customFormat="false" ht="15" hidden="false" customHeight="false" outlineLevel="0" collapsed="false">
      <c r="A421" s="7" t="s">
        <v>587</v>
      </c>
      <c r="B421" s="7" t="s">
        <v>135</v>
      </c>
      <c r="C421" s="7" t="s">
        <v>136</v>
      </c>
      <c r="D421" s="7" t="s">
        <v>65</v>
      </c>
      <c r="E421" s="7" t="s">
        <v>66</v>
      </c>
      <c r="F421" s="7" t="s">
        <v>50</v>
      </c>
      <c r="G421" s="7" t="s">
        <v>19</v>
      </c>
      <c r="H421" s="9" t="n">
        <v>46082</v>
      </c>
      <c r="I421" s="9" t="n">
        <v>46095</v>
      </c>
      <c r="J421" s="7" t="n">
        <v>9.8</v>
      </c>
      <c r="K421" s="7" t="s">
        <v>482</v>
      </c>
      <c r="L421" s="7" t="s">
        <v>20</v>
      </c>
      <c r="M421" s="7" t="s">
        <v>595</v>
      </c>
      <c r="N421" s="7" t="s">
        <v>58</v>
      </c>
      <c r="O421" s="10" t="n">
        <f aca="false">'Exec Summary'!$E$2-H421</f>
        <v>152</v>
      </c>
      <c r="P421" s="10" t="n">
        <f aca="false">IF(I421="","",I421-H421)</f>
        <v>13</v>
      </c>
      <c r="Q421" s="10" t="n">
        <f aca="false">VLOOKUP(G421,$AA$2:$AB$5,2,FALSE())</f>
        <v>15</v>
      </c>
      <c r="R421" s="7" t="n">
        <f aca="false">IF(OR(F421="Open",F421="Reopened"),1,0)</f>
        <v>0</v>
      </c>
      <c r="S421" s="7" t="n">
        <f aca="false">IF(AND(H421&gt;='Exec Summary'!$E$1,H421&lt;='Exec Summary'!$E$2),1,0)</f>
        <v>0</v>
      </c>
      <c r="T421" s="7" t="n">
        <f aca="false">IF(AND(F421="Closed",I421&lt;&gt;"",I421&gt;='Exec Summary'!$E$1,I421&lt;='Exec Summary'!$E$2),1,0)</f>
        <v>0</v>
      </c>
      <c r="U421" s="7" t="n">
        <f aca="false">IF(F421="Reopened",1,0)</f>
        <v>0</v>
      </c>
      <c r="V421" s="7" t="n">
        <f aca="false">IF(AND(R421=1,O421&gt;Q421),1,0)</f>
        <v>0</v>
      </c>
      <c r="W421" s="7" t="n">
        <f aca="false">IF(AND(T421=1,P421&lt;&gt;"",P421&lt;=Q421),1,0)</f>
        <v>0</v>
      </c>
    </row>
    <row r="422" customFormat="false" ht="15" hidden="false" customHeight="false" outlineLevel="0" collapsed="false">
      <c r="A422" s="7" t="s">
        <v>587</v>
      </c>
      <c r="B422" s="7" t="s">
        <v>135</v>
      </c>
      <c r="C422" s="7" t="s">
        <v>136</v>
      </c>
      <c r="D422" s="7" t="s">
        <v>98</v>
      </c>
      <c r="E422" s="7" t="s">
        <v>99</v>
      </c>
      <c r="F422" s="7" t="s">
        <v>56</v>
      </c>
      <c r="G422" s="7" t="s">
        <v>19</v>
      </c>
      <c r="H422" s="9" t="n">
        <v>45935</v>
      </c>
      <c r="I422" s="9"/>
      <c r="J422" s="7" t="n">
        <v>10</v>
      </c>
      <c r="K422" s="7" t="s">
        <v>482</v>
      </c>
      <c r="L422" s="7" t="s">
        <v>20</v>
      </c>
      <c r="M422" s="7" t="s">
        <v>596</v>
      </c>
      <c r="N422" s="7" t="s">
        <v>58</v>
      </c>
      <c r="O422" s="10" t="n">
        <f aca="false">'Exec Summary'!$E$2-H422</f>
        <v>299</v>
      </c>
      <c r="P422" s="10" t="str">
        <f aca="false">IF(I422="","",I422-H422)</f>
        <v/>
      </c>
      <c r="Q422" s="10" t="n">
        <f aca="false">VLOOKUP(G422,$AA$2:$AB$5,2,FALSE())</f>
        <v>15</v>
      </c>
      <c r="R422" s="7" t="n">
        <f aca="false">IF(OR(F422="Open",F422="Reopened"),1,0)</f>
        <v>1</v>
      </c>
      <c r="S422" s="7" t="n">
        <f aca="false">IF(AND(H422&gt;='Exec Summary'!$E$1,H422&lt;='Exec Summary'!$E$2),1,0)</f>
        <v>0</v>
      </c>
      <c r="T422" s="7" t="n">
        <f aca="false">IF(AND(F422="Closed",I422&lt;&gt;"",I422&gt;='Exec Summary'!$E$1,I422&lt;='Exec Summary'!$E$2),1,0)</f>
        <v>0</v>
      </c>
      <c r="U422" s="7" t="n">
        <f aca="false">IF(F422="Reopened",1,0)</f>
        <v>0</v>
      </c>
      <c r="V422" s="7" t="n">
        <f aca="false">IF(AND(R422=1,O422&gt;Q422),1,0)</f>
        <v>1</v>
      </c>
      <c r="W422" s="7" t="n">
        <f aca="false">IF(AND(T422=1,P422&lt;&gt;"",P422&lt;=Q422),1,0)</f>
        <v>0</v>
      </c>
    </row>
    <row r="423" customFormat="false" ht="15" hidden="false" customHeight="false" outlineLevel="0" collapsed="false">
      <c r="A423" s="7" t="s">
        <v>587</v>
      </c>
      <c r="B423" s="7" t="s">
        <v>135</v>
      </c>
      <c r="C423" s="7" t="s">
        <v>136</v>
      </c>
      <c r="D423" s="7" t="s">
        <v>206</v>
      </c>
      <c r="E423" s="7" t="s">
        <v>207</v>
      </c>
      <c r="F423" s="7" t="s">
        <v>56</v>
      </c>
      <c r="G423" s="7" t="s">
        <v>20</v>
      </c>
      <c r="H423" s="9" t="n">
        <v>46045</v>
      </c>
      <c r="I423" s="9"/>
      <c r="J423" s="7" t="n">
        <v>8.8</v>
      </c>
      <c r="K423" s="7" t="s">
        <v>482</v>
      </c>
      <c r="L423" s="7" t="s">
        <v>20</v>
      </c>
      <c r="M423" s="7" t="s">
        <v>597</v>
      </c>
      <c r="N423" s="7" t="s">
        <v>53</v>
      </c>
      <c r="O423" s="10" t="n">
        <f aca="false">'Exec Summary'!$E$2-H423</f>
        <v>189</v>
      </c>
      <c r="P423" s="10" t="str">
        <f aca="false">IF(I423="","",I423-H423)</f>
        <v/>
      </c>
      <c r="Q423" s="10" t="n">
        <f aca="false">VLOOKUP(G423,$AA$2:$AB$5,2,FALSE())</f>
        <v>30</v>
      </c>
      <c r="R423" s="7" t="n">
        <f aca="false">IF(OR(F423="Open",F423="Reopened"),1,0)</f>
        <v>1</v>
      </c>
      <c r="S423" s="7" t="n">
        <f aca="false">IF(AND(H423&gt;='Exec Summary'!$E$1,H423&lt;='Exec Summary'!$E$2),1,0)</f>
        <v>0</v>
      </c>
      <c r="T423" s="7" t="n">
        <f aca="false">IF(AND(F423="Closed",I423&lt;&gt;"",I423&gt;='Exec Summary'!$E$1,I423&lt;='Exec Summary'!$E$2),1,0)</f>
        <v>0</v>
      </c>
      <c r="U423" s="7" t="n">
        <f aca="false">IF(F423="Reopened",1,0)</f>
        <v>0</v>
      </c>
      <c r="V423" s="7" t="n">
        <f aca="false">IF(AND(R423=1,O423&gt;Q423),1,0)</f>
        <v>1</v>
      </c>
      <c r="W423" s="7" t="n">
        <f aca="false">IF(AND(T423=1,P423&lt;&gt;"",P423&lt;=Q423),1,0)</f>
        <v>0</v>
      </c>
    </row>
    <row r="424" customFormat="false" ht="15" hidden="false" customHeight="false" outlineLevel="0" collapsed="false">
      <c r="A424" s="7" t="s">
        <v>587</v>
      </c>
      <c r="B424" s="7" t="s">
        <v>135</v>
      </c>
      <c r="C424" s="7" t="s">
        <v>136</v>
      </c>
      <c r="D424" s="7" t="s">
        <v>62</v>
      </c>
      <c r="E424" s="7" t="s">
        <v>63</v>
      </c>
      <c r="F424" s="7" t="s">
        <v>56</v>
      </c>
      <c r="G424" s="7" t="s">
        <v>20</v>
      </c>
      <c r="H424" s="9" t="n">
        <v>45952</v>
      </c>
      <c r="I424" s="9"/>
      <c r="J424" s="7" t="n">
        <v>8.1</v>
      </c>
      <c r="K424" s="7" t="s">
        <v>482</v>
      </c>
      <c r="L424" s="7" t="s">
        <v>20</v>
      </c>
      <c r="M424" s="7" t="s">
        <v>598</v>
      </c>
      <c r="N424" s="7" t="s">
        <v>53</v>
      </c>
      <c r="O424" s="10" t="n">
        <f aca="false">'Exec Summary'!$E$2-H424</f>
        <v>282</v>
      </c>
      <c r="P424" s="10" t="str">
        <f aca="false">IF(I424="","",I424-H424)</f>
        <v/>
      </c>
      <c r="Q424" s="10" t="n">
        <f aca="false">VLOOKUP(G424,$AA$2:$AB$5,2,FALSE())</f>
        <v>30</v>
      </c>
      <c r="R424" s="7" t="n">
        <f aca="false">IF(OR(F424="Open",F424="Reopened"),1,0)</f>
        <v>1</v>
      </c>
      <c r="S424" s="7" t="n">
        <f aca="false">IF(AND(H424&gt;='Exec Summary'!$E$1,H424&lt;='Exec Summary'!$E$2),1,0)</f>
        <v>0</v>
      </c>
      <c r="T424" s="7" t="n">
        <f aca="false">IF(AND(F424="Closed",I424&lt;&gt;"",I424&gt;='Exec Summary'!$E$1,I424&lt;='Exec Summary'!$E$2),1,0)</f>
        <v>0</v>
      </c>
      <c r="U424" s="7" t="n">
        <f aca="false">IF(F424="Reopened",1,0)</f>
        <v>0</v>
      </c>
      <c r="V424" s="7" t="n">
        <f aca="false">IF(AND(R424=1,O424&gt;Q424),1,0)</f>
        <v>1</v>
      </c>
      <c r="W424" s="7" t="n">
        <f aca="false">IF(AND(T424=1,P424&lt;&gt;"",P424&lt;=Q424),1,0)</f>
        <v>0</v>
      </c>
    </row>
    <row r="425" customFormat="false" ht="15" hidden="false" customHeight="false" outlineLevel="0" collapsed="false">
      <c r="A425" s="7" t="s">
        <v>599</v>
      </c>
      <c r="B425" s="7" t="s">
        <v>46</v>
      </c>
      <c r="C425" s="7" t="s">
        <v>158</v>
      </c>
      <c r="D425" s="7" t="s">
        <v>101</v>
      </c>
      <c r="E425" s="7" t="s">
        <v>102</v>
      </c>
      <c r="F425" s="7" t="s">
        <v>50</v>
      </c>
      <c r="G425" s="7" t="s">
        <v>19</v>
      </c>
      <c r="H425" s="9" t="n">
        <v>46029</v>
      </c>
      <c r="I425" s="9" t="n">
        <v>46047</v>
      </c>
      <c r="J425" s="7" t="n">
        <v>10</v>
      </c>
      <c r="K425" s="7" t="s">
        <v>482</v>
      </c>
      <c r="L425" s="7" t="s">
        <v>20</v>
      </c>
      <c r="M425" s="7" t="s">
        <v>600</v>
      </c>
      <c r="N425" s="7" t="s">
        <v>58</v>
      </c>
      <c r="O425" s="10" t="n">
        <f aca="false">'Exec Summary'!$E$2-H425</f>
        <v>205</v>
      </c>
      <c r="P425" s="10" t="n">
        <f aca="false">IF(I425="","",I425-H425)</f>
        <v>18</v>
      </c>
      <c r="Q425" s="10" t="n">
        <f aca="false">VLOOKUP(G425,$AA$2:$AB$5,2,FALSE())</f>
        <v>15</v>
      </c>
      <c r="R425" s="7" t="n">
        <f aca="false">IF(OR(F425="Open",F425="Reopened"),1,0)</f>
        <v>0</v>
      </c>
      <c r="S425" s="7" t="n">
        <f aca="false">IF(AND(H425&gt;='Exec Summary'!$E$1,H425&lt;='Exec Summary'!$E$2),1,0)</f>
        <v>0</v>
      </c>
      <c r="T425" s="7" t="n">
        <f aca="false">IF(AND(F425="Closed",I425&lt;&gt;"",I425&gt;='Exec Summary'!$E$1,I425&lt;='Exec Summary'!$E$2),1,0)</f>
        <v>0</v>
      </c>
      <c r="U425" s="7" t="n">
        <f aca="false">IF(F425="Reopened",1,0)</f>
        <v>0</v>
      </c>
      <c r="V425" s="7" t="n">
        <f aca="false">IF(AND(R425=1,O425&gt;Q425),1,0)</f>
        <v>0</v>
      </c>
      <c r="W425" s="7" t="n">
        <f aca="false">IF(AND(T425=1,P425&lt;&gt;"",P425&lt;=Q425),1,0)</f>
        <v>0</v>
      </c>
    </row>
    <row r="426" customFormat="false" ht="15" hidden="false" customHeight="false" outlineLevel="0" collapsed="false">
      <c r="A426" s="7" t="s">
        <v>599</v>
      </c>
      <c r="B426" s="7" t="s">
        <v>46</v>
      </c>
      <c r="C426" s="7" t="s">
        <v>158</v>
      </c>
      <c r="D426" s="7" t="s">
        <v>166</v>
      </c>
      <c r="E426" s="7" t="s">
        <v>167</v>
      </c>
      <c r="F426" s="7" t="s">
        <v>56</v>
      </c>
      <c r="G426" s="7" t="s">
        <v>19</v>
      </c>
      <c r="H426" s="9" t="n">
        <v>46197</v>
      </c>
      <c r="I426" s="9"/>
      <c r="J426" s="7" t="n">
        <v>9.8</v>
      </c>
      <c r="K426" s="7" t="s">
        <v>482</v>
      </c>
      <c r="L426" s="7" t="s">
        <v>20</v>
      </c>
      <c r="M426" s="7" t="s">
        <v>601</v>
      </c>
      <c r="N426" s="7" t="s">
        <v>58</v>
      </c>
      <c r="O426" s="10" t="n">
        <f aca="false">'Exec Summary'!$E$2-H426</f>
        <v>37</v>
      </c>
      <c r="P426" s="10" t="str">
        <f aca="false">IF(I426="","",I426-H426)</f>
        <v/>
      </c>
      <c r="Q426" s="10" t="n">
        <f aca="false">VLOOKUP(G426,$AA$2:$AB$5,2,FALSE())</f>
        <v>15</v>
      </c>
      <c r="R426" s="7" t="n">
        <f aca="false">IF(OR(F426="Open",F426="Reopened"),1,0)</f>
        <v>1</v>
      </c>
      <c r="S426" s="7" t="n">
        <f aca="false">IF(AND(H426&gt;='Exec Summary'!$E$1,H426&lt;='Exec Summary'!$E$2),1,0)</f>
        <v>0</v>
      </c>
      <c r="T426" s="7" t="n">
        <f aca="false">IF(AND(F426="Closed",I426&lt;&gt;"",I426&gt;='Exec Summary'!$E$1,I426&lt;='Exec Summary'!$E$2),1,0)</f>
        <v>0</v>
      </c>
      <c r="U426" s="7" t="n">
        <f aca="false">IF(F426="Reopened",1,0)</f>
        <v>0</v>
      </c>
      <c r="V426" s="7" t="n">
        <f aca="false">IF(AND(R426=1,O426&gt;Q426),1,0)</f>
        <v>1</v>
      </c>
      <c r="W426" s="7" t="n">
        <f aca="false">IF(AND(T426=1,P426&lt;&gt;"",P426&lt;=Q426),1,0)</f>
        <v>0</v>
      </c>
    </row>
    <row r="427" customFormat="false" ht="15" hidden="false" customHeight="false" outlineLevel="0" collapsed="false">
      <c r="A427" s="7" t="s">
        <v>602</v>
      </c>
      <c r="B427" s="7" t="s">
        <v>46</v>
      </c>
      <c r="C427" s="7" t="s">
        <v>177</v>
      </c>
      <c r="D427" s="7" t="s">
        <v>145</v>
      </c>
      <c r="E427" s="7" t="s">
        <v>146</v>
      </c>
      <c r="F427" s="7" t="s">
        <v>56</v>
      </c>
      <c r="G427" s="7" t="s">
        <v>19</v>
      </c>
      <c r="H427" s="9" t="n">
        <v>45989</v>
      </c>
      <c r="I427" s="9"/>
      <c r="J427" s="7" t="n">
        <v>9.8</v>
      </c>
      <c r="K427" s="7" t="s">
        <v>482</v>
      </c>
      <c r="L427" s="7" t="s">
        <v>20</v>
      </c>
      <c r="M427" s="7" t="s">
        <v>603</v>
      </c>
      <c r="N427" s="7" t="s">
        <v>58</v>
      </c>
      <c r="O427" s="10" t="n">
        <f aca="false">'Exec Summary'!$E$2-H427</f>
        <v>245</v>
      </c>
      <c r="P427" s="10" t="str">
        <f aca="false">IF(I427="","",I427-H427)</f>
        <v/>
      </c>
      <c r="Q427" s="10" t="n">
        <f aca="false">VLOOKUP(G427,$AA$2:$AB$5,2,FALSE())</f>
        <v>15</v>
      </c>
      <c r="R427" s="7" t="n">
        <f aca="false">IF(OR(F427="Open",F427="Reopened"),1,0)</f>
        <v>1</v>
      </c>
      <c r="S427" s="7" t="n">
        <f aca="false">IF(AND(H427&gt;='Exec Summary'!$E$1,H427&lt;='Exec Summary'!$E$2),1,0)</f>
        <v>0</v>
      </c>
      <c r="T427" s="7" t="n">
        <f aca="false">IF(AND(F427="Closed",I427&lt;&gt;"",I427&gt;='Exec Summary'!$E$1,I427&lt;='Exec Summary'!$E$2),1,0)</f>
        <v>0</v>
      </c>
      <c r="U427" s="7" t="n">
        <f aca="false">IF(F427="Reopened",1,0)</f>
        <v>0</v>
      </c>
      <c r="V427" s="7" t="n">
        <f aca="false">IF(AND(R427=1,O427&gt;Q427),1,0)</f>
        <v>1</v>
      </c>
      <c r="W427" s="7" t="n">
        <f aca="false">IF(AND(T427=1,P427&lt;&gt;"",P427&lt;=Q427),1,0)</f>
        <v>0</v>
      </c>
    </row>
    <row r="428" customFormat="false" ht="15" hidden="false" customHeight="false" outlineLevel="0" collapsed="false">
      <c r="A428" s="7" t="s">
        <v>602</v>
      </c>
      <c r="B428" s="7" t="s">
        <v>46</v>
      </c>
      <c r="C428" s="7" t="s">
        <v>177</v>
      </c>
      <c r="D428" s="7" t="s">
        <v>166</v>
      </c>
      <c r="E428" s="7" t="s">
        <v>167</v>
      </c>
      <c r="F428" s="7" t="s">
        <v>50</v>
      </c>
      <c r="G428" s="7" t="s">
        <v>19</v>
      </c>
      <c r="H428" s="9" t="n">
        <v>46016</v>
      </c>
      <c r="I428" s="9" t="n">
        <v>46027</v>
      </c>
      <c r="J428" s="7" t="n">
        <v>9.8</v>
      </c>
      <c r="K428" s="7" t="s">
        <v>482</v>
      </c>
      <c r="L428" s="7" t="s">
        <v>20</v>
      </c>
      <c r="M428" s="7" t="s">
        <v>604</v>
      </c>
      <c r="N428" s="7" t="s">
        <v>58</v>
      </c>
      <c r="O428" s="10" t="n">
        <f aca="false">'Exec Summary'!$E$2-H428</f>
        <v>218</v>
      </c>
      <c r="P428" s="10" t="n">
        <f aca="false">IF(I428="","",I428-H428)</f>
        <v>11</v>
      </c>
      <c r="Q428" s="10" t="n">
        <f aca="false">VLOOKUP(G428,$AA$2:$AB$5,2,FALSE())</f>
        <v>15</v>
      </c>
      <c r="R428" s="7" t="n">
        <f aca="false">IF(OR(F428="Open",F428="Reopened"),1,0)</f>
        <v>0</v>
      </c>
      <c r="S428" s="7" t="n">
        <f aca="false">IF(AND(H428&gt;='Exec Summary'!$E$1,H428&lt;='Exec Summary'!$E$2),1,0)</f>
        <v>0</v>
      </c>
      <c r="T428" s="7" t="n">
        <f aca="false">IF(AND(F428="Closed",I428&lt;&gt;"",I428&gt;='Exec Summary'!$E$1,I428&lt;='Exec Summary'!$E$2),1,0)</f>
        <v>0</v>
      </c>
      <c r="U428" s="7" t="n">
        <f aca="false">IF(F428="Reopened",1,0)</f>
        <v>0</v>
      </c>
      <c r="V428" s="7" t="n">
        <f aca="false">IF(AND(R428=1,O428&gt;Q428),1,0)</f>
        <v>0</v>
      </c>
      <c r="W428" s="7" t="n">
        <f aca="false">IF(AND(T428=1,P428&lt;&gt;"",P428&lt;=Q428),1,0)</f>
        <v>0</v>
      </c>
    </row>
    <row r="429" customFormat="false" ht="15" hidden="false" customHeight="false" outlineLevel="0" collapsed="false">
      <c r="A429" s="7" t="s">
        <v>602</v>
      </c>
      <c r="B429" s="7" t="s">
        <v>46</v>
      </c>
      <c r="C429" s="7" t="s">
        <v>177</v>
      </c>
      <c r="D429" s="7" t="s">
        <v>87</v>
      </c>
      <c r="E429" s="7" t="s">
        <v>88</v>
      </c>
      <c r="F429" s="7" t="s">
        <v>56</v>
      </c>
      <c r="G429" s="7" t="s">
        <v>19</v>
      </c>
      <c r="H429" s="9" t="n">
        <v>46117</v>
      </c>
      <c r="I429" s="9"/>
      <c r="J429" s="7" t="n">
        <v>10</v>
      </c>
      <c r="K429" s="7" t="s">
        <v>482</v>
      </c>
      <c r="L429" s="7" t="s">
        <v>20</v>
      </c>
      <c r="M429" s="7" t="s">
        <v>605</v>
      </c>
      <c r="N429" s="7" t="s">
        <v>58</v>
      </c>
      <c r="O429" s="10" t="n">
        <f aca="false">'Exec Summary'!$E$2-H429</f>
        <v>117</v>
      </c>
      <c r="P429" s="10" t="str">
        <f aca="false">IF(I429="","",I429-H429)</f>
        <v/>
      </c>
      <c r="Q429" s="10" t="n">
        <f aca="false">VLOOKUP(G429,$AA$2:$AB$5,2,FALSE())</f>
        <v>15</v>
      </c>
      <c r="R429" s="7" t="n">
        <f aca="false">IF(OR(F429="Open",F429="Reopened"),1,0)</f>
        <v>1</v>
      </c>
      <c r="S429" s="7" t="n">
        <f aca="false">IF(AND(H429&gt;='Exec Summary'!$E$1,H429&lt;='Exec Summary'!$E$2),1,0)</f>
        <v>0</v>
      </c>
      <c r="T429" s="7" t="n">
        <f aca="false">IF(AND(F429="Closed",I429&lt;&gt;"",I429&gt;='Exec Summary'!$E$1,I429&lt;='Exec Summary'!$E$2),1,0)</f>
        <v>0</v>
      </c>
      <c r="U429" s="7" t="n">
        <f aca="false">IF(F429="Reopened",1,0)</f>
        <v>0</v>
      </c>
      <c r="V429" s="7" t="n">
        <f aca="false">IF(AND(R429=1,O429&gt;Q429),1,0)</f>
        <v>1</v>
      </c>
      <c r="W429" s="7" t="n">
        <f aca="false">IF(AND(T429=1,P429&lt;&gt;"",P429&lt;=Q429),1,0)</f>
        <v>0</v>
      </c>
    </row>
    <row r="430" customFormat="false" ht="15" hidden="false" customHeight="false" outlineLevel="0" collapsed="false">
      <c r="A430" s="7" t="s">
        <v>602</v>
      </c>
      <c r="B430" s="7" t="s">
        <v>46</v>
      </c>
      <c r="C430" s="7" t="s">
        <v>177</v>
      </c>
      <c r="D430" s="7" t="s">
        <v>210</v>
      </c>
      <c r="E430" s="7" t="s">
        <v>211</v>
      </c>
      <c r="F430" s="7" t="s">
        <v>50</v>
      </c>
      <c r="G430" s="7" t="s">
        <v>19</v>
      </c>
      <c r="H430" s="9" t="n">
        <v>45990</v>
      </c>
      <c r="I430" s="9" t="n">
        <v>46007</v>
      </c>
      <c r="J430" s="7" t="n">
        <v>9.8</v>
      </c>
      <c r="K430" s="7" t="s">
        <v>482</v>
      </c>
      <c r="L430" s="7" t="s">
        <v>20</v>
      </c>
      <c r="M430" s="7" t="s">
        <v>606</v>
      </c>
      <c r="N430" s="7" t="s">
        <v>58</v>
      </c>
      <c r="O430" s="10" t="n">
        <f aca="false">'Exec Summary'!$E$2-H430</f>
        <v>244</v>
      </c>
      <c r="P430" s="10" t="n">
        <f aca="false">IF(I430="","",I430-H430)</f>
        <v>17</v>
      </c>
      <c r="Q430" s="10" t="n">
        <f aca="false">VLOOKUP(G430,$AA$2:$AB$5,2,FALSE())</f>
        <v>15</v>
      </c>
      <c r="R430" s="7" t="n">
        <f aca="false">IF(OR(F430="Open",F430="Reopened"),1,0)</f>
        <v>0</v>
      </c>
      <c r="S430" s="7" t="n">
        <f aca="false">IF(AND(H430&gt;='Exec Summary'!$E$1,H430&lt;='Exec Summary'!$E$2),1,0)</f>
        <v>0</v>
      </c>
      <c r="T430" s="7" t="n">
        <f aca="false">IF(AND(F430="Closed",I430&lt;&gt;"",I430&gt;='Exec Summary'!$E$1,I430&lt;='Exec Summary'!$E$2),1,0)</f>
        <v>0</v>
      </c>
      <c r="U430" s="7" t="n">
        <f aca="false">IF(F430="Reopened",1,0)</f>
        <v>0</v>
      </c>
      <c r="V430" s="7" t="n">
        <f aca="false">IF(AND(R430=1,O430&gt;Q430),1,0)</f>
        <v>0</v>
      </c>
      <c r="W430" s="7" t="n">
        <f aca="false">IF(AND(T430=1,P430&lt;&gt;"",P430&lt;=Q430),1,0)</f>
        <v>0</v>
      </c>
    </row>
    <row r="431" customFormat="false" ht="15" hidden="false" customHeight="false" outlineLevel="0" collapsed="false">
      <c r="A431" s="7" t="s">
        <v>602</v>
      </c>
      <c r="B431" s="7" t="s">
        <v>46</v>
      </c>
      <c r="C431" s="7" t="s">
        <v>177</v>
      </c>
      <c r="D431" s="7" t="s">
        <v>62</v>
      </c>
      <c r="E431" s="7" t="s">
        <v>63</v>
      </c>
      <c r="F431" s="7" t="s">
        <v>56</v>
      </c>
      <c r="G431" s="7" t="s">
        <v>20</v>
      </c>
      <c r="H431" s="9" t="n">
        <v>46016</v>
      </c>
      <c r="I431" s="9"/>
      <c r="J431" s="7" t="n">
        <v>8.1</v>
      </c>
      <c r="K431" s="7" t="s">
        <v>482</v>
      </c>
      <c r="L431" s="7" t="s">
        <v>20</v>
      </c>
      <c r="M431" s="7" t="s">
        <v>607</v>
      </c>
      <c r="N431" s="7" t="s">
        <v>53</v>
      </c>
      <c r="O431" s="10" t="n">
        <f aca="false">'Exec Summary'!$E$2-H431</f>
        <v>218</v>
      </c>
      <c r="P431" s="10" t="str">
        <f aca="false">IF(I431="","",I431-H431)</f>
        <v/>
      </c>
      <c r="Q431" s="10" t="n">
        <f aca="false">VLOOKUP(G431,$AA$2:$AB$5,2,FALSE())</f>
        <v>30</v>
      </c>
      <c r="R431" s="7" t="n">
        <f aca="false">IF(OR(F431="Open",F431="Reopened"),1,0)</f>
        <v>1</v>
      </c>
      <c r="S431" s="7" t="n">
        <f aca="false">IF(AND(H431&gt;='Exec Summary'!$E$1,H431&lt;='Exec Summary'!$E$2),1,0)</f>
        <v>0</v>
      </c>
      <c r="T431" s="7" t="n">
        <f aca="false">IF(AND(F431="Closed",I431&lt;&gt;"",I431&gt;='Exec Summary'!$E$1,I431&lt;='Exec Summary'!$E$2),1,0)</f>
        <v>0</v>
      </c>
      <c r="U431" s="7" t="n">
        <f aca="false">IF(F431="Reopened",1,0)</f>
        <v>0</v>
      </c>
      <c r="V431" s="7" t="n">
        <f aca="false">IF(AND(R431=1,O431&gt;Q431),1,0)</f>
        <v>1</v>
      </c>
      <c r="W431" s="7" t="n">
        <f aca="false">IF(AND(T431=1,P431&lt;&gt;"",P431&lt;=Q431),1,0)</f>
        <v>0</v>
      </c>
    </row>
    <row r="432" customFormat="false" ht="15" hidden="false" customHeight="false" outlineLevel="0" collapsed="false">
      <c r="A432" s="7" t="s">
        <v>602</v>
      </c>
      <c r="B432" s="7" t="s">
        <v>46</v>
      </c>
      <c r="C432" s="7" t="s">
        <v>177</v>
      </c>
      <c r="D432" s="7" t="s">
        <v>48</v>
      </c>
      <c r="E432" s="7" t="s">
        <v>49</v>
      </c>
      <c r="F432" s="7" t="s">
        <v>50</v>
      </c>
      <c r="G432" s="7" t="s">
        <v>20</v>
      </c>
      <c r="H432" s="9" t="n">
        <v>46070</v>
      </c>
      <c r="I432" s="9" t="n">
        <v>46095</v>
      </c>
      <c r="J432" s="7" t="n">
        <v>7.5</v>
      </c>
      <c r="K432" s="7" t="s">
        <v>482</v>
      </c>
      <c r="L432" s="7" t="s">
        <v>20</v>
      </c>
      <c r="M432" s="7" t="s">
        <v>608</v>
      </c>
      <c r="N432" s="7" t="s">
        <v>53</v>
      </c>
      <c r="O432" s="10" t="n">
        <f aca="false">'Exec Summary'!$E$2-H432</f>
        <v>164</v>
      </c>
      <c r="P432" s="10" t="n">
        <f aca="false">IF(I432="","",I432-H432)</f>
        <v>25</v>
      </c>
      <c r="Q432" s="10" t="n">
        <f aca="false">VLOOKUP(G432,$AA$2:$AB$5,2,FALSE())</f>
        <v>30</v>
      </c>
      <c r="R432" s="7" t="n">
        <f aca="false">IF(OR(F432="Open",F432="Reopened"),1,0)</f>
        <v>0</v>
      </c>
      <c r="S432" s="7" t="n">
        <f aca="false">IF(AND(H432&gt;='Exec Summary'!$E$1,H432&lt;='Exec Summary'!$E$2),1,0)</f>
        <v>0</v>
      </c>
      <c r="T432" s="7" t="n">
        <f aca="false">IF(AND(F432="Closed",I432&lt;&gt;"",I432&gt;='Exec Summary'!$E$1,I432&lt;='Exec Summary'!$E$2),1,0)</f>
        <v>0</v>
      </c>
      <c r="U432" s="7" t="n">
        <f aca="false">IF(F432="Reopened",1,0)</f>
        <v>0</v>
      </c>
      <c r="V432" s="7" t="n">
        <f aca="false">IF(AND(R432=1,O432&gt;Q432),1,0)</f>
        <v>0</v>
      </c>
      <c r="W432" s="7" t="n">
        <f aca="false">IF(AND(T432=1,P432&lt;&gt;"",P432&lt;=Q432),1,0)</f>
        <v>0</v>
      </c>
    </row>
    <row r="433" customFormat="false" ht="15" hidden="false" customHeight="false" outlineLevel="0" collapsed="false">
      <c r="A433" s="7" t="s">
        <v>602</v>
      </c>
      <c r="B433" s="7" t="s">
        <v>46</v>
      </c>
      <c r="C433" s="7" t="s">
        <v>177</v>
      </c>
      <c r="D433" s="7" t="s">
        <v>91</v>
      </c>
      <c r="E433" s="7" t="s">
        <v>92</v>
      </c>
      <c r="F433" s="7" t="s">
        <v>50</v>
      </c>
      <c r="G433" s="7" t="s">
        <v>20</v>
      </c>
      <c r="H433" s="9" t="n">
        <v>45999</v>
      </c>
      <c r="I433" s="9" t="n">
        <v>46024</v>
      </c>
      <c r="J433" s="7" t="n">
        <v>8.1</v>
      </c>
      <c r="K433" s="7" t="s">
        <v>482</v>
      </c>
      <c r="L433" s="7" t="s">
        <v>20</v>
      </c>
      <c r="M433" s="7" t="s">
        <v>609</v>
      </c>
      <c r="N433" s="7" t="s">
        <v>53</v>
      </c>
      <c r="O433" s="10" t="n">
        <f aca="false">'Exec Summary'!$E$2-H433</f>
        <v>235</v>
      </c>
      <c r="P433" s="10" t="n">
        <f aca="false">IF(I433="","",I433-H433)</f>
        <v>25</v>
      </c>
      <c r="Q433" s="10" t="n">
        <f aca="false">VLOOKUP(G433,$AA$2:$AB$5,2,FALSE())</f>
        <v>30</v>
      </c>
      <c r="R433" s="7" t="n">
        <f aca="false">IF(OR(F433="Open",F433="Reopened"),1,0)</f>
        <v>0</v>
      </c>
      <c r="S433" s="7" t="n">
        <f aca="false">IF(AND(H433&gt;='Exec Summary'!$E$1,H433&lt;='Exec Summary'!$E$2),1,0)</f>
        <v>0</v>
      </c>
      <c r="T433" s="7" t="n">
        <f aca="false">IF(AND(F433="Closed",I433&lt;&gt;"",I433&gt;='Exec Summary'!$E$1,I433&lt;='Exec Summary'!$E$2),1,0)</f>
        <v>0</v>
      </c>
      <c r="U433" s="7" t="n">
        <f aca="false">IF(F433="Reopened",1,0)</f>
        <v>0</v>
      </c>
      <c r="V433" s="7" t="n">
        <f aca="false">IF(AND(R433=1,O433&gt;Q433),1,0)</f>
        <v>0</v>
      </c>
      <c r="W433" s="7" t="n">
        <f aca="false">IF(AND(T433=1,P433&lt;&gt;"",P433&lt;=Q433),1,0)</f>
        <v>0</v>
      </c>
    </row>
    <row r="434" customFormat="false" ht="15" hidden="false" customHeight="false" outlineLevel="0" collapsed="false">
      <c r="A434" s="7" t="s">
        <v>602</v>
      </c>
      <c r="B434" s="7" t="s">
        <v>46</v>
      </c>
      <c r="C434" s="7" t="s">
        <v>177</v>
      </c>
      <c r="D434" s="7" t="s">
        <v>95</v>
      </c>
      <c r="E434" s="7" t="s">
        <v>96</v>
      </c>
      <c r="F434" s="7" t="s">
        <v>50</v>
      </c>
      <c r="G434" s="7" t="s">
        <v>20</v>
      </c>
      <c r="H434" s="9" t="n">
        <v>46001</v>
      </c>
      <c r="I434" s="9" t="n">
        <v>46002</v>
      </c>
      <c r="J434" s="7" t="n">
        <v>8.8</v>
      </c>
      <c r="K434" s="7" t="s">
        <v>482</v>
      </c>
      <c r="L434" s="7" t="s">
        <v>20</v>
      </c>
      <c r="M434" s="7" t="s">
        <v>610</v>
      </c>
      <c r="N434" s="7" t="s">
        <v>53</v>
      </c>
      <c r="O434" s="10" t="n">
        <f aca="false">'Exec Summary'!$E$2-H434</f>
        <v>233</v>
      </c>
      <c r="P434" s="10" t="n">
        <f aca="false">IF(I434="","",I434-H434)</f>
        <v>1</v>
      </c>
      <c r="Q434" s="10" t="n">
        <f aca="false">VLOOKUP(G434,$AA$2:$AB$5,2,FALSE())</f>
        <v>30</v>
      </c>
      <c r="R434" s="7" t="n">
        <f aca="false">IF(OR(F434="Open",F434="Reopened"),1,0)</f>
        <v>0</v>
      </c>
      <c r="S434" s="7" t="n">
        <f aca="false">IF(AND(H434&gt;='Exec Summary'!$E$1,H434&lt;='Exec Summary'!$E$2),1,0)</f>
        <v>0</v>
      </c>
      <c r="T434" s="7" t="n">
        <f aca="false">IF(AND(F434="Closed",I434&lt;&gt;"",I434&gt;='Exec Summary'!$E$1,I434&lt;='Exec Summary'!$E$2),1,0)</f>
        <v>0</v>
      </c>
      <c r="U434" s="7" t="n">
        <f aca="false">IF(F434="Reopened",1,0)</f>
        <v>0</v>
      </c>
      <c r="V434" s="7" t="n">
        <f aca="false">IF(AND(R434=1,O434&gt;Q434),1,0)</f>
        <v>0</v>
      </c>
      <c r="W434" s="7" t="n">
        <f aca="false">IF(AND(T434=1,P434&lt;&gt;"",P434&lt;=Q434),1,0)</f>
        <v>0</v>
      </c>
    </row>
    <row r="435" customFormat="false" ht="15" hidden="false" customHeight="false" outlineLevel="0" collapsed="false">
      <c r="A435" s="7" t="s">
        <v>611</v>
      </c>
      <c r="B435" s="7" t="s">
        <v>46</v>
      </c>
      <c r="C435" s="7" t="s">
        <v>47</v>
      </c>
      <c r="D435" s="7" t="s">
        <v>59</v>
      </c>
      <c r="E435" s="7" t="s">
        <v>60</v>
      </c>
      <c r="F435" s="7" t="s">
        <v>56</v>
      </c>
      <c r="G435" s="7" t="s">
        <v>19</v>
      </c>
      <c r="H435" s="9" t="n">
        <v>45976</v>
      </c>
      <c r="I435" s="9"/>
      <c r="J435" s="7" t="n">
        <v>7.8</v>
      </c>
      <c r="K435" s="7" t="s">
        <v>482</v>
      </c>
      <c r="L435" s="7" t="s">
        <v>20</v>
      </c>
      <c r="M435" s="7" t="s">
        <v>612</v>
      </c>
      <c r="N435" s="7" t="s">
        <v>58</v>
      </c>
      <c r="O435" s="10" t="n">
        <f aca="false">'Exec Summary'!$E$2-H435</f>
        <v>258</v>
      </c>
      <c r="P435" s="10" t="str">
        <f aca="false">IF(I435="","",I435-H435)</f>
        <v/>
      </c>
      <c r="Q435" s="10" t="n">
        <f aca="false">VLOOKUP(G435,$AA$2:$AB$5,2,FALSE())</f>
        <v>15</v>
      </c>
      <c r="R435" s="7" t="n">
        <f aca="false">IF(OR(F435="Open",F435="Reopened"),1,0)</f>
        <v>1</v>
      </c>
      <c r="S435" s="7" t="n">
        <f aca="false">IF(AND(H435&gt;='Exec Summary'!$E$1,H435&lt;='Exec Summary'!$E$2),1,0)</f>
        <v>0</v>
      </c>
      <c r="T435" s="7" t="n">
        <f aca="false">IF(AND(F435="Closed",I435&lt;&gt;"",I435&gt;='Exec Summary'!$E$1,I435&lt;='Exec Summary'!$E$2),1,0)</f>
        <v>0</v>
      </c>
      <c r="U435" s="7" t="n">
        <f aca="false">IF(F435="Reopened",1,0)</f>
        <v>0</v>
      </c>
      <c r="V435" s="7" t="n">
        <f aca="false">IF(AND(R435=1,O435&gt;Q435),1,0)</f>
        <v>1</v>
      </c>
      <c r="W435" s="7" t="n">
        <f aca="false">IF(AND(T435=1,P435&lt;&gt;"",P435&lt;=Q435),1,0)</f>
        <v>0</v>
      </c>
    </row>
    <row r="436" customFormat="false" ht="15" hidden="false" customHeight="false" outlineLevel="0" collapsed="false">
      <c r="A436" s="7" t="s">
        <v>611</v>
      </c>
      <c r="B436" s="7" t="s">
        <v>46</v>
      </c>
      <c r="C436" s="7" t="s">
        <v>47</v>
      </c>
      <c r="D436" s="7" t="s">
        <v>163</v>
      </c>
      <c r="E436" s="7" t="s">
        <v>164</v>
      </c>
      <c r="F436" s="7" t="s">
        <v>56</v>
      </c>
      <c r="G436" s="7" t="s">
        <v>19</v>
      </c>
      <c r="H436" s="9" t="n">
        <v>46012</v>
      </c>
      <c r="I436" s="9"/>
      <c r="J436" s="7" t="n">
        <v>9.1</v>
      </c>
      <c r="K436" s="7" t="s">
        <v>482</v>
      </c>
      <c r="L436" s="7" t="s">
        <v>20</v>
      </c>
      <c r="M436" s="7" t="s">
        <v>613</v>
      </c>
      <c r="N436" s="7" t="s">
        <v>58</v>
      </c>
      <c r="O436" s="10" t="n">
        <f aca="false">'Exec Summary'!$E$2-H436</f>
        <v>222</v>
      </c>
      <c r="P436" s="10" t="str">
        <f aca="false">IF(I436="","",I436-H436)</f>
        <v/>
      </c>
      <c r="Q436" s="10" t="n">
        <f aca="false">VLOOKUP(G436,$AA$2:$AB$5,2,FALSE())</f>
        <v>15</v>
      </c>
      <c r="R436" s="7" t="n">
        <f aca="false">IF(OR(F436="Open",F436="Reopened"),1,0)</f>
        <v>1</v>
      </c>
      <c r="S436" s="7" t="n">
        <f aca="false">IF(AND(H436&gt;='Exec Summary'!$E$1,H436&lt;='Exec Summary'!$E$2),1,0)</f>
        <v>0</v>
      </c>
      <c r="T436" s="7" t="n">
        <f aca="false">IF(AND(F436="Closed",I436&lt;&gt;"",I436&gt;='Exec Summary'!$E$1,I436&lt;='Exec Summary'!$E$2),1,0)</f>
        <v>0</v>
      </c>
      <c r="U436" s="7" t="n">
        <f aca="false">IF(F436="Reopened",1,0)</f>
        <v>0</v>
      </c>
      <c r="V436" s="7" t="n">
        <f aca="false">IF(AND(R436=1,O436&gt;Q436),1,0)</f>
        <v>1</v>
      </c>
      <c r="W436" s="7" t="n">
        <f aca="false">IF(AND(T436=1,P436&lt;&gt;"",P436&lt;=Q436),1,0)</f>
        <v>0</v>
      </c>
    </row>
    <row r="437" customFormat="false" ht="15" hidden="false" customHeight="false" outlineLevel="0" collapsed="false">
      <c r="A437" s="7" t="s">
        <v>611</v>
      </c>
      <c r="B437" s="7" t="s">
        <v>46</v>
      </c>
      <c r="C437" s="7" t="s">
        <v>47</v>
      </c>
      <c r="D437" s="7" t="s">
        <v>62</v>
      </c>
      <c r="E437" s="7" t="s">
        <v>63</v>
      </c>
      <c r="F437" s="7" t="s">
        <v>50</v>
      </c>
      <c r="G437" s="7" t="s">
        <v>20</v>
      </c>
      <c r="H437" s="9" t="n">
        <v>46061</v>
      </c>
      <c r="I437" s="9" t="n">
        <v>46091</v>
      </c>
      <c r="J437" s="7" t="n">
        <v>8.1</v>
      </c>
      <c r="K437" s="7" t="s">
        <v>482</v>
      </c>
      <c r="L437" s="7" t="s">
        <v>20</v>
      </c>
      <c r="M437" s="7" t="s">
        <v>614</v>
      </c>
      <c r="N437" s="7" t="s">
        <v>53</v>
      </c>
      <c r="O437" s="10" t="n">
        <f aca="false">'Exec Summary'!$E$2-H437</f>
        <v>173</v>
      </c>
      <c r="P437" s="10" t="n">
        <f aca="false">IF(I437="","",I437-H437)</f>
        <v>30</v>
      </c>
      <c r="Q437" s="10" t="n">
        <f aca="false">VLOOKUP(G437,$AA$2:$AB$5,2,FALSE())</f>
        <v>30</v>
      </c>
      <c r="R437" s="7" t="n">
        <f aca="false">IF(OR(F437="Open",F437="Reopened"),1,0)</f>
        <v>0</v>
      </c>
      <c r="S437" s="7" t="n">
        <f aca="false">IF(AND(H437&gt;='Exec Summary'!$E$1,H437&lt;='Exec Summary'!$E$2),1,0)</f>
        <v>0</v>
      </c>
      <c r="T437" s="7" t="n">
        <f aca="false">IF(AND(F437="Closed",I437&lt;&gt;"",I437&gt;='Exec Summary'!$E$1,I437&lt;='Exec Summary'!$E$2),1,0)</f>
        <v>0</v>
      </c>
      <c r="U437" s="7" t="n">
        <f aca="false">IF(F437="Reopened",1,0)</f>
        <v>0</v>
      </c>
      <c r="V437" s="7" t="n">
        <f aca="false">IF(AND(R437=1,O437&gt;Q437),1,0)</f>
        <v>0</v>
      </c>
      <c r="W437" s="7" t="n">
        <f aca="false">IF(AND(T437=1,P437&lt;&gt;"",P437&lt;=Q437),1,0)</f>
        <v>0</v>
      </c>
    </row>
    <row r="438" customFormat="false" ht="15" hidden="false" customHeight="false" outlineLevel="0" collapsed="false">
      <c r="A438" s="7" t="s">
        <v>611</v>
      </c>
      <c r="B438" s="7" t="s">
        <v>46</v>
      </c>
      <c r="C438" s="7" t="s">
        <v>47</v>
      </c>
      <c r="D438" s="7" t="s">
        <v>65</v>
      </c>
      <c r="E438" s="7" t="s">
        <v>66</v>
      </c>
      <c r="F438" s="7" t="s">
        <v>50</v>
      </c>
      <c r="G438" s="7" t="s">
        <v>19</v>
      </c>
      <c r="H438" s="9" t="n">
        <v>46035</v>
      </c>
      <c r="I438" s="9" t="n">
        <v>46049</v>
      </c>
      <c r="J438" s="7" t="n">
        <v>9.8</v>
      </c>
      <c r="K438" s="7" t="s">
        <v>482</v>
      </c>
      <c r="L438" s="7" t="s">
        <v>20</v>
      </c>
      <c r="M438" s="7" t="s">
        <v>615</v>
      </c>
      <c r="N438" s="7" t="s">
        <v>58</v>
      </c>
      <c r="O438" s="10" t="n">
        <f aca="false">'Exec Summary'!$E$2-H438</f>
        <v>199</v>
      </c>
      <c r="P438" s="10" t="n">
        <f aca="false">IF(I438="","",I438-H438)</f>
        <v>14</v>
      </c>
      <c r="Q438" s="10" t="n">
        <f aca="false">VLOOKUP(G438,$AA$2:$AB$5,2,FALSE())</f>
        <v>15</v>
      </c>
      <c r="R438" s="7" t="n">
        <f aca="false">IF(OR(F438="Open",F438="Reopened"),1,0)</f>
        <v>0</v>
      </c>
      <c r="S438" s="7" t="n">
        <f aca="false">IF(AND(H438&gt;='Exec Summary'!$E$1,H438&lt;='Exec Summary'!$E$2),1,0)</f>
        <v>0</v>
      </c>
      <c r="T438" s="7" t="n">
        <f aca="false">IF(AND(F438="Closed",I438&lt;&gt;"",I438&gt;='Exec Summary'!$E$1,I438&lt;='Exec Summary'!$E$2),1,0)</f>
        <v>0</v>
      </c>
      <c r="U438" s="7" t="n">
        <f aca="false">IF(F438="Reopened",1,0)</f>
        <v>0</v>
      </c>
      <c r="V438" s="7" t="n">
        <f aca="false">IF(AND(R438=1,O438&gt;Q438),1,0)</f>
        <v>0</v>
      </c>
      <c r="W438" s="7" t="n">
        <f aca="false">IF(AND(T438=1,P438&lt;&gt;"",P438&lt;=Q438),1,0)</f>
        <v>0</v>
      </c>
    </row>
    <row r="439" customFormat="false" ht="15" hidden="false" customHeight="false" outlineLevel="0" collapsed="false">
      <c r="A439" s="7" t="s">
        <v>611</v>
      </c>
      <c r="B439" s="7" t="s">
        <v>46</v>
      </c>
      <c r="C439" s="7" t="s">
        <v>47</v>
      </c>
      <c r="D439" s="7" t="s">
        <v>206</v>
      </c>
      <c r="E439" s="7" t="s">
        <v>207</v>
      </c>
      <c r="F439" s="7" t="s">
        <v>56</v>
      </c>
      <c r="G439" s="7" t="s">
        <v>20</v>
      </c>
      <c r="H439" s="9" t="n">
        <v>46191</v>
      </c>
      <c r="I439" s="9"/>
      <c r="J439" s="7" t="n">
        <v>8.8</v>
      </c>
      <c r="K439" s="7" t="s">
        <v>482</v>
      </c>
      <c r="L439" s="7" t="s">
        <v>20</v>
      </c>
      <c r="M439" s="7" t="s">
        <v>616</v>
      </c>
      <c r="N439" s="7" t="s">
        <v>53</v>
      </c>
      <c r="O439" s="10" t="n">
        <f aca="false">'Exec Summary'!$E$2-H439</f>
        <v>43</v>
      </c>
      <c r="P439" s="10" t="str">
        <f aca="false">IF(I439="","",I439-H439)</f>
        <v/>
      </c>
      <c r="Q439" s="10" t="n">
        <f aca="false">VLOOKUP(G439,$AA$2:$AB$5,2,FALSE())</f>
        <v>30</v>
      </c>
      <c r="R439" s="7" t="n">
        <f aca="false">IF(OR(F439="Open",F439="Reopened"),1,0)</f>
        <v>1</v>
      </c>
      <c r="S439" s="7" t="n">
        <f aca="false">IF(AND(H439&gt;='Exec Summary'!$E$1,H439&lt;='Exec Summary'!$E$2),1,0)</f>
        <v>0</v>
      </c>
      <c r="T439" s="7" t="n">
        <f aca="false">IF(AND(F439="Closed",I439&lt;&gt;"",I439&gt;='Exec Summary'!$E$1,I439&lt;='Exec Summary'!$E$2),1,0)</f>
        <v>0</v>
      </c>
      <c r="U439" s="7" t="n">
        <f aca="false">IF(F439="Reopened",1,0)</f>
        <v>0</v>
      </c>
      <c r="V439" s="7" t="n">
        <f aca="false">IF(AND(R439=1,O439&gt;Q439),1,0)</f>
        <v>1</v>
      </c>
      <c r="W439" s="7" t="n">
        <f aca="false">IF(AND(T439=1,P439&lt;&gt;"",P439&lt;=Q439),1,0)</f>
        <v>0</v>
      </c>
    </row>
    <row r="440" customFormat="false" ht="15" hidden="false" customHeight="false" outlineLevel="0" collapsed="false">
      <c r="A440" s="7" t="s">
        <v>611</v>
      </c>
      <c r="B440" s="7" t="s">
        <v>46</v>
      </c>
      <c r="C440" s="7" t="s">
        <v>47</v>
      </c>
      <c r="D440" s="7" t="s">
        <v>101</v>
      </c>
      <c r="E440" s="7" t="s">
        <v>102</v>
      </c>
      <c r="F440" s="7" t="s">
        <v>50</v>
      </c>
      <c r="G440" s="7" t="s">
        <v>19</v>
      </c>
      <c r="H440" s="9" t="n">
        <v>46010</v>
      </c>
      <c r="I440" s="9" t="n">
        <v>46022</v>
      </c>
      <c r="J440" s="7" t="n">
        <v>10</v>
      </c>
      <c r="K440" s="7" t="s">
        <v>482</v>
      </c>
      <c r="L440" s="7" t="s">
        <v>20</v>
      </c>
      <c r="M440" s="7" t="s">
        <v>617</v>
      </c>
      <c r="N440" s="7" t="s">
        <v>58</v>
      </c>
      <c r="O440" s="10" t="n">
        <f aca="false">'Exec Summary'!$E$2-H440</f>
        <v>224</v>
      </c>
      <c r="P440" s="10" t="n">
        <f aca="false">IF(I440="","",I440-H440)</f>
        <v>12</v>
      </c>
      <c r="Q440" s="10" t="n">
        <f aca="false">VLOOKUP(G440,$AA$2:$AB$5,2,FALSE())</f>
        <v>15</v>
      </c>
      <c r="R440" s="7" t="n">
        <f aca="false">IF(OR(F440="Open",F440="Reopened"),1,0)</f>
        <v>0</v>
      </c>
      <c r="S440" s="7" t="n">
        <f aca="false">IF(AND(H440&gt;='Exec Summary'!$E$1,H440&lt;='Exec Summary'!$E$2),1,0)</f>
        <v>0</v>
      </c>
      <c r="T440" s="7" t="n">
        <f aca="false">IF(AND(F440="Closed",I440&lt;&gt;"",I440&gt;='Exec Summary'!$E$1,I440&lt;='Exec Summary'!$E$2),1,0)</f>
        <v>0</v>
      </c>
      <c r="U440" s="7" t="n">
        <f aca="false">IF(F440="Reopened",1,0)</f>
        <v>0</v>
      </c>
      <c r="V440" s="7" t="n">
        <f aca="false">IF(AND(R440=1,O440&gt;Q440),1,0)</f>
        <v>0</v>
      </c>
      <c r="W440" s="7" t="n">
        <f aca="false">IF(AND(T440=1,P440&lt;&gt;"",P440&lt;=Q440),1,0)</f>
        <v>0</v>
      </c>
    </row>
    <row r="441" customFormat="false" ht="15" hidden="false" customHeight="false" outlineLevel="0" collapsed="false">
      <c r="A441" s="7" t="s">
        <v>611</v>
      </c>
      <c r="B441" s="7" t="s">
        <v>46</v>
      </c>
      <c r="C441" s="7" t="s">
        <v>47</v>
      </c>
      <c r="D441" s="7" t="s">
        <v>81</v>
      </c>
      <c r="E441" s="7" t="s">
        <v>82</v>
      </c>
      <c r="F441" s="7" t="s">
        <v>50</v>
      </c>
      <c r="G441" s="7" t="s">
        <v>20</v>
      </c>
      <c r="H441" s="9" t="n">
        <v>46152</v>
      </c>
      <c r="I441" s="9" t="n">
        <v>46177</v>
      </c>
      <c r="J441" s="7" t="n">
        <v>7.8</v>
      </c>
      <c r="K441" s="7" t="s">
        <v>482</v>
      </c>
      <c r="L441" s="7" t="s">
        <v>20</v>
      </c>
      <c r="M441" s="7" t="s">
        <v>618</v>
      </c>
      <c r="N441" s="7" t="s">
        <v>53</v>
      </c>
      <c r="O441" s="10" t="n">
        <f aca="false">'Exec Summary'!$E$2-H441</f>
        <v>82</v>
      </c>
      <c r="P441" s="10" t="n">
        <f aca="false">IF(I441="","",I441-H441)</f>
        <v>25</v>
      </c>
      <c r="Q441" s="10" t="n">
        <f aca="false">VLOOKUP(G441,$AA$2:$AB$5,2,FALSE())</f>
        <v>30</v>
      </c>
      <c r="R441" s="7" t="n">
        <f aca="false">IF(OR(F441="Open",F441="Reopened"),1,0)</f>
        <v>0</v>
      </c>
      <c r="S441" s="7" t="n">
        <f aca="false">IF(AND(H441&gt;='Exec Summary'!$E$1,H441&lt;='Exec Summary'!$E$2),1,0)</f>
        <v>0</v>
      </c>
      <c r="T441" s="7" t="n">
        <f aca="false">IF(AND(F441="Closed",I441&lt;&gt;"",I441&gt;='Exec Summary'!$E$1,I441&lt;='Exec Summary'!$E$2),1,0)</f>
        <v>0</v>
      </c>
      <c r="U441" s="7" t="n">
        <f aca="false">IF(F441="Reopened",1,0)</f>
        <v>0</v>
      </c>
      <c r="V441" s="7" t="n">
        <f aca="false">IF(AND(R441=1,O441&gt;Q441),1,0)</f>
        <v>0</v>
      </c>
      <c r="W441" s="7" t="n">
        <f aca="false">IF(AND(T441=1,P441&lt;&gt;"",P441&lt;=Q441),1,0)</f>
        <v>0</v>
      </c>
    </row>
    <row r="442" customFormat="false" ht="15" hidden="false" customHeight="false" outlineLevel="0" collapsed="false">
      <c r="A442" s="7" t="s">
        <v>611</v>
      </c>
      <c r="B442" s="7" t="s">
        <v>46</v>
      </c>
      <c r="C442" s="7" t="s">
        <v>47</v>
      </c>
      <c r="D442" s="7" t="s">
        <v>139</v>
      </c>
      <c r="E442" s="7" t="s">
        <v>140</v>
      </c>
      <c r="F442" s="7" t="s">
        <v>50</v>
      </c>
      <c r="G442" s="7" t="s">
        <v>19</v>
      </c>
      <c r="H442" s="9" t="n">
        <v>46128</v>
      </c>
      <c r="I442" s="9" t="n">
        <v>46135</v>
      </c>
      <c r="J442" s="7" t="n">
        <v>9.8</v>
      </c>
      <c r="K442" s="7" t="s">
        <v>482</v>
      </c>
      <c r="L442" s="7" t="s">
        <v>20</v>
      </c>
      <c r="M442" s="7" t="s">
        <v>619</v>
      </c>
      <c r="N442" s="7" t="s">
        <v>58</v>
      </c>
      <c r="O442" s="10" t="n">
        <f aca="false">'Exec Summary'!$E$2-H442</f>
        <v>106</v>
      </c>
      <c r="P442" s="10" t="n">
        <f aca="false">IF(I442="","",I442-H442)</f>
        <v>7</v>
      </c>
      <c r="Q442" s="10" t="n">
        <f aca="false">VLOOKUP(G442,$AA$2:$AB$5,2,FALSE())</f>
        <v>15</v>
      </c>
      <c r="R442" s="7" t="n">
        <f aca="false">IF(OR(F442="Open",F442="Reopened"),1,0)</f>
        <v>0</v>
      </c>
      <c r="S442" s="7" t="n">
        <f aca="false">IF(AND(H442&gt;='Exec Summary'!$E$1,H442&lt;='Exec Summary'!$E$2),1,0)</f>
        <v>0</v>
      </c>
      <c r="T442" s="7" t="n">
        <f aca="false">IF(AND(F442="Closed",I442&lt;&gt;"",I442&gt;='Exec Summary'!$E$1,I442&lt;='Exec Summary'!$E$2),1,0)</f>
        <v>0</v>
      </c>
      <c r="U442" s="7" t="n">
        <f aca="false">IF(F442="Reopened",1,0)</f>
        <v>0</v>
      </c>
      <c r="V442" s="7" t="n">
        <f aca="false">IF(AND(R442=1,O442&gt;Q442),1,0)</f>
        <v>0</v>
      </c>
      <c r="W442" s="7" t="n">
        <f aca="false">IF(AND(T442=1,P442&lt;&gt;"",P442&lt;=Q442),1,0)</f>
        <v>0</v>
      </c>
    </row>
    <row r="443" customFormat="false" ht="15" hidden="false" customHeight="false" outlineLevel="0" collapsed="false">
      <c r="A443" s="7" t="s">
        <v>611</v>
      </c>
      <c r="B443" s="7" t="s">
        <v>46</v>
      </c>
      <c r="C443" s="7" t="s">
        <v>47</v>
      </c>
      <c r="D443" s="7" t="s">
        <v>87</v>
      </c>
      <c r="E443" s="7" t="s">
        <v>88</v>
      </c>
      <c r="F443" s="7" t="s">
        <v>50</v>
      </c>
      <c r="G443" s="7" t="s">
        <v>19</v>
      </c>
      <c r="H443" s="9" t="n">
        <v>46152</v>
      </c>
      <c r="I443" s="9" t="n">
        <v>46172</v>
      </c>
      <c r="J443" s="7" t="n">
        <v>10</v>
      </c>
      <c r="K443" s="7" t="s">
        <v>482</v>
      </c>
      <c r="L443" s="7" t="s">
        <v>20</v>
      </c>
      <c r="M443" s="7" t="s">
        <v>620</v>
      </c>
      <c r="N443" s="7" t="s">
        <v>58</v>
      </c>
      <c r="O443" s="10" t="n">
        <f aca="false">'Exec Summary'!$E$2-H443</f>
        <v>82</v>
      </c>
      <c r="P443" s="10" t="n">
        <f aca="false">IF(I443="","",I443-H443)</f>
        <v>20</v>
      </c>
      <c r="Q443" s="10" t="n">
        <f aca="false">VLOOKUP(G443,$AA$2:$AB$5,2,FALSE())</f>
        <v>15</v>
      </c>
      <c r="R443" s="7" t="n">
        <f aca="false">IF(OR(F443="Open",F443="Reopened"),1,0)</f>
        <v>0</v>
      </c>
      <c r="S443" s="7" t="n">
        <f aca="false">IF(AND(H443&gt;='Exec Summary'!$E$1,H443&lt;='Exec Summary'!$E$2),1,0)</f>
        <v>0</v>
      </c>
      <c r="T443" s="7" t="n">
        <f aca="false">IF(AND(F443="Closed",I443&lt;&gt;"",I443&gt;='Exec Summary'!$E$1,I443&lt;='Exec Summary'!$E$2),1,0)</f>
        <v>0</v>
      </c>
      <c r="U443" s="7" t="n">
        <f aca="false">IF(F443="Reopened",1,0)</f>
        <v>0</v>
      </c>
      <c r="V443" s="7" t="n">
        <f aca="false">IF(AND(R443=1,O443&gt;Q443),1,0)</f>
        <v>0</v>
      </c>
      <c r="W443" s="7" t="n">
        <f aca="false">IF(AND(T443=1,P443&lt;&gt;"",P443&lt;=Q443),1,0)</f>
        <v>0</v>
      </c>
    </row>
    <row r="444" customFormat="false" ht="15" hidden="false" customHeight="false" outlineLevel="0" collapsed="false">
      <c r="A444" s="7" t="s">
        <v>611</v>
      </c>
      <c r="B444" s="7" t="s">
        <v>46</v>
      </c>
      <c r="C444" s="7" t="s">
        <v>47</v>
      </c>
      <c r="D444" s="7" t="s">
        <v>117</v>
      </c>
      <c r="E444" s="7" t="s">
        <v>118</v>
      </c>
      <c r="F444" s="7" t="s">
        <v>50</v>
      </c>
      <c r="G444" s="7" t="s">
        <v>19</v>
      </c>
      <c r="H444" s="9" t="n">
        <v>46089</v>
      </c>
      <c r="I444" s="9" t="n">
        <v>46090</v>
      </c>
      <c r="J444" s="7" t="n">
        <v>10</v>
      </c>
      <c r="K444" s="7" t="s">
        <v>482</v>
      </c>
      <c r="L444" s="7" t="s">
        <v>20</v>
      </c>
      <c r="M444" s="7" t="s">
        <v>621</v>
      </c>
      <c r="N444" s="7" t="s">
        <v>58</v>
      </c>
      <c r="O444" s="10" t="n">
        <f aca="false">'Exec Summary'!$E$2-H444</f>
        <v>145</v>
      </c>
      <c r="P444" s="10" t="n">
        <f aca="false">IF(I444="","",I444-H444)</f>
        <v>1</v>
      </c>
      <c r="Q444" s="10" t="n">
        <f aca="false">VLOOKUP(G444,$AA$2:$AB$5,2,FALSE())</f>
        <v>15</v>
      </c>
      <c r="R444" s="7" t="n">
        <f aca="false">IF(OR(F444="Open",F444="Reopened"),1,0)</f>
        <v>0</v>
      </c>
      <c r="S444" s="7" t="n">
        <f aca="false">IF(AND(H444&gt;='Exec Summary'!$E$1,H444&lt;='Exec Summary'!$E$2),1,0)</f>
        <v>0</v>
      </c>
      <c r="T444" s="7" t="n">
        <f aca="false">IF(AND(F444="Closed",I444&lt;&gt;"",I444&gt;='Exec Summary'!$E$1,I444&lt;='Exec Summary'!$E$2),1,0)</f>
        <v>0</v>
      </c>
      <c r="U444" s="7" t="n">
        <f aca="false">IF(F444="Reopened",1,0)</f>
        <v>0</v>
      </c>
      <c r="V444" s="7" t="n">
        <f aca="false">IF(AND(R444=1,O444&gt;Q444),1,0)</f>
        <v>0</v>
      </c>
      <c r="W444" s="7" t="n">
        <f aca="false">IF(AND(T444=1,P444&lt;&gt;"",P444&lt;=Q444),1,0)</f>
        <v>0</v>
      </c>
    </row>
    <row r="445" customFormat="false" ht="15" hidden="false" customHeight="false" outlineLevel="0" collapsed="false">
      <c r="A445" s="7" t="s">
        <v>611</v>
      </c>
      <c r="B445" s="7" t="s">
        <v>46</v>
      </c>
      <c r="C445" s="7" t="s">
        <v>47</v>
      </c>
      <c r="D445" s="7" t="s">
        <v>173</v>
      </c>
      <c r="E445" s="7" t="s">
        <v>174</v>
      </c>
      <c r="F445" s="7" t="s">
        <v>56</v>
      </c>
      <c r="G445" s="7" t="s">
        <v>19</v>
      </c>
      <c r="H445" s="9" t="n">
        <v>46097</v>
      </c>
      <c r="I445" s="9"/>
      <c r="J445" s="7" t="n">
        <v>9.8</v>
      </c>
      <c r="K445" s="7" t="s">
        <v>482</v>
      </c>
      <c r="L445" s="7" t="s">
        <v>20</v>
      </c>
      <c r="M445" s="7" t="s">
        <v>622</v>
      </c>
      <c r="N445" s="7" t="s">
        <v>58</v>
      </c>
      <c r="O445" s="10" t="n">
        <f aca="false">'Exec Summary'!$E$2-H445</f>
        <v>137</v>
      </c>
      <c r="P445" s="10" t="str">
        <f aca="false">IF(I445="","",I445-H445)</f>
        <v/>
      </c>
      <c r="Q445" s="10" t="n">
        <f aca="false">VLOOKUP(G445,$AA$2:$AB$5,2,FALSE())</f>
        <v>15</v>
      </c>
      <c r="R445" s="7" t="n">
        <f aca="false">IF(OR(F445="Open",F445="Reopened"),1,0)</f>
        <v>1</v>
      </c>
      <c r="S445" s="7" t="n">
        <f aca="false">IF(AND(H445&gt;='Exec Summary'!$E$1,H445&lt;='Exec Summary'!$E$2),1,0)</f>
        <v>0</v>
      </c>
      <c r="T445" s="7" t="n">
        <f aca="false">IF(AND(F445="Closed",I445&lt;&gt;"",I445&gt;='Exec Summary'!$E$1,I445&lt;='Exec Summary'!$E$2),1,0)</f>
        <v>0</v>
      </c>
      <c r="U445" s="7" t="n">
        <f aca="false">IF(F445="Reopened",1,0)</f>
        <v>0</v>
      </c>
      <c r="V445" s="7" t="n">
        <f aca="false">IF(AND(R445=1,O445&gt;Q445),1,0)</f>
        <v>1</v>
      </c>
      <c r="W445" s="7" t="n">
        <f aca="false">IF(AND(T445=1,P445&lt;&gt;"",P445&lt;=Q445),1,0)</f>
        <v>0</v>
      </c>
    </row>
    <row r="446" customFormat="false" ht="15" hidden="false" customHeight="false" outlineLevel="0" collapsed="false">
      <c r="A446" s="7" t="s">
        <v>623</v>
      </c>
      <c r="B446" s="7" t="s">
        <v>46</v>
      </c>
      <c r="C446" s="7" t="s">
        <v>158</v>
      </c>
      <c r="D446" s="7" t="s">
        <v>74</v>
      </c>
      <c r="E446" s="7" t="s">
        <v>75</v>
      </c>
      <c r="F446" s="7" t="s">
        <v>56</v>
      </c>
      <c r="G446" s="7" t="s">
        <v>21</v>
      </c>
      <c r="H446" s="9" t="n">
        <v>46063</v>
      </c>
      <c r="I446" s="9"/>
      <c r="J446" s="7" t="n">
        <v>6.5</v>
      </c>
      <c r="K446" s="7" t="s">
        <v>482</v>
      </c>
      <c r="L446" s="7" t="s">
        <v>21</v>
      </c>
      <c r="M446" s="7" t="s">
        <v>624</v>
      </c>
      <c r="N446" s="7" t="s">
        <v>77</v>
      </c>
      <c r="O446" s="10" t="n">
        <f aca="false">'Exec Summary'!$E$2-H446</f>
        <v>171</v>
      </c>
      <c r="P446" s="10" t="str">
        <f aca="false">IF(I446="","",I446-H446)</f>
        <v/>
      </c>
      <c r="Q446" s="10" t="n">
        <f aca="false">VLOOKUP(G446,$AA$2:$AB$5,2,FALSE())</f>
        <v>90</v>
      </c>
      <c r="R446" s="7" t="n">
        <f aca="false">IF(OR(F446="Open",F446="Reopened"),1,0)</f>
        <v>1</v>
      </c>
      <c r="S446" s="7" t="n">
        <f aca="false">IF(AND(H446&gt;='Exec Summary'!$E$1,H446&lt;='Exec Summary'!$E$2),1,0)</f>
        <v>0</v>
      </c>
      <c r="T446" s="7" t="n">
        <f aca="false">IF(AND(F446="Closed",I446&lt;&gt;"",I446&gt;='Exec Summary'!$E$1,I446&lt;='Exec Summary'!$E$2),1,0)</f>
        <v>0</v>
      </c>
      <c r="U446" s="7" t="n">
        <f aca="false">IF(F446="Reopened",1,0)</f>
        <v>0</v>
      </c>
      <c r="V446" s="7" t="n">
        <f aca="false">IF(AND(R446=1,O446&gt;Q446),1,0)</f>
        <v>1</v>
      </c>
      <c r="W446" s="7" t="n">
        <f aca="false">IF(AND(T446=1,P446&lt;&gt;"",P446&lt;=Q446),1,0)</f>
        <v>0</v>
      </c>
    </row>
    <row r="447" customFormat="false" ht="15" hidden="false" customHeight="false" outlineLevel="0" collapsed="false">
      <c r="A447" s="7" t="s">
        <v>623</v>
      </c>
      <c r="B447" s="7" t="s">
        <v>46</v>
      </c>
      <c r="C447" s="7" t="s">
        <v>158</v>
      </c>
      <c r="D447" s="7" t="s">
        <v>65</v>
      </c>
      <c r="E447" s="7" t="s">
        <v>66</v>
      </c>
      <c r="F447" s="7" t="s">
        <v>123</v>
      </c>
      <c r="G447" s="7" t="s">
        <v>19</v>
      </c>
      <c r="H447" s="9" t="n">
        <v>46105</v>
      </c>
      <c r="I447" s="9" t="n">
        <v>46128</v>
      </c>
      <c r="J447" s="7" t="n">
        <v>9.8</v>
      </c>
      <c r="K447" s="7" t="s">
        <v>482</v>
      </c>
      <c r="L447" s="7" t="s">
        <v>21</v>
      </c>
      <c r="M447" s="7" t="s">
        <v>625</v>
      </c>
      <c r="N447" s="7" t="s">
        <v>58</v>
      </c>
      <c r="O447" s="10" t="n">
        <f aca="false">'Exec Summary'!$E$2-H447</f>
        <v>129</v>
      </c>
      <c r="P447" s="10" t="n">
        <f aca="false">IF(I447="","",I447-H447)</f>
        <v>23</v>
      </c>
      <c r="Q447" s="10" t="n">
        <f aca="false">VLOOKUP(G447,$AA$2:$AB$5,2,FALSE())</f>
        <v>15</v>
      </c>
      <c r="R447" s="7" t="n">
        <f aca="false">IF(OR(F447="Open",F447="Reopened"),1,0)</f>
        <v>1</v>
      </c>
      <c r="S447" s="7" t="n">
        <f aca="false">IF(AND(H447&gt;='Exec Summary'!$E$1,H447&lt;='Exec Summary'!$E$2),1,0)</f>
        <v>0</v>
      </c>
      <c r="T447" s="7" t="n">
        <f aca="false">IF(AND(F447="Closed",I447&lt;&gt;"",I447&gt;='Exec Summary'!$E$1,I447&lt;='Exec Summary'!$E$2),1,0)</f>
        <v>0</v>
      </c>
      <c r="U447" s="7" t="n">
        <f aca="false">IF(F447="Reopened",1,0)</f>
        <v>1</v>
      </c>
      <c r="V447" s="7" t="n">
        <f aca="false">IF(AND(R447=1,O447&gt;Q447),1,0)</f>
        <v>1</v>
      </c>
      <c r="W447" s="7" t="n">
        <f aca="false">IF(AND(T447=1,P447&lt;&gt;"",P447&lt;=Q447),1,0)</f>
        <v>0</v>
      </c>
    </row>
    <row r="448" customFormat="false" ht="15" hidden="false" customHeight="false" outlineLevel="0" collapsed="false">
      <c r="A448" s="7" t="s">
        <v>623</v>
      </c>
      <c r="B448" s="7" t="s">
        <v>46</v>
      </c>
      <c r="C448" s="7" t="s">
        <v>158</v>
      </c>
      <c r="D448" s="7" t="s">
        <v>131</v>
      </c>
      <c r="E448" s="7" t="s">
        <v>132</v>
      </c>
      <c r="F448" s="7" t="s">
        <v>56</v>
      </c>
      <c r="G448" s="7" t="s">
        <v>19</v>
      </c>
      <c r="H448" s="9" t="n">
        <v>46216</v>
      </c>
      <c r="I448" s="9"/>
      <c r="J448" s="7" t="n">
        <v>9.8</v>
      </c>
      <c r="K448" s="7" t="s">
        <v>482</v>
      </c>
      <c r="L448" s="7" t="s">
        <v>21</v>
      </c>
      <c r="M448" s="7" t="s">
        <v>626</v>
      </c>
      <c r="N448" s="7" t="s">
        <v>58</v>
      </c>
      <c r="O448" s="10" t="n">
        <f aca="false">'Exec Summary'!$E$2-H448</f>
        <v>18</v>
      </c>
      <c r="P448" s="10" t="str">
        <f aca="false">IF(I448="","",I448-H448)</f>
        <v/>
      </c>
      <c r="Q448" s="10" t="n">
        <f aca="false">VLOOKUP(G448,$AA$2:$AB$5,2,FALSE())</f>
        <v>15</v>
      </c>
      <c r="R448" s="7" t="n">
        <f aca="false">IF(OR(F448="Open",F448="Reopened"),1,0)</f>
        <v>1</v>
      </c>
      <c r="S448" s="7" t="n">
        <f aca="false">IF(AND(H448&gt;='Exec Summary'!$E$1,H448&lt;='Exec Summary'!$E$2),1,0)</f>
        <v>1</v>
      </c>
      <c r="T448" s="7" t="n">
        <f aca="false">IF(AND(F448="Closed",I448&lt;&gt;"",I448&gt;='Exec Summary'!$E$1,I448&lt;='Exec Summary'!$E$2),1,0)</f>
        <v>0</v>
      </c>
      <c r="U448" s="7" t="n">
        <f aca="false">IF(F448="Reopened",1,0)</f>
        <v>0</v>
      </c>
      <c r="V448" s="7" t="n">
        <f aca="false">IF(AND(R448=1,O448&gt;Q448),1,0)</f>
        <v>1</v>
      </c>
      <c r="W448" s="7" t="n">
        <f aca="false">IF(AND(T448=1,P448&lt;&gt;"",P448&lt;=Q448),1,0)</f>
        <v>0</v>
      </c>
    </row>
    <row r="449" customFormat="false" ht="15" hidden="false" customHeight="false" outlineLevel="0" collapsed="false">
      <c r="A449" s="7" t="s">
        <v>623</v>
      </c>
      <c r="B449" s="7" t="s">
        <v>46</v>
      </c>
      <c r="C449" s="7" t="s">
        <v>158</v>
      </c>
      <c r="D449" s="7" t="s">
        <v>62</v>
      </c>
      <c r="E449" s="7" t="s">
        <v>63</v>
      </c>
      <c r="F449" s="7" t="s">
        <v>50</v>
      </c>
      <c r="G449" s="7" t="s">
        <v>20</v>
      </c>
      <c r="H449" s="9" t="n">
        <v>46103</v>
      </c>
      <c r="I449" s="9" t="n">
        <v>46133</v>
      </c>
      <c r="J449" s="7" t="n">
        <v>8.1</v>
      </c>
      <c r="K449" s="7" t="s">
        <v>482</v>
      </c>
      <c r="L449" s="7" t="s">
        <v>21</v>
      </c>
      <c r="M449" s="7" t="s">
        <v>627</v>
      </c>
      <c r="N449" s="7" t="s">
        <v>53</v>
      </c>
      <c r="O449" s="10" t="n">
        <f aca="false">'Exec Summary'!$E$2-H449</f>
        <v>131</v>
      </c>
      <c r="P449" s="10" t="n">
        <f aca="false">IF(I449="","",I449-H449)</f>
        <v>30</v>
      </c>
      <c r="Q449" s="10" t="n">
        <f aca="false">VLOOKUP(G449,$AA$2:$AB$5,2,FALSE())</f>
        <v>30</v>
      </c>
      <c r="R449" s="7" t="n">
        <f aca="false">IF(OR(F449="Open",F449="Reopened"),1,0)</f>
        <v>0</v>
      </c>
      <c r="S449" s="7" t="n">
        <f aca="false">IF(AND(H449&gt;='Exec Summary'!$E$1,H449&lt;='Exec Summary'!$E$2),1,0)</f>
        <v>0</v>
      </c>
      <c r="T449" s="7" t="n">
        <f aca="false">IF(AND(F449="Closed",I449&lt;&gt;"",I449&gt;='Exec Summary'!$E$1,I449&lt;='Exec Summary'!$E$2),1,0)</f>
        <v>0</v>
      </c>
      <c r="U449" s="7" t="n">
        <f aca="false">IF(F449="Reopened",1,0)</f>
        <v>0</v>
      </c>
      <c r="V449" s="7" t="n">
        <f aca="false">IF(AND(R449=1,O449&gt;Q449),1,0)</f>
        <v>0</v>
      </c>
      <c r="W449" s="7" t="n">
        <f aca="false">IF(AND(T449=1,P449&lt;&gt;"",P449&lt;=Q449),1,0)</f>
        <v>0</v>
      </c>
    </row>
    <row r="450" customFormat="false" ht="15" hidden="false" customHeight="false" outlineLevel="0" collapsed="false">
      <c r="A450" s="7" t="s">
        <v>623</v>
      </c>
      <c r="B450" s="7" t="s">
        <v>46</v>
      </c>
      <c r="C450" s="7" t="s">
        <v>158</v>
      </c>
      <c r="D450" s="7" t="s">
        <v>48</v>
      </c>
      <c r="E450" s="7" t="s">
        <v>49</v>
      </c>
      <c r="F450" s="7" t="s">
        <v>56</v>
      </c>
      <c r="G450" s="7" t="s">
        <v>20</v>
      </c>
      <c r="H450" s="9" t="n">
        <v>46055</v>
      </c>
      <c r="I450" s="9"/>
      <c r="J450" s="7" t="n">
        <v>7.5</v>
      </c>
      <c r="K450" s="7" t="s">
        <v>482</v>
      </c>
      <c r="L450" s="7" t="s">
        <v>21</v>
      </c>
      <c r="M450" s="7" t="s">
        <v>628</v>
      </c>
      <c r="N450" s="7" t="s">
        <v>53</v>
      </c>
      <c r="O450" s="10" t="n">
        <f aca="false">'Exec Summary'!$E$2-H450</f>
        <v>179</v>
      </c>
      <c r="P450" s="10" t="str">
        <f aca="false">IF(I450="","",I450-H450)</f>
        <v/>
      </c>
      <c r="Q450" s="10" t="n">
        <f aca="false">VLOOKUP(G450,$AA$2:$AB$5,2,FALSE())</f>
        <v>30</v>
      </c>
      <c r="R450" s="7" t="n">
        <f aca="false">IF(OR(F450="Open",F450="Reopened"),1,0)</f>
        <v>1</v>
      </c>
      <c r="S450" s="7" t="n">
        <f aca="false">IF(AND(H450&gt;='Exec Summary'!$E$1,H450&lt;='Exec Summary'!$E$2),1,0)</f>
        <v>0</v>
      </c>
      <c r="T450" s="7" t="n">
        <f aca="false">IF(AND(F450="Closed",I450&lt;&gt;"",I450&gt;='Exec Summary'!$E$1,I450&lt;='Exec Summary'!$E$2),1,0)</f>
        <v>0</v>
      </c>
      <c r="U450" s="7" t="n">
        <f aca="false">IF(F450="Reopened",1,0)</f>
        <v>0</v>
      </c>
      <c r="V450" s="7" t="n">
        <f aca="false">IF(AND(R450=1,O450&gt;Q450),1,0)</f>
        <v>1</v>
      </c>
      <c r="W450" s="7" t="n">
        <f aca="false">IF(AND(T450=1,P450&lt;&gt;"",P450&lt;=Q450),1,0)</f>
        <v>0</v>
      </c>
    </row>
    <row r="451" customFormat="false" ht="15" hidden="false" customHeight="false" outlineLevel="0" collapsed="false">
      <c r="A451" s="7" t="s">
        <v>629</v>
      </c>
      <c r="B451" s="7" t="s">
        <v>46</v>
      </c>
      <c r="C451" s="7" t="s">
        <v>158</v>
      </c>
      <c r="D451" s="7" t="s">
        <v>74</v>
      </c>
      <c r="E451" s="7" t="s">
        <v>75</v>
      </c>
      <c r="F451" s="7" t="s">
        <v>56</v>
      </c>
      <c r="G451" s="7" t="s">
        <v>21</v>
      </c>
      <c r="H451" s="9" t="n">
        <v>46213</v>
      </c>
      <c r="I451" s="9"/>
      <c r="J451" s="7" t="n">
        <v>6.5</v>
      </c>
      <c r="K451" s="7" t="s">
        <v>482</v>
      </c>
      <c r="L451" s="7" t="s">
        <v>20</v>
      </c>
      <c r="M451" s="7" t="s">
        <v>630</v>
      </c>
      <c r="N451" s="7" t="s">
        <v>77</v>
      </c>
      <c r="O451" s="10" t="n">
        <f aca="false">'Exec Summary'!$E$2-H451</f>
        <v>21</v>
      </c>
      <c r="P451" s="10" t="str">
        <f aca="false">IF(I451="","",I451-H451)</f>
        <v/>
      </c>
      <c r="Q451" s="10" t="n">
        <f aca="false">VLOOKUP(G451,$AA$2:$AB$5,2,FALSE())</f>
        <v>90</v>
      </c>
      <c r="R451" s="7" t="n">
        <f aca="false">IF(OR(F451="Open",F451="Reopened"),1,0)</f>
        <v>1</v>
      </c>
      <c r="S451" s="7" t="n">
        <f aca="false">IF(AND(H451&gt;='Exec Summary'!$E$1,H451&lt;='Exec Summary'!$E$2),1,0)</f>
        <v>1</v>
      </c>
      <c r="T451" s="7" t="n">
        <f aca="false">IF(AND(F451="Closed",I451&lt;&gt;"",I451&gt;='Exec Summary'!$E$1,I451&lt;='Exec Summary'!$E$2),1,0)</f>
        <v>0</v>
      </c>
      <c r="U451" s="7" t="n">
        <f aca="false">IF(F451="Reopened",1,0)</f>
        <v>0</v>
      </c>
      <c r="V451" s="7" t="n">
        <f aca="false">IF(AND(R451=1,O451&gt;Q451),1,0)</f>
        <v>0</v>
      </c>
      <c r="W451" s="7" t="n">
        <f aca="false">IF(AND(T451=1,P451&lt;&gt;"",P451&lt;=Q451),1,0)</f>
        <v>0</v>
      </c>
    </row>
    <row r="452" customFormat="false" ht="15" hidden="false" customHeight="false" outlineLevel="0" collapsed="false">
      <c r="A452" s="7" t="s">
        <v>629</v>
      </c>
      <c r="B452" s="7" t="s">
        <v>46</v>
      </c>
      <c r="C452" s="7" t="s">
        <v>158</v>
      </c>
      <c r="D452" s="7" t="s">
        <v>210</v>
      </c>
      <c r="E452" s="7" t="s">
        <v>211</v>
      </c>
      <c r="F452" s="7" t="s">
        <v>56</v>
      </c>
      <c r="G452" s="7" t="s">
        <v>19</v>
      </c>
      <c r="H452" s="9" t="n">
        <v>46176</v>
      </c>
      <c r="I452" s="9"/>
      <c r="J452" s="7" t="n">
        <v>9.8</v>
      </c>
      <c r="K452" s="7" t="s">
        <v>482</v>
      </c>
      <c r="L452" s="7" t="s">
        <v>20</v>
      </c>
      <c r="M452" s="7" t="s">
        <v>631</v>
      </c>
      <c r="N452" s="7" t="s">
        <v>58</v>
      </c>
      <c r="O452" s="10" t="n">
        <f aca="false">'Exec Summary'!$E$2-H452</f>
        <v>58</v>
      </c>
      <c r="P452" s="10" t="str">
        <f aca="false">IF(I452="","",I452-H452)</f>
        <v/>
      </c>
      <c r="Q452" s="10" t="n">
        <f aca="false">VLOOKUP(G452,$AA$2:$AB$5,2,FALSE())</f>
        <v>15</v>
      </c>
      <c r="R452" s="7" t="n">
        <f aca="false">IF(OR(F452="Open",F452="Reopened"),1,0)</f>
        <v>1</v>
      </c>
      <c r="S452" s="7" t="n">
        <f aca="false">IF(AND(H452&gt;='Exec Summary'!$E$1,H452&lt;='Exec Summary'!$E$2),1,0)</f>
        <v>0</v>
      </c>
      <c r="T452" s="7" t="n">
        <f aca="false">IF(AND(F452="Closed",I452&lt;&gt;"",I452&gt;='Exec Summary'!$E$1,I452&lt;='Exec Summary'!$E$2),1,0)</f>
        <v>0</v>
      </c>
      <c r="U452" s="7" t="n">
        <f aca="false">IF(F452="Reopened",1,0)</f>
        <v>0</v>
      </c>
      <c r="V452" s="7" t="n">
        <f aca="false">IF(AND(R452=1,O452&gt;Q452),1,0)</f>
        <v>1</v>
      </c>
      <c r="W452" s="7" t="n">
        <f aca="false">IF(AND(T452=1,P452&lt;&gt;"",P452&lt;=Q452),1,0)</f>
        <v>0</v>
      </c>
    </row>
    <row r="453" customFormat="false" ht="15" hidden="false" customHeight="false" outlineLevel="0" collapsed="false">
      <c r="A453" s="7" t="s">
        <v>629</v>
      </c>
      <c r="B453" s="7" t="s">
        <v>46</v>
      </c>
      <c r="C453" s="7" t="s">
        <v>158</v>
      </c>
      <c r="D453" s="7" t="s">
        <v>104</v>
      </c>
      <c r="E453" s="7" t="s">
        <v>105</v>
      </c>
      <c r="F453" s="7" t="s">
        <v>56</v>
      </c>
      <c r="G453" s="7" t="s">
        <v>19</v>
      </c>
      <c r="H453" s="9" t="n">
        <v>46207</v>
      </c>
      <c r="I453" s="9"/>
      <c r="J453" s="7" t="n">
        <v>9.8</v>
      </c>
      <c r="K453" s="7" t="s">
        <v>482</v>
      </c>
      <c r="L453" s="7" t="s">
        <v>20</v>
      </c>
      <c r="M453" s="7" t="s">
        <v>632</v>
      </c>
      <c r="N453" s="7" t="s">
        <v>58</v>
      </c>
      <c r="O453" s="10" t="n">
        <f aca="false">'Exec Summary'!$E$2-H453</f>
        <v>27</v>
      </c>
      <c r="P453" s="10" t="str">
        <f aca="false">IF(I453="","",I453-H453)</f>
        <v/>
      </c>
      <c r="Q453" s="10" t="n">
        <f aca="false">VLOOKUP(G453,$AA$2:$AB$5,2,FALSE())</f>
        <v>15</v>
      </c>
      <c r="R453" s="7" t="n">
        <f aca="false">IF(OR(F453="Open",F453="Reopened"),1,0)</f>
        <v>1</v>
      </c>
      <c r="S453" s="7" t="n">
        <f aca="false">IF(AND(H453&gt;='Exec Summary'!$E$1,H453&lt;='Exec Summary'!$E$2),1,0)</f>
        <v>1</v>
      </c>
      <c r="T453" s="7" t="n">
        <f aca="false">IF(AND(F453="Closed",I453&lt;&gt;"",I453&gt;='Exec Summary'!$E$1,I453&lt;='Exec Summary'!$E$2),1,0)</f>
        <v>0</v>
      </c>
      <c r="U453" s="7" t="n">
        <f aca="false">IF(F453="Reopened",1,0)</f>
        <v>0</v>
      </c>
      <c r="V453" s="7" t="n">
        <f aca="false">IF(AND(R453=1,O453&gt;Q453),1,0)</f>
        <v>1</v>
      </c>
      <c r="W453" s="7" t="n">
        <f aca="false">IF(AND(T453=1,P453&lt;&gt;"",P453&lt;=Q453),1,0)</f>
        <v>0</v>
      </c>
    </row>
    <row r="454" customFormat="false" ht="15" hidden="false" customHeight="false" outlineLevel="0" collapsed="false">
      <c r="A454" s="7" t="s">
        <v>629</v>
      </c>
      <c r="B454" s="7" t="s">
        <v>46</v>
      </c>
      <c r="C454" s="7" t="s">
        <v>158</v>
      </c>
      <c r="D454" s="7" t="s">
        <v>59</v>
      </c>
      <c r="E454" s="7" t="s">
        <v>60</v>
      </c>
      <c r="F454" s="7" t="s">
        <v>50</v>
      </c>
      <c r="G454" s="7" t="s">
        <v>19</v>
      </c>
      <c r="H454" s="9" t="n">
        <v>45999</v>
      </c>
      <c r="I454" s="9" t="n">
        <v>46000</v>
      </c>
      <c r="J454" s="7" t="n">
        <v>7.8</v>
      </c>
      <c r="K454" s="7" t="s">
        <v>482</v>
      </c>
      <c r="L454" s="7" t="s">
        <v>20</v>
      </c>
      <c r="M454" s="7" t="s">
        <v>633</v>
      </c>
      <c r="N454" s="7" t="s">
        <v>58</v>
      </c>
      <c r="O454" s="10" t="n">
        <f aca="false">'Exec Summary'!$E$2-H454</f>
        <v>235</v>
      </c>
      <c r="P454" s="10" t="n">
        <f aca="false">IF(I454="","",I454-H454)</f>
        <v>1</v>
      </c>
      <c r="Q454" s="10" t="n">
        <f aca="false">VLOOKUP(G454,$AA$2:$AB$5,2,FALSE())</f>
        <v>15</v>
      </c>
      <c r="R454" s="7" t="n">
        <f aca="false">IF(OR(F454="Open",F454="Reopened"),1,0)</f>
        <v>0</v>
      </c>
      <c r="S454" s="7" t="n">
        <f aca="false">IF(AND(H454&gt;='Exec Summary'!$E$1,H454&lt;='Exec Summary'!$E$2),1,0)</f>
        <v>0</v>
      </c>
      <c r="T454" s="7" t="n">
        <f aca="false">IF(AND(F454="Closed",I454&lt;&gt;"",I454&gt;='Exec Summary'!$E$1,I454&lt;='Exec Summary'!$E$2),1,0)</f>
        <v>0</v>
      </c>
      <c r="U454" s="7" t="n">
        <f aca="false">IF(F454="Reopened",1,0)</f>
        <v>0</v>
      </c>
      <c r="V454" s="7" t="n">
        <f aca="false">IF(AND(R454=1,O454&gt;Q454),1,0)</f>
        <v>0</v>
      </c>
      <c r="W454" s="7" t="n">
        <f aca="false">IF(AND(T454=1,P454&lt;&gt;"",P454&lt;=Q454),1,0)</f>
        <v>0</v>
      </c>
    </row>
    <row r="455" customFormat="false" ht="15" hidden="false" customHeight="false" outlineLevel="0" collapsed="false">
      <c r="A455" s="7" t="s">
        <v>629</v>
      </c>
      <c r="B455" s="7" t="s">
        <v>46</v>
      </c>
      <c r="C455" s="7" t="s">
        <v>158</v>
      </c>
      <c r="D455" s="7" t="s">
        <v>98</v>
      </c>
      <c r="E455" s="7" t="s">
        <v>99</v>
      </c>
      <c r="F455" s="7" t="s">
        <v>56</v>
      </c>
      <c r="G455" s="7" t="s">
        <v>19</v>
      </c>
      <c r="H455" s="9" t="n">
        <v>46220</v>
      </c>
      <c r="I455" s="9"/>
      <c r="J455" s="7" t="n">
        <v>10</v>
      </c>
      <c r="K455" s="7" t="s">
        <v>482</v>
      </c>
      <c r="L455" s="7" t="s">
        <v>20</v>
      </c>
      <c r="M455" s="7" t="s">
        <v>634</v>
      </c>
      <c r="N455" s="7" t="s">
        <v>58</v>
      </c>
      <c r="O455" s="10" t="n">
        <f aca="false">'Exec Summary'!$E$2-H455</f>
        <v>14</v>
      </c>
      <c r="P455" s="10" t="str">
        <f aca="false">IF(I455="","",I455-H455)</f>
        <v/>
      </c>
      <c r="Q455" s="10" t="n">
        <f aca="false">VLOOKUP(G455,$AA$2:$AB$5,2,FALSE())</f>
        <v>15</v>
      </c>
      <c r="R455" s="7" t="n">
        <f aca="false">IF(OR(F455="Open",F455="Reopened"),1,0)</f>
        <v>1</v>
      </c>
      <c r="S455" s="7" t="n">
        <f aca="false">IF(AND(H455&gt;='Exec Summary'!$E$1,H455&lt;='Exec Summary'!$E$2),1,0)</f>
        <v>1</v>
      </c>
      <c r="T455" s="7" t="n">
        <f aca="false">IF(AND(F455="Closed",I455&lt;&gt;"",I455&gt;='Exec Summary'!$E$1,I455&lt;='Exec Summary'!$E$2),1,0)</f>
        <v>0</v>
      </c>
      <c r="U455" s="7" t="n">
        <f aca="false">IF(F455="Reopened",1,0)</f>
        <v>0</v>
      </c>
      <c r="V455" s="7" t="n">
        <f aca="false">IF(AND(R455=1,O455&gt;Q455),1,0)</f>
        <v>0</v>
      </c>
      <c r="W455" s="7" t="n">
        <f aca="false">IF(AND(T455=1,P455&lt;&gt;"",P455&lt;=Q455),1,0)</f>
        <v>0</v>
      </c>
    </row>
    <row r="456" customFormat="false" ht="15" hidden="false" customHeight="false" outlineLevel="0" collapsed="false">
      <c r="A456" s="7" t="s">
        <v>629</v>
      </c>
      <c r="B456" s="7" t="s">
        <v>46</v>
      </c>
      <c r="C456" s="7" t="s">
        <v>158</v>
      </c>
      <c r="D456" s="7" t="s">
        <v>120</v>
      </c>
      <c r="E456" s="7" t="s">
        <v>121</v>
      </c>
      <c r="F456" s="7" t="s">
        <v>56</v>
      </c>
      <c r="G456" s="7" t="s">
        <v>19</v>
      </c>
      <c r="H456" s="9" t="n">
        <v>46163</v>
      </c>
      <c r="I456" s="9"/>
      <c r="J456" s="7" t="n">
        <v>8.8</v>
      </c>
      <c r="K456" s="7" t="s">
        <v>482</v>
      </c>
      <c r="L456" s="7" t="s">
        <v>20</v>
      </c>
      <c r="M456" s="7" t="s">
        <v>635</v>
      </c>
      <c r="N456" s="7" t="s">
        <v>58</v>
      </c>
      <c r="O456" s="10" t="n">
        <f aca="false">'Exec Summary'!$E$2-H456</f>
        <v>71</v>
      </c>
      <c r="P456" s="10" t="str">
        <f aca="false">IF(I456="","",I456-H456)</f>
        <v/>
      </c>
      <c r="Q456" s="10" t="n">
        <f aca="false">VLOOKUP(G456,$AA$2:$AB$5,2,FALSE())</f>
        <v>15</v>
      </c>
      <c r="R456" s="7" t="n">
        <f aca="false">IF(OR(F456="Open",F456="Reopened"),1,0)</f>
        <v>1</v>
      </c>
      <c r="S456" s="7" t="n">
        <f aca="false">IF(AND(H456&gt;='Exec Summary'!$E$1,H456&lt;='Exec Summary'!$E$2),1,0)</f>
        <v>0</v>
      </c>
      <c r="T456" s="7" t="n">
        <f aca="false">IF(AND(F456="Closed",I456&lt;&gt;"",I456&gt;='Exec Summary'!$E$1,I456&lt;='Exec Summary'!$E$2),1,0)</f>
        <v>0</v>
      </c>
      <c r="U456" s="7" t="n">
        <f aca="false">IF(F456="Reopened",1,0)</f>
        <v>0</v>
      </c>
      <c r="V456" s="7" t="n">
        <f aca="false">IF(AND(R456=1,O456&gt;Q456),1,0)</f>
        <v>1</v>
      </c>
      <c r="W456" s="7" t="n">
        <f aca="false">IF(AND(T456=1,P456&lt;&gt;"",P456&lt;=Q456),1,0)</f>
        <v>0</v>
      </c>
    </row>
    <row r="457" customFormat="false" ht="15" hidden="false" customHeight="false" outlineLevel="0" collapsed="false">
      <c r="A457" s="7" t="s">
        <v>629</v>
      </c>
      <c r="B457" s="7" t="s">
        <v>46</v>
      </c>
      <c r="C457" s="7" t="s">
        <v>158</v>
      </c>
      <c r="D457" s="7" t="s">
        <v>173</v>
      </c>
      <c r="E457" s="7" t="s">
        <v>174</v>
      </c>
      <c r="F457" s="7" t="s">
        <v>50</v>
      </c>
      <c r="G457" s="7" t="s">
        <v>19</v>
      </c>
      <c r="H457" s="9" t="n">
        <v>46157</v>
      </c>
      <c r="I457" s="9" t="n">
        <v>46158</v>
      </c>
      <c r="J457" s="7" t="n">
        <v>9.8</v>
      </c>
      <c r="K457" s="7" t="s">
        <v>482</v>
      </c>
      <c r="L457" s="7" t="s">
        <v>20</v>
      </c>
      <c r="M457" s="7" t="s">
        <v>636</v>
      </c>
      <c r="N457" s="7" t="s">
        <v>58</v>
      </c>
      <c r="O457" s="10" t="n">
        <f aca="false">'Exec Summary'!$E$2-H457</f>
        <v>77</v>
      </c>
      <c r="P457" s="10" t="n">
        <f aca="false">IF(I457="","",I457-H457)</f>
        <v>1</v>
      </c>
      <c r="Q457" s="10" t="n">
        <f aca="false">VLOOKUP(G457,$AA$2:$AB$5,2,FALSE())</f>
        <v>15</v>
      </c>
      <c r="R457" s="7" t="n">
        <f aca="false">IF(OR(F457="Open",F457="Reopened"),1,0)</f>
        <v>0</v>
      </c>
      <c r="S457" s="7" t="n">
        <f aca="false">IF(AND(H457&gt;='Exec Summary'!$E$1,H457&lt;='Exec Summary'!$E$2),1,0)</f>
        <v>0</v>
      </c>
      <c r="T457" s="7" t="n">
        <f aca="false">IF(AND(F457="Closed",I457&lt;&gt;"",I457&gt;='Exec Summary'!$E$1,I457&lt;='Exec Summary'!$E$2),1,0)</f>
        <v>0</v>
      </c>
      <c r="U457" s="7" t="n">
        <f aca="false">IF(F457="Reopened",1,0)</f>
        <v>0</v>
      </c>
      <c r="V457" s="7" t="n">
        <f aca="false">IF(AND(R457=1,O457&gt;Q457),1,0)</f>
        <v>0</v>
      </c>
      <c r="W457" s="7" t="n">
        <f aca="false">IF(AND(T457=1,P457&lt;&gt;"",P457&lt;=Q457),1,0)</f>
        <v>0</v>
      </c>
    </row>
    <row r="458" customFormat="false" ht="15" hidden="false" customHeight="false" outlineLevel="0" collapsed="false">
      <c r="A458" s="7" t="s">
        <v>629</v>
      </c>
      <c r="B458" s="7" t="s">
        <v>46</v>
      </c>
      <c r="C458" s="7" t="s">
        <v>158</v>
      </c>
      <c r="D458" s="7" t="s">
        <v>112</v>
      </c>
      <c r="E458" s="7" t="s">
        <v>113</v>
      </c>
      <c r="F458" s="7" t="s">
        <v>56</v>
      </c>
      <c r="G458" s="7" t="s">
        <v>20</v>
      </c>
      <c r="H458" s="9" t="n">
        <v>46019</v>
      </c>
      <c r="I458" s="9"/>
      <c r="J458" s="7" t="n">
        <v>7.8</v>
      </c>
      <c r="K458" s="7" t="s">
        <v>482</v>
      </c>
      <c r="L458" s="7" t="s">
        <v>20</v>
      </c>
      <c r="M458" s="7" t="s">
        <v>637</v>
      </c>
      <c r="N458" s="7" t="s">
        <v>53</v>
      </c>
      <c r="O458" s="10" t="n">
        <f aca="false">'Exec Summary'!$E$2-H458</f>
        <v>215</v>
      </c>
      <c r="P458" s="10" t="str">
        <f aca="false">IF(I458="","",I458-H458)</f>
        <v/>
      </c>
      <c r="Q458" s="10" t="n">
        <f aca="false">VLOOKUP(G458,$AA$2:$AB$5,2,FALSE())</f>
        <v>30</v>
      </c>
      <c r="R458" s="7" t="n">
        <f aca="false">IF(OR(F458="Open",F458="Reopened"),1,0)</f>
        <v>1</v>
      </c>
      <c r="S458" s="7" t="n">
        <f aca="false">IF(AND(H458&gt;='Exec Summary'!$E$1,H458&lt;='Exec Summary'!$E$2),1,0)</f>
        <v>0</v>
      </c>
      <c r="T458" s="7" t="n">
        <f aca="false">IF(AND(F458="Closed",I458&lt;&gt;"",I458&gt;='Exec Summary'!$E$1,I458&lt;='Exec Summary'!$E$2),1,0)</f>
        <v>0</v>
      </c>
      <c r="U458" s="7" t="n">
        <f aca="false">IF(F458="Reopened",1,0)</f>
        <v>0</v>
      </c>
      <c r="V458" s="7" t="n">
        <f aca="false">IF(AND(R458=1,O458&gt;Q458),1,0)</f>
        <v>1</v>
      </c>
      <c r="W458" s="7" t="n">
        <f aca="false">IF(AND(T458=1,P458&lt;&gt;"",P458&lt;=Q458),1,0)</f>
        <v>0</v>
      </c>
    </row>
    <row r="459" customFormat="false" ht="15" hidden="false" customHeight="false" outlineLevel="0" collapsed="false">
      <c r="A459" s="7" t="s">
        <v>629</v>
      </c>
      <c r="B459" s="7" t="s">
        <v>46</v>
      </c>
      <c r="C459" s="7" t="s">
        <v>158</v>
      </c>
      <c r="D459" s="7" t="s">
        <v>131</v>
      </c>
      <c r="E459" s="7" t="s">
        <v>132</v>
      </c>
      <c r="F459" s="7" t="s">
        <v>50</v>
      </c>
      <c r="G459" s="7" t="s">
        <v>19</v>
      </c>
      <c r="H459" s="9" t="n">
        <v>46082</v>
      </c>
      <c r="I459" s="9" t="n">
        <v>46100</v>
      </c>
      <c r="J459" s="7" t="n">
        <v>9.8</v>
      </c>
      <c r="K459" s="7" t="s">
        <v>482</v>
      </c>
      <c r="L459" s="7" t="s">
        <v>20</v>
      </c>
      <c r="M459" s="7" t="s">
        <v>638</v>
      </c>
      <c r="N459" s="7" t="s">
        <v>58</v>
      </c>
      <c r="O459" s="10" t="n">
        <f aca="false">'Exec Summary'!$E$2-H459</f>
        <v>152</v>
      </c>
      <c r="P459" s="10" t="n">
        <f aca="false">IF(I459="","",I459-H459)</f>
        <v>18</v>
      </c>
      <c r="Q459" s="10" t="n">
        <f aca="false">VLOOKUP(G459,$AA$2:$AB$5,2,FALSE())</f>
        <v>15</v>
      </c>
      <c r="R459" s="7" t="n">
        <f aca="false">IF(OR(F459="Open",F459="Reopened"),1,0)</f>
        <v>0</v>
      </c>
      <c r="S459" s="7" t="n">
        <f aca="false">IF(AND(H459&gt;='Exec Summary'!$E$1,H459&lt;='Exec Summary'!$E$2),1,0)</f>
        <v>0</v>
      </c>
      <c r="T459" s="7" t="n">
        <f aca="false">IF(AND(F459="Closed",I459&lt;&gt;"",I459&gt;='Exec Summary'!$E$1,I459&lt;='Exec Summary'!$E$2),1,0)</f>
        <v>0</v>
      </c>
      <c r="U459" s="7" t="n">
        <f aca="false">IF(F459="Reopened",1,0)</f>
        <v>0</v>
      </c>
      <c r="V459" s="7" t="n">
        <f aca="false">IF(AND(R459=1,O459&gt;Q459),1,0)</f>
        <v>0</v>
      </c>
      <c r="W459" s="7" t="n">
        <f aca="false">IF(AND(T459=1,P459&lt;&gt;"",P459&lt;=Q459),1,0)</f>
        <v>0</v>
      </c>
    </row>
    <row r="460" customFormat="false" ht="15" hidden="false" customHeight="false" outlineLevel="0" collapsed="false">
      <c r="A460" s="7" t="s">
        <v>629</v>
      </c>
      <c r="B460" s="7" t="s">
        <v>46</v>
      </c>
      <c r="C460" s="7" t="s">
        <v>158</v>
      </c>
      <c r="D460" s="7" t="s">
        <v>84</v>
      </c>
      <c r="E460" s="7" t="s">
        <v>85</v>
      </c>
      <c r="F460" s="7" t="s">
        <v>123</v>
      </c>
      <c r="G460" s="7" t="s">
        <v>20</v>
      </c>
      <c r="H460" s="9" t="n">
        <v>46137</v>
      </c>
      <c r="I460" s="9" t="n">
        <v>46143</v>
      </c>
      <c r="J460" s="7" t="n">
        <v>7.5</v>
      </c>
      <c r="K460" s="7" t="s">
        <v>482</v>
      </c>
      <c r="L460" s="7" t="s">
        <v>20</v>
      </c>
      <c r="M460" s="7" t="s">
        <v>639</v>
      </c>
      <c r="N460" s="7" t="s">
        <v>53</v>
      </c>
      <c r="O460" s="10" t="n">
        <f aca="false">'Exec Summary'!$E$2-H460</f>
        <v>97</v>
      </c>
      <c r="P460" s="10" t="n">
        <f aca="false">IF(I460="","",I460-H460)</f>
        <v>6</v>
      </c>
      <c r="Q460" s="10" t="n">
        <f aca="false">VLOOKUP(G460,$AA$2:$AB$5,2,FALSE())</f>
        <v>30</v>
      </c>
      <c r="R460" s="7" t="n">
        <f aca="false">IF(OR(F460="Open",F460="Reopened"),1,0)</f>
        <v>1</v>
      </c>
      <c r="S460" s="7" t="n">
        <f aca="false">IF(AND(H460&gt;='Exec Summary'!$E$1,H460&lt;='Exec Summary'!$E$2),1,0)</f>
        <v>0</v>
      </c>
      <c r="T460" s="7" t="n">
        <f aca="false">IF(AND(F460="Closed",I460&lt;&gt;"",I460&gt;='Exec Summary'!$E$1,I460&lt;='Exec Summary'!$E$2),1,0)</f>
        <v>0</v>
      </c>
      <c r="U460" s="7" t="n">
        <f aca="false">IF(F460="Reopened",1,0)</f>
        <v>1</v>
      </c>
      <c r="V460" s="7" t="n">
        <f aca="false">IF(AND(R460=1,O460&gt;Q460),1,0)</f>
        <v>1</v>
      </c>
      <c r="W460" s="7" t="n">
        <f aca="false">IF(AND(T460=1,P460&lt;&gt;"",P460&lt;=Q460),1,0)</f>
        <v>0</v>
      </c>
    </row>
    <row r="461" customFormat="false" ht="15" hidden="false" customHeight="false" outlineLevel="0" collapsed="false">
      <c r="A461" s="7" t="s">
        <v>640</v>
      </c>
      <c r="B461" s="7" t="s">
        <v>135</v>
      </c>
      <c r="C461" s="7" t="s">
        <v>136</v>
      </c>
      <c r="D461" s="7" t="s">
        <v>98</v>
      </c>
      <c r="E461" s="7" t="s">
        <v>99</v>
      </c>
      <c r="F461" s="7" t="s">
        <v>56</v>
      </c>
      <c r="G461" s="7" t="s">
        <v>19</v>
      </c>
      <c r="H461" s="9" t="n">
        <v>45938</v>
      </c>
      <c r="I461" s="9"/>
      <c r="J461" s="7" t="n">
        <v>10</v>
      </c>
      <c r="K461" s="7" t="s">
        <v>482</v>
      </c>
      <c r="L461" s="7" t="s">
        <v>20</v>
      </c>
      <c r="M461" s="7" t="s">
        <v>641</v>
      </c>
      <c r="N461" s="7" t="s">
        <v>58</v>
      </c>
      <c r="O461" s="10" t="n">
        <f aca="false">'Exec Summary'!$E$2-H461</f>
        <v>296</v>
      </c>
      <c r="P461" s="10" t="str">
        <f aca="false">IF(I461="","",I461-H461)</f>
        <v/>
      </c>
      <c r="Q461" s="10" t="n">
        <f aca="false">VLOOKUP(G461,$AA$2:$AB$5,2,FALSE())</f>
        <v>15</v>
      </c>
      <c r="R461" s="7" t="n">
        <f aca="false">IF(OR(F461="Open",F461="Reopened"),1,0)</f>
        <v>1</v>
      </c>
      <c r="S461" s="7" t="n">
        <f aca="false">IF(AND(H461&gt;='Exec Summary'!$E$1,H461&lt;='Exec Summary'!$E$2),1,0)</f>
        <v>0</v>
      </c>
      <c r="T461" s="7" t="n">
        <f aca="false">IF(AND(F461="Closed",I461&lt;&gt;"",I461&gt;='Exec Summary'!$E$1,I461&lt;='Exec Summary'!$E$2),1,0)</f>
        <v>0</v>
      </c>
      <c r="U461" s="7" t="n">
        <f aca="false">IF(F461="Reopened",1,0)</f>
        <v>0</v>
      </c>
      <c r="V461" s="7" t="n">
        <f aca="false">IF(AND(R461=1,O461&gt;Q461),1,0)</f>
        <v>1</v>
      </c>
      <c r="W461" s="7" t="n">
        <f aca="false">IF(AND(T461=1,P461&lt;&gt;"",P461&lt;=Q461),1,0)</f>
        <v>0</v>
      </c>
    </row>
    <row r="462" customFormat="false" ht="15" hidden="false" customHeight="false" outlineLevel="0" collapsed="false">
      <c r="A462" s="7" t="s">
        <v>640</v>
      </c>
      <c r="B462" s="7" t="s">
        <v>135</v>
      </c>
      <c r="C462" s="7" t="s">
        <v>136</v>
      </c>
      <c r="D462" s="7" t="s">
        <v>48</v>
      </c>
      <c r="E462" s="7" t="s">
        <v>49</v>
      </c>
      <c r="F462" s="7" t="s">
        <v>50</v>
      </c>
      <c r="G462" s="7" t="s">
        <v>20</v>
      </c>
      <c r="H462" s="9" t="n">
        <v>46167</v>
      </c>
      <c r="I462" s="9" t="n">
        <v>46186</v>
      </c>
      <c r="J462" s="7" t="n">
        <v>7.5</v>
      </c>
      <c r="K462" s="7" t="s">
        <v>482</v>
      </c>
      <c r="L462" s="7" t="s">
        <v>20</v>
      </c>
      <c r="M462" s="7" t="s">
        <v>642</v>
      </c>
      <c r="N462" s="7" t="s">
        <v>53</v>
      </c>
      <c r="O462" s="10" t="n">
        <f aca="false">'Exec Summary'!$E$2-H462</f>
        <v>67</v>
      </c>
      <c r="P462" s="10" t="n">
        <f aca="false">IF(I462="","",I462-H462)</f>
        <v>19</v>
      </c>
      <c r="Q462" s="10" t="n">
        <f aca="false">VLOOKUP(G462,$AA$2:$AB$5,2,FALSE())</f>
        <v>30</v>
      </c>
      <c r="R462" s="7" t="n">
        <f aca="false">IF(OR(F462="Open",F462="Reopened"),1,0)</f>
        <v>0</v>
      </c>
      <c r="S462" s="7" t="n">
        <f aca="false">IF(AND(H462&gt;='Exec Summary'!$E$1,H462&lt;='Exec Summary'!$E$2),1,0)</f>
        <v>0</v>
      </c>
      <c r="T462" s="7" t="n">
        <f aca="false">IF(AND(F462="Closed",I462&lt;&gt;"",I462&gt;='Exec Summary'!$E$1,I462&lt;='Exec Summary'!$E$2),1,0)</f>
        <v>0</v>
      </c>
      <c r="U462" s="7" t="n">
        <f aca="false">IF(F462="Reopened",1,0)</f>
        <v>0</v>
      </c>
      <c r="V462" s="7" t="n">
        <f aca="false">IF(AND(R462=1,O462&gt;Q462),1,0)</f>
        <v>0</v>
      </c>
      <c r="W462" s="7" t="n">
        <f aca="false">IF(AND(T462=1,P462&lt;&gt;"",P462&lt;=Q462),1,0)</f>
        <v>0</v>
      </c>
    </row>
    <row r="463" customFormat="false" ht="15" hidden="false" customHeight="false" outlineLevel="0" collapsed="false">
      <c r="A463" s="7" t="s">
        <v>640</v>
      </c>
      <c r="B463" s="7" t="s">
        <v>135</v>
      </c>
      <c r="C463" s="7" t="s">
        <v>136</v>
      </c>
      <c r="D463" s="7" t="s">
        <v>101</v>
      </c>
      <c r="E463" s="7" t="s">
        <v>102</v>
      </c>
      <c r="F463" s="7" t="s">
        <v>56</v>
      </c>
      <c r="G463" s="7" t="s">
        <v>19</v>
      </c>
      <c r="H463" s="9" t="n">
        <v>46089</v>
      </c>
      <c r="I463" s="9"/>
      <c r="J463" s="7" t="n">
        <v>10</v>
      </c>
      <c r="K463" s="7" t="s">
        <v>482</v>
      </c>
      <c r="L463" s="7" t="s">
        <v>20</v>
      </c>
      <c r="M463" s="7" t="s">
        <v>643</v>
      </c>
      <c r="N463" s="7" t="s">
        <v>58</v>
      </c>
      <c r="O463" s="10" t="n">
        <f aca="false">'Exec Summary'!$E$2-H463</f>
        <v>145</v>
      </c>
      <c r="P463" s="10" t="str">
        <f aca="false">IF(I463="","",I463-H463)</f>
        <v/>
      </c>
      <c r="Q463" s="10" t="n">
        <f aca="false">VLOOKUP(G463,$AA$2:$AB$5,2,FALSE())</f>
        <v>15</v>
      </c>
      <c r="R463" s="7" t="n">
        <f aca="false">IF(OR(F463="Open",F463="Reopened"),1,0)</f>
        <v>1</v>
      </c>
      <c r="S463" s="7" t="n">
        <f aca="false">IF(AND(H463&gt;='Exec Summary'!$E$1,H463&lt;='Exec Summary'!$E$2),1,0)</f>
        <v>0</v>
      </c>
      <c r="T463" s="7" t="n">
        <f aca="false">IF(AND(F463="Closed",I463&lt;&gt;"",I463&gt;='Exec Summary'!$E$1,I463&lt;='Exec Summary'!$E$2),1,0)</f>
        <v>0</v>
      </c>
      <c r="U463" s="7" t="n">
        <f aca="false">IF(F463="Reopened",1,0)</f>
        <v>0</v>
      </c>
      <c r="V463" s="7" t="n">
        <f aca="false">IF(AND(R463=1,O463&gt;Q463),1,0)</f>
        <v>1</v>
      </c>
      <c r="W463" s="7" t="n">
        <f aca="false">IF(AND(T463=1,P463&lt;&gt;"",P463&lt;=Q463),1,0)</f>
        <v>0</v>
      </c>
    </row>
    <row r="464" customFormat="false" ht="15" hidden="false" customHeight="false" outlineLevel="0" collapsed="false">
      <c r="A464" s="7" t="s">
        <v>640</v>
      </c>
      <c r="B464" s="7" t="s">
        <v>135</v>
      </c>
      <c r="C464" s="7" t="s">
        <v>136</v>
      </c>
      <c r="D464" s="7" t="s">
        <v>71</v>
      </c>
      <c r="E464" s="7" t="s">
        <v>72</v>
      </c>
      <c r="F464" s="7" t="s">
        <v>50</v>
      </c>
      <c r="G464" s="7" t="s">
        <v>19</v>
      </c>
      <c r="H464" s="9" t="n">
        <v>46071</v>
      </c>
      <c r="I464" s="9" t="n">
        <v>46083</v>
      </c>
      <c r="J464" s="7" t="n">
        <v>9.8</v>
      </c>
      <c r="K464" s="7" t="s">
        <v>482</v>
      </c>
      <c r="L464" s="7" t="s">
        <v>20</v>
      </c>
      <c r="M464" s="7" t="s">
        <v>644</v>
      </c>
      <c r="N464" s="7" t="s">
        <v>58</v>
      </c>
      <c r="O464" s="10" t="n">
        <f aca="false">'Exec Summary'!$E$2-H464</f>
        <v>163</v>
      </c>
      <c r="P464" s="10" t="n">
        <f aca="false">IF(I464="","",I464-H464)</f>
        <v>12</v>
      </c>
      <c r="Q464" s="10" t="n">
        <f aca="false">VLOOKUP(G464,$AA$2:$AB$5,2,FALSE())</f>
        <v>15</v>
      </c>
      <c r="R464" s="7" t="n">
        <f aca="false">IF(OR(F464="Open",F464="Reopened"),1,0)</f>
        <v>0</v>
      </c>
      <c r="S464" s="7" t="n">
        <f aca="false">IF(AND(H464&gt;='Exec Summary'!$E$1,H464&lt;='Exec Summary'!$E$2),1,0)</f>
        <v>0</v>
      </c>
      <c r="T464" s="7" t="n">
        <f aca="false">IF(AND(F464="Closed",I464&lt;&gt;"",I464&gt;='Exec Summary'!$E$1,I464&lt;='Exec Summary'!$E$2),1,0)</f>
        <v>0</v>
      </c>
      <c r="U464" s="7" t="n">
        <f aca="false">IF(F464="Reopened",1,0)</f>
        <v>0</v>
      </c>
      <c r="V464" s="7" t="n">
        <f aca="false">IF(AND(R464=1,O464&gt;Q464),1,0)</f>
        <v>0</v>
      </c>
      <c r="W464" s="7" t="n">
        <f aca="false">IF(AND(T464=1,P464&lt;&gt;"",P464&lt;=Q464),1,0)</f>
        <v>0</v>
      </c>
    </row>
    <row r="465" customFormat="false" ht="15" hidden="false" customHeight="false" outlineLevel="0" collapsed="false">
      <c r="A465" s="7" t="s">
        <v>640</v>
      </c>
      <c r="B465" s="7" t="s">
        <v>135</v>
      </c>
      <c r="C465" s="7" t="s">
        <v>136</v>
      </c>
      <c r="D465" s="7" t="s">
        <v>173</v>
      </c>
      <c r="E465" s="7" t="s">
        <v>174</v>
      </c>
      <c r="F465" s="7" t="s">
        <v>56</v>
      </c>
      <c r="G465" s="7" t="s">
        <v>19</v>
      </c>
      <c r="H465" s="9" t="n">
        <v>46009</v>
      </c>
      <c r="I465" s="9"/>
      <c r="J465" s="7" t="n">
        <v>9.8</v>
      </c>
      <c r="K465" s="7" t="s">
        <v>482</v>
      </c>
      <c r="L465" s="7" t="s">
        <v>20</v>
      </c>
      <c r="M465" s="7" t="s">
        <v>645</v>
      </c>
      <c r="N465" s="7" t="s">
        <v>58</v>
      </c>
      <c r="O465" s="10" t="n">
        <f aca="false">'Exec Summary'!$E$2-H465</f>
        <v>225</v>
      </c>
      <c r="P465" s="10" t="str">
        <f aca="false">IF(I465="","",I465-H465)</f>
        <v/>
      </c>
      <c r="Q465" s="10" t="n">
        <f aca="false">VLOOKUP(G465,$AA$2:$AB$5,2,FALSE())</f>
        <v>15</v>
      </c>
      <c r="R465" s="7" t="n">
        <f aca="false">IF(OR(F465="Open",F465="Reopened"),1,0)</f>
        <v>1</v>
      </c>
      <c r="S465" s="7" t="n">
        <f aca="false">IF(AND(H465&gt;='Exec Summary'!$E$1,H465&lt;='Exec Summary'!$E$2),1,0)</f>
        <v>0</v>
      </c>
      <c r="T465" s="7" t="n">
        <f aca="false">IF(AND(F465="Closed",I465&lt;&gt;"",I465&gt;='Exec Summary'!$E$1,I465&lt;='Exec Summary'!$E$2),1,0)</f>
        <v>0</v>
      </c>
      <c r="U465" s="7" t="n">
        <f aca="false">IF(F465="Reopened",1,0)</f>
        <v>0</v>
      </c>
      <c r="V465" s="7" t="n">
        <f aca="false">IF(AND(R465=1,O465&gt;Q465),1,0)</f>
        <v>1</v>
      </c>
      <c r="W465" s="7" t="n">
        <f aca="false">IF(AND(T465=1,P465&lt;&gt;"",P465&lt;=Q465),1,0)</f>
        <v>0</v>
      </c>
    </row>
    <row r="466" customFormat="false" ht="15" hidden="false" customHeight="false" outlineLevel="0" collapsed="false">
      <c r="A466" s="7" t="s">
        <v>646</v>
      </c>
      <c r="B466" s="7" t="s">
        <v>135</v>
      </c>
      <c r="C466" s="7" t="s">
        <v>136</v>
      </c>
      <c r="D466" s="7" t="s">
        <v>91</v>
      </c>
      <c r="E466" s="7" t="s">
        <v>92</v>
      </c>
      <c r="F466" s="7" t="s">
        <v>56</v>
      </c>
      <c r="G466" s="7" t="s">
        <v>20</v>
      </c>
      <c r="H466" s="9" t="n">
        <v>46111</v>
      </c>
      <c r="I466" s="9"/>
      <c r="J466" s="7" t="n">
        <v>8.1</v>
      </c>
      <c r="K466" s="7" t="s">
        <v>482</v>
      </c>
      <c r="L466" s="7" t="s">
        <v>19</v>
      </c>
      <c r="M466" s="7" t="s">
        <v>647</v>
      </c>
      <c r="N466" s="7" t="s">
        <v>53</v>
      </c>
      <c r="O466" s="10" t="n">
        <f aca="false">'Exec Summary'!$E$2-H466</f>
        <v>123</v>
      </c>
      <c r="P466" s="10" t="str">
        <f aca="false">IF(I466="","",I466-H466)</f>
        <v/>
      </c>
      <c r="Q466" s="10" t="n">
        <f aca="false">VLOOKUP(G466,$AA$2:$AB$5,2,FALSE())</f>
        <v>30</v>
      </c>
      <c r="R466" s="7" t="n">
        <f aca="false">IF(OR(F466="Open",F466="Reopened"),1,0)</f>
        <v>1</v>
      </c>
      <c r="S466" s="7" t="n">
        <f aca="false">IF(AND(H466&gt;='Exec Summary'!$E$1,H466&lt;='Exec Summary'!$E$2),1,0)</f>
        <v>0</v>
      </c>
      <c r="T466" s="7" t="n">
        <f aca="false">IF(AND(F466="Closed",I466&lt;&gt;"",I466&gt;='Exec Summary'!$E$1,I466&lt;='Exec Summary'!$E$2),1,0)</f>
        <v>0</v>
      </c>
      <c r="U466" s="7" t="n">
        <f aca="false">IF(F466="Reopened",1,0)</f>
        <v>0</v>
      </c>
      <c r="V466" s="7" t="n">
        <f aca="false">IF(AND(R466=1,O466&gt;Q466),1,0)</f>
        <v>1</v>
      </c>
      <c r="W466" s="7" t="n">
        <f aca="false">IF(AND(T466=1,P466&lt;&gt;"",P466&lt;=Q466),1,0)</f>
        <v>0</v>
      </c>
    </row>
    <row r="467" customFormat="false" ht="15" hidden="false" customHeight="false" outlineLevel="0" collapsed="false">
      <c r="A467" s="7" t="s">
        <v>646</v>
      </c>
      <c r="B467" s="7" t="s">
        <v>135</v>
      </c>
      <c r="C467" s="7" t="s">
        <v>136</v>
      </c>
      <c r="D467" s="7" t="s">
        <v>131</v>
      </c>
      <c r="E467" s="7" t="s">
        <v>132</v>
      </c>
      <c r="F467" s="7" t="s">
        <v>50</v>
      </c>
      <c r="G467" s="7" t="s">
        <v>19</v>
      </c>
      <c r="H467" s="9" t="n">
        <v>46100</v>
      </c>
      <c r="I467" s="9" t="n">
        <v>46113</v>
      </c>
      <c r="J467" s="7" t="n">
        <v>9.8</v>
      </c>
      <c r="K467" s="7" t="s">
        <v>482</v>
      </c>
      <c r="L467" s="7" t="s">
        <v>19</v>
      </c>
      <c r="M467" s="7" t="s">
        <v>648</v>
      </c>
      <c r="N467" s="7" t="s">
        <v>58</v>
      </c>
      <c r="O467" s="10" t="n">
        <f aca="false">'Exec Summary'!$E$2-H467</f>
        <v>134</v>
      </c>
      <c r="P467" s="10" t="n">
        <f aca="false">IF(I467="","",I467-H467)</f>
        <v>13</v>
      </c>
      <c r="Q467" s="10" t="n">
        <f aca="false">VLOOKUP(G467,$AA$2:$AB$5,2,FALSE())</f>
        <v>15</v>
      </c>
      <c r="R467" s="7" t="n">
        <f aca="false">IF(OR(F467="Open",F467="Reopened"),1,0)</f>
        <v>0</v>
      </c>
      <c r="S467" s="7" t="n">
        <f aca="false">IF(AND(H467&gt;='Exec Summary'!$E$1,H467&lt;='Exec Summary'!$E$2),1,0)</f>
        <v>0</v>
      </c>
      <c r="T467" s="7" t="n">
        <f aca="false">IF(AND(F467="Closed",I467&lt;&gt;"",I467&gt;='Exec Summary'!$E$1,I467&lt;='Exec Summary'!$E$2),1,0)</f>
        <v>0</v>
      </c>
      <c r="U467" s="7" t="n">
        <f aca="false">IF(F467="Reopened",1,0)</f>
        <v>0</v>
      </c>
      <c r="V467" s="7" t="n">
        <f aca="false">IF(AND(R467=1,O467&gt;Q467),1,0)</f>
        <v>0</v>
      </c>
      <c r="W467" s="7" t="n">
        <f aca="false">IF(AND(T467=1,P467&lt;&gt;"",P467&lt;=Q467),1,0)</f>
        <v>0</v>
      </c>
    </row>
    <row r="468" customFormat="false" ht="15" hidden="false" customHeight="false" outlineLevel="0" collapsed="false">
      <c r="A468" s="7" t="s">
        <v>646</v>
      </c>
      <c r="B468" s="7" t="s">
        <v>135</v>
      </c>
      <c r="C468" s="7" t="s">
        <v>136</v>
      </c>
      <c r="D468" s="7" t="s">
        <v>101</v>
      </c>
      <c r="E468" s="7" t="s">
        <v>102</v>
      </c>
      <c r="F468" s="7" t="s">
        <v>123</v>
      </c>
      <c r="G468" s="7" t="s">
        <v>19</v>
      </c>
      <c r="H468" s="9" t="n">
        <v>46002</v>
      </c>
      <c r="I468" s="9" t="n">
        <v>46008</v>
      </c>
      <c r="J468" s="7" t="n">
        <v>10</v>
      </c>
      <c r="K468" s="7" t="s">
        <v>482</v>
      </c>
      <c r="L468" s="7" t="s">
        <v>19</v>
      </c>
      <c r="M468" s="7" t="s">
        <v>649</v>
      </c>
      <c r="N468" s="7" t="s">
        <v>58</v>
      </c>
      <c r="O468" s="10" t="n">
        <f aca="false">'Exec Summary'!$E$2-H468</f>
        <v>232</v>
      </c>
      <c r="P468" s="10" t="n">
        <f aca="false">IF(I468="","",I468-H468)</f>
        <v>6</v>
      </c>
      <c r="Q468" s="10" t="n">
        <f aca="false">VLOOKUP(G468,$AA$2:$AB$5,2,FALSE())</f>
        <v>15</v>
      </c>
      <c r="R468" s="7" t="n">
        <f aca="false">IF(OR(F468="Open",F468="Reopened"),1,0)</f>
        <v>1</v>
      </c>
      <c r="S468" s="7" t="n">
        <f aca="false">IF(AND(H468&gt;='Exec Summary'!$E$1,H468&lt;='Exec Summary'!$E$2),1,0)</f>
        <v>0</v>
      </c>
      <c r="T468" s="7" t="n">
        <f aca="false">IF(AND(F468="Closed",I468&lt;&gt;"",I468&gt;='Exec Summary'!$E$1,I468&lt;='Exec Summary'!$E$2),1,0)</f>
        <v>0</v>
      </c>
      <c r="U468" s="7" t="n">
        <f aca="false">IF(F468="Reopened",1,0)</f>
        <v>1</v>
      </c>
      <c r="V468" s="7" t="n">
        <f aca="false">IF(AND(R468=1,O468&gt;Q468),1,0)</f>
        <v>1</v>
      </c>
      <c r="W468" s="7" t="n">
        <f aca="false">IF(AND(T468=1,P468&lt;&gt;"",P468&lt;=Q468),1,0)</f>
        <v>0</v>
      </c>
    </row>
    <row r="469" customFormat="false" ht="15" hidden="false" customHeight="false" outlineLevel="0" collapsed="false">
      <c r="A469" s="7" t="s">
        <v>646</v>
      </c>
      <c r="B469" s="7" t="s">
        <v>135</v>
      </c>
      <c r="C469" s="7" t="s">
        <v>136</v>
      </c>
      <c r="D469" s="7" t="s">
        <v>104</v>
      </c>
      <c r="E469" s="7" t="s">
        <v>105</v>
      </c>
      <c r="F469" s="7" t="s">
        <v>50</v>
      </c>
      <c r="G469" s="7" t="s">
        <v>19</v>
      </c>
      <c r="H469" s="9" t="n">
        <v>46116</v>
      </c>
      <c r="I469" s="9" t="n">
        <v>46123</v>
      </c>
      <c r="J469" s="7" t="n">
        <v>9.8</v>
      </c>
      <c r="K469" s="7" t="s">
        <v>482</v>
      </c>
      <c r="L469" s="7" t="s">
        <v>19</v>
      </c>
      <c r="M469" s="7" t="s">
        <v>650</v>
      </c>
      <c r="N469" s="7" t="s">
        <v>58</v>
      </c>
      <c r="O469" s="10" t="n">
        <f aca="false">'Exec Summary'!$E$2-H469</f>
        <v>118</v>
      </c>
      <c r="P469" s="10" t="n">
        <f aca="false">IF(I469="","",I469-H469)</f>
        <v>7</v>
      </c>
      <c r="Q469" s="10" t="n">
        <f aca="false">VLOOKUP(G469,$AA$2:$AB$5,2,FALSE())</f>
        <v>15</v>
      </c>
      <c r="R469" s="7" t="n">
        <f aca="false">IF(OR(F469="Open",F469="Reopened"),1,0)</f>
        <v>0</v>
      </c>
      <c r="S469" s="7" t="n">
        <f aca="false">IF(AND(H469&gt;='Exec Summary'!$E$1,H469&lt;='Exec Summary'!$E$2),1,0)</f>
        <v>0</v>
      </c>
      <c r="T469" s="7" t="n">
        <f aca="false">IF(AND(F469="Closed",I469&lt;&gt;"",I469&gt;='Exec Summary'!$E$1,I469&lt;='Exec Summary'!$E$2),1,0)</f>
        <v>0</v>
      </c>
      <c r="U469" s="7" t="n">
        <f aca="false">IF(F469="Reopened",1,0)</f>
        <v>0</v>
      </c>
      <c r="V469" s="7" t="n">
        <f aca="false">IF(AND(R469=1,O469&gt;Q469),1,0)</f>
        <v>0</v>
      </c>
      <c r="W469" s="7" t="n">
        <f aca="false">IF(AND(T469=1,P469&lt;&gt;"",P469&lt;=Q469),1,0)</f>
        <v>0</v>
      </c>
    </row>
    <row r="470" customFormat="false" ht="15" hidden="false" customHeight="false" outlineLevel="0" collapsed="false">
      <c r="A470" s="7" t="s">
        <v>651</v>
      </c>
      <c r="B470" s="7" t="s">
        <v>46</v>
      </c>
      <c r="C470" s="7" t="s">
        <v>158</v>
      </c>
      <c r="D470" s="7" t="s">
        <v>173</v>
      </c>
      <c r="E470" s="7" t="s">
        <v>174</v>
      </c>
      <c r="F470" s="7" t="s">
        <v>50</v>
      </c>
      <c r="G470" s="7" t="s">
        <v>19</v>
      </c>
      <c r="H470" s="9" t="n">
        <v>46071</v>
      </c>
      <c r="I470" s="9" t="n">
        <v>46073</v>
      </c>
      <c r="J470" s="7" t="n">
        <v>9.8</v>
      </c>
      <c r="K470" s="7" t="s">
        <v>482</v>
      </c>
      <c r="L470" s="7" t="s">
        <v>20</v>
      </c>
      <c r="M470" s="7" t="s">
        <v>652</v>
      </c>
      <c r="N470" s="7" t="s">
        <v>58</v>
      </c>
      <c r="O470" s="10" t="n">
        <f aca="false">'Exec Summary'!$E$2-H470</f>
        <v>163</v>
      </c>
      <c r="P470" s="10" t="n">
        <f aca="false">IF(I470="","",I470-H470)</f>
        <v>2</v>
      </c>
      <c r="Q470" s="10" t="n">
        <f aca="false">VLOOKUP(G470,$AA$2:$AB$5,2,FALSE())</f>
        <v>15</v>
      </c>
      <c r="R470" s="7" t="n">
        <f aca="false">IF(OR(F470="Open",F470="Reopened"),1,0)</f>
        <v>0</v>
      </c>
      <c r="S470" s="7" t="n">
        <f aca="false">IF(AND(H470&gt;='Exec Summary'!$E$1,H470&lt;='Exec Summary'!$E$2),1,0)</f>
        <v>0</v>
      </c>
      <c r="T470" s="7" t="n">
        <f aca="false">IF(AND(F470="Closed",I470&lt;&gt;"",I470&gt;='Exec Summary'!$E$1,I470&lt;='Exec Summary'!$E$2),1,0)</f>
        <v>0</v>
      </c>
      <c r="U470" s="7" t="n">
        <f aca="false">IF(F470="Reopened",1,0)</f>
        <v>0</v>
      </c>
      <c r="V470" s="7" t="n">
        <f aca="false">IF(AND(R470=1,O470&gt;Q470),1,0)</f>
        <v>0</v>
      </c>
      <c r="W470" s="7" t="n">
        <f aca="false">IF(AND(T470=1,P470&lt;&gt;"",P470&lt;=Q470),1,0)</f>
        <v>0</v>
      </c>
    </row>
    <row r="471" customFormat="false" ht="15" hidden="false" customHeight="false" outlineLevel="0" collapsed="false">
      <c r="A471" s="7" t="s">
        <v>651</v>
      </c>
      <c r="B471" s="7" t="s">
        <v>46</v>
      </c>
      <c r="C471" s="7" t="s">
        <v>158</v>
      </c>
      <c r="D471" s="7" t="s">
        <v>145</v>
      </c>
      <c r="E471" s="7" t="s">
        <v>146</v>
      </c>
      <c r="F471" s="7" t="s">
        <v>56</v>
      </c>
      <c r="G471" s="7" t="s">
        <v>19</v>
      </c>
      <c r="H471" s="9" t="n">
        <v>46052</v>
      </c>
      <c r="I471" s="9"/>
      <c r="J471" s="7" t="n">
        <v>9.8</v>
      </c>
      <c r="K471" s="7" t="s">
        <v>482</v>
      </c>
      <c r="L471" s="7" t="s">
        <v>20</v>
      </c>
      <c r="M471" s="7" t="s">
        <v>653</v>
      </c>
      <c r="N471" s="7" t="s">
        <v>58</v>
      </c>
      <c r="O471" s="10" t="n">
        <f aca="false">'Exec Summary'!$E$2-H471</f>
        <v>182</v>
      </c>
      <c r="P471" s="10" t="str">
        <f aca="false">IF(I471="","",I471-H471)</f>
        <v/>
      </c>
      <c r="Q471" s="10" t="n">
        <f aca="false">VLOOKUP(G471,$AA$2:$AB$5,2,FALSE())</f>
        <v>15</v>
      </c>
      <c r="R471" s="7" t="n">
        <f aca="false">IF(OR(F471="Open",F471="Reopened"),1,0)</f>
        <v>1</v>
      </c>
      <c r="S471" s="7" t="n">
        <f aca="false">IF(AND(H471&gt;='Exec Summary'!$E$1,H471&lt;='Exec Summary'!$E$2),1,0)</f>
        <v>0</v>
      </c>
      <c r="T471" s="7" t="n">
        <f aca="false">IF(AND(F471="Closed",I471&lt;&gt;"",I471&gt;='Exec Summary'!$E$1,I471&lt;='Exec Summary'!$E$2),1,0)</f>
        <v>0</v>
      </c>
      <c r="U471" s="7" t="n">
        <f aca="false">IF(F471="Reopened",1,0)</f>
        <v>0</v>
      </c>
      <c r="V471" s="7" t="n">
        <f aca="false">IF(AND(R471=1,O471&gt;Q471),1,0)</f>
        <v>1</v>
      </c>
      <c r="W471" s="7" t="n">
        <f aca="false">IF(AND(T471=1,P471&lt;&gt;"",P471&lt;=Q471),1,0)</f>
        <v>0</v>
      </c>
    </row>
    <row r="472" customFormat="false" ht="15" hidden="false" customHeight="false" outlineLevel="0" collapsed="false">
      <c r="A472" s="7" t="s">
        <v>651</v>
      </c>
      <c r="B472" s="7" t="s">
        <v>46</v>
      </c>
      <c r="C472" s="7" t="s">
        <v>158</v>
      </c>
      <c r="D472" s="7" t="s">
        <v>104</v>
      </c>
      <c r="E472" s="7" t="s">
        <v>105</v>
      </c>
      <c r="F472" s="7" t="s">
        <v>50</v>
      </c>
      <c r="G472" s="7" t="s">
        <v>19</v>
      </c>
      <c r="H472" s="9" t="n">
        <v>46122</v>
      </c>
      <c r="I472" s="9" t="n">
        <v>46123</v>
      </c>
      <c r="J472" s="7" t="n">
        <v>9.8</v>
      </c>
      <c r="K472" s="7" t="s">
        <v>482</v>
      </c>
      <c r="L472" s="7" t="s">
        <v>20</v>
      </c>
      <c r="M472" s="7" t="s">
        <v>654</v>
      </c>
      <c r="N472" s="7" t="s">
        <v>58</v>
      </c>
      <c r="O472" s="10" t="n">
        <f aca="false">'Exec Summary'!$E$2-H472</f>
        <v>112</v>
      </c>
      <c r="P472" s="10" t="n">
        <f aca="false">IF(I472="","",I472-H472)</f>
        <v>1</v>
      </c>
      <c r="Q472" s="10" t="n">
        <f aca="false">VLOOKUP(G472,$AA$2:$AB$5,2,FALSE())</f>
        <v>15</v>
      </c>
      <c r="R472" s="7" t="n">
        <f aca="false">IF(OR(F472="Open",F472="Reopened"),1,0)</f>
        <v>0</v>
      </c>
      <c r="S472" s="7" t="n">
        <f aca="false">IF(AND(H472&gt;='Exec Summary'!$E$1,H472&lt;='Exec Summary'!$E$2),1,0)</f>
        <v>0</v>
      </c>
      <c r="T472" s="7" t="n">
        <f aca="false">IF(AND(F472="Closed",I472&lt;&gt;"",I472&gt;='Exec Summary'!$E$1,I472&lt;='Exec Summary'!$E$2),1,0)</f>
        <v>0</v>
      </c>
      <c r="U472" s="7" t="n">
        <f aca="false">IF(F472="Reopened",1,0)</f>
        <v>0</v>
      </c>
      <c r="V472" s="7" t="n">
        <f aca="false">IF(AND(R472=1,O472&gt;Q472),1,0)</f>
        <v>0</v>
      </c>
      <c r="W472" s="7" t="n">
        <f aca="false">IF(AND(T472=1,P472&lt;&gt;"",P472&lt;=Q472),1,0)</f>
        <v>0</v>
      </c>
    </row>
    <row r="473" customFormat="false" ht="15" hidden="false" customHeight="false" outlineLevel="0" collapsed="false">
      <c r="A473" s="7" t="s">
        <v>651</v>
      </c>
      <c r="B473" s="7" t="s">
        <v>46</v>
      </c>
      <c r="C473" s="7" t="s">
        <v>158</v>
      </c>
      <c r="D473" s="7" t="s">
        <v>95</v>
      </c>
      <c r="E473" s="7" t="s">
        <v>96</v>
      </c>
      <c r="F473" s="7" t="s">
        <v>50</v>
      </c>
      <c r="G473" s="7" t="s">
        <v>20</v>
      </c>
      <c r="H473" s="9" t="n">
        <v>46026</v>
      </c>
      <c r="I473" s="9" t="n">
        <v>46051</v>
      </c>
      <c r="J473" s="7" t="n">
        <v>8.8</v>
      </c>
      <c r="K473" s="7" t="s">
        <v>482</v>
      </c>
      <c r="L473" s="7" t="s">
        <v>20</v>
      </c>
      <c r="M473" s="7" t="s">
        <v>655</v>
      </c>
      <c r="N473" s="7" t="s">
        <v>53</v>
      </c>
      <c r="O473" s="10" t="n">
        <f aca="false">'Exec Summary'!$E$2-H473</f>
        <v>208</v>
      </c>
      <c r="P473" s="10" t="n">
        <f aca="false">IF(I473="","",I473-H473)</f>
        <v>25</v>
      </c>
      <c r="Q473" s="10" t="n">
        <f aca="false">VLOOKUP(G473,$AA$2:$AB$5,2,FALSE())</f>
        <v>30</v>
      </c>
      <c r="R473" s="7" t="n">
        <f aca="false">IF(OR(F473="Open",F473="Reopened"),1,0)</f>
        <v>0</v>
      </c>
      <c r="S473" s="7" t="n">
        <f aca="false">IF(AND(H473&gt;='Exec Summary'!$E$1,H473&lt;='Exec Summary'!$E$2),1,0)</f>
        <v>0</v>
      </c>
      <c r="T473" s="7" t="n">
        <f aca="false">IF(AND(F473="Closed",I473&lt;&gt;"",I473&gt;='Exec Summary'!$E$1,I473&lt;='Exec Summary'!$E$2),1,0)</f>
        <v>0</v>
      </c>
      <c r="U473" s="7" t="n">
        <f aca="false">IF(F473="Reopened",1,0)</f>
        <v>0</v>
      </c>
      <c r="V473" s="7" t="n">
        <f aca="false">IF(AND(R473=1,O473&gt;Q473),1,0)</f>
        <v>0</v>
      </c>
      <c r="W473" s="7" t="n">
        <f aca="false">IF(AND(T473=1,P473&lt;&gt;"",P473&lt;=Q473),1,0)</f>
        <v>0</v>
      </c>
    </row>
    <row r="474" customFormat="false" ht="15" hidden="false" customHeight="false" outlineLevel="0" collapsed="false">
      <c r="A474" s="7" t="s">
        <v>651</v>
      </c>
      <c r="B474" s="7" t="s">
        <v>46</v>
      </c>
      <c r="C474" s="7" t="s">
        <v>158</v>
      </c>
      <c r="D474" s="7" t="s">
        <v>81</v>
      </c>
      <c r="E474" s="7" t="s">
        <v>82</v>
      </c>
      <c r="F474" s="7" t="s">
        <v>50</v>
      </c>
      <c r="G474" s="7" t="s">
        <v>20</v>
      </c>
      <c r="H474" s="9" t="n">
        <v>46078</v>
      </c>
      <c r="I474" s="9" t="n">
        <v>46092</v>
      </c>
      <c r="J474" s="7" t="n">
        <v>7.8</v>
      </c>
      <c r="K474" s="7" t="s">
        <v>482</v>
      </c>
      <c r="L474" s="7" t="s">
        <v>20</v>
      </c>
      <c r="M474" s="7" t="s">
        <v>656</v>
      </c>
      <c r="N474" s="7" t="s">
        <v>53</v>
      </c>
      <c r="O474" s="10" t="n">
        <f aca="false">'Exec Summary'!$E$2-H474</f>
        <v>156</v>
      </c>
      <c r="P474" s="10" t="n">
        <f aca="false">IF(I474="","",I474-H474)</f>
        <v>14</v>
      </c>
      <c r="Q474" s="10" t="n">
        <f aca="false">VLOOKUP(G474,$AA$2:$AB$5,2,FALSE())</f>
        <v>30</v>
      </c>
      <c r="R474" s="7" t="n">
        <f aca="false">IF(OR(F474="Open",F474="Reopened"),1,0)</f>
        <v>0</v>
      </c>
      <c r="S474" s="7" t="n">
        <f aca="false">IF(AND(H474&gt;='Exec Summary'!$E$1,H474&lt;='Exec Summary'!$E$2),1,0)</f>
        <v>0</v>
      </c>
      <c r="T474" s="7" t="n">
        <f aca="false">IF(AND(F474="Closed",I474&lt;&gt;"",I474&gt;='Exec Summary'!$E$1,I474&lt;='Exec Summary'!$E$2),1,0)</f>
        <v>0</v>
      </c>
      <c r="U474" s="7" t="n">
        <f aca="false">IF(F474="Reopened",1,0)</f>
        <v>0</v>
      </c>
      <c r="V474" s="7" t="n">
        <f aca="false">IF(AND(R474=1,O474&gt;Q474),1,0)</f>
        <v>0</v>
      </c>
      <c r="W474" s="7" t="n">
        <f aca="false">IF(AND(T474=1,P474&lt;&gt;"",P474&lt;=Q474),1,0)</f>
        <v>0</v>
      </c>
    </row>
    <row r="475" customFormat="false" ht="15" hidden="false" customHeight="false" outlineLevel="0" collapsed="false">
      <c r="A475" s="7" t="s">
        <v>651</v>
      </c>
      <c r="B475" s="7" t="s">
        <v>46</v>
      </c>
      <c r="C475" s="7" t="s">
        <v>158</v>
      </c>
      <c r="D475" s="7" t="s">
        <v>120</v>
      </c>
      <c r="E475" s="7" t="s">
        <v>121</v>
      </c>
      <c r="F475" s="7" t="s">
        <v>56</v>
      </c>
      <c r="G475" s="7" t="s">
        <v>19</v>
      </c>
      <c r="H475" s="9" t="n">
        <v>46135</v>
      </c>
      <c r="I475" s="9"/>
      <c r="J475" s="7" t="n">
        <v>8.8</v>
      </c>
      <c r="K475" s="7" t="s">
        <v>482</v>
      </c>
      <c r="L475" s="7" t="s">
        <v>20</v>
      </c>
      <c r="M475" s="7" t="s">
        <v>657</v>
      </c>
      <c r="N475" s="7" t="s">
        <v>58</v>
      </c>
      <c r="O475" s="10" t="n">
        <f aca="false">'Exec Summary'!$E$2-H475</f>
        <v>99</v>
      </c>
      <c r="P475" s="10" t="str">
        <f aca="false">IF(I475="","",I475-H475)</f>
        <v/>
      </c>
      <c r="Q475" s="10" t="n">
        <f aca="false">VLOOKUP(G475,$AA$2:$AB$5,2,FALSE())</f>
        <v>15</v>
      </c>
      <c r="R475" s="7" t="n">
        <f aca="false">IF(OR(F475="Open",F475="Reopened"),1,0)</f>
        <v>1</v>
      </c>
      <c r="S475" s="7" t="n">
        <f aca="false">IF(AND(H475&gt;='Exec Summary'!$E$1,H475&lt;='Exec Summary'!$E$2),1,0)</f>
        <v>0</v>
      </c>
      <c r="T475" s="7" t="n">
        <f aca="false">IF(AND(F475="Closed",I475&lt;&gt;"",I475&gt;='Exec Summary'!$E$1,I475&lt;='Exec Summary'!$E$2),1,0)</f>
        <v>0</v>
      </c>
      <c r="U475" s="7" t="n">
        <f aca="false">IF(F475="Reopened",1,0)</f>
        <v>0</v>
      </c>
      <c r="V475" s="7" t="n">
        <f aca="false">IF(AND(R475=1,O475&gt;Q475),1,0)</f>
        <v>1</v>
      </c>
      <c r="W475" s="7" t="n">
        <f aca="false">IF(AND(T475=1,P475&lt;&gt;"",P475&lt;=Q475),1,0)</f>
        <v>0</v>
      </c>
    </row>
    <row r="476" customFormat="false" ht="15" hidden="false" customHeight="false" outlineLevel="0" collapsed="false">
      <c r="A476" s="7" t="s">
        <v>651</v>
      </c>
      <c r="B476" s="7" t="s">
        <v>46</v>
      </c>
      <c r="C476" s="7" t="s">
        <v>158</v>
      </c>
      <c r="D476" s="7" t="s">
        <v>65</v>
      </c>
      <c r="E476" s="7" t="s">
        <v>66</v>
      </c>
      <c r="F476" s="7" t="s">
        <v>50</v>
      </c>
      <c r="G476" s="7" t="s">
        <v>19</v>
      </c>
      <c r="H476" s="9" t="n">
        <v>45969</v>
      </c>
      <c r="I476" s="9" t="n">
        <v>45973</v>
      </c>
      <c r="J476" s="7" t="n">
        <v>9.8</v>
      </c>
      <c r="K476" s="7" t="s">
        <v>482</v>
      </c>
      <c r="L476" s="7" t="s">
        <v>20</v>
      </c>
      <c r="M476" s="7" t="s">
        <v>658</v>
      </c>
      <c r="N476" s="7" t="s">
        <v>58</v>
      </c>
      <c r="O476" s="10" t="n">
        <f aca="false">'Exec Summary'!$E$2-H476</f>
        <v>265</v>
      </c>
      <c r="P476" s="10" t="n">
        <f aca="false">IF(I476="","",I476-H476)</f>
        <v>4</v>
      </c>
      <c r="Q476" s="10" t="n">
        <f aca="false">VLOOKUP(G476,$AA$2:$AB$5,2,FALSE())</f>
        <v>15</v>
      </c>
      <c r="R476" s="7" t="n">
        <f aca="false">IF(OR(F476="Open",F476="Reopened"),1,0)</f>
        <v>0</v>
      </c>
      <c r="S476" s="7" t="n">
        <f aca="false">IF(AND(H476&gt;='Exec Summary'!$E$1,H476&lt;='Exec Summary'!$E$2),1,0)</f>
        <v>0</v>
      </c>
      <c r="T476" s="7" t="n">
        <f aca="false">IF(AND(F476="Closed",I476&lt;&gt;"",I476&gt;='Exec Summary'!$E$1,I476&lt;='Exec Summary'!$E$2),1,0)</f>
        <v>0</v>
      </c>
      <c r="U476" s="7" t="n">
        <f aca="false">IF(F476="Reopened",1,0)</f>
        <v>0</v>
      </c>
      <c r="V476" s="7" t="n">
        <f aca="false">IF(AND(R476=1,O476&gt;Q476),1,0)</f>
        <v>0</v>
      </c>
      <c r="W476" s="7" t="n">
        <f aca="false">IF(AND(T476=1,P476&lt;&gt;"",P476&lt;=Q476),1,0)</f>
        <v>0</v>
      </c>
    </row>
    <row r="477" customFormat="false" ht="15" hidden="false" customHeight="false" outlineLevel="0" collapsed="false">
      <c r="A477" s="7" t="s">
        <v>651</v>
      </c>
      <c r="B477" s="7" t="s">
        <v>46</v>
      </c>
      <c r="C477" s="7" t="s">
        <v>158</v>
      </c>
      <c r="D477" s="7" t="s">
        <v>91</v>
      </c>
      <c r="E477" s="7" t="s">
        <v>92</v>
      </c>
      <c r="F477" s="7" t="s">
        <v>56</v>
      </c>
      <c r="G477" s="7" t="s">
        <v>20</v>
      </c>
      <c r="H477" s="9" t="n">
        <v>45985</v>
      </c>
      <c r="I477" s="9"/>
      <c r="J477" s="7" t="n">
        <v>8.1</v>
      </c>
      <c r="K477" s="7" t="s">
        <v>482</v>
      </c>
      <c r="L477" s="7" t="s">
        <v>20</v>
      </c>
      <c r="M477" s="7" t="s">
        <v>659</v>
      </c>
      <c r="N477" s="7" t="s">
        <v>53</v>
      </c>
      <c r="O477" s="10" t="n">
        <f aca="false">'Exec Summary'!$E$2-H477</f>
        <v>249</v>
      </c>
      <c r="P477" s="10" t="str">
        <f aca="false">IF(I477="","",I477-H477)</f>
        <v/>
      </c>
      <c r="Q477" s="10" t="n">
        <f aca="false">VLOOKUP(G477,$AA$2:$AB$5,2,FALSE())</f>
        <v>30</v>
      </c>
      <c r="R477" s="7" t="n">
        <f aca="false">IF(OR(F477="Open",F477="Reopened"),1,0)</f>
        <v>1</v>
      </c>
      <c r="S477" s="7" t="n">
        <f aca="false">IF(AND(H477&gt;='Exec Summary'!$E$1,H477&lt;='Exec Summary'!$E$2),1,0)</f>
        <v>0</v>
      </c>
      <c r="T477" s="7" t="n">
        <f aca="false">IF(AND(F477="Closed",I477&lt;&gt;"",I477&gt;='Exec Summary'!$E$1,I477&lt;='Exec Summary'!$E$2),1,0)</f>
        <v>0</v>
      </c>
      <c r="U477" s="7" t="n">
        <f aca="false">IF(F477="Reopened",1,0)</f>
        <v>0</v>
      </c>
      <c r="V477" s="7" t="n">
        <f aca="false">IF(AND(R477=1,O477&gt;Q477),1,0)</f>
        <v>1</v>
      </c>
      <c r="W477" s="7" t="n">
        <f aca="false">IF(AND(T477=1,P477&lt;&gt;"",P477&lt;=Q477),1,0)</f>
        <v>0</v>
      </c>
    </row>
    <row r="478" customFormat="false" ht="15" hidden="false" customHeight="false" outlineLevel="0" collapsed="false">
      <c r="A478" s="7" t="s">
        <v>651</v>
      </c>
      <c r="B478" s="7" t="s">
        <v>46</v>
      </c>
      <c r="C478" s="7" t="s">
        <v>158</v>
      </c>
      <c r="D478" s="7" t="s">
        <v>98</v>
      </c>
      <c r="E478" s="7" t="s">
        <v>99</v>
      </c>
      <c r="F478" s="7" t="s">
        <v>56</v>
      </c>
      <c r="G478" s="7" t="s">
        <v>19</v>
      </c>
      <c r="H478" s="9" t="n">
        <v>45940</v>
      </c>
      <c r="I478" s="9"/>
      <c r="J478" s="7" t="n">
        <v>10</v>
      </c>
      <c r="K478" s="7" t="s">
        <v>482</v>
      </c>
      <c r="L478" s="7" t="s">
        <v>20</v>
      </c>
      <c r="M478" s="7" t="s">
        <v>660</v>
      </c>
      <c r="N478" s="7" t="s">
        <v>58</v>
      </c>
      <c r="O478" s="10" t="n">
        <f aca="false">'Exec Summary'!$E$2-H478</f>
        <v>294</v>
      </c>
      <c r="P478" s="10" t="str">
        <f aca="false">IF(I478="","",I478-H478)</f>
        <v/>
      </c>
      <c r="Q478" s="10" t="n">
        <f aca="false">VLOOKUP(G478,$AA$2:$AB$5,2,FALSE())</f>
        <v>15</v>
      </c>
      <c r="R478" s="7" t="n">
        <f aca="false">IF(OR(F478="Open",F478="Reopened"),1,0)</f>
        <v>1</v>
      </c>
      <c r="S478" s="7" t="n">
        <f aca="false">IF(AND(H478&gt;='Exec Summary'!$E$1,H478&lt;='Exec Summary'!$E$2),1,0)</f>
        <v>0</v>
      </c>
      <c r="T478" s="7" t="n">
        <f aca="false">IF(AND(F478="Closed",I478&lt;&gt;"",I478&gt;='Exec Summary'!$E$1,I478&lt;='Exec Summary'!$E$2),1,0)</f>
        <v>0</v>
      </c>
      <c r="U478" s="7" t="n">
        <f aca="false">IF(F478="Reopened",1,0)</f>
        <v>0</v>
      </c>
      <c r="V478" s="7" t="n">
        <f aca="false">IF(AND(R478=1,O478&gt;Q478),1,0)</f>
        <v>1</v>
      </c>
      <c r="W478" s="7" t="n">
        <f aca="false">IF(AND(T478=1,P478&lt;&gt;"",P478&lt;=Q478),1,0)</f>
        <v>0</v>
      </c>
    </row>
    <row r="479" customFormat="false" ht="15" hidden="false" customHeight="false" outlineLevel="0" collapsed="false">
      <c r="A479" s="7" t="s">
        <v>651</v>
      </c>
      <c r="B479" s="7" t="s">
        <v>46</v>
      </c>
      <c r="C479" s="7" t="s">
        <v>158</v>
      </c>
      <c r="D479" s="7" t="s">
        <v>112</v>
      </c>
      <c r="E479" s="7" t="s">
        <v>113</v>
      </c>
      <c r="F479" s="7" t="s">
        <v>50</v>
      </c>
      <c r="G479" s="7" t="s">
        <v>20</v>
      </c>
      <c r="H479" s="9" t="n">
        <v>46130</v>
      </c>
      <c r="I479" s="9" t="n">
        <v>46159</v>
      </c>
      <c r="J479" s="7" t="n">
        <v>7.8</v>
      </c>
      <c r="K479" s="7" t="s">
        <v>482</v>
      </c>
      <c r="L479" s="7" t="s">
        <v>20</v>
      </c>
      <c r="M479" s="7" t="s">
        <v>661</v>
      </c>
      <c r="N479" s="7" t="s">
        <v>53</v>
      </c>
      <c r="O479" s="10" t="n">
        <f aca="false">'Exec Summary'!$E$2-H479</f>
        <v>104</v>
      </c>
      <c r="P479" s="10" t="n">
        <f aca="false">IF(I479="","",I479-H479)</f>
        <v>29</v>
      </c>
      <c r="Q479" s="10" t="n">
        <f aca="false">VLOOKUP(G479,$AA$2:$AB$5,2,FALSE())</f>
        <v>30</v>
      </c>
      <c r="R479" s="7" t="n">
        <f aca="false">IF(OR(F479="Open",F479="Reopened"),1,0)</f>
        <v>0</v>
      </c>
      <c r="S479" s="7" t="n">
        <f aca="false">IF(AND(H479&gt;='Exec Summary'!$E$1,H479&lt;='Exec Summary'!$E$2),1,0)</f>
        <v>0</v>
      </c>
      <c r="T479" s="7" t="n">
        <f aca="false">IF(AND(F479="Closed",I479&lt;&gt;"",I479&gt;='Exec Summary'!$E$1,I479&lt;='Exec Summary'!$E$2),1,0)</f>
        <v>0</v>
      </c>
      <c r="U479" s="7" t="n">
        <f aca="false">IF(F479="Reopened",1,0)</f>
        <v>0</v>
      </c>
      <c r="V479" s="7" t="n">
        <f aca="false">IF(AND(R479=1,O479&gt;Q479),1,0)</f>
        <v>0</v>
      </c>
      <c r="W479" s="7" t="n">
        <f aca="false">IF(AND(T479=1,P479&lt;&gt;"",P479&lt;=Q479),1,0)</f>
        <v>0</v>
      </c>
    </row>
    <row r="480" customFormat="false" ht="15" hidden="false" customHeight="false" outlineLevel="0" collapsed="false">
      <c r="A480" s="7" t="s">
        <v>651</v>
      </c>
      <c r="B480" s="7" t="s">
        <v>46</v>
      </c>
      <c r="C480" s="7" t="s">
        <v>158</v>
      </c>
      <c r="D480" s="7" t="s">
        <v>54</v>
      </c>
      <c r="E480" s="7" t="s">
        <v>55</v>
      </c>
      <c r="F480" s="7" t="s">
        <v>50</v>
      </c>
      <c r="G480" s="7" t="s">
        <v>19</v>
      </c>
      <c r="H480" s="9" t="n">
        <v>46001</v>
      </c>
      <c r="I480" s="9" t="n">
        <v>46015</v>
      </c>
      <c r="J480" s="7" t="n">
        <v>9.8</v>
      </c>
      <c r="K480" s="7" t="s">
        <v>482</v>
      </c>
      <c r="L480" s="7" t="s">
        <v>20</v>
      </c>
      <c r="M480" s="7" t="s">
        <v>662</v>
      </c>
      <c r="N480" s="7" t="s">
        <v>58</v>
      </c>
      <c r="O480" s="10" t="n">
        <f aca="false">'Exec Summary'!$E$2-H480</f>
        <v>233</v>
      </c>
      <c r="P480" s="10" t="n">
        <f aca="false">IF(I480="","",I480-H480)</f>
        <v>14</v>
      </c>
      <c r="Q480" s="10" t="n">
        <f aca="false">VLOOKUP(G480,$AA$2:$AB$5,2,FALSE())</f>
        <v>15</v>
      </c>
      <c r="R480" s="7" t="n">
        <f aca="false">IF(OR(F480="Open",F480="Reopened"),1,0)</f>
        <v>0</v>
      </c>
      <c r="S480" s="7" t="n">
        <f aca="false">IF(AND(H480&gt;='Exec Summary'!$E$1,H480&lt;='Exec Summary'!$E$2),1,0)</f>
        <v>0</v>
      </c>
      <c r="T480" s="7" t="n">
        <f aca="false">IF(AND(F480="Closed",I480&lt;&gt;"",I480&gt;='Exec Summary'!$E$1,I480&lt;='Exec Summary'!$E$2),1,0)</f>
        <v>0</v>
      </c>
      <c r="U480" s="7" t="n">
        <f aca="false">IF(F480="Reopened",1,0)</f>
        <v>0</v>
      </c>
      <c r="V480" s="7" t="n">
        <f aca="false">IF(AND(R480=1,O480&gt;Q480),1,0)</f>
        <v>0</v>
      </c>
      <c r="W480" s="7" t="n">
        <f aca="false">IF(AND(T480=1,P480&lt;&gt;"",P480&lt;=Q480),1,0)</f>
        <v>0</v>
      </c>
    </row>
    <row r="481" customFormat="false" ht="15" hidden="false" customHeight="false" outlineLevel="0" collapsed="false">
      <c r="A481" s="7" t="s">
        <v>651</v>
      </c>
      <c r="B481" s="7" t="s">
        <v>46</v>
      </c>
      <c r="C481" s="7" t="s">
        <v>158</v>
      </c>
      <c r="D481" s="7" t="s">
        <v>163</v>
      </c>
      <c r="E481" s="7" t="s">
        <v>164</v>
      </c>
      <c r="F481" s="7" t="s">
        <v>56</v>
      </c>
      <c r="G481" s="7" t="s">
        <v>19</v>
      </c>
      <c r="H481" s="9" t="n">
        <v>45938</v>
      </c>
      <c r="I481" s="9"/>
      <c r="J481" s="7" t="n">
        <v>9.1</v>
      </c>
      <c r="K481" s="7" t="s">
        <v>482</v>
      </c>
      <c r="L481" s="7" t="s">
        <v>20</v>
      </c>
      <c r="M481" s="7" t="s">
        <v>663</v>
      </c>
      <c r="N481" s="7" t="s">
        <v>58</v>
      </c>
      <c r="O481" s="10" t="n">
        <f aca="false">'Exec Summary'!$E$2-H481</f>
        <v>296</v>
      </c>
      <c r="P481" s="10" t="str">
        <f aca="false">IF(I481="","",I481-H481)</f>
        <v/>
      </c>
      <c r="Q481" s="10" t="n">
        <f aca="false">VLOOKUP(G481,$AA$2:$AB$5,2,FALSE())</f>
        <v>15</v>
      </c>
      <c r="R481" s="7" t="n">
        <f aca="false">IF(OR(F481="Open",F481="Reopened"),1,0)</f>
        <v>1</v>
      </c>
      <c r="S481" s="7" t="n">
        <f aca="false">IF(AND(H481&gt;='Exec Summary'!$E$1,H481&lt;='Exec Summary'!$E$2),1,0)</f>
        <v>0</v>
      </c>
      <c r="T481" s="7" t="n">
        <f aca="false">IF(AND(F481="Closed",I481&lt;&gt;"",I481&gt;='Exec Summary'!$E$1,I481&lt;='Exec Summary'!$E$2),1,0)</f>
        <v>0</v>
      </c>
      <c r="U481" s="7" t="n">
        <f aca="false">IF(F481="Reopened",1,0)</f>
        <v>0</v>
      </c>
      <c r="V481" s="7" t="n">
        <f aca="false">IF(AND(R481=1,O481&gt;Q481),1,0)</f>
        <v>1</v>
      </c>
      <c r="W481" s="7" t="n">
        <f aca="false">IF(AND(T481=1,P481&lt;&gt;"",P481&lt;=Q481),1,0)</f>
        <v>0</v>
      </c>
    </row>
    <row r="482" customFormat="false" ht="15" hidden="false" customHeight="false" outlineLevel="0" collapsed="false">
      <c r="A482" s="7" t="s">
        <v>664</v>
      </c>
      <c r="B482" s="7" t="s">
        <v>46</v>
      </c>
      <c r="C482" s="7" t="s">
        <v>47</v>
      </c>
      <c r="D482" s="7" t="s">
        <v>71</v>
      </c>
      <c r="E482" s="7" t="s">
        <v>72</v>
      </c>
      <c r="F482" s="7" t="s">
        <v>50</v>
      </c>
      <c r="G482" s="7" t="s">
        <v>19</v>
      </c>
      <c r="H482" s="9" t="n">
        <v>46212</v>
      </c>
      <c r="I482" s="9" t="n">
        <v>46225</v>
      </c>
      <c r="J482" s="7" t="n">
        <v>9.8</v>
      </c>
      <c r="K482" s="7" t="s">
        <v>482</v>
      </c>
      <c r="L482" s="7" t="s">
        <v>19</v>
      </c>
      <c r="M482" s="7" t="s">
        <v>665</v>
      </c>
      <c r="N482" s="7" t="s">
        <v>58</v>
      </c>
      <c r="O482" s="10" t="n">
        <f aca="false">'Exec Summary'!$E$2-H482</f>
        <v>22</v>
      </c>
      <c r="P482" s="10" t="n">
        <f aca="false">IF(I482="","",I482-H482)</f>
        <v>13</v>
      </c>
      <c r="Q482" s="10" t="n">
        <f aca="false">VLOOKUP(G482,$AA$2:$AB$5,2,FALSE())</f>
        <v>15</v>
      </c>
      <c r="R482" s="7" t="n">
        <f aca="false">IF(OR(F482="Open",F482="Reopened"),1,0)</f>
        <v>0</v>
      </c>
      <c r="S482" s="7" t="n">
        <f aca="false">IF(AND(H482&gt;='Exec Summary'!$E$1,H482&lt;='Exec Summary'!$E$2),1,0)</f>
        <v>1</v>
      </c>
      <c r="T482" s="7" t="n">
        <f aca="false">IF(AND(F482="Closed",I482&lt;&gt;"",I482&gt;='Exec Summary'!$E$1,I482&lt;='Exec Summary'!$E$2),1,0)</f>
        <v>1</v>
      </c>
      <c r="U482" s="7" t="n">
        <f aca="false">IF(F482="Reopened",1,0)</f>
        <v>0</v>
      </c>
      <c r="V482" s="7" t="n">
        <f aca="false">IF(AND(R482=1,O482&gt;Q482),1,0)</f>
        <v>0</v>
      </c>
      <c r="W482" s="7" t="n">
        <f aca="false">IF(AND(T482=1,P482&lt;&gt;"",P482&lt;=Q482),1,0)</f>
        <v>1</v>
      </c>
    </row>
    <row r="483" customFormat="false" ht="15" hidden="false" customHeight="false" outlineLevel="0" collapsed="false">
      <c r="A483" s="7" t="s">
        <v>664</v>
      </c>
      <c r="B483" s="7" t="s">
        <v>46</v>
      </c>
      <c r="C483" s="7" t="s">
        <v>47</v>
      </c>
      <c r="D483" s="7" t="s">
        <v>210</v>
      </c>
      <c r="E483" s="7" t="s">
        <v>211</v>
      </c>
      <c r="F483" s="7" t="s">
        <v>50</v>
      </c>
      <c r="G483" s="7" t="s">
        <v>19</v>
      </c>
      <c r="H483" s="9" t="n">
        <v>46212</v>
      </c>
      <c r="I483" s="9" t="n">
        <v>46213</v>
      </c>
      <c r="J483" s="7" t="n">
        <v>9.8</v>
      </c>
      <c r="K483" s="7" t="s">
        <v>482</v>
      </c>
      <c r="L483" s="7" t="s">
        <v>19</v>
      </c>
      <c r="M483" s="7" t="s">
        <v>666</v>
      </c>
      <c r="N483" s="7" t="s">
        <v>58</v>
      </c>
      <c r="O483" s="10" t="n">
        <f aca="false">'Exec Summary'!$E$2-H483</f>
        <v>22</v>
      </c>
      <c r="P483" s="10" t="n">
        <f aca="false">IF(I483="","",I483-H483)</f>
        <v>1</v>
      </c>
      <c r="Q483" s="10" t="n">
        <f aca="false">VLOOKUP(G483,$AA$2:$AB$5,2,FALSE())</f>
        <v>15</v>
      </c>
      <c r="R483" s="7" t="n">
        <f aca="false">IF(OR(F483="Open",F483="Reopened"),1,0)</f>
        <v>0</v>
      </c>
      <c r="S483" s="7" t="n">
        <f aca="false">IF(AND(H483&gt;='Exec Summary'!$E$1,H483&lt;='Exec Summary'!$E$2),1,0)</f>
        <v>1</v>
      </c>
      <c r="T483" s="7" t="n">
        <f aca="false">IF(AND(F483="Closed",I483&lt;&gt;"",I483&gt;='Exec Summary'!$E$1,I483&lt;='Exec Summary'!$E$2),1,0)</f>
        <v>1</v>
      </c>
      <c r="U483" s="7" t="n">
        <f aca="false">IF(F483="Reopened",1,0)</f>
        <v>0</v>
      </c>
      <c r="V483" s="7" t="n">
        <f aca="false">IF(AND(R483=1,O483&gt;Q483),1,0)</f>
        <v>0</v>
      </c>
      <c r="W483" s="7" t="n">
        <f aca="false">IF(AND(T483=1,P483&lt;&gt;"",P483&lt;=Q483),1,0)</f>
        <v>1</v>
      </c>
    </row>
    <row r="484" customFormat="false" ht="15" hidden="false" customHeight="false" outlineLevel="0" collapsed="false">
      <c r="A484" s="7" t="s">
        <v>664</v>
      </c>
      <c r="B484" s="7" t="s">
        <v>46</v>
      </c>
      <c r="C484" s="7" t="s">
        <v>47</v>
      </c>
      <c r="D484" s="7" t="s">
        <v>112</v>
      </c>
      <c r="E484" s="7" t="s">
        <v>113</v>
      </c>
      <c r="F484" s="7" t="s">
        <v>50</v>
      </c>
      <c r="G484" s="7" t="s">
        <v>20</v>
      </c>
      <c r="H484" s="9" t="n">
        <v>45946</v>
      </c>
      <c r="I484" s="9" t="n">
        <v>45966</v>
      </c>
      <c r="J484" s="7" t="n">
        <v>7.8</v>
      </c>
      <c r="K484" s="7" t="s">
        <v>482</v>
      </c>
      <c r="L484" s="7" t="s">
        <v>19</v>
      </c>
      <c r="M484" s="7" t="s">
        <v>667</v>
      </c>
      <c r="N484" s="7" t="s">
        <v>53</v>
      </c>
      <c r="O484" s="10" t="n">
        <f aca="false">'Exec Summary'!$E$2-H484</f>
        <v>288</v>
      </c>
      <c r="P484" s="10" t="n">
        <f aca="false">IF(I484="","",I484-H484)</f>
        <v>20</v>
      </c>
      <c r="Q484" s="10" t="n">
        <f aca="false">VLOOKUP(G484,$AA$2:$AB$5,2,FALSE())</f>
        <v>30</v>
      </c>
      <c r="R484" s="7" t="n">
        <f aca="false">IF(OR(F484="Open",F484="Reopened"),1,0)</f>
        <v>0</v>
      </c>
      <c r="S484" s="7" t="n">
        <f aca="false">IF(AND(H484&gt;='Exec Summary'!$E$1,H484&lt;='Exec Summary'!$E$2),1,0)</f>
        <v>0</v>
      </c>
      <c r="T484" s="7" t="n">
        <f aca="false">IF(AND(F484="Closed",I484&lt;&gt;"",I484&gt;='Exec Summary'!$E$1,I484&lt;='Exec Summary'!$E$2),1,0)</f>
        <v>0</v>
      </c>
      <c r="U484" s="7" t="n">
        <f aca="false">IF(F484="Reopened",1,0)</f>
        <v>0</v>
      </c>
      <c r="V484" s="7" t="n">
        <f aca="false">IF(AND(R484=1,O484&gt;Q484),1,0)</f>
        <v>0</v>
      </c>
      <c r="W484" s="7" t="n">
        <f aca="false">IF(AND(T484=1,P484&lt;&gt;"",P484&lt;=Q484),1,0)</f>
        <v>0</v>
      </c>
    </row>
    <row r="485" customFormat="false" ht="15" hidden="false" customHeight="false" outlineLevel="0" collapsed="false">
      <c r="A485" s="7" t="s">
        <v>664</v>
      </c>
      <c r="B485" s="7" t="s">
        <v>46</v>
      </c>
      <c r="C485" s="7" t="s">
        <v>47</v>
      </c>
      <c r="D485" s="7" t="s">
        <v>59</v>
      </c>
      <c r="E485" s="7" t="s">
        <v>60</v>
      </c>
      <c r="F485" s="7" t="s">
        <v>50</v>
      </c>
      <c r="G485" s="7" t="s">
        <v>19</v>
      </c>
      <c r="H485" s="9" t="n">
        <v>46080</v>
      </c>
      <c r="I485" s="9" t="n">
        <v>46096</v>
      </c>
      <c r="J485" s="7" t="n">
        <v>7.8</v>
      </c>
      <c r="K485" s="7" t="s">
        <v>482</v>
      </c>
      <c r="L485" s="7" t="s">
        <v>19</v>
      </c>
      <c r="M485" s="7" t="s">
        <v>668</v>
      </c>
      <c r="N485" s="7" t="s">
        <v>58</v>
      </c>
      <c r="O485" s="10" t="n">
        <f aca="false">'Exec Summary'!$E$2-H485</f>
        <v>154</v>
      </c>
      <c r="P485" s="10" t="n">
        <f aca="false">IF(I485="","",I485-H485)</f>
        <v>16</v>
      </c>
      <c r="Q485" s="10" t="n">
        <f aca="false">VLOOKUP(G485,$AA$2:$AB$5,2,FALSE())</f>
        <v>15</v>
      </c>
      <c r="R485" s="7" t="n">
        <f aca="false">IF(OR(F485="Open",F485="Reopened"),1,0)</f>
        <v>0</v>
      </c>
      <c r="S485" s="7" t="n">
        <f aca="false">IF(AND(H485&gt;='Exec Summary'!$E$1,H485&lt;='Exec Summary'!$E$2),1,0)</f>
        <v>0</v>
      </c>
      <c r="T485" s="7" t="n">
        <f aca="false">IF(AND(F485="Closed",I485&lt;&gt;"",I485&gt;='Exec Summary'!$E$1,I485&lt;='Exec Summary'!$E$2),1,0)</f>
        <v>0</v>
      </c>
      <c r="U485" s="7" t="n">
        <f aca="false">IF(F485="Reopened",1,0)</f>
        <v>0</v>
      </c>
      <c r="V485" s="7" t="n">
        <f aca="false">IF(AND(R485=1,O485&gt;Q485),1,0)</f>
        <v>0</v>
      </c>
      <c r="W485" s="7" t="n">
        <f aca="false">IF(AND(T485=1,P485&lt;&gt;"",P485&lt;=Q485),1,0)</f>
        <v>0</v>
      </c>
    </row>
    <row r="486" customFormat="false" ht="15" hidden="false" customHeight="false" outlineLevel="0" collapsed="false">
      <c r="A486" s="7" t="s">
        <v>664</v>
      </c>
      <c r="B486" s="7" t="s">
        <v>46</v>
      </c>
      <c r="C486" s="7" t="s">
        <v>47</v>
      </c>
      <c r="D486" s="7" t="s">
        <v>48</v>
      </c>
      <c r="E486" s="7" t="s">
        <v>49</v>
      </c>
      <c r="F486" s="7" t="s">
        <v>50</v>
      </c>
      <c r="G486" s="7" t="s">
        <v>20</v>
      </c>
      <c r="H486" s="9" t="n">
        <v>46185</v>
      </c>
      <c r="I486" s="9" t="n">
        <v>46198</v>
      </c>
      <c r="J486" s="7" t="n">
        <v>7.5</v>
      </c>
      <c r="K486" s="7" t="s">
        <v>482</v>
      </c>
      <c r="L486" s="7" t="s">
        <v>19</v>
      </c>
      <c r="M486" s="7" t="s">
        <v>669</v>
      </c>
      <c r="N486" s="7" t="s">
        <v>53</v>
      </c>
      <c r="O486" s="10" t="n">
        <f aca="false">'Exec Summary'!$E$2-H486</f>
        <v>49</v>
      </c>
      <c r="P486" s="10" t="n">
        <f aca="false">IF(I486="","",I486-H486)</f>
        <v>13</v>
      </c>
      <c r="Q486" s="10" t="n">
        <f aca="false">VLOOKUP(G486,$AA$2:$AB$5,2,FALSE())</f>
        <v>30</v>
      </c>
      <c r="R486" s="7" t="n">
        <f aca="false">IF(OR(F486="Open",F486="Reopened"),1,0)</f>
        <v>0</v>
      </c>
      <c r="S486" s="7" t="n">
        <f aca="false">IF(AND(H486&gt;='Exec Summary'!$E$1,H486&lt;='Exec Summary'!$E$2),1,0)</f>
        <v>0</v>
      </c>
      <c r="T486" s="7" t="n">
        <f aca="false">IF(AND(F486="Closed",I486&lt;&gt;"",I486&gt;='Exec Summary'!$E$1,I486&lt;='Exec Summary'!$E$2),1,0)</f>
        <v>0</v>
      </c>
      <c r="U486" s="7" t="n">
        <f aca="false">IF(F486="Reopened",1,0)</f>
        <v>0</v>
      </c>
      <c r="V486" s="7" t="n">
        <f aca="false">IF(AND(R486=1,O486&gt;Q486),1,0)</f>
        <v>0</v>
      </c>
      <c r="W486" s="7" t="n">
        <f aca="false">IF(AND(T486=1,P486&lt;&gt;"",P486&lt;=Q486),1,0)</f>
        <v>0</v>
      </c>
    </row>
    <row r="487" customFormat="false" ht="15" hidden="false" customHeight="false" outlineLevel="0" collapsed="false">
      <c r="A487" s="7" t="s">
        <v>664</v>
      </c>
      <c r="B487" s="7" t="s">
        <v>46</v>
      </c>
      <c r="C487" s="7" t="s">
        <v>47</v>
      </c>
      <c r="D487" s="7" t="s">
        <v>87</v>
      </c>
      <c r="E487" s="7" t="s">
        <v>88</v>
      </c>
      <c r="F487" s="7" t="s">
        <v>50</v>
      </c>
      <c r="G487" s="7" t="s">
        <v>19</v>
      </c>
      <c r="H487" s="9" t="n">
        <v>46078</v>
      </c>
      <c r="I487" s="9" t="n">
        <v>46086</v>
      </c>
      <c r="J487" s="7" t="n">
        <v>10</v>
      </c>
      <c r="K487" s="7" t="s">
        <v>482</v>
      </c>
      <c r="L487" s="7" t="s">
        <v>19</v>
      </c>
      <c r="M487" s="7" t="s">
        <v>670</v>
      </c>
      <c r="N487" s="7" t="s">
        <v>58</v>
      </c>
      <c r="O487" s="10" t="n">
        <f aca="false">'Exec Summary'!$E$2-H487</f>
        <v>156</v>
      </c>
      <c r="P487" s="10" t="n">
        <f aca="false">IF(I487="","",I487-H487)</f>
        <v>8</v>
      </c>
      <c r="Q487" s="10" t="n">
        <f aca="false">VLOOKUP(G487,$AA$2:$AB$5,2,FALSE())</f>
        <v>15</v>
      </c>
      <c r="R487" s="7" t="n">
        <f aca="false">IF(OR(F487="Open",F487="Reopened"),1,0)</f>
        <v>0</v>
      </c>
      <c r="S487" s="7" t="n">
        <f aca="false">IF(AND(H487&gt;='Exec Summary'!$E$1,H487&lt;='Exec Summary'!$E$2),1,0)</f>
        <v>0</v>
      </c>
      <c r="T487" s="7" t="n">
        <f aca="false">IF(AND(F487="Closed",I487&lt;&gt;"",I487&gt;='Exec Summary'!$E$1,I487&lt;='Exec Summary'!$E$2),1,0)</f>
        <v>0</v>
      </c>
      <c r="U487" s="7" t="n">
        <f aca="false">IF(F487="Reopened",1,0)</f>
        <v>0</v>
      </c>
      <c r="V487" s="7" t="n">
        <f aca="false">IF(AND(R487=1,O487&gt;Q487),1,0)</f>
        <v>0</v>
      </c>
      <c r="W487" s="7" t="n">
        <f aca="false">IF(AND(T487=1,P487&lt;&gt;"",P487&lt;=Q487),1,0)</f>
        <v>0</v>
      </c>
    </row>
    <row r="488" customFormat="false" ht="15" hidden="false" customHeight="false" outlineLevel="0" collapsed="false">
      <c r="A488" s="7" t="s">
        <v>664</v>
      </c>
      <c r="B488" s="7" t="s">
        <v>46</v>
      </c>
      <c r="C488" s="7" t="s">
        <v>47</v>
      </c>
      <c r="D488" s="7" t="s">
        <v>163</v>
      </c>
      <c r="E488" s="7" t="s">
        <v>164</v>
      </c>
      <c r="F488" s="7" t="s">
        <v>56</v>
      </c>
      <c r="G488" s="7" t="s">
        <v>19</v>
      </c>
      <c r="H488" s="9" t="n">
        <v>45956</v>
      </c>
      <c r="I488" s="9"/>
      <c r="J488" s="7" t="n">
        <v>9.1</v>
      </c>
      <c r="K488" s="7" t="s">
        <v>482</v>
      </c>
      <c r="L488" s="7" t="s">
        <v>19</v>
      </c>
      <c r="M488" s="7" t="s">
        <v>671</v>
      </c>
      <c r="N488" s="7" t="s">
        <v>58</v>
      </c>
      <c r="O488" s="10" t="n">
        <f aca="false">'Exec Summary'!$E$2-H488</f>
        <v>278</v>
      </c>
      <c r="P488" s="10" t="str">
        <f aca="false">IF(I488="","",I488-H488)</f>
        <v/>
      </c>
      <c r="Q488" s="10" t="n">
        <f aca="false">VLOOKUP(G488,$AA$2:$AB$5,2,FALSE())</f>
        <v>15</v>
      </c>
      <c r="R488" s="7" t="n">
        <f aca="false">IF(OR(F488="Open",F488="Reopened"),1,0)</f>
        <v>1</v>
      </c>
      <c r="S488" s="7" t="n">
        <f aca="false">IF(AND(H488&gt;='Exec Summary'!$E$1,H488&lt;='Exec Summary'!$E$2),1,0)</f>
        <v>0</v>
      </c>
      <c r="T488" s="7" t="n">
        <f aca="false">IF(AND(F488="Closed",I488&lt;&gt;"",I488&gt;='Exec Summary'!$E$1,I488&lt;='Exec Summary'!$E$2),1,0)</f>
        <v>0</v>
      </c>
      <c r="U488" s="7" t="n">
        <f aca="false">IF(F488="Reopened",1,0)</f>
        <v>0</v>
      </c>
      <c r="V488" s="7" t="n">
        <f aca="false">IF(AND(R488=1,O488&gt;Q488),1,0)</f>
        <v>1</v>
      </c>
      <c r="W488" s="7" t="n">
        <f aca="false">IF(AND(T488=1,P488&lt;&gt;"",P488&lt;=Q488),1,0)</f>
        <v>0</v>
      </c>
    </row>
    <row r="489" customFormat="false" ht="15" hidden="false" customHeight="false" outlineLevel="0" collapsed="false">
      <c r="A489" s="7" t="s">
        <v>664</v>
      </c>
      <c r="B489" s="7" t="s">
        <v>46</v>
      </c>
      <c r="C489" s="7" t="s">
        <v>47</v>
      </c>
      <c r="D489" s="7" t="s">
        <v>139</v>
      </c>
      <c r="E489" s="7" t="s">
        <v>140</v>
      </c>
      <c r="F489" s="7" t="s">
        <v>50</v>
      </c>
      <c r="G489" s="7" t="s">
        <v>19</v>
      </c>
      <c r="H489" s="9" t="n">
        <v>46153</v>
      </c>
      <c r="I489" s="9" t="n">
        <v>46161</v>
      </c>
      <c r="J489" s="7" t="n">
        <v>9.8</v>
      </c>
      <c r="K489" s="7" t="s">
        <v>482</v>
      </c>
      <c r="L489" s="7" t="s">
        <v>19</v>
      </c>
      <c r="M489" s="7" t="s">
        <v>672</v>
      </c>
      <c r="N489" s="7" t="s">
        <v>58</v>
      </c>
      <c r="O489" s="10" t="n">
        <f aca="false">'Exec Summary'!$E$2-H489</f>
        <v>81</v>
      </c>
      <c r="P489" s="10" t="n">
        <f aca="false">IF(I489="","",I489-H489)</f>
        <v>8</v>
      </c>
      <c r="Q489" s="10" t="n">
        <f aca="false">VLOOKUP(G489,$AA$2:$AB$5,2,FALSE())</f>
        <v>15</v>
      </c>
      <c r="R489" s="7" t="n">
        <f aca="false">IF(OR(F489="Open",F489="Reopened"),1,0)</f>
        <v>0</v>
      </c>
      <c r="S489" s="7" t="n">
        <f aca="false">IF(AND(H489&gt;='Exec Summary'!$E$1,H489&lt;='Exec Summary'!$E$2),1,0)</f>
        <v>0</v>
      </c>
      <c r="T489" s="7" t="n">
        <f aca="false">IF(AND(F489="Closed",I489&lt;&gt;"",I489&gt;='Exec Summary'!$E$1,I489&lt;='Exec Summary'!$E$2),1,0)</f>
        <v>0</v>
      </c>
      <c r="U489" s="7" t="n">
        <f aca="false">IF(F489="Reopened",1,0)</f>
        <v>0</v>
      </c>
      <c r="V489" s="7" t="n">
        <f aca="false">IF(AND(R489=1,O489&gt;Q489),1,0)</f>
        <v>0</v>
      </c>
      <c r="W489" s="7" t="n">
        <f aca="false">IF(AND(T489=1,P489&lt;&gt;"",P489&lt;=Q489),1,0)</f>
        <v>0</v>
      </c>
    </row>
    <row r="490" customFormat="false" ht="15" hidden="false" customHeight="false" outlineLevel="0" collapsed="false">
      <c r="A490" s="7" t="s">
        <v>664</v>
      </c>
      <c r="B490" s="7" t="s">
        <v>46</v>
      </c>
      <c r="C490" s="7" t="s">
        <v>47</v>
      </c>
      <c r="D490" s="7" t="s">
        <v>68</v>
      </c>
      <c r="E490" s="7" t="s">
        <v>69</v>
      </c>
      <c r="F490" s="7" t="s">
        <v>56</v>
      </c>
      <c r="G490" s="7" t="s">
        <v>19</v>
      </c>
      <c r="H490" s="9" t="n">
        <v>46010</v>
      </c>
      <c r="I490" s="9"/>
      <c r="J490" s="7" t="n">
        <v>9.8</v>
      </c>
      <c r="K490" s="7" t="s">
        <v>482</v>
      </c>
      <c r="L490" s="7" t="s">
        <v>19</v>
      </c>
      <c r="M490" s="7" t="s">
        <v>673</v>
      </c>
      <c r="N490" s="7" t="s">
        <v>58</v>
      </c>
      <c r="O490" s="10" t="n">
        <f aca="false">'Exec Summary'!$E$2-H490</f>
        <v>224</v>
      </c>
      <c r="P490" s="10" t="str">
        <f aca="false">IF(I490="","",I490-H490)</f>
        <v/>
      </c>
      <c r="Q490" s="10" t="n">
        <f aca="false">VLOOKUP(G490,$AA$2:$AB$5,2,FALSE())</f>
        <v>15</v>
      </c>
      <c r="R490" s="7" t="n">
        <f aca="false">IF(OR(F490="Open",F490="Reopened"),1,0)</f>
        <v>1</v>
      </c>
      <c r="S490" s="7" t="n">
        <f aca="false">IF(AND(H490&gt;='Exec Summary'!$E$1,H490&lt;='Exec Summary'!$E$2),1,0)</f>
        <v>0</v>
      </c>
      <c r="T490" s="7" t="n">
        <f aca="false">IF(AND(F490="Closed",I490&lt;&gt;"",I490&gt;='Exec Summary'!$E$1,I490&lt;='Exec Summary'!$E$2),1,0)</f>
        <v>0</v>
      </c>
      <c r="U490" s="7" t="n">
        <f aca="false">IF(F490="Reopened",1,0)</f>
        <v>0</v>
      </c>
      <c r="V490" s="7" t="n">
        <f aca="false">IF(AND(R490=1,O490&gt;Q490),1,0)</f>
        <v>1</v>
      </c>
      <c r="W490" s="7" t="n">
        <f aca="false">IF(AND(T490=1,P490&lt;&gt;"",P490&lt;=Q490),1,0)</f>
        <v>0</v>
      </c>
    </row>
    <row r="491" customFormat="false" ht="15" hidden="false" customHeight="false" outlineLevel="0" collapsed="false">
      <c r="A491" s="7" t="s">
        <v>664</v>
      </c>
      <c r="B491" s="7" t="s">
        <v>46</v>
      </c>
      <c r="C491" s="7" t="s">
        <v>47</v>
      </c>
      <c r="D491" s="7" t="s">
        <v>54</v>
      </c>
      <c r="E491" s="7" t="s">
        <v>55</v>
      </c>
      <c r="F491" s="7" t="s">
        <v>50</v>
      </c>
      <c r="G491" s="7" t="s">
        <v>19</v>
      </c>
      <c r="H491" s="9" t="n">
        <v>46080</v>
      </c>
      <c r="I491" s="9" t="n">
        <v>46103</v>
      </c>
      <c r="J491" s="7" t="n">
        <v>9.8</v>
      </c>
      <c r="K491" s="7" t="s">
        <v>482</v>
      </c>
      <c r="L491" s="7" t="s">
        <v>19</v>
      </c>
      <c r="M491" s="7" t="s">
        <v>674</v>
      </c>
      <c r="N491" s="7" t="s">
        <v>58</v>
      </c>
      <c r="O491" s="10" t="n">
        <f aca="false">'Exec Summary'!$E$2-H491</f>
        <v>154</v>
      </c>
      <c r="P491" s="10" t="n">
        <f aca="false">IF(I491="","",I491-H491)</f>
        <v>23</v>
      </c>
      <c r="Q491" s="10" t="n">
        <f aca="false">VLOOKUP(G491,$AA$2:$AB$5,2,FALSE())</f>
        <v>15</v>
      </c>
      <c r="R491" s="7" t="n">
        <f aca="false">IF(OR(F491="Open",F491="Reopened"),1,0)</f>
        <v>0</v>
      </c>
      <c r="S491" s="7" t="n">
        <f aca="false">IF(AND(H491&gt;='Exec Summary'!$E$1,H491&lt;='Exec Summary'!$E$2),1,0)</f>
        <v>0</v>
      </c>
      <c r="T491" s="7" t="n">
        <f aca="false">IF(AND(F491="Closed",I491&lt;&gt;"",I491&gt;='Exec Summary'!$E$1,I491&lt;='Exec Summary'!$E$2),1,0)</f>
        <v>0</v>
      </c>
      <c r="U491" s="7" t="n">
        <f aca="false">IF(F491="Reopened",1,0)</f>
        <v>0</v>
      </c>
      <c r="V491" s="7" t="n">
        <f aca="false">IF(AND(R491=1,O491&gt;Q491),1,0)</f>
        <v>0</v>
      </c>
      <c r="W491" s="7" t="n">
        <f aca="false">IF(AND(T491=1,P491&lt;&gt;"",P491&lt;=Q491),1,0)</f>
        <v>0</v>
      </c>
    </row>
    <row r="492" customFormat="false" ht="15" hidden="false" customHeight="false" outlineLevel="0" collapsed="false">
      <c r="A492" s="7" t="s">
        <v>664</v>
      </c>
      <c r="B492" s="7" t="s">
        <v>46</v>
      </c>
      <c r="C492" s="7" t="s">
        <v>47</v>
      </c>
      <c r="D492" s="7" t="s">
        <v>192</v>
      </c>
      <c r="E492" s="7" t="s">
        <v>193</v>
      </c>
      <c r="F492" s="7" t="s">
        <v>56</v>
      </c>
      <c r="G492" s="7" t="s">
        <v>19</v>
      </c>
      <c r="H492" s="9" t="n">
        <v>45973</v>
      </c>
      <c r="I492" s="9"/>
      <c r="J492" s="7" t="n">
        <v>9.8</v>
      </c>
      <c r="K492" s="7" t="s">
        <v>482</v>
      </c>
      <c r="L492" s="7" t="s">
        <v>19</v>
      </c>
      <c r="M492" s="7" t="s">
        <v>675</v>
      </c>
      <c r="N492" s="7" t="s">
        <v>58</v>
      </c>
      <c r="O492" s="10" t="n">
        <f aca="false">'Exec Summary'!$E$2-H492</f>
        <v>261</v>
      </c>
      <c r="P492" s="10" t="str">
        <f aca="false">IF(I492="","",I492-H492)</f>
        <v/>
      </c>
      <c r="Q492" s="10" t="n">
        <f aca="false">VLOOKUP(G492,$AA$2:$AB$5,2,FALSE())</f>
        <v>15</v>
      </c>
      <c r="R492" s="7" t="n">
        <f aca="false">IF(OR(F492="Open",F492="Reopened"),1,0)</f>
        <v>1</v>
      </c>
      <c r="S492" s="7" t="n">
        <f aca="false">IF(AND(H492&gt;='Exec Summary'!$E$1,H492&lt;='Exec Summary'!$E$2),1,0)</f>
        <v>0</v>
      </c>
      <c r="T492" s="7" t="n">
        <f aca="false">IF(AND(F492="Closed",I492&lt;&gt;"",I492&gt;='Exec Summary'!$E$1,I492&lt;='Exec Summary'!$E$2),1,0)</f>
        <v>0</v>
      </c>
      <c r="U492" s="7" t="n">
        <f aca="false">IF(F492="Reopened",1,0)</f>
        <v>0</v>
      </c>
      <c r="V492" s="7" t="n">
        <f aca="false">IF(AND(R492=1,O492&gt;Q492),1,0)</f>
        <v>1</v>
      </c>
      <c r="W492" s="7" t="n">
        <f aca="false">IF(AND(T492=1,P492&lt;&gt;"",P492&lt;=Q492),1,0)</f>
        <v>0</v>
      </c>
    </row>
    <row r="493" customFormat="false" ht="15" hidden="false" customHeight="false" outlineLevel="0" collapsed="false">
      <c r="A493" s="7" t="s">
        <v>664</v>
      </c>
      <c r="B493" s="7" t="s">
        <v>46</v>
      </c>
      <c r="C493" s="7" t="s">
        <v>47</v>
      </c>
      <c r="D493" s="7" t="s">
        <v>91</v>
      </c>
      <c r="E493" s="7" t="s">
        <v>92</v>
      </c>
      <c r="F493" s="7" t="s">
        <v>50</v>
      </c>
      <c r="G493" s="7" t="s">
        <v>20</v>
      </c>
      <c r="H493" s="9" t="n">
        <v>46009</v>
      </c>
      <c r="I493" s="9" t="n">
        <v>46049</v>
      </c>
      <c r="J493" s="7" t="n">
        <v>8.1</v>
      </c>
      <c r="K493" s="7" t="s">
        <v>482</v>
      </c>
      <c r="L493" s="7" t="s">
        <v>19</v>
      </c>
      <c r="M493" s="7" t="s">
        <v>676</v>
      </c>
      <c r="N493" s="7" t="s">
        <v>53</v>
      </c>
      <c r="O493" s="10" t="n">
        <f aca="false">'Exec Summary'!$E$2-H493</f>
        <v>225</v>
      </c>
      <c r="P493" s="10" t="n">
        <f aca="false">IF(I493="","",I493-H493)</f>
        <v>40</v>
      </c>
      <c r="Q493" s="10" t="n">
        <f aca="false">VLOOKUP(G493,$AA$2:$AB$5,2,FALSE())</f>
        <v>30</v>
      </c>
      <c r="R493" s="7" t="n">
        <f aca="false">IF(OR(F493="Open",F493="Reopened"),1,0)</f>
        <v>0</v>
      </c>
      <c r="S493" s="7" t="n">
        <f aca="false">IF(AND(H493&gt;='Exec Summary'!$E$1,H493&lt;='Exec Summary'!$E$2),1,0)</f>
        <v>0</v>
      </c>
      <c r="T493" s="7" t="n">
        <f aca="false">IF(AND(F493="Closed",I493&lt;&gt;"",I493&gt;='Exec Summary'!$E$1,I493&lt;='Exec Summary'!$E$2),1,0)</f>
        <v>0</v>
      </c>
      <c r="U493" s="7" t="n">
        <f aca="false">IF(F493="Reopened",1,0)</f>
        <v>0</v>
      </c>
      <c r="V493" s="7" t="n">
        <f aca="false">IF(AND(R493=1,O493&gt;Q493),1,0)</f>
        <v>0</v>
      </c>
      <c r="W493" s="7" t="n">
        <f aca="false">IF(AND(T493=1,P493&lt;&gt;"",P493&lt;=Q493),1,0)</f>
        <v>0</v>
      </c>
    </row>
    <row r="494" customFormat="false" ht="15" hidden="false" customHeight="false" outlineLevel="0" collapsed="false">
      <c r="A494" s="7" t="s">
        <v>664</v>
      </c>
      <c r="B494" s="7" t="s">
        <v>46</v>
      </c>
      <c r="C494" s="7" t="s">
        <v>47</v>
      </c>
      <c r="D494" s="7" t="s">
        <v>95</v>
      </c>
      <c r="E494" s="7" t="s">
        <v>96</v>
      </c>
      <c r="F494" s="7" t="s">
        <v>50</v>
      </c>
      <c r="G494" s="7" t="s">
        <v>20</v>
      </c>
      <c r="H494" s="9" t="n">
        <v>45968</v>
      </c>
      <c r="I494" s="9" t="n">
        <v>45970</v>
      </c>
      <c r="J494" s="7" t="n">
        <v>8.8</v>
      </c>
      <c r="K494" s="7" t="s">
        <v>482</v>
      </c>
      <c r="L494" s="7" t="s">
        <v>19</v>
      </c>
      <c r="M494" s="7" t="s">
        <v>677</v>
      </c>
      <c r="N494" s="7" t="s">
        <v>53</v>
      </c>
      <c r="O494" s="10" t="n">
        <f aca="false">'Exec Summary'!$E$2-H494</f>
        <v>266</v>
      </c>
      <c r="P494" s="10" t="n">
        <f aca="false">IF(I494="","",I494-H494)</f>
        <v>2</v>
      </c>
      <c r="Q494" s="10" t="n">
        <f aca="false">VLOOKUP(G494,$AA$2:$AB$5,2,FALSE())</f>
        <v>30</v>
      </c>
      <c r="R494" s="7" t="n">
        <f aca="false">IF(OR(F494="Open",F494="Reopened"),1,0)</f>
        <v>0</v>
      </c>
      <c r="S494" s="7" t="n">
        <f aca="false">IF(AND(H494&gt;='Exec Summary'!$E$1,H494&lt;='Exec Summary'!$E$2),1,0)</f>
        <v>0</v>
      </c>
      <c r="T494" s="7" t="n">
        <f aca="false">IF(AND(F494="Closed",I494&lt;&gt;"",I494&gt;='Exec Summary'!$E$1,I494&lt;='Exec Summary'!$E$2),1,0)</f>
        <v>0</v>
      </c>
      <c r="U494" s="7" t="n">
        <f aca="false">IF(F494="Reopened",1,0)</f>
        <v>0</v>
      </c>
      <c r="V494" s="7" t="n">
        <f aca="false">IF(AND(R494=1,O494&gt;Q494),1,0)</f>
        <v>0</v>
      </c>
      <c r="W494" s="7" t="n">
        <f aca="false">IF(AND(T494=1,P494&lt;&gt;"",P494&lt;=Q494),1,0)</f>
        <v>0</v>
      </c>
    </row>
    <row r="495" customFormat="false" ht="15" hidden="false" customHeight="false" outlineLevel="0" collapsed="false">
      <c r="A495" s="7" t="s">
        <v>678</v>
      </c>
      <c r="B495" s="7" t="s">
        <v>135</v>
      </c>
      <c r="C495" s="7" t="s">
        <v>306</v>
      </c>
      <c r="D495" s="7" t="s">
        <v>173</v>
      </c>
      <c r="E495" s="7" t="s">
        <v>174</v>
      </c>
      <c r="F495" s="7" t="s">
        <v>50</v>
      </c>
      <c r="G495" s="7" t="s">
        <v>19</v>
      </c>
      <c r="H495" s="9" t="n">
        <v>46059</v>
      </c>
      <c r="I495" s="9" t="n">
        <v>46075</v>
      </c>
      <c r="J495" s="7" t="n">
        <v>9.8</v>
      </c>
      <c r="K495" s="7" t="s">
        <v>482</v>
      </c>
      <c r="L495" s="7" t="s">
        <v>21</v>
      </c>
      <c r="M495" s="7" t="s">
        <v>679</v>
      </c>
      <c r="N495" s="7" t="s">
        <v>58</v>
      </c>
      <c r="O495" s="10" t="n">
        <f aca="false">'Exec Summary'!$E$2-H495</f>
        <v>175</v>
      </c>
      <c r="P495" s="10" t="n">
        <f aca="false">IF(I495="","",I495-H495)</f>
        <v>16</v>
      </c>
      <c r="Q495" s="10" t="n">
        <f aca="false">VLOOKUP(G495,$AA$2:$AB$5,2,FALSE())</f>
        <v>15</v>
      </c>
      <c r="R495" s="7" t="n">
        <f aca="false">IF(OR(F495="Open",F495="Reopened"),1,0)</f>
        <v>0</v>
      </c>
      <c r="S495" s="7" t="n">
        <f aca="false">IF(AND(H495&gt;='Exec Summary'!$E$1,H495&lt;='Exec Summary'!$E$2),1,0)</f>
        <v>0</v>
      </c>
      <c r="T495" s="7" t="n">
        <f aca="false">IF(AND(F495="Closed",I495&lt;&gt;"",I495&gt;='Exec Summary'!$E$1,I495&lt;='Exec Summary'!$E$2),1,0)</f>
        <v>0</v>
      </c>
      <c r="U495" s="7" t="n">
        <f aca="false">IF(F495="Reopened",1,0)</f>
        <v>0</v>
      </c>
      <c r="V495" s="7" t="n">
        <f aca="false">IF(AND(R495=1,O495&gt;Q495),1,0)</f>
        <v>0</v>
      </c>
      <c r="W495" s="7" t="n">
        <f aca="false">IF(AND(T495=1,P495&lt;&gt;"",P495&lt;=Q495),1,0)</f>
        <v>0</v>
      </c>
    </row>
    <row r="496" customFormat="false" ht="15" hidden="false" customHeight="false" outlineLevel="0" collapsed="false">
      <c r="A496" s="7" t="s">
        <v>678</v>
      </c>
      <c r="B496" s="7" t="s">
        <v>135</v>
      </c>
      <c r="C496" s="7" t="s">
        <v>306</v>
      </c>
      <c r="D496" s="7" t="s">
        <v>62</v>
      </c>
      <c r="E496" s="7" t="s">
        <v>63</v>
      </c>
      <c r="F496" s="7" t="s">
        <v>50</v>
      </c>
      <c r="G496" s="7" t="s">
        <v>20</v>
      </c>
      <c r="H496" s="9" t="n">
        <v>46186</v>
      </c>
      <c r="I496" s="9" t="n">
        <v>46214</v>
      </c>
      <c r="J496" s="7" t="n">
        <v>8.1</v>
      </c>
      <c r="K496" s="7" t="s">
        <v>482</v>
      </c>
      <c r="L496" s="7" t="s">
        <v>21</v>
      </c>
      <c r="M496" s="7" t="s">
        <v>680</v>
      </c>
      <c r="N496" s="7" t="s">
        <v>53</v>
      </c>
      <c r="O496" s="10" t="n">
        <f aca="false">'Exec Summary'!$E$2-H496</f>
        <v>48</v>
      </c>
      <c r="P496" s="10" t="n">
        <f aca="false">IF(I496="","",I496-H496)</f>
        <v>28</v>
      </c>
      <c r="Q496" s="10" t="n">
        <f aca="false">VLOOKUP(G496,$AA$2:$AB$5,2,FALSE())</f>
        <v>30</v>
      </c>
      <c r="R496" s="7" t="n">
        <f aca="false">IF(OR(F496="Open",F496="Reopened"),1,0)</f>
        <v>0</v>
      </c>
      <c r="S496" s="7" t="n">
        <f aca="false">IF(AND(H496&gt;='Exec Summary'!$E$1,H496&lt;='Exec Summary'!$E$2),1,0)</f>
        <v>0</v>
      </c>
      <c r="T496" s="7" t="n">
        <f aca="false">IF(AND(F496="Closed",I496&lt;&gt;"",I496&gt;='Exec Summary'!$E$1,I496&lt;='Exec Summary'!$E$2),1,0)</f>
        <v>1</v>
      </c>
      <c r="U496" s="7" t="n">
        <f aca="false">IF(F496="Reopened",1,0)</f>
        <v>0</v>
      </c>
      <c r="V496" s="7" t="n">
        <f aca="false">IF(AND(R496=1,O496&gt;Q496),1,0)</f>
        <v>0</v>
      </c>
      <c r="W496" s="7" t="n">
        <f aca="false">IF(AND(T496=1,P496&lt;&gt;"",P496&lt;=Q496),1,0)</f>
        <v>1</v>
      </c>
    </row>
    <row r="497" customFormat="false" ht="15" hidden="false" customHeight="false" outlineLevel="0" collapsed="false">
      <c r="A497" s="7" t="s">
        <v>678</v>
      </c>
      <c r="B497" s="7" t="s">
        <v>135</v>
      </c>
      <c r="C497" s="7" t="s">
        <v>306</v>
      </c>
      <c r="D497" s="7" t="s">
        <v>65</v>
      </c>
      <c r="E497" s="7" t="s">
        <v>66</v>
      </c>
      <c r="F497" s="7" t="s">
        <v>50</v>
      </c>
      <c r="G497" s="7" t="s">
        <v>19</v>
      </c>
      <c r="H497" s="9" t="n">
        <v>46203</v>
      </c>
      <c r="I497" s="9" t="n">
        <v>46208</v>
      </c>
      <c r="J497" s="7" t="n">
        <v>9.8</v>
      </c>
      <c r="K497" s="7" t="s">
        <v>482</v>
      </c>
      <c r="L497" s="7" t="s">
        <v>21</v>
      </c>
      <c r="M497" s="7" t="s">
        <v>681</v>
      </c>
      <c r="N497" s="7" t="s">
        <v>58</v>
      </c>
      <c r="O497" s="10" t="n">
        <f aca="false">'Exec Summary'!$E$2-H497</f>
        <v>31</v>
      </c>
      <c r="P497" s="10" t="n">
        <f aca="false">IF(I497="","",I497-H497)</f>
        <v>5</v>
      </c>
      <c r="Q497" s="10" t="n">
        <f aca="false">VLOOKUP(G497,$AA$2:$AB$5,2,FALSE())</f>
        <v>15</v>
      </c>
      <c r="R497" s="7" t="n">
        <f aca="false">IF(OR(F497="Open",F497="Reopened"),1,0)</f>
        <v>0</v>
      </c>
      <c r="S497" s="7" t="n">
        <f aca="false">IF(AND(H497&gt;='Exec Summary'!$E$1,H497&lt;='Exec Summary'!$E$2),1,0)</f>
        <v>0</v>
      </c>
      <c r="T497" s="7" t="n">
        <f aca="false">IF(AND(F497="Closed",I497&lt;&gt;"",I497&gt;='Exec Summary'!$E$1,I497&lt;='Exec Summary'!$E$2),1,0)</f>
        <v>1</v>
      </c>
      <c r="U497" s="7" t="n">
        <f aca="false">IF(F497="Reopened",1,0)</f>
        <v>0</v>
      </c>
      <c r="V497" s="7" t="n">
        <f aca="false">IF(AND(R497=1,O497&gt;Q497),1,0)</f>
        <v>0</v>
      </c>
      <c r="W497" s="7" t="n">
        <f aca="false">IF(AND(T497=1,P497&lt;&gt;"",P497&lt;=Q497),1,0)</f>
        <v>1</v>
      </c>
    </row>
    <row r="498" customFormat="false" ht="15" hidden="false" customHeight="false" outlineLevel="0" collapsed="false">
      <c r="A498" s="7" t="s">
        <v>678</v>
      </c>
      <c r="B498" s="7" t="s">
        <v>135</v>
      </c>
      <c r="C498" s="7" t="s">
        <v>306</v>
      </c>
      <c r="D498" s="7" t="s">
        <v>120</v>
      </c>
      <c r="E498" s="7" t="s">
        <v>121</v>
      </c>
      <c r="F498" s="7" t="s">
        <v>123</v>
      </c>
      <c r="G498" s="7" t="s">
        <v>19</v>
      </c>
      <c r="H498" s="9" t="n">
        <v>45978</v>
      </c>
      <c r="I498" s="9" t="n">
        <v>46010</v>
      </c>
      <c r="J498" s="7" t="n">
        <v>8.8</v>
      </c>
      <c r="K498" s="7" t="s">
        <v>482</v>
      </c>
      <c r="L498" s="7" t="s">
        <v>21</v>
      </c>
      <c r="M498" s="7" t="s">
        <v>682</v>
      </c>
      <c r="N498" s="7" t="s">
        <v>58</v>
      </c>
      <c r="O498" s="10" t="n">
        <f aca="false">'Exec Summary'!$E$2-H498</f>
        <v>256</v>
      </c>
      <c r="P498" s="10" t="n">
        <f aca="false">IF(I498="","",I498-H498)</f>
        <v>32</v>
      </c>
      <c r="Q498" s="10" t="n">
        <f aca="false">VLOOKUP(G498,$AA$2:$AB$5,2,FALSE())</f>
        <v>15</v>
      </c>
      <c r="R498" s="7" t="n">
        <f aca="false">IF(OR(F498="Open",F498="Reopened"),1,0)</f>
        <v>1</v>
      </c>
      <c r="S498" s="7" t="n">
        <f aca="false">IF(AND(H498&gt;='Exec Summary'!$E$1,H498&lt;='Exec Summary'!$E$2),1,0)</f>
        <v>0</v>
      </c>
      <c r="T498" s="7" t="n">
        <f aca="false">IF(AND(F498="Closed",I498&lt;&gt;"",I498&gt;='Exec Summary'!$E$1,I498&lt;='Exec Summary'!$E$2),1,0)</f>
        <v>0</v>
      </c>
      <c r="U498" s="7" t="n">
        <f aca="false">IF(F498="Reopened",1,0)</f>
        <v>1</v>
      </c>
      <c r="V498" s="7" t="n">
        <f aca="false">IF(AND(R498=1,O498&gt;Q498),1,0)</f>
        <v>1</v>
      </c>
      <c r="W498" s="7" t="n">
        <f aca="false">IF(AND(T498=1,P498&lt;&gt;"",P498&lt;=Q498),1,0)</f>
        <v>0</v>
      </c>
    </row>
    <row r="499" customFormat="false" ht="15" hidden="false" customHeight="false" outlineLevel="0" collapsed="false">
      <c r="A499" s="7" t="s">
        <v>678</v>
      </c>
      <c r="B499" s="7" t="s">
        <v>135</v>
      </c>
      <c r="C499" s="7" t="s">
        <v>306</v>
      </c>
      <c r="D499" s="7" t="s">
        <v>104</v>
      </c>
      <c r="E499" s="7" t="s">
        <v>105</v>
      </c>
      <c r="F499" s="7" t="s">
        <v>56</v>
      </c>
      <c r="G499" s="7" t="s">
        <v>19</v>
      </c>
      <c r="H499" s="9" t="n">
        <v>46002</v>
      </c>
      <c r="I499" s="9"/>
      <c r="J499" s="7" t="n">
        <v>9.8</v>
      </c>
      <c r="K499" s="7" t="s">
        <v>482</v>
      </c>
      <c r="L499" s="7" t="s">
        <v>21</v>
      </c>
      <c r="M499" s="7" t="s">
        <v>683</v>
      </c>
      <c r="N499" s="7" t="s">
        <v>58</v>
      </c>
      <c r="O499" s="10" t="n">
        <f aca="false">'Exec Summary'!$E$2-H499</f>
        <v>232</v>
      </c>
      <c r="P499" s="10" t="str">
        <f aca="false">IF(I499="","",I499-H499)</f>
        <v/>
      </c>
      <c r="Q499" s="10" t="n">
        <f aca="false">VLOOKUP(G499,$AA$2:$AB$5,2,FALSE())</f>
        <v>15</v>
      </c>
      <c r="R499" s="7" t="n">
        <f aca="false">IF(OR(F499="Open",F499="Reopened"),1,0)</f>
        <v>1</v>
      </c>
      <c r="S499" s="7" t="n">
        <f aca="false">IF(AND(H499&gt;='Exec Summary'!$E$1,H499&lt;='Exec Summary'!$E$2),1,0)</f>
        <v>0</v>
      </c>
      <c r="T499" s="7" t="n">
        <f aca="false">IF(AND(F499="Closed",I499&lt;&gt;"",I499&gt;='Exec Summary'!$E$1,I499&lt;='Exec Summary'!$E$2),1,0)</f>
        <v>0</v>
      </c>
      <c r="U499" s="7" t="n">
        <f aca="false">IF(F499="Reopened",1,0)</f>
        <v>0</v>
      </c>
      <c r="V499" s="7" t="n">
        <f aca="false">IF(AND(R499=1,O499&gt;Q499),1,0)</f>
        <v>1</v>
      </c>
      <c r="W499" s="7" t="n">
        <f aca="false">IF(AND(T499=1,P499&lt;&gt;"",P499&lt;=Q499),1,0)</f>
        <v>0</v>
      </c>
    </row>
    <row r="500" customFormat="false" ht="15" hidden="false" customHeight="false" outlineLevel="0" collapsed="false">
      <c r="A500" s="7" t="s">
        <v>678</v>
      </c>
      <c r="B500" s="7" t="s">
        <v>135</v>
      </c>
      <c r="C500" s="7" t="s">
        <v>306</v>
      </c>
      <c r="D500" s="7" t="s">
        <v>163</v>
      </c>
      <c r="E500" s="7" t="s">
        <v>164</v>
      </c>
      <c r="F500" s="7" t="s">
        <v>50</v>
      </c>
      <c r="G500" s="7" t="s">
        <v>19</v>
      </c>
      <c r="H500" s="9" t="n">
        <v>46112</v>
      </c>
      <c r="I500" s="9" t="n">
        <v>46123</v>
      </c>
      <c r="J500" s="7" t="n">
        <v>9.1</v>
      </c>
      <c r="K500" s="7" t="s">
        <v>482</v>
      </c>
      <c r="L500" s="7" t="s">
        <v>21</v>
      </c>
      <c r="M500" s="7" t="s">
        <v>684</v>
      </c>
      <c r="N500" s="7" t="s">
        <v>58</v>
      </c>
      <c r="O500" s="10" t="n">
        <f aca="false">'Exec Summary'!$E$2-H500</f>
        <v>122</v>
      </c>
      <c r="P500" s="10" t="n">
        <f aca="false">IF(I500="","",I500-H500)</f>
        <v>11</v>
      </c>
      <c r="Q500" s="10" t="n">
        <f aca="false">VLOOKUP(G500,$AA$2:$AB$5,2,FALSE())</f>
        <v>15</v>
      </c>
      <c r="R500" s="7" t="n">
        <f aca="false">IF(OR(F500="Open",F500="Reopened"),1,0)</f>
        <v>0</v>
      </c>
      <c r="S500" s="7" t="n">
        <f aca="false">IF(AND(H500&gt;='Exec Summary'!$E$1,H500&lt;='Exec Summary'!$E$2),1,0)</f>
        <v>0</v>
      </c>
      <c r="T500" s="7" t="n">
        <f aca="false">IF(AND(F500="Closed",I500&lt;&gt;"",I500&gt;='Exec Summary'!$E$1,I500&lt;='Exec Summary'!$E$2),1,0)</f>
        <v>0</v>
      </c>
      <c r="U500" s="7" t="n">
        <f aca="false">IF(F500="Reopened",1,0)</f>
        <v>0</v>
      </c>
      <c r="V500" s="7" t="n">
        <f aca="false">IF(AND(R500=1,O500&gt;Q500),1,0)</f>
        <v>0</v>
      </c>
      <c r="W500" s="7" t="n">
        <f aca="false">IF(AND(T500=1,P500&lt;&gt;"",P500&lt;=Q500),1,0)</f>
        <v>0</v>
      </c>
    </row>
    <row r="501" customFormat="false" ht="15" hidden="false" customHeight="false" outlineLevel="0" collapsed="false">
      <c r="A501" s="7" t="s">
        <v>678</v>
      </c>
      <c r="B501" s="7" t="s">
        <v>135</v>
      </c>
      <c r="C501" s="7" t="s">
        <v>306</v>
      </c>
      <c r="D501" s="7" t="s">
        <v>68</v>
      </c>
      <c r="E501" s="7" t="s">
        <v>69</v>
      </c>
      <c r="F501" s="7" t="s">
        <v>50</v>
      </c>
      <c r="G501" s="7" t="s">
        <v>19</v>
      </c>
      <c r="H501" s="9" t="n">
        <v>46084</v>
      </c>
      <c r="I501" s="9" t="n">
        <v>46099</v>
      </c>
      <c r="J501" s="7" t="n">
        <v>9.8</v>
      </c>
      <c r="K501" s="7" t="s">
        <v>482</v>
      </c>
      <c r="L501" s="7" t="s">
        <v>21</v>
      </c>
      <c r="M501" s="7" t="s">
        <v>685</v>
      </c>
      <c r="N501" s="7" t="s">
        <v>58</v>
      </c>
      <c r="O501" s="10" t="n">
        <f aca="false">'Exec Summary'!$E$2-H501</f>
        <v>150</v>
      </c>
      <c r="P501" s="10" t="n">
        <f aca="false">IF(I501="","",I501-H501)</f>
        <v>15</v>
      </c>
      <c r="Q501" s="10" t="n">
        <f aca="false">VLOOKUP(G501,$AA$2:$AB$5,2,FALSE())</f>
        <v>15</v>
      </c>
      <c r="R501" s="7" t="n">
        <f aca="false">IF(OR(F501="Open",F501="Reopened"),1,0)</f>
        <v>0</v>
      </c>
      <c r="S501" s="7" t="n">
        <f aca="false">IF(AND(H501&gt;='Exec Summary'!$E$1,H501&lt;='Exec Summary'!$E$2),1,0)</f>
        <v>0</v>
      </c>
      <c r="T501" s="7" t="n">
        <f aca="false">IF(AND(F501="Closed",I501&lt;&gt;"",I501&gt;='Exec Summary'!$E$1,I501&lt;='Exec Summary'!$E$2),1,0)</f>
        <v>0</v>
      </c>
      <c r="U501" s="7" t="n">
        <f aca="false">IF(F501="Reopened",1,0)</f>
        <v>0</v>
      </c>
      <c r="V501" s="7" t="n">
        <f aca="false">IF(AND(R501=1,O501&gt;Q501),1,0)</f>
        <v>0</v>
      </c>
      <c r="W501" s="7" t="n">
        <f aca="false">IF(AND(T501=1,P501&lt;&gt;"",P501&lt;=Q501),1,0)</f>
        <v>0</v>
      </c>
    </row>
    <row r="502" customFormat="false" ht="15" hidden="false" customHeight="false" outlineLevel="0" collapsed="false">
      <c r="A502" s="7" t="s">
        <v>678</v>
      </c>
      <c r="B502" s="7" t="s">
        <v>135</v>
      </c>
      <c r="C502" s="7" t="s">
        <v>306</v>
      </c>
      <c r="D502" s="7" t="s">
        <v>59</v>
      </c>
      <c r="E502" s="7" t="s">
        <v>60</v>
      </c>
      <c r="F502" s="7" t="s">
        <v>50</v>
      </c>
      <c r="G502" s="7" t="s">
        <v>19</v>
      </c>
      <c r="H502" s="9" t="n">
        <v>46058</v>
      </c>
      <c r="I502" s="9" t="n">
        <v>46061</v>
      </c>
      <c r="J502" s="7" t="n">
        <v>7.8</v>
      </c>
      <c r="K502" s="7" t="s">
        <v>482</v>
      </c>
      <c r="L502" s="7" t="s">
        <v>21</v>
      </c>
      <c r="M502" s="7" t="s">
        <v>686</v>
      </c>
      <c r="N502" s="7" t="s">
        <v>58</v>
      </c>
      <c r="O502" s="10" t="n">
        <f aca="false">'Exec Summary'!$E$2-H502</f>
        <v>176</v>
      </c>
      <c r="P502" s="10" t="n">
        <f aca="false">IF(I502="","",I502-H502)</f>
        <v>3</v>
      </c>
      <c r="Q502" s="10" t="n">
        <f aca="false">VLOOKUP(G502,$AA$2:$AB$5,2,FALSE())</f>
        <v>15</v>
      </c>
      <c r="R502" s="7" t="n">
        <f aca="false">IF(OR(F502="Open",F502="Reopened"),1,0)</f>
        <v>0</v>
      </c>
      <c r="S502" s="7" t="n">
        <f aca="false">IF(AND(H502&gt;='Exec Summary'!$E$1,H502&lt;='Exec Summary'!$E$2),1,0)</f>
        <v>0</v>
      </c>
      <c r="T502" s="7" t="n">
        <f aca="false">IF(AND(F502="Closed",I502&lt;&gt;"",I502&gt;='Exec Summary'!$E$1,I502&lt;='Exec Summary'!$E$2),1,0)</f>
        <v>0</v>
      </c>
      <c r="U502" s="7" t="n">
        <f aca="false">IF(F502="Reopened",1,0)</f>
        <v>0</v>
      </c>
      <c r="V502" s="7" t="n">
        <f aca="false">IF(AND(R502=1,O502&gt;Q502),1,0)</f>
        <v>0</v>
      </c>
      <c r="W502" s="7" t="n">
        <f aca="false">IF(AND(T502=1,P502&lt;&gt;"",P502&lt;=Q502),1,0)</f>
        <v>0</v>
      </c>
    </row>
    <row r="503" customFormat="false" ht="15" hidden="false" customHeight="false" outlineLevel="0" collapsed="false">
      <c r="A503" s="7" t="s">
        <v>687</v>
      </c>
      <c r="B503" s="7" t="s">
        <v>46</v>
      </c>
      <c r="C503" s="7" t="s">
        <v>128</v>
      </c>
      <c r="D503" s="7" t="s">
        <v>173</v>
      </c>
      <c r="E503" s="7" t="s">
        <v>174</v>
      </c>
      <c r="F503" s="7" t="s">
        <v>56</v>
      </c>
      <c r="G503" s="7" t="s">
        <v>19</v>
      </c>
      <c r="H503" s="9" t="n">
        <v>45988</v>
      </c>
      <c r="I503" s="9"/>
      <c r="J503" s="7" t="n">
        <v>9.8</v>
      </c>
      <c r="K503" s="7" t="s">
        <v>482</v>
      </c>
      <c r="L503" s="7" t="s">
        <v>20</v>
      </c>
      <c r="M503" s="7" t="s">
        <v>688</v>
      </c>
      <c r="N503" s="7" t="s">
        <v>58</v>
      </c>
      <c r="O503" s="10" t="n">
        <f aca="false">'Exec Summary'!$E$2-H503</f>
        <v>246</v>
      </c>
      <c r="P503" s="10" t="str">
        <f aca="false">IF(I503="","",I503-H503)</f>
        <v/>
      </c>
      <c r="Q503" s="10" t="n">
        <f aca="false">VLOOKUP(G503,$AA$2:$AB$5,2,FALSE())</f>
        <v>15</v>
      </c>
      <c r="R503" s="7" t="n">
        <f aca="false">IF(OR(F503="Open",F503="Reopened"),1,0)</f>
        <v>1</v>
      </c>
      <c r="S503" s="7" t="n">
        <f aca="false">IF(AND(H503&gt;='Exec Summary'!$E$1,H503&lt;='Exec Summary'!$E$2),1,0)</f>
        <v>0</v>
      </c>
      <c r="T503" s="7" t="n">
        <f aca="false">IF(AND(F503="Closed",I503&lt;&gt;"",I503&gt;='Exec Summary'!$E$1,I503&lt;='Exec Summary'!$E$2),1,0)</f>
        <v>0</v>
      </c>
      <c r="U503" s="7" t="n">
        <f aca="false">IF(F503="Reopened",1,0)</f>
        <v>0</v>
      </c>
      <c r="V503" s="7" t="n">
        <f aca="false">IF(AND(R503=1,O503&gt;Q503),1,0)</f>
        <v>1</v>
      </c>
      <c r="W503" s="7" t="n">
        <f aca="false">IF(AND(T503=1,P503&lt;&gt;"",P503&lt;=Q503),1,0)</f>
        <v>0</v>
      </c>
    </row>
    <row r="504" customFormat="false" ht="15" hidden="false" customHeight="false" outlineLevel="0" collapsed="false">
      <c r="A504" s="7" t="s">
        <v>689</v>
      </c>
      <c r="B504" s="7" t="s">
        <v>46</v>
      </c>
      <c r="C504" s="7" t="s">
        <v>79</v>
      </c>
      <c r="D504" s="7" t="s">
        <v>54</v>
      </c>
      <c r="E504" s="7" t="s">
        <v>55</v>
      </c>
      <c r="F504" s="7" t="s">
        <v>50</v>
      </c>
      <c r="G504" s="7" t="s">
        <v>19</v>
      </c>
      <c r="H504" s="9" t="n">
        <v>45940</v>
      </c>
      <c r="I504" s="9" t="n">
        <v>45952</v>
      </c>
      <c r="J504" s="7" t="n">
        <v>9.8</v>
      </c>
      <c r="K504" s="7" t="s">
        <v>482</v>
      </c>
      <c r="L504" s="7" t="s">
        <v>19</v>
      </c>
      <c r="M504" s="7" t="s">
        <v>690</v>
      </c>
      <c r="N504" s="7" t="s">
        <v>58</v>
      </c>
      <c r="O504" s="10" t="n">
        <f aca="false">'Exec Summary'!$E$2-H504</f>
        <v>294</v>
      </c>
      <c r="P504" s="10" t="n">
        <f aca="false">IF(I504="","",I504-H504)</f>
        <v>12</v>
      </c>
      <c r="Q504" s="10" t="n">
        <f aca="false">VLOOKUP(G504,$AA$2:$AB$5,2,FALSE())</f>
        <v>15</v>
      </c>
      <c r="R504" s="7" t="n">
        <f aca="false">IF(OR(F504="Open",F504="Reopened"),1,0)</f>
        <v>0</v>
      </c>
      <c r="S504" s="7" t="n">
        <f aca="false">IF(AND(H504&gt;='Exec Summary'!$E$1,H504&lt;='Exec Summary'!$E$2),1,0)</f>
        <v>0</v>
      </c>
      <c r="T504" s="7" t="n">
        <f aca="false">IF(AND(F504="Closed",I504&lt;&gt;"",I504&gt;='Exec Summary'!$E$1,I504&lt;='Exec Summary'!$E$2),1,0)</f>
        <v>0</v>
      </c>
      <c r="U504" s="7" t="n">
        <f aca="false">IF(F504="Reopened",1,0)</f>
        <v>0</v>
      </c>
      <c r="V504" s="7" t="n">
        <f aca="false">IF(AND(R504=1,O504&gt;Q504),1,0)</f>
        <v>0</v>
      </c>
      <c r="W504" s="7" t="n">
        <f aca="false">IF(AND(T504=1,P504&lt;&gt;"",P504&lt;=Q504),1,0)</f>
        <v>0</v>
      </c>
    </row>
    <row r="505" customFormat="false" ht="15" hidden="false" customHeight="false" outlineLevel="0" collapsed="false">
      <c r="A505" s="7" t="s">
        <v>689</v>
      </c>
      <c r="B505" s="7" t="s">
        <v>46</v>
      </c>
      <c r="C505" s="7" t="s">
        <v>79</v>
      </c>
      <c r="D505" s="7" t="s">
        <v>84</v>
      </c>
      <c r="E505" s="7" t="s">
        <v>85</v>
      </c>
      <c r="F505" s="7" t="s">
        <v>56</v>
      </c>
      <c r="G505" s="7" t="s">
        <v>20</v>
      </c>
      <c r="H505" s="9" t="n">
        <v>46204</v>
      </c>
      <c r="I505" s="9"/>
      <c r="J505" s="7" t="n">
        <v>7.5</v>
      </c>
      <c r="K505" s="7" t="s">
        <v>482</v>
      </c>
      <c r="L505" s="7" t="s">
        <v>19</v>
      </c>
      <c r="M505" s="7" t="s">
        <v>691</v>
      </c>
      <c r="N505" s="7" t="s">
        <v>53</v>
      </c>
      <c r="O505" s="10" t="n">
        <f aca="false">'Exec Summary'!$E$2-H505</f>
        <v>30</v>
      </c>
      <c r="P505" s="10" t="str">
        <f aca="false">IF(I505="","",I505-H505)</f>
        <v/>
      </c>
      <c r="Q505" s="10" t="n">
        <f aca="false">VLOOKUP(G505,$AA$2:$AB$5,2,FALSE())</f>
        <v>30</v>
      </c>
      <c r="R505" s="7" t="n">
        <f aca="false">IF(OR(F505="Open",F505="Reopened"),1,0)</f>
        <v>1</v>
      </c>
      <c r="S505" s="7" t="n">
        <f aca="false">IF(AND(H505&gt;='Exec Summary'!$E$1,H505&lt;='Exec Summary'!$E$2),1,0)</f>
        <v>1</v>
      </c>
      <c r="T505" s="7" t="n">
        <f aca="false">IF(AND(F505="Closed",I505&lt;&gt;"",I505&gt;='Exec Summary'!$E$1,I505&lt;='Exec Summary'!$E$2),1,0)</f>
        <v>0</v>
      </c>
      <c r="U505" s="7" t="n">
        <f aca="false">IF(F505="Reopened",1,0)</f>
        <v>0</v>
      </c>
      <c r="V505" s="7" t="n">
        <f aca="false">IF(AND(R505=1,O505&gt;Q505),1,0)</f>
        <v>0</v>
      </c>
      <c r="W505" s="7" t="n">
        <f aca="false">IF(AND(T505=1,P505&lt;&gt;"",P505&lt;=Q505),1,0)</f>
        <v>0</v>
      </c>
    </row>
    <row r="506" customFormat="false" ht="15" hidden="false" customHeight="false" outlineLevel="0" collapsed="false">
      <c r="A506" s="7" t="s">
        <v>692</v>
      </c>
      <c r="B506" s="7" t="s">
        <v>46</v>
      </c>
      <c r="C506" s="7" t="s">
        <v>47</v>
      </c>
      <c r="D506" s="7" t="s">
        <v>68</v>
      </c>
      <c r="E506" s="7" t="s">
        <v>69</v>
      </c>
      <c r="F506" s="7" t="s">
        <v>56</v>
      </c>
      <c r="G506" s="7" t="s">
        <v>19</v>
      </c>
      <c r="H506" s="9" t="n">
        <v>45950</v>
      </c>
      <c r="I506" s="9"/>
      <c r="J506" s="7" t="n">
        <v>9.8</v>
      </c>
      <c r="K506" s="7" t="s">
        <v>482</v>
      </c>
      <c r="L506" s="7" t="s">
        <v>20</v>
      </c>
      <c r="M506" s="7" t="s">
        <v>693</v>
      </c>
      <c r="N506" s="7" t="s">
        <v>58</v>
      </c>
      <c r="O506" s="10" t="n">
        <f aca="false">'Exec Summary'!$E$2-H506</f>
        <v>284</v>
      </c>
      <c r="P506" s="10" t="str">
        <f aca="false">IF(I506="","",I506-H506)</f>
        <v/>
      </c>
      <c r="Q506" s="10" t="n">
        <f aca="false">VLOOKUP(G506,$AA$2:$AB$5,2,FALSE())</f>
        <v>15</v>
      </c>
      <c r="R506" s="7" t="n">
        <f aca="false">IF(OR(F506="Open",F506="Reopened"),1,0)</f>
        <v>1</v>
      </c>
      <c r="S506" s="7" t="n">
        <f aca="false">IF(AND(H506&gt;='Exec Summary'!$E$1,H506&lt;='Exec Summary'!$E$2),1,0)</f>
        <v>0</v>
      </c>
      <c r="T506" s="7" t="n">
        <f aca="false">IF(AND(F506="Closed",I506&lt;&gt;"",I506&gt;='Exec Summary'!$E$1,I506&lt;='Exec Summary'!$E$2),1,0)</f>
        <v>0</v>
      </c>
      <c r="U506" s="7" t="n">
        <f aca="false">IF(F506="Reopened",1,0)</f>
        <v>0</v>
      </c>
      <c r="V506" s="7" t="n">
        <f aca="false">IF(AND(R506=1,O506&gt;Q506),1,0)</f>
        <v>1</v>
      </c>
      <c r="W506" s="7" t="n">
        <f aca="false">IF(AND(T506=1,P506&lt;&gt;"",P506&lt;=Q506),1,0)</f>
        <v>0</v>
      </c>
    </row>
    <row r="507" customFormat="false" ht="15" hidden="false" customHeight="false" outlineLevel="0" collapsed="false">
      <c r="A507" s="7" t="s">
        <v>692</v>
      </c>
      <c r="B507" s="7" t="s">
        <v>46</v>
      </c>
      <c r="C507" s="7" t="s">
        <v>47</v>
      </c>
      <c r="D507" s="7" t="s">
        <v>192</v>
      </c>
      <c r="E507" s="7" t="s">
        <v>193</v>
      </c>
      <c r="F507" s="7" t="s">
        <v>50</v>
      </c>
      <c r="G507" s="7" t="s">
        <v>19</v>
      </c>
      <c r="H507" s="9" t="n">
        <v>46191</v>
      </c>
      <c r="I507" s="9" t="n">
        <v>46198</v>
      </c>
      <c r="J507" s="7" t="n">
        <v>9.8</v>
      </c>
      <c r="K507" s="7" t="s">
        <v>482</v>
      </c>
      <c r="L507" s="7" t="s">
        <v>20</v>
      </c>
      <c r="M507" s="7" t="s">
        <v>694</v>
      </c>
      <c r="N507" s="7" t="s">
        <v>58</v>
      </c>
      <c r="O507" s="10" t="n">
        <f aca="false">'Exec Summary'!$E$2-H507</f>
        <v>43</v>
      </c>
      <c r="P507" s="10" t="n">
        <f aca="false">IF(I507="","",I507-H507)</f>
        <v>7</v>
      </c>
      <c r="Q507" s="10" t="n">
        <f aca="false">VLOOKUP(G507,$AA$2:$AB$5,2,FALSE())</f>
        <v>15</v>
      </c>
      <c r="R507" s="7" t="n">
        <f aca="false">IF(OR(F507="Open",F507="Reopened"),1,0)</f>
        <v>0</v>
      </c>
      <c r="S507" s="7" t="n">
        <f aca="false">IF(AND(H507&gt;='Exec Summary'!$E$1,H507&lt;='Exec Summary'!$E$2),1,0)</f>
        <v>0</v>
      </c>
      <c r="T507" s="7" t="n">
        <f aca="false">IF(AND(F507="Closed",I507&lt;&gt;"",I507&gt;='Exec Summary'!$E$1,I507&lt;='Exec Summary'!$E$2),1,0)</f>
        <v>0</v>
      </c>
      <c r="U507" s="7" t="n">
        <f aca="false">IF(F507="Reopened",1,0)</f>
        <v>0</v>
      </c>
      <c r="V507" s="7" t="n">
        <f aca="false">IF(AND(R507=1,O507&gt;Q507),1,0)</f>
        <v>0</v>
      </c>
      <c r="W507" s="7" t="n">
        <f aca="false">IF(AND(T507=1,P507&lt;&gt;"",P507&lt;=Q507),1,0)</f>
        <v>0</v>
      </c>
    </row>
    <row r="508" customFormat="false" ht="15" hidden="false" customHeight="false" outlineLevel="0" collapsed="false">
      <c r="A508" s="7" t="s">
        <v>695</v>
      </c>
      <c r="B508" s="7" t="s">
        <v>46</v>
      </c>
      <c r="C508" s="7" t="s">
        <v>177</v>
      </c>
      <c r="D508" s="7" t="s">
        <v>108</v>
      </c>
      <c r="E508" s="7" t="s">
        <v>109</v>
      </c>
      <c r="F508" s="7" t="s">
        <v>56</v>
      </c>
      <c r="G508" s="7" t="s">
        <v>20</v>
      </c>
      <c r="H508" s="9" t="n">
        <v>45998</v>
      </c>
      <c r="I508" s="9"/>
      <c r="J508" s="7" t="n">
        <v>8.6</v>
      </c>
      <c r="K508" s="7" t="s">
        <v>482</v>
      </c>
      <c r="L508" s="7" t="s">
        <v>20</v>
      </c>
      <c r="M508" s="7" t="s">
        <v>696</v>
      </c>
      <c r="N508" s="7" t="s">
        <v>53</v>
      </c>
      <c r="O508" s="10" t="n">
        <f aca="false">'Exec Summary'!$E$2-H508</f>
        <v>236</v>
      </c>
      <c r="P508" s="10" t="str">
        <f aca="false">IF(I508="","",I508-H508)</f>
        <v/>
      </c>
      <c r="Q508" s="10" t="n">
        <f aca="false">VLOOKUP(G508,$AA$2:$AB$5,2,FALSE())</f>
        <v>30</v>
      </c>
      <c r="R508" s="7" t="n">
        <f aca="false">IF(OR(F508="Open",F508="Reopened"),1,0)</f>
        <v>1</v>
      </c>
      <c r="S508" s="7" t="n">
        <f aca="false">IF(AND(H508&gt;='Exec Summary'!$E$1,H508&lt;='Exec Summary'!$E$2),1,0)</f>
        <v>0</v>
      </c>
      <c r="T508" s="7" t="n">
        <f aca="false">IF(AND(F508="Closed",I508&lt;&gt;"",I508&gt;='Exec Summary'!$E$1,I508&lt;='Exec Summary'!$E$2),1,0)</f>
        <v>0</v>
      </c>
      <c r="U508" s="7" t="n">
        <f aca="false">IF(F508="Reopened",1,0)</f>
        <v>0</v>
      </c>
      <c r="V508" s="7" t="n">
        <f aca="false">IF(AND(R508=1,O508&gt;Q508),1,0)</f>
        <v>1</v>
      </c>
      <c r="W508" s="7" t="n">
        <f aca="false">IF(AND(T508=1,P508&lt;&gt;"",P508&lt;=Q508),1,0)</f>
        <v>0</v>
      </c>
    </row>
    <row r="509" customFormat="false" ht="15" hidden="false" customHeight="false" outlineLevel="0" collapsed="false">
      <c r="A509" s="7" t="s">
        <v>695</v>
      </c>
      <c r="B509" s="7" t="s">
        <v>46</v>
      </c>
      <c r="C509" s="7" t="s">
        <v>177</v>
      </c>
      <c r="D509" s="7" t="s">
        <v>87</v>
      </c>
      <c r="E509" s="7" t="s">
        <v>88</v>
      </c>
      <c r="F509" s="7" t="s">
        <v>50</v>
      </c>
      <c r="G509" s="7" t="s">
        <v>19</v>
      </c>
      <c r="H509" s="9" t="n">
        <v>45962</v>
      </c>
      <c r="I509" s="9" t="n">
        <v>45977</v>
      </c>
      <c r="J509" s="7" t="n">
        <v>10</v>
      </c>
      <c r="K509" s="7" t="s">
        <v>482</v>
      </c>
      <c r="L509" s="7" t="s">
        <v>20</v>
      </c>
      <c r="M509" s="7" t="s">
        <v>697</v>
      </c>
      <c r="N509" s="7" t="s">
        <v>58</v>
      </c>
      <c r="O509" s="10" t="n">
        <f aca="false">'Exec Summary'!$E$2-H509</f>
        <v>272</v>
      </c>
      <c r="P509" s="10" t="n">
        <f aca="false">IF(I509="","",I509-H509)</f>
        <v>15</v>
      </c>
      <c r="Q509" s="10" t="n">
        <f aca="false">VLOOKUP(G509,$AA$2:$AB$5,2,FALSE())</f>
        <v>15</v>
      </c>
      <c r="R509" s="7" t="n">
        <f aca="false">IF(OR(F509="Open",F509="Reopened"),1,0)</f>
        <v>0</v>
      </c>
      <c r="S509" s="7" t="n">
        <f aca="false">IF(AND(H509&gt;='Exec Summary'!$E$1,H509&lt;='Exec Summary'!$E$2),1,0)</f>
        <v>0</v>
      </c>
      <c r="T509" s="7" t="n">
        <f aca="false">IF(AND(F509="Closed",I509&lt;&gt;"",I509&gt;='Exec Summary'!$E$1,I509&lt;='Exec Summary'!$E$2),1,0)</f>
        <v>0</v>
      </c>
      <c r="U509" s="7" t="n">
        <f aca="false">IF(F509="Reopened",1,0)</f>
        <v>0</v>
      </c>
      <c r="V509" s="7" t="n">
        <f aca="false">IF(AND(R509=1,O509&gt;Q509),1,0)</f>
        <v>0</v>
      </c>
      <c r="W509" s="7" t="n">
        <f aca="false">IF(AND(T509=1,P509&lt;&gt;"",P509&lt;=Q509),1,0)</f>
        <v>0</v>
      </c>
    </row>
    <row r="510" customFormat="false" ht="15" hidden="false" customHeight="false" outlineLevel="0" collapsed="false">
      <c r="A510" s="7" t="s">
        <v>695</v>
      </c>
      <c r="B510" s="7" t="s">
        <v>46</v>
      </c>
      <c r="C510" s="7" t="s">
        <v>177</v>
      </c>
      <c r="D510" s="7" t="s">
        <v>173</v>
      </c>
      <c r="E510" s="7" t="s">
        <v>174</v>
      </c>
      <c r="F510" s="7" t="s">
        <v>50</v>
      </c>
      <c r="G510" s="7" t="s">
        <v>19</v>
      </c>
      <c r="H510" s="9" t="n">
        <v>46173</v>
      </c>
      <c r="I510" s="9" t="n">
        <v>46194</v>
      </c>
      <c r="J510" s="7" t="n">
        <v>9.8</v>
      </c>
      <c r="K510" s="7" t="s">
        <v>482</v>
      </c>
      <c r="L510" s="7" t="s">
        <v>20</v>
      </c>
      <c r="M510" s="7" t="s">
        <v>698</v>
      </c>
      <c r="N510" s="7" t="s">
        <v>58</v>
      </c>
      <c r="O510" s="10" t="n">
        <f aca="false">'Exec Summary'!$E$2-H510</f>
        <v>61</v>
      </c>
      <c r="P510" s="10" t="n">
        <f aca="false">IF(I510="","",I510-H510)</f>
        <v>21</v>
      </c>
      <c r="Q510" s="10" t="n">
        <f aca="false">VLOOKUP(G510,$AA$2:$AB$5,2,FALSE())</f>
        <v>15</v>
      </c>
      <c r="R510" s="7" t="n">
        <f aca="false">IF(OR(F510="Open",F510="Reopened"),1,0)</f>
        <v>0</v>
      </c>
      <c r="S510" s="7" t="n">
        <f aca="false">IF(AND(H510&gt;='Exec Summary'!$E$1,H510&lt;='Exec Summary'!$E$2),1,0)</f>
        <v>0</v>
      </c>
      <c r="T510" s="7" t="n">
        <f aca="false">IF(AND(F510="Closed",I510&lt;&gt;"",I510&gt;='Exec Summary'!$E$1,I510&lt;='Exec Summary'!$E$2),1,0)</f>
        <v>0</v>
      </c>
      <c r="U510" s="7" t="n">
        <f aca="false">IF(F510="Reopened",1,0)</f>
        <v>0</v>
      </c>
      <c r="V510" s="7" t="n">
        <f aca="false">IF(AND(R510=1,O510&gt;Q510),1,0)</f>
        <v>0</v>
      </c>
      <c r="W510" s="7" t="n">
        <f aca="false">IF(AND(T510=1,P510&lt;&gt;"",P510&lt;=Q510),1,0)</f>
        <v>0</v>
      </c>
    </row>
    <row r="511" customFormat="false" ht="15" hidden="false" customHeight="false" outlineLevel="0" collapsed="false">
      <c r="A511" s="7" t="s">
        <v>695</v>
      </c>
      <c r="B511" s="7" t="s">
        <v>46</v>
      </c>
      <c r="C511" s="7" t="s">
        <v>177</v>
      </c>
      <c r="D511" s="7" t="s">
        <v>54</v>
      </c>
      <c r="E511" s="7" t="s">
        <v>55</v>
      </c>
      <c r="F511" s="7" t="s">
        <v>50</v>
      </c>
      <c r="G511" s="7" t="s">
        <v>19</v>
      </c>
      <c r="H511" s="9" t="n">
        <v>46128</v>
      </c>
      <c r="I511" s="9" t="n">
        <v>46142</v>
      </c>
      <c r="J511" s="7" t="n">
        <v>9.8</v>
      </c>
      <c r="K511" s="7" t="s">
        <v>482</v>
      </c>
      <c r="L511" s="7" t="s">
        <v>20</v>
      </c>
      <c r="M511" s="7" t="s">
        <v>699</v>
      </c>
      <c r="N511" s="7" t="s">
        <v>58</v>
      </c>
      <c r="O511" s="10" t="n">
        <f aca="false">'Exec Summary'!$E$2-H511</f>
        <v>106</v>
      </c>
      <c r="P511" s="10" t="n">
        <f aca="false">IF(I511="","",I511-H511)</f>
        <v>14</v>
      </c>
      <c r="Q511" s="10" t="n">
        <f aca="false">VLOOKUP(G511,$AA$2:$AB$5,2,FALSE())</f>
        <v>15</v>
      </c>
      <c r="R511" s="7" t="n">
        <f aca="false">IF(OR(F511="Open",F511="Reopened"),1,0)</f>
        <v>0</v>
      </c>
      <c r="S511" s="7" t="n">
        <f aca="false">IF(AND(H511&gt;='Exec Summary'!$E$1,H511&lt;='Exec Summary'!$E$2),1,0)</f>
        <v>0</v>
      </c>
      <c r="T511" s="7" t="n">
        <f aca="false">IF(AND(F511="Closed",I511&lt;&gt;"",I511&gt;='Exec Summary'!$E$1,I511&lt;='Exec Summary'!$E$2),1,0)</f>
        <v>0</v>
      </c>
      <c r="U511" s="7" t="n">
        <f aca="false">IF(F511="Reopened",1,0)</f>
        <v>0</v>
      </c>
      <c r="V511" s="7" t="n">
        <f aca="false">IF(AND(R511=1,O511&gt;Q511),1,0)</f>
        <v>0</v>
      </c>
      <c r="W511" s="7" t="n">
        <f aca="false">IF(AND(T511=1,P511&lt;&gt;"",P511&lt;=Q511),1,0)</f>
        <v>0</v>
      </c>
    </row>
    <row r="512" customFormat="false" ht="15" hidden="false" customHeight="false" outlineLevel="0" collapsed="false">
      <c r="A512" s="7" t="s">
        <v>695</v>
      </c>
      <c r="B512" s="7" t="s">
        <v>46</v>
      </c>
      <c r="C512" s="7" t="s">
        <v>177</v>
      </c>
      <c r="D512" s="7" t="s">
        <v>62</v>
      </c>
      <c r="E512" s="7" t="s">
        <v>63</v>
      </c>
      <c r="F512" s="7" t="s">
        <v>50</v>
      </c>
      <c r="G512" s="7" t="s">
        <v>20</v>
      </c>
      <c r="H512" s="9" t="n">
        <v>45987</v>
      </c>
      <c r="I512" s="9" t="n">
        <v>45991</v>
      </c>
      <c r="J512" s="7" t="n">
        <v>8.1</v>
      </c>
      <c r="K512" s="7" t="s">
        <v>482</v>
      </c>
      <c r="L512" s="7" t="s">
        <v>20</v>
      </c>
      <c r="M512" s="7" t="s">
        <v>700</v>
      </c>
      <c r="N512" s="7" t="s">
        <v>53</v>
      </c>
      <c r="O512" s="10" t="n">
        <f aca="false">'Exec Summary'!$E$2-H512</f>
        <v>247</v>
      </c>
      <c r="P512" s="10" t="n">
        <f aca="false">IF(I512="","",I512-H512)</f>
        <v>4</v>
      </c>
      <c r="Q512" s="10" t="n">
        <f aca="false">VLOOKUP(G512,$AA$2:$AB$5,2,FALSE())</f>
        <v>30</v>
      </c>
      <c r="R512" s="7" t="n">
        <f aca="false">IF(OR(F512="Open",F512="Reopened"),1,0)</f>
        <v>0</v>
      </c>
      <c r="S512" s="7" t="n">
        <f aca="false">IF(AND(H512&gt;='Exec Summary'!$E$1,H512&lt;='Exec Summary'!$E$2),1,0)</f>
        <v>0</v>
      </c>
      <c r="T512" s="7" t="n">
        <f aca="false">IF(AND(F512="Closed",I512&lt;&gt;"",I512&gt;='Exec Summary'!$E$1,I512&lt;='Exec Summary'!$E$2),1,0)</f>
        <v>0</v>
      </c>
      <c r="U512" s="7" t="n">
        <f aca="false">IF(F512="Reopened",1,0)</f>
        <v>0</v>
      </c>
      <c r="V512" s="7" t="n">
        <f aca="false">IF(AND(R512=1,O512&gt;Q512),1,0)</f>
        <v>0</v>
      </c>
      <c r="W512" s="7" t="n">
        <f aca="false">IF(AND(T512=1,P512&lt;&gt;"",P512&lt;=Q512),1,0)</f>
        <v>0</v>
      </c>
    </row>
    <row r="513" customFormat="false" ht="15" hidden="false" customHeight="false" outlineLevel="0" collapsed="false">
      <c r="A513" s="7" t="s">
        <v>695</v>
      </c>
      <c r="B513" s="7" t="s">
        <v>46</v>
      </c>
      <c r="C513" s="7" t="s">
        <v>177</v>
      </c>
      <c r="D513" s="7" t="s">
        <v>48</v>
      </c>
      <c r="E513" s="7" t="s">
        <v>49</v>
      </c>
      <c r="F513" s="7" t="s">
        <v>50</v>
      </c>
      <c r="G513" s="7" t="s">
        <v>20</v>
      </c>
      <c r="H513" s="9" t="n">
        <v>45948</v>
      </c>
      <c r="I513" s="9" t="n">
        <v>45973</v>
      </c>
      <c r="J513" s="7" t="n">
        <v>7.5</v>
      </c>
      <c r="K513" s="7" t="s">
        <v>482</v>
      </c>
      <c r="L513" s="7" t="s">
        <v>20</v>
      </c>
      <c r="M513" s="7" t="s">
        <v>701</v>
      </c>
      <c r="N513" s="7" t="s">
        <v>53</v>
      </c>
      <c r="O513" s="10" t="n">
        <f aca="false">'Exec Summary'!$E$2-H513</f>
        <v>286</v>
      </c>
      <c r="P513" s="10" t="n">
        <f aca="false">IF(I513="","",I513-H513)</f>
        <v>25</v>
      </c>
      <c r="Q513" s="10" t="n">
        <f aca="false">VLOOKUP(G513,$AA$2:$AB$5,2,FALSE())</f>
        <v>30</v>
      </c>
      <c r="R513" s="7" t="n">
        <f aca="false">IF(OR(F513="Open",F513="Reopened"),1,0)</f>
        <v>0</v>
      </c>
      <c r="S513" s="7" t="n">
        <f aca="false">IF(AND(H513&gt;='Exec Summary'!$E$1,H513&lt;='Exec Summary'!$E$2),1,0)</f>
        <v>0</v>
      </c>
      <c r="T513" s="7" t="n">
        <f aca="false">IF(AND(F513="Closed",I513&lt;&gt;"",I513&gt;='Exec Summary'!$E$1,I513&lt;='Exec Summary'!$E$2),1,0)</f>
        <v>0</v>
      </c>
      <c r="U513" s="7" t="n">
        <f aca="false">IF(F513="Reopened",1,0)</f>
        <v>0</v>
      </c>
      <c r="V513" s="7" t="n">
        <f aca="false">IF(AND(R513=1,O513&gt;Q513),1,0)</f>
        <v>0</v>
      </c>
      <c r="W513" s="7" t="n">
        <f aca="false">IF(AND(T513=1,P513&lt;&gt;"",P513&lt;=Q513),1,0)</f>
        <v>0</v>
      </c>
    </row>
    <row r="514" customFormat="false" ht="15" hidden="false" customHeight="false" outlineLevel="0" collapsed="false">
      <c r="A514" s="7" t="s">
        <v>695</v>
      </c>
      <c r="B514" s="7" t="s">
        <v>46</v>
      </c>
      <c r="C514" s="7" t="s">
        <v>177</v>
      </c>
      <c r="D514" s="7" t="s">
        <v>95</v>
      </c>
      <c r="E514" s="7" t="s">
        <v>96</v>
      </c>
      <c r="F514" s="7" t="s">
        <v>50</v>
      </c>
      <c r="G514" s="7" t="s">
        <v>20</v>
      </c>
      <c r="H514" s="9" t="n">
        <v>46092</v>
      </c>
      <c r="I514" s="9" t="n">
        <v>46119</v>
      </c>
      <c r="J514" s="7" t="n">
        <v>8.8</v>
      </c>
      <c r="K514" s="7" t="s">
        <v>482</v>
      </c>
      <c r="L514" s="7" t="s">
        <v>20</v>
      </c>
      <c r="M514" s="7" t="s">
        <v>702</v>
      </c>
      <c r="N514" s="7" t="s">
        <v>53</v>
      </c>
      <c r="O514" s="10" t="n">
        <f aca="false">'Exec Summary'!$E$2-H514</f>
        <v>142</v>
      </c>
      <c r="P514" s="10" t="n">
        <f aca="false">IF(I514="","",I514-H514)</f>
        <v>27</v>
      </c>
      <c r="Q514" s="10" t="n">
        <f aca="false">VLOOKUP(G514,$AA$2:$AB$5,2,FALSE())</f>
        <v>30</v>
      </c>
      <c r="R514" s="7" t="n">
        <f aca="false">IF(OR(F514="Open",F514="Reopened"),1,0)</f>
        <v>0</v>
      </c>
      <c r="S514" s="7" t="n">
        <f aca="false">IF(AND(H514&gt;='Exec Summary'!$E$1,H514&lt;='Exec Summary'!$E$2),1,0)</f>
        <v>0</v>
      </c>
      <c r="T514" s="7" t="n">
        <f aca="false">IF(AND(F514="Closed",I514&lt;&gt;"",I514&gt;='Exec Summary'!$E$1,I514&lt;='Exec Summary'!$E$2),1,0)</f>
        <v>0</v>
      </c>
      <c r="U514" s="7" t="n">
        <f aca="false">IF(F514="Reopened",1,0)</f>
        <v>0</v>
      </c>
      <c r="V514" s="7" t="n">
        <f aca="false">IF(AND(R514=1,O514&gt;Q514),1,0)</f>
        <v>0</v>
      </c>
      <c r="W514" s="7" t="n">
        <f aca="false">IF(AND(T514=1,P514&lt;&gt;"",P514&lt;=Q514),1,0)</f>
        <v>0</v>
      </c>
    </row>
    <row r="515" customFormat="false" ht="15" hidden="false" customHeight="false" outlineLevel="0" collapsed="false">
      <c r="A515" s="7" t="s">
        <v>695</v>
      </c>
      <c r="B515" s="7" t="s">
        <v>46</v>
      </c>
      <c r="C515" s="7" t="s">
        <v>177</v>
      </c>
      <c r="D515" s="7" t="s">
        <v>84</v>
      </c>
      <c r="E515" s="7" t="s">
        <v>85</v>
      </c>
      <c r="F515" s="7" t="s">
        <v>50</v>
      </c>
      <c r="G515" s="7" t="s">
        <v>20</v>
      </c>
      <c r="H515" s="9" t="n">
        <v>46057</v>
      </c>
      <c r="I515" s="9" t="n">
        <v>46096</v>
      </c>
      <c r="J515" s="7" t="n">
        <v>7.5</v>
      </c>
      <c r="K515" s="7" t="s">
        <v>482</v>
      </c>
      <c r="L515" s="7" t="s">
        <v>20</v>
      </c>
      <c r="M515" s="7" t="s">
        <v>703</v>
      </c>
      <c r="N515" s="7" t="s">
        <v>53</v>
      </c>
      <c r="O515" s="10" t="n">
        <f aca="false">'Exec Summary'!$E$2-H515</f>
        <v>177</v>
      </c>
      <c r="P515" s="10" t="n">
        <f aca="false">IF(I515="","",I515-H515)</f>
        <v>39</v>
      </c>
      <c r="Q515" s="10" t="n">
        <f aca="false">VLOOKUP(G515,$AA$2:$AB$5,2,FALSE())</f>
        <v>30</v>
      </c>
      <c r="R515" s="7" t="n">
        <f aca="false">IF(OR(F515="Open",F515="Reopened"),1,0)</f>
        <v>0</v>
      </c>
      <c r="S515" s="7" t="n">
        <f aca="false">IF(AND(H515&gt;='Exec Summary'!$E$1,H515&lt;='Exec Summary'!$E$2),1,0)</f>
        <v>0</v>
      </c>
      <c r="T515" s="7" t="n">
        <f aca="false">IF(AND(F515="Closed",I515&lt;&gt;"",I515&gt;='Exec Summary'!$E$1,I515&lt;='Exec Summary'!$E$2),1,0)</f>
        <v>0</v>
      </c>
      <c r="U515" s="7" t="n">
        <f aca="false">IF(F515="Reopened",1,0)</f>
        <v>0</v>
      </c>
      <c r="V515" s="7" t="n">
        <f aca="false">IF(AND(R515=1,O515&gt;Q515),1,0)</f>
        <v>0</v>
      </c>
      <c r="W515" s="7" t="n">
        <f aca="false">IF(AND(T515=1,P515&lt;&gt;"",P515&lt;=Q515),1,0)</f>
        <v>0</v>
      </c>
    </row>
    <row r="516" customFormat="false" ht="15" hidden="false" customHeight="false" outlineLevel="0" collapsed="false">
      <c r="A516" s="7" t="s">
        <v>695</v>
      </c>
      <c r="B516" s="7" t="s">
        <v>46</v>
      </c>
      <c r="C516" s="7" t="s">
        <v>177</v>
      </c>
      <c r="D516" s="7" t="s">
        <v>74</v>
      </c>
      <c r="E516" s="7" t="s">
        <v>75</v>
      </c>
      <c r="F516" s="7" t="s">
        <v>123</v>
      </c>
      <c r="G516" s="7" t="s">
        <v>21</v>
      </c>
      <c r="H516" s="9" t="n">
        <v>45957</v>
      </c>
      <c r="I516" s="9" t="n">
        <v>46016</v>
      </c>
      <c r="J516" s="7" t="n">
        <v>6.5</v>
      </c>
      <c r="K516" s="7" t="s">
        <v>482</v>
      </c>
      <c r="L516" s="7" t="s">
        <v>20</v>
      </c>
      <c r="M516" s="7" t="s">
        <v>704</v>
      </c>
      <c r="N516" s="7" t="s">
        <v>77</v>
      </c>
      <c r="O516" s="10" t="n">
        <f aca="false">'Exec Summary'!$E$2-H516</f>
        <v>277</v>
      </c>
      <c r="P516" s="10" t="n">
        <f aca="false">IF(I516="","",I516-H516)</f>
        <v>59</v>
      </c>
      <c r="Q516" s="10" t="n">
        <f aca="false">VLOOKUP(G516,$AA$2:$AB$5,2,FALSE())</f>
        <v>90</v>
      </c>
      <c r="R516" s="7" t="n">
        <f aca="false">IF(OR(F516="Open",F516="Reopened"),1,0)</f>
        <v>1</v>
      </c>
      <c r="S516" s="7" t="n">
        <f aca="false">IF(AND(H516&gt;='Exec Summary'!$E$1,H516&lt;='Exec Summary'!$E$2),1,0)</f>
        <v>0</v>
      </c>
      <c r="T516" s="7" t="n">
        <f aca="false">IF(AND(F516="Closed",I516&lt;&gt;"",I516&gt;='Exec Summary'!$E$1,I516&lt;='Exec Summary'!$E$2),1,0)</f>
        <v>0</v>
      </c>
      <c r="U516" s="7" t="n">
        <f aca="false">IF(F516="Reopened",1,0)</f>
        <v>1</v>
      </c>
      <c r="V516" s="7" t="n">
        <f aca="false">IF(AND(R516=1,O516&gt;Q516),1,0)</f>
        <v>1</v>
      </c>
      <c r="W516" s="7" t="n">
        <f aca="false">IF(AND(T516=1,P516&lt;&gt;"",P516&lt;=Q516),1,0)</f>
        <v>0</v>
      </c>
    </row>
    <row r="517" customFormat="false" ht="15" hidden="false" customHeight="false" outlineLevel="0" collapsed="false">
      <c r="A517" s="7" t="s">
        <v>695</v>
      </c>
      <c r="B517" s="7" t="s">
        <v>46</v>
      </c>
      <c r="C517" s="7" t="s">
        <v>177</v>
      </c>
      <c r="D517" s="7" t="s">
        <v>145</v>
      </c>
      <c r="E517" s="7" t="s">
        <v>146</v>
      </c>
      <c r="F517" s="7" t="s">
        <v>56</v>
      </c>
      <c r="G517" s="7" t="s">
        <v>19</v>
      </c>
      <c r="H517" s="9" t="n">
        <v>45938</v>
      </c>
      <c r="I517" s="9"/>
      <c r="J517" s="7" t="n">
        <v>9.8</v>
      </c>
      <c r="K517" s="7" t="s">
        <v>482</v>
      </c>
      <c r="L517" s="7" t="s">
        <v>20</v>
      </c>
      <c r="M517" s="7" t="s">
        <v>705</v>
      </c>
      <c r="N517" s="7" t="s">
        <v>58</v>
      </c>
      <c r="O517" s="10" t="n">
        <f aca="false">'Exec Summary'!$E$2-H517</f>
        <v>296</v>
      </c>
      <c r="P517" s="10" t="str">
        <f aca="false">IF(I517="","",I517-H517)</f>
        <v/>
      </c>
      <c r="Q517" s="10" t="n">
        <f aca="false">VLOOKUP(G517,$AA$2:$AB$5,2,FALSE())</f>
        <v>15</v>
      </c>
      <c r="R517" s="7" t="n">
        <f aca="false">IF(OR(F517="Open",F517="Reopened"),1,0)</f>
        <v>1</v>
      </c>
      <c r="S517" s="7" t="n">
        <f aca="false">IF(AND(H517&gt;='Exec Summary'!$E$1,H517&lt;='Exec Summary'!$E$2),1,0)</f>
        <v>0</v>
      </c>
      <c r="T517" s="7" t="n">
        <f aca="false">IF(AND(F517="Closed",I517&lt;&gt;"",I517&gt;='Exec Summary'!$E$1,I517&lt;='Exec Summary'!$E$2),1,0)</f>
        <v>0</v>
      </c>
      <c r="U517" s="7" t="n">
        <f aca="false">IF(F517="Reopened",1,0)</f>
        <v>0</v>
      </c>
      <c r="V517" s="7" t="n">
        <f aca="false">IF(AND(R517=1,O517&gt;Q517),1,0)</f>
        <v>1</v>
      </c>
      <c r="W517" s="7" t="n">
        <f aca="false">IF(AND(T517=1,P517&lt;&gt;"",P517&lt;=Q517),1,0)</f>
        <v>0</v>
      </c>
    </row>
    <row r="518" customFormat="false" ht="15" hidden="false" customHeight="false" outlineLevel="0" collapsed="false">
      <c r="A518" s="7" t="s">
        <v>706</v>
      </c>
      <c r="B518" s="7" t="s">
        <v>135</v>
      </c>
      <c r="C518" s="7" t="s">
        <v>247</v>
      </c>
      <c r="D518" s="7" t="s">
        <v>68</v>
      </c>
      <c r="E518" s="7" t="s">
        <v>69</v>
      </c>
      <c r="F518" s="7" t="s">
        <v>50</v>
      </c>
      <c r="G518" s="7" t="s">
        <v>19</v>
      </c>
      <c r="H518" s="9" t="n">
        <v>46191</v>
      </c>
      <c r="I518" s="9" t="n">
        <v>46203</v>
      </c>
      <c r="J518" s="7" t="n">
        <v>9.8</v>
      </c>
      <c r="K518" s="7" t="s">
        <v>482</v>
      </c>
      <c r="L518" s="7" t="s">
        <v>20</v>
      </c>
      <c r="M518" s="7" t="s">
        <v>707</v>
      </c>
      <c r="N518" s="7" t="s">
        <v>58</v>
      </c>
      <c r="O518" s="10" t="n">
        <f aca="false">'Exec Summary'!$E$2-H518</f>
        <v>43</v>
      </c>
      <c r="P518" s="10" t="n">
        <f aca="false">IF(I518="","",I518-H518)</f>
        <v>12</v>
      </c>
      <c r="Q518" s="10" t="n">
        <f aca="false">VLOOKUP(G518,$AA$2:$AB$5,2,FALSE())</f>
        <v>15</v>
      </c>
      <c r="R518" s="7" t="n">
        <f aca="false">IF(OR(F518="Open",F518="Reopened"),1,0)</f>
        <v>0</v>
      </c>
      <c r="S518" s="7" t="n">
        <f aca="false">IF(AND(H518&gt;='Exec Summary'!$E$1,H518&lt;='Exec Summary'!$E$2),1,0)</f>
        <v>0</v>
      </c>
      <c r="T518" s="7" t="n">
        <f aca="false">IF(AND(F518="Closed",I518&lt;&gt;"",I518&gt;='Exec Summary'!$E$1,I518&lt;='Exec Summary'!$E$2),1,0)</f>
        <v>0</v>
      </c>
      <c r="U518" s="7" t="n">
        <f aca="false">IF(F518="Reopened",1,0)</f>
        <v>0</v>
      </c>
      <c r="V518" s="7" t="n">
        <f aca="false">IF(AND(R518=1,O518&gt;Q518),1,0)</f>
        <v>0</v>
      </c>
      <c r="W518" s="7" t="n">
        <f aca="false">IF(AND(T518=1,P518&lt;&gt;"",P518&lt;=Q518),1,0)</f>
        <v>0</v>
      </c>
    </row>
    <row r="519" customFormat="false" ht="15" hidden="false" customHeight="false" outlineLevel="0" collapsed="false">
      <c r="A519" s="7" t="s">
        <v>706</v>
      </c>
      <c r="B519" s="7" t="s">
        <v>135</v>
      </c>
      <c r="C519" s="7" t="s">
        <v>247</v>
      </c>
      <c r="D519" s="7" t="s">
        <v>173</v>
      </c>
      <c r="E519" s="7" t="s">
        <v>174</v>
      </c>
      <c r="F519" s="7" t="s">
        <v>56</v>
      </c>
      <c r="G519" s="7" t="s">
        <v>19</v>
      </c>
      <c r="H519" s="9" t="n">
        <v>46178</v>
      </c>
      <c r="I519" s="9"/>
      <c r="J519" s="7" t="n">
        <v>9.8</v>
      </c>
      <c r="K519" s="7" t="s">
        <v>482</v>
      </c>
      <c r="L519" s="7" t="s">
        <v>20</v>
      </c>
      <c r="M519" s="7" t="s">
        <v>708</v>
      </c>
      <c r="N519" s="7" t="s">
        <v>58</v>
      </c>
      <c r="O519" s="10" t="n">
        <f aca="false">'Exec Summary'!$E$2-H519</f>
        <v>56</v>
      </c>
      <c r="P519" s="10" t="str">
        <f aca="false">IF(I519="","",I519-H519)</f>
        <v/>
      </c>
      <c r="Q519" s="10" t="n">
        <f aca="false">VLOOKUP(G519,$AA$2:$AB$5,2,FALSE())</f>
        <v>15</v>
      </c>
      <c r="R519" s="7" t="n">
        <f aca="false">IF(OR(F519="Open",F519="Reopened"),1,0)</f>
        <v>1</v>
      </c>
      <c r="S519" s="7" t="n">
        <f aca="false">IF(AND(H519&gt;='Exec Summary'!$E$1,H519&lt;='Exec Summary'!$E$2),1,0)</f>
        <v>0</v>
      </c>
      <c r="T519" s="7" t="n">
        <f aca="false">IF(AND(F519="Closed",I519&lt;&gt;"",I519&gt;='Exec Summary'!$E$1,I519&lt;='Exec Summary'!$E$2),1,0)</f>
        <v>0</v>
      </c>
      <c r="U519" s="7" t="n">
        <f aca="false">IF(F519="Reopened",1,0)</f>
        <v>0</v>
      </c>
      <c r="V519" s="7" t="n">
        <f aca="false">IF(AND(R519=1,O519&gt;Q519),1,0)</f>
        <v>1</v>
      </c>
      <c r="W519" s="7" t="n">
        <f aca="false">IF(AND(T519=1,P519&lt;&gt;"",P519&lt;=Q519),1,0)</f>
        <v>0</v>
      </c>
    </row>
    <row r="520" customFormat="false" ht="15" hidden="false" customHeight="false" outlineLevel="0" collapsed="false">
      <c r="A520" s="7" t="s">
        <v>706</v>
      </c>
      <c r="B520" s="7" t="s">
        <v>135</v>
      </c>
      <c r="C520" s="7" t="s">
        <v>247</v>
      </c>
      <c r="D520" s="7" t="s">
        <v>117</v>
      </c>
      <c r="E520" s="7" t="s">
        <v>118</v>
      </c>
      <c r="F520" s="7" t="s">
        <v>50</v>
      </c>
      <c r="G520" s="7" t="s">
        <v>19</v>
      </c>
      <c r="H520" s="9" t="n">
        <v>46082</v>
      </c>
      <c r="I520" s="9" t="n">
        <v>46089</v>
      </c>
      <c r="J520" s="7" t="n">
        <v>10</v>
      </c>
      <c r="K520" s="7" t="s">
        <v>482</v>
      </c>
      <c r="L520" s="7" t="s">
        <v>20</v>
      </c>
      <c r="M520" s="7" t="s">
        <v>709</v>
      </c>
      <c r="N520" s="7" t="s">
        <v>58</v>
      </c>
      <c r="O520" s="10" t="n">
        <f aca="false">'Exec Summary'!$E$2-H520</f>
        <v>152</v>
      </c>
      <c r="P520" s="10" t="n">
        <f aca="false">IF(I520="","",I520-H520)</f>
        <v>7</v>
      </c>
      <c r="Q520" s="10" t="n">
        <f aca="false">VLOOKUP(G520,$AA$2:$AB$5,2,FALSE())</f>
        <v>15</v>
      </c>
      <c r="R520" s="7" t="n">
        <f aca="false">IF(OR(F520="Open",F520="Reopened"),1,0)</f>
        <v>0</v>
      </c>
      <c r="S520" s="7" t="n">
        <f aca="false">IF(AND(H520&gt;='Exec Summary'!$E$1,H520&lt;='Exec Summary'!$E$2),1,0)</f>
        <v>0</v>
      </c>
      <c r="T520" s="7" t="n">
        <f aca="false">IF(AND(F520="Closed",I520&lt;&gt;"",I520&gt;='Exec Summary'!$E$1,I520&lt;='Exec Summary'!$E$2),1,0)</f>
        <v>0</v>
      </c>
      <c r="U520" s="7" t="n">
        <f aca="false">IF(F520="Reopened",1,0)</f>
        <v>0</v>
      </c>
      <c r="V520" s="7" t="n">
        <f aca="false">IF(AND(R520=1,O520&gt;Q520),1,0)</f>
        <v>0</v>
      </c>
      <c r="W520" s="7" t="n">
        <f aca="false">IF(AND(T520=1,P520&lt;&gt;"",P520&lt;=Q520),1,0)</f>
        <v>0</v>
      </c>
    </row>
    <row r="521" customFormat="false" ht="15" hidden="false" customHeight="false" outlineLevel="0" collapsed="false">
      <c r="A521" s="7" t="s">
        <v>706</v>
      </c>
      <c r="B521" s="7" t="s">
        <v>135</v>
      </c>
      <c r="C521" s="7" t="s">
        <v>247</v>
      </c>
      <c r="D521" s="7" t="s">
        <v>131</v>
      </c>
      <c r="E521" s="7" t="s">
        <v>132</v>
      </c>
      <c r="F521" s="7" t="s">
        <v>56</v>
      </c>
      <c r="G521" s="7" t="s">
        <v>19</v>
      </c>
      <c r="H521" s="9" t="n">
        <v>45981</v>
      </c>
      <c r="I521" s="9"/>
      <c r="J521" s="7" t="n">
        <v>9.8</v>
      </c>
      <c r="K521" s="7" t="s">
        <v>482</v>
      </c>
      <c r="L521" s="7" t="s">
        <v>20</v>
      </c>
      <c r="M521" s="7" t="s">
        <v>710</v>
      </c>
      <c r="N521" s="7" t="s">
        <v>58</v>
      </c>
      <c r="O521" s="10" t="n">
        <f aca="false">'Exec Summary'!$E$2-H521</f>
        <v>253</v>
      </c>
      <c r="P521" s="10" t="str">
        <f aca="false">IF(I521="","",I521-H521)</f>
        <v/>
      </c>
      <c r="Q521" s="10" t="n">
        <f aca="false">VLOOKUP(G521,$AA$2:$AB$5,2,FALSE())</f>
        <v>15</v>
      </c>
      <c r="R521" s="7" t="n">
        <f aca="false">IF(OR(F521="Open",F521="Reopened"),1,0)</f>
        <v>1</v>
      </c>
      <c r="S521" s="7" t="n">
        <f aca="false">IF(AND(H521&gt;='Exec Summary'!$E$1,H521&lt;='Exec Summary'!$E$2),1,0)</f>
        <v>0</v>
      </c>
      <c r="T521" s="7" t="n">
        <f aca="false">IF(AND(F521="Closed",I521&lt;&gt;"",I521&gt;='Exec Summary'!$E$1,I521&lt;='Exec Summary'!$E$2),1,0)</f>
        <v>0</v>
      </c>
      <c r="U521" s="7" t="n">
        <f aca="false">IF(F521="Reopened",1,0)</f>
        <v>0</v>
      </c>
      <c r="V521" s="7" t="n">
        <f aca="false">IF(AND(R521=1,O521&gt;Q521),1,0)</f>
        <v>1</v>
      </c>
      <c r="W521" s="7" t="n">
        <f aca="false">IF(AND(T521=1,P521&lt;&gt;"",P521&lt;=Q521),1,0)</f>
        <v>0</v>
      </c>
    </row>
    <row r="522" customFormat="false" ht="15" hidden="false" customHeight="false" outlineLevel="0" collapsed="false">
      <c r="A522" s="7" t="s">
        <v>706</v>
      </c>
      <c r="B522" s="7" t="s">
        <v>135</v>
      </c>
      <c r="C522" s="7" t="s">
        <v>247</v>
      </c>
      <c r="D522" s="7" t="s">
        <v>163</v>
      </c>
      <c r="E522" s="7" t="s">
        <v>164</v>
      </c>
      <c r="F522" s="7" t="s">
        <v>56</v>
      </c>
      <c r="G522" s="7" t="s">
        <v>19</v>
      </c>
      <c r="H522" s="9" t="n">
        <v>46044</v>
      </c>
      <c r="I522" s="9"/>
      <c r="J522" s="7" t="n">
        <v>9.1</v>
      </c>
      <c r="K522" s="7" t="s">
        <v>482</v>
      </c>
      <c r="L522" s="7" t="s">
        <v>20</v>
      </c>
      <c r="M522" s="7" t="s">
        <v>711</v>
      </c>
      <c r="N522" s="7" t="s">
        <v>58</v>
      </c>
      <c r="O522" s="10" t="n">
        <f aca="false">'Exec Summary'!$E$2-H522</f>
        <v>190</v>
      </c>
      <c r="P522" s="10" t="str">
        <f aca="false">IF(I522="","",I522-H522)</f>
        <v/>
      </c>
      <c r="Q522" s="10" t="n">
        <f aca="false">VLOOKUP(G522,$AA$2:$AB$5,2,FALSE())</f>
        <v>15</v>
      </c>
      <c r="R522" s="7" t="n">
        <f aca="false">IF(OR(F522="Open",F522="Reopened"),1,0)</f>
        <v>1</v>
      </c>
      <c r="S522" s="7" t="n">
        <f aca="false">IF(AND(H522&gt;='Exec Summary'!$E$1,H522&lt;='Exec Summary'!$E$2),1,0)</f>
        <v>0</v>
      </c>
      <c r="T522" s="7" t="n">
        <f aca="false">IF(AND(F522="Closed",I522&lt;&gt;"",I522&gt;='Exec Summary'!$E$1,I522&lt;='Exec Summary'!$E$2),1,0)</f>
        <v>0</v>
      </c>
      <c r="U522" s="7" t="n">
        <f aca="false">IF(F522="Reopened",1,0)</f>
        <v>0</v>
      </c>
      <c r="V522" s="7" t="n">
        <f aca="false">IF(AND(R522=1,O522&gt;Q522),1,0)</f>
        <v>1</v>
      </c>
      <c r="W522" s="7" t="n">
        <f aca="false">IF(AND(T522=1,P522&lt;&gt;"",P522&lt;=Q522),1,0)</f>
        <v>0</v>
      </c>
    </row>
    <row r="523" customFormat="false" ht="15" hidden="false" customHeight="false" outlineLevel="0" collapsed="false">
      <c r="A523" s="7" t="s">
        <v>706</v>
      </c>
      <c r="B523" s="7" t="s">
        <v>135</v>
      </c>
      <c r="C523" s="7" t="s">
        <v>247</v>
      </c>
      <c r="D523" s="7" t="s">
        <v>62</v>
      </c>
      <c r="E523" s="7" t="s">
        <v>63</v>
      </c>
      <c r="F523" s="7" t="s">
        <v>56</v>
      </c>
      <c r="G523" s="7" t="s">
        <v>20</v>
      </c>
      <c r="H523" s="9" t="n">
        <v>46016</v>
      </c>
      <c r="I523" s="9"/>
      <c r="J523" s="7" t="n">
        <v>8.1</v>
      </c>
      <c r="K523" s="7" t="s">
        <v>482</v>
      </c>
      <c r="L523" s="7" t="s">
        <v>20</v>
      </c>
      <c r="M523" s="7" t="s">
        <v>712</v>
      </c>
      <c r="N523" s="7" t="s">
        <v>53</v>
      </c>
      <c r="O523" s="10" t="n">
        <f aca="false">'Exec Summary'!$E$2-H523</f>
        <v>218</v>
      </c>
      <c r="P523" s="10" t="str">
        <f aca="false">IF(I523="","",I523-H523)</f>
        <v/>
      </c>
      <c r="Q523" s="10" t="n">
        <f aca="false">VLOOKUP(G523,$AA$2:$AB$5,2,FALSE())</f>
        <v>30</v>
      </c>
      <c r="R523" s="7" t="n">
        <f aca="false">IF(OR(F523="Open",F523="Reopened"),1,0)</f>
        <v>1</v>
      </c>
      <c r="S523" s="7" t="n">
        <f aca="false">IF(AND(H523&gt;='Exec Summary'!$E$1,H523&lt;='Exec Summary'!$E$2),1,0)</f>
        <v>0</v>
      </c>
      <c r="T523" s="7" t="n">
        <f aca="false">IF(AND(F523="Closed",I523&lt;&gt;"",I523&gt;='Exec Summary'!$E$1,I523&lt;='Exec Summary'!$E$2),1,0)</f>
        <v>0</v>
      </c>
      <c r="U523" s="7" t="n">
        <f aca="false">IF(F523="Reopened",1,0)</f>
        <v>0</v>
      </c>
      <c r="V523" s="7" t="n">
        <f aca="false">IF(AND(R523=1,O523&gt;Q523),1,0)</f>
        <v>1</v>
      </c>
      <c r="W523" s="7" t="n">
        <f aca="false">IF(AND(T523=1,P523&lt;&gt;"",P523&lt;=Q523),1,0)</f>
        <v>0</v>
      </c>
    </row>
    <row r="524" customFormat="false" ht="15" hidden="false" customHeight="false" outlineLevel="0" collapsed="false">
      <c r="A524" s="7" t="s">
        <v>713</v>
      </c>
      <c r="B524" s="7" t="s">
        <v>46</v>
      </c>
      <c r="C524" s="7" t="s">
        <v>79</v>
      </c>
      <c r="D524" s="7" t="s">
        <v>166</v>
      </c>
      <c r="E524" s="7" t="s">
        <v>167</v>
      </c>
      <c r="F524" s="7" t="s">
        <v>50</v>
      </c>
      <c r="G524" s="7" t="s">
        <v>19</v>
      </c>
      <c r="H524" s="9" t="n">
        <v>46132</v>
      </c>
      <c r="I524" s="9" t="n">
        <v>46152</v>
      </c>
      <c r="J524" s="7" t="n">
        <v>9.8</v>
      </c>
      <c r="K524" s="7" t="s">
        <v>482</v>
      </c>
      <c r="L524" s="7" t="s">
        <v>21</v>
      </c>
      <c r="M524" s="7" t="s">
        <v>714</v>
      </c>
      <c r="N524" s="7" t="s">
        <v>58</v>
      </c>
      <c r="O524" s="10" t="n">
        <f aca="false">'Exec Summary'!$E$2-H524</f>
        <v>102</v>
      </c>
      <c r="P524" s="10" t="n">
        <f aca="false">IF(I524="","",I524-H524)</f>
        <v>20</v>
      </c>
      <c r="Q524" s="10" t="n">
        <f aca="false">VLOOKUP(G524,$AA$2:$AB$5,2,FALSE())</f>
        <v>15</v>
      </c>
      <c r="R524" s="7" t="n">
        <f aca="false">IF(OR(F524="Open",F524="Reopened"),1,0)</f>
        <v>0</v>
      </c>
      <c r="S524" s="7" t="n">
        <f aca="false">IF(AND(H524&gt;='Exec Summary'!$E$1,H524&lt;='Exec Summary'!$E$2),1,0)</f>
        <v>0</v>
      </c>
      <c r="T524" s="7" t="n">
        <f aca="false">IF(AND(F524="Closed",I524&lt;&gt;"",I524&gt;='Exec Summary'!$E$1,I524&lt;='Exec Summary'!$E$2),1,0)</f>
        <v>0</v>
      </c>
      <c r="U524" s="7" t="n">
        <f aca="false">IF(F524="Reopened",1,0)</f>
        <v>0</v>
      </c>
      <c r="V524" s="7" t="n">
        <f aca="false">IF(AND(R524=1,O524&gt;Q524),1,0)</f>
        <v>0</v>
      </c>
      <c r="W524" s="7" t="n">
        <f aca="false">IF(AND(T524=1,P524&lt;&gt;"",P524&lt;=Q524),1,0)</f>
        <v>0</v>
      </c>
    </row>
    <row r="525" customFormat="false" ht="15" hidden="false" customHeight="false" outlineLevel="0" collapsed="false">
      <c r="A525" s="7" t="s">
        <v>713</v>
      </c>
      <c r="B525" s="7" t="s">
        <v>46</v>
      </c>
      <c r="C525" s="7" t="s">
        <v>79</v>
      </c>
      <c r="D525" s="7" t="s">
        <v>65</v>
      </c>
      <c r="E525" s="7" t="s">
        <v>66</v>
      </c>
      <c r="F525" s="7" t="s">
        <v>56</v>
      </c>
      <c r="G525" s="7" t="s">
        <v>19</v>
      </c>
      <c r="H525" s="9" t="n">
        <v>45983</v>
      </c>
      <c r="I525" s="9"/>
      <c r="J525" s="7" t="n">
        <v>9.8</v>
      </c>
      <c r="K525" s="7" t="s">
        <v>482</v>
      </c>
      <c r="L525" s="7" t="s">
        <v>21</v>
      </c>
      <c r="M525" s="7" t="s">
        <v>715</v>
      </c>
      <c r="N525" s="7" t="s">
        <v>58</v>
      </c>
      <c r="O525" s="10" t="n">
        <f aca="false">'Exec Summary'!$E$2-H525</f>
        <v>251</v>
      </c>
      <c r="P525" s="10" t="str">
        <f aca="false">IF(I525="","",I525-H525)</f>
        <v/>
      </c>
      <c r="Q525" s="10" t="n">
        <f aca="false">VLOOKUP(G525,$AA$2:$AB$5,2,FALSE())</f>
        <v>15</v>
      </c>
      <c r="R525" s="7" t="n">
        <f aca="false">IF(OR(F525="Open",F525="Reopened"),1,0)</f>
        <v>1</v>
      </c>
      <c r="S525" s="7" t="n">
        <f aca="false">IF(AND(H525&gt;='Exec Summary'!$E$1,H525&lt;='Exec Summary'!$E$2),1,0)</f>
        <v>0</v>
      </c>
      <c r="T525" s="7" t="n">
        <f aca="false">IF(AND(F525="Closed",I525&lt;&gt;"",I525&gt;='Exec Summary'!$E$1,I525&lt;='Exec Summary'!$E$2),1,0)</f>
        <v>0</v>
      </c>
      <c r="U525" s="7" t="n">
        <f aca="false">IF(F525="Reopened",1,0)</f>
        <v>0</v>
      </c>
      <c r="V525" s="7" t="n">
        <f aca="false">IF(AND(R525=1,O525&gt;Q525),1,0)</f>
        <v>1</v>
      </c>
      <c r="W525" s="7" t="n">
        <f aca="false">IF(AND(T525=1,P525&lt;&gt;"",P525&lt;=Q525),1,0)</f>
        <v>0</v>
      </c>
    </row>
    <row r="526" customFormat="false" ht="15" hidden="false" customHeight="false" outlineLevel="0" collapsed="false">
      <c r="A526" s="7" t="s">
        <v>713</v>
      </c>
      <c r="B526" s="7" t="s">
        <v>46</v>
      </c>
      <c r="C526" s="7" t="s">
        <v>79</v>
      </c>
      <c r="D526" s="7" t="s">
        <v>81</v>
      </c>
      <c r="E526" s="7" t="s">
        <v>82</v>
      </c>
      <c r="F526" s="7" t="s">
        <v>50</v>
      </c>
      <c r="G526" s="7" t="s">
        <v>20</v>
      </c>
      <c r="H526" s="9" t="n">
        <v>46092</v>
      </c>
      <c r="I526" s="9" t="n">
        <v>46114</v>
      </c>
      <c r="J526" s="7" t="n">
        <v>7.8</v>
      </c>
      <c r="K526" s="7" t="s">
        <v>482</v>
      </c>
      <c r="L526" s="7" t="s">
        <v>21</v>
      </c>
      <c r="M526" s="7" t="s">
        <v>716</v>
      </c>
      <c r="N526" s="7" t="s">
        <v>53</v>
      </c>
      <c r="O526" s="10" t="n">
        <f aca="false">'Exec Summary'!$E$2-H526</f>
        <v>142</v>
      </c>
      <c r="P526" s="10" t="n">
        <f aca="false">IF(I526="","",I526-H526)</f>
        <v>22</v>
      </c>
      <c r="Q526" s="10" t="n">
        <f aca="false">VLOOKUP(G526,$AA$2:$AB$5,2,FALSE())</f>
        <v>30</v>
      </c>
      <c r="R526" s="7" t="n">
        <f aca="false">IF(OR(F526="Open",F526="Reopened"),1,0)</f>
        <v>0</v>
      </c>
      <c r="S526" s="7" t="n">
        <f aca="false">IF(AND(H526&gt;='Exec Summary'!$E$1,H526&lt;='Exec Summary'!$E$2),1,0)</f>
        <v>0</v>
      </c>
      <c r="T526" s="7" t="n">
        <f aca="false">IF(AND(F526="Closed",I526&lt;&gt;"",I526&gt;='Exec Summary'!$E$1,I526&lt;='Exec Summary'!$E$2),1,0)</f>
        <v>0</v>
      </c>
      <c r="U526" s="7" t="n">
        <f aca="false">IF(F526="Reopened",1,0)</f>
        <v>0</v>
      </c>
      <c r="V526" s="7" t="n">
        <f aca="false">IF(AND(R526=1,O526&gt;Q526),1,0)</f>
        <v>0</v>
      </c>
      <c r="W526" s="7" t="n">
        <f aca="false">IF(AND(T526=1,P526&lt;&gt;"",P526&lt;=Q526),1,0)</f>
        <v>0</v>
      </c>
    </row>
    <row r="527" customFormat="false" ht="15" hidden="false" customHeight="false" outlineLevel="0" collapsed="false">
      <c r="A527" s="7" t="s">
        <v>713</v>
      </c>
      <c r="B527" s="7" t="s">
        <v>46</v>
      </c>
      <c r="C527" s="7" t="s">
        <v>79</v>
      </c>
      <c r="D527" s="7" t="s">
        <v>62</v>
      </c>
      <c r="E527" s="7" t="s">
        <v>63</v>
      </c>
      <c r="F527" s="7" t="s">
        <v>50</v>
      </c>
      <c r="G527" s="7" t="s">
        <v>20</v>
      </c>
      <c r="H527" s="9" t="n">
        <v>46189</v>
      </c>
      <c r="I527" s="9" t="n">
        <v>46199</v>
      </c>
      <c r="J527" s="7" t="n">
        <v>8.1</v>
      </c>
      <c r="K527" s="7" t="s">
        <v>482</v>
      </c>
      <c r="L527" s="7" t="s">
        <v>21</v>
      </c>
      <c r="M527" s="7" t="s">
        <v>717</v>
      </c>
      <c r="N527" s="7" t="s">
        <v>53</v>
      </c>
      <c r="O527" s="10" t="n">
        <f aca="false">'Exec Summary'!$E$2-H527</f>
        <v>45</v>
      </c>
      <c r="P527" s="10" t="n">
        <f aca="false">IF(I527="","",I527-H527)</f>
        <v>10</v>
      </c>
      <c r="Q527" s="10" t="n">
        <f aca="false">VLOOKUP(G527,$AA$2:$AB$5,2,FALSE())</f>
        <v>30</v>
      </c>
      <c r="R527" s="7" t="n">
        <f aca="false">IF(OR(F527="Open",F527="Reopened"),1,0)</f>
        <v>0</v>
      </c>
      <c r="S527" s="7" t="n">
        <f aca="false">IF(AND(H527&gt;='Exec Summary'!$E$1,H527&lt;='Exec Summary'!$E$2),1,0)</f>
        <v>0</v>
      </c>
      <c r="T527" s="7" t="n">
        <f aca="false">IF(AND(F527="Closed",I527&lt;&gt;"",I527&gt;='Exec Summary'!$E$1,I527&lt;='Exec Summary'!$E$2),1,0)</f>
        <v>0</v>
      </c>
      <c r="U527" s="7" t="n">
        <f aca="false">IF(F527="Reopened",1,0)</f>
        <v>0</v>
      </c>
      <c r="V527" s="7" t="n">
        <f aca="false">IF(AND(R527=1,O527&gt;Q527),1,0)</f>
        <v>0</v>
      </c>
      <c r="W527" s="7" t="n">
        <f aca="false">IF(AND(T527=1,P527&lt;&gt;"",P527&lt;=Q527),1,0)</f>
        <v>0</v>
      </c>
    </row>
    <row r="528" customFormat="false" ht="15" hidden="false" customHeight="false" outlineLevel="0" collapsed="false">
      <c r="A528" s="7" t="s">
        <v>713</v>
      </c>
      <c r="B528" s="7" t="s">
        <v>46</v>
      </c>
      <c r="C528" s="7" t="s">
        <v>79</v>
      </c>
      <c r="D528" s="7" t="s">
        <v>192</v>
      </c>
      <c r="E528" s="7" t="s">
        <v>193</v>
      </c>
      <c r="F528" s="7" t="s">
        <v>123</v>
      </c>
      <c r="G528" s="7" t="s">
        <v>19</v>
      </c>
      <c r="H528" s="9" t="n">
        <v>46120</v>
      </c>
      <c r="I528" s="9" t="n">
        <v>46145</v>
      </c>
      <c r="J528" s="7" t="n">
        <v>9.8</v>
      </c>
      <c r="K528" s="7" t="s">
        <v>482</v>
      </c>
      <c r="L528" s="7" t="s">
        <v>21</v>
      </c>
      <c r="M528" s="7" t="s">
        <v>718</v>
      </c>
      <c r="N528" s="7" t="s">
        <v>58</v>
      </c>
      <c r="O528" s="10" t="n">
        <f aca="false">'Exec Summary'!$E$2-H528</f>
        <v>114</v>
      </c>
      <c r="P528" s="10" t="n">
        <f aca="false">IF(I528="","",I528-H528)</f>
        <v>25</v>
      </c>
      <c r="Q528" s="10" t="n">
        <f aca="false">VLOOKUP(G528,$AA$2:$AB$5,2,FALSE())</f>
        <v>15</v>
      </c>
      <c r="R528" s="7" t="n">
        <f aca="false">IF(OR(F528="Open",F528="Reopened"),1,0)</f>
        <v>1</v>
      </c>
      <c r="S528" s="7" t="n">
        <f aca="false">IF(AND(H528&gt;='Exec Summary'!$E$1,H528&lt;='Exec Summary'!$E$2),1,0)</f>
        <v>0</v>
      </c>
      <c r="T528" s="7" t="n">
        <f aca="false">IF(AND(F528="Closed",I528&lt;&gt;"",I528&gt;='Exec Summary'!$E$1,I528&lt;='Exec Summary'!$E$2),1,0)</f>
        <v>0</v>
      </c>
      <c r="U528" s="7" t="n">
        <f aca="false">IF(F528="Reopened",1,0)</f>
        <v>1</v>
      </c>
      <c r="V528" s="7" t="n">
        <f aca="false">IF(AND(R528=1,O528&gt;Q528),1,0)</f>
        <v>1</v>
      </c>
      <c r="W528" s="7" t="n">
        <f aca="false">IF(AND(T528=1,P528&lt;&gt;"",P528&lt;=Q528),1,0)</f>
        <v>0</v>
      </c>
    </row>
    <row r="529" customFormat="false" ht="15" hidden="false" customHeight="false" outlineLevel="0" collapsed="false">
      <c r="A529" s="7" t="s">
        <v>719</v>
      </c>
      <c r="B529" s="7" t="s">
        <v>46</v>
      </c>
      <c r="C529" s="7" t="s">
        <v>177</v>
      </c>
      <c r="D529" s="7" t="s">
        <v>71</v>
      </c>
      <c r="E529" s="7" t="s">
        <v>72</v>
      </c>
      <c r="F529" s="7" t="s">
        <v>50</v>
      </c>
      <c r="G529" s="7" t="s">
        <v>19</v>
      </c>
      <c r="H529" s="9" t="n">
        <v>45954</v>
      </c>
      <c r="I529" s="9" t="n">
        <v>45963</v>
      </c>
      <c r="J529" s="7" t="n">
        <v>9.8</v>
      </c>
      <c r="K529" s="7" t="s">
        <v>482</v>
      </c>
      <c r="L529" s="7" t="s">
        <v>22</v>
      </c>
      <c r="M529" s="7" t="s">
        <v>720</v>
      </c>
      <c r="N529" s="7" t="s">
        <v>58</v>
      </c>
      <c r="O529" s="10" t="n">
        <f aca="false">'Exec Summary'!$E$2-H529</f>
        <v>280</v>
      </c>
      <c r="P529" s="10" t="n">
        <f aca="false">IF(I529="","",I529-H529)</f>
        <v>9</v>
      </c>
      <c r="Q529" s="10" t="n">
        <f aca="false">VLOOKUP(G529,$AA$2:$AB$5,2,FALSE())</f>
        <v>15</v>
      </c>
      <c r="R529" s="7" t="n">
        <f aca="false">IF(OR(F529="Open",F529="Reopened"),1,0)</f>
        <v>0</v>
      </c>
      <c r="S529" s="7" t="n">
        <f aca="false">IF(AND(H529&gt;='Exec Summary'!$E$1,H529&lt;='Exec Summary'!$E$2),1,0)</f>
        <v>0</v>
      </c>
      <c r="T529" s="7" t="n">
        <f aca="false">IF(AND(F529="Closed",I529&lt;&gt;"",I529&gt;='Exec Summary'!$E$1,I529&lt;='Exec Summary'!$E$2),1,0)</f>
        <v>0</v>
      </c>
      <c r="U529" s="7" t="n">
        <f aca="false">IF(F529="Reopened",1,0)</f>
        <v>0</v>
      </c>
      <c r="V529" s="7" t="n">
        <f aca="false">IF(AND(R529=1,O529&gt;Q529),1,0)</f>
        <v>0</v>
      </c>
      <c r="W529" s="7" t="n">
        <f aca="false">IF(AND(T529=1,P529&lt;&gt;"",P529&lt;=Q529),1,0)</f>
        <v>0</v>
      </c>
    </row>
    <row r="530" customFormat="false" ht="15" hidden="false" customHeight="false" outlineLevel="0" collapsed="false">
      <c r="A530" s="7" t="s">
        <v>719</v>
      </c>
      <c r="B530" s="7" t="s">
        <v>46</v>
      </c>
      <c r="C530" s="7" t="s">
        <v>177</v>
      </c>
      <c r="D530" s="7" t="s">
        <v>139</v>
      </c>
      <c r="E530" s="7" t="s">
        <v>140</v>
      </c>
      <c r="F530" s="7" t="s">
        <v>50</v>
      </c>
      <c r="G530" s="7" t="s">
        <v>19</v>
      </c>
      <c r="H530" s="9" t="n">
        <v>46159</v>
      </c>
      <c r="I530" s="9" t="n">
        <v>46176</v>
      </c>
      <c r="J530" s="7" t="n">
        <v>9.8</v>
      </c>
      <c r="K530" s="7" t="s">
        <v>482</v>
      </c>
      <c r="L530" s="7" t="s">
        <v>22</v>
      </c>
      <c r="M530" s="7" t="s">
        <v>721</v>
      </c>
      <c r="N530" s="7" t="s">
        <v>58</v>
      </c>
      <c r="O530" s="10" t="n">
        <f aca="false">'Exec Summary'!$E$2-H530</f>
        <v>75</v>
      </c>
      <c r="P530" s="10" t="n">
        <f aca="false">IF(I530="","",I530-H530)</f>
        <v>17</v>
      </c>
      <c r="Q530" s="10" t="n">
        <f aca="false">VLOOKUP(G530,$AA$2:$AB$5,2,FALSE())</f>
        <v>15</v>
      </c>
      <c r="R530" s="7" t="n">
        <f aca="false">IF(OR(F530="Open",F530="Reopened"),1,0)</f>
        <v>0</v>
      </c>
      <c r="S530" s="7" t="n">
        <f aca="false">IF(AND(H530&gt;='Exec Summary'!$E$1,H530&lt;='Exec Summary'!$E$2),1,0)</f>
        <v>0</v>
      </c>
      <c r="T530" s="7" t="n">
        <f aca="false">IF(AND(F530="Closed",I530&lt;&gt;"",I530&gt;='Exec Summary'!$E$1,I530&lt;='Exec Summary'!$E$2),1,0)</f>
        <v>0</v>
      </c>
      <c r="U530" s="7" t="n">
        <f aca="false">IF(F530="Reopened",1,0)</f>
        <v>0</v>
      </c>
      <c r="V530" s="7" t="n">
        <f aca="false">IF(AND(R530=1,O530&gt;Q530),1,0)</f>
        <v>0</v>
      </c>
      <c r="W530" s="7" t="n">
        <f aca="false">IF(AND(T530=1,P530&lt;&gt;"",P530&lt;=Q530),1,0)</f>
        <v>0</v>
      </c>
    </row>
    <row r="531" customFormat="false" ht="15" hidden="false" customHeight="false" outlineLevel="0" collapsed="false">
      <c r="A531" s="7" t="s">
        <v>722</v>
      </c>
      <c r="B531" s="7" t="s">
        <v>46</v>
      </c>
      <c r="C531" s="7" t="s">
        <v>177</v>
      </c>
      <c r="D531" s="7" t="s">
        <v>192</v>
      </c>
      <c r="E531" s="7" t="s">
        <v>193</v>
      </c>
      <c r="F531" s="7" t="s">
        <v>50</v>
      </c>
      <c r="G531" s="7" t="s">
        <v>19</v>
      </c>
      <c r="H531" s="9" t="n">
        <v>46015</v>
      </c>
      <c r="I531" s="9" t="n">
        <v>46029</v>
      </c>
      <c r="J531" s="7" t="n">
        <v>9.8</v>
      </c>
      <c r="K531" s="7" t="s">
        <v>482</v>
      </c>
      <c r="L531" s="7" t="s">
        <v>20</v>
      </c>
      <c r="M531" s="7" t="s">
        <v>723</v>
      </c>
      <c r="N531" s="7" t="s">
        <v>58</v>
      </c>
      <c r="O531" s="10" t="n">
        <f aca="false">'Exec Summary'!$E$2-H531</f>
        <v>219</v>
      </c>
      <c r="P531" s="10" t="n">
        <f aca="false">IF(I531="","",I531-H531)</f>
        <v>14</v>
      </c>
      <c r="Q531" s="10" t="n">
        <f aca="false">VLOOKUP(G531,$AA$2:$AB$5,2,FALSE())</f>
        <v>15</v>
      </c>
      <c r="R531" s="7" t="n">
        <f aca="false">IF(OR(F531="Open",F531="Reopened"),1,0)</f>
        <v>0</v>
      </c>
      <c r="S531" s="7" t="n">
        <f aca="false">IF(AND(H531&gt;='Exec Summary'!$E$1,H531&lt;='Exec Summary'!$E$2),1,0)</f>
        <v>0</v>
      </c>
      <c r="T531" s="7" t="n">
        <f aca="false">IF(AND(F531="Closed",I531&lt;&gt;"",I531&gt;='Exec Summary'!$E$1,I531&lt;='Exec Summary'!$E$2),1,0)</f>
        <v>0</v>
      </c>
      <c r="U531" s="7" t="n">
        <f aca="false">IF(F531="Reopened",1,0)</f>
        <v>0</v>
      </c>
      <c r="V531" s="7" t="n">
        <f aca="false">IF(AND(R531=1,O531&gt;Q531),1,0)</f>
        <v>0</v>
      </c>
      <c r="W531" s="7" t="n">
        <f aca="false">IF(AND(T531=1,P531&lt;&gt;"",P531&lt;=Q531),1,0)</f>
        <v>0</v>
      </c>
    </row>
    <row r="532" customFormat="false" ht="15" hidden="false" customHeight="false" outlineLevel="0" collapsed="false">
      <c r="A532" s="7" t="s">
        <v>722</v>
      </c>
      <c r="B532" s="7" t="s">
        <v>46</v>
      </c>
      <c r="C532" s="7" t="s">
        <v>177</v>
      </c>
      <c r="D532" s="7" t="s">
        <v>206</v>
      </c>
      <c r="E532" s="7" t="s">
        <v>207</v>
      </c>
      <c r="F532" s="7" t="s">
        <v>50</v>
      </c>
      <c r="G532" s="7" t="s">
        <v>20</v>
      </c>
      <c r="H532" s="9" t="n">
        <v>46112</v>
      </c>
      <c r="I532" s="9" t="n">
        <v>46126</v>
      </c>
      <c r="J532" s="7" t="n">
        <v>8.8</v>
      </c>
      <c r="K532" s="7" t="s">
        <v>482</v>
      </c>
      <c r="L532" s="7" t="s">
        <v>20</v>
      </c>
      <c r="M532" s="7" t="s">
        <v>724</v>
      </c>
      <c r="N532" s="7" t="s">
        <v>53</v>
      </c>
      <c r="O532" s="10" t="n">
        <f aca="false">'Exec Summary'!$E$2-H532</f>
        <v>122</v>
      </c>
      <c r="P532" s="10" t="n">
        <f aca="false">IF(I532="","",I532-H532)</f>
        <v>14</v>
      </c>
      <c r="Q532" s="10" t="n">
        <f aca="false">VLOOKUP(G532,$AA$2:$AB$5,2,FALSE())</f>
        <v>30</v>
      </c>
      <c r="R532" s="7" t="n">
        <f aca="false">IF(OR(F532="Open",F532="Reopened"),1,0)</f>
        <v>0</v>
      </c>
      <c r="S532" s="7" t="n">
        <f aca="false">IF(AND(H532&gt;='Exec Summary'!$E$1,H532&lt;='Exec Summary'!$E$2),1,0)</f>
        <v>0</v>
      </c>
      <c r="T532" s="7" t="n">
        <f aca="false">IF(AND(F532="Closed",I532&lt;&gt;"",I532&gt;='Exec Summary'!$E$1,I532&lt;='Exec Summary'!$E$2),1,0)</f>
        <v>0</v>
      </c>
      <c r="U532" s="7" t="n">
        <f aca="false">IF(F532="Reopened",1,0)</f>
        <v>0</v>
      </c>
      <c r="V532" s="7" t="n">
        <f aca="false">IF(AND(R532=1,O532&gt;Q532),1,0)</f>
        <v>0</v>
      </c>
      <c r="W532" s="7" t="n">
        <f aca="false">IF(AND(T532=1,P532&lt;&gt;"",P532&lt;=Q532),1,0)</f>
        <v>0</v>
      </c>
    </row>
    <row r="533" customFormat="false" ht="15" hidden="false" customHeight="false" outlineLevel="0" collapsed="false">
      <c r="A533" s="7" t="s">
        <v>722</v>
      </c>
      <c r="B533" s="7" t="s">
        <v>46</v>
      </c>
      <c r="C533" s="7" t="s">
        <v>177</v>
      </c>
      <c r="D533" s="7" t="s">
        <v>120</v>
      </c>
      <c r="E533" s="7" t="s">
        <v>121</v>
      </c>
      <c r="F533" s="7" t="s">
        <v>50</v>
      </c>
      <c r="G533" s="7" t="s">
        <v>19</v>
      </c>
      <c r="H533" s="9" t="n">
        <v>45989</v>
      </c>
      <c r="I533" s="9" t="n">
        <v>45998</v>
      </c>
      <c r="J533" s="7" t="n">
        <v>8.8</v>
      </c>
      <c r="K533" s="7" t="s">
        <v>482</v>
      </c>
      <c r="L533" s="7" t="s">
        <v>20</v>
      </c>
      <c r="M533" s="7" t="s">
        <v>725</v>
      </c>
      <c r="N533" s="7" t="s">
        <v>58</v>
      </c>
      <c r="O533" s="10" t="n">
        <f aca="false">'Exec Summary'!$E$2-H533</f>
        <v>245</v>
      </c>
      <c r="P533" s="10" t="n">
        <f aca="false">IF(I533="","",I533-H533)</f>
        <v>9</v>
      </c>
      <c r="Q533" s="10" t="n">
        <f aca="false">VLOOKUP(G533,$AA$2:$AB$5,2,FALSE())</f>
        <v>15</v>
      </c>
      <c r="R533" s="7" t="n">
        <f aca="false">IF(OR(F533="Open",F533="Reopened"),1,0)</f>
        <v>0</v>
      </c>
      <c r="S533" s="7" t="n">
        <f aca="false">IF(AND(H533&gt;='Exec Summary'!$E$1,H533&lt;='Exec Summary'!$E$2),1,0)</f>
        <v>0</v>
      </c>
      <c r="T533" s="7" t="n">
        <f aca="false">IF(AND(F533="Closed",I533&lt;&gt;"",I533&gt;='Exec Summary'!$E$1,I533&lt;='Exec Summary'!$E$2),1,0)</f>
        <v>0</v>
      </c>
      <c r="U533" s="7" t="n">
        <f aca="false">IF(F533="Reopened",1,0)</f>
        <v>0</v>
      </c>
      <c r="V533" s="7" t="n">
        <f aca="false">IF(AND(R533=1,O533&gt;Q533),1,0)</f>
        <v>0</v>
      </c>
      <c r="W533" s="7" t="n">
        <f aca="false">IF(AND(T533=1,P533&lt;&gt;"",P533&lt;=Q533),1,0)</f>
        <v>0</v>
      </c>
    </row>
    <row r="534" customFormat="false" ht="15" hidden="false" customHeight="false" outlineLevel="0" collapsed="false">
      <c r="A534" s="7" t="s">
        <v>722</v>
      </c>
      <c r="B534" s="7" t="s">
        <v>46</v>
      </c>
      <c r="C534" s="7" t="s">
        <v>177</v>
      </c>
      <c r="D534" s="7" t="s">
        <v>54</v>
      </c>
      <c r="E534" s="7" t="s">
        <v>55</v>
      </c>
      <c r="F534" s="7" t="s">
        <v>123</v>
      </c>
      <c r="G534" s="7" t="s">
        <v>19</v>
      </c>
      <c r="H534" s="9" t="n">
        <v>46036</v>
      </c>
      <c r="I534" s="9" t="n">
        <v>46037</v>
      </c>
      <c r="J534" s="7" t="n">
        <v>9.8</v>
      </c>
      <c r="K534" s="7" t="s">
        <v>482</v>
      </c>
      <c r="L534" s="7" t="s">
        <v>20</v>
      </c>
      <c r="M534" s="7" t="s">
        <v>726</v>
      </c>
      <c r="N534" s="7" t="s">
        <v>58</v>
      </c>
      <c r="O534" s="10" t="n">
        <f aca="false">'Exec Summary'!$E$2-H534</f>
        <v>198</v>
      </c>
      <c r="P534" s="10" t="n">
        <f aca="false">IF(I534="","",I534-H534)</f>
        <v>1</v>
      </c>
      <c r="Q534" s="10" t="n">
        <f aca="false">VLOOKUP(G534,$AA$2:$AB$5,2,FALSE())</f>
        <v>15</v>
      </c>
      <c r="R534" s="7" t="n">
        <f aca="false">IF(OR(F534="Open",F534="Reopened"),1,0)</f>
        <v>1</v>
      </c>
      <c r="S534" s="7" t="n">
        <f aca="false">IF(AND(H534&gt;='Exec Summary'!$E$1,H534&lt;='Exec Summary'!$E$2),1,0)</f>
        <v>0</v>
      </c>
      <c r="T534" s="7" t="n">
        <f aca="false">IF(AND(F534="Closed",I534&lt;&gt;"",I534&gt;='Exec Summary'!$E$1,I534&lt;='Exec Summary'!$E$2),1,0)</f>
        <v>0</v>
      </c>
      <c r="U534" s="7" t="n">
        <f aca="false">IF(F534="Reopened",1,0)</f>
        <v>1</v>
      </c>
      <c r="V534" s="7" t="n">
        <f aca="false">IF(AND(R534=1,O534&gt;Q534),1,0)</f>
        <v>1</v>
      </c>
      <c r="W534" s="7" t="n">
        <f aca="false">IF(AND(T534=1,P534&lt;&gt;"",P534&lt;=Q534),1,0)</f>
        <v>0</v>
      </c>
    </row>
    <row r="535" customFormat="false" ht="15" hidden="false" customHeight="false" outlineLevel="0" collapsed="false">
      <c r="A535" s="7" t="s">
        <v>722</v>
      </c>
      <c r="B535" s="7" t="s">
        <v>46</v>
      </c>
      <c r="C535" s="7" t="s">
        <v>177</v>
      </c>
      <c r="D535" s="7" t="s">
        <v>173</v>
      </c>
      <c r="E535" s="7" t="s">
        <v>174</v>
      </c>
      <c r="F535" s="7" t="s">
        <v>50</v>
      </c>
      <c r="G535" s="7" t="s">
        <v>19</v>
      </c>
      <c r="H535" s="9" t="n">
        <v>46182</v>
      </c>
      <c r="I535" s="9" t="n">
        <v>46193</v>
      </c>
      <c r="J535" s="7" t="n">
        <v>9.8</v>
      </c>
      <c r="K535" s="7" t="s">
        <v>482</v>
      </c>
      <c r="L535" s="7" t="s">
        <v>20</v>
      </c>
      <c r="M535" s="7" t="s">
        <v>727</v>
      </c>
      <c r="N535" s="7" t="s">
        <v>58</v>
      </c>
      <c r="O535" s="10" t="n">
        <f aca="false">'Exec Summary'!$E$2-H535</f>
        <v>52</v>
      </c>
      <c r="P535" s="10" t="n">
        <f aca="false">IF(I535="","",I535-H535)</f>
        <v>11</v>
      </c>
      <c r="Q535" s="10" t="n">
        <f aca="false">VLOOKUP(G535,$AA$2:$AB$5,2,FALSE())</f>
        <v>15</v>
      </c>
      <c r="R535" s="7" t="n">
        <f aca="false">IF(OR(F535="Open",F535="Reopened"),1,0)</f>
        <v>0</v>
      </c>
      <c r="S535" s="7" t="n">
        <f aca="false">IF(AND(H535&gt;='Exec Summary'!$E$1,H535&lt;='Exec Summary'!$E$2),1,0)</f>
        <v>0</v>
      </c>
      <c r="T535" s="7" t="n">
        <f aca="false">IF(AND(F535="Closed",I535&lt;&gt;"",I535&gt;='Exec Summary'!$E$1,I535&lt;='Exec Summary'!$E$2),1,0)</f>
        <v>0</v>
      </c>
      <c r="U535" s="7" t="n">
        <f aca="false">IF(F535="Reopened",1,0)</f>
        <v>0</v>
      </c>
      <c r="V535" s="7" t="n">
        <f aca="false">IF(AND(R535=1,O535&gt;Q535),1,0)</f>
        <v>0</v>
      </c>
      <c r="W535" s="7" t="n">
        <f aca="false">IF(AND(T535=1,P535&lt;&gt;"",P535&lt;=Q535),1,0)</f>
        <v>0</v>
      </c>
    </row>
    <row r="536" customFormat="false" ht="15" hidden="false" customHeight="false" outlineLevel="0" collapsed="false">
      <c r="A536" s="7" t="s">
        <v>722</v>
      </c>
      <c r="B536" s="7" t="s">
        <v>46</v>
      </c>
      <c r="C536" s="7" t="s">
        <v>177</v>
      </c>
      <c r="D536" s="7" t="s">
        <v>91</v>
      </c>
      <c r="E536" s="7" t="s">
        <v>92</v>
      </c>
      <c r="F536" s="7" t="s">
        <v>50</v>
      </c>
      <c r="G536" s="7" t="s">
        <v>20</v>
      </c>
      <c r="H536" s="9" t="n">
        <v>46174</v>
      </c>
      <c r="I536" s="9" t="n">
        <v>46189</v>
      </c>
      <c r="J536" s="7" t="n">
        <v>8.1</v>
      </c>
      <c r="K536" s="7" t="s">
        <v>482</v>
      </c>
      <c r="L536" s="7" t="s">
        <v>20</v>
      </c>
      <c r="M536" s="7" t="s">
        <v>728</v>
      </c>
      <c r="N536" s="7" t="s">
        <v>53</v>
      </c>
      <c r="O536" s="10" t="n">
        <f aca="false">'Exec Summary'!$E$2-H536</f>
        <v>60</v>
      </c>
      <c r="P536" s="10" t="n">
        <f aca="false">IF(I536="","",I536-H536)</f>
        <v>15</v>
      </c>
      <c r="Q536" s="10" t="n">
        <f aca="false">VLOOKUP(G536,$AA$2:$AB$5,2,FALSE())</f>
        <v>30</v>
      </c>
      <c r="R536" s="7" t="n">
        <f aca="false">IF(OR(F536="Open",F536="Reopened"),1,0)</f>
        <v>0</v>
      </c>
      <c r="S536" s="7" t="n">
        <f aca="false">IF(AND(H536&gt;='Exec Summary'!$E$1,H536&lt;='Exec Summary'!$E$2),1,0)</f>
        <v>0</v>
      </c>
      <c r="T536" s="7" t="n">
        <f aca="false">IF(AND(F536="Closed",I536&lt;&gt;"",I536&gt;='Exec Summary'!$E$1,I536&lt;='Exec Summary'!$E$2),1,0)</f>
        <v>0</v>
      </c>
      <c r="U536" s="7" t="n">
        <f aca="false">IF(F536="Reopened",1,0)</f>
        <v>0</v>
      </c>
      <c r="V536" s="7" t="n">
        <f aca="false">IF(AND(R536=1,O536&gt;Q536),1,0)</f>
        <v>0</v>
      </c>
      <c r="W536" s="7" t="n">
        <f aca="false">IF(AND(T536=1,P536&lt;&gt;"",P536&lt;=Q536),1,0)</f>
        <v>0</v>
      </c>
    </row>
    <row r="537" customFormat="false" ht="15" hidden="false" customHeight="false" outlineLevel="0" collapsed="false">
      <c r="A537" s="7" t="s">
        <v>722</v>
      </c>
      <c r="B537" s="7" t="s">
        <v>46</v>
      </c>
      <c r="C537" s="7" t="s">
        <v>177</v>
      </c>
      <c r="D537" s="7" t="s">
        <v>101</v>
      </c>
      <c r="E537" s="7" t="s">
        <v>102</v>
      </c>
      <c r="F537" s="7" t="s">
        <v>50</v>
      </c>
      <c r="G537" s="7" t="s">
        <v>19</v>
      </c>
      <c r="H537" s="9" t="n">
        <v>46128</v>
      </c>
      <c r="I537" s="9" t="n">
        <v>46143</v>
      </c>
      <c r="J537" s="7" t="n">
        <v>10</v>
      </c>
      <c r="K537" s="7" t="s">
        <v>482</v>
      </c>
      <c r="L537" s="7" t="s">
        <v>20</v>
      </c>
      <c r="M537" s="7" t="s">
        <v>729</v>
      </c>
      <c r="N537" s="7" t="s">
        <v>58</v>
      </c>
      <c r="O537" s="10" t="n">
        <f aca="false">'Exec Summary'!$E$2-H537</f>
        <v>106</v>
      </c>
      <c r="P537" s="10" t="n">
        <f aca="false">IF(I537="","",I537-H537)</f>
        <v>15</v>
      </c>
      <c r="Q537" s="10" t="n">
        <f aca="false">VLOOKUP(G537,$AA$2:$AB$5,2,FALSE())</f>
        <v>15</v>
      </c>
      <c r="R537" s="7" t="n">
        <f aca="false">IF(OR(F537="Open",F537="Reopened"),1,0)</f>
        <v>0</v>
      </c>
      <c r="S537" s="7" t="n">
        <f aca="false">IF(AND(H537&gt;='Exec Summary'!$E$1,H537&lt;='Exec Summary'!$E$2),1,0)</f>
        <v>0</v>
      </c>
      <c r="T537" s="7" t="n">
        <f aca="false">IF(AND(F537="Closed",I537&lt;&gt;"",I537&gt;='Exec Summary'!$E$1,I537&lt;='Exec Summary'!$E$2),1,0)</f>
        <v>0</v>
      </c>
      <c r="U537" s="7" t="n">
        <f aca="false">IF(F537="Reopened",1,0)</f>
        <v>0</v>
      </c>
      <c r="V537" s="7" t="n">
        <f aca="false">IF(AND(R537=1,O537&gt;Q537),1,0)</f>
        <v>0</v>
      </c>
      <c r="W537" s="7" t="n">
        <f aca="false">IF(AND(T537=1,P537&lt;&gt;"",P537&lt;=Q537),1,0)</f>
        <v>0</v>
      </c>
    </row>
    <row r="538" customFormat="false" ht="15" hidden="false" customHeight="false" outlineLevel="0" collapsed="false">
      <c r="A538" s="7" t="s">
        <v>722</v>
      </c>
      <c r="B538" s="7" t="s">
        <v>46</v>
      </c>
      <c r="C538" s="7" t="s">
        <v>177</v>
      </c>
      <c r="D538" s="7" t="s">
        <v>68</v>
      </c>
      <c r="E538" s="7" t="s">
        <v>69</v>
      </c>
      <c r="F538" s="7" t="s">
        <v>123</v>
      </c>
      <c r="G538" s="7" t="s">
        <v>19</v>
      </c>
      <c r="H538" s="9" t="n">
        <v>45961</v>
      </c>
      <c r="I538" s="9" t="n">
        <v>45962</v>
      </c>
      <c r="J538" s="7" t="n">
        <v>9.8</v>
      </c>
      <c r="K538" s="7" t="s">
        <v>482</v>
      </c>
      <c r="L538" s="7" t="s">
        <v>20</v>
      </c>
      <c r="M538" s="7" t="s">
        <v>730</v>
      </c>
      <c r="N538" s="7" t="s">
        <v>58</v>
      </c>
      <c r="O538" s="10" t="n">
        <f aca="false">'Exec Summary'!$E$2-H538</f>
        <v>273</v>
      </c>
      <c r="P538" s="10" t="n">
        <f aca="false">IF(I538="","",I538-H538)</f>
        <v>1</v>
      </c>
      <c r="Q538" s="10" t="n">
        <f aca="false">VLOOKUP(G538,$AA$2:$AB$5,2,FALSE())</f>
        <v>15</v>
      </c>
      <c r="R538" s="7" t="n">
        <f aca="false">IF(OR(F538="Open",F538="Reopened"),1,0)</f>
        <v>1</v>
      </c>
      <c r="S538" s="7" t="n">
        <f aca="false">IF(AND(H538&gt;='Exec Summary'!$E$1,H538&lt;='Exec Summary'!$E$2),1,0)</f>
        <v>0</v>
      </c>
      <c r="T538" s="7" t="n">
        <f aca="false">IF(AND(F538="Closed",I538&lt;&gt;"",I538&gt;='Exec Summary'!$E$1,I538&lt;='Exec Summary'!$E$2),1,0)</f>
        <v>0</v>
      </c>
      <c r="U538" s="7" t="n">
        <f aca="false">IF(F538="Reopened",1,0)</f>
        <v>1</v>
      </c>
      <c r="V538" s="7" t="n">
        <f aca="false">IF(AND(R538=1,O538&gt;Q538),1,0)</f>
        <v>1</v>
      </c>
      <c r="W538" s="7" t="n">
        <f aca="false">IF(AND(T538=1,P538&lt;&gt;"",P538&lt;=Q538),1,0)</f>
        <v>0</v>
      </c>
    </row>
    <row r="539" customFormat="false" ht="15" hidden="false" customHeight="false" outlineLevel="0" collapsed="false">
      <c r="A539" s="7" t="s">
        <v>722</v>
      </c>
      <c r="B539" s="7" t="s">
        <v>46</v>
      </c>
      <c r="C539" s="7" t="s">
        <v>177</v>
      </c>
      <c r="D539" s="7" t="s">
        <v>131</v>
      </c>
      <c r="E539" s="7" t="s">
        <v>132</v>
      </c>
      <c r="F539" s="7" t="s">
        <v>50</v>
      </c>
      <c r="G539" s="7" t="s">
        <v>19</v>
      </c>
      <c r="H539" s="9" t="n">
        <v>46072</v>
      </c>
      <c r="I539" s="9" t="n">
        <v>46084</v>
      </c>
      <c r="J539" s="7" t="n">
        <v>9.8</v>
      </c>
      <c r="K539" s="7" t="s">
        <v>482</v>
      </c>
      <c r="L539" s="7" t="s">
        <v>20</v>
      </c>
      <c r="M539" s="7" t="s">
        <v>731</v>
      </c>
      <c r="N539" s="7" t="s">
        <v>58</v>
      </c>
      <c r="O539" s="10" t="n">
        <f aca="false">'Exec Summary'!$E$2-H539</f>
        <v>162</v>
      </c>
      <c r="P539" s="10" t="n">
        <f aca="false">IF(I539="","",I539-H539)</f>
        <v>12</v>
      </c>
      <c r="Q539" s="10" t="n">
        <f aca="false">VLOOKUP(G539,$AA$2:$AB$5,2,FALSE())</f>
        <v>15</v>
      </c>
      <c r="R539" s="7" t="n">
        <f aca="false">IF(OR(F539="Open",F539="Reopened"),1,0)</f>
        <v>0</v>
      </c>
      <c r="S539" s="7" t="n">
        <f aca="false">IF(AND(H539&gt;='Exec Summary'!$E$1,H539&lt;='Exec Summary'!$E$2),1,0)</f>
        <v>0</v>
      </c>
      <c r="T539" s="7" t="n">
        <f aca="false">IF(AND(F539="Closed",I539&lt;&gt;"",I539&gt;='Exec Summary'!$E$1,I539&lt;='Exec Summary'!$E$2),1,0)</f>
        <v>0</v>
      </c>
      <c r="U539" s="7" t="n">
        <f aca="false">IF(F539="Reopened",1,0)</f>
        <v>0</v>
      </c>
      <c r="V539" s="7" t="n">
        <f aca="false">IF(AND(R539=1,O539&gt;Q539),1,0)</f>
        <v>0</v>
      </c>
      <c r="W539" s="7" t="n">
        <f aca="false">IF(AND(T539=1,P539&lt;&gt;"",P539&lt;=Q539),1,0)</f>
        <v>0</v>
      </c>
    </row>
    <row r="540" customFormat="false" ht="15" hidden="false" customHeight="false" outlineLevel="0" collapsed="false">
      <c r="A540" s="7" t="s">
        <v>722</v>
      </c>
      <c r="B540" s="7" t="s">
        <v>46</v>
      </c>
      <c r="C540" s="7" t="s">
        <v>177</v>
      </c>
      <c r="D540" s="7" t="s">
        <v>87</v>
      </c>
      <c r="E540" s="7" t="s">
        <v>88</v>
      </c>
      <c r="F540" s="7" t="s">
        <v>56</v>
      </c>
      <c r="G540" s="7" t="s">
        <v>19</v>
      </c>
      <c r="H540" s="9" t="n">
        <v>46086</v>
      </c>
      <c r="I540" s="9"/>
      <c r="J540" s="7" t="n">
        <v>10</v>
      </c>
      <c r="K540" s="7" t="s">
        <v>482</v>
      </c>
      <c r="L540" s="7" t="s">
        <v>20</v>
      </c>
      <c r="M540" s="7" t="s">
        <v>732</v>
      </c>
      <c r="N540" s="7" t="s">
        <v>58</v>
      </c>
      <c r="O540" s="10" t="n">
        <f aca="false">'Exec Summary'!$E$2-H540</f>
        <v>148</v>
      </c>
      <c r="P540" s="10" t="str">
        <f aca="false">IF(I540="","",I540-H540)</f>
        <v/>
      </c>
      <c r="Q540" s="10" t="n">
        <f aca="false">VLOOKUP(G540,$AA$2:$AB$5,2,FALSE())</f>
        <v>15</v>
      </c>
      <c r="R540" s="7" t="n">
        <f aca="false">IF(OR(F540="Open",F540="Reopened"),1,0)</f>
        <v>1</v>
      </c>
      <c r="S540" s="7" t="n">
        <f aca="false">IF(AND(H540&gt;='Exec Summary'!$E$1,H540&lt;='Exec Summary'!$E$2),1,0)</f>
        <v>0</v>
      </c>
      <c r="T540" s="7" t="n">
        <f aca="false">IF(AND(F540="Closed",I540&lt;&gt;"",I540&gt;='Exec Summary'!$E$1,I540&lt;='Exec Summary'!$E$2),1,0)</f>
        <v>0</v>
      </c>
      <c r="U540" s="7" t="n">
        <f aca="false">IF(F540="Reopened",1,0)</f>
        <v>0</v>
      </c>
      <c r="V540" s="7" t="n">
        <f aca="false">IF(AND(R540=1,O540&gt;Q540),1,0)</f>
        <v>1</v>
      </c>
      <c r="W540" s="7" t="n">
        <f aca="false">IF(AND(T540=1,P540&lt;&gt;"",P540&lt;=Q540),1,0)</f>
        <v>0</v>
      </c>
    </row>
    <row r="541" customFormat="false" ht="15" hidden="false" customHeight="false" outlineLevel="0" collapsed="false">
      <c r="A541" s="7" t="s">
        <v>722</v>
      </c>
      <c r="B541" s="7" t="s">
        <v>46</v>
      </c>
      <c r="C541" s="7" t="s">
        <v>177</v>
      </c>
      <c r="D541" s="7" t="s">
        <v>145</v>
      </c>
      <c r="E541" s="7" t="s">
        <v>146</v>
      </c>
      <c r="F541" s="7" t="s">
        <v>50</v>
      </c>
      <c r="G541" s="7" t="s">
        <v>19</v>
      </c>
      <c r="H541" s="9" t="n">
        <v>46148</v>
      </c>
      <c r="I541" s="9" t="n">
        <v>46162</v>
      </c>
      <c r="J541" s="7" t="n">
        <v>9.8</v>
      </c>
      <c r="K541" s="7" t="s">
        <v>482</v>
      </c>
      <c r="L541" s="7" t="s">
        <v>20</v>
      </c>
      <c r="M541" s="7" t="s">
        <v>733</v>
      </c>
      <c r="N541" s="7" t="s">
        <v>58</v>
      </c>
      <c r="O541" s="10" t="n">
        <f aca="false">'Exec Summary'!$E$2-H541</f>
        <v>86</v>
      </c>
      <c r="P541" s="10" t="n">
        <f aca="false">IF(I541="","",I541-H541)</f>
        <v>14</v>
      </c>
      <c r="Q541" s="10" t="n">
        <f aca="false">VLOOKUP(G541,$AA$2:$AB$5,2,FALSE())</f>
        <v>15</v>
      </c>
      <c r="R541" s="7" t="n">
        <f aca="false">IF(OR(F541="Open",F541="Reopened"),1,0)</f>
        <v>0</v>
      </c>
      <c r="S541" s="7" t="n">
        <f aca="false">IF(AND(H541&gt;='Exec Summary'!$E$1,H541&lt;='Exec Summary'!$E$2),1,0)</f>
        <v>0</v>
      </c>
      <c r="T541" s="7" t="n">
        <f aca="false">IF(AND(F541="Closed",I541&lt;&gt;"",I541&gt;='Exec Summary'!$E$1,I541&lt;='Exec Summary'!$E$2),1,0)</f>
        <v>0</v>
      </c>
      <c r="U541" s="7" t="n">
        <f aca="false">IF(F541="Reopened",1,0)</f>
        <v>0</v>
      </c>
      <c r="V541" s="7" t="n">
        <f aca="false">IF(AND(R541=1,O541&gt;Q541),1,0)</f>
        <v>0</v>
      </c>
      <c r="W541" s="7" t="n">
        <f aca="false">IF(AND(T541=1,P541&lt;&gt;"",P541&lt;=Q541),1,0)</f>
        <v>0</v>
      </c>
    </row>
    <row r="542" customFormat="false" ht="15" hidden="false" customHeight="false" outlineLevel="0" collapsed="false">
      <c r="A542" s="7" t="s">
        <v>734</v>
      </c>
      <c r="B542" s="7" t="s">
        <v>46</v>
      </c>
      <c r="C542" s="7" t="s">
        <v>158</v>
      </c>
      <c r="D542" s="7" t="s">
        <v>87</v>
      </c>
      <c r="E542" s="7" t="s">
        <v>88</v>
      </c>
      <c r="F542" s="7" t="s">
        <v>50</v>
      </c>
      <c r="G542" s="7" t="s">
        <v>19</v>
      </c>
      <c r="H542" s="9" t="n">
        <v>45939</v>
      </c>
      <c r="I542" s="9" t="n">
        <v>45953</v>
      </c>
      <c r="J542" s="7" t="n">
        <v>10</v>
      </c>
      <c r="K542" s="7" t="s">
        <v>482</v>
      </c>
      <c r="L542" s="7" t="s">
        <v>20</v>
      </c>
      <c r="M542" s="7" t="s">
        <v>735</v>
      </c>
      <c r="N542" s="7" t="s">
        <v>58</v>
      </c>
      <c r="O542" s="10" t="n">
        <f aca="false">'Exec Summary'!$E$2-H542</f>
        <v>295</v>
      </c>
      <c r="P542" s="10" t="n">
        <f aca="false">IF(I542="","",I542-H542)</f>
        <v>14</v>
      </c>
      <c r="Q542" s="10" t="n">
        <f aca="false">VLOOKUP(G542,$AA$2:$AB$5,2,FALSE())</f>
        <v>15</v>
      </c>
      <c r="R542" s="7" t="n">
        <f aca="false">IF(OR(F542="Open",F542="Reopened"),1,0)</f>
        <v>0</v>
      </c>
      <c r="S542" s="7" t="n">
        <f aca="false">IF(AND(H542&gt;='Exec Summary'!$E$1,H542&lt;='Exec Summary'!$E$2),1,0)</f>
        <v>0</v>
      </c>
      <c r="T542" s="7" t="n">
        <f aca="false">IF(AND(F542="Closed",I542&lt;&gt;"",I542&gt;='Exec Summary'!$E$1,I542&lt;='Exec Summary'!$E$2),1,0)</f>
        <v>0</v>
      </c>
      <c r="U542" s="7" t="n">
        <f aca="false">IF(F542="Reopened",1,0)</f>
        <v>0</v>
      </c>
      <c r="V542" s="7" t="n">
        <f aca="false">IF(AND(R542=1,O542&gt;Q542),1,0)</f>
        <v>0</v>
      </c>
      <c r="W542" s="7" t="n">
        <f aca="false">IF(AND(T542=1,P542&lt;&gt;"",P542&lt;=Q542),1,0)</f>
        <v>0</v>
      </c>
    </row>
    <row r="543" customFormat="false" ht="15" hidden="false" customHeight="false" outlineLevel="0" collapsed="false">
      <c r="A543" s="7" t="s">
        <v>734</v>
      </c>
      <c r="B543" s="7" t="s">
        <v>46</v>
      </c>
      <c r="C543" s="7" t="s">
        <v>158</v>
      </c>
      <c r="D543" s="7" t="s">
        <v>48</v>
      </c>
      <c r="E543" s="7" t="s">
        <v>49</v>
      </c>
      <c r="F543" s="7" t="s">
        <v>56</v>
      </c>
      <c r="G543" s="7" t="s">
        <v>20</v>
      </c>
      <c r="H543" s="9" t="n">
        <v>46099</v>
      </c>
      <c r="I543" s="9"/>
      <c r="J543" s="7" t="n">
        <v>7.5</v>
      </c>
      <c r="K543" s="7" t="s">
        <v>482</v>
      </c>
      <c r="L543" s="7" t="s">
        <v>20</v>
      </c>
      <c r="M543" s="7" t="s">
        <v>736</v>
      </c>
      <c r="N543" s="7" t="s">
        <v>53</v>
      </c>
      <c r="O543" s="10" t="n">
        <f aca="false">'Exec Summary'!$E$2-H543</f>
        <v>135</v>
      </c>
      <c r="P543" s="10" t="str">
        <f aca="false">IF(I543="","",I543-H543)</f>
        <v/>
      </c>
      <c r="Q543" s="10" t="n">
        <f aca="false">VLOOKUP(G543,$AA$2:$AB$5,2,FALSE())</f>
        <v>30</v>
      </c>
      <c r="R543" s="7" t="n">
        <f aca="false">IF(OR(F543="Open",F543="Reopened"),1,0)</f>
        <v>1</v>
      </c>
      <c r="S543" s="7" t="n">
        <f aca="false">IF(AND(H543&gt;='Exec Summary'!$E$1,H543&lt;='Exec Summary'!$E$2),1,0)</f>
        <v>0</v>
      </c>
      <c r="T543" s="7" t="n">
        <f aca="false">IF(AND(F543="Closed",I543&lt;&gt;"",I543&gt;='Exec Summary'!$E$1,I543&lt;='Exec Summary'!$E$2),1,0)</f>
        <v>0</v>
      </c>
      <c r="U543" s="7" t="n">
        <f aca="false">IF(F543="Reopened",1,0)</f>
        <v>0</v>
      </c>
      <c r="V543" s="7" t="n">
        <f aca="false">IF(AND(R543=1,O543&gt;Q543),1,0)</f>
        <v>1</v>
      </c>
      <c r="W543" s="7" t="n">
        <f aca="false">IF(AND(T543=1,P543&lt;&gt;"",P543&lt;=Q543),1,0)</f>
        <v>0</v>
      </c>
    </row>
    <row r="544" customFormat="false" ht="15" hidden="false" customHeight="false" outlineLevel="0" collapsed="false">
      <c r="A544" s="7" t="s">
        <v>734</v>
      </c>
      <c r="B544" s="7" t="s">
        <v>46</v>
      </c>
      <c r="C544" s="7" t="s">
        <v>158</v>
      </c>
      <c r="D544" s="7" t="s">
        <v>98</v>
      </c>
      <c r="E544" s="7" t="s">
        <v>99</v>
      </c>
      <c r="F544" s="7" t="s">
        <v>50</v>
      </c>
      <c r="G544" s="7" t="s">
        <v>19</v>
      </c>
      <c r="H544" s="9" t="n">
        <v>45941</v>
      </c>
      <c r="I544" s="9" t="n">
        <v>45949</v>
      </c>
      <c r="J544" s="7" t="n">
        <v>10</v>
      </c>
      <c r="K544" s="7" t="s">
        <v>482</v>
      </c>
      <c r="L544" s="7" t="s">
        <v>20</v>
      </c>
      <c r="M544" s="7" t="s">
        <v>737</v>
      </c>
      <c r="N544" s="7" t="s">
        <v>58</v>
      </c>
      <c r="O544" s="10" t="n">
        <f aca="false">'Exec Summary'!$E$2-H544</f>
        <v>293</v>
      </c>
      <c r="P544" s="10" t="n">
        <f aca="false">IF(I544="","",I544-H544)</f>
        <v>8</v>
      </c>
      <c r="Q544" s="10" t="n">
        <f aca="false">VLOOKUP(G544,$AA$2:$AB$5,2,FALSE())</f>
        <v>15</v>
      </c>
      <c r="R544" s="7" t="n">
        <f aca="false">IF(OR(F544="Open",F544="Reopened"),1,0)</f>
        <v>0</v>
      </c>
      <c r="S544" s="7" t="n">
        <f aca="false">IF(AND(H544&gt;='Exec Summary'!$E$1,H544&lt;='Exec Summary'!$E$2),1,0)</f>
        <v>0</v>
      </c>
      <c r="T544" s="7" t="n">
        <f aca="false">IF(AND(F544="Closed",I544&lt;&gt;"",I544&gt;='Exec Summary'!$E$1,I544&lt;='Exec Summary'!$E$2),1,0)</f>
        <v>0</v>
      </c>
      <c r="U544" s="7" t="n">
        <f aca="false">IF(F544="Reopened",1,0)</f>
        <v>0</v>
      </c>
      <c r="V544" s="7" t="n">
        <f aca="false">IF(AND(R544=1,O544&gt;Q544),1,0)</f>
        <v>0</v>
      </c>
      <c r="W544" s="7" t="n">
        <f aca="false">IF(AND(T544=1,P544&lt;&gt;"",P544&lt;=Q544),1,0)</f>
        <v>0</v>
      </c>
    </row>
    <row r="545" customFormat="false" ht="15" hidden="false" customHeight="false" outlineLevel="0" collapsed="false">
      <c r="A545" s="7" t="s">
        <v>734</v>
      </c>
      <c r="B545" s="7" t="s">
        <v>46</v>
      </c>
      <c r="C545" s="7" t="s">
        <v>158</v>
      </c>
      <c r="D545" s="7" t="s">
        <v>166</v>
      </c>
      <c r="E545" s="7" t="s">
        <v>167</v>
      </c>
      <c r="F545" s="7" t="s">
        <v>56</v>
      </c>
      <c r="G545" s="7" t="s">
        <v>19</v>
      </c>
      <c r="H545" s="9" t="n">
        <v>46189</v>
      </c>
      <c r="I545" s="9"/>
      <c r="J545" s="7" t="n">
        <v>9.8</v>
      </c>
      <c r="K545" s="7" t="s">
        <v>482</v>
      </c>
      <c r="L545" s="7" t="s">
        <v>20</v>
      </c>
      <c r="M545" s="7" t="s">
        <v>738</v>
      </c>
      <c r="N545" s="7" t="s">
        <v>58</v>
      </c>
      <c r="O545" s="10" t="n">
        <f aca="false">'Exec Summary'!$E$2-H545</f>
        <v>45</v>
      </c>
      <c r="P545" s="10" t="str">
        <f aca="false">IF(I545="","",I545-H545)</f>
        <v/>
      </c>
      <c r="Q545" s="10" t="n">
        <f aca="false">VLOOKUP(G545,$AA$2:$AB$5,2,FALSE())</f>
        <v>15</v>
      </c>
      <c r="R545" s="7" t="n">
        <f aca="false">IF(OR(F545="Open",F545="Reopened"),1,0)</f>
        <v>1</v>
      </c>
      <c r="S545" s="7" t="n">
        <f aca="false">IF(AND(H545&gt;='Exec Summary'!$E$1,H545&lt;='Exec Summary'!$E$2),1,0)</f>
        <v>0</v>
      </c>
      <c r="T545" s="7" t="n">
        <f aca="false">IF(AND(F545="Closed",I545&lt;&gt;"",I545&gt;='Exec Summary'!$E$1,I545&lt;='Exec Summary'!$E$2),1,0)</f>
        <v>0</v>
      </c>
      <c r="U545" s="7" t="n">
        <f aca="false">IF(F545="Reopened",1,0)</f>
        <v>0</v>
      </c>
      <c r="V545" s="7" t="n">
        <f aca="false">IF(AND(R545=1,O545&gt;Q545),1,0)</f>
        <v>1</v>
      </c>
      <c r="W545" s="7" t="n">
        <f aca="false">IF(AND(T545=1,P545&lt;&gt;"",P545&lt;=Q545),1,0)</f>
        <v>0</v>
      </c>
    </row>
    <row r="546" customFormat="false" ht="15" hidden="false" customHeight="false" outlineLevel="0" collapsed="false">
      <c r="A546" s="7" t="s">
        <v>734</v>
      </c>
      <c r="B546" s="7" t="s">
        <v>46</v>
      </c>
      <c r="C546" s="7" t="s">
        <v>158</v>
      </c>
      <c r="D546" s="7" t="s">
        <v>62</v>
      </c>
      <c r="E546" s="7" t="s">
        <v>63</v>
      </c>
      <c r="F546" s="7" t="s">
        <v>50</v>
      </c>
      <c r="G546" s="7" t="s">
        <v>20</v>
      </c>
      <c r="H546" s="9" t="n">
        <v>46142</v>
      </c>
      <c r="I546" s="9" t="n">
        <v>46157</v>
      </c>
      <c r="J546" s="7" t="n">
        <v>8.1</v>
      </c>
      <c r="K546" s="7" t="s">
        <v>482</v>
      </c>
      <c r="L546" s="7" t="s">
        <v>20</v>
      </c>
      <c r="M546" s="7" t="s">
        <v>739</v>
      </c>
      <c r="N546" s="7" t="s">
        <v>53</v>
      </c>
      <c r="O546" s="10" t="n">
        <f aca="false">'Exec Summary'!$E$2-H546</f>
        <v>92</v>
      </c>
      <c r="P546" s="10" t="n">
        <f aca="false">IF(I546="","",I546-H546)</f>
        <v>15</v>
      </c>
      <c r="Q546" s="10" t="n">
        <f aca="false">VLOOKUP(G546,$AA$2:$AB$5,2,FALSE())</f>
        <v>30</v>
      </c>
      <c r="R546" s="7" t="n">
        <f aca="false">IF(OR(F546="Open",F546="Reopened"),1,0)</f>
        <v>0</v>
      </c>
      <c r="S546" s="7" t="n">
        <f aca="false">IF(AND(H546&gt;='Exec Summary'!$E$1,H546&lt;='Exec Summary'!$E$2),1,0)</f>
        <v>0</v>
      </c>
      <c r="T546" s="7" t="n">
        <f aca="false">IF(AND(F546="Closed",I546&lt;&gt;"",I546&gt;='Exec Summary'!$E$1,I546&lt;='Exec Summary'!$E$2),1,0)</f>
        <v>0</v>
      </c>
      <c r="U546" s="7" t="n">
        <f aca="false">IF(F546="Reopened",1,0)</f>
        <v>0</v>
      </c>
      <c r="V546" s="7" t="n">
        <f aca="false">IF(AND(R546=1,O546&gt;Q546),1,0)</f>
        <v>0</v>
      </c>
      <c r="W546" s="7" t="n">
        <f aca="false">IF(AND(T546=1,P546&lt;&gt;"",P546&lt;=Q546),1,0)</f>
        <v>0</v>
      </c>
    </row>
    <row r="547" customFormat="false" ht="15" hidden="false" customHeight="false" outlineLevel="0" collapsed="false">
      <c r="A547" s="7" t="s">
        <v>734</v>
      </c>
      <c r="B547" s="7" t="s">
        <v>46</v>
      </c>
      <c r="C547" s="7" t="s">
        <v>158</v>
      </c>
      <c r="D547" s="7" t="s">
        <v>139</v>
      </c>
      <c r="E547" s="7" t="s">
        <v>140</v>
      </c>
      <c r="F547" s="7" t="s">
        <v>56</v>
      </c>
      <c r="G547" s="7" t="s">
        <v>19</v>
      </c>
      <c r="H547" s="9" t="n">
        <v>46164</v>
      </c>
      <c r="I547" s="9"/>
      <c r="J547" s="7" t="n">
        <v>9.8</v>
      </c>
      <c r="K547" s="7" t="s">
        <v>482</v>
      </c>
      <c r="L547" s="7" t="s">
        <v>20</v>
      </c>
      <c r="M547" s="7" t="s">
        <v>740</v>
      </c>
      <c r="N547" s="7" t="s">
        <v>58</v>
      </c>
      <c r="O547" s="10" t="n">
        <f aca="false">'Exec Summary'!$E$2-H547</f>
        <v>70</v>
      </c>
      <c r="P547" s="10" t="str">
        <f aca="false">IF(I547="","",I547-H547)</f>
        <v/>
      </c>
      <c r="Q547" s="10" t="n">
        <f aca="false">VLOOKUP(G547,$AA$2:$AB$5,2,FALSE())</f>
        <v>15</v>
      </c>
      <c r="R547" s="7" t="n">
        <f aca="false">IF(OR(F547="Open",F547="Reopened"),1,0)</f>
        <v>1</v>
      </c>
      <c r="S547" s="7" t="n">
        <f aca="false">IF(AND(H547&gt;='Exec Summary'!$E$1,H547&lt;='Exec Summary'!$E$2),1,0)</f>
        <v>0</v>
      </c>
      <c r="T547" s="7" t="n">
        <f aca="false">IF(AND(F547="Closed",I547&lt;&gt;"",I547&gt;='Exec Summary'!$E$1,I547&lt;='Exec Summary'!$E$2),1,0)</f>
        <v>0</v>
      </c>
      <c r="U547" s="7" t="n">
        <f aca="false">IF(F547="Reopened",1,0)</f>
        <v>0</v>
      </c>
      <c r="V547" s="7" t="n">
        <f aca="false">IF(AND(R547=1,O547&gt;Q547),1,0)</f>
        <v>1</v>
      </c>
      <c r="W547" s="7" t="n">
        <f aca="false">IF(AND(T547=1,P547&lt;&gt;"",P547&lt;=Q547),1,0)</f>
        <v>0</v>
      </c>
    </row>
    <row r="548" customFormat="false" ht="15" hidden="false" customHeight="false" outlineLevel="0" collapsed="false">
      <c r="A548" s="7" t="s">
        <v>734</v>
      </c>
      <c r="B548" s="7" t="s">
        <v>46</v>
      </c>
      <c r="C548" s="7" t="s">
        <v>158</v>
      </c>
      <c r="D548" s="7" t="s">
        <v>152</v>
      </c>
      <c r="E548" s="7" t="s">
        <v>153</v>
      </c>
      <c r="F548" s="7" t="s">
        <v>50</v>
      </c>
      <c r="G548" s="7" t="s">
        <v>20</v>
      </c>
      <c r="H548" s="9" t="n">
        <v>45952</v>
      </c>
      <c r="I548" s="9" t="n">
        <v>45953</v>
      </c>
      <c r="J548" s="7" t="n">
        <v>7.5</v>
      </c>
      <c r="K548" s="7" t="s">
        <v>482</v>
      </c>
      <c r="L548" s="7" t="s">
        <v>20</v>
      </c>
      <c r="M548" s="7" t="s">
        <v>741</v>
      </c>
      <c r="N548" s="7" t="s">
        <v>53</v>
      </c>
      <c r="O548" s="10" t="n">
        <f aca="false">'Exec Summary'!$E$2-H548</f>
        <v>282</v>
      </c>
      <c r="P548" s="10" t="n">
        <f aca="false">IF(I548="","",I548-H548)</f>
        <v>1</v>
      </c>
      <c r="Q548" s="10" t="n">
        <f aca="false">VLOOKUP(G548,$AA$2:$AB$5,2,FALSE())</f>
        <v>30</v>
      </c>
      <c r="R548" s="7" t="n">
        <f aca="false">IF(OR(F548="Open",F548="Reopened"),1,0)</f>
        <v>0</v>
      </c>
      <c r="S548" s="7" t="n">
        <f aca="false">IF(AND(H548&gt;='Exec Summary'!$E$1,H548&lt;='Exec Summary'!$E$2),1,0)</f>
        <v>0</v>
      </c>
      <c r="T548" s="7" t="n">
        <f aca="false">IF(AND(F548="Closed",I548&lt;&gt;"",I548&gt;='Exec Summary'!$E$1,I548&lt;='Exec Summary'!$E$2),1,0)</f>
        <v>0</v>
      </c>
      <c r="U548" s="7" t="n">
        <f aca="false">IF(F548="Reopened",1,0)</f>
        <v>0</v>
      </c>
      <c r="V548" s="7" t="n">
        <f aca="false">IF(AND(R548=1,O548&gt;Q548),1,0)</f>
        <v>0</v>
      </c>
      <c r="W548" s="7" t="n">
        <f aca="false">IF(AND(T548=1,P548&lt;&gt;"",P548&lt;=Q548),1,0)</f>
        <v>0</v>
      </c>
    </row>
    <row r="549" customFormat="false" ht="15" hidden="false" customHeight="false" outlineLevel="0" collapsed="false">
      <c r="A549" s="7" t="s">
        <v>734</v>
      </c>
      <c r="B549" s="7" t="s">
        <v>46</v>
      </c>
      <c r="C549" s="7" t="s">
        <v>158</v>
      </c>
      <c r="D549" s="7" t="s">
        <v>91</v>
      </c>
      <c r="E549" s="7" t="s">
        <v>92</v>
      </c>
      <c r="F549" s="7" t="s">
        <v>56</v>
      </c>
      <c r="G549" s="7" t="s">
        <v>20</v>
      </c>
      <c r="H549" s="9" t="n">
        <v>46213</v>
      </c>
      <c r="I549" s="9"/>
      <c r="J549" s="7" t="n">
        <v>8.1</v>
      </c>
      <c r="K549" s="7" t="s">
        <v>482</v>
      </c>
      <c r="L549" s="7" t="s">
        <v>20</v>
      </c>
      <c r="M549" s="7" t="s">
        <v>742</v>
      </c>
      <c r="N549" s="7" t="s">
        <v>53</v>
      </c>
      <c r="O549" s="10" t="n">
        <f aca="false">'Exec Summary'!$E$2-H549</f>
        <v>21</v>
      </c>
      <c r="P549" s="10" t="str">
        <f aca="false">IF(I549="","",I549-H549)</f>
        <v/>
      </c>
      <c r="Q549" s="10" t="n">
        <f aca="false">VLOOKUP(G549,$AA$2:$AB$5,2,FALSE())</f>
        <v>30</v>
      </c>
      <c r="R549" s="7" t="n">
        <f aca="false">IF(OR(F549="Open",F549="Reopened"),1,0)</f>
        <v>1</v>
      </c>
      <c r="S549" s="7" t="n">
        <f aca="false">IF(AND(H549&gt;='Exec Summary'!$E$1,H549&lt;='Exec Summary'!$E$2),1,0)</f>
        <v>1</v>
      </c>
      <c r="T549" s="7" t="n">
        <f aca="false">IF(AND(F549="Closed",I549&lt;&gt;"",I549&gt;='Exec Summary'!$E$1,I549&lt;='Exec Summary'!$E$2),1,0)</f>
        <v>0</v>
      </c>
      <c r="U549" s="7" t="n">
        <f aca="false">IF(F549="Reopened",1,0)</f>
        <v>0</v>
      </c>
      <c r="V549" s="7" t="n">
        <f aca="false">IF(AND(R549=1,O549&gt;Q549),1,0)</f>
        <v>0</v>
      </c>
      <c r="W549" s="7" t="n">
        <f aca="false">IF(AND(T549=1,P549&lt;&gt;"",P549&lt;=Q549),1,0)</f>
        <v>0</v>
      </c>
    </row>
    <row r="550" customFormat="false" ht="15" hidden="false" customHeight="false" outlineLevel="0" collapsed="false">
      <c r="A550" s="7" t="s">
        <v>734</v>
      </c>
      <c r="B550" s="7" t="s">
        <v>46</v>
      </c>
      <c r="C550" s="7" t="s">
        <v>158</v>
      </c>
      <c r="D550" s="7" t="s">
        <v>210</v>
      </c>
      <c r="E550" s="7" t="s">
        <v>211</v>
      </c>
      <c r="F550" s="7" t="s">
        <v>50</v>
      </c>
      <c r="G550" s="7" t="s">
        <v>19</v>
      </c>
      <c r="H550" s="9" t="n">
        <v>46044</v>
      </c>
      <c r="I550" s="9" t="n">
        <v>46072</v>
      </c>
      <c r="J550" s="7" t="n">
        <v>9.8</v>
      </c>
      <c r="K550" s="7" t="s">
        <v>482</v>
      </c>
      <c r="L550" s="7" t="s">
        <v>20</v>
      </c>
      <c r="M550" s="7" t="s">
        <v>743</v>
      </c>
      <c r="N550" s="7" t="s">
        <v>58</v>
      </c>
      <c r="O550" s="10" t="n">
        <f aca="false">'Exec Summary'!$E$2-H550</f>
        <v>190</v>
      </c>
      <c r="P550" s="10" t="n">
        <f aca="false">IF(I550="","",I550-H550)</f>
        <v>28</v>
      </c>
      <c r="Q550" s="10" t="n">
        <f aca="false">VLOOKUP(G550,$AA$2:$AB$5,2,FALSE())</f>
        <v>15</v>
      </c>
      <c r="R550" s="7" t="n">
        <f aca="false">IF(OR(F550="Open",F550="Reopened"),1,0)</f>
        <v>0</v>
      </c>
      <c r="S550" s="7" t="n">
        <f aca="false">IF(AND(H550&gt;='Exec Summary'!$E$1,H550&lt;='Exec Summary'!$E$2),1,0)</f>
        <v>0</v>
      </c>
      <c r="T550" s="7" t="n">
        <f aca="false">IF(AND(F550="Closed",I550&lt;&gt;"",I550&gt;='Exec Summary'!$E$1,I550&lt;='Exec Summary'!$E$2),1,0)</f>
        <v>0</v>
      </c>
      <c r="U550" s="7" t="n">
        <f aca="false">IF(F550="Reopened",1,0)</f>
        <v>0</v>
      </c>
      <c r="V550" s="7" t="n">
        <f aca="false">IF(AND(R550=1,O550&gt;Q550),1,0)</f>
        <v>0</v>
      </c>
      <c r="W550" s="7" t="n">
        <f aca="false">IF(AND(T550=1,P550&lt;&gt;"",P550&lt;=Q550),1,0)</f>
        <v>0</v>
      </c>
    </row>
    <row r="551" customFormat="false" ht="15" hidden="false" customHeight="false" outlineLevel="0" collapsed="false">
      <c r="A551" s="7" t="s">
        <v>734</v>
      </c>
      <c r="B551" s="7" t="s">
        <v>46</v>
      </c>
      <c r="C551" s="7" t="s">
        <v>158</v>
      </c>
      <c r="D551" s="7" t="s">
        <v>120</v>
      </c>
      <c r="E551" s="7" t="s">
        <v>121</v>
      </c>
      <c r="F551" s="7" t="s">
        <v>56</v>
      </c>
      <c r="G551" s="7" t="s">
        <v>19</v>
      </c>
      <c r="H551" s="9" t="n">
        <v>46123</v>
      </c>
      <c r="I551" s="9"/>
      <c r="J551" s="7" t="n">
        <v>8.8</v>
      </c>
      <c r="K551" s="7" t="s">
        <v>482</v>
      </c>
      <c r="L551" s="7" t="s">
        <v>20</v>
      </c>
      <c r="M551" s="7" t="s">
        <v>744</v>
      </c>
      <c r="N551" s="7" t="s">
        <v>58</v>
      </c>
      <c r="O551" s="10" t="n">
        <f aca="false">'Exec Summary'!$E$2-H551</f>
        <v>111</v>
      </c>
      <c r="P551" s="10" t="str">
        <f aca="false">IF(I551="","",I551-H551)</f>
        <v/>
      </c>
      <c r="Q551" s="10" t="n">
        <f aca="false">VLOOKUP(G551,$AA$2:$AB$5,2,FALSE())</f>
        <v>15</v>
      </c>
      <c r="R551" s="7" t="n">
        <f aca="false">IF(OR(F551="Open",F551="Reopened"),1,0)</f>
        <v>1</v>
      </c>
      <c r="S551" s="7" t="n">
        <f aca="false">IF(AND(H551&gt;='Exec Summary'!$E$1,H551&lt;='Exec Summary'!$E$2),1,0)</f>
        <v>0</v>
      </c>
      <c r="T551" s="7" t="n">
        <f aca="false">IF(AND(F551="Closed",I551&lt;&gt;"",I551&gt;='Exec Summary'!$E$1,I551&lt;='Exec Summary'!$E$2),1,0)</f>
        <v>0</v>
      </c>
      <c r="U551" s="7" t="n">
        <f aca="false">IF(F551="Reopened",1,0)</f>
        <v>0</v>
      </c>
      <c r="V551" s="7" t="n">
        <f aca="false">IF(AND(R551=1,O551&gt;Q551),1,0)</f>
        <v>1</v>
      </c>
      <c r="W551" s="7" t="n">
        <f aca="false">IF(AND(T551=1,P551&lt;&gt;"",P551&lt;=Q551),1,0)</f>
        <v>0</v>
      </c>
    </row>
    <row r="552" customFormat="false" ht="15" hidden="false" customHeight="false" outlineLevel="0" collapsed="false">
      <c r="A552" s="7" t="s">
        <v>734</v>
      </c>
      <c r="B552" s="7" t="s">
        <v>46</v>
      </c>
      <c r="C552" s="7" t="s">
        <v>158</v>
      </c>
      <c r="D552" s="7" t="s">
        <v>59</v>
      </c>
      <c r="E552" s="7" t="s">
        <v>60</v>
      </c>
      <c r="F552" s="7" t="s">
        <v>56</v>
      </c>
      <c r="G552" s="7" t="s">
        <v>19</v>
      </c>
      <c r="H552" s="9" t="n">
        <v>46088</v>
      </c>
      <c r="I552" s="9"/>
      <c r="J552" s="7" t="n">
        <v>7.8</v>
      </c>
      <c r="K552" s="7" t="s">
        <v>482</v>
      </c>
      <c r="L552" s="7" t="s">
        <v>20</v>
      </c>
      <c r="M552" s="7" t="s">
        <v>745</v>
      </c>
      <c r="N552" s="7" t="s">
        <v>58</v>
      </c>
      <c r="O552" s="10" t="n">
        <f aca="false">'Exec Summary'!$E$2-H552</f>
        <v>146</v>
      </c>
      <c r="P552" s="10" t="str">
        <f aca="false">IF(I552="","",I552-H552)</f>
        <v/>
      </c>
      <c r="Q552" s="10" t="n">
        <f aca="false">VLOOKUP(G552,$AA$2:$AB$5,2,FALSE())</f>
        <v>15</v>
      </c>
      <c r="R552" s="7" t="n">
        <f aca="false">IF(OR(F552="Open",F552="Reopened"),1,0)</f>
        <v>1</v>
      </c>
      <c r="S552" s="7" t="n">
        <f aca="false">IF(AND(H552&gt;='Exec Summary'!$E$1,H552&lt;='Exec Summary'!$E$2),1,0)</f>
        <v>0</v>
      </c>
      <c r="T552" s="7" t="n">
        <f aca="false">IF(AND(F552="Closed",I552&lt;&gt;"",I552&gt;='Exec Summary'!$E$1,I552&lt;='Exec Summary'!$E$2),1,0)</f>
        <v>0</v>
      </c>
      <c r="U552" s="7" t="n">
        <f aca="false">IF(F552="Reopened",1,0)</f>
        <v>0</v>
      </c>
      <c r="V552" s="7" t="n">
        <f aca="false">IF(AND(R552=1,O552&gt;Q552),1,0)</f>
        <v>1</v>
      </c>
      <c r="W552" s="7" t="n">
        <f aca="false">IF(AND(T552=1,P552&lt;&gt;"",P552&lt;=Q552),1,0)</f>
        <v>0</v>
      </c>
    </row>
    <row r="553" customFormat="false" ht="15" hidden="false" customHeight="false" outlineLevel="0" collapsed="false">
      <c r="A553" s="7" t="s">
        <v>734</v>
      </c>
      <c r="B553" s="7" t="s">
        <v>46</v>
      </c>
      <c r="C553" s="7" t="s">
        <v>158</v>
      </c>
      <c r="D553" s="7" t="s">
        <v>71</v>
      </c>
      <c r="E553" s="7" t="s">
        <v>72</v>
      </c>
      <c r="F553" s="7" t="s">
        <v>56</v>
      </c>
      <c r="G553" s="7" t="s">
        <v>19</v>
      </c>
      <c r="H553" s="9" t="n">
        <v>45997</v>
      </c>
      <c r="I553" s="9"/>
      <c r="J553" s="7" t="n">
        <v>9.8</v>
      </c>
      <c r="K553" s="7" t="s">
        <v>482</v>
      </c>
      <c r="L553" s="7" t="s">
        <v>20</v>
      </c>
      <c r="M553" s="7" t="s">
        <v>746</v>
      </c>
      <c r="N553" s="7" t="s">
        <v>58</v>
      </c>
      <c r="O553" s="10" t="n">
        <f aca="false">'Exec Summary'!$E$2-H553</f>
        <v>237</v>
      </c>
      <c r="P553" s="10" t="str">
        <f aca="false">IF(I553="","",I553-H553)</f>
        <v/>
      </c>
      <c r="Q553" s="10" t="n">
        <f aca="false">VLOOKUP(G553,$AA$2:$AB$5,2,FALSE())</f>
        <v>15</v>
      </c>
      <c r="R553" s="7" t="n">
        <f aca="false">IF(OR(F553="Open",F553="Reopened"),1,0)</f>
        <v>1</v>
      </c>
      <c r="S553" s="7" t="n">
        <f aca="false">IF(AND(H553&gt;='Exec Summary'!$E$1,H553&lt;='Exec Summary'!$E$2),1,0)</f>
        <v>0</v>
      </c>
      <c r="T553" s="7" t="n">
        <f aca="false">IF(AND(F553="Closed",I553&lt;&gt;"",I553&gt;='Exec Summary'!$E$1,I553&lt;='Exec Summary'!$E$2),1,0)</f>
        <v>0</v>
      </c>
      <c r="U553" s="7" t="n">
        <f aca="false">IF(F553="Reopened",1,0)</f>
        <v>0</v>
      </c>
      <c r="V553" s="7" t="n">
        <f aca="false">IF(AND(R553=1,O553&gt;Q553),1,0)</f>
        <v>1</v>
      </c>
      <c r="W553" s="7" t="n">
        <f aca="false">IF(AND(T553=1,P553&lt;&gt;"",P553&lt;=Q553),1,0)</f>
        <v>0</v>
      </c>
    </row>
    <row r="554" customFormat="false" ht="15" hidden="false" customHeight="false" outlineLevel="0" collapsed="false">
      <c r="A554" s="7" t="s">
        <v>734</v>
      </c>
      <c r="B554" s="7" t="s">
        <v>46</v>
      </c>
      <c r="C554" s="7" t="s">
        <v>158</v>
      </c>
      <c r="D554" s="7" t="s">
        <v>145</v>
      </c>
      <c r="E554" s="7" t="s">
        <v>146</v>
      </c>
      <c r="F554" s="7" t="s">
        <v>50</v>
      </c>
      <c r="G554" s="7" t="s">
        <v>19</v>
      </c>
      <c r="H554" s="9" t="n">
        <v>46145</v>
      </c>
      <c r="I554" s="9" t="n">
        <v>46150</v>
      </c>
      <c r="J554" s="7" t="n">
        <v>9.8</v>
      </c>
      <c r="K554" s="7" t="s">
        <v>482</v>
      </c>
      <c r="L554" s="7" t="s">
        <v>20</v>
      </c>
      <c r="M554" s="7" t="s">
        <v>747</v>
      </c>
      <c r="N554" s="7" t="s">
        <v>58</v>
      </c>
      <c r="O554" s="10" t="n">
        <f aca="false">'Exec Summary'!$E$2-H554</f>
        <v>89</v>
      </c>
      <c r="P554" s="10" t="n">
        <f aca="false">IF(I554="","",I554-H554)</f>
        <v>5</v>
      </c>
      <c r="Q554" s="10" t="n">
        <f aca="false">VLOOKUP(G554,$AA$2:$AB$5,2,FALSE())</f>
        <v>15</v>
      </c>
      <c r="R554" s="7" t="n">
        <f aca="false">IF(OR(F554="Open",F554="Reopened"),1,0)</f>
        <v>0</v>
      </c>
      <c r="S554" s="7" t="n">
        <f aca="false">IF(AND(H554&gt;='Exec Summary'!$E$1,H554&lt;='Exec Summary'!$E$2),1,0)</f>
        <v>0</v>
      </c>
      <c r="T554" s="7" t="n">
        <f aca="false">IF(AND(F554="Closed",I554&lt;&gt;"",I554&gt;='Exec Summary'!$E$1,I554&lt;='Exec Summary'!$E$2),1,0)</f>
        <v>0</v>
      </c>
      <c r="U554" s="7" t="n">
        <f aca="false">IF(F554="Reopened",1,0)</f>
        <v>0</v>
      </c>
      <c r="V554" s="7" t="n">
        <f aca="false">IF(AND(R554=1,O554&gt;Q554),1,0)</f>
        <v>0</v>
      </c>
      <c r="W554" s="7" t="n">
        <f aca="false">IF(AND(T554=1,P554&lt;&gt;"",P554&lt;=Q554),1,0)</f>
        <v>0</v>
      </c>
    </row>
    <row r="555" customFormat="false" ht="15" hidden="false" customHeight="false" outlineLevel="0" collapsed="false">
      <c r="A555" s="7" t="s">
        <v>748</v>
      </c>
      <c r="B555" s="7" t="s">
        <v>46</v>
      </c>
      <c r="C555" s="7" t="s">
        <v>47</v>
      </c>
      <c r="D555" s="7" t="s">
        <v>48</v>
      </c>
      <c r="E555" s="7" t="s">
        <v>49</v>
      </c>
      <c r="F555" s="7" t="s">
        <v>50</v>
      </c>
      <c r="G555" s="7" t="s">
        <v>20</v>
      </c>
      <c r="H555" s="9" t="n">
        <v>46129</v>
      </c>
      <c r="I555" s="9" t="n">
        <v>46140</v>
      </c>
      <c r="J555" s="7" t="n">
        <v>7.5</v>
      </c>
      <c r="K555" s="7" t="s">
        <v>482</v>
      </c>
      <c r="L555" s="7" t="s">
        <v>20</v>
      </c>
      <c r="M555" s="7" t="s">
        <v>749</v>
      </c>
      <c r="N555" s="7" t="s">
        <v>53</v>
      </c>
      <c r="O555" s="10" t="n">
        <f aca="false">'Exec Summary'!$E$2-H555</f>
        <v>105</v>
      </c>
      <c r="P555" s="10" t="n">
        <f aca="false">IF(I555="","",I555-H555)</f>
        <v>11</v>
      </c>
      <c r="Q555" s="10" t="n">
        <f aca="false">VLOOKUP(G555,$AA$2:$AB$5,2,FALSE())</f>
        <v>30</v>
      </c>
      <c r="R555" s="7" t="n">
        <f aca="false">IF(OR(F555="Open",F555="Reopened"),1,0)</f>
        <v>0</v>
      </c>
      <c r="S555" s="7" t="n">
        <f aca="false">IF(AND(H555&gt;='Exec Summary'!$E$1,H555&lt;='Exec Summary'!$E$2),1,0)</f>
        <v>0</v>
      </c>
      <c r="T555" s="7" t="n">
        <f aca="false">IF(AND(F555="Closed",I555&lt;&gt;"",I555&gt;='Exec Summary'!$E$1,I555&lt;='Exec Summary'!$E$2),1,0)</f>
        <v>0</v>
      </c>
      <c r="U555" s="7" t="n">
        <f aca="false">IF(F555="Reopened",1,0)</f>
        <v>0</v>
      </c>
      <c r="V555" s="7" t="n">
        <f aca="false">IF(AND(R555=1,O555&gt;Q555),1,0)</f>
        <v>0</v>
      </c>
      <c r="W555" s="7" t="n">
        <f aca="false">IF(AND(T555=1,P555&lt;&gt;"",P555&lt;=Q555),1,0)</f>
        <v>0</v>
      </c>
    </row>
    <row r="556" customFormat="false" ht="15" hidden="false" customHeight="false" outlineLevel="0" collapsed="false">
      <c r="A556" s="7" t="s">
        <v>748</v>
      </c>
      <c r="B556" s="7" t="s">
        <v>46</v>
      </c>
      <c r="C556" s="7" t="s">
        <v>47</v>
      </c>
      <c r="D556" s="7" t="s">
        <v>91</v>
      </c>
      <c r="E556" s="7" t="s">
        <v>92</v>
      </c>
      <c r="F556" s="7" t="s">
        <v>56</v>
      </c>
      <c r="G556" s="7" t="s">
        <v>20</v>
      </c>
      <c r="H556" s="9" t="n">
        <v>45978</v>
      </c>
      <c r="I556" s="9"/>
      <c r="J556" s="7" t="n">
        <v>8.1</v>
      </c>
      <c r="K556" s="7" t="s">
        <v>482</v>
      </c>
      <c r="L556" s="7" t="s">
        <v>20</v>
      </c>
      <c r="M556" s="7" t="s">
        <v>750</v>
      </c>
      <c r="N556" s="7" t="s">
        <v>53</v>
      </c>
      <c r="O556" s="10" t="n">
        <f aca="false">'Exec Summary'!$E$2-H556</f>
        <v>256</v>
      </c>
      <c r="P556" s="10" t="str">
        <f aca="false">IF(I556="","",I556-H556)</f>
        <v/>
      </c>
      <c r="Q556" s="10" t="n">
        <f aca="false">VLOOKUP(G556,$AA$2:$AB$5,2,FALSE())</f>
        <v>30</v>
      </c>
      <c r="R556" s="7" t="n">
        <f aca="false">IF(OR(F556="Open",F556="Reopened"),1,0)</f>
        <v>1</v>
      </c>
      <c r="S556" s="7" t="n">
        <f aca="false">IF(AND(H556&gt;='Exec Summary'!$E$1,H556&lt;='Exec Summary'!$E$2),1,0)</f>
        <v>0</v>
      </c>
      <c r="T556" s="7" t="n">
        <f aca="false">IF(AND(F556="Closed",I556&lt;&gt;"",I556&gt;='Exec Summary'!$E$1,I556&lt;='Exec Summary'!$E$2),1,0)</f>
        <v>0</v>
      </c>
      <c r="U556" s="7" t="n">
        <f aca="false">IF(F556="Reopened",1,0)</f>
        <v>0</v>
      </c>
      <c r="V556" s="7" t="n">
        <f aca="false">IF(AND(R556=1,O556&gt;Q556),1,0)</f>
        <v>1</v>
      </c>
      <c r="W556" s="7" t="n">
        <f aca="false">IF(AND(T556=1,P556&lt;&gt;"",P556&lt;=Q556),1,0)</f>
        <v>0</v>
      </c>
    </row>
    <row r="557" customFormat="false" ht="15" hidden="false" customHeight="false" outlineLevel="0" collapsed="false">
      <c r="A557" s="7" t="s">
        <v>748</v>
      </c>
      <c r="B557" s="7" t="s">
        <v>46</v>
      </c>
      <c r="C557" s="7" t="s">
        <v>47</v>
      </c>
      <c r="D557" s="7" t="s">
        <v>65</v>
      </c>
      <c r="E557" s="7" t="s">
        <v>66</v>
      </c>
      <c r="F557" s="7" t="s">
        <v>56</v>
      </c>
      <c r="G557" s="7" t="s">
        <v>19</v>
      </c>
      <c r="H557" s="9" t="n">
        <v>45979</v>
      </c>
      <c r="I557" s="9"/>
      <c r="J557" s="7" t="n">
        <v>9.8</v>
      </c>
      <c r="K557" s="7" t="s">
        <v>482</v>
      </c>
      <c r="L557" s="7" t="s">
        <v>20</v>
      </c>
      <c r="M557" s="7" t="s">
        <v>751</v>
      </c>
      <c r="N557" s="7" t="s">
        <v>58</v>
      </c>
      <c r="O557" s="10" t="n">
        <f aca="false">'Exec Summary'!$E$2-H557</f>
        <v>255</v>
      </c>
      <c r="P557" s="10" t="str">
        <f aca="false">IF(I557="","",I557-H557)</f>
        <v/>
      </c>
      <c r="Q557" s="10" t="n">
        <f aca="false">VLOOKUP(G557,$AA$2:$AB$5,2,FALSE())</f>
        <v>15</v>
      </c>
      <c r="R557" s="7" t="n">
        <f aca="false">IF(OR(F557="Open",F557="Reopened"),1,0)</f>
        <v>1</v>
      </c>
      <c r="S557" s="7" t="n">
        <f aca="false">IF(AND(H557&gt;='Exec Summary'!$E$1,H557&lt;='Exec Summary'!$E$2),1,0)</f>
        <v>0</v>
      </c>
      <c r="T557" s="7" t="n">
        <f aca="false">IF(AND(F557="Closed",I557&lt;&gt;"",I557&gt;='Exec Summary'!$E$1,I557&lt;='Exec Summary'!$E$2),1,0)</f>
        <v>0</v>
      </c>
      <c r="U557" s="7" t="n">
        <f aca="false">IF(F557="Reopened",1,0)</f>
        <v>0</v>
      </c>
      <c r="V557" s="7" t="n">
        <f aca="false">IF(AND(R557=1,O557&gt;Q557),1,0)</f>
        <v>1</v>
      </c>
      <c r="W557" s="7" t="n">
        <f aca="false">IF(AND(T557=1,P557&lt;&gt;"",P557&lt;=Q557),1,0)</f>
        <v>0</v>
      </c>
    </row>
    <row r="558" customFormat="false" ht="15" hidden="false" customHeight="false" outlineLevel="0" collapsed="false">
      <c r="A558" s="7" t="s">
        <v>748</v>
      </c>
      <c r="B558" s="7" t="s">
        <v>46</v>
      </c>
      <c r="C558" s="7" t="s">
        <v>47</v>
      </c>
      <c r="D558" s="7" t="s">
        <v>74</v>
      </c>
      <c r="E558" s="7" t="s">
        <v>75</v>
      </c>
      <c r="F558" s="7" t="s">
        <v>50</v>
      </c>
      <c r="G558" s="7" t="s">
        <v>21</v>
      </c>
      <c r="H558" s="9" t="n">
        <v>45987</v>
      </c>
      <c r="I558" s="9" t="n">
        <v>46002</v>
      </c>
      <c r="J558" s="7" t="n">
        <v>6.5</v>
      </c>
      <c r="K558" s="7" t="s">
        <v>482</v>
      </c>
      <c r="L558" s="7" t="s">
        <v>20</v>
      </c>
      <c r="M558" s="7" t="s">
        <v>752</v>
      </c>
      <c r="N558" s="7" t="s">
        <v>77</v>
      </c>
      <c r="O558" s="10" t="n">
        <f aca="false">'Exec Summary'!$E$2-H558</f>
        <v>247</v>
      </c>
      <c r="P558" s="10" t="n">
        <f aca="false">IF(I558="","",I558-H558)</f>
        <v>15</v>
      </c>
      <c r="Q558" s="10" t="n">
        <f aca="false">VLOOKUP(G558,$AA$2:$AB$5,2,FALSE())</f>
        <v>90</v>
      </c>
      <c r="R558" s="7" t="n">
        <f aca="false">IF(OR(F558="Open",F558="Reopened"),1,0)</f>
        <v>0</v>
      </c>
      <c r="S558" s="7" t="n">
        <f aca="false">IF(AND(H558&gt;='Exec Summary'!$E$1,H558&lt;='Exec Summary'!$E$2),1,0)</f>
        <v>0</v>
      </c>
      <c r="T558" s="7" t="n">
        <f aca="false">IF(AND(F558="Closed",I558&lt;&gt;"",I558&gt;='Exec Summary'!$E$1,I558&lt;='Exec Summary'!$E$2),1,0)</f>
        <v>0</v>
      </c>
      <c r="U558" s="7" t="n">
        <f aca="false">IF(F558="Reopened",1,0)</f>
        <v>0</v>
      </c>
      <c r="V558" s="7" t="n">
        <f aca="false">IF(AND(R558=1,O558&gt;Q558),1,0)</f>
        <v>0</v>
      </c>
      <c r="W558" s="7" t="n">
        <f aca="false">IF(AND(T558=1,P558&lt;&gt;"",P558&lt;=Q558),1,0)</f>
        <v>0</v>
      </c>
    </row>
    <row r="559" customFormat="false" ht="15" hidden="false" customHeight="false" outlineLevel="0" collapsed="false">
      <c r="A559" s="7" t="s">
        <v>748</v>
      </c>
      <c r="B559" s="7" t="s">
        <v>46</v>
      </c>
      <c r="C559" s="7" t="s">
        <v>47</v>
      </c>
      <c r="D559" s="7" t="s">
        <v>210</v>
      </c>
      <c r="E559" s="7" t="s">
        <v>211</v>
      </c>
      <c r="F559" s="7" t="s">
        <v>50</v>
      </c>
      <c r="G559" s="7" t="s">
        <v>19</v>
      </c>
      <c r="H559" s="9" t="n">
        <v>46161</v>
      </c>
      <c r="I559" s="9" t="n">
        <v>46175</v>
      </c>
      <c r="J559" s="7" t="n">
        <v>9.8</v>
      </c>
      <c r="K559" s="7" t="s">
        <v>482</v>
      </c>
      <c r="L559" s="7" t="s">
        <v>20</v>
      </c>
      <c r="M559" s="7" t="s">
        <v>753</v>
      </c>
      <c r="N559" s="7" t="s">
        <v>58</v>
      </c>
      <c r="O559" s="10" t="n">
        <f aca="false">'Exec Summary'!$E$2-H559</f>
        <v>73</v>
      </c>
      <c r="P559" s="10" t="n">
        <f aca="false">IF(I559="","",I559-H559)</f>
        <v>14</v>
      </c>
      <c r="Q559" s="10" t="n">
        <f aca="false">VLOOKUP(G559,$AA$2:$AB$5,2,FALSE())</f>
        <v>15</v>
      </c>
      <c r="R559" s="7" t="n">
        <f aca="false">IF(OR(F559="Open",F559="Reopened"),1,0)</f>
        <v>0</v>
      </c>
      <c r="S559" s="7" t="n">
        <f aca="false">IF(AND(H559&gt;='Exec Summary'!$E$1,H559&lt;='Exec Summary'!$E$2),1,0)</f>
        <v>0</v>
      </c>
      <c r="T559" s="7" t="n">
        <f aca="false">IF(AND(F559="Closed",I559&lt;&gt;"",I559&gt;='Exec Summary'!$E$1,I559&lt;='Exec Summary'!$E$2),1,0)</f>
        <v>0</v>
      </c>
      <c r="U559" s="7" t="n">
        <f aca="false">IF(F559="Reopened",1,0)</f>
        <v>0</v>
      </c>
      <c r="V559" s="7" t="n">
        <f aca="false">IF(AND(R559=1,O559&gt;Q559),1,0)</f>
        <v>0</v>
      </c>
      <c r="W559" s="7" t="n">
        <f aca="false">IF(AND(T559=1,P559&lt;&gt;"",P559&lt;=Q559),1,0)</f>
        <v>0</v>
      </c>
    </row>
    <row r="560" customFormat="false" ht="15" hidden="false" customHeight="false" outlineLevel="0" collapsed="false">
      <c r="A560" s="7" t="s">
        <v>748</v>
      </c>
      <c r="B560" s="7" t="s">
        <v>46</v>
      </c>
      <c r="C560" s="7" t="s">
        <v>47</v>
      </c>
      <c r="D560" s="7" t="s">
        <v>62</v>
      </c>
      <c r="E560" s="7" t="s">
        <v>63</v>
      </c>
      <c r="F560" s="7" t="s">
        <v>56</v>
      </c>
      <c r="G560" s="7" t="s">
        <v>20</v>
      </c>
      <c r="H560" s="9" t="n">
        <v>46048</v>
      </c>
      <c r="I560" s="9"/>
      <c r="J560" s="7" t="n">
        <v>8.1</v>
      </c>
      <c r="K560" s="7" t="s">
        <v>482</v>
      </c>
      <c r="L560" s="7" t="s">
        <v>20</v>
      </c>
      <c r="M560" s="7" t="s">
        <v>754</v>
      </c>
      <c r="N560" s="7" t="s">
        <v>53</v>
      </c>
      <c r="O560" s="10" t="n">
        <f aca="false">'Exec Summary'!$E$2-H560</f>
        <v>186</v>
      </c>
      <c r="P560" s="10" t="str">
        <f aca="false">IF(I560="","",I560-H560)</f>
        <v/>
      </c>
      <c r="Q560" s="10" t="n">
        <f aca="false">VLOOKUP(G560,$AA$2:$AB$5,2,FALSE())</f>
        <v>30</v>
      </c>
      <c r="R560" s="7" t="n">
        <f aca="false">IF(OR(F560="Open",F560="Reopened"),1,0)</f>
        <v>1</v>
      </c>
      <c r="S560" s="7" t="n">
        <f aca="false">IF(AND(H560&gt;='Exec Summary'!$E$1,H560&lt;='Exec Summary'!$E$2),1,0)</f>
        <v>0</v>
      </c>
      <c r="T560" s="7" t="n">
        <f aca="false">IF(AND(F560="Closed",I560&lt;&gt;"",I560&gt;='Exec Summary'!$E$1,I560&lt;='Exec Summary'!$E$2),1,0)</f>
        <v>0</v>
      </c>
      <c r="U560" s="7" t="n">
        <f aca="false">IF(F560="Reopened",1,0)</f>
        <v>0</v>
      </c>
      <c r="V560" s="7" t="n">
        <f aca="false">IF(AND(R560=1,O560&gt;Q560),1,0)</f>
        <v>1</v>
      </c>
      <c r="W560" s="7" t="n">
        <f aca="false">IF(AND(T560=1,P560&lt;&gt;"",P560&lt;=Q560),1,0)</f>
        <v>0</v>
      </c>
    </row>
    <row r="561" customFormat="false" ht="15" hidden="false" customHeight="false" outlineLevel="0" collapsed="false">
      <c r="A561" s="7" t="s">
        <v>755</v>
      </c>
      <c r="B561" s="7" t="s">
        <v>46</v>
      </c>
      <c r="C561" s="7" t="s">
        <v>177</v>
      </c>
      <c r="D561" s="7" t="s">
        <v>104</v>
      </c>
      <c r="E561" s="7" t="s">
        <v>105</v>
      </c>
      <c r="F561" s="7" t="s">
        <v>50</v>
      </c>
      <c r="G561" s="7" t="s">
        <v>19</v>
      </c>
      <c r="H561" s="9" t="n">
        <v>46057</v>
      </c>
      <c r="I561" s="9" t="n">
        <v>46058</v>
      </c>
      <c r="J561" s="7" t="n">
        <v>9.8</v>
      </c>
      <c r="K561" s="7" t="s">
        <v>482</v>
      </c>
      <c r="L561" s="7" t="s">
        <v>21</v>
      </c>
      <c r="M561" s="7" t="s">
        <v>756</v>
      </c>
      <c r="N561" s="7" t="s">
        <v>58</v>
      </c>
      <c r="O561" s="10" t="n">
        <f aca="false">'Exec Summary'!$E$2-H561</f>
        <v>177</v>
      </c>
      <c r="P561" s="10" t="n">
        <f aca="false">IF(I561="","",I561-H561)</f>
        <v>1</v>
      </c>
      <c r="Q561" s="10" t="n">
        <f aca="false">VLOOKUP(G561,$AA$2:$AB$5,2,FALSE())</f>
        <v>15</v>
      </c>
      <c r="R561" s="7" t="n">
        <f aca="false">IF(OR(F561="Open",F561="Reopened"),1,0)</f>
        <v>0</v>
      </c>
      <c r="S561" s="7" t="n">
        <f aca="false">IF(AND(H561&gt;='Exec Summary'!$E$1,H561&lt;='Exec Summary'!$E$2),1,0)</f>
        <v>0</v>
      </c>
      <c r="T561" s="7" t="n">
        <f aca="false">IF(AND(F561="Closed",I561&lt;&gt;"",I561&gt;='Exec Summary'!$E$1,I561&lt;='Exec Summary'!$E$2),1,0)</f>
        <v>0</v>
      </c>
      <c r="U561" s="7" t="n">
        <f aca="false">IF(F561="Reopened",1,0)</f>
        <v>0</v>
      </c>
      <c r="V561" s="7" t="n">
        <f aca="false">IF(AND(R561=1,O561&gt;Q561),1,0)</f>
        <v>0</v>
      </c>
      <c r="W561" s="7" t="n">
        <f aca="false">IF(AND(T561=1,P561&lt;&gt;"",P561&lt;=Q561),1,0)</f>
        <v>0</v>
      </c>
    </row>
    <row r="562" customFormat="false" ht="15" hidden="false" customHeight="false" outlineLevel="0" collapsed="false">
      <c r="A562" s="7" t="s">
        <v>755</v>
      </c>
      <c r="B562" s="7" t="s">
        <v>46</v>
      </c>
      <c r="C562" s="7" t="s">
        <v>177</v>
      </c>
      <c r="D562" s="7" t="s">
        <v>173</v>
      </c>
      <c r="E562" s="7" t="s">
        <v>174</v>
      </c>
      <c r="F562" s="7" t="s">
        <v>50</v>
      </c>
      <c r="G562" s="7" t="s">
        <v>19</v>
      </c>
      <c r="H562" s="9" t="n">
        <v>45941</v>
      </c>
      <c r="I562" s="9" t="n">
        <v>45955</v>
      </c>
      <c r="J562" s="7" t="n">
        <v>9.8</v>
      </c>
      <c r="K562" s="7" t="s">
        <v>482</v>
      </c>
      <c r="L562" s="7" t="s">
        <v>21</v>
      </c>
      <c r="M562" s="7" t="s">
        <v>757</v>
      </c>
      <c r="N562" s="7" t="s">
        <v>58</v>
      </c>
      <c r="O562" s="10" t="n">
        <f aca="false">'Exec Summary'!$E$2-H562</f>
        <v>293</v>
      </c>
      <c r="P562" s="10" t="n">
        <f aca="false">IF(I562="","",I562-H562)</f>
        <v>14</v>
      </c>
      <c r="Q562" s="10" t="n">
        <f aca="false">VLOOKUP(G562,$AA$2:$AB$5,2,FALSE())</f>
        <v>15</v>
      </c>
      <c r="R562" s="7" t="n">
        <f aca="false">IF(OR(F562="Open",F562="Reopened"),1,0)</f>
        <v>0</v>
      </c>
      <c r="S562" s="7" t="n">
        <f aca="false">IF(AND(H562&gt;='Exec Summary'!$E$1,H562&lt;='Exec Summary'!$E$2),1,0)</f>
        <v>0</v>
      </c>
      <c r="T562" s="7" t="n">
        <f aca="false">IF(AND(F562="Closed",I562&lt;&gt;"",I562&gt;='Exec Summary'!$E$1,I562&lt;='Exec Summary'!$E$2),1,0)</f>
        <v>0</v>
      </c>
      <c r="U562" s="7" t="n">
        <f aca="false">IF(F562="Reopened",1,0)</f>
        <v>0</v>
      </c>
      <c r="V562" s="7" t="n">
        <f aca="false">IF(AND(R562=1,O562&gt;Q562),1,0)</f>
        <v>0</v>
      </c>
      <c r="W562" s="7" t="n">
        <f aca="false">IF(AND(T562=1,P562&lt;&gt;"",P562&lt;=Q562),1,0)</f>
        <v>0</v>
      </c>
    </row>
    <row r="563" customFormat="false" ht="15" hidden="false" customHeight="false" outlineLevel="0" collapsed="false">
      <c r="A563" s="7" t="s">
        <v>755</v>
      </c>
      <c r="B563" s="7" t="s">
        <v>46</v>
      </c>
      <c r="C563" s="7" t="s">
        <v>177</v>
      </c>
      <c r="D563" s="7" t="s">
        <v>120</v>
      </c>
      <c r="E563" s="7" t="s">
        <v>121</v>
      </c>
      <c r="F563" s="7" t="s">
        <v>50</v>
      </c>
      <c r="G563" s="7" t="s">
        <v>19</v>
      </c>
      <c r="H563" s="9" t="n">
        <v>46105</v>
      </c>
      <c r="I563" s="9" t="n">
        <v>46106</v>
      </c>
      <c r="J563" s="7" t="n">
        <v>8.8</v>
      </c>
      <c r="K563" s="7" t="s">
        <v>482</v>
      </c>
      <c r="L563" s="7" t="s">
        <v>21</v>
      </c>
      <c r="M563" s="7" t="s">
        <v>758</v>
      </c>
      <c r="N563" s="7" t="s">
        <v>58</v>
      </c>
      <c r="O563" s="10" t="n">
        <f aca="false">'Exec Summary'!$E$2-H563</f>
        <v>129</v>
      </c>
      <c r="P563" s="10" t="n">
        <f aca="false">IF(I563="","",I563-H563)</f>
        <v>1</v>
      </c>
      <c r="Q563" s="10" t="n">
        <f aca="false">VLOOKUP(G563,$AA$2:$AB$5,2,FALSE())</f>
        <v>15</v>
      </c>
      <c r="R563" s="7" t="n">
        <f aca="false">IF(OR(F563="Open",F563="Reopened"),1,0)</f>
        <v>0</v>
      </c>
      <c r="S563" s="7" t="n">
        <f aca="false">IF(AND(H563&gt;='Exec Summary'!$E$1,H563&lt;='Exec Summary'!$E$2),1,0)</f>
        <v>0</v>
      </c>
      <c r="T563" s="7" t="n">
        <f aca="false">IF(AND(F563="Closed",I563&lt;&gt;"",I563&gt;='Exec Summary'!$E$1,I563&lt;='Exec Summary'!$E$2),1,0)</f>
        <v>0</v>
      </c>
      <c r="U563" s="7" t="n">
        <f aca="false">IF(F563="Reopened",1,0)</f>
        <v>0</v>
      </c>
      <c r="V563" s="7" t="n">
        <f aca="false">IF(AND(R563=1,O563&gt;Q563),1,0)</f>
        <v>0</v>
      </c>
      <c r="W563" s="7" t="n">
        <f aca="false">IF(AND(T563=1,P563&lt;&gt;"",P563&lt;=Q563),1,0)</f>
        <v>0</v>
      </c>
    </row>
    <row r="564" customFormat="false" ht="15" hidden="false" customHeight="false" outlineLevel="0" collapsed="false">
      <c r="A564" s="7" t="s">
        <v>755</v>
      </c>
      <c r="B564" s="7" t="s">
        <v>46</v>
      </c>
      <c r="C564" s="7" t="s">
        <v>177</v>
      </c>
      <c r="D564" s="7" t="s">
        <v>206</v>
      </c>
      <c r="E564" s="7" t="s">
        <v>207</v>
      </c>
      <c r="F564" s="7" t="s">
        <v>50</v>
      </c>
      <c r="G564" s="7" t="s">
        <v>20</v>
      </c>
      <c r="H564" s="9" t="n">
        <v>46057</v>
      </c>
      <c r="I564" s="9" t="n">
        <v>46065</v>
      </c>
      <c r="J564" s="7" t="n">
        <v>8.8</v>
      </c>
      <c r="K564" s="7" t="s">
        <v>482</v>
      </c>
      <c r="L564" s="7" t="s">
        <v>21</v>
      </c>
      <c r="M564" s="7" t="s">
        <v>759</v>
      </c>
      <c r="N564" s="7" t="s">
        <v>53</v>
      </c>
      <c r="O564" s="10" t="n">
        <f aca="false">'Exec Summary'!$E$2-H564</f>
        <v>177</v>
      </c>
      <c r="P564" s="10" t="n">
        <f aca="false">IF(I564="","",I564-H564)</f>
        <v>8</v>
      </c>
      <c r="Q564" s="10" t="n">
        <f aca="false">VLOOKUP(G564,$AA$2:$AB$5,2,FALSE())</f>
        <v>30</v>
      </c>
      <c r="R564" s="7" t="n">
        <f aca="false">IF(OR(F564="Open",F564="Reopened"),1,0)</f>
        <v>0</v>
      </c>
      <c r="S564" s="7" t="n">
        <f aca="false">IF(AND(H564&gt;='Exec Summary'!$E$1,H564&lt;='Exec Summary'!$E$2),1,0)</f>
        <v>0</v>
      </c>
      <c r="T564" s="7" t="n">
        <f aca="false">IF(AND(F564="Closed",I564&lt;&gt;"",I564&gt;='Exec Summary'!$E$1,I564&lt;='Exec Summary'!$E$2),1,0)</f>
        <v>0</v>
      </c>
      <c r="U564" s="7" t="n">
        <f aca="false">IF(F564="Reopened",1,0)</f>
        <v>0</v>
      </c>
      <c r="V564" s="7" t="n">
        <f aca="false">IF(AND(R564=1,O564&gt;Q564),1,0)</f>
        <v>0</v>
      </c>
      <c r="W564" s="7" t="n">
        <f aca="false">IF(AND(T564=1,P564&lt;&gt;"",P564&lt;=Q564),1,0)</f>
        <v>0</v>
      </c>
    </row>
    <row r="565" customFormat="false" ht="15" hidden="false" customHeight="false" outlineLevel="0" collapsed="false">
      <c r="A565" s="7" t="s">
        <v>755</v>
      </c>
      <c r="B565" s="7" t="s">
        <v>46</v>
      </c>
      <c r="C565" s="7" t="s">
        <v>177</v>
      </c>
      <c r="D565" s="7" t="s">
        <v>145</v>
      </c>
      <c r="E565" s="7" t="s">
        <v>146</v>
      </c>
      <c r="F565" s="7" t="s">
        <v>50</v>
      </c>
      <c r="G565" s="7" t="s">
        <v>19</v>
      </c>
      <c r="H565" s="9" t="n">
        <v>46153</v>
      </c>
      <c r="I565" s="9" t="n">
        <v>46170</v>
      </c>
      <c r="J565" s="7" t="n">
        <v>9.8</v>
      </c>
      <c r="K565" s="7" t="s">
        <v>482</v>
      </c>
      <c r="L565" s="7" t="s">
        <v>21</v>
      </c>
      <c r="M565" s="7" t="s">
        <v>760</v>
      </c>
      <c r="N565" s="7" t="s">
        <v>58</v>
      </c>
      <c r="O565" s="10" t="n">
        <f aca="false">'Exec Summary'!$E$2-H565</f>
        <v>81</v>
      </c>
      <c r="P565" s="10" t="n">
        <f aca="false">IF(I565="","",I565-H565)</f>
        <v>17</v>
      </c>
      <c r="Q565" s="10" t="n">
        <f aca="false">VLOOKUP(G565,$AA$2:$AB$5,2,FALSE())</f>
        <v>15</v>
      </c>
      <c r="R565" s="7" t="n">
        <f aca="false">IF(OR(F565="Open",F565="Reopened"),1,0)</f>
        <v>0</v>
      </c>
      <c r="S565" s="7" t="n">
        <f aca="false">IF(AND(H565&gt;='Exec Summary'!$E$1,H565&lt;='Exec Summary'!$E$2),1,0)</f>
        <v>0</v>
      </c>
      <c r="T565" s="7" t="n">
        <f aca="false">IF(AND(F565="Closed",I565&lt;&gt;"",I565&gt;='Exec Summary'!$E$1,I565&lt;='Exec Summary'!$E$2),1,0)</f>
        <v>0</v>
      </c>
      <c r="U565" s="7" t="n">
        <f aca="false">IF(F565="Reopened",1,0)</f>
        <v>0</v>
      </c>
      <c r="V565" s="7" t="n">
        <f aca="false">IF(AND(R565=1,O565&gt;Q565),1,0)</f>
        <v>0</v>
      </c>
      <c r="W565" s="7" t="n">
        <f aca="false">IF(AND(T565=1,P565&lt;&gt;"",P565&lt;=Q565),1,0)</f>
        <v>0</v>
      </c>
    </row>
    <row r="566" customFormat="false" ht="15" hidden="false" customHeight="false" outlineLevel="0" collapsed="false">
      <c r="A566" s="7" t="s">
        <v>755</v>
      </c>
      <c r="B566" s="7" t="s">
        <v>46</v>
      </c>
      <c r="C566" s="7" t="s">
        <v>177</v>
      </c>
      <c r="D566" s="7" t="s">
        <v>101</v>
      </c>
      <c r="E566" s="7" t="s">
        <v>102</v>
      </c>
      <c r="F566" s="7" t="s">
        <v>56</v>
      </c>
      <c r="G566" s="7" t="s">
        <v>19</v>
      </c>
      <c r="H566" s="9" t="n">
        <v>46140</v>
      </c>
      <c r="I566" s="9"/>
      <c r="J566" s="7" t="n">
        <v>10</v>
      </c>
      <c r="K566" s="7" t="s">
        <v>482</v>
      </c>
      <c r="L566" s="7" t="s">
        <v>21</v>
      </c>
      <c r="M566" s="7" t="s">
        <v>761</v>
      </c>
      <c r="N566" s="7" t="s">
        <v>58</v>
      </c>
      <c r="O566" s="10" t="n">
        <f aca="false">'Exec Summary'!$E$2-H566</f>
        <v>94</v>
      </c>
      <c r="P566" s="10" t="str">
        <f aca="false">IF(I566="","",I566-H566)</f>
        <v/>
      </c>
      <c r="Q566" s="10" t="n">
        <f aca="false">VLOOKUP(G566,$AA$2:$AB$5,2,FALSE())</f>
        <v>15</v>
      </c>
      <c r="R566" s="7" t="n">
        <f aca="false">IF(OR(F566="Open",F566="Reopened"),1,0)</f>
        <v>1</v>
      </c>
      <c r="S566" s="7" t="n">
        <f aca="false">IF(AND(H566&gt;='Exec Summary'!$E$1,H566&lt;='Exec Summary'!$E$2),1,0)</f>
        <v>0</v>
      </c>
      <c r="T566" s="7" t="n">
        <f aca="false">IF(AND(F566="Closed",I566&lt;&gt;"",I566&gt;='Exec Summary'!$E$1,I566&lt;='Exec Summary'!$E$2),1,0)</f>
        <v>0</v>
      </c>
      <c r="U566" s="7" t="n">
        <f aca="false">IF(F566="Reopened",1,0)</f>
        <v>0</v>
      </c>
      <c r="V566" s="7" t="n">
        <f aca="false">IF(AND(R566=1,O566&gt;Q566),1,0)</f>
        <v>1</v>
      </c>
      <c r="W566" s="7" t="n">
        <f aca="false">IF(AND(T566=1,P566&lt;&gt;"",P566&lt;=Q566),1,0)</f>
        <v>0</v>
      </c>
    </row>
    <row r="567" customFormat="false" ht="15" hidden="false" customHeight="false" outlineLevel="0" collapsed="false">
      <c r="A567" s="7" t="s">
        <v>755</v>
      </c>
      <c r="B567" s="7" t="s">
        <v>46</v>
      </c>
      <c r="C567" s="7" t="s">
        <v>177</v>
      </c>
      <c r="D567" s="7" t="s">
        <v>166</v>
      </c>
      <c r="E567" s="7" t="s">
        <v>167</v>
      </c>
      <c r="F567" s="7" t="s">
        <v>50</v>
      </c>
      <c r="G567" s="7" t="s">
        <v>19</v>
      </c>
      <c r="H567" s="9" t="n">
        <v>46015</v>
      </c>
      <c r="I567" s="9" t="n">
        <v>46036</v>
      </c>
      <c r="J567" s="7" t="n">
        <v>9.8</v>
      </c>
      <c r="K567" s="7" t="s">
        <v>482</v>
      </c>
      <c r="L567" s="7" t="s">
        <v>21</v>
      </c>
      <c r="M567" s="7" t="s">
        <v>762</v>
      </c>
      <c r="N567" s="7" t="s">
        <v>58</v>
      </c>
      <c r="O567" s="10" t="n">
        <f aca="false">'Exec Summary'!$E$2-H567</f>
        <v>219</v>
      </c>
      <c r="P567" s="10" t="n">
        <f aca="false">IF(I567="","",I567-H567)</f>
        <v>21</v>
      </c>
      <c r="Q567" s="10" t="n">
        <f aca="false">VLOOKUP(G567,$AA$2:$AB$5,2,FALSE())</f>
        <v>15</v>
      </c>
      <c r="R567" s="7" t="n">
        <f aca="false">IF(OR(F567="Open",F567="Reopened"),1,0)</f>
        <v>0</v>
      </c>
      <c r="S567" s="7" t="n">
        <f aca="false">IF(AND(H567&gt;='Exec Summary'!$E$1,H567&lt;='Exec Summary'!$E$2),1,0)</f>
        <v>0</v>
      </c>
      <c r="T567" s="7" t="n">
        <f aca="false">IF(AND(F567="Closed",I567&lt;&gt;"",I567&gt;='Exec Summary'!$E$1,I567&lt;='Exec Summary'!$E$2),1,0)</f>
        <v>0</v>
      </c>
      <c r="U567" s="7" t="n">
        <f aca="false">IF(F567="Reopened",1,0)</f>
        <v>0</v>
      </c>
      <c r="V567" s="7" t="n">
        <f aca="false">IF(AND(R567=1,O567&gt;Q567),1,0)</f>
        <v>0</v>
      </c>
      <c r="W567" s="7" t="n">
        <f aca="false">IF(AND(T567=1,P567&lt;&gt;"",P567&lt;=Q567),1,0)</f>
        <v>0</v>
      </c>
    </row>
    <row r="568" customFormat="false" ht="15" hidden="false" customHeight="false" outlineLevel="0" collapsed="false">
      <c r="A568" s="7" t="s">
        <v>755</v>
      </c>
      <c r="B568" s="7" t="s">
        <v>46</v>
      </c>
      <c r="C568" s="7" t="s">
        <v>177</v>
      </c>
      <c r="D568" s="7" t="s">
        <v>54</v>
      </c>
      <c r="E568" s="7" t="s">
        <v>55</v>
      </c>
      <c r="F568" s="7" t="s">
        <v>56</v>
      </c>
      <c r="G568" s="7" t="s">
        <v>19</v>
      </c>
      <c r="H568" s="9" t="n">
        <v>46067</v>
      </c>
      <c r="I568" s="9"/>
      <c r="J568" s="7" t="n">
        <v>9.8</v>
      </c>
      <c r="K568" s="7" t="s">
        <v>482</v>
      </c>
      <c r="L568" s="7" t="s">
        <v>21</v>
      </c>
      <c r="M568" s="7" t="s">
        <v>763</v>
      </c>
      <c r="N568" s="7" t="s">
        <v>58</v>
      </c>
      <c r="O568" s="10" t="n">
        <f aca="false">'Exec Summary'!$E$2-H568</f>
        <v>167</v>
      </c>
      <c r="P568" s="10" t="str">
        <f aca="false">IF(I568="","",I568-H568)</f>
        <v/>
      </c>
      <c r="Q568" s="10" t="n">
        <f aca="false">VLOOKUP(G568,$AA$2:$AB$5,2,FALSE())</f>
        <v>15</v>
      </c>
      <c r="R568" s="7" t="n">
        <f aca="false">IF(OR(F568="Open",F568="Reopened"),1,0)</f>
        <v>1</v>
      </c>
      <c r="S568" s="7" t="n">
        <f aca="false">IF(AND(H568&gt;='Exec Summary'!$E$1,H568&lt;='Exec Summary'!$E$2),1,0)</f>
        <v>0</v>
      </c>
      <c r="T568" s="7" t="n">
        <f aca="false">IF(AND(F568="Closed",I568&lt;&gt;"",I568&gt;='Exec Summary'!$E$1,I568&lt;='Exec Summary'!$E$2),1,0)</f>
        <v>0</v>
      </c>
      <c r="U568" s="7" t="n">
        <f aca="false">IF(F568="Reopened",1,0)</f>
        <v>0</v>
      </c>
      <c r="V568" s="7" t="n">
        <f aca="false">IF(AND(R568=1,O568&gt;Q568),1,0)</f>
        <v>1</v>
      </c>
      <c r="W568" s="7" t="n">
        <f aca="false">IF(AND(T568=1,P568&lt;&gt;"",P568&lt;=Q568),1,0)</f>
        <v>0</v>
      </c>
    </row>
    <row r="569" customFormat="false" ht="15" hidden="false" customHeight="false" outlineLevel="0" collapsed="false">
      <c r="A569" s="7" t="s">
        <v>755</v>
      </c>
      <c r="B569" s="7" t="s">
        <v>46</v>
      </c>
      <c r="C569" s="7" t="s">
        <v>177</v>
      </c>
      <c r="D569" s="7" t="s">
        <v>108</v>
      </c>
      <c r="E569" s="7" t="s">
        <v>109</v>
      </c>
      <c r="F569" s="7" t="s">
        <v>123</v>
      </c>
      <c r="G569" s="7" t="s">
        <v>20</v>
      </c>
      <c r="H569" s="9" t="n">
        <v>46099</v>
      </c>
      <c r="I569" s="9" t="n">
        <v>46135</v>
      </c>
      <c r="J569" s="7" t="n">
        <v>8.6</v>
      </c>
      <c r="K569" s="7" t="s">
        <v>482</v>
      </c>
      <c r="L569" s="7" t="s">
        <v>21</v>
      </c>
      <c r="M569" s="7" t="s">
        <v>764</v>
      </c>
      <c r="N569" s="7" t="s">
        <v>53</v>
      </c>
      <c r="O569" s="10" t="n">
        <f aca="false">'Exec Summary'!$E$2-H569</f>
        <v>135</v>
      </c>
      <c r="P569" s="10" t="n">
        <f aca="false">IF(I569="","",I569-H569)</f>
        <v>36</v>
      </c>
      <c r="Q569" s="10" t="n">
        <f aca="false">VLOOKUP(G569,$AA$2:$AB$5,2,FALSE())</f>
        <v>30</v>
      </c>
      <c r="R569" s="7" t="n">
        <f aca="false">IF(OR(F569="Open",F569="Reopened"),1,0)</f>
        <v>1</v>
      </c>
      <c r="S569" s="7" t="n">
        <f aca="false">IF(AND(H569&gt;='Exec Summary'!$E$1,H569&lt;='Exec Summary'!$E$2),1,0)</f>
        <v>0</v>
      </c>
      <c r="T569" s="7" t="n">
        <f aca="false">IF(AND(F569="Closed",I569&lt;&gt;"",I569&gt;='Exec Summary'!$E$1,I569&lt;='Exec Summary'!$E$2),1,0)</f>
        <v>0</v>
      </c>
      <c r="U569" s="7" t="n">
        <f aca="false">IF(F569="Reopened",1,0)</f>
        <v>1</v>
      </c>
      <c r="V569" s="7" t="n">
        <f aca="false">IF(AND(R569=1,O569&gt;Q569),1,0)</f>
        <v>1</v>
      </c>
      <c r="W569" s="7" t="n">
        <f aca="false">IF(AND(T569=1,P569&lt;&gt;"",P569&lt;=Q569),1,0)</f>
        <v>0</v>
      </c>
    </row>
    <row r="570" customFormat="false" ht="15" hidden="false" customHeight="false" outlineLevel="0" collapsed="false">
      <c r="A570" s="7" t="s">
        <v>755</v>
      </c>
      <c r="B570" s="7" t="s">
        <v>46</v>
      </c>
      <c r="C570" s="7" t="s">
        <v>177</v>
      </c>
      <c r="D570" s="7" t="s">
        <v>87</v>
      </c>
      <c r="E570" s="7" t="s">
        <v>88</v>
      </c>
      <c r="F570" s="7" t="s">
        <v>56</v>
      </c>
      <c r="G570" s="7" t="s">
        <v>19</v>
      </c>
      <c r="H570" s="9" t="n">
        <v>45939</v>
      </c>
      <c r="I570" s="9"/>
      <c r="J570" s="7" t="n">
        <v>10</v>
      </c>
      <c r="K570" s="7" t="s">
        <v>482</v>
      </c>
      <c r="L570" s="7" t="s">
        <v>21</v>
      </c>
      <c r="M570" s="7" t="s">
        <v>765</v>
      </c>
      <c r="N570" s="7" t="s">
        <v>58</v>
      </c>
      <c r="O570" s="10" t="n">
        <f aca="false">'Exec Summary'!$E$2-H570</f>
        <v>295</v>
      </c>
      <c r="P570" s="10" t="str">
        <f aca="false">IF(I570="","",I570-H570)</f>
        <v/>
      </c>
      <c r="Q570" s="10" t="n">
        <f aca="false">VLOOKUP(G570,$AA$2:$AB$5,2,FALSE())</f>
        <v>15</v>
      </c>
      <c r="R570" s="7" t="n">
        <f aca="false">IF(OR(F570="Open",F570="Reopened"),1,0)</f>
        <v>1</v>
      </c>
      <c r="S570" s="7" t="n">
        <f aca="false">IF(AND(H570&gt;='Exec Summary'!$E$1,H570&lt;='Exec Summary'!$E$2),1,0)</f>
        <v>0</v>
      </c>
      <c r="T570" s="7" t="n">
        <f aca="false">IF(AND(F570="Closed",I570&lt;&gt;"",I570&gt;='Exec Summary'!$E$1,I570&lt;='Exec Summary'!$E$2),1,0)</f>
        <v>0</v>
      </c>
      <c r="U570" s="7" t="n">
        <f aca="false">IF(F570="Reopened",1,0)</f>
        <v>0</v>
      </c>
      <c r="V570" s="7" t="n">
        <f aca="false">IF(AND(R570=1,O570&gt;Q570),1,0)</f>
        <v>1</v>
      </c>
      <c r="W570" s="7" t="n">
        <f aca="false">IF(AND(T570=1,P570&lt;&gt;"",P570&lt;=Q570),1,0)</f>
        <v>0</v>
      </c>
    </row>
    <row r="571" customFormat="false" ht="15" hidden="false" customHeight="false" outlineLevel="0" collapsed="false">
      <c r="A571" s="7" t="s">
        <v>755</v>
      </c>
      <c r="B571" s="7" t="s">
        <v>46</v>
      </c>
      <c r="C571" s="7" t="s">
        <v>177</v>
      </c>
      <c r="D571" s="7" t="s">
        <v>95</v>
      </c>
      <c r="E571" s="7" t="s">
        <v>96</v>
      </c>
      <c r="F571" s="7" t="s">
        <v>56</v>
      </c>
      <c r="G571" s="7" t="s">
        <v>20</v>
      </c>
      <c r="H571" s="9" t="n">
        <v>45948</v>
      </c>
      <c r="I571" s="9"/>
      <c r="J571" s="7" t="n">
        <v>8.8</v>
      </c>
      <c r="K571" s="7" t="s">
        <v>482</v>
      </c>
      <c r="L571" s="7" t="s">
        <v>21</v>
      </c>
      <c r="M571" s="7" t="s">
        <v>766</v>
      </c>
      <c r="N571" s="7" t="s">
        <v>53</v>
      </c>
      <c r="O571" s="10" t="n">
        <f aca="false">'Exec Summary'!$E$2-H571</f>
        <v>286</v>
      </c>
      <c r="P571" s="10" t="str">
        <f aca="false">IF(I571="","",I571-H571)</f>
        <v/>
      </c>
      <c r="Q571" s="10" t="n">
        <f aca="false">VLOOKUP(G571,$AA$2:$AB$5,2,FALSE())</f>
        <v>30</v>
      </c>
      <c r="R571" s="7" t="n">
        <f aca="false">IF(OR(F571="Open",F571="Reopened"),1,0)</f>
        <v>1</v>
      </c>
      <c r="S571" s="7" t="n">
        <f aca="false">IF(AND(H571&gt;='Exec Summary'!$E$1,H571&lt;='Exec Summary'!$E$2),1,0)</f>
        <v>0</v>
      </c>
      <c r="T571" s="7" t="n">
        <f aca="false">IF(AND(F571="Closed",I571&lt;&gt;"",I571&gt;='Exec Summary'!$E$1,I571&lt;='Exec Summary'!$E$2),1,0)</f>
        <v>0</v>
      </c>
      <c r="U571" s="7" t="n">
        <f aca="false">IF(F571="Reopened",1,0)</f>
        <v>0</v>
      </c>
      <c r="V571" s="7" t="n">
        <f aca="false">IF(AND(R571=1,O571&gt;Q571),1,0)</f>
        <v>1</v>
      </c>
      <c r="W571" s="7" t="n">
        <f aca="false">IF(AND(T571=1,P571&lt;&gt;"",P571&lt;=Q571),1,0)</f>
        <v>0</v>
      </c>
    </row>
    <row r="572" customFormat="false" ht="15" hidden="false" customHeight="false" outlineLevel="0" collapsed="false">
      <c r="A572" s="7" t="s">
        <v>755</v>
      </c>
      <c r="B572" s="7" t="s">
        <v>46</v>
      </c>
      <c r="C572" s="7" t="s">
        <v>177</v>
      </c>
      <c r="D572" s="7" t="s">
        <v>65</v>
      </c>
      <c r="E572" s="7" t="s">
        <v>66</v>
      </c>
      <c r="F572" s="7" t="s">
        <v>50</v>
      </c>
      <c r="G572" s="7" t="s">
        <v>19</v>
      </c>
      <c r="H572" s="9" t="n">
        <v>46129</v>
      </c>
      <c r="I572" s="9" t="n">
        <v>46138</v>
      </c>
      <c r="J572" s="7" t="n">
        <v>9.8</v>
      </c>
      <c r="K572" s="7" t="s">
        <v>482</v>
      </c>
      <c r="L572" s="7" t="s">
        <v>21</v>
      </c>
      <c r="M572" s="7" t="s">
        <v>767</v>
      </c>
      <c r="N572" s="7" t="s">
        <v>58</v>
      </c>
      <c r="O572" s="10" t="n">
        <f aca="false">'Exec Summary'!$E$2-H572</f>
        <v>105</v>
      </c>
      <c r="P572" s="10" t="n">
        <f aca="false">IF(I572="","",I572-H572)</f>
        <v>9</v>
      </c>
      <c r="Q572" s="10" t="n">
        <f aca="false">VLOOKUP(G572,$AA$2:$AB$5,2,FALSE())</f>
        <v>15</v>
      </c>
      <c r="R572" s="7" t="n">
        <f aca="false">IF(OR(F572="Open",F572="Reopened"),1,0)</f>
        <v>0</v>
      </c>
      <c r="S572" s="7" t="n">
        <f aca="false">IF(AND(H572&gt;='Exec Summary'!$E$1,H572&lt;='Exec Summary'!$E$2),1,0)</f>
        <v>0</v>
      </c>
      <c r="T572" s="7" t="n">
        <f aca="false">IF(AND(F572="Closed",I572&lt;&gt;"",I572&gt;='Exec Summary'!$E$1,I572&lt;='Exec Summary'!$E$2),1,0)</f>
        <v>0</v>
      </c>
      <c r="U572" s="7" t="n">
        <f aca="false">IF(F572="Reopened",1,0)</f>
        <v>0</v>
      </c>
      <c r="V572" s="7" t="n">
        <f aca="false">IF(AND(R572=1,O572&gt;Q572),1,0)</f>
        <v>0</v>
      </c>
      <c r="W572" s="7" t="n">
        <f aca="false">IF(AND(T572=1,P572&lt;&gt;"",P572&lt;=Q572),1,0)</f>
        <v>0</v>
      </c>
    </row>
    <row r="573" customFormat="false" ht="15" hidden="false" customHeight="false" outlineLevel="0" collapsed="false">
      <c r="A573" s="7" t="s">
        <v>755</v>
      </c>
      <c r="B573" s="7" t="s">
        <v>46</v>
      </c>
      <c r="C573" s="7" t="s">
        <v>177</v>
      </c>
      <c r="D573" s="7" t="s">
        <v>74</v>
      </c>
      <c r="E573" s="7" t="s">
        <v>75</v>
      </c>
      <c r="F573" s="7" t="s">
        <v>50</v>
      </c>
      <c r="G573" s="7" t="s">
        <v>21</v>
      </c>
      <c r="H573" s="9" t="n">
        <v>46029</v>
      </c>
      <c r="I573" s="9" t="n">
        <v>46030</v>
      </c>
      <c r="J573" s="7" t="n">
        <v>6.5</v>
      </c>
      <c r="K573" s="7" t="s">
        <v>482</v>
      </c>
      <c r="L573" s="7" t="s">
        <v>21</v>
      </c>
      <c r="M573" s="7" t="s">
        <v>768</v>
      </c>
      <c r="N573" s="7" t="s">
        <v>77</v>
      </c>
      <c r="O573" s="10" t="n">
        <f aca="false">'Exec Summary'!$E$2-H573</f>
        <v>205</v>
      </c>
      <c r="P573" s="10" t="n">
        <f aca="false">IF(I573="","",I573-H573)</f>
        <v>1</v>
      </c>
      <c r="Q573" s="10" t="n">
        <f aca="false">VLOOKUP(G573,$AA$2:$AB$5,2,FALSE())</f>
        <v>90</v>
      </c>
      <c r="R573" s="7" t="n">
        <f aca="false">IF(OR(F573="Open",F573="Reopened"),1,0)</f>
        <v>0</v>
      </c>
      <c r="S573" s="7" t="n">
        <f aca="false">IF(AND(H573&gt;='Exec Summary'!$E$1,H573&lt;='Exec Summary'!$E$2),1,0)</f>
        <v>0</v>
      </c>
      <c r="T573" s="7" t="n">
        <f aca="false">IF(AND(F573="Closed",I573&lt;&gt;"",I573&gt;='Exec Summary'!$E$1,I573&lt;='Exec Summary'!$E$2),1,0)</f>
        <v>0</v>
      </c>
      <c r="U573" s="7" t="n">
        <f aca="false">IF(F573="Reopened",1,0)</f>
        <v>0</v>
      </c>
      <c r="V573" s="7" t="n">
        <f aca="false">IF(AND(R573=1,O573&gt;Q573),1,0)</f>
        <v>0</v>
      </c>
      <c r="W573" s="7" t="n">
        <f aca="false">IF(AND(T573=1,P573&lt;&gt;"",P573&lt;=Q573),1,0)</f>
        <v>0</v>
      </c>
    </row>
    <row r="574" customFormat="false" ht="15" hidden="false" customHeight="false" outlineLevel="0" collapsed="false">
      <c r="A574" s="7" t="s">
        <v>755</v>
      </c>
      <c r="B574" s="7" t="s">
        <v>46</v>
      </c>
      <c r="C574" s="7" t="s">
        <v>177</v>
      </c>
      <c r="D574" s="7" t="s">
        <v>62</v>
      </c>
      <c r="E574" s="7" t="s">
        <v>63</v>
      </c>
      <c r="F574" s="7" t="s">
        <v>50</v>
      </c>
      <c r="G574" s="7" t="s">
        <v>20</v>
      </c>
      <c r="H574" s="9" t="n">
        <v>46033</v>
      </c>
      <c r="I574" s="9" t="n">
        <v>46056</v>
      </c>
      <c r="J574" s="7" t="n">
        <v>8.1</v>
      </c>
      <c r="K574" s="7" t="s">
        <v>482</v>
      </c>
      <c r="L574" s="7" t="s">
        <v>21</v>
      </c>
      <c r="M574" s="7" t="s">
        <v>769</v>
      </c>
      <c r="N574" s="7" t="s">
        <v>53</v>
      </c>
      <c r="O574" s="10" t="n">
        <f aca="false">'Exec Summary'!$E$2-H574</f>
        <v>201</v>
      </c>
      <c r="P574" s="10" t="n">
        <f aca="false">IF(I574="","",I574-H574)</f>
        <v>23</v>
      </c>
      <c r="Q574" s="10" t="n">
        <f aca="false">VLOOKUP(G574,$AA$2:$AB$5,2,FALSE())</f>
        <v>30</v>
      </c>
      <c r="R574" s="7" t="n">
        <f aca="false">IF(OR(F574="Open",F574="Reopened"),1,0)</f>
        <v>0</v>
      </c>
      <c r="S574" s="7" t="n">
        <f aca="false">IF(AND(H574&gt;='Exec Summary'!$E$1,H574&lt;='Exec Summary'!$E$2),1,0)</f>
        <v>0</v>
      </c>
      <c r="T574" s="7" t="n">
        <f aca="false">IF(AND(F574="Closed",I574&lt;&gt;"",I574&gt;='Exec Summary'!$E$1,I574&lt;='Exec Summary'!$E$2),1,0)</f>
        <v>0</v>
      </c>
      <c r="U574" s="7" t="n">
        <f aca="false">IF(F574="Reopened",1,0)</f>
        <v>0</v>
      </c>
      <c r="V574" s="7" t="n">
        <f aca="false">IF(AND(R574=1,O574&gt;Q574),1,0)</f>
        <v>0</v>
      </c>
      <c r="W574" s="7" t="n">
        <f aca="false">IF(AND(T574=1,P574&lt;&gt;"",P574&lt;=Q574),1,0)</f>
        <v>0</v>
      </c>
    </row>
    <row r="575" customFormat="false" ht="15" hidden="false" customHeight="false" outlineLevel="0" collapsed="false">
      <c r="A575" s="7" t="s">
        <v>770</v>
      </c>
      <c r="B575" s="7" t="s">
        <v>46</v>
      </c>
      <c r="C575" s="7" t="s">
        <v>79</v>
      </c>
      <c r="D575" s="7" t="s">
        <v>206</v>
      </c>
      <c r="E575" s="7" t="s">
        <v>207</v>
      </c>
      <c r="F575" s="7" t="s">
        <v>56</v>
      </c>
      <c r="G575" s="7" t="s">
        <v>20</v>
      </c>
      <c r="H575" s="9" t="n">
        <v>45950</v>
      </c>
      <c r="I575" s="9"/>
      <c r="J575" s="7" t="n">
        <v>8.8</v>
      </c>
      <c r="K575" s="7" t="s">
        <v>771</v>
      </c>
      <c r="L575" s="7" t="s">
        <v>19</v>
      </c>
      <c r="M575" s="7" t="s">
        <v>772</v>
      </c>
      <c r="N575" s="7" t="s">
        <v>53</v>
      </c>
      <c r="O575" s="10" t="n">
        <f aca="false">'Exec Summary'!$E$2-H575</f>
        <v>284</v>
      </c>
      <c r="P575" s="10" t="str">
        <f aca="false">IF(I575="","",I575-H575)</f>
        <v/>
      </c>
      <c r="Q575" s="10" t="n">
        <f aca="false">VLOOKUP(G575,$AA$2:$AB$5,2,FALSE())</f>
        <v>30</v>
      </c>
      <c r="R575" s="7" t="n">
        <f aca="false">IF(OR(F575="Open",F575="Reopened"),1,0)</f>
        <v>1</v>
      </c>
      <c r="S575" s="7" t="n">
        <f aca="false">IF(AND(H575&gt;='Exec Summary'!$E$1,H575&lt;='Exec Summary'!$E$2),1,0)</f>
        <v>0</v>
      </c>
      <c r="T575" s="7" t="n">
        <f aca="false">IF(AND(F575="Closed",I575&lt;&gt;"",I575&gt;='Exec Summary'!$E$1,I575&lt;='Exec Summary'!$E$2),1,0)</f>
        <v>0</v>
      </c>
      <c r="U575" s="7" t="n">
        <f aca="false">IF(F575="Reopened",1,0)</f>
        <v>0</v>
      </c>
      <c r="V575" s="7" t="n">
        <f aca="false">IF(AND(R575=1,O575&gt;Q575),1,0)</f>
        <v>1</v>
      </c>
      <c r="W575" s="7" t="n">
        <f aca="false">IF(AND(T575=1,P575&lt;&gt;"",P575&lt;=Q575),1,0)</f>
        <v>0</v>
      </c>
    </row>
    <row r="576" customFormat="false" ht="15" hidden="false" customHeight="false" outlineLevel="0" collapsed="false">
      <c r="A576" s="7" t="s">
        <v>770</v>
      </c>
      <c r="B576" s="7" t="s">
        <v>46</v>
      </c>
      <c r="C576" s="7" t="s">
        <v>79</v>
      </c>
      <c r="D576" s="7" t="s">
        <v>98</v>
      </c>
      <c r="E576" s="7" t="s">
        <v>99</v>
      </c>
      <c r="F576" s="7" t="s">
        <v>50</v>
      </c>
      <c r="G576" s="7" t="s">
        <v>19</v>
      </c>
      <c r="H576" s="9" t="n">
        <v>46077</v>
      </c>
      <c r="I576" s="9" t="n">
        <v>46092</v>
      </c>
      <c r="J576" s="7" t="n">
        <v>10</v>
      </c>
      <c r="K576" s="7" t="s">
        <v>771</v>
      </c>
      <c r="L576" s="7" t="s">
        <v>19</v>
      </c>
      <c r="M576" s="7" t="s">
        <v>773</v>
      </c>
      <c r="N576" s="7" t="s">
        <v>58</v>
      </c>
      <c r="O576" s="10" t="n">
        <f aca="false">'Exec Summary'!$E$2-H576</f>
        <v>157</v>
      </c>
      <c r="P576" s="10" t="n">
        <f aca="false">IF(I576="","",I576-H576)</f>
        <v>15</v>
      </c>
      <c r="Q576" s="10" t="n">
        <f aca="false">VLOOKUP(G576,$AA$2:$AB$5,2,FALSE())</f>
        <v>15</v>
      </c>
      <c r="R576" s="7" t="n">
        <f aca="false">IF(OR(F576="Open",F576="Reopened"),1,0)</f>
        <v>0</v>
      </c>
      <c r="S576" s="7" t="n">
        <f aca="false">IF(AND(H576&gt;='Exec Summary'!$E$1,H576&lt;='Exec Summary'!$E$2),1,0)</f>
        <v>0</v>
      </c>
      <c r="T576" s="7" t="n">
        <f aca="false">IF(AND(F576="Closed",I576&lt;&gt;"",I576&gt;='Exec Summary'!$E$1,I576&lt;='Exec Summary'!$E$2),1,0)</f>
        <v>0</v>
      </c>
      <c r="U576" s="7" t="n">
        <f aca="false">IF(F576="Reopened",1,0)</f>
        <v>0</v>
      </c>
      <c r="V576" s="7" t="n">
        <f aca="false">IF(AND(R576=1,O576&gt;Q576),1,0)</f>
        <v>0</v>
      </c>
      <c r="W576" s="7" t="n">
        <f aca="false">IF(AND(T576=1,P576&lt;&gt;"",P576&lt;=Q576),1,0)</f>
        <v>0</v>
      </c>
    </row>
    <row r="577" customFormat="false" ht="15" hidden="false" customHeight="false" outlineLevel="0" collapsed="false">
      <c r="A577" s="7" t="s">
        <v>770</v>
      </c>
      <c r="B577" s="7" t="s">
        <v>46</v>
      </c>
      <c r="C577" s="7" t="s">
        <v>79</v>
      </c>
      <c r="D577" s="7" t="s">
        <v>104</v>
      </c>
      <c r="E577" s="7" t="s">
        <v>105</v>
      </c>
      <c r="F577" s="7" t="s">
        <v>56</v>
      </c>
      <c r="G577" s="7" t="s">
        <v>19</v>
      </c>
      <c r="H577" s="9" t="n">
        <v>46046</v>
      </c>
      <c r="I577" s="9"/>
      <c r="J577" s="7" t="n">
        <v>9.8</v>
      </c>
      <c r="K577" s="7" t="s">
        <v>771</v>
      </c>
      <c r="L577" s="7" t="s">
        <v>19</v>
      </c>
      <c r="M577" s="7" t="s">
        <v>774</v>
      </c>
      <c r="N577" s="7" t="s">
        <v>58</v>
      </c>
      <c r="O577" s="10" t="n">
        <f aca="false">'Exec Summary'!$E$2-H577</f>
        <v>188</v>
      </c>
      <c r="P577" s="10" t="str">
        <f aca="false">IF(I577="","",I577-H577)</f>
        <v/>
      </c>
      <c r="Q577" s="10" t="n">
        <f aca="false">VLOOKUP(G577,$AA$2:$AB$5,2,FALSE())</f>
        <v>15</v>
      </c>
      <c r="R577" s="7" t="n">
        <f aca="false">IF(OR(F577="Open",F577="Reopened"),1,0)</f>
        <v>1</v>
      </c>
      <c r="S577" s="7" t="n">
        <f aca="false">IF(AND(H577&gt;='Exec Summary'!$E$1,H577&lt;='Exec Summary'!$E$2),1,0)</f>
        <v>0</v>
      </c>
      <c r="T577" s="7" t="n">
        <f aca="false">IF(AND(F577="Closed",I577&lt;&gt;"",I577&gt;='Exec Summary'!$E$1,I577&lt;='Exec Summary'!$E$2),1,0)</f>
        <v>0</v>
      </c>
      <c r="U577" s="7" t="n">
        <f aca="false">IF(F577="Reopened",1,0)</f>
        <v>0</v>
      </c>
      <c r="V577" s="7" t="n">
        <f aca="false">IF(AND(R577=1,O577&gt;Q577),1,0)</f>
        <v>1</v>
      </c>
      <c r="W577" s="7" t="n">
        <f aca="false">IF(AND(T577=1,P577&lt;&gt;"",P577&lt;=Q577),1,0)</f>
        <v>0</v>
      </c>
    </row>
    <row r="578" customFormat="false" ht="15" hidden="false" customHeight="false" outlineLevel="0" collapsed="false">
      <c r="A578" s="7" t="s">
        <v>770</v>
      </c>
      <c r="B578" s="7" t="s">
        <v>46</v>
      </c>
      <c r="C578" s="7" t="s">
        <v>79</v>
      </c>
      <c r="D578" s="7" t="s">
        <v>166</v>
      </c>
      <c r="E578" s="7" t="s">
        <v>167</v>
      </c>
      <c r="F578" s="7" t="s">
        <v>50</v>
      </c>
      <c r="G578" s="7" t="s">
        <v>19</v>
      </c>
      <c r="H578" s="9" t="n">
        <v>46021</v>
      </c>
      <c r="I578" s="9" t="n">
        <v>46026</v>
      </c>
      <c r="J578" s="7" t="n">
        <v>9.8</v>
      </c>
      <c r="K578" s="7" t="s">
        <v>771</v>
      </c>
      <c r="L578" s="7" t="s">
        <v>19</v>
      </c>
      <c r="M578" s="7" t="s">
        <v>775</v>
      </c>
      <c r="N578" s="7" t="s">
        <v>58</v>
      </c>
      <c r="O578" s="10" t="n">
        <f aca="false">'Exec Summary'!$E$2-H578</f>
        <v>213</v>
      </c>
      <c r="P578" s="10" t="n">
        <f aca="false">IF(I578="","",I578-H578)</f>
        <v>5</v>
      </c>
      <c r="Q578" s="10" t="n">
        <f aca="false">VLOOKUP(G578,$AA$2:$AB$5,2,FALSE())</f>
        <v>15</v>
      </c>
      <c r="R578" s="7" t="n">
        <f aca="false">IF(OR(F578="Open",F578="Reopened"),1,0)</f>
        <v>0</v>
      </c>
      <c r="S578" s="7" t="n">
        <f aca="false">IF(AND(H578&gt;='Exec Summary'!$E$1,H578&lt;='Exec Summary'!$E$2),1,0)</f>
        <v>0</v>
      </c>
      <c r="T578" s="7" t="n">
        <f aca="false">IF(AND(F578="Closed",I578&lt;&gt;"",I578&gt;='Exec Summary'!$E$1,I578&lt;='Exec Summary'!$E$2),1,0)</f>
        <v>0</v>
      </c>
      <c r="U578" s="7" t="n">
        <f aca="false">IF(F578="Reopened",1,0)</f>
        <v>0</v>
      </c>
      <c r="V578" s="7" t="n">
        <f aca="false">IF(AND(R578=1,O578&gt;Q578),1,0)</f>
        <v>0</v>
      </c>
      <c r="W578" s="7" t="n">
        <f aca="false">IF(AND(T578=1,P578&lt;&gt;"",P578&lt;=Q578),1,0)</f>
        <v>0</v>
      </c>
    </row>
    <row r="579" customFormat="false" ht="15" hidden="false" customHeight="false" outlineLevel="0" collapsed="false">
      <c r="A579" s="7" t="s">
        <v>770</v>
      </c>
      <c r="B579" s="7" t="s">
        <v>46</v>
      </c>
      <c r="C579" s="7" t="s">
        <v>79</v>
      </c>
      <c r="D579" s="7" t="s">
        <v>95</v>
      </c>
      <c r="E579" s="7" t="s">
        <v>96</v>
      </c>
      <c r="F579" s="7" t="s">
        <v>50</v>
      </c>
      <c r="G579" s="7" t="s">
        <v>20</v>
      </c>
      <c r="H579" s="9" t="n">
        <v>45978</v>
      </c>
      <c r="I579" s="9" t="n">
        <v>45979</v>
      </c>
      <c r="J579" s="7" t="n">
        <v>8.8</v>
      </c>
      <c r="K579" s="7" t="s">
        <v>771</v>
      </c>
      <c r="L579" s="7" t="s">
        <v>19</v>
      </c>
      <c r="M579" s="7" t="s">
        <v>776</v>
      </c>
      <c r="N579" s="7" t="s">
        <v>53</v>
      </c>
      <c r="O579" s="10" t="n">
        <f aca="false">'Exec Summary'!$E$2-H579</f>
        <v>256</v>
      </c>
      <c r="P579" s="10" t="n">
        <f aca="false">IF(I579="","",I579-H579)</f>
        <v>1</v>
      </c>
      <c r="Q579" s="10" t="n">
        <f aca="false">VLOOKUP(G579,$AA$2:$AB$5,2,FALSE())</f>
        <v>30</v>
      </c>
      <c r="R579" s="7" t="n">
        <f aca="false">IF(OR(F579="Open",F579="Reopened"),1,0)</f>
        <v>0</v>
      </c>
      <c r="S579" s="7" t="n">
        <f aca="false">IF(AND(H579&gt;='Exec Summary'!$E$1,H579&lt;='Exec Summary'!$E$2),1,0)</f>
        <v>0</v>
      </c>
      <c r="T579" s="7" t="n">
        <f aca="false">IF(AND(F579="Closed",I579&lt;&gt;"",I579&gt;='Exec Summary'!$E$1,I579&lt;='Exec Summary'!$E$2),1,0)</f>
        <v>0</v>
      </c>
      <c r="U579" s="7" t="n">
        <f aca="false">IF(F579="Reopened",1,0)</f>
        <v>0</v>
      </c>
      <c r="V579" s="7" t="n">
        <f aca="false">IF(AND(R579=1,O579&gt;Q579),1,0)</f>
        <v>0</v>
      </c>
      <c r="W579" s="7" t="n">
        <f aca="false">IF(AND(T579=1,P579&lt;&gt;"",P579&lt;=Q579),1,0)</f>
        <v>0</v>
      </c>
    </row>
    <row r="580" customFormat="false" ht="15" hidden="false" customHeight="false" outlineLevel="0" collapsed="false">
      <c r="A580" s="7" t="s">
        <v>770</v>
      </c>
      <c r="B580" s="7" t="s">
        <v>46</v>
      </c>
      <c r="C580" s="7" t="s">
        <v>79</v>
      </c>
      <c r="D580" s="7" t="s">
        <v>210</v>
      </c>
      <c r="E580" s="7" t="s">
        <v>211</v>
      </c>
      <c r="F580" s="7" t="s">
        <v>50</v>
      </c>
      <c r="G580" s="7" t="s">
        <v>19</v>
      </c>
      <c r="H580" s="9" t="n">
        <v>46170</v>
      </c>
      <c r="I580" s="9" t="n">
        <v>46179</v>
      </c>
      <c r="J580" s="7" t="n">
        <v>9.8</v>
      </c>
      <c r="K580" s="7" t="s">
        <v>771</v>
      </c>
      <c r="L580" s="7" t="s">
        <v>19</v>
      </c>
      <c r="M580" s="7" t="s">
        <v>777</v>
      </c>
      <c r="N580" s="7" t="s">
        <v>58</v>
      </c>
      <c r="O580" s="10" t="n">
        <f aca="false">'Exec Summary'!$E$2-H580</f>
        <v>64</v>
      </c>
      <c r="P580" s="10" t="n">
        <f aca="false">IF(I580="","",I580-H580)</f>
        <v>9</v>
      </c>
      <c r="Q580" s="10" t="n">
        <f aca="false">VLOOKUP(G580,$AA$2:$AB$5,2,FALSE())</f>
        <v>15</v>
      </c>
      <c r="R580" s="7" t="n">
        <f aca="false">IF(OR(F580="Open",F580="Reopened"),1,0)</f>
        <v>0</v>
      </c>
      <c r="S580" s="7" t="n">
        <f aca="false">IF(AND(H580&gt;='Exec Summary'!$E$1,H580&lt;='Exec Summary'!$E$2),1,0)</f>
        <v>0</v>
      </c>
      <c r="T580" s="7" t="n">
        <f aca="false">IF(AND(F580="Closed",I580&lt;&gt;"",I580&gt;='Exec Summary'!$E$1,I580&lt;='Exec Summary'!$E$2),1,0)</f>
        <v>0</v>
      </c>
      <c r="U580" s="7" t="n">
        <f aca="false">IF(F580="Reopened",1,0)</f>
        <v>0</v>
      </c>
      <c r="V580" s="7" t="n">
        <f aca="false">IF(AND(R580=1,O580&gt;Q580),1,0)</f>
        <v>0</v>
      </c>
      <c r="W580" s="7" t="n">
        <f aca="false">IF(AND(T580=1,P580&lt;&gt;"",P580&lt;=Q580),1,0)</f>
        <v>0</v>
      </c>
    </row>
    <row r="581" customFormat="false" ht="15" hidden="false" customHeight="false" outlineLevel="0" collapsed="false">
      <c r="A581" s="7" t="s">
        <v>770</v>
      </c>
      <c r="B581" s="7" t="s">
        <v>46</v>
      </c>
      <c r="C581" s="7" t="s">
        <v>79</v>
      </c>
      <c r="D581" s="7" t="s">
        <v>163</v>
      </c>
      <c r="E581" s="7" t="s">
        <v>164</v>
      </c>
      <c r="F581" s="7" t="s">
        <v>50</v>
      </c>
      <c r="G581" s="7" t="s">
        <v>19</v>
      </c>
      <c r="H581" s="9" t="n">
        <v>46060</v>
      </c>
      <c r="I581" s="9" t="n">
        <v>46061</v>
      </c>
      <c r="J581" s="7" t="n">
        <v>9.1</v>
      </c>
      <c r="K581" s="7" t="s">
        <v>771</v>
      </c>
      <c r="L581" s="7" t="s">
        <v>19</v>
      </c>
      <c r="M581" s="7" t="s">
        <v>778</v>
      </c>
      <c r="N581" s="7" t="s">
        <v>58</v>
      </c>
      <c r="O581" s="10" t="n">
        <f aca="false">'Exec Summary'!$E$2-H581</f>
        <v>174</v>
      </c>
      <c r="P581" s="10" t="n">
        <f aca="false">IF(I581="","",I581-H581)</f>
        <v>1</v>
      </c>
      <c r="Q581" s="10" t="n">
        <f aca="false">VLOOKUP(G581,$AA$2:$AB$5,2,FALSE())</f>
        <v>15</v>
      </c>
      <c r="R581" s="7" t="n">
        <f aca="false">IF(OR(F581="Open",F581="Reopened"),1,0)</f>
        <v>0</v>
      </c>
      <c r="S581" s="7" t="n">
        <f aca="false">IF(AND(H581&gt;='Exec Summary'!$E$1,H581&lt;='Exec Summary'!$E$2),1,0)</f>
        <v>0</v>
      </c>
      <c r="T581" s="7" t="n">
        <f aca="false">IF(AND(F581="Closed",I581&lt;&gt;"",I581&gt;='Exec Summary'!$E$1,I581&lt;='Exec Summary'!$E$2),1,0)</f>
        <v>0</v>
      </c>
      <c r="U581" s="7" t="n">
        <f aca="false">IF(F581="Reopened",1,0)</f>
        <v>0</v>
      </c>
      <c r="V581" s="7" t="n">
        <f aca="false">IF(AND(R581=1,O581&gt;Q581),1,0)</f>
        <v>0</v>
      </c>
      <c r="W581" s="7" t="n">
        <f aca="false">IF(AND(T581=1,P581&lt;&gt;"",P581&lt;=Q581),1,0)</f>
        <v>0</v>
      </c>
    </row>
    <row r="582" customFormat="false" ht="15" hidden="false" customHeight="false" outlineLevel="0" collapsed="false">
      <c r="A582" s="7" t="s">
        <v>770</v>
      </c>
      <c r="B582" s="7" t="s">
        <v>46</v>
      </c>
      <c r="C582" s="7" t="s">
        <v>79</v>
      </c>
      <c r="D582" s="7" t="s">
        <v>68</v>
      </c>
      <c r="E582" s="7" t="s">
        <v>69</v>
      </c>
      <c r="F582" s="7" t="s">
        <v>123</v>
      </c>
      <c r="G582" s="7" t="s">
        <v>19</v>
      </c>
      <c r="H582" s="9" t="n">
        <v>45936</v>
      </c>
      <c r="I582" s="9" t="n">
        <v>45940</v>
      </c>
      <c r="J582" s="7" t="n">
        <v>9.8</v>
      </c>
      <c r="K582" s="7" t="s">
        <v>771</v>
      </c>
      <c r="L582" s="7" t="s">
        <v>19</v>
      </c>
      <c r="M582" s="7" t="s">
        <v>779</v>
      </c>
      <c r="N582" s="7" t="s">
        <v>58</v>
      </c>
      <c r="O582" s="10" t="n">
        <f aca="false">'Exec Summary'!$E$2-H582</f>
        <v>298</v>
      </c>
      <c r="P582" s="10" t="n">
        <f aca="false">IF(I582="","",I582-H582)</f>
        <v>4</v>
      </c>
      <c r="Q582" s="10" t="n">
        <f aca="false">VLOOKUP(G582,$AA$2:$AB$5,2,FALSE())</f>
        <v>15</v>
      </c>
      <c r="R582" s="7" t="n">
        <f aca="false">IF(OR(F582="Open",F582="Reopened"),1,0)</f>
        <v>1</v>
      </c>
      <c r="S582" s="7" t="n">
        <f aca="false">IF(AND(H582&gt;='Exec Summary'!$E$1,H582&lt;='Exec Summary'!$E$2),1,0)</f>
        <v>0</v>
      </c>
      <c r="T582" s="7" t="n">
        <f aca="false">IF(AND(F582="Closed",I582&lt;&gt;"",I582&gt;='Exec Summary'!$E$1,I582&lt;='Exec Summary'!$E$2),1,0)</f>
        <v>0</v>
      </c>
      <c r="U582" s="7" t="n">
        <f aca="false">IF(F582="Reopened",1,0)</f>
        <v>1</v>
      </c>
      <c r="V582" s="7" t="n">
        <f aca="false">IF(AND(R582=1,O582&gt;Q582),1,0)</f>
        <v>1</v>
      </c>
      <c r="W582" s="7" t="n">
        <f aca="false">IF(AND(T582=1,P582&lt;&gt;"",P582&lt;=Q582),1,0)</f>
        <v>0</v>
      </c>
    </row>
    <row r="583" customFormat="false" ht="15" hidden="false" customHeight="false" outlineLevel="0" collapsed="false">
      <c r="A583" s="7" t="s">
        <v>780</v>
      </c>
      <c r="B583" s="7" t="s">
        <v>46</v>
      </c>
      <c r="C583" s="7" t="s">
        <v>79</v>
      </c>
      <c r="D583" s="7" t="s">
        <v>120</v>
      </c>
      <c r="E583" s="7" t="s">
        <v>121</v>
      </c>
      <c r="F583" s="7" t="s">
        <v>50</v>
      </c>
      <c r="G583" s="7" t="s">
        <v>19</v>
      </c>
      <c r="H583" s="9" t="n">
        <v>46117</v>
      </c>
      <c r="I583" s="9" t="n">
        <v>46126</v>
      </c>
      <c r="J583" s="7" t="n">
        <v>8.8</v>
      </c>
      <c r="K583" s="7" t="s">
        <v>771</v>
      </c>
      <c r="L583" s="7" t="s">
        <v>19</v>
      </c>
      <c r="M583" s="7" t="s">
        <v>781</v>
      </c>
      <c r="N583" s="7" t="s">
        <v>58</v>
      </c>
      <c r="O583" s="10" t="n">
        <f aca="false">'Exec Summary'!$E$2-H583</f>
        <v>117</v>
      </c>
      <c r="P583" s="10" t="n">
        <f aca="false">IF(I583="","",I583-H583)</f>
        <v>9</v>
      </c>
      <c r="Q583" s="10" t="n">
        <f aca="false">VLOOKUP(G583,$AA$2:$AB$5,2,FALSE())</f>
        <v>15</v>
      </c>
      <c r="R583" s="7" t="n">
        <f aca="false">IF(OR(F583="Open",F583="Reopened"),1,0)</f>
        <v>0</v>
      </c>
      <c r="S583" s="7" t="n">
        <f aca="false">IF(AND(H583&gt;='Exec Summary'!$E$1,H583&lt;='Exec Summary'!$E$2),1,0)</f>
        <v>0</v>
      </c>
      <c r="T583" s="7" t="n">
        <f aca="false">IF(AND(F583="Closed",I583&lt;&gt;"",I583&gt;='Exec Summary'!$E$1,I583&lt;='Exec Summary'!$E$2),1,0)</f>
        <v>0</v>
      </c>
      <c r="U583" s="7" t="n">
        <f aca="false">IF(F583="Reopened",1,0)</f>
        <v>0</v>
      </c>
      <c r="V583" s="7" t="n">
        <f aca="false">IF(AND(R583=1,O583&gt;Q583),1,0)</f>
        <v>0</v>
      </c>
      <c r="W583" s="7" t="n">
        <f aca="false">IF(AND(T583=1,P583&lt;&gt;"",P583&lt;=Q583),1,0)</f>
        <v>0</v>
      </c>
    </row>
    <row r="584" customFormat="false" ht="15" hidden="false" customHeight="false" outlineLevel="0" collapsed="false">
      <c r="A584" s="7" t="s">
        <v>780</v>
      </c>
      <c r="B584" s="7" t="s">
        <v>46</v>
      </c>
      <c r="C584" s="7" t="s">
        <v>79</v>
      </c>
      <c r="D584" s="7" t="s">
        <v>173</v>
      </c>
      <c r="E584" s="7" t="s">
        <v>174</v>
      </c>
      <c r="F584" s="7" t="s">
        <v>56</v>
      </c>
      <c r="G584" s="7" t="s">
        <v>19</v>
      </c>
      <c r="H584" s="9" t="n">
        <v>46016</v>
      </c>
      <c r="I584" s="9"/>
      <c r="J584" s="7" t="n">
        <v>9.8</v>
      </c>
      <c r="K584" s="7" t="s">
        <v>771</v>
      </c>
      <c r="L584" s="7" t="s">
        <v>19</v>
      </c>
      <c r="M584" s="7" t="s">
        <v>782</v>
      </c>
      <c r="N584" s="7" t="s">
        <v>58</v>
      </c>
      <c r="O584" s="10" t="n">
        <f aca="false">'Exec Summary'!$E$2-H584</f>
        <v>218</v>
      </c>
      <c r="P584" s="10" t="str">
        <f aca="false">IF(I584="","",I584-H584)</f>
        <v/>
      </c>
      <c r="Q584" s="10" t="n">
        <f aca="false">VLOOKUP(G584,$AA$2:$AB$5,2,FALSE())</f>
        <v>15</v>
      </c>
      <c r="R584" s="7" t="n">
        <f aca="false">IF(OR(F584="Open",F584="Reopened"),1,0)</f>
        <v>1</v>
      </c>
      <c r="S584" s="7" t="n">
        <f aca="false">IF(AND(H584&gt;='Exec Summary'!$E$1,H584&lt;='Exec Summary'!$E$2),1,0)</f>
        <v>0</v>
      </c>
      <c r="T584" s="7" t="n">
        <f aca="false">IF(AND(F584="Closed",I584&lt;&gt;"",I584&gt;='Exec Summary'!$E$1,I584&lt;='Exec Summary'!$E$2),1,0)</f>
        <v>0</v>
      </c>
      <c r="U584" s="7" t="n">
        <f aca="false">IF(F584="Reopened",1,0)</f>
        <v>0</v>
      </c>
      <c r="V584" s="7" t="n">
        <f aca="false">IF(AND(R584=1,O584&gt;Q584),1,0)</f>
        <v>1</v>
      </c>
      <c r="W584" s="7" t="n">
        <f aca="false">IF(AND(T584=1,P584&lt;&gt;"",P584&lt;=Q584),1,0)</f>
        <v>0</v>
      </c>
    </row>
    <row r="585" customFormat="false" ht="15" hidden="false" customHeight="false" outlineLevel="0" collapsed="false">
      <c r="A585" s="7" t="s">
        <v>780</v>
      </c>
      <c r="B585" s="7" t="s">
        <v>46</v>
      </c>
      <c r="C585" s="7" t="s">
        <v>79</v>
      </c>
      <c r="D585" s="7" t="s">
        <v>59</v>
      </c>
      <c r="E585" s="7" t="s">
        <v>60</v>
      </c>
      <c r="F585" s="7" t="s">
        <v>50</v>
      </c>
      <c r="G585" s="7" t="s">
        <v>19</v>
      </c>
      <c r="H585" s="9" t="n">
        <v>46166</v>
      </c>
      <c r="I585" s="9" t="n">
        <v>46174</v>
      </c>
      <c r="J585" s="7" t="n">
        <v>7.8</v>
      </c>
      <c r="K585" s="7" t="s">
        <v>771</v>
      </c>
      <c r="L585" s="7" t="s">
        <v>19</v>
      </c>
      <c r="M585" s="7" t="s">
        <v>783</v>
      </c>
      <c r="N585" s="7" t="s">
        <v>58</v>
      </c>
      <c r="O585" s="10" t="n">
        <f aca="false">'Exec Summary'!$E$2-H585</f>
        <v>68</v>
      </c>
      <c r="P585" s="10" t="n">
        <f aca="false">IF(I585="","",I585-H585)</f>
        <v>8</v>
      </c>
      <c r="Q585" s="10" t="n">
        <f aca="false">VLOOKUP(G585,$AA$2:$AB$5,2,FALSE())</f>
        <v>15</v>
      </c>
      <c r="R585" s="7" t="n">
        <f aca="false">IF(OR(F585="Open",F585="Reopened"),1,0)</f>
        <v>0</v>
      </c>
      <c r="S585" s="7" t="n">
        <f aca="false">IF(AND(H585&gt;='Exec Summary'!$E$1,H585&lt;='Exec Summary'!$E$2),1,0)</f>
        <v>0</v>
      </c>
      <c r="T585" s="7" t="n">
        <f aca="false">IF(AND(F585="Closed",I585&lt;&gt;"",I585&gt;='Exec Summary'!$E$1,I585&lt;='Exec Summary'!$E$2),1,0)</f>
        <v>0</v>
      </c>
      <c r="U585" s="7" t="n">
        <f aca="false">IF(F585="Reopened",1,0)</f>
        <v>0</v>
      </c>
      <c r="V585" s="7" t="n">
        <f aca="false">IF(AND(R585=1,O585&gt;Q585),1,0)</f>
        <v>0</v>
      </c>
      <c r="W585" s="7" t="n">
        <f aca="false">IF(AND(T585=1,P585&lt;&gt;"",P585&lt;=Q585),1,0)</f>
        <v>0</v>
      </c>
    </row>
    <row r="586" customFormat="false" ht="15" hidden="false" customHeight="false" outlineLevel="0" collapsed="false">
      <c r="A586" s="7" t="s">
        <v>780</v>
      </c>
      <c r="B586" s="7" t="s">
        <v>46</v>
      </c>
      <c r="C586" s="7" t="s">
        <v>79</v>
      </c>
      <c r="D586" s="7" t="s">
        <v>131</v>
      </c>
      <c r="E586" s="7" t="s">
        <v>132</v>
      </c>
      <c r="F586" s="7" t="s">
        <v>56</v>
      </c>
      <c r="G586" s="7" t="s">
        <v>19</v>
      </c>
      <c r="H586" s="9" t="n">
        <v>46028</v>
      </c>
      <c r="I586" s="9"/>
      <c r="J586" s="7" t="n">
        <v>9.8</v>
      </c>
      <c r="K586" s="7" t="s">
        <v>771</v>
      </c>
      <c r="L586" s="7" t="s">
        <v>19</v>
      </c>
      <c r="M586" s="7" t="s">
        <v>784</v>
      </c>
      <c r="N586" s="7" t="s">
        <v>58</v>
      </c>
      <c r="O586" s="10" t="n">
        <f aca="false">'Exec Summary'!$E$2-H586</f>
        <v>206</v>
      </c>
      <c r="P586" s="10" t="str">
        <f aca="false">IF(I586="","",I586-H586)</f>
        <v/>
      </c>
      <c r="Q586" s="10" t="n">
        <f aca="false">VLOOKUP(G586,$AA$2:$AB$5,2,FALSE())</f>
        <v>15</v>
      </c>
      <c r="R586" s="7" t="n">
        <f aca="false">IF(OR(F586="Open",F586="Reopened"),1,0)</f>
        <v>1</v>
      </c>
      <c r="S586" s="7" t="n">
        <f aca="false">IF(AND(H586&gt;='Exec Summary'!$E$1,H586&lt;='Exec Summary'!$E$2),1,0)</f>
        <v>0</v>
      </c>
      <c r="T586" s="7" t="n">
        <f aca="false">IF(AND(F586="Closed",I586&lt;&gt;"",I586&gt;='Exec Summary'!$E$1,I586&lt;='Exec Summary'!$E$2),1,0)</f>
        <v>0</v>
      </c>
      <c r="U586" s="7" t="n">
        <f aca="false">IF(F586="Reopened",1,0)</f>
        <v>0</v>
      </c>
      <c r="V586" s="7" t="n">
        <f aca="false">IF(AND(R586=1,O586&gt;Q586),1,0)</f>
        <v>1</v>
      </c>
      <c r="W586" s="7" t="n">
        <f aca="false">IF(AND(T586=1,P586&lt;&gt;"",P586&lt;=Q586),1,0)</f>
        <v>0</v>
      </c>
    </row>
    <row r="587" customFormat="false" ht="15" hidden="false" customHeight="false" outlineLevel="0" collapsed="false">
      <c r="A587" s="7" t="s">
        <v>780</v>
      </c>
      <c r="B587" s="7" t="s">
        <v>46</v>
      </c>
      <c r="C587" s="7" t="s">
        <v>79</v>
      </c>
      <c r="D587" s="7" t="s">
        <v>112</v>
      </c>
      <c r="E587" s="7" t="s">
        <v>113</v>
      </c>
      <c r="F587" s="7" t="s">
        <v>56</v>
      </c>
      <c r="G587" s="7" t="s">
        <v>20</v>
      </c>
      <c r="H587" s="9" t="n">
        <v>46171</v>
      </c>
      <c r="I587" s="9"/>
      <c r="J587" s="7" t="n">
        <v>7.8</v>
      </c>
      <c r="K587" s="7" t="s">
        <v>771</v>
      </c>
      <c r="L587" s="7" t="s">
        <v>19</v>
      </c>
      <c r="M587" s="7" t="s">
        <v>785</v>
      </c>
      <c r="N587" s="7" t="s">
        <v>53</v>
      </c>
      <c r="O587" s="10" t="n">
        <f aca="false">'Exec Summary'!$E$2-H587</f>
        <v>63</v>
      </c>
      <c r="P587" s="10" t="str">
        <f aca="false">IF(I587="","",I587-H587)</f>
        <v/>
      </c>
      <c r="Q587" s="10" t="n">
        <f aca="false">VLOOKUP(G587,$AA$2:$AB$5,2,FALSE())</f>
        <v>30</v>
      </c>
      <c r="R587" s="7" t="n">
        <f aca="false">IF(OR(F587="Open",F587="Reopened"),1,0)</f>
        <v>1</v>
      </c>
      <c r="S587" s="7" t="n">
        <f aca="false">IF(AND(H587&gt;='Exec Summary'!$E$1,H587&lt;='Exec Summary'!$E$2),1,0)</f>
        <v>0</v>
      </c>
      <c r="T587" s="7" t="n">
        <f aca="false">IF(AND(F587="Closed",I587&lt;&gt;"",I587&gt;='Exec Summary'!$E$1,I587&lt;='Exec Summary'!$E$2),1,0)</f>
        <v>0</v>
      </c>
      <c r="U587" s="7" t="n">
        <f aca="false">IF(F587="Reopened",1,0)</f>
        <v>0</v>
      </c>
      <c r="V587" s="7" t="n">
        <f aca="false">IF(AND(R587=1,O587&gt;Q587),1,0)</f>
        <v>1</v>
      </c>
      <c r="W587" s="7" t="n">
        <f aca="false">IF(AND(T587=1,P587&lt;&gt;"",P587&lt;=Q587),1,0)</f>
        <v>0</v>
      </c>
    </row>
    <row r="588" customFormat="false" ht="15" hidden="false" customHeight="false" outlineLevel="0" collapsed="false">
      <c r="A588" s="7" t="s">
        <v>780</v>
      </c>
      <c r="B588" s="7" t="s">
        <v>46</v>
      </c>
      <c r="C588" s="7" t="s">
        <v>79</v>
      </c>
      <c r="D588" s="7" t="s">
        <v>139</v>
      </c>
      <c r="E588" s="7" t="s">
        <v>140</v>
      </c>
      <c r="F588" s="7" t="s">
        <v>50</v>
      </c>
      <c r="G588" s="7" t="s">
        <v>19</v>
      </c>
      <c r="H588" s="9" t="n">
        <v>45970</v>
      </c>
      <c r="I588" s="9" t="n">
        <v>45978</v>
      </c>
      <c r="J588" s="7" t="n">
        <v>9.8</v>
      </c>
      <c r="K588" s="7" t="s">
        <v>771</v>
      </c>
      <c r="L588" s="7" t="s">
        <v>19</v>
      </c>
      <c r="M588" s="7" t="s">
        <v>786</v>
      </c>
      <c r="N588" s="7" t="s">
        <v>58</v>
      </c>
      <c r="O588" s="10" t="n">
        <f aca="false">'Exec Summary'!$E$2-H588</f>
        <v>264</v>
      </c>
      <c r="P588" s="10" t="n">
        <f aca="false">IF(I588="","",I588-H588)</f>
        <v>8</v>
      </c>
      <c r="Q588" s="10" t="n">
        <f aca="false">VLOOKUP(G588,$AA$2:$AB$5,2,FALSE())</f>
        <v>15</v>
      </c>
      <c r="R588" s="7" t="n">
        <f aca="false">IF(OR(F588="Open",F588="Reopened"),1,0)</f>
        <v>0</v>
      </c>
      <c r="S588" s="7" t="n">
        <f aca="false">IF(AND(H588&gt;='Exec Summary'!$E$1,H588&lt;='Exec Summary'!$E$2),1,0)</f>
        <v>0</v>
      </c>
      <c r="T588" s="7" t="n">
        <f aca="false">IF(AND(F588="Closed",I588&lt;&gt;"",I588&gt;='Exec Summary'!$E$1,I588&lt;='Exec Summary'!$E$2),1,0)</f>
        <v>0</v>
      </c>
      <c r="U588" s="7" t="n">
        <f aca="false">IF(F588="Reopened",1,0)</f>
        <v>0</v>
      </c>
      <c r="V588" s="7" t="n">
        <f aca="false">IF(AND(R588=1,O588&gt;Q588),1,0)</f>
        <v>0</v>
      </c>
      <c r="W588" s="7" t="n">
        <f aca="false">IF(AND(T588=1,P588&lt;&gt;"",P588&lt;=Q588),1,0)</f>
        <v>0</v>
      </c>
    </row>
    <row r="589" customFormat="false" ht="15" hidden="false" customHeight="false" outlineLevel="0" collapsed="false">
      <c r="A589" s="7" t="s">
        <v>780</v>
      </c>
      <c r="B589" s="7" t="s">
        <v>46</v>
      </c>
      <c r="C589" s="7" t="s">
        <v>79</v>
      </c>
      <c r="D589" s="7" t="s">
        <v>54</v>
      </c>
      <c r="E589" s="7" t="s">
        <v>55</v>
      </c>
      <c r="F589" s="7" t="s">
        <v>50</v>
      </c>
      <c r="G589" s="7" t="s">
        <v>19</v>
      </c>
      <c r="H589" s="9" t="n">
        <v>46211</v>
      </c>
      <c r="I589" s="9" t="n">
        <v>46214</v>
      </c>
      <c r="J589" s="7" t="n">
        <v>9.8</v>
      </c>
      <c r="K589" s="7" t="s">
        <v>771</v>
      </c>
      <c r="L589" s="7" t="s">
        <v>19</v>
      </c>
      <c r="M589" s="7" t="s">
        <v>787</v>
      </c>
      <c r="N589" s="7" t="s">
        <v>58</v>
      </c>
      <c r="O589" s="10" t="n">
        <f aca="false">'Exec Summary'!$E$2-H589</f>
        <v>23</v>
      </c>
      <c r="P589" s="10" t="n">
        <f aca="false">IF(I589="","",I589-H589)</f>
        <v>3</v>
      </c>
      <c r="Q589" s="10" t="n">
        <f aca="false">VLOOKUP(G589,$AA$2:$AB$5,2,FALSE())</f>
        <v>15</v>
      </c>
      <c r="R589" s="7" t="n">
        <f aca="false">IF(OR(F589="Open",F589="Reopened"),1,0)</f>
        <v>0</v>
      </c>
      <c r="S589" s="7" t="n">
        <f aca="false">IF(AND(H589&gt;='Exec Summary'!$E$1,H589&lt;='Exec Summary'!$E$2),1,0)</f>
        <v>1</v>
      </c>
      <c r="T589" s="7" t="n">
        <f aca="false">IF(AND(F589="Closed",I589&lt;&gt;"",I589&gt;='Exec Summary'!$E$1,I589&lt;='Exec Summary'!$E$2),1,0)</f>
        <v>1</v>
      </c>
      <c r="U589" s="7" t="n">
        <f aca="false">IF(F589="Reopened",1,0)</f>
        <v>0</v>
      </c>
      <c r="V589" s="7" t="n">
        <f aca="false">IF(AND(R589=1,O589&gt;Q589),1,0)</f>
        <v>0</v>
      </c>
      <c r="W589" s="7" t="n">
        <f aca="false">IF(AND(T589=1,P589&lt;&gt;"",P589&lt;=Q589),1,0)</f>
        <v>1</v>
      </c>
    </row>
    <row r="590" customFormat="false" ht="15" hidden="false" customHeight="false" outlineLevel="0" collapsed="false">
      <c r="A590" s="7" t="s">
        <v>780</v>
      </c>
      <c r="B590" s="7" t="s">
        <v>46</v>
      </c>
      <c r="C590" s="7" t="s">
        <v>79</v>
      </c>
      <c r="D590" s="7" t="s">
        <v>84</v>
      </c>
      <c r="E590" s="7" t="s">
        <v>85</v>
      </c>
      <c r="F590" s="7" t="s">
        <v>56</v>
      </c>
      <c r="G590" s="7" t="s">
        <v>20</v>
      </c>
      <c r="H590" s="9" t="n">
        <v>46105</v>
      </c>
      <c r="I590" s="9"/>
      <c r="J590" s="7" t="n">
        <v>7.5</v>
      </c>
      <c r="K590" s="7" t="s">
        <v>771</v>
      </c>
      <c r="L590" s="7" t="s">
        <v>19</v>
      </c>
      <c r="M590" s="7" t="s">
        <v>788</v>
      </c>
      <c r="N590" s="7" t="s">
        <v>53</v>
      </c>
      <c r="O590" s="10" t="n">
        <f aca="false">'Exec Summary'!$E$2-H590</f>
        <v>129</v>
      </c>
      <c r="P590" s="10" t="str">
        <f aca="false">IF(I590="","",I590-H590)</f>
        <v/>
      </c>
      <c r="Q590" s="10" t="n">
        <f aca="false">VLOOKUP(G590,$AA$2:$AB$5,2,FALSE())</f>
        <v>30</v>
      </c>
      <c r="R590" s="7" t="n">
        <f aca="false">IF(OR(F590="Open",F590="Reopened"),1,0)</f>
        <v>1</v>
      </c>
      <c r="S590" s="7" t="n">
        <f aca="false">IF(AND(H590&gt;='Exec Summary'!$E$1,H590&lt;='Exec Summary'!$E$2),1,0)</f>
        <v>0</v>
      </c>
      <c r="T590" s="7" t="n">
        <f aca="false">IF(AND(F590="Closed",I590&lt;&gt;"",I590&gt;='Exec Summary'!$E$1,I590&lt;='Exec Summary'!$E$2),1,0)</f>
        <v>0</v>
      </c>
      <c r="U590" s="7" t="n">
        <f aca="false">IF(F590="Reopened",1,0)</f>
        <v>0</v>
      </c>
      <c r="V590" s="7" t="n">
        <f aca="false">IF(AND(R590=1,O590&gt;Q590),1,0)</f>
        <v>1</v>
      </c>
      <c r="W590" s="7" t="n">
        <f aca="false">IF(AND(T590=1,P590&lt;&gt;"",P590&lt;=Q590),1,0)</f>
        <v>0</v>
      </c>
    </row>
    <row r="591" customFormat="false" ht="15" hidden="false" customHeight="false" outlineLevel="0" collapsed="false">
      <c r="A591" s="7" t="s">
        <v>780</v>
      </c>
      <c r="B591" s="7" t="s">
        <v>46</v>
      </c>
      <c r="C591" s="7" t="s">
        <v>79</v>
      </c>
      <c r="D591" s="7" t="s">
        <v>91</v>
      </c>
      <c r="E591" s="7" t="s">
        <v>92</v>
      </c>
      <c r="F591" s="7" t="s">
        <v>56</v>
      </c>
      <c r="G591" s="7" t="s">
        <v>20</v>
      </c>
      <c r="H591" s="9" t="n">
        <v>46197</v>
      </c>
      <c r="I591" s="9"/>
      <c r="J591" s="7" t="n">
        <v>8.1</v>
      </c>
      <c r="K591" s="7" t="s">
        <v>771</v>
      </c>
      <c r="L591" s="7" t="s">
        <v>19</v>
      </c>
      <c r="M591" s="7" t="s">
        <v>789</v>
      </c>
      <c r="N591" s="7" t="s">
        <v>53</v>
      </c>
      <c r="O591" s="10" t="n">
        <f aca="false">'Exec Summary'!$E$2-H591</f>
        <v>37</v>
      </c>
      <c r="P591" s="10" t="str">
        <f aca="false">IF(I591="","",I591-H591)</f>
        <v/>
      </c>
      <c r="Q591" s="10" t="n">
        <f aca="false">VLOOKUP(G591,$AA$2:$AB$5,2,FALSE())</f>
        <v>30</v>
      </c>
      <c r="R591" s="7" t="n">
        <f aca="false">IF(OR(F591="Open",F591="Reopened"),1,0)</f>
        <v>1</v>
      </c>
      <c r="S591" s="7" t="n">
        <f aca="false">IF(AND(H591&gt;='Exec Summary'!$E$1,H591&lt;='Exec Summary'!$E$2),1,0)</f>
        <v>0</v>
      </c>
      <c r="T591" s="7" t="n">
        <f aca="false">IF(AND(F591="Closed",I591&lt;&gt;"",I591&gt;='Exec Summary'!$E$1,I591&lt;='Exec Summary'!$E$2),1,0)</f>
        <v>0</v>
      </c>
      <c r="U591" s="7" t="n">
        <f aca="false">IF(F591="Reopened",1,0)</f>
        <v>0</v>
      </c>
      <c r="V591" s="7" t="n">
        <f aca="false">IF(AND(R591=1,O591&gt;Q591),1,0)</f>
        <v>1</v>
      </c>
      <c r="W591" s="7" t="n">
        <f aca="false">IF(AND(T591=1,P591&lt;&gt;"",P591&lt;=Q591),1,0)</f>
        <v>0</v>
      </c>
    </row>
    <row r="592" customFormat="false" ht="15" hidden="false" customHeight="false" outlineLevel="0" collapsed="false">
      <c r="A592" s="7" t="s">
        <v>780</v>
      </c>
      <c r="B592" s="7" t="s">
        <v>46</v>
      </c>
      <c r="C592" s="7" t="s">
        <v>79</v>
      </c>
      <c r="D592" s="7" t="s">
        <v>101</v>
      </c>
      <c r="E592" s="7" t="s">
        <v>102</v>
      </c>
      <c r="F592" s="7" t="s">
        <v>50</v>
      </c>
      <c r="G592" s="7" t="s">
        <v>19</v>
      </c>
      <c r="H592" s="9" t="n">
        <v>45960</v>
      </c>
      <c r="I592" s="9" t="n">
        <v>45965</v>
      </c>
      <c r="J592" s="7" t="n">
        <v>10</v>
      </c>
      <c r="K592" s="7" t="s">
        <v>771</v>
      </c>
      <c r="L592" s="7" t="s">
        <v>19</v>
      </c>
      <c r="M592" s="7" t="s">
        <v>790</v>
      </c>
      <c r="N592" s="7" t="s">
        <v>58</v>
      </c>
      <c r="O592" s="10" t="n">
        <f aca="false">'Exec Summary'!$E$2-H592</f>
        <v>274</v>
      </c>
      <c r="P592" s="10" t="n">
        <f aca="false">IF(I592="","",I592-H592)</f>
        <v>5</v>
      </c>
      <c r="Q592" s="10" t="n">
        <f aca="false">VLOOKUP(G592,$AA$2:$AB$5,2,FALSE())</f>
        <v>15</v>
      </c>
      <c r="R592" s="7" t="n">
        <f aca="false">IF(OR(F592="Open",F592="Reopened"),1,0)</f>
        <v>0</v>
      </c>
      <c r="S592" s="7" t="n">
        <f aca="false">IF(AND(H592&gt;='Exec Summary'!$E$1,H592&lt;='Exec Summary'!$E$2),1,0)</f>
        <v>0</v>
      </c>
      <c r="T592" s="7" t="n">
        <f aca="false">IF(AND(F592="Closed",I592&lt;&gt;"",I592&gt;='Exec Summary'!$E$1,I592&lt;='Exec Summary'!$E$2),1,0)</f>
        <v>0</v>
      </c>
      <c r="U592" s="7" t="n">
        <f aca="false">IF(F592="Reopened",1,0)</f>
        <v>0</v>
      </c>
      <c r="V592" s="7" t="n">
        <f aca="false">IF(AND(R592=1,O592&gt;Q592),1,0)</f>
        <v>0</v>
      </c>
      <c r="W592" s="7" t="n">
        <f aca="false">IF(AND(T592=1,P592&lt;&gt;"",P592&lt;=Q592),1,0)</f>
        <v>0</v>
      </c>
    </row>
    <row r="593" customFormat="false" ht="15" hidden="false" customHeight="false" outlineLevel="0" collapsed="false">
      <c r="A593" s="7" t="s">
        <v>780</v>
      </c>
      <c r="B593" s="7" t="s">
        <v>46</v>
      </c>
      <c r="C593" s="7" t="s">
        <v>79</v>
      </c>
      <c r="D593" s="7" t="s">
        <v>62</v>
      </c>
      <c r="E593" s="7" t="s">
        <v>63</v>
      </c>
      <c r="F593" s="7" t="s">
        <v>56</v>
      </c>
      <c r="G593" s="7" t="s">
        <v>20</v>
      </c>
      <c r="H593" s="9" t="n">
        <v>46220</v>
      </c>
      <c r="I593" s="9"/>
      <c r="J593" s="7" t="n">
        <v>8.1</v>
      </c>
      <c r="K593" s="7" t="s">
        <v>771</v>
      </c>
      <c r="L593" s="7" t="s">
        <v>19</v>
      </c>
      <c r="M593" s="7" t="s">
        <v>791</v>
      </c>
      <c r="N593" s="7" t="s">
        <v>53</v>
      </c>
      <c r="O593" s="10" t="n">
        <f aca="false">'Exec Summary'!$E$2-H593</f>
        <v>14</v>
      </c>
      <c r="P593" s="10" t="str">
        <f aca="false">IF(I593="","",I593-H593)</f>
        <v/>
      </c>
      <c r="Q593" s="10" t="n">
        <f aca="false">VLOOKUP(G593,$AA$2:$AB$5,2,FALSE())</f>
        <v>30</v>
      </c>
      <c r="R593" s="7" t="n">
        <f aca="false">IF(OR(F593="Open",F593="Reopened"),1,0)</f>
        <v>1</v>
      </c>
      <c r="S593" s="7" t="n">
        <f aca="false">IF(AND(H593&gt;='Exec Summary'!$E$1,H593&lt;='Exec Summary'!$E$2),1,0)</f>
        <v>1</v>
      </c>
      <c r="T593" s="7" t="n">
        <f aca="false">IF(AND(F593="Closed",I593&lt;&gt;"",I593&gt;='Exec Summary'!$E$1,I593&lt;='Exec Summary'!$E$2),1,0)</f>
        <v>0</v>
      </c>
      <c r="U593" s="7" t="n">
        <f aca="false">IF(F593="Reopened",1,0)</f>
        <v>0</v>
      </c>
      <c r="V593" s="7" t="n">
        <f aca="false">IF(AND(R593=1,O593&gt;Q593),1,0)</f>
        <v>0</v>
      </c>
      <c r="W593" s="7" t="n">
        <f aca="false">IF(AND(T593=1,P593&lt;&gt;"",P593&lt;=Q593),1,0)</f>
        <v>0</v>
      </c>
    </row>
    <row r="594" customFormat="false" ht="15" hidden="false" customHeight="false" outlineLevel="0" collapsed="false">
      <c r="A594" s="7" t="s">
        <v>780</v>
      </c>
      <c r="B594" s="7" t="s">
        <v>46</v>
      </c>
      <c r="C594" s="7" t="s">
        <v>79</v>
      </c>
      <c r="D594" s="7" t="s">
        <v>98</v>
      </c>
      <c r="E594" s="7" t="s">
        <v>99</v>
      </c>
      <c r="F594" s="7" t="s">
        <v>56</v>
      </c>
      <c r="G594" s="7" t="s">
        <v>19</v>
      </c>
      <c r="H594" s="9" t="n">
        <v>46004</v>
      </c>
      <c r="I594" s="9"/>
      <c r="J594" s="7" t="n">
        <v>10</v>
      </c>
      <c r="K594" s="7" t="s">
        <v>771</v>
      </c>
      <c r="L594" s="7" t="s">
        <v>19</v>
      </c>
      <c r="M594" s="7" t="s">
        <v>792</v>
      </c>
      <c r="N594" s="7" t="s">
        <v>58</v>
      </c>
      <c r="O594" s="10" t="n">
        <f aca="false">'Exec Summary'!$E$2-H594</f>
        <v>230</v>
      </c>
      <c r="P594" s="10" t="str">
        <f aca="false">IF(I594="","",I594-H594)</f>
        <v/>
      </c>
      <c r="Q594" s="10" t="n">
        <f aca="false">VLOOKUP(G594,$AA$2:$AB$5,2,FALSE())</f>
        <v>15</v>
      </c>
      <c r="R594" s="7" t="n">
        <f aca="false">IF(OR(F594="Open",F594="Reopened"),1,0)</f>
        <v>1</v>
      </c>
      <c r="S594" s="7" t="n">
        <f aca="false">IF(AND(H594&gt;='Exec Summary'!$E$1,H594&lt;='Exec Summary'!$E$2),1,0)</f>
        <v>0</v>
      </c>
      <c r="T594" s="7" t="n">
        <f aca="false">IF(AND(F594="Closed",I594&lt;&gt;"",I594&gt;='Exec Summary'!$E$1,I594&lt;='Exec Summary'!$E$2),1,0)</f>
        <v>0</v>
      </c>
      <c r="U594" s="7" t="n">
        <f aca="false">IF(F594="Reopened",1,0)</f>
        <v>0</v>
      </c>
      <c r="V594" s="7" t="n">
        <f aca="false">IF(AND(R594=1,O594&gt;Q594),1,0)</f>
        <v>1</v>
      </c>
      <c r="W594" s="7" t="n">
        <f aca="false">IF(AND(T594=1,P594&lt;&gt;"",P594&lt;=Q594),1,0)</f>
        <v>0</v>
      </c>
    </row>
    <row r="595" customFormat="false" ht="15" hidden="false" customHeight="false" outlineLevel="0" collapsed="false">
      <c r="A595" s="7" t="s">
        <v>780</v>
      </c>
      <c r="B595" s="7" t="s">
        <v>46</v>
      </c>
      <c r="C595" s="7" t="s">
        <v>79</v>
      </c>
      <c r="D595" s="7" t="s">
        <v>68</v>
      </c>
      <c r="E595" s="7" t="s">
        <v>69</v>
      </c>
      <c r="F595" s="7" t="s">
        <v>50</v>
      </c>
      <c r="G595" s="7" t="s">
        <v>19</v>
      </c>
      <c r="H595" s="9" t="n">
        <v>46210</v>
      </c>
      <c r="I595" s="9" t="n">
        <v>46228</v>
      </c>
      <c r="J595" s="7" t="n">
        <v>9.8</v>
      </c>
      <c r="K595" s="7" t="s">
        <v>771</v>
      </c>
      <c r="L595" s="7" t="s">
        <v>19</v>
      </c>
      <c r="M595" s="7" t="s">
        <v>793</v>
      </c>
      <c r="N595" s="7" t="s">
        <v>58</v>
      </c>
      <c r="O595" s="10" t="n">
        <f aca="false">'Exec Summary'!$E$2-H595</f>
        <v>24</v>
      </c>
      <c r="P595" s="10" t="n">
        <f aca="false">IF(I595="","",I595-H595)</f>
        <v>18</v>
      </c>
      <c r="Q595" s="10" t="n">
        <f aca="false">VLOOKUP(G595,$AA$2:$AB$5,2,FALSE())</f>
        <v>15</v>
      </c>
      <c r="R595" s="7" t="n">
        <f aca="false">IF(OR(F595="Open",F595="Reopened"),1,0)</f>
        <v>0</v>
      </c>
      <c r="S595" s="7" t="n">
        <f aca="false">IF(AND(H595&gt;='Exec Summary'!$E$1,H595&lt;='Exec Summary'!$E$2),1,0)</f>
        <v>1</v>
      </c>
      <c r="T595" s="7" t="n">
        <f aca="false">IF(AND(F595="Closed",I595&lt;&gt;"",I595&gt;='Exec Summary'!$E$1,I595&lt;='Exec Summary'!$E$2),1,0)</f>
        <v>1</v>
      </c>
      <c r="U595" s="7" t="n">
        <f aca="false">IF(F595="Reopened",1,0)</f>
        <v>0</v>
      </c>
      <c r="V595" s="7" t="n">
        <f aca="false">IF(AND(R595=1,O595&gt;Q595),1,0)</f>
        <v>0</v>
      </c>
      <c r="W595" s="7" t="n">
        <f aca="false">IF(AND(T595=1,P595&lt;&gt;"",P595&lt;=Q595),1,0)</f>
        <v>0</v>
      </c>
    </row>
    <row r="596" customFormat="false" ht="15" hidden="false" customHeight="false" outlineLevel="0" collapsed="false">
      <c r="A596" s="7" t="s">
        <v>794</v>
      </c>
      <c r="B596" s="7" t="s">
        <v>135</v>
      </c>
      <c r="C596" s="7" t="s">
        <v>306</v>
      </c>
      <c r="D596" s="7" t="s">
        <v>62</v>
      </c>
      <c r="E596" s="7" t="s">
        <v>63</v>
      </c>
      <c r="F596" s="7" t="s">
        <v>56</v>
      </c>
      <c r="G596" s="7" t="s">
        <v>20</v>
      </c>
      <c r="H596" s="9" t="n">
        <v>46174</v>
      </c>
      <c r="I596" s="9"/>
      <c r="J596" s="7" t="n">
        <v>8.1</v>
      </c>
      <c r="K596" s="7" t="s">
        <v>771</v>
      </c>
      <c r="L596" s="7" t="s">
        <v>19</v>
      </c>
      <c r="M596" s="7" t="s">
        <v>795</v>
      </c>
      <c r="N596" s="7" t="s">
        <v>53</v>
      </c>
      <c r="O596" s="10" t="n">
        <f aca="false">'Exec Summary'!$E$2-H596</f>
        <v>60</v>
      </c>
      <c r="P596" s="10" t="str">
        <f aca="false">IF(I596="","",I596-H596)</f>
        <v/>
      </c>
      <c r="Q596" s="10" t="n">
        <f aca="false">VLOOKUP(G596,$AA$2:$AB$5,2,FALSE())</f>
        <v>30</v>
      </c>
      <c r="R596" s="7" t="n">
        <f aca="false">IF(OR(F596="Open",F596="Reopened"),1,0)</f>
        <v>1</v>
      </c>
      <c r="S596" s="7" t="n">
        <f aca="false">IF(AND(H596&gt;='Exec Summary'!$E$1,H596&lt;='Exec Summary'!$E$2),1,0)</f>
        <v>0</v>
      </c>
      <c r="T596" s="7" t="n">
        <f aca="false">IF(AND(F596="Closed",I596&lt;&gt;"",I596&gt;='Exec Summary'!$E$1,I596&lt;='Exec Summary'!$E$2),1,0)</f>
        <v>0</v>
      </c>
      <c r="U596" s="7" t="n">
        <f aca="false">IF(F596="Reopened",1,0)</f>
        <v>0</v>
      </c>
      <c r="V596" s="7" t="n">
        <f aca="false">IF(AND(R596=1,O596&gt;Q596),1,0)</f>
        <v>1</v>
      </c>
      <c r="W596" s="7" t="n">
        <f aca="false">IF(AND(T596=1,P596&lt;&gt;"",P596&lt;=Q596),1,0)</f>
        <v>0</v>
      </c>
    </row>
    <row r="597" customFormat="false" ht="15" hidden="false" customHeight="false" outlineLevel="0" collapsed="false">
      <c r="A597" s="7" t="s">
        <v>794</v>
      </c>
      <c r="B597" s="7" t="s">
        <v>135</v>
      </c>
      <c r="C597" s="7" t="s">
        <v>306</v>
      </c>
      <c r="D597" s="7" t="s">
        <v>95</v>
      </c>
      <c r="E597" s="7" t="s">
        <v>96</v>
      </c>
      <c r="F597" s="7" t="s">
        <v>50</v>
      </c>
      <c r="G597" s="7" t="s">
        <v>20</v>
      </c>
      <c r="H597" s="9" t="n">
        <v>46083</v>
      </c>
      <c r="I597" s="9" t="n">
        <v>46091</v>
      </c>
      <c r="J597" s="7" t="n">
        <v>8.8</v>
      </c>
      <c r="K597" s="7" t="s">
        <v>771</v>
      </c>
      <c r="L597" s="7" t="s">
        <v>19</v>
      </c>
      <c r="M597" s="7" t="s">
        <v>796</v>
      </c>
      <c r="N597" s="7" t="s">
        <v>53</v>
      </c>
      <c r="O597" s="10" t="n">
        <f aca="false">'Exec Summary'!$E$2-H597</f>
        <v>151</v>
      </c>
      <c r="P597" s="10" t="n">
        <f aca="false">IF(I597="","",I597-H597)</f>
        <v>8</v>
      </c>
      <c r="Q597" s="10" t="n">
        <f aca="false">VLOOKUP(G597,$AA$2:$AB$5,2,FALSE())</f>
        <v>30</v>
      </c>
      <c r="R597" s="7" t="n">
        <f aca="false">IF(OR(F597="Open",F597="Reopened"),1,0)</f>
        <v>0</v>
      </c>
      <c r="S597" s="7" t="n">
        <f aca="false">IF(AND(H597&gt;='Exec Summary'!$E$1,H597&lt;='Exec Summary'!$E$2),1,0)</f>
        <v>0</v>
      </c>
      <c r="T597" s="7" t="n">
        <f aca="false">IF(AND(F597="Closed",I597&lt;&gt;"",I597&gt;='Exec Summary'!$E$1,I597&lt;='Exec Summary'!$E$2),1,0)</f>
        <v>0</v>
      </c>
      <c r="U597" s="7" t="n">
        <f aca="false">IF(F597="Reopened",1,0)</f>
        <v>0</v>
      </c>
      <c r="V597" s="7" t="n">
        <f aca="false">IF(AND(R597=1,O597&gt;Q597),1,0)</f>
        <v>0</v>
      </c>
      <c r="W597" s="7" t="n">
        <f aca="false">IF(AND(T597=1,P597&lt;&gt;"",P597&lt;=Q597),1,0)</f>
        <v>0</v>
      </c>
    </row>
    <row r="598" customFormat="false" ht="15" hidden="false" customHeight="false" outlineLevel="0" collapsed="false">
      <c r="A598" s="7" t="s">
        <v>794</v>
      </c>
      <c r="B598" s="7" t="s">
        <v>135</v>
      </c>
      <c r="C598" s="7" t="s">
        <v>306</v>
      </c>
      <c r="D598" s="7" t="s">
        <v>192</v>
      </c>
      <c r="E598" s="7" t="s">
        <v>193</v>
      </c>
      <c r="F598" s="7" t="s">
        <v>56</v>
      </c>
      <c r="G598" s="7" t="s">
        <v>19</v>
      </c>
      <c r="H598" s="9" t="n">
        <v>46030</v>
      </c>
      <c r="I598" s="9"/>
      <c r="J598" s="7" t="n">
        <v>9.8</v>
      </c>
      <c r="K598" s="7" t="s">
        <v>771</v>
      </c>
      <c r="L598" s="7" t="s">
        <v>19</v>
      </c>
      <c r="M598" s="7" t="s">
        <v>797</v>
      </c>
      <c r="N598" s="7" t="s">
        <v>58</v>
      </c>
      <c r="O598" s="10" t="n">
        <f aca="false">'Exec Summary'!$E$2-H598</f>
        <v>204</v>
      </c>
      <c r="P598" s="10" t="str">
        <f aca="false">IF(I598="","",I598-H598)</f>
        <v/>
      </c>
      <c r="Q598" s="10" t="n">
        <f aca="false">VLOOKUP(G598,$AA$2:$AB$5,2,FALSE())</f>
        <v>15</v>
      </c>
      <c r="R598" s="7" t="n">
        <f aca="false">IF(OR(F598="Open",F598="Reopened"),1,0)</f>
        <v>1</v>
      </c>
      <c r="S598" s="7" t="n">
        <f aca="false">IF(AND(H598&gt;='Exec Summary'!$E$1,H598&lt;='Exec Summary'!$E$2),1,0)</f>
        <v>0</v>
      </c>
      <c r="T598" s="7" t="n">
        <f aca="false">IF(AND(F598="Closed",I598&lt;&gt;"",I598&gt;='Exec Summary'!$E$1,I598&lt;='Exec Summary'!$E$2),1,0)</f>
        <v>0</v>
      </c>
      <c r="U598" s="7" t="n">
        <f aca="false">IF(F598="Reopened",1,0)</f>
        <v>0</v>
      </c>
      <c r="V598" s="7" t="n">
        <f aca="false">IF(AND(R598=1,O598&gt;Q598),1,0)</f>
        <v>1</v>
      </c>
      <c r="W598" s="7" t="n">
        <f aca="false">IF(AND(T598=1,P598&lt;&gt;"",P598&lt;=Q598),1,0)</f>
        <v>0</v>
      </c>
    </row>
    <row r="599" customFormat="false" ht="15" hidden="false" customHeight="false" outlineLevel="0" collapsed="false">
      <c r="A599" s="7" t="s">
        <v>794</v>
      </c>
      <c r="B599" s="7" t="s">
        <v>135</v>
      </c>
      <c r="C599" s="7" t="s">
        <v>306</v>
      </c>
      <c r="D599" s="7" t="s">
        <v>84</v>
      </c>
      <c r="E599" s="7" t="s">
        <v>85</v>
      </c>
      <c r="F599" s="7" t="s">
        <v>50</v>
      </c>
      <c r="G599" s="7" t="s">
        <v>20</v>
      </c>
      <c r="H599" s="9" t="n">
        <v>45978</v>
      </c>
      <c r="I599" s="9" t="n">
        <v>46015</v>
      </c>
      <c r="J599" s="7" t="n">
        <v>7.5</v>
      </c>
      <c r="K599" s="7" t="s">
        <v>771</v>
      </c>
      <c r="L599" s="7" t="s">
        <v>19</v>
      </c>
      <c r="M599" s="7" t="s">
        <v>798</v>
      </c>
      <c r="N599" s="7" t="s">
        <v>53</v>
      </c>
      <c r="O599" s="10" t="n">
        <f aca="false">'Exec Summary'!$E$2-H599</f>
        <v>256</v>
      </c>
      <c r="P599" s="10" t="n">
        <f aca="false">IF(I599="","",I599-H599)</f>
        <v>37</v>
      </c>
      <c r="Q599" s="10" t="n">
        <f aca="false">VLOOKUP(G599,$AA$2:$AB$5,2,FALSE())</f>
        <v>30</v>
      </c>
      <c r="R599" s="7" t="n">
        <f aca="false">IF(OR(F599="Open",F599="Reopened"),1,0)</f>
        <v>0</v>
      </c>
      <c r="S599" s="7" t="n">
        <f aca="false">IF(AND(H599&gt;='Exec Summary'!$E$1,H599&lt;='Exec Summary'!$E$2),1,0)</f>
        <v>0</v>
      </c>
      <c r="T599" s="7" t="n">
        <f aca="false">IF(AND(F599="Closed",I599&lt;&gt;"",I599&gt;='Exec Summary'!$E$1,I599&lt;='Exec Summary'!$E$2),1,0)</f>
        <v>0</v>
      </c>
      <c r="U599" s="7" t="n">
        <f aca="false">IF(F599="Reopened",1,0)</f>
        <v>0</v>
      </c>
      <c r="V599" s="7" t="n">
        <f aca="false">IF(AND(R599=1,O599&gt;Q599),1,0)</f>
        <v>0</v>
      </c>
      <c r="W599" s="7" t="n">
        <f aca="false">IF(AND(T599=1,P599&lt;&gt;"",P599&lt;=Q599),1,0)</f>
        <v>0</v>
      </c>
    </row>
    <row r="600" customFormat="false" ht="15" hidden="false" customHeight="false" outlineLevel="0" collapsed="false">
      <c r="A600" s="7" t="s">
        <v>794</v>
      </c>
      <c r="B600" s="7" t="s">
        <v>135</v>
      </c>
      <c r="C600" s="7" t="s">
        <v>306</v>
      </c>
      <c r="D600" s="7" t="s">
        <v>166</v>
      </c>
      <c r="E600" s="7" t="s">
        <v>167</v>
      </c>
      <c r="F600" s="7" t="s">
        <v>50</v>
      </c>
      <c r="G600" s="7" t="s">
        <v>19</v>
      </c>
      <c r="H600" s="9" t="n">
        <v>45973</v>
      </c>
      <c r="I600" s="9" t="n">
        <v>45982</v>
      </c>
      <c r="J600" s="7" t="n">
        <v>9.8</v>
      </c>
      <c r="K600" s="7" t="s">
        <v>771</v>
      </c>
      <c r="L600" s="7" t="s">
        <v>19</v>
      </c>
      <c r="M600" s="7" t="s">
        <v>799</v>
      </c>
      <c r="N600" s="7" t="s">
        <v>58</v>
      </c>
      <c r="O600" s="10" t="n">
        <f aca="false">'Exec Summary'!$E$2-H600</f>
        <v>261</v>
      </c>
      <c r="P600" s="10" t="n">
        <f aca="false">IF(I600="","",I600-H600)</f>
        <v>9</v>
      </c>
      <c r="Q600" s="10" t="n">
        <f aca="false">VLOOKUP(G600,$AA$2:$AB$5,2,FALSE())</f>
        <v>15</v>
      </c>
      <c r="R600" s="7" t="n">
        <f aca="false">IF(OR(F600="Open",F600="Reopened"),1,0)</f>
        <v>0</v>
      </c>
      <c r="S600" s="7" t="n">
        <f aca="false">IF(AND(H600&gt;='Exec Summary'!$E$1,H600&lt;='Exec Summary'!$E$2),1,0)</f>
        <v>0</v>
      </c>
      <c r="T600" s="7" t="n">
        <f aca="false">IF(AND(F600="Closed",I600&lt;&gt;"",I600&gt;='Exec Summary'!$E$1,I600&lt;='Exec Summary'!$E$2),1,0)</f>
        <v>0</v>
      </c>
      <c r="U600" s="7" t="n">
        <f aca="false">IF(F600="Reopened",1,0)</f>
        <v>0</v>
      </c>
      <c r="V600" s="7" t="n">
        <f aca="false">IF(AND(R600=1,O600&gt;Q600),1,0)</f>
        <v>0</v>
      </c>
      <c r="W600" s="7" t="n">
        <f aca="false">IF(AND(T600=1,P600&lt;&gt;"",P600&lt;=Q600),1,0)</f>
        <v>0</v>
      </c>
    </row>
    <row r="601" customFormat="false" ht="15" hidden="false" customHeight="false" outlineLevel="0" collapsed="false">
      <c r="A601" s="7" t="s">
        <v>794</v>
      </c>
      <c r="B601" s="7" t="s">
        <v>135</v>
      </c>
      <c r="C601" s="7" t="s">
        <v>306</v>
      </c>
      <c r="D601" s="7" t="s">
        <v>120</v>
      </c>
      <c r="E601" s="7" t="s">
        <v>121</v>
      </c>
      <c r="F601" s="7" t="s">
        <v>56</v>
      </c>
      <c r="G601" s="7" t="s">
        <v>19</v>
      </c>
      <c r="H601" s="9" t="n">
        <v>46200</v>
      </c>
      <c r="I601" s="9"/>
      <c r="J601" s="7" t="n">
        <v>8.8</v>
      </c>
      <c r="K601" s="7" t="s">
        <v>771</v>
      </c>
      <c r="L601" s="7" t="s">
        <v>19</v>
      </c>
      <c r="M601" s="7" t="s">
        <v>800</v>
      </c>
      <c r="N601" s="7" t="s">
        <v>58</v>
      </c>
      <c r="O601" s="10" t="n">
        <f aca="false">'Exec Summary'!$E$2-H601</f>
        <v>34</v>
      </c>
      <c r="P601" s="10" t="str">
        <f aca="false">IF(I601="","",I601-H601)</f>
        <v/>
      </c>
      <c r="Q601" s="10" t="n">
        <f aca="false">VLOOKUP(G601,$AA$2:$AB$5,2,FALSE())</f>
        <v>15</v>
      </c>
      <c r="R601" s="7" t="n">
        <f aca="false">IF(OR(F601="Open",F601="Reopened"),1,0)</f>
        <v>1</v>
      </c>
      <c r="S601" s="7" t="n">
        <f aca="false">IF(AND(H601&gt;='Exec Summary'!$E$1,H601&lt;='Exec Summary'!$E$2),1,0)</f>
        <v>0</v>
      </c>
      <c r="T601" s="7" t="n">
        <f aca="false">IF(AND(F601="Closed",I601&lt;&gt;"",I601&gt;='Exec Summary'!$E$1,I601&lt;='Exec Summary'!$E$2),1,0)</f>
        <v>0</v>
      </c>
      <c r="U601" s="7" t="n">
        <f aca="false">IF(F601="Reopened",1,0)</f>
        <v>0</v>
      </c>
      <c r="V601" s="7" t="n">
        <f aca="false">IF(AND(R601=1,O601&gt;Q601),1,0)</f>
        <v>1</v>
      </c>
      <c r="W601" s="7" t="n">
        <f aca="false">IF(AND(T601=1,P601&lt;&gt;"",P601&lt;=Q601),1,0)</f>
        <v>0</v>
      </c>
    </row>
    <row r="602" customFormat="false" ht="15" hidden="false" customHeight="false" outlineLevel="0" collapsed="false">
      <c r="A602" s="7" t="s">
        <v>794</v>
      </c>
      <c r="B602" s="7" t="s">
        <v>135</v>
      </c>
      <c r="C602" s="7" t="s">
        <v>306</v>
      </c>
      <c r="D602" s="7" t="s">
        <v>112</v>
      </c>
      <c r="E602" s="7" t="s">
        <v>113</v>
      </c>
      <c r="F602" s="7" t="s">
        <v>50</v>
      </c>
      <c r="G602" s="7" t="s">
        <v>20</v>
      </c>
      <c r="H602" s="9" t="n">
        <v>46084</v>
      </c>
      <c r="I602" s="9" t="n">
        <v>46127</v>
      </c>
      <c r="J602" s="7" t="n">
        <v>7.8</v>
      </c>
      <c r="K602" s="7" t="s">
        <v>771</v>
      </c>
      <c r="L602" s="7" t="s">
        <v>19</v>
      </c>
      <c r="M602" s="7" t="s">
        <v>801</v>
      </c>
      <c r="N602" s="7" t="s">
        <v>53</v>
      </c>
      <c r="O602" s="10" t="n">
        <f aca="false">'Exec Summary'!$E$2-H602</f>
        <v>150</v>
      </c>
      <c r="P602" s="10" t="n">
        <f aca="false">IF(I602="","",I602-H602)</f>
        <v>43</v>
      </c>
      <c r="Q602" s="10" t="n">
        <f aca="false">VLOOKUP(G602,$AA$2:$AB$5,2,FALSE())</f>
        <v>30</v>
      </c>
      <c r="R602" s="7" t="n">
        <f aca="false">IF(OR(F602="Open",F602="Reopened"),1,0)</f>
        <v>0</v>
      </c>
      <c r="S602" s="7" t="n">
        <f aca="false">IF(AND(H602&gt;='Exec Summary'!$E$1,H602&lt;='Exec Summary'!$E$2),1,0)</f>
        <v>0</v>
      </c>
      <c r="T602" s="7" t="n">
        <f aca="false">IF(AND(F602="Closed",I602&lt;&gt;"",I602&gt;='Exec Summary'!$E$1,I602&lt;='Exec Summary'!$E$2),1,0)</f>
        <v>0</v>
      </c>
      <c r="U602" s="7" t="n">
        <f aca="false">IF(F602="Reopened",1,0)</f>
        <v>0</v>
      </c>
      <c r="V602" s="7" t="n">
        <f aca="false">IF(AND(R602=1,O602&gt;Q602),1,0)</f>
        <v>0</v>
      </c>
      <c r="W602" s="7" t="n">
        <f aca="false">IF(AND(T602=1,P602&lt;&gt;"",P602&lt;=Q602),1,0)</f>
        <v>0</v>
      </c>
    </row>
    <row r="603" customFormat="false" ht="15" hidden="false" customHeight="false" outlineLevel="0" collapsed="false">
      <c r="A603" s="7" t="s">
        <v>794</v>
      </c>
      <c r="B603" s="7" t="s">
        <v>135</v>
      </c>
      <c r="C603" s="7" t="s">
        <v>306</v>
      </c>
      <c r="D603" s="7" t="s">
        <v>139</v>
      </c>
      <c r="E603" s="7" t="s">
        <v>140</v>
      </c>
      <c r="F603" s="7" t="s">
        <v>50</v>
      </c>
      <c r="G603" s="7" t="s">
        <v>19</v>
      </c>
      <c r="H603" s="9" t="n">
        <v>46176</v>
      </c>
      <c r="I603" s="9" t="n">
        <v>46178</v>
      </c>
      <c r="J603" s="7" t="n">
        <v>9.8</v>
      </c>
      <c r="K603" s="7" t="s">
        <v>771</v>
      </c>
      <c r="L603" s="7" t="s">
        <v>19</v>
      </c>
      <c r="M603" s="7" t="s">
        <v>802</v>
      </c>
      <c r="N603" s="7" t="s">
        <v>58</v>
      </c>
      <c r="O603" s="10" t="n">
        <f aca="false">'Exec Summary'!$E$2-H603</f>
        <v>58</v>
      </c>
      <c r="P603" s="10" t="n">
        <f aca="false">IF(I603="","",I603-H603)</f>
        <v>2</v>
      </c>
      <c r="Q603" s="10" t="n">
        <f aca="false">VLOOKUP(G603,$AA$2:$AB$5,2,FALSE())</f>
        <v>15</v>
      </c>
      <c r="R603" s="7" t="n">
        <f aca="false">IF(OR(F603="Open",F603="Reopened"),1,0)</f>
        <v>0</v>
      </c>
      <c r="S603" s="7" t="n">
        <f aca="false">IF(AND(H603&gt;='Exec Summary'!$E$1,H603&lt;='Exec Summary'!$E$2),1,0)</f>
        <v>0</v>
      </c>
      <c r="T603" s="7" t="n">
        <f aca="false">IF(AND(F603="Closed",I603&lt;&gt;"",I603&gt;='Exec Summary'!$E$1,I603&lt;='Exec Summary'!$E$2),1,0)</f>
        <v>0</v>
      </c>
      <c r="U603" s="7" t="n">
        <f aca="false">IF(F603="Reopened",1,0)</f>
        <v>0</v>
      </c>
      <c r="V603" s="7" t="n">
        <f aca="false">IF(AND(R603=1,O603&gt;Q603),1,0)</f>
        <v>0</v>
      </c>
      <c r="W603" s="7" t="n">
        <f aca="false">IF(AND(T603=1,P603&lt;&gt;"",P603&lt;=Q603),1,0)</f>
        <v>0</v>
      </c>
    </row>
    <row r="604" customFormat="false" ht="15" hidden="false" customHeight="false" outlineLevel="0" collapsed="false">
      <c r="A604" s="7" t="s">
        <v>794</v>
      </c>
      <c r="B604" s="7" t="s">
        <v>135</v>
      </c>
      <c r="C604" s="7" t="s">
        <v>306</v>
      </c>
      <c r="D604" s="7" t="s">
        <v>108</v>
      </c>
      <c r="E604" s="7" t="s">
        <v>109</v>
      </c>
      <c r="F604" s="7" t="s">
        <v>56</v>
      </c>
      <c r="G604" s="7" t="s">
        <v>20</v>
      </c>
      <c r="H604" s="9" t="n">
        <v>45945</v>
      </c>
      <c r="I604" s="9"/>
      <c r="J604" s="7" t="n">
        <v>8.6</v>
      </c>
      <c r="K604" s="7" t="s">
        <v>771</v>
      </c>
      <c r="L604" s="7" t="s">
        <v>19</v>
      </c>
      <c r="M604" s="7" t="s">
        <v>803</v>
      </c>
      <c r="N604" s="7" t="s">
        <v>53</v>
      </c>
      <c r="O604" s="10" t="n">
        <f aca="false">'Exec Summary'!$E$2-H604</f>
        <v>289</v>
      </c>
      <c r="P604" s="10" t="str">
        <f aca="false">IF(I604="","",I604-H604)</f>
        <v/>
      </c>
      <c r="Q604" s="10" t="n">
        <f aca="false">VLOOKUP(G604,$AA$2:$AB$5,2,FALSE())</f>
        <v>30</v>
      </c>
      <c r="R604" s="7" t="n">
        <f aca="false">IF(OR(F604="Open",F604="Reopened"),1,0)</f>
        <v>1</v>
      </c>
      <c r="S604" s="7" t="n">
        <f aca="false">IF(AND(H604&gt;='Exec Summary'!$E$1,H604&lt;='Exec Summary'!$E$2),1,0)</f>
        <v>0</v>
      </c>
      <c r="T604" s="7" t="n">
        <f aca="false">IF(AND(F604="Closed",I604&lt;&gt;"",I604&gt;='Exec Summary'!$E$1,I604&lt;='Exec Summary'!$E$2),1,0)</f>
        <v>0</v>
      </c>
      <c r="U604" s="7" t="n">
        <f aca="false">IF(F604="Reopened",1,0)</f>
        <v>0</v>
      </c>
      <c r="V604" s="7" t="n">
        <f aca="false">IF(AND(R604=1,O604&gt;Q604),1,0)</f>
        <v>1</v>
      </c>
      <c r="W604" s="7" t="n">
        <f aca="false">IF(AND(T604=1,P604&lt;&gt;"",P604&lt;=Q604),1,0)</f>
        <v>0</v>
      </c>
    </row>
    <row r="605" customFormat="false" ht="15" hidden="false" customHeight="false" outlineLevel="0" collapsed="false">
      <c r="A605" s="7" t="s">
        <v>794</v>
      </c>
      <c r="B605" s="7" t="s">
        <v>135</v>
      </c>
      <c r="C605" s="7" t="s">
        <v>306</v>
      </c>
      <c r="D605" s="7" t="s">
        <v>117</v>
      </c>
      <c r="E605" s="7" t="s">
        <v>118</v>
      </c>
      <c r="F605" s="7" t="s">
        <v>56</v>
      </c>
      <c r="G605" s="7" t="s">
        <v>19</v>
      </c>
      <c r="H605" s="9" t="n">
        <v>46200</v>
      </c>
      <c r="I605" s="9"/>
      <c r="J605" s="7" t="n">
        <v>10</v>
      </c>
      <c r="K605" s="7" t="s">
        <v>771</v>
      </c>
      <c r="L605" s="7" t="s">
        <v>19</v>
      </c>
      <c r="M605" s="7" t="s">
        <v>804</v>
      </c>
      <c r="N605" s="7" t="s">
        <v>58</v>
      </c>
      <c r="O605" s="10" t="n">
        <f aca="false">'Exec Summary'!$E$2-H605</f>
        <v>34</v>
      </c>
      <c r="P605" s="10" t="str">
        <f aca="false">IF(I605="","",I605-H605)</f>
        <v/>
      </c>
      <c r="Q605" s="10" t="n">
        <f aca="false">VLOOKUP(G605,$AA$2:$AB$5,2,FALSE())</f>
        <v>15</v>
      </c>
      <c r="R605" s="7" t="n">
        <f aca="false">IF(OR(F605="Open",F605="Reopened"),1,0)</f>
        <v>1</v>
      </c>
      <c r="S605" s="7" t="n">
        <f aca="false">IF(AND(H605&gt;='Exec Summary'!$E$1,H605&lt;='Exec Summary'!$E$2),1,0)</f>
        <v>0</v>
      </c>
      <c r="T605" s="7" t="n">
        <f aca="false">IF(AND(F605="Closed",I605&lt;&gt;"",I605&gt;='Exec Summary'!$E$1,I605&lt;='Exec Summary'!$E$2),1,0)</f>
        <v>0</v>
      </c>
      <c r="U605" s="7" t="n">
        <f aca="false">IF(F605="Reopened",1,0)</f>
        <v>0</v>
      </c>
      <c r="V605" s="7" t="n">
        <f aca="false">IF(AND(R605=1,O605&gt;Q605),1,0)</f>
        <v>1</v>
      </c>
      <c r="W605" s="7" t="n">
        <f aca="false">IF(AND(T605=1,P605&lt;&gt;"",P605&lt;=Q605),1,0)</f>
        <v>0</v>
      </c>
    </row>
    <row r="606" customFormat="false" ht="15" hidden="false" customHeight="false" outlineLevel="0" collapsed="false">
      <c r="A606" s="7" t="s">
        <v>794</v>
      </c>
      <c r="B606" s="7" t="s">
        <v>135</v>
      </c>
      <c r="C606" s="7" t="s">
        <v>306</v>
      </c>
      <c r="D606" s="7" t="s">
        <v>131</v>
      </c>
      <c r="E606" s="7" t="s">
        <v>132</v>
      </c>
      <c r="F606" s="7" t="s">
        <v>56</v>
      </c>
      <c r="G606" s="7" t="s">
        <v>19</v>
      </c>
      <c r="H606" s="9" t="n">
        <v>46109</v>
      </c>
      <c r="I606" s="9"/>
      <c r="J606" s="7" t="n">
        <v>9.8</v>
      </c>
      <c r="K606" s="7" t="s">
        <v>771</v>
      </c>
      <c r="L606" s="7" t="s">
        <v>19</v>
      </c>
      <c r="M606" s="7" t="s">
        <v>805</v>
      </c>
      <c r="N606" s="7" t="s">
        <v>58</v>
      </c>
      <c r="O606" s="10" t="n">
        <f aca="false">'Exec Summary'!$E$2-H606</f>
        <v>125</v>
      </c>
      <c r="P606" s="10" t="str">
        <f aca="false">IF(I606="","",I606-H606)</f>
        <v/>
      </c>
      <c r="Q606" s="10" t="n">
        <f aca="false">VLOOKUP(G606,$AA$2:$AB$5,2,FALSE())</f>
        <v>15</v>
      </c>
      <c r="R606" s="7" t="n">
        <f aca="false">IF(OR(F606="Open",F606="Reopened"),1,0)</f>
        <v>1</v>
      </c>
      <c r="S606" s="7" t="n">
        <f aca="false">IF(AND(H606&gt;='Exec Summary'!$E$1,H606&lt;='Exec Summary'!$E$2),1,0)</f>
        <v>0</v>
      </c>
      <c r="T606" s="7" t="n">
        <f aca="false">IF(AND(F606="Closed",I606&lt;&gt;"",I606&gt;='Exec Summary'!$E$1,I606&lt;='Exec Summary'!$E$2),1,0)</f>
        <v>0</v>
      </c>
      <c r="U606" s="7" t="n">
        <f aca="false">IF(F606="Reopened",1,0)</f>
        <v>0</v>
      </c>
      <c r="V606" s="7" t="n">
        <f aca="false">IF(AND(R606=1,O606&gt;Q606),1,0)</f>
        <v>1</v>
      </c>
      <c r="W606" s="7" t="n">
        <f aca="false">IF(AND(T606=1,P606&lt;&gt;"",P606&lt;=Q606),1,0)</f>
        <v>0</v>
      </c>
    </row>
    <row r="607" customFormat="false" ht="15" hidden="false" customHeight="false" outlineLevel="0" collapsed="false">
      <c r="A607" s="7" t="s">
        <v>806</v>
      </c>
      <c r="B607" s="7" t="s">
        <v>46</v>
      </c>
      <c r="C607" s="7" t="s">
        <v>79</v>
      </c>
      <c r="D607" s="7" t="s">
        <v>210</v>
      </c>
      <c r="E607" s="7" t="s">
        <v>211</v>
      </c>
      <c r="F607" s="7" t="s">
        <v>56</v>
      </c>
      <c r="G607" s="7" t="s">
        <v>19</v>
      </c>
      <c r="H607" s="9" t="n">
        <v>46021</v>
      </c>
      <c r="I607" s="9"/>
      <c r="J607" s="7" t="n">
        <v>9.8</v>
      </c>
      <c r="K607" s="7" t="s">
        <v>771</v>
      </c>
      <c r="L607" s="7" t="s">
        <v>22</v>
      </c>
      <c r="M607" s="7" t="s">
        <v>807</v>
      </c>
      <c r="N607" s="7" t="s">
        <v>58</v>
      </c>
      <c r="O607" s="10" t="n">
        <f aca="false">'Exec Summary'!$E$2-H607</f>
        <v>213</v>
      </c>
      <c r="P607" s="10" t="str">
        <f aca="false">IF(I607="","",I607-H607)</f>
        <v/>
      </c>
      <c r="Q607" s="10" t="n">
        <f aca="false">VLOOKUP(G607,$AA$2:$AB$5,2,FALSE())</f>
        <v>15</v>
      </c>
      <c r="R607" s="7" t="n">
        <f aca="false">IF(OR(F607="Open",F607="Reopened"),1,0)</f>
        <v>1</v>
      </c>
      <c r="S607" s="7" t="n">
        <f aca="false">IF(AND(H607&gt;='Exec Summary'!$E$1,H607&lt;='Exec Summary'!$E$2),1,0)</f>
        <v>0</v>
      </c>
      <c r="T607" s="7" t="n">
        <f aca="false">IF(AND(F607="Closed",I607&lt;&gt;"",I607&gt;='Exec Summary'!$E$1,I607&lt;='Exec Summary'!$E$2),1,0)</f>
        <v>0</v>
      </c>
      <c r="U607" s="7" t="n">
        <f aca="false">IF(F607="Reopened",1,0)</f>
        <v>0</v>
      </c>
      <c r="V607" s="7" t="n">
        <f aca="false">IF(AND(R607=1,O607&gt;Q607),1,0)</f>
        <v>1</v>
      </c>
      <c r="W607" s="7" t="n">
        <f aca="false">IF(AND(T607=1,P607&lt;&gt;"",P607&lt;=Q607),1,0)</f>
        <v>0</v>
      </c>
    </row>
    <row r="608" customFormat="false" ht="15" hidden="false" customHeight="false" outlineLevel="0" collapsed="false">
      <c r="A608" s="7" t="s">
        <v>806</v>
      </c>
      <c r="B608" s="7" t="s">
        <v>46</v>
      </c>
      <c r="C608" s="7" t="s">
        <v>79</v>
      </c>
      <c r="D608" s="7" t="s">
        <v>120</v>
      </c>
      <c r="E608" s="7" t="s">
        <v>121</v>
      </c>
      <c r="F608" s="7" t="s">
        <v>50</v>
      </c>
      <c r="G608" s="7" t="s">
        <v>19</v>
      </c>
      <c r="H608" s="9" t="n">
        <v>46181</v>
      </c>
      <c r="I608" s="9" t="n">
        <v>46195</v>
      </c>
      <c r="J608" s="7" t="n">
        <v>8.8</v>
      </c>
      <c r="K608" s="7" t="s">
        <v>771</v>
      </c>
      <c r="L608" s="7" t="s">
        <v>22</v>
      </c>
      <c r="M608" s="7" t="s">
        <v>808</v>
      </c>
      <c r="N608" s="7" t="s">
        <v>58</v>
      </c>
      <c r="O608" s="10" t="n">
        <f aca="false">'Exec Summary'!$E$2-H608</f>
        <v>53</v>
      </c>
      <c r="P608" s="10" t="n">
        <f aca="false">IF(I608="","",I608-H608)</f>
        <v>14</v>
      </c>
      <c r="Q608" s="10" t="n">
        <f aca="false">VLOOKUP(G608,$AA$2:$AB$5,2,FALSE())</f>
        <v>15</v>
      </c>
      <c r="R608" s="7" t="n">
        <f aca="false">IF(OR(F608="Open",F608="Reopened"),1,0)</f>
        <v>0</v>
      </c>
      <c r="S608" s="7" t="n">
        <f aca="false">IF(AND(H608&gt;='Exec Summary'!$E$1,H608&lt;='Exec Summary'!$E$2),1,0)</f>
        <v>0</v>
      </c>
      <c r="T608" s="7" t="n">
        <f aca="false">IF(AND(F608="Closed",I608&lt;&gt;"",I608&gt;='Exec Summary'!$E$1,I608&lt;='Exec Summary'!$E$2),1,0)</f>
        <v>0</v>
      </c>
      <c r="U608" s="7" t="n">
        <f aca="false">IF(F608="Reopened",1,0)</f>
        <v>0</v>
      </c>
      <c r="V608" s="7" t="n">
        <f aca="false">IF(AND(R608=1,O608&gt;Q608),1,0)</f>
        <v>0</v>
      </c>
      <c r="W608" s="7" t="n">
        <f aca="false">IF(AND(T608=1,P608&lt;&gt;"",P608&lt;=Q608),1,0)</f>
        <v>0</v>
      </c>
    </row>
    <row r="609" customFormat="false" ht="15" hidden="false" customHeight="false" outlineLevel="0" collapsed="false">
      <c r="A609" s="7" t="s">
        <v>806</v>
      </c>
      <c r="B609" s="7" t="s">
        <v>46</v>
      </c>
      <c r="C609" s="7" t="s">
        <v>79</v>
      </c>
      <c r="D609" s="7" t="s">
        <v>87</v>
      </c>
      <c r="E609" s="7" t="s">
        <v>88</v>
      </c>
      <c r="F609" s="7" t="s">
        <v>50</v>
      </c>
      <c r="G609" s="7" t="s">
        <v>19</v>
      </c>
      <c r="H609" s="9" t="n">
        <v>46009</v>
      </c>
      <c r="I609" s="9" t="n">
        <v>46016</v>
      </c>
      <c r="J609" s="7" t="n">
        <v>10</v>
      </c>
      <c r="K609" s="7" t="s">
        <v>771</v>
      </c>
      <c r="L609" s="7" t="s">
        <v>22</v>
      </c>
      <c r="M609" s="7" t="s">
        <v>809</v>
      </c>
      <c r="N609" s="7" t="s">
        <v>58</v>
      </c>
      <c r="O609" s="10" t="n">
        <f aca="false">'Exec Summary'!$E$2-H609</f>
        <v>225</v>
      </c>
      <c r="P609" s="10" t="n">
        <f aca="false">IF(I609="","",I609-H609)</f>
        <v>7</v>
      </c>
      <c r="Q609" s="10" t="n">
        <f aca="false">VLOOKUP(G609,$AA$2:$AB$5,2,FALSE())</f>
        <v>15</v>
      </c>
      <c r="R609" s="7" t="n">
        <f aca="false">IF(OR(F609="Open",F609="Reopened"),1,0)</f>
        <v>0</v>
      </c>
      <c r="S609" s="7" t="n">
        <f aca="false">IF(AND(H609&gt;='Exec Summary'!$E$1,H609&lt;='Exec Summary'!$E$2),1,0)</f>
        <v>0</v>
      </c>
      <c r="T609" s="7" t="n">
        <f aca="false">IF(AND(F609="Closed",I609&lt;&gt;"",I609&gt;='Exec Summary'!$E$1,I609&lt;='Exec Summary'!$E$2),1,0)</f>
        <v>0</v>
      </c>
      <c r="U609" s="7" t="n">
        <f aca="false">IF(F609="Reopened",1,0)</f>
        <v>0</v>
      </c>
      <c r="V609" s="7" t="n">
        <f aca="false">IF(AND(R609=1,O609&gt;Q609),1,0)</f>
        <v>0</v>
      </c>
      <c r="W609" s="7" t="n">
        <f aca="false">IF(AND(T609=1,P609&lt;&gt;"",P609&lt;=Q609),1,0)</f>
        <v>0</v>
      </c>
    </row>
    <row r="610" customFormat="false" ht="15" hidden="false" customHeight="false" outlineLevel="0" collapsed="false">
      <c r="A610" s="7" t="s">
        <v>810</v>
      </c>
      <c r="B610" s="7" t="s">
        <v>46</v>
      </c>
      <c r="C610" s="7" t="s">
        <v>128</v>
      </c>
      <c r="D610" s="7" t="s">
        <v>163</v>
      </c>
      <c r="E610" s="7" t="s">
        <v>164</v>
      </c>
      <c r="F610" s="7" t="s">
        <v>50</v>
      </c>
      <c r="G610" s="7" t="s">
        <v>19</v>
      </c>
      <c r="H610" s="9" t="n">
        <v>45998</v>
      </c>
      <c r="I610" s="9" t="n">
        <v>46010</v>
      </c>
      <c r="J610" s="7" t="n">
        <v>9.1</v>
      </c>
      <c r="K610" s="7" t="s">
        <v>771</v>
      </c>
      <c r="L610" s="7" t="s">
        <v>20</v>
      </c>
      <c r="M610" s="7" t="s">
        <v>811</v>
      </c>
      <c r="N610" s="7" t="s">
        <v>58</v>
      </c>
      <c r="O610" s="10" t="n">
        <f aca="false">'Exec Summary'!$E$2-H610</f>
        <v>236</v>
      </c>
      <c r="P610" s="10" t="n">
        <f aca="false">IF(I610="","",I610-H610)</f>
        <v>12</v>
      </c>
      <c r="Q610" s="10" t="n">
        <f aca="false">VLOOKUP(G610,$AA$2:$AB$5,2,FALSE())</f>
        <v>15</v>
      </c>
      <c r="R610" s="7" t="n">
        <f aca="false">IF(OR(F610="Open",F610="Reopened"),1,0)</f>
        <v>0</v>
      </c>
      <c r="S610" s="7" t="n">
        <f aca="false">IF(AND(H610&gt;='Exec Summary'!$E$1,H610&lt;='Exec Summary'!$E$2),1,0)</f>
        <v>0</v>
      </c>
      <c r="T610" s="7" t="n">
        <f aca="false">IF(AND(F610="Closed",I610&lt;&gt;"",I610&gt;='Exec Summary'!$E$1,I610&lt;='Exec Summary'!$E$2),1,0)</f>
        <v>0</v>
      </c>
      <c r="U610" s="7" t="n">
        <f aca="false">IF(F610="Reopened",1,0)</f>
        <v>0</v>
      </c>
      <c r="V610" s="7" t="n">
        <f aca="false">IF(AND(R610=1,O610&gt;Q610),1,0)</f>
        <v>0</v>
      </c>
      <c r="W610" s="7" t="n">
        <f aca="false">IF(AND(T610=1,P610&lt;&gt;"",P610&lt;=Q610),1,0)</f>
        <v>0</v>
      </c>
    </row>
    <row r="611" customFormat="false" ht="15" hidden="false" customHeight="false" outlineLevel="0" collapsed="false">
      <c r="A611" s="7" t="s">
        <v>812</v>
      </c>
      <c r="B611" s="7" t="s">
        <v>46</v>
      </c>
      <c r="C611" s="7" t="s">
        <v>158</v>
      </c>
      <c r="D611" s="7" t="s">
        <v>48</v>
      </c>
      <c r="E611" s="7" t="s">
        <v>49</v>
      </c>
      <c r="F611" s="7" t="s">
        <v>50</v>
      </c>
      <c r="G611" s="7" t="s">
        <v>20</v>
      </c>
      <c r="H611" s="9" t="n">
        <v>46097</v>
      </c>
      <c r="I611" s="9" t="n">
        <v>46136</v>
      </c>
      <c r="J611" s="7" t="n">
        <v>7.5</v>
      </c>
      <c r="K611" s="7" t="s">
        <v>771</v>
      </c>
      <c r="L611" s="7" t="s">
        <v>21</v>
      </c>
      <c r="M611" s="7" t="s">
        <v>813</v>
      </c>
      <c r="N611" s="7" t="s">
        <v>53</v>
      </c>
      <c r="O611" s="10" t="n">
        <f aca="false">'Exec Summary'!$E$2-H611</f>
        <v>137</v>
      </c>
      <c r="P611" s="10" t="n">
        <f aca="false">IF(I611="","",I611-H611)</f>
        <v>39</v>
      </c>
      <c r="Q611" s="10" t="n">
        <f aca="false">VLOOKUP(G611,$AA$2:$AB$5,2,FALSE())</f>
        <v>30</v>
      </c>
      <c r="R611" s="7" t="n">
        <f aca="false">IF(OR(F611="Open",F611="Reopened"),1,0)</f>
        <v>0</v>
      </c>
      <c r="S611" s="7" t="n">
        <f aca="false">IF(AND(H611&gt;='Exec Summary'!$E$1,H611&lt;='Exec Summary'!$E$2),1,0)</f>
        <v>0</v>
      </c>
      <c r="T611" s="7" t="n">
        <f aca="false">IF(AND(F611="Closed",I611&lt;&gt;"",I611&gt;='Exec Summary'!$E$1,I611&lt;='Exec Summary'!$E$2),1,0)</f>
        <v>0</v>
      </c>
      <c r="U611" s="7" t="n">
        <f aca="false">IF(F611="Reopened",1,0)</f>
        <v>0</v>
      </c>
      <c r="V611" s="7" t="n">
        <f aca="false">IF(AND(R611=1,O611&gt;Q611),1,0)</f>
        <v>0</v>
      </c>
      <c r="W611" s="7" t="n">
        <f aca="false">IF(AND(T611=1,P611&lt;&gt;"",P611&lt;=Q611),1,0)</f>
        <v>0</v>
      </c>
    </row>
    <row r="612" customFormat="false" ht="15" hidden="false" customHeight="false" outlineLevel="0" collapsed="false">
      <c r="A612" s="7" t="s">
        <v>812</v>
      </c>
      <c r="B612" s="7" t="s">
        <v>46</v>
      </c>
      <c r="C612" s="7" t="s">
        <v>158</v>
      </c>
      <c r="D612" s="7" t="s">
        <v>91</v>
      </c>
      <c r="E612" s="7" t="s">
        <v>92</v>
      </c>
      <c r="F612" s="7" t="s">
        <v>56</v>
      </c>
      <c r="G612" s="7" t="s">
        <v>20</v>
      </c>
      <c r="H612" s="9" t="n">
        <v>46176</v>
      </c>
      <c r="I612" s="9"/>
      <c r="J612" s="7" t="n">
        <v>8.1</v>
      </c>
      <c r="K612" s="7" t="s">
        <v>771</v>
      </c>
      <c r="L612" s="7" t="s">
        <v>21</v>
      </c>
      <c r="M612" s="7" t="s">
        <v>814</v>
      </c>
      <c r="N612" s="7" t="s">
        <v>53</v>
      </c>
      <c r="O612" s="10" t="n">
        <f aca="false">'Exec Summary'!$E$2-H612</f>
        <v>58</v>
      </c>
      <c r="P612" s="10" t="str">
        <f aca="false">IF(I612="","",I612-H612)</f>
        <v/>
      </c>
      <c r="Q612" s="10" t="n">
        <f aca="false">VLOOKUP(G612,$AA$2:$AB$5,2,FALSE())</f>
        <v>30</v>
      </c>
      <c r="R612" s="7" t="n">
        <f aca="false">IF(OR(F612="Open",F612="Reopened"),1,0)</f>
        <v>1</v>
      </c>
      <c r="S612" s="7" t="n">
        <f aca="false">IF(AND(H612&gt;='Exec Summary'!$E$1,H612&lt;='Exec Summary'!$E$2),1,0)</f>
        <v>0</v>
      </c>
      <c r="T612" s="7" t="n">
        <f aca="false">IF(AND(F612="Closed",I612&lt;&gt;"",I612&gt;='Exec Summary'!$E$1,I612&lt;='Exec Summary'!$E$2),1,0)</f>
        <v>0</v>
      </c>
      <c r="U612" s="7" t="n">
        <f aca="false">IF(F612="Reopened",1,0)</f>
        <v>0</v>
      </c>
      <c r="V612" s="7" t="n">
        <f aca="false">IF(AND(R612=1,O612&gt;Q612),1,0)</f>
        <v>1</v>
      </c>
      <c r="W612" s="7" t="n">
        <f aca="false">IF(AND(T612=1,P612&lt;&gt;"",P612&lt;=Q612),1,0)</f>
        <v>0</v>
      </c>
    </row>
    <row r="613" customFormat="false" ht="15" hidden="false" customHeight="false" outlineLevel="0" collapsed="false">
      <c r="A613" s="7" t="s">
        <v>812</v>
      </c>
      <c r="B613" s="7" t="s">
        <v>46</v>
      </c>
      <c r="C613" s="7" t="s">
        <v>158</v>
      </c>
      <c r="D613" s="7" t="s">
        <v>87</v>
      </c>
      <c r="E613" s="7" t="s">
        <v>88</v>
      </c>
      <c r="F613" s="7" t="s">
        <v>56</v>
      </c>
      <c r="G613" s="7" t="s">
        <v>19</v>
      </c>
      <c r="H613" s="9" t="n">
        <v>46223</v>
      </c>
      <c r="I613" s="9"/>
      <c r="J613" s="7" t="n">
        <v>10</v>
      </c>
      <c r="K613" s="7" t="s">
        <v>771</v>
      </c>
      <c r="L613" s="7" t="s">
        <v>21</v>
      </c>
      <c r="M613" s="7" t="s">
        <v>815</v>
      </c>
      <c r="N613" s="7" t="s">
        <v>58</v>
      </c>
      <c r="O613" s="10" t="n">
        <f aca="false">'Exec Summary'!$E$2-H613</f>
        <v>11</v>
      </c>
      <c r="P613" s="10" t="str">
        <f aca="false">IF(I613="","",I613-H613)</f>
        <v/>
      </c>
      <c r="Q613" s="10" t="n">
        <f aca="false">VLOOKUP(G613,$AA$2:$AB$5,2,FALSE())</f>
        <v>15</v>
      </c>
      <c r="R613" s="7" t="n">
        <f aca="false">IF(OR(F613="Open",F613="Reopened"),1,0)</f>
        <v>1</v>
      </c>
      <c r="S613" s="7" t="n">
        <f aca="false">IF(AND(H613&gt;='Exec Summary'!$E$1,H613&lt;='Exec Summary'!$E$2),1,0)</f>
        <v>1</v>
      </c>
      <c r="T613" s="7" t="n">
        <f aca="false">IF(AND(F613="Closed",I613&lt;&gt;"",I613&gt;='Exec Summary'!$E$1,I613&lt;='Exec Summary'!$E$2),1,0)</f>
        <v>0</v>
      </c>
      <c r="U613" s="7" t="n">
        <f aca="false">IF(F613="Reopened",1,0)</f>
        <v>0</v>
      </c>
      <c r="V613" s="7" t="n">
        <f aca="false">IF(AND(R613=1,O613&gt;Q613),1,0)</f>
        <v>0</v>
      </c>
      <c r="W613" s="7" t="n">
        <f aca="false">IF(AND(T613=1,P613&lt;&gt;"",P613&lt;=Q613),1,0)</f>
        <v>0</v>
      </c>
    </row>
    <row r="614" customFormat="false" ht="15" hidden="false" customHeight="false" outlineLevel="0" collapsed="false">
      <c r="A614" s="7" t="s">
        <v>812</v>
      </c>
      <c r="B614" s="7" t="s">
        <v>46</v>
      </c>
      <c r="C614" s="7" t="s">
        <v>158</v>
      </c>
      <c r="D614" s="7" t="s">
        <v>131</v>
      </c>
      <c r="E614" s="7" t="s">
        <v>132</v>
      </c>
      <c r="F614" s="7" t="s">
        <v>56</v>
      </c>
      <c r="G614" s="7" t="s">
        <v>19</v>
      </c>
      <c r="H614" s="9" t="n">
        <v>46107</v>
      </c>
      <c r="I614" s="9"/>
      <c r="J614" s="7" t="n">
        <v>9.8</v>
      </c>
      <c r="K614" s="7" t="s">
        <v>771</v>
      </c>
      <c r="L614" s="7" t="s">
        <v>21</v>
      </c>
      <c r="M614" s="7" t="s">
        <v>816</v>
      </c>
      <c r="N614" s="7" t="s">
        <v>58</v>
      </c>
      <c r="O614" s="10" t="n">
        <f aca="false">'Exec Summary'!$E$2-H614</f>
        <v>127</v>
      </c>
      <c r="P614" s="10" t="str">
        <f aca="false">IF(I614="","",I614-H614)</f>
        <v/>
      </c>
      <c r="Q614" s="10" t="n">
        <f aca="false">VLOOKUP(G614,$AA$2:$AB$5,2,FALSE())</f>
        <v>15</v>
      </c>
      <c r="R614" s="7" t="n">
        <f aca="false">IF(OR(F614="Open",F614="Reopened"),1,0)</f>
        <v>1</v>
      </c>
      <c r="S614" s="7" t="n">
        <f aca="false">IF(AND(H614&gt;='Exec Summary'!$E$1,H614&lt;='Exec Summary'!$E$2),1,0)</f>
        <v>0</v>
      </c>
      <c r="T614" s="7" t="n">
        <f aca="false">IF(AND(F614="Closed",I614&lt;&gt;"",I614&gt;='Exec Summary'!$E$1,I614&lt;='Exec Summary'!$E$2),1,0)</f>
        <v>0</v>
      </c>
      <c r="U614" s="7" t="n">
        <f aca="false">IF(F614="Reopened",1,0)</f>
        <v>0</v>
      </c>
      <c r="V614" s="7" t="n">
        <f aca="false">IF(AND(R614=1,O614&gt;Q614),1,0)</f>
        <v>1</v>
      </c>
      <c r="W614" s="7" t="n">
        <f aca="false">IF(AND(T614=1,P614&lt;&gt;"",P614&lt;=Q614),1,0)</f>
        <v>0</v>
      </c>
    </row>
    <row r="615" customFormat="false" ht="15" hidden="false" customHeight="false" outlineLevel="0" collapsed="false">
      <c r="A615" s="7" t="s">
        <v>812</v>
      </c>
      <c r="B615" s="7" t="s">
        <v>46</v>
      </c>
      <c r="C615" s="7" t="s">
        <v>158</v>
      </c>
      <c r="D615" s="7" t="s">
        <v>101</v>
      </c>
      <c r="E615" s="7" t="s">
        <v>102</v>
      </c>
      <c r="F615" s="7" t="s">
        <v>50</v>
      </c>
      <c r="G615" s="7" t="s">
        <v>19</v>
      </c>
      <c r="H615" s="9" t="n">
        <v>45954</v>
      </c>
      <c r="I615" s="9" t="n">
        <v>45963</v>
      </c>
      <c r="J615" s="7" t="n">
        <v>10</v>
      </c>
      <c r="K615" s="7" t="s">
        <v>771</v>
      </c>
      <c r="L615" s="7" t="s">
        <v>21</v>
      </c>
      <c r="M615" s="7" t="s">
        <v>817</v>
      </c>
      <c r="N615" s="7" t="s">
        <v>58</v>
      </c>
      <c r="O615" s="10" t="n">
        <f aca="false">'Exec Summary'!$E$2-H615</f>
        <v>280</v>
      </c>
      <c r="P615" s="10" t="n">
        <f aca="false">IF(I615="","",I615-H615)</f>
        <v>9</v>
      </c>
      <c r="Q615" s="10" t="n">
        <f aca="false">VLOOKUP(G615,$AA$2:$AB$5,2,FALSE())</f>
        <v>15</v>
      </c>
      <c r="R615" s="7" t="n">
        <f aca="false">IF(OR(F615="Open",F615="Reopened"),1,0)</f>
        <v>0</v>
      </c>
      <c r="S615" s="7" t="n">
        <f aca="false">IF(AND(H615&gt;='Exec Summary'!$E$1,H615&lt;='Exec Summary'!$E$2),1,0)</f>
        <v>0</v>
      </c>
      <c r="T615" s="7" t="n">
        <f aca="false">IF(AND(F615="Closed",I615&lt;&gt;"",I615&gt;='Exec Summary'!$E$1,I615&lt;='Exec Summary'!$E$2),1,0)</f>
        <v>0</v>
      </c>
      <c r="U615" s="7" t="n">
        <f aca="false">IF(F615="Reopened",1,0)</f>
        <v>0</v>
      </c>
      <c r="V615" s="7" t="n">
        <f aca="false">IF(AND(R615=1,O615&gt;Q615),1,0)</f>
        <v>0</v>
      </c>
      <c r="W615" s="7" t="n">
        <f aca="false">IF(AND(T615=1,P615&lt;&gt;"",P615&lt;=Q615),1,0)</f>
        <v>0</v>
      </c>
    </row>
    <row r="616" customFormat="false" ht="15" hidden="false" customHeight="false" outlineLevel="0" collapsed="false">
      <c r="A616" s="7" t="s">
        <v>812</v>
      </c>
      <c r="B616" s="7" t="s">
        <v>46</v>
      </c>
      <c r="C616" s="7" t="s">
        <v>158</v>
      </c>
      <c r="D616" s="7" t="s">
        <v>145</v>
      </c>
      <c r="E616" s="7" t="s">
        <v>146</v>
      </c>
      <c r="F616" s="7" t="s">
        <v>123</v>
      </c>
      <c r="G616" s="7" t="s">
        <v>19</v>
      </c>
      <c r="H616" s="9" t="n">
        <v>45946</v>
      </c>
      <c r="I616" s="9" t="n">
        <v>45961</v>
      </c>
      <c r="J616" s="7" t="n">
        <v>9.8</v>
      </c>
      <c r="K616" s="7" t="s">
        <v>771</v>
      </c>
      <c r="L616" s="7" t="s">
        <v>21</v>
      </c>
      <c r="M616" s="7" t="s">
        <v>818</v>
      </c>
      <c r="N616" s="7" t="s">
        <v>58</v>
      </c>
      <c r="O616" s="10" t="n">
        <f aca="false">'Exec Summary'!$E$2-H616</f>
        <v>288</v>
      </c>
      <c r="P616" s="10" t="n">
        <f aca="false">IF(I616="","",I616-H616)</f>
        <v>15</v>
      </c>
      <c r="Q616" s="10" t="n">
        <f aca="false">VLOOKUP(G616,$AA$2:$AB$5,2,FALSE())</f>
        <v>15</v>
      </c>
      <c r="R616" s="7" t="n">
        <f aca="false">IF(OR(F616="Open",F616="Reopened"),1,0)</f>
        <v>1</v>
      </c>
      <c r="S616" s="7" t="n">
        <f aca="false">IF(AND(H616&gt;='Exec Summary'!$E$1,H616&lt;='Exec Summary'!$E$2),1,0)</f>
        <v>0</v>
      </c>
      <c r="T616" s="7" t="n">
        <f aca="false">IF(AND(F616="Closed",I616&lt;&gt;"",I616&gt;='Exec Summary'!$E$1,I616&lt;='Exec Summary'!$E$2),1,0)</f>
        <v>0</v>
      </c>
      <c r="U616" s="7" t="n">
        <f aca="false">IF(F616="Reopened",1,0)</f>
        <v>1</v>
      </c>
      <c r="V616" s="7" t="n">
        <f aca="false">IF(AND(R616=1,O616&gt;Q616),1,0)</f>
        <v>1</v>
      </c>
      <c r="W616" s="7" t="n">
        <f aca="false">IF(AND(T616=1,P616&lt;&gt;"",P616&lt;=Q616),1,0)</f>
        <v>0</v>
      </c>
    </row>
    <row r="617" customFormat="false" ht="15" hidden="false" customHeight="false" outlineLevel="0" collapsed="false">
      <c r="A617" s="7" t="s">
        <v>812</v>
      </c>
      <c r="B617" s="7" t="s">
        <v>46</v>
      </c>
      <c r="C617" s="7" t="s">
        <v>158</v>
      </c>
      <c r="D617" s="7" t="s">
        <v>139</v>
      </c>
      <c r="E617" s="7" t="s">
        <v>140</v>
      </c>
      <c r="F617" s="7" t="s">
        <v>56</v>
      </c>
      <c r="G617" s="7" t="s">
        <v>19</v>
      </c>
      <c r="H617" s="9" t="n">
        <v>46033</v>
      </c>
      <c r="I617" s="9"/>
      <c r="J617" s="7" t="n">
        <v>9.8</v>
      </c>
      <c r="K617" s="7" t="s">
        <v>771</v>
      </c>
      <c r="L617" s="7" t="s">
        <v>21</v>
      </c>
      <c r="M617" s="7" t="s">
        <v>819</v>
      </c>
      <c r="N617" s="7" t="s">
        <v>58</v>
      </c>
      <c r="O617" s="10" t="n">
        <f aca="false">'Exec Summary'!$E$2-H617</f>
        <v>201</v>
      </c>
      <c r="P617" s="10" t="str">
        <f aca="false">IF(I617="","",I617-H617)</f>
        <v/>
      </c>
      <c r="Q617" s="10" t="n">
        <f aca="false">VLOOKUP(G617,$AA$2:$AB$5,2,FALSE())</f>
        <v>15</v>
      </c>
      <c r="R617" s="7" t="n">
        <f aca="false">IF(OR(F617="Open",F617="Reopened"),1,0)</f>
        <v>1</v>
      </c>
      <c r="S617" s="7" t="n">
        <f aca="false">IF(AND(H617&gt;='Exec Summary'!$E$1,H617&lt;='Exec Summary'!$E$2),1,0)</f>
        <v>0</v>
      </c>
      <c r="T617" s="7" t="n">
        <f aca="false">IF(AND(F617="Closed",I617&lt;&gt;"",I617&gt;='Exec Summary'!$E$1,I617&lt;='Exec Summary'!$E$2),1,0)</f>
        <v>0</v>
      </c>
      <c r="U617" s="7" t="n">
        <f aca="false">IF(F617="Reopened",1,0)</f>
        <v>0</v>
      </c>
      <c r="V617" s="7" t="n">
        <f aca="false">IF(AND(R617=1,O617&gt;Q617),1,0)</f>
        <v>1</v>
      </c>
      <c r="W617" s="7" t="n">
        <f aca="false">IF(AND(T617=1,P617&lt;&gt;"",P617&lt;=Q617),1,0)</f>
        <v>0</v>
      </c>
    </row>
    <row r="618" customFormat="false" ht="15" hidden="false" customHeight="false" outlineLevel="0" collapsed="false">
      <c r="A618" s="7" t="s">
        <v>812</v>
      </c>
      <c r="B618" s="7" t="s">
        <v>46</v>
      </c>
      <c r="C618" s="7" t="s">
        <v>158</v>
      </c>
      <c r="D618" s="7" t="s">
        <v>68</v>
      </c>
      <c r="E618" s="7" t="s">
        <v>69</v>
      </c>
      <c r="F618" s="7" t="s">
        <v>123</v>
      </c>
      <c r="G618" s="7" t="s">
        <v>19</v>
      </c>
      <c r="H618" s="9" t="n">
        <v>46076</v>
      </c>
      <c r="I618" s="9" t="n">
        <v>46081</v>
      </c>
      <c r="J618" s="7" t="n">
        <v>9.8</v>
      </c>
      <c r="K618" s="7" t="s">
        <v>771</v>
      </c>
      <c r="L618" s="7" t="s">
        <v>21</v>
      </c>
      <c r="M618" s="7" t="s">
        <v>820</v>
      </c>
      <c r="N618" s="7" t="s">
        <v>58</v>
      </c>
      <c r="O618" s="10" t="n">
        <f aca="false">'Exec Summary'!$E$2-H618</f>
        <v>158</v>
      </c>
      <c r="P618" s="10" t="n">
        <f aca="false">IF(I618="","",I618-H618)</f>
        <v>5</v>
      </c>
      <c r="Q618" s="10" t="n">
        <f aca="false">VLOOKUP(G618,$AA$2:$AB$5,2,FALSE())</f>
        <v>15</v>
      </c>
      <c r="R618" s="7" t="n">
        <f aca="false">IF(OR(F618="Open",F618="Reopened"),1,0)</f>
        <v>1</v>
      </c>
      <c r="S618" s="7" t="n">
        <f aca="false">IF(AND(H618&gt;='Exec Summary'!$E$1,H618&lt;='Exec Summary'!$E$2),1,0)</f>
        <v>0</v>
      </c>
      <c r="T618" s="7" t="n">
        <f aca="false">IF(AND(F618="Closed",I618&lt;&gt;"",I618&gt;='Exec Summary'!$E$1,I618&lt;='Exec Summary'!$E$2),1,0)</f>
        <v>0</v>
      </c>
      <c r="U618" s="7" t="n">
        <f aca="false">IF(F618="Reopened",1,0)</f>
        <v>1</v>
      </c>
      <c r="V618" s="7" t="n">
        <f aca="false">IF(AND(R618=1,O618&gt;Q618),1,0)</f>
        <v>1</v>
      </c>
      <c r="W618" s="7" t="n">
        <f aca="false">IF(AND(T618=1,P618&lt;&gt;"",P618&lt;=Q618),1,0)</f>
        <v>0</v>
      </c>
    </row>
    <row r="619" customFormat="false" ht="15" hidden="false" customHeight="false" outlineLevel="0" collapsed="false">
      <c r="A619" s="7" t="s">
        <v>812</v>
      </c>
      <c r="B619" s="7" t="s">
        <v>46</v>
      </c>
      <c r="C619" s="7" t="s">
        <v>158</v>
      </c>
      <c r="D619" s="7" t="s">
        <v>112</v>
      </c>
      <c r="E619" s="7" t="s">
        <v>113</v>
      </c>
      <c r="F619" s="7" t="s">
        <v>56</v>
      </c>
      <c r="G619" s="7" t="s">
        <v>20</v>
      </c>
      <c r="H619" s="9" t="n">
        <v>45978</v>
      </c>
      <c r="I619" s="9"/>
      <c r="J619" s="7" t="n">
        <v>7.8</v>
      </c>
      <c r="K619" s="7" t="s">
        <v>771</v>
      </c>
      <c r="L619" s="7" t="s">
        <v>21</v>
      </c>
      <c r="M619" s="7" t="s">
        <v>821</v>
      </c>
      <c r="N619" s="7" t="s">
        <v>53</v>
      </c>
      <c r="O619" s="10" t="n">
        <f aca="false">'Exec Summary'!$E$2-H619</f>
        <v>256</v>
      </c>
      <c r="P619" s="10" t="str">
        <f aca="false">IF(I619="","",I619-H619)</f>
        <v/>
      </c>
      <c r="Q619" s="10" t="n">
        <f aca="false">VLOOKUP(G619,$AA$2:$AB$5,2,FALSE())</f>
        <v>30</v>
      </c>
      <c r="R619" s="7" t="n">
        <f aca="false">IF(OR(F619="Open",F619="Reopened"),1,0)</f>
        <v>1</v>
      </c>
      <c r="S619" s="7" t="n">
        <f aca="false">IF(AND(H619&gt;='Exec Summary'!$E$1,H619&lt;='Exec Summary'!$E$2),1,0)</f>
        <v>0</v>
      </c>
      <c r="T619" s="7" t="n">
        <f aca="false">IF(AND(F619="Closed",I619&lt;&gt;"",I619&gt;='Exec Summary'!$E$1,I619&lt;='Exec Summary'!$E$2),1,0)</f>
        <v>0</v>
      </c>
      <c r="U619" s="7" t="n">
        <f aca="false">IF(F619="Reopened",1,0)</f>
        <v>0</v>
      </c>
      <c r="V619" s="7" t="n">
        <f aca="false">IF(AND(R619=1,O619&gt;Q619),1,0)</f>
        <v>1</v>
      </c>
      <c r="W619" s="7" t="n">
        <f aca="false">IF(AND(T619=1,P619&lt;&gt;"",P619&lt;=Q619),1,0)</f>
        <v>0</v>
      </c>
    </row>
    <row r="620" customFormat="false" ht="15" hidden="false" customHeight="false" outlineLevel="0" collapsed="false">
      <c r="A620" s="7" t="s">
        <v>822</v>
      </c>
      <c r="B620" s="7" t="s">
        <v>46</v>
      </c>
      <c r="C620" s="7" t="s">
        <v>47</v>
      </c>
      <c r="D620" s="7" t="s">
        <v>166</v>
      </c>
      <c r="E620" s="7" t="s">
        <v>167</v>
      </c>
      <c r="F620" s="7" t="s">
        <v>50</v>
      </c>
      <c r="G620" s="7" t="s">
        <v>19</v>
      </c>
      <c r="H620" s="9" t="n">
        <v>46113</v>
      </c>
      <c r="I620" s="9" t="n">
        <v>46116</v>
      </c>
      <c r="J620" s="7" t="n">
        <v>9.8</v>
      </c>
      <c r="K620" s="7" t="s">
        <v>771</v>
      </c>
      <c r="L620" s="7" t="s">
        <v>19</v>
      </c>
      <c r="M620" s="7" t="s">
        <v>823</v>
      </c>
      <c r="N620" s="7" t="s">
        <v>58</v>
      </c>
      <c r="O620" s="10" t="n">
        <f aca="false">'Exec Summary'!$E$2-H620</f>
        <v>121</v>
      </c>
      <c r="P620" s="10" t="n">
        <f aca="false">IF(I620="","",I620-H620)</f>
        <v>3</v>
      </c>
      <c r="Q620" s="10" t="n">
        <f aca="false">VLOOKUP(G620,$AA$2:$AB$5,2,FALSE())</f>
        <v>15</v>
      </c>
      <c r="R620" s="7" t="n">
        <f aca="false">IF(OR(F620="Open",F620="Reopened"),1,0)</f>
        <v>0</v>
      </c>
      <c r="S620" s="7" t="n">
        <f aca="false">IF(AND(H620&gt;='Exec Summary'!$E$1,H620&lt;='Exec Summary'!$E$2),1,0)</f>
        <v>0</v>
      </c>
      <c r="T620" s="7" t="n">
        <f aca="false">IF(AND(F620="Closed",I620&lt;&gt;"",I620&gt;='Exec Summary'!$E$1,I620&lt;='Exec Summary'!$E$2),1,0)</f>
        <v>0</v>
      </c>
      <c r="U620" s="7" t="n">
        <f aca="false">IF(F620="Reopened",1,0)</f>
        <v>0</v>
      </c>
      <c r="V620" s="7" t="n">
        <f aca="false">IF(AND(R620=1,O620&gt;Q620),1,0)</f>
        <v>0</v>
      </c>
      <c r="W620" s="7" t="n">
        <f aca="false">IF(AND(T620=1,P620&lt;&gt;"",P620&lt;=Q620),1,0)</f>
        <v>0</v>
      </c>
    </row>
    <row r="621" customFormat="false" ht="15" hidden="false" customHeight="false" outlineLevel="0" collapsed="false">
      <c r="A621" s="7" t="s">
        <v>822</v>
      </c>
      <c r="B621" s="7" t="s">
        <v>46</v>
      </c>
      <c r="C621" s="7" t="s">
        <v>47</v>
      </c>
      <c r="D621" s="7" t="s">
        <v>145</v>
      </c>
      <c r="E621" s="7" t="s">
        <v>146</v>
      </c>
      <c r="F621" s="7" t="s">
        <v>56</v>
      </c>
      <c r="G621" s="7" t="s">
        <v>19</v>
      </c>
      <c r="H621" s="9" t="n">
        <v>46146</v>
      </c>
      <c r="I621" s="9"/>
      <c r="J621" s="7" t="n">
        <v>9.8</v>
      </c>
      <c r="K621" s="7" t="s">
        <v>771</v>
      </c>
      <c r="L621" s="7" t="s">
        <v>19</v>
      </c>
      <c r="M621" s="7" t="s">
        <v>824</v>
      </c>
      <c r="N621" s="7" t="s">
        <v>58</v>
      </c>
      <c r="O621" s="10" t="n">
        <f aca="false">'Exec Summary'!$E$2-H621</f>
        <v>88</v>
      </c>
      <c r="P621" s="10" t="str">
        <f aca="false">IF(I621="","",I621-H621)</f>
        <v/>
      </c>
      <c r="Q621" s="10" t="n">
        <f aca="false">VLOOKUP(G621,$AA$2:$AB$5,2,FALSE())</f>
        <v>15</v>
      </c>
      <c r="R621" s="7" t="n">
        <f aca="false">IF(OR(F621="Open",F621="Reopened"),1,0)</f>
        <v>1</v>
      </c>
      <c r="S621" s="7" t="n">
        <f aca="false">IF(AND(H621&gt;='Exec Summary'!$E$1,H621&lt;='Exec Summary'!$E$2),1,0)</f>
        <v>0</v>
      </c>
      <c r="T621" s="7" t="n">
        <f aca="false">IF(AND(F621="Closed",I621&lt;&gt;"",I621&gt;='Exec Summary'!$E$1,I621&lt;='Exec Summary'!$E$2),1,0)</f>
        <v>0</v>
      </c>
      <c r="U621" s="7" t="n">
        <f aca="false">IF(F621="Reopened",1,0)</f>
        <v>0</v>
      </c>
      <c r="V621" s="7" t="n">
        <f aca="false">IF(AND(R621=1,O621&gt;Q621),1,0)</f>
        <v>1</v>
      </c>
      <c r="W621" s="7" t="n">
        <f aca="false">IF(AND(T621=1,P621&lt;&gt;"",P621&lt;=Q621),1,0)</f>
        <v>0</v>
      </c>
    </row>
    <row r="622" customFormat="false" ht="15" hidden="false" customHeight="false" outlineLevel="0" collapsed="false">
      <c r="A622" s="7" t="s">
        <v>822</v>
      </c>
      <c r="B622" s="7" t="s">
        <v>46</v>
      </c>
      <c r="C622" s="7" t="s">
        <v>47</v>
      </c>
      <c r="D622" s="7" t="s">
        <v>68</v>
      </c>
      <c r="E622" s="7" t="s">
        <v>69</v>
      </c>
      <c r="F622" s="7" t="s">
        <v>56</v>
      </c>
      <c r="G622" s="7" t="s">
        <v>19</v>
      </c>
      <c r="H622" s="9" t="n">
        <v>46017</v>
      </c>
      <c r="I622" s="9"/>
      <c r="J622" s="7" t="n">
        <v>9.8</v>
      </c>
      <c r="K622" s="7" t="s">
        <v>771</v>
      </c>
      <c r="L622" s="7" t="s">
        <v>19</v>
      </c>
      <c r="M622" s="7" t="s">
        <v>825</v>
      </c>
      <c r="N622" s="7" t="s">
        <v>58</v>
      </c>
      <c r="O622" s="10" t="n">
        <f aca="false">'Exec Summary'!$E$2-H622</f>
        <v>217</v>
      </c>
      <c r="P622" s="10" t="str">
        <f aca="false">IF(I622="","",I622-H622)</f>
        <v/>
      </c>
      <c r="Q622" s="10" t="n">
        <f aca="false">VLOOKUP(G622,$AA$2:$AB$5,2,FALSE())</f>
        <v>15</v>
      </c>
      <c r="R622" s="7" t="n">
        <f aca="false">IF(OR(F622="Open",F622="Reopened"),1,0)</f>
        <v>1</v>
      </c>
      <c r="S622" s="7" t="n">
        <f aca="false">IF(AND(H622&gt;='Exec Summary'!$E$1,H622&lt;='Exec Summary'!$E$2),1,0)</f>
        <v>0</v>
      </c>
      <c r="T622" s="7" t="n">
        <f aca="false">IF(AND(F622="Closed",I622&lt;&gt;"",I622&gt;='Exec Summary'!$E$1,I622&lt;='Exec Summary'!$E$2),1,0)</f>
        <v>0</v>
      </c>
      <c r="U622" s="7" t="n">
        <f aca="false">IF(F622="Reopened",1,0)</f>
        <v>0</v>
      </c>
      <c r="V622" s="7" t="n">
        <f aca="false">IF(AND(R622=1,O622&gt;Q622),1,0)</f>
        <v>1</v>
      </c>
      <c r="W622" s="7" t="n">
        <f aca="false">IF(AND(T622=1,P622&lt;&gt;"",P622&lt;=Q622),1,0)</f>
        <v>0</v>
      </c>
    </row>
    <row r="623" customFormat="false" ht="15" hidden="false" customHeight="false" outlineLevel="0" collapsed="false">
      <c r="A623" s="7" t="s">
        <v>822</v>
      </c>
      <c r="B623" s="7" t="s">
        <v>46</v>
      </c>
      <c r="C623" s="7" t="s">
        <v>47</v>
      </c>
      <c r="D623" s="7" t="s">
        <v>173</v>
      </c>
      <c r="E623" s="7" t="s">
        <v>174</v>
      </c>
      <c r="F623" s="7" t="s">
        <v>50</v>
      </c>
      <c r="G623" s="7" t="s">
        <v>19</v>
      </c>
      <c r="H623" s="9" t="n">
        <v>46146</v>
      </c>
      <c r="I623" s="9" t="n">
        <v>46160</v>
      </c>
      <c r="J623" s="7" t="n">
        <v>9.8</v>
      </c>
      <c r="K623" s="7" t="s">
        <v>771</v>
      </c>
      <c r="L623" s="7" t="s">
        <v>19</v>
      </c>
      <c r="M623" s="7" t="s">
        <v>826</v>
      </c>
      <c r="N623" s="7" t="s">
        <v>58</v>
      </c>
      <c r="O623" s="10" t="n">
        <f aca="false">'Exec Summary'!$E$2-H623</f>
        <v>88</v>
      </c>
      <c r="P623" s="10" t="n">
        <f aca="false">IF(I623="","",I623-H623)</f>
        <v>14</v>
      </c>
      <c r="Q623" s="10" t="n">
        <f aca="false">VLOOKUP(G623,$AA$2:$AB$5,2,FALSE())</f>
        <v>15</v>
      </c>
      <c r="R623" s="7" t="n">
        <f aca="false">IF(OR(F623="Open",F623="Reopened"),1,0)</f>
        <v>0</v>
      </c>
      <c r="S623" s="7" t="n">
        <f aca="false">IF(AND(H623&gt;='Exec Summary'!$E$1,H623&lt;='Exec Summary'!$E$2),1,0)</f>
        <v>0</v>
      </c>
      <c r="T623" s="7" t="n">
        <f aca="false">IF(AND(F623="Closed",I623&lt;&gt;"",I623&gt;='Exec Summary'!$E$1,I623&lt;='Exec Summary'!$E$2),1,0)</f>
        <v>0</v>
      </c>
      <c r="U623" s="7" t="n">
        <f aca="false">IF(F623="Reopened",1,0)</f>
        <v>0</v>
      </c>
      <c r="V623" s="7" t="n">
        <f aca="false">IF(AND(R623=1,O623&gt;Q623),1,0)</f>
        <v>0</v>
      </c>
      <c r="W623" s="7" t="n">
        <f aca="false">IF(AND(T623=1,P623&lt;&gt;"",P623&lt;=Q623),1,0)</f>
        <v>0</v>
      </c>
    </row>
    <row r="624" customFormat="false" ht="15" hidden="false" customHeight="false" outlineLevel="0" collapsed="false">
      <c r="A624" s="7" t="s">
        <v>822</v>
      </c>
      <c r="B624" s="7" t="s">
        <v>46</v>
      </c>
      <c r="C624" s="7" t="s">
        <v>47</v>
      </c>
      <c r="D624" s="7" t="s">
        <v>62</v>
      </c>
      <c r="E624" s="7" t="s">
        <v>63</v>
      </c>
      <c r="F624" s="7" t="s">
        <v>50</v>
      </c>
      <c r="G624" s="7" t="s">
        <v>20</v>
      </c>
      <c r="H624" s="9" t="n">
        <v>46007</v>
      </c>
      <c r="I624" s="9" t="n">
        <v>46008</v>
      </c>
      <c r="J624" s="7" t="n">
        <v>8.1</v>
      </c>
      <c r="K624" s="7" t="s">
        <v>771</v>
      </c>
      <c r="L624" s="7" t="s">
        <v>19</v>
      </c>
      <c r="M624" s="7" t="s">
        <v>827</v>
      </c>
      <c r="N624" s="7" t="s">
        <v>53</v>
      </c>
      <c r="O624" s="10" t="n">
        <f aca="false">'Exec Summary'!$E$2-H624</f>
        <v>227</v>
      </c>
      <c r="P624" s="10" t="n">
        <f aca="false">IF(I624="","",I624-H624)</f>
        <v>1</v>
      </c>
      <c r="Q624" s="10" t="n">
        <f aca="false">VLOOKUP(G624,$AA$2:$AB$5,2,FALSE())</f>
        <v>30</v>
      </c>
      <c r="R624" s="7" t="n">
        <f aca="false">IF(OR(F624="Open",F624="Reopened"),1,0)</f>
        <v>0</v>
      </c>
      <c r="S624" s="7" t="n">
        <f aca="false">IF(AND(H624&gt;='Exec Summary'!$E$1,H624&lt;='Exec Summary'!$E$2),1,0)</f>
        <v>0</v>
      </c>
      <c r="T624" s="7" t="n">
        <f aca="false">IF(AND(F624="Closed",I624&lt;&gt;"",I624&gt;='Exec Summary'!$E$1,I624&lt;='Exec Summary'!$E$2),1,0)</f>
        <v>0</v>
      </c>
      <c r="U624" s="7" t="n">
        <f aca="false">IF(F624="Reopened",1,0)</f>
        <v>0</v>
      </c>
      <c r="V624" s="7" t="n">
        <f aca="false">IF(AND(R624=1,O624&gt;Q624),1,0)</f>
        <v>0</v>
      </c>
      <c r="W624" s="7" t="n">
        <f aca="false">IF(AND(T624=1,P624&lt;&gt;"",P624&lt;=Q624),1,0)</f>
        <v>0</v>
      </c>
    </row>
    <row r="625" customFormat="false" ht="15" hidden="false" customHeight="false" outlineLevel="0" collapsed="false">
      <c r="A625" s="7" t="s">
        <v>822</v>
      </c>
      <c r="B625" s="7" t="s">
        <v>46</v>
      </c>
      <c r="C625" s="7" t="s">
        <v>47</v>
      </c>
      <c r="D625" s="7" t="s">
        <v>74</v>
      </c>
      <c r="E625" s="7" t="s">
        <v>75</v>
      </c>
      <c r="F625" s="7" t="s">
        <v>50</v>
      </c>
      <c r="G625" s="7" t="s">
        <v>21</v>
      </c>
      <c r="H625" s="9" t="n">
        <v>46126</v>
      </c>
      <c r="I625" s="9" t="n">
        <v>46206</v>
      </c>
      <c r="J625" s="7" t="n">
        <v>6.5</v>
      </c>
      <c r="K625" s="7" t="s">
        <v>771</v>
      </c>
      <c r="L625" s="7" t="s">
        <v>19</v>
      </c>
      <c r="M625" s="7" t="s">
        <v>828</v>
      </c>
      <c r="N625" s="7" t="s">
        <v>77</v>
      </c>
      <c r="O625" s="10" t="n">
        <f aca="false">'Exec Summary'!$E$2-H625</f>
        <v>108</v>
      </c>
      <c r="P625" s="10" t="n">
        <f aca="false">IF(I625="","",I625-H625)</f>
        <v>80</v>
      </c>
      <c r="Q625" s="10" t="n">
        <f aca="false">VLOOKUP(G625,$AA$2:$AB$5,2,FALSE())</f>
        <v>90</v>
      </c>
      <c r="R625" s="7" t="n">
        <f aca="false">IF(OR(F625="Open",F625="Reopened"),1,0)</f>
        <v>0</v>
      </c>
      <c r="S625" s="7" t="n">
        <f aca="false">IF(AND(H625&gt;='Exec Summary'!$E$1,H625&lt;='Exec Summary'!$E$2),1,0)</f>
        <v>0</v>
      </c>
      <c r="T625" s="7" t="n">
        <f aca="false">IF(AND(F625="Closed",I625&lt;&gt;"",I625&gt;='Exec Summary'!$E$1,I625&lt;='Exec Summary'!$E$2),1,0)</f>
        <v>1</v>
      </c>
      <c r="U625" s="7" t="n">
        <f aca="false">IF(F625="Reopened",1,0)</f>
        <v>0</v>
      </c>
      <c r="V625" s="7" t="n">
        <f aca="false">IF(AND(R625=1,O625&gt;Q625),1,0)</f>
        <v>0</v>
      </c>
      <c r="W625" s="7" t="n">
        <f aca="false">IF(AND(T625=1,P625&lt;&gt;"",P625&lt;=Q625),1,0)</f>
        <v>1</v>
      </c>
    </row>
    <row r="626" customFormat="false" ht="15" hidden="false" customHeight="false" outlineLevel="0" collapsed="false">
      <c r="A626" s="7" t="s">
        <v>822</v>
      </c>
      <c r="B626" s="7" t="s">
        <v>46</v>
      </c>
      <c r="C626" s="7" t="s">
        <v>47</v>
      </c>
      <c r="D626" s="7" t="s">
        <v>210</v>
      </c>
      <c r="E626" s="7" t="s">
        <v>211</v>
      </c>
      <c r="F626" s="7" t="s">
        <v>50</v>
      </c>
      <c r="G626" s="7" t="s">
        <v>19</v>
      </c>
      <c r="H626" s="9" t="n">
        <v>46146</v>
      </c>
      <c r="I626" s="9" t="n">
        <v>46148</v>
      </c>
      <c r="J626" s="7" t="n">
        <v>9.8</v>
      </c>
      <c r="K626" s="7" t="s">
        <v>771</v>
      </c>
      <c r="L626" s="7" t="s">
        <v>19</v>
      </c>
      <c r="M626" s="7" t="s">
        <v>829</v>
      </c>
      <c r="N626" s="7" t="s">
        <v>58</v>
      </c>
      <c r="O626" s="10" t="n">
        <f aca="false">'Exec Summary'!$E$2-H626</f>
        <v>88</v>
      </c>
      <c r="P626" s="10" t="n">
        <f aca="false">IF(I626="","",I626-H626)</f>
        <v>2</v>
      </c>
      <c r="Q626" s="10" t="n">
        <f aca="false">VLOOKUP(G626,$AA$2:$AB$5,2,FALSE())</f>
        <v>15</v>
      </c>
      <c r="R626" s="7" t="n">
        <f aca="false">IF(OR(F626="Open",F626="Reopened"),1,0)</f>
        <v>0</v>
      </c>
      <c r="S626" s="7" t="n">
        <f aca="false">IF(AND(H626&gt;='Exec Summary'!$E$1,H626&lt;='Exec Summary'!$E$2),1,0)</f>
        <v>0</v>
      </c>
      <c r="T626" s="7" t="n">
        <f aca="false">IF(AND(F626="Closed",I626&lt;&gt;"",I626&gt;='Exec Summary'!$E$1,I626&lt;='Exec Summary'!$E$2),1,0)</f>
        <v>0</v>
      </c>
      <c r="U626" s="7" t="n">
        <f aca="false">IF(F626="Reopened",1,0)</f>
        <v>0</v>
      </c>
      <c r="V626" s="7" t="n">
        <f aca="false">IF(AND(R626=1,O626&gt;Q626),1,0)</f>
        <v>0</v>
      </c>
      <c r="W626" s="7" t="n">
        <f aca="false">IF(AND(T626=1,P626&lt;&gt;"",P626&lt;=Q626),1,0)</f>
        <v>0</v>
      </c>
    </row>
    <row r="627" customFormat="false" ht="15" hidden="false" customHeight="false" outlineLevel="0" collapsed="false">
      <c r="A627" s="7" t="s">
        <v>822</v>
      </c>
      <c r="B627" s="7" t="s">
        <v>46</v>
      </c>
      <c r="C627" s="7" t="s">
        <v>47</v>
      </c>
      <c r="D627" s="7" t="s">
        <v>152</v>
      </c>
      <c r="E627" s="7" t="s">
        <v>153</v>
      </c>
      <c r="F627" s="7" t="s">
        <v>56</v>
      </c>
      <c r="G627" s="7" t="s">
        <v>20</v>
      </c>
      <c r="H627" s="9" t="n">
        <v>46029</v>
      </c>
      <c r="I627" s="9"/>
      <c r="J627" s="7" t="n">
        <v>7.5</v>
      </c>
      <c r="K627" s="7" t="s">
        <v>771</v>
      </c>
      <c r="L627" s="7" t="s">
        <v>19</v>
      </c>
      <c r="M627" s="7" t="s">
        <v>830</v>
      </c>
      <c r="N627" s="7" t="s">
        <v>53</v>
      </c>
      <c r="O627" s="10" t="n">
        <f aca="false">'Exec Summary'!$E$2-H627</f>
        <v>205</v>
      </c>
      <c r="P627" s="10" t="str">
        <f aca="false">IF(I627="","",I627-H627)</f>
        <v/>
      </c>
      <c r="Q627" s="10" t="n">
        <f aca="false">VLOOKUP(G627,$AA$2:$AB$5,2,FALSE())</f>
        <v>30</v>
      </c>
      <c r="R627" s="7" t="n">
        <f aca="false">IF(OR(F627="Open",F627="Reopened"),1,0)</f>
        <v>1</v>
      </c>
      <c r="S627" s="7" t="n">
        <f aca="false">IF(AND(H627&gt;='Exec Summary'!$E$1,H627&lt;='Exec Summary'!$E$2),1,0)</f>
        <v>0</v>
      </c>
      <c r="T627" s="7" t="n">
        <f aca="false">IF(AND(F627="Closed",I627&lt;&gt;"",I627&gt;='Exec Summary'!$E$1,I627&lt;='Exec Summary'!$E$2),1,0)</f>
        <v>0</v>
      </c>
      <c r="U627" s="7" t="n">
        <f aca="false">IF(F627="Reopened",1,0)</f>
        <v>0</v>
      </c>
      <c r="V627" s="7" t="n">
        <f aca="false">IF(AND(R627=1,O627&gt;Q627),1,0)</f>
        <v>1</v>
      </c>
      <c r="W627" s="7" t="n">
        <f aca="false">IF(AND(T627=1,P627&lt;&gt;"",P627&lt;=Q627),1,0)</f>
        <v>0</v>
      </c>
    </row>
    <row r="628" customFormat="false" ht="15" hidden="false" customHeight="false" outlineLevel="0" collapsed="false">
      <c r="A628" s="7" t="s">
        <v>822</v>
      </c>
      <c r="B628" s="7" t="s">
        <v>46</v>
      </c>
      <c r="C628" s="7" t="s">
        <v>47</v>
      </c>
      <c r="D628" s="7" t="s">
        <v>101</v>
      </c>
      <c r="E628" s="7" t="s">
        <v>102</v>
      </c>
      <c r="F628" s="7" t="s">
        <v>50</v>
      </c>
      <c r="G628" s="7" t="s">
        <v>19</v>
      </c>
      <c r="H628" s="9" t="n">
        <v>46217</v>
      </c>
      <c r="I628" s="9" t="n">
        <v>46230</v>
      </c>
      <c r="J628" s="7" t="n">
        <v>10</v>
      </c>
      <c r="K628" s="7" t="s">
        <v>771</v>
      </c>
      <c r="L628" s="7" t="s">
        <v>19</v>
      </c>
      <c r="M628" s="7" t="s">
        <v>831</v>
      </c>
      <c r="N628" s="7" t="s">
        <v>58</v>
      </c>
      <c r="O628" s="10" t="n">
        <f aca="false">'Exec Summary'!$E$2-H628</f>
        <v>17</v>
      </c>
      <c r="P628" s="10" t="n">
        <f aca="false">IF(I628="","",I628-H628)</f>
        <v>13</v>
      </c>
      <c r="Q628" s="10" t="n">
        <f aca="false">VLOOKUP(G628,$AA$2:$AB$5,2,FALSE())</f>
        <v>15</v>
      </c>
      <c r="R628" s="7" t="n">
        <f aca="false">IF(OR(F628="Open",F628="Reopened"),1,0)</f>
        <v>0</v>
      </c>
      <c r="S628" s="7" t="n">
        <f aca="false">IF(AND(H628&gt;='Exec Summary'!$E$1,H628&lt;='Exec Summary'!$E$2),1,0)</f>
        <v>1</v>
      </c>
      <c r="T628" s="7" t="n">
        <f aca="false">IF(AND(F628="Closed",I628&lt;&gt;"",I628&gt;='Exec Summary'!$E$1,I628&lt;='Exec Summary'!$E$2),1,0)</f>
        <v>1</v>
      </c>
      <c r="U628" s="7" t="n">
        <f aca="false">IF(F628="Reopened",1,0)</f>
        <v>0</v>
      </c>
      <c r="V628" s="7" t="n">
        <f aca="false">IF(AND(R628=1,O628&gt;Q628),1,0)</f>
        <v>0</v>
      </c>
      <c r="W628" s="7" t="n">
        <f aca="false">IF(AND(T628=1,P628&lt;&gt;"",P628&lt;=Q628),1,0)</f>
        <v>1</v>
      </c>
    </row>
    <row r="629" customFormat="false" ht="15" hidden="false" customHeight="false" outlineLevel="0" collapsed="false">
      <c r="A629" s="7" t="s">
        <v>822</v>
      </c>
      <c r="B629" s="7" t="s">
        <v>46</v>
      </c>
      <c r="C629" s="7" t="s">
        <v>47</v>
      </c>
      <c r="D629" s="7" t="s">
        <v>87</v>
      </c>
      <c r="E629" s="7" t="s">
        <v>88</v>
      </c>
      <c r="F629" s="7" t="s">
        <v>50</v>
      </c>
      <c r="G629" s="7" t="s">
        <v>19</v>
      </c>
      <c r="H629" s="9" t="n">
        <v>46089</v>
      </c>
      <c r="I629" s="9" t="n">
        <v>46099</v>
      </c>
      <c r="J629" s="7" t="n">
        <v>10</v>
      </c>
      <c r="K629" s="7" t="s">
        <v>771</v>
      </c>
      <c r="L629" s="7" t="s">
        <v>19</v>
      </c>
      <c r="M629" s="7" t="s">
        <v>832</v>
      </c>
      <c r="N629" s="7" t="s">
        <v>58</v>
      </c>
      <c r="O629" s="10" t="n">
        <f aca="false">'Exec Summary'!$E$2-H629</f>
        <v>145</v>
      </c>
      <c r="P629" s="10" t="n">
        <f aca="false">IF(I629="","",I629-H629)</f>
        <v>10</v>
      </c>
      <c r="Q629" s="10" t="n">
        <f aca="false">VLOOKUP(G629,$AA$2:$AB$5,2,FALSE())</f>
        <v>15</v>
      </c>
      <c r="R629" s="7" t="n">
        <f aca="false">IF(OR(F629="Open",F629="Reopened"),1,0)</f>
        <v>0</v>
      </c>
      <c r="S629" s="7" t="n">
        <f aca="false">IF(AND(H629&gt;='Exec Summary'!$E$1,H629&lt;='Exec Summary'!$E$2),1,0)</f>
        <v>0</v>
      </c>
      <c r="T629" s="7" t="n">
        <f aca="false">IF(AND(F629="Closed",I629&lt;&gt;"",I629&gt;='Exec Summary'!$E$1,I629&lt;='Exec Summary'!$E$2),1,0)</f>
        <v>0</v>
      </c>
      <c r="U629" s="7" t="n">
        <f aca="false">IF(F629="Reopened",1,0)</f>
        <v>0</v>
      </c>
      <c r="V629" s="7" t="n">
        <f aca="false">IF(AND(R629=1,O629&gt;Q629),1,0)</f>
        <v>0</v>
      </c>
      <c r="W629" s="7" t="n">
        <f aca="false">IF(AND(T629=1,P629&lt;&gt;"",P629&lt;=Q629),1,0)</f>
        <v>0</v>
      </c>
    </row>
    <row r="630" customFormat="false" ht="15" hidden="false" customHeight="false" outlineLevel="0" collapsed="false">
      <c r="A630" s="7" t="s">
        <v>822</v>
      </c>
      <c r="B630" s="7" t="s">
        <v>46</v>
      </c>
      <c r="C630" s="7" t="s">
        <v>47</v>
      </c>
      <c r="D630" s="7" t="s">
        <v>59</v>
      </c>
      <c r="E630" s="7" t="s">
        <v>60</v>
      </c>
      <c r="F630" s="7" t="s">
        <v>50</v>
      </c>
      <c r="G630" s="7" t="s">
        <v>19</v>
      </c>
      <c r="H630" s="9" t="n">
        <v>46068</v>
      </c>
      <c r="I630" s="9" t="n">
        <v>46074</v>
      </c>
      <c r="J630" s="7" t="n">
        <v>7.8</v>
      </c>
      <c r="K630" s="7" t="s">
        <v>771</v>
      </c>
      <c r="L630" s="7" t="s">
        <v>19</v>
      </c>
      <c r="M630" s="7" t="s">
        <v>833</v>
      </c>
      <c r="N630" s="7" t="s">
        <v>58</v>
      </c>
      <c r="O630" s="10" t="n">
        <f aca="false">'Exec Summary'!$E$2-H630</f>
        <v>166</v>
      </c>
      <c r="P630" s="10" t="n">
        <f aca="false">IF(I630="","",I630-H630)</f>
        <v>6</v>
      </c>
      <c r="Q630" s="10" t="n">
        <f aca="false">VLOOKUP(G630,$AA$2:$AB$5,2,FALSE())</f>
        <v>15</v>
      </c>
      <c r="R630" s="7" t="n">
        <f aca="false">IF(OR(F630="Open",F630="Reopened"),1,0)</f>
        <v>0</v>
      </c>
      <c r="S630" s="7" t="n">
        <f aca="false">IF(AND(H630&gt;='Exec Summary'!$E$1,H630&lt;='Exec Summary'!$E$2),1,0)</f>
        <v>0</v>
      </c>
      <c r="T630" s="7" t="n">
        <f aca="false">IF(AND(F630="Closed",I630&lt;&gt;"",I630&gt;='Exec Summary'!$E$1,I630&lt;='Exec Summary'!$E$2),1,0)</f>
        <v>0</v>
      </c>
      <c r="U630" s="7" t="n">
        <f aca="false">IF(F630="Reopened",1,0)</f>
        <v>0</v>
      </c>
      <c r="V630" s="7" t="n">
        <f aca="false">IF(AND(R630=1,O630&gt;Q630),1,0)</f>
        <v>0</v>
      </c>
      <c r="W630" s="7" t="n">
        <f aca="false">IF(AND(T630=1,P630&lt;&gt;"",P630&lt;=Q630),1,0)</f>
        <v>0</v>
      </c>
    </row>
    <row r="631" customFormat="false" ht="15" hidden="false" customHeight="false" outlineLevel="0" collapsed="false">
      <c r="A631" s="7" t="s">
        <v>834</v>
      </c>
      <c r="B631" s="7" t="s">
        <v>46</v>
      </c>
      <c r="C631" s="7" t="s">
        <v>47</v>
      </c>
      <c r="D631" s="7" t="s">
        <v>152</v>
      </c>
      <c r="E631" s="7" t="s">
        <v>153</v>
      </c>
      <c r="F631" s="7" t="s">
        <v>56</v>
      </c>
      <c r="G631" s="7" t="s">
        <v>20</v>
      </c>
      <c r="H631" s="9" t="n">
        <v>46186</v>
      </c>
      <c r="I631" s="9"/>
      <c r="J631" s="7" t="n">
        <v>7.5</v>
      </c>
      <c r="K631" s="7" t="s">
        <v>771</v>
      </c>
      <c r="L631" s="7" t="s">
        <v>19</v>
      </c>
      <c r="M631" s="7" t="s">
        <v>835</v>
      </c>
      <c r="N631" s="7" t="s">
        <v>53</v>
      </c>
      <c r="O631" s="10" t="n">
        <f aca="false">'Exec Summary'!$E$2-H631</f>
        <v>48</v>
      </c>
      <c r="P631" s="10" t="str">
        <f aca="false">IF(I631="","",I631-H631)</f>
        <v/>
      </c>
      <c r="Q631" s="10" t="n">
        <f aca="false">VLOOKUP(G631,$AA$2:$AB$5,2,FALSE())</f>
        <v>30</v>
      </c>
      <c r="R631" s="7" t="n">
        <f aca="false">IF(OR(F631="Open",F631="Reopened"),1,0)</f>
        <v>1</v>
      </c>
      <c r="S631" s="7" t="n">
        <f aca="false">IF(AND(H631&gt;='Exec Summary'!$E$1,H631&lt;='Exec Summary'!$E$2),1,0)</f>
        <v>0</v>
      </c>
      <c r="T631" s="7" t="n">
        <f aca="false">IF(AND(F631="Closed",I631&lt;&gt;"",I631&gt;='Exec Summary'!$E$1,I631&lt;='Exec Summary'!$E$2),1,0)</f>
        <v>0</v>
      </c>
      <c r="U631" s="7" t="n">
        <f aca="false">IF(F631="Reopened",1,0)</f>
        <v>0</v>
      </c>
      <c r="V631" s="7" t="n">
        <f aca="false">IF(AND(R631=1,O631&gt;Q631),1,0)</f>
        <v>1</v>
      </c>
      <c r="W631" s="7" t="n">
        <f aca="false">IF(AND(T631=1,P631&lt;&gt;"",P631&lt;=Q631),1,0)</f>
        <v>0</v>
      </c>
    </row>
    <row r="632" customFormat="false" ht="15" hidden="false" customHeight="false" outlineLevel="0" collapsed="false">
      <c r="A632" s="7" t="s">
        <v>834</v>
      </c>
      <c r="B632" s="7" t="s">
        <v>46</v>
      </c>
      <c r="C632" s="7" t="s">
        <v>47</v>
      </c>
      <c r="D632" s="7" t="s">
        <v>95</v>
      </c>
      <c r="E632" s="7" t="s">
        <v>96</v>
      </c>
      <c r="F632" s="7" t="s">
        <v>56</v>
      </c>
      <c r="G632" s="7" t="s">
        <v>20</v>
      </c>
      <c r="H632" s="9" t="n">
        <v>46119</v>
      </c>
      <c r="I632" s="9"/>
      <c r="J632" s="7" t="n">
        <v>8.8</v>
      </c>
      <c r="K632" s="7" t="s">
        <v>771</v>
      </c>
      <c r="L632" s="7" t="s">
        <v>19</v>
      </c>
      <c r="M632" s="7" t="s">
        <v>836</v>
      </c>
      <c r="N632" s="7" t="s">
        <v>53</v>
      </c>
      <c r="O632" s="10" t="n">
        <f aca="false">'Exec Summary'!$E$2-H632</f>
        <v>115</v>
      </c>
      <c r="P632" s="10" t="str">
        <f aca="false">IF(I632="","",I632-H632)</f>
        <v/>
      </c>
      <c r="Q632" s="10" t="n">
        <f aca="false">VLOOKUP(G632,$AA$2:$AB$5,2,FALSE())</f>
        <v>30</v>
      </c>
      <c r="R632" s="7" t="n">
        <f aca="false">IF(OR(F632="Open",F632="Reopened"),1,0)</f>
        <v>1</v>
      </c>
      <c r="S632" s="7" t="n">
        <f aca="false">IF(AND(H632&gt;='Exec Summary'!$E$1,H632&lt;='Exec Summary'!$E$2),1,0)</f>
        <v>0</v>
      </c>
      <c r="T632" s="7" t="n">
        <f aca="false">IF(AND(F632="Closed",I632&lt;&gt;"",I632&gt;='Exec Summary'!$E$1,I632&lt;='Exec Summary'!$E$2),1,0)</f>
        <v>0</v>
      </c>
      <c r="U632" s="7" t="n">
        <f aca="false">IF(F632="Reopened",1,0)</f>
        <v>0</v>
      </c>
      <c r="V632" s="7" t="n">
        <f aca="false">IF(AND(R632=1,O632&gt;Q632),1,0)</f>
        <v>1</v>
      </c>
      <c r="W632" s="7" t="n">
        <f aca="false">IF(AND(T632=1,P632&lt;&gt;"",P632&lt;=Q632),1,0)</f>
        <v>0</v>
      </c>
    </row>
    <row r="633" customFormat="false" ht="15" hidden="false" customHeight="false" outlineLevel="0" collapsed="false">
      <c r="A633" s="7" t="s">
        <v>837</v>
      </c>
      <c r="B633" s="7" t="s">
        <v>135</v>
      </c>
      <c r="C633" s="7" t="s">
        <v>247</v>
      </c>
      <c r="D633" s="7" t="s">
        <v>48</v>
      </c>
      <c r="E633" s="7" t="s">
        <v>49</v>
      </c>
      <c r="F633" s="7" t="s">
        <v>56</v>
      </c>
      <c r="G633" s="7" t="s">
        <v>20</v>
      </c>
      <c r="H633" s="9" t="n">
        <v>46170</v>
      </c>
      <c r="I633" s="9"/>
      <c r="J633" s="7" t="n">
        <v>7.5</v>
      </c>
      <c r="K633" s="7" t="s">
        <v>771</v>
      </c>
      <c r="L633" s="7" t="s">
        <v>19</v>
      </c>
      <c r="M633" s="7" t="s">
        <v>838</v>
      </c>
      <c r="N633" s="7" t="s">
        <v>53</v>
      </c>
      <c r="O633" s="10" t="n">
        <f aca="false">'Exec Summary'!$E$2-H633</f>
        <v>64</v>
      </c>
      <c r="P633" s="10" t="str">
        <f aca="false">IF(I633="","",I633-H633)</f>
        <v/>
      </c>
      <c r="Q633" s="10" t="n">
        <f aca="false">VLOOKUP(G633,$AA$2:$AB$5,2,FALSE())</f>
        <v>30</v>
      </c>
      <c r="R633" s="7" t="n">
        <f aca="false">IF(OR(F633="Open",F633="Reopened"),1,0)</f>
        <v>1</v>
      </c>
      <c r="S633" s="7" t="n">
        <f aca="false">IF(AND(H633&gt;='Exec Summary'!$E$1,H633&lt;='Exec Summary'!$E$2),1,0)</f>
        <v>0</v>
      </c>
      <c r="T633" s="7" t="n">
        <f aca="false">IF(AND(F633="Closed",I633&lt;&gt;"",I633&gt;='Exec Summary'!$E$1,I633&lt;='Exec Summary'!$E$2),1,0)</f>
        <v>0</v>
      </c>
      <c r="U633" s="7" t="n">
        <f aca="false">IF(F633="Reopened",1,0)</f>
        <v>0</v>
      </c>
      <c r="V633" s="7" t="n">
        <f aca="false">IF(AND(R633=1,O633&gt;Q633),1,0)</f>
        <v>1</v>
      </c>
      <c r="W633" s="7" t="n">
        <f aca="false">IF(AND(T633=1,P633&lt;&gt;"",P633&lt;=Q633),1,0)</f>
        <v>0</v>
      </c>
    </row>
    <row r="634" customFormat="false" ht="15" hidden="false" customHeight="false" outlineLevel="0" collapsed="false">
      <c r="A634" s="7" t="s">
        <v>837</v>
      </c>
      <c r="B634" s="7" t="s">
        <v>135</v>
      </c>
      <c r="C634" s="7" t="s">
        <v>247</v>
      </c>
      <c r="D634" s="7" t="s">
        <v>71</v>
      </c>
      <c r="E634" s="7" t="s">
        <v>72</v>
      </c>
      <c r="F634" s="7" t="s">
        <v>50</v>
      </c>
      <c r="G634" s="7" t="s">
        <v>19</v>
      </c>
      <c r="H634" s="9" t="n">
        <v>46116</v>
      </c>
      <c r="I634" s="9" t="n">
        <v>46126</v>
      </c>
      <c r="J634" s="7" t="n">
        <v>9.8</v>
      </c>
      <c r="K634" s="7" t="s">
        <v>771</v>
      </c>
      <c r="L634" s="7" t="s">
        <v>19</v>
      </c>
      <c r="M634" s="7" t="s">
        <v>839</v>
      </c>
      <c r="N634" s="7" t="s">
        <v>58</v>
      </c>
      <c r="O634" s="10" t="n">
        <f aca="false">'Exec Summary'!$E$2-H634</f>
        <v>118</v>
      </c>
      <c r="P634" s="10" t="n">
        <f aca="false">IF(I634="","",I634-H634)</f>
        <v>10</v>
      </c>
      <c r="Q634" s="10" t="n">
        <f aca="false">VLOOKUP(G634,$AA$2:$AB$5,2,FALSE())</f>
        <v>15</v>
      </c>
      <c r="R634" s="7" t="n">
        <f aca="false">IF(OR(F634="Open",F634="Reopened"),1,0)</f>
        <v>0</v>
      </c>
      <c r="S634" s="7" t="n">
        <f aca="false">IF(AND(H634&gt;='Exec Summary'!$E$1,H634&lt;='Exec Summary'!$E$2),1,0)</f>
        <v>0</v>
      </c>
      <c r="T634" s="7" t="n">
        <f aca="false">IF(AND(F634="Closed",I634&lt;&gt;"",I634&gt;='Exec Summary'!$E$1,I634&lt;='Exec Summary'!$E$2),1,0)</f>
        <v>0</v>
      </c>
      <c r="U634" s="7" t="n">
        <f aca="false">IF(F634="Reopened",1,0)</f>
        <v>0</v>
      </c>
      <c r="V634" s="7" t="n">
        <f aca="false">IF(AND(R634=1,O634&gt;Q634),1,0)</f>
        <v>0</v>
      </c>
      <c r="W634" s="7" t="n">
        <f aca="false">IF(AND(T634=1,P634&lt;&gt;"",P634&lt;=Q634),1,0)</f>
        <v>0</v>
      </c>
    </row>
    <row r="635" customFormat="false" ht="15" hidden="false" customHeight="false" outlineLevel="0" collapsed="false">
      <c r="A635" s="7" t="s">
        <v>837</v>
      </c>
      <c r="B635" s="7" t="s">
        <v>135</v>
      </c>
      <c r="C635" s="7" t="s">
        <v>247</v>
      </c>
      <c r="D635" s="7" t="s">
        <v>192</v>
      </c>
      <c r="E635" s="7" t="s">
        <v>193</v>
      </c>
      <c r="F635" s="7" t="s">
        <v>50</v>
      </c>
      <c r="G635" s="7" t="s">
        <v>19</v>
      </c>
      <c r="H635" s="9" t="n">
        <v>45958</v>
      </c>
      <c r="I635" s="9" t="n">
        <v>45976</v>
      </c>
      <c r="J635" s="7" t="n">
        <v>9.8</v>
      </c>
      <c r="K635" s="7" t="s">
        <v>771</v>
      </c>
      <c r="L635" s="7" t="s">
        <v>19</v>
      </c>
      <c r="M635" s="7" t="s">
        <v>840</v>
      </c>
      <c r="N635" s="7" t="s">
        <v>58</v>
      </c>
      <c r="O635" s="10" t="n">
        <f aca="false">'Exec Summary'!$E$2-H635</f>
        <v>276</v>
      </c>
      <c r="P635" s="10" t="n">
        <f aca="false">IF(I635="","",I635-H635)</f>
        <v>18</v>
      </c>
      <c r="Q635" s="10" t="n">
        <f aca="false">VLOOKUP(G635,$AA$2:$AB$5,2,FALSE())</f>
        <v>15</v>
      </c>
      <c r="R635" s="7" t="n">
        <f aca="false">IF(OR(F635="Open",F635="Reopened"),1,0)</f>
        <v>0</v>
      </c>
      <c r="S635" s="7" t="n">
        <f aca="false">IF(AND(H635&gt;='Exec Summary'!$E$1,H635&lt;='Exec Summary'!$E$2),1,0)</f>
        <v>0</v>
      </c>
      <c r="T635" s="7" t="n">
        <f aca="false">IF(AND(F635="Closed",I635&lt;&gt;"",I635&gt;='Exec Summary'!$E$1,I635&lt;='Exec Summary'!$E$2),1,0)</f>
        <v>0</v>
      </c>
      <c r="U635" s="7" t="n">
        <f aca="false">IF(F635="Reopened",1,0)</f>
        <v>0</v>
      </c>
      <c r="V635" s="7" t="n">
        <f aca="false">IF(AND(R635=1,O635&gt;Q635),1,0)</f>
        <v>0</v>
      </c>
      <c r="W635" s="7" t="n">
        <f aca="false">IF(AND(T635=1,P635&lt;&gt;"",P635&lt;=Q635),1,0)</f>
        <v>0</v>
      </c>
    </row>
    <row r="636" customFormat="false" ht="15" hidden="false" customHeight="false" outlineLevel="0" collapsed="false">
      <c r="A636" s="7" t="s">
        <v>837</v>
      </c>
      <c r="B636" s="7" t="s">
        <v>135</v>
      </c>
      <c r="C636" s="7" t="s">
        <v>247</v>
      </c>
      <c r="D636" s="7" t="s">
        <v>68</v>
      </c>
      <c r="E636" s="7" t="s">
        <v>69</v>
      </c>
      <c r="F636" s="7" t="s">
        <v>50</v>
      </c>
      <c r="G636" s="7" t="s">
        <v>19</v>
      </c>
      <c r="H636" s="9" t="n">
        <v>46197</v>
      </c>
      <c r="I636" s="9" t="n">
        <v>46200</v>
      </c>
      <c r="J636" s="7" t="n">
        <v>9.8</v>
      </c>
      <c r="K636" s="7" t="s">
        <v>771</v>
      </c>
      <c r="L636" s="7" t="s">
        <v>19</v>
      </c>
      <c r="M636" s="7" t="s">
        <v>841</v>
      </c>
      <c r="N636" s="7" t="s">
        <v>58</v>
      </c>
      <c r="O636" s="10" t="n">
        <f aca="false">'Exec Summary'!$E$2-H636</f>
        <v>37</v>
      </c>
      <c r="P636" s="10" t="n">
        <f aca="false">IF(I636="","",I636-H636)</f>
        <v>3</v>
      </c>
      <c r="Q636" s="10" t="n">
        <f aca="false">VLOOKUP(G636,$AA$2:$AB$5,2,FALSE())</f>
        <v>15</v>
      </c>
      <c r="R636" s="7" t="n">
        <f aca="false">IF(OR(F636="Open",F636="Reopened"),1,0)</f>
        <v>0</v>
      </c>
      <c r="S636" s="7" t="n">
        <f aca="false">IF(AND(H636&gt;='Exec Summary'!$E$1,H636&lt;='Exec Summary'!$E$2),1,0)</f>
        <v>0</v>
      </c>
      <c r="T636" s="7" t="n">
        <f aca="false">IF(AND(F636="Closed",I636&lt;&gt;"",I636&gt;='Exec Summary'!$E$1,I636&lt;='Exec Summary'!$E$2),1,0)</f>
        <v>0</v>
      </c>
      <c r="U636" s="7" t="n">
        <f aca="false">IF(F636="Reopened",1,0)</f>
        <v>0</v>
      </c>
      <c r="V636" s="7" t="n">
        <f aca="false">IF(AND(R636=1,O636&gt;Q636),1,0)</f>
        <v>0</v>
      </c>
      <c r="W636" s="7" t="n">
        <f aca="false">IF(AND(T636=1,P636&lt;&gt;"",P636&lt;=Q636),1,0)</f>
        <v>0</v>
      </c>
    </row>
    <row r="637" customFormat="false" ht="15" hidden="false" customHeight="false" outlineLevel="0" collapsed="false">
      <c r="A637" s="7" t="s">
        <v>837</v>
      </c>
      <c r="B637" s="7" t="s">
        <v>135</v>
      </c>
      <c r="C637" s="7" t="s">
        <v>247</v>
      </c>
      <c r="D637" s="7" t="s">
        <v>163</v>
      </c>
      <c r="E637" s="7" t="s">
        <v>164</v>
      </c>
      <c r="F637" s="7" t="s">
        <v>50</v>
      </c>
      <c r="G637" s="7" t="s">
        <v>19</v>
      </c>
      <c r="H637" s="9" t="n">
        <v>46212</v>
      </c>
      <c r="I637" s="9" t="n">
        <v>46214</v>
      </c>
      <c r="J637" s="7" t="n">
        <v>9.1</v>
      </c>
      <c r="K637" s="7" t="s">
        <v>771</v>
      </c>
      <c r="L637" s="7" t="s">
        <v>19</v>
      </c>
      <c r="M637" s="7" t="s">
        <v>842</v>
      </c>
      <c r="N637" s="7" t="s">
        <v>58</v>
      </c>
      <c r="O637" s="10" t="n">
        <f aca="false">'Exec Summary'!$E$2-H637</f>
        <v>22</v>
      </c>
      <c r="P637" s="10" t="n">
        <f aca="false">IF(I637="","",I637-H637)</f>
        <v>2</v>
      </c>
      <c r="Q637" s="10" t="n">
        <f aca="false">VLOOKUP(G637,$AA$2:$AB$5,2,FALSE())</f>
        <v>15</v>
      </c>
      <c r="R637" s="7" t="n">
        <f aca="false">IF(OR(F637="Open",F637="Reopened"),1,0)</f>
        <v>0</v>
      </c>
      <c r="S637" s="7" t="n">
        <f aca="false">IF(AND(H637&gt;='Exec Summary'!$E$1,H637&lt;='Exec Summary'!$E$2),1,0)</f>
        <v>1</v>
      </c>
      <c r="T637" s="7" t="n">
        <f aca="false">IF(AND(F637="Closed",I637&lt;&gt;"",I637&gt;='Exec Summary'!$E$1,I637&lt;='Exec Summary'!$E$2),1,0)</f>
        <v>1</v>
      </c>
      <c r="U637" s="7" t="n">
        <f aca="false">IF(F637="Reopened",1,0)</f>
        <v>0</v>
      </c>
      <c r="V637" s="7" t="n">
        <f aca="false">IF(AND(R637=1,O637&gt;Q637),1,0)</f>
        <v>0</v>
      </c>
      <c r="W637" s="7" t="n">
        <f aca="false">IF(AND(T637=1,P637&lt;&gt;"",P637&lt;=Q637),1,0)</f>
        <v>1</v>
      </c>
    </row>
    <row r="638" customFormat="false" ht="15" hidden="false" customHeight="false" outlineLevel="0" collapsed="false">
      <c r="A638" s="7" t="s">
        <v>843</v>
      </c>
      <c r="B638" s="7" t="s">
        <v>46</v>
      </c>
      <c r="C638" s="7" t="s">
        <v>47</v>
      </c>
      <c r="D638" s="7" t="s">
        <v>101</v>
      </c>
      <c r="E638" s="7" t="s">
        <v>102</v>
      </c>
      <c r="F638" s="7" t="s">
        <v>50</v>
      </c>
      <c r="G638" s="7" t="s">
        <v>19</v>
      </c>
      <c r="H638" s="9" t="n">
        <v>46078</v>
      </c>
      <c r="I638" s="9" t="n">
        <v>46083</v>
      </c>
      <c r="J638" s="7" t="n">
        <v>10</v>
      </c>
      <c r="K638" s="7" t="s">
        <v>771</v>
      </c>
      <c r="L638" s="7" t="s">
        <v>19</v>
      </c>
      <c r="M638" s="7" t="s">
        <v>844</v>
      </c>
      <c r="N638" s="7" t="s">
        <v>58</v>
      </c>
      <c r="O638" s="10" t="n">
        <f aca="false">'Exec Summary'!$E$2-H638</f>
        <v>156</v>
      </c>
      <c r="P638" s="10" t="n">
        <f aca="false">IF(I638="","",I638-H638)</f>
        <v>5</v>
      </c>
      <c r="Q638" s="10" t="n">
        <f aca="false">VLOOKUP(G638,$AA$2:$AB$5,2,FALSE())</f>
        <v>15</v>
      </c>
      <c r="R638" s="7" t="n">
        <f aca="false">IF(OR(F638="Open",F638="Reopened"),1,0)</f>
        <v>0</v>
      </c>
      <c r="S638" s="7" t="n">
        <f aca="false">IF(AND(H638&gt;='Exec Summary'!$E$1,H638&lt;='Exec Summary'!$E$2),1,0)</f>
        <v>0</v>
      </c>
      <c r="T638" s="7" t="n">
        <f aca="false">IF(AND(F638="Closed",I638&lt;&gt;"",I638&gt;='Exec Summary'!$E$1,I638&lt;='Exec Summary'!$E$2),1,0)</f>
        <v>0</v>
      </c>
      <c r="U638" s="7" t="n">
        <f aca="false">IF(F638="Reopened",1,0)</f>
        <v>0</v>
      </c>
      <c r="V638" s="7" t="n">
        <f aca="false">IF(AND(R638=1,O638&gt;Q638),1,0)</f>
        <v>0</v>
      </c>
      <c r="W638" s="7" t="n">
        <f aca="false">IF(AND(T638=1,P638&lt;&gt;"",P638&lt;=Q638),1,0)</f>
        <v>0</v>
      </c>
    </row>
    <row r="639" customFormat="false" ht="15" hidden="false" customHeight="false" outlineLevel="0" collapsed="false">
      <c r="A639" s="7" t="s">
        <v>843</v>
      </c>
      <c r="B639" s="7" t="s">
        <v>46</v>
      </c>
      <c r="C639" s="7" t="s">
        <v>47</v>
      </c>
      <c r="D639" s="7" t="s">
        <v>68</v>
      </c>
      <c r="E639" s="7" t="s">
        <v>69</v>
      </c>
      <c r="F639" s="7" t="s">
        <v>50</v>
      </c>
      <c r="G639" s="7" t="s">
        <v>19</v>
      </c>
      <c r="H639" s="9" t="n">
        <v>46045</v>
      </c>
      <c r="I639" s="9" t="n">
        <v>46056</v>
      </c>
      <c r="J639" s="7" t="n">
        <v>9.8</v>
      </c>
      <c r="K639" s="7" t="s">
        <v>771</v>
      </c>
      <c r="L639" s="7" t="s">
        <v>19</v>
      </c>
      <c r="M639" s="7" t="s">
        <v>845</v>
      </c>
      <c r="N639" s="7" t="s">
        <v>58</v>
      </c>
      <c r="O639" s="10" t="n">
        <f aca="false">'Exec Summary'!$E$2-H639</f>
        <v>189</v>
      </c>
      <c r="P639" s="10" t="n">
        <f aca="false">IF(I639="","",I639-H639)</f>
        <v>11</v>
      </c>
      <c r="Q639" s="10" t="n">
        <f aca="false">VLOOKUP(G639,$AA$2:$AB$5,2,FALSE())</f>
        <v>15</v>
      </c>
      <c r="R639" s="7" t="n">
        <f aca="false">IF(OR(F639="Open",F639="Reopened"),1,0)</f>
        <v>0</v>
      </c>
      <c r="S639" s="7" t="n">
        <f aca="false">IF(AND(H639&gt;='Exec Summary'!$E$1,H639&lt;='Exec Summary'!$E$2),1,0)</f>
        <v>0</v>
      </c>
      <c r="T639" s="7" t="n">
        <f aca="false">IF(AND(F639="Closed",I639&lt;&gt;"",I639&gt;='Exec Summary'!$E$1,I639&lt;='Exec Summary'!$E$2),1,0)</f>
        <v>0</v>
      </c>
      <c r="U639" s="7" t="n">
        <f aca="false">IF(F639="Reopened",1,0)</f>
        <v>0</v>
      </c>
      <c r="V639" s="7" t="n">
        <f aca="false">IF(AND(R639=1,O639&gt;Q639),1,0)</f>
        <v>0</v>
      </c>
      <c r="W639" s="7" t="n">
        <f aca="false">IF(AND(T639=1,P639&lt;&gt;"",P639&lt;=Q639),1,0)</f>
        <v>0</v>
      </c>
    </row>
    <row r="640" customFormat="false" ht="15" hidden="false" customHeight="false" outlineLevel="0" collapsed="false">
      <c r="A640" s="7" t="s">
        <v>843</v>
      </c>
      <c r="B640" s="7" t="s">
        <v>46</v>
      </c>
      <c r="C640" s="7" t="s">
        <v>47</v>
      </c>
      <c r="D640" s="7" t="s">
        <v>108</v>
      </c>
      <c r="E640" s="7" t="s">
        <v>109</v>
      </c>
      <c r="F640" s="7" t="s">
        <v>56</v>
      </c>
      <c r="G640" s="7" t="s">
        <v>20</v>
      </c>
      <c r="H640" s="9" t="n">
        <v>46220</v>
      </c>
      <c r="I640" s="9"/>
      <c r="J640" s="7" t="n">
        <v>8.6</v>
      </c>
      <c r="K640" s="7" t="s">
        <v>771</v>
      </c>
      <c r="L640" s="7" t="s">
        <v>19</v>
      </c>
      <c r="M640" s="7" t="s">
        <v>846</v>
      </c>
      <c r="N640" s="7" t="s">
        <v>53</v>
      </c>
      <c r="O640" s="10" t="n">
        <f aca="false">'Exec Summary'!$E$2-H640</f>
        <v>14</v>
      </c>
      <c r="P640" s="10" t="str">
        <f aca="false">IF(I640="","",I640-H640)</f>
        <v/>
      </c>
      <c r="Q640" s="10" t="n">
        <f aca="false">VLOOKUP(G640,$AA$2:$AB$5,2,FALSE())</f>
        <v>30</v>
      </c>
      <c r="R640" s="7" t="n">
        <f aca="false">IF(OR(F640="Open",F640="Reopened"),1,0)</f>
        <v>1</v>
      </c>
      <c r="S640" s="7" t="n">
        <f aca="false">IF(AND(H640&gt;='Exec Summary'!$E$1,H640&lt;='Exec Summary'!$E$2),1,0)</f>
        <v>1</v>
      </c>
      <c r="T640" s="7" t="n">
        <f aca="false">IF(AND(F640="Closed",I640&lt;&gt;"",I640&gt;='Exec Summary'!$E$1,I640&lt;='Exec Summary'!$E$2),1,0)</f>
        <v>0</v>
      </c>
      <c r="U640" s="7" t="n">
        <f aca="false">IF(F640="Reopened",1,0)</f>
        <v>0</v>
      </c>
      <c r="V640" s="7" t="n">
        <f aca="false">IF(AND(R640=1,O640&gt;Q640),1,0)</f>
        <v>0</v>
      </c>
      <c r="W640" s="7" t="n">
        <f aca="false">IF(AND(T640=1,P640&lt;&gt;"",P640&lt;=Q640),1,0)</f>
        <v>0</v>
      </c>
    </row>
    <row r="641" customFormat="false" ht="15" hidden="false" customHeight="false" outlineLevel="0" collapsed="false">
      <c r="A641" s="7" t="s">
        <v>847</v>
      </c>
      <c r="B641" s="7" t="s">
        <v>135</v>
      </c>
      <c r="C641" s="7" t="s">
        <v>247</v>
      </c>
      <c r="D641" s="7" t="s">
        <v>74</v>
      </c>
      <c r="E641" s="7" t="s">
        <v>75</v>
      </c>
      <c r="F641" s="7" t="s">
        <v>56</v>
      </c>
      <c r="G641" s="7" t="s">
        <v>21</v>
      </c>
      <c r="H641" s="9" t="n">
        <v>46093</v>
      </c>
      <c r="I641" s="9"/>
      <c r="J641" s="7" t="n">
        <v>6.5</v>
      </c>
      <c r="K641" s="7" t="s">
        <v>771</v>
      </c>
      <c r="L641" s="7" t="s">
        <v>19</v>
      </c>
      <c r="M641" s="7" t="s">
        <v>848</v>
      </c>
      <c r="N641" s="7" t="s">
        <v>77</v>
      </c>
      <c r="O641" s="10" t="n">
        <f aca="false">'Exec Summary'!$E$2-H641</f>
        <v>141</v>
      </c>
      <c r="P641" s="10" t="str">
        <f aca="false">IF(I641="","",I641-H641)</f>
        <v/>
      </c>
      <c r="Q641" s="10" t="n">
        <f aca="false">VLOOKUP(G641,$AA$2:$AB$5,2,FALSE())</f>
        <v>90</v>
      </c>
      <c r="R641" s="7" t="n">
        <f aca="false">IF(OR(F641="Open",F641="Reopened"),1,0)</f>
        <v>1</v>
      </c>
      <c r="S641" s="7" t="n">
        <f aca="false">IF(AND(H641&gt;='Exec Summary'!$E$1,H641&lt;='Exec Summary'!$E$2),1,0)</f>
        <v>0</v>
      </c>
      <c r="T641" s="7" t="n">
        <f aca="false">IF(AND(F641="Closed",I641&lt;&gt;"",I641&gt;='Exec Summary'!$E$1,I641&lt;='Exec Summary'!$E$2),1,0)</f>
        <v>0</v>
      </c>
      <c r="U641" s="7" t="n">
        <f aca="false">IF(F641="Reopened",1,0)</f>
        <v>0</v>
      </c>
      <c r="V641" s="7" t="n">
        <f aca="false">IF(AND(R641=1,O641&gt;Q641),1,0)</f>
        <v>1</v>
      </c>
      <c r="W641" s="7" t="n">
        <f aca="false">IF(AND(T641=1,P641&lt;&gt;"",P641&lt;=Q641),1,0)</f>
        <v>0</v>
      </c>
    </row>
    <row r="642" customFormat="false" ht="15" hidden="false" customHeight="false" outlineLevel="0" collapsed="false">
      <c r="A642" s="7" t="s">
        <v>847</v>
      </c>
      <c r="B642" s="7" t="s">
        <v>135</v>
      </c>
      <c r="C642" s="7" t="s">
        <v>247</v>
      </c>
      <c r="D642" s="7" t="s">
        <v>84</v>
      </c>
      <c r="E642" s="7" t="s">
        <v>85</v>
      </c>
      <c r="F642" s="7" t="s">
        <v>56</v>
      </c>
      <c r="G642" s="7" t="s">
        <v>20</v>
      </c>
      <c r="H642" s="9" t="n">
        <v>46160</v>
      </c>
      <c r="I642" s="9"/>
      <c r="J642" s="7" t="n">
        <v>7.5</v>
      </c>
      <c r="K642" s="7" t="s">
        <v>771</v>
      </c>
      <c r="L642" s="7" t="s">
        <v>19</v>
      </c>
      <c r="M642" s="7" t="s">
        <v>849</v>
      </c>
      <c r="N642" s="7" t="s">
        <v>53</v>
      </c>
      <c r="O642" s="10" t="n">
        <f aca="false">'Exec Summary'!$E$2-H642</f>
        <v>74</v>
      </c>
      <c r="P642" s="10" t="str">
        <f aca="false">IF(I642="","",I642-H642)</f>
        <v/>
      </c>
      <c r="Q642" s="10" t="n">
        <f aca="false">VLOOKUP(G642,$AA$2:$AB$5,2,FALSE())</f>
        <v>30</v>
      </c>
      <c r="R642" s="7" t="n">
        <f aca="false">IF(OR(F642="Open",F642="Reopened"),1,0)</f>
        <v>1</v>
      </c>
      <c r="S642" s="7" t="n">
        <f aca="false">IF(AND(H642&gt;='Exec Summary'!$E$1,H642&lt;='Exec Summary'!$E$2),1,0)</f>
        <v>0</v>
      </c>
      <c r="T642" s="7" t="n">
        <f aca="false">IF(AND(F642="Closed",I642&lt;&gt;"",I642&gt;='Exec Summary'!$E$1,I642&lt;='Exec Summary'!$E$2),1,0)</f>
        <v>0</v>
      </c>
      <c r="U642" s="7" t="n">
        <f aca="false">IF(F642="Reopened",1,0)</f>
        <v>0</v>
      </c>
      <c r="V642" s="7" t="n">
        <f aca="false">IF(AND(R642=1,O642&gt;Q642),1,0)</f>
        <v>1</v>
      </c>
      <c r="W642" s="7" t="n">
        <f aca="false">IF(AND(T642=1,P642&lt;&gt;"",P642&lt;=Q642),1,0)</f>
        <v>0</v>
      </c>
    </row>
    <row r="643" customFormat="false" ht="15" hidden="false" customHeight="false" outlineLevel="0" collapsed="false">
      <c r="A643" s="7" t="s">
        <v>847</v>
      </c>
      <c r="B643" s="7" t="s">
        <v>135</v>
      </c>
      <c r="C643" s="7" t="s">
        <v>247</v>
      </c>
      <c r="D643" s="7" t="s">
        <v>131</v>
      </c>
      <c r="E643" s="7" t="s">
        <v>132</v>
      </c>
      <c r="F643" s="7" t="s">
        <v>50</v>
      </c>
      <c r="G643" s="7" t="s">
        <v>19</v>
      </c>
      <c r="H643" s="9" t="n">
        <v>46109</v>
      </c>
      <c r="I643" s="9" t="n">
        <v>46116</v>
      </c>
      <c r="J643" s="7" t="n">
        <v>9.8</v>
      </c>
      <c r="K643" s="7" t="s">
        <v>771</v>
      </c>
      <c r="L643" s="7" t="s">
        <v>19</v>
      </c>
      <c r="M643" s="7" t="s">
        <v>850</v>
      </c>
      <c r="N643" s="7" t="s">
        <v>58</v>
      </c>
      <c r="O643" s="10" t="n">
        <f aca="false">'Exec Summary'!$E$2-H643</f>
        <v>125</v>
      </c>
      <c r="P643" s="10" t="n">
        <f aca="false">IF(I643="","",I643-H643)</f>
        <v>7</v>
      </c>
      <c r="Q643" s="10" t="n">
        <f aca="false">VLOOKUP(G643,$AA$2:$AB$5,2,FALSE())</f>
        <v>15</v>
      </c>
      <c r="R643" s="7" t="n">
        <f aca="false">IF(OR(F643="Open",F643="Reopened"),1,0)</f>
        <v>0</v>
      </c>
      <c r="S643" s="7" t="n">
        <f aca="false">IF(AND(H643&gt;='Exec Summary'!$E$1,H643&lt;='Exec Summary'!$E$2),1,0)</f>
        <v>0</v>
      </c>
      <c r="T643" s="7" t="n">
        <f aca="false">IF(AND(F643="Closed",I643&lt;&gt;"",I643&gt;='Exec Summary'!$E$1,I643&lt;='Exec Summary'!$E$2),1,0)</f>
        <v>0</v>
      </c>
      <c r="U643" s="7" t="n">
        <f aca="false">IF(F643="Reopened",1,0)</f>
        <v>0</v>
      </c>
      <c r="V643" s="7" t="n">
        <f aca="false">IF(AND(R643=1,O643&gt;Q643),1,0)</f>
        <v>0</v>
      </c>
      <c r="W643" s="7" t="n">
        <f aca="false">IF(AND(T643=1,P643&lt;&gt;"",P643&lt;=Q643),1,0)</f>
        <v>0</v>
      </c>
    </row>
    <row r="644" customFormat="false" ht="15" hidden="false" customHeight="false" outlineLevel="0" collapsed="false">
      <c r="A644" s="7" t="s">
        <v>847</v>
      </c>
      <c r="B644" s="7" t="s">
        <v>135</v>
      </c>
      <c r="C644" s="7" t="s">
        <v>247</v>
      </c>
      <c r="D644" s="7" t="s">
        <v>59</v>
      </c>
      <c r="E644" s="7" t="s">
        <v>60</v>
      </c>
      <c r="F644" s="7" t="s">
        <v>56</v>
      </c>
      <c r="G644" s="7" t="s">
        <v>19</v>
      </c>
      <c r="H644" s="9" t="n">
        <v>46006</v>
      </c>
      <c r="I644" s="9"/>
      <c r="J644" s="7" t="n">
        <v>7.8</v>
      </c>
      <c r="K644" s="7" t="s">
        <v>771</v>
      </c>
      <c r="L644" s="7" t="s">
        <v>19</v>
      </c>
      <c r="M644" s="7" t="s">
        <v>851</v>
      </c>
      <c r="N644" s="7" t="s">
        <v>58</v>
      </c>
      <c r="O644" s="10" t="n">
        <f aca="false">'Exec Summary'!$E$2-H644</f>
        <v>228</v>
      </c>
      <c r="P644" s="10" t="str">
        <f aca="false">IF(I644="","",I644-H644)</f>
        <v/>
      </c>
      <c r="Q644" s="10" t="n">
        <f aca="false">VLOOKUP(G644,$AA$2:$AB$5,2,FALSE())</f>
        <v>15</v>
      </c>
      <c r="R644" s="7" t="n">
        <f aca="false">IF(OR(F644="Open",F644="Reopened"),1,0)</f>
        <v>1</v>
      </c>
      <c r="S644" s="7" t="n">
        <f aca="false">IF(AND(H644&gt;='Exec Summary'!$E$1,H644&lt;='Exec Summary'!$E$2),1,0)</f>
        <v>0</v>
      </c>
      <c r="T644" s="7" t="n">
        <f aca="false">IF(AND(F644="Closed",I644&lt;&gt;"",I644&gt;='Exec Summary'!$E$1,I644&lt;='Exec Summary'!$E$2),1,0)</f>
        <v>0</v>
      </c>
      <c r="U644" s="7" t="n">
        <f aca="false">IF(F644="Reopened",1,0)</f>
        <v>0</v>
      </c>
      <c r="V644" s="7" t="n">
        <f aca="false">IF(AND(R644=1,O644&gt;Q644),1,0)</f>
        <v>1</v>
      </c>
      <c r="W644" s="7" t="n">
        <f aca="false">IF(AND(T644=1,P644&lt;&gt;"",P644&lt;=Q644),1,0)</f>
        <v>0</v>
      </c>
    </row>
    <row r="645" customFormat="false" ht="15" hidden="false" customHeight="false" outlineLevel="0" collapsed="false">
      <c r="A645" s="7" t="s">
        <v>847</v>
      </c>
      <c r="B645" s="7" t="s">
        <v>135</v>
      </c>
      <c r="C645" s="7" t="s">
        <v>247</v>
      </c>
      <c r="D645" s="7" t="s">
        <v>68</v>
      </c>
      <c r="E645" s="7" t="s">
        <v>69</v>
      </c>
      <c r="F645" s="7" t="s">
        <v>50</v>
      </c>
      <c r="G645" s="7" t="s">
        <v>19</v>
      </c>
      <c r="H645" s="9" t="n">
        <v>45998</v>
      </c>
      <c r="I645" s="9" t="n">
        <v>46019</v>
      </c>
      <c r="J645" s="7" t="n">
        <v>9.8</v>
      </c>
      <c r="K645" s="7" t="s">
        <v>771</v>
      </c>
      <c r="L645" s="7" t="s">
        <v>19</v>
      </c>
      <c r="M645" s="7" t="s">
        <v>852</v>
      </c>
      <c r="N645" s="7" t="s">
        <v>58</v>
      </c>
      <c r="O645" s="10" t="n">
        <f aca="false">'Exec Summary'!$E$2-H645</f>
        <v>236</v>
      </c>
      <c r="P645" s="10" t="n">
        <f aca="false">IF(I645="","",I645-H645)</f>
        <v>21</v>
      </c>
      <c r="Q645" s="10" t="n">
        <f aca="false">VLOOKUP(G645,$AA$2:$AB$5,2,FALSE())</f>
        <v>15</v>
      </c>
      <c r="R645" s="7" t="n">
        <f aca="false">IF(OR(F645="Open",F645="Reopened"),1,0)</f>
        <v>0</v>
      </c>
      <c r="S645" s="7" t="n">
        <f aca="false">IF(AND(H645&gt;='Exec Summary'!$E$1,H645&lt;='Exec Summary'!$E$2),1,0)</f>
        <v>0</v>
      </c>
      <c r="T645" s="7" t="n">
        <f aca="false">IF(AND(F645="Closed",I645&lt;&gt;"",I645&gt;='Exec Summary'!$E$1,I645&lt;='Exec Summary'!$E$2),1,0)</f>
        <v>0</v>
      </c>
      <c r="U645" s="7" t="n">
        <f aca="false">IF(F645="Reopened",1,0)</f>
        <v>0</v>
      </c>
      <c r="V645" s="7" t="n">
        <f aca="false">IF(AND(R645=1,O645&gt;Q645),1,0)</f>
        <v>0</v>
      </c>
      <c r="W645" s="7" t="n">
        <f aca="false">IF(AND(T645=1,P645&lt;&gt;"",P645&lt;=Q645),1,0)</f>
        <v>0</v>
      </c>
    </row>
    <row r="646" customFormat="false" ht="15" hidden="false" customHeight="false" outlineLevel="0" collapsed="false">
      <c r="A646" s="7" t="s">
        <v>847</v>
      </c>
      <c r="B646" s="7" t="s">
        <v>135</v>
      </c>
      <c r="C646" s="7" t="s">
        <v>247</v>
      </c>
      <c r="D646" s="7" t="s">
        <v>101</v>
      </c>
      <c r="E646" s="7" t="s">
        <v>102</v>
      </c>
      <c r="F646" s="7" t="s">
        <v>123</v>
      </c>
      <c r="G646" s="7" t="s">
        <v>19</v>
      </c>
      <c r="H646" s="9" t="n">
        <v>45991</v>
      </c>
      <c r="I646" s="9" t="n">
        <v>46004</v>
      </c>
      <c r="J646" s="7" t="n">
        <v>10</v>
      </c>
      <c r="K646" s="7" t="s">
        <v>771</v>
      </c>
      <c r="L646" s="7" t="s">
        <v>19</v>
      </c>
      <c r="M646" s="7" t="s">
        <v>853</v>
      </c>
      <c r="N646" s="7" t="s">
        <v>58</v>
      </c>
      <c r="O646" s="10" t="n">
        <f aca="false">'Exec Summary'!$E$2-H646</f>
        <v>243</v>
      </c>
      <c r="P646" s="10" t="n">
        <f aca="false">IF(I646="","",I646-H646)</f>
        <v>13</v>
      </c>
      <c r="Q646" s="10" t="n">
        <f aca="false">VLOOKUP(G646,$AA$2:$AB$5,2,FALSE())</f>
        <v>15</v>
      </c>
      <c r="R646" s="7" t="n">
        <f aca="false">IF(OR(F646="Open",F646="Reopened"),1,0)</f>
        <v>1</v>
      </c>
      <c r="S646" s="7" t="n">
        <f aca="false">IF(AND(H646&gt;='Exec Summary'!$E$1,H646&lt;='Exec Summary'!$E$2),1,0)</f>
        <v>0</v>
      </c>
      <c r="T646" s="7" t="n">
        <f aca="false">IF(AND(F646="Closed",I646&lt;&gt;"",I646&gt;='Exec Summary'!$E$1,I646&lt;='Exec Summary'!$E$2),1,0)</f>
        <v>0</v>
      </c>
      <c r="U646" s="7" t="n">
        <f aca="false">IF(F646="Reopened",1,0)</f>
        <v>1</v>
      </c>
      <c r="V646" s="7" t="n">
        <f aca="false">IF(AND(R646=1,O646&gt;Q646),1,0)</f>
        <v>1</v>
      </c>
      <c r="W646" s="7" t="n">
        <f aca="false">IF(AND(T646=1,P646&lt;&gt;"",P646&lt;=Q646),1,0)</f>
        <v>0</v>
      </c>
    </row>
    <row r="647" customFormat="false" ht="15" hidden="false" customHeight="false" outlineLevel="0" collapsed="false">
      <c r="A647" s="7" t="s">
        <v>847</v>
      </c>
      <c r="B647" s="7" t="s">
        <v>135</v>
      </c>
      <c r="C647" s="7" t="s">
        <v>247</v>
      </c>
      <c r="D647" s="7" t="s">
        <v>139</v>
      </c>
      <c r="E647" s="7" t="s">
        <v>140</v>
      </c>
      <c r="F647" s="7" t="s">
        <v>56</v>
      </c>
      <c r="G647" s="7" t="s">
        <v>19</v>
      </c>
      <c r="H647" s="9" t="n">
        <v>45950</v>
      </c>
      <c r="I647" s="9"/>
      <c r="J647" s="7" t="n">
        <v>9.8</v>
      </c>
      <c r="K647" s="7" t="s">
        <v>771</v>
      </c>
      <c r="L647" s="7" t="s">
        <v>19</v>
      </c>
      <c r="M647" s="7" t="s">
        <v>854</v>
      </c>
      <c r="N647" s="7" t="s">
        <v>58</v>
      </c>
      <c r="O647" s="10" t="n">
        <f aca="false">'Exec Summary'!$E$2-H647</f>
        <v>284</v>
      </c>
      <c r="P647" s="10" t="str">
        <f aca="false">IF(I647="","",I647-H647)</f>
        <v/>
      </c>
      <c r="Q647" s="10" t="n">
        <f aca="false">VLOOKUP(G647,$AA$2:$AB$5,2,FALSE())</f>
        <v>15</v>
      </c>
      <c r="R647" s="7" t="n">
        <f aca="false">IF(OR(F647="Open",F647="Reopened"),1,0)</f>
        <v>1</v>
      </c>
      <c r="S647" s="7" t="n">
        <f aca="false">IF(AND(H647&gt;='Exec Summary'!$E$1,H647&lt;='Exec Summary'!$E$2),1,0)</f>
        <v>0</v>
      </c>
      <c r="T647" s="7" t="n">
        <f aca="false">IF(AND(F647="Closed",I647&lt;&gt;"",I647&gt;='Exec Summary'!$E$1,I647&lt;='Exec Summary'!$E$2),1,0)</f>
        <v>0</v>
      </c>
      <c r="U647" s="7" t="n">
        <f aca="false">IF(F647="Reopened",1,0)</f>
        <v>0</v>
      </c>
      <c r="V647" s="7" t="n">
        <f aca="false">IF(AND(R647=1,O647&gt;Q647),1,0)</f>
        <v>1</v>
      </c>
      <c r="W647" s="7" t="n">
        <f aca="false">IF(AND(T647=1,P647&lt;&gt;"",P647&lt;=Q647),1,0)</f>
        <v>0</v>
      </c>
    </row>
    <row r="648" customFormat="false" ht="15" hidden="false" customHeight="false" outlineLevel="0" collapsed="false">
      <c r="A648" s="7" t="s">
        <v>847</v>
      </c>
      <c r="B648" s="7" t="s">
        <v>135</v>
      </c>
      <c r="C648" s="7" t="s">
        <v>247</v>
      </c>
      <c r="D648" s="7" t="s">
        <v>166</v>
      </c>
      <c r="E648" s="7" t="s">
        <v>167</v>
      </c>
      <c r="F648" s="7" t="s">
        <v>50</v>
      </c>
      <c r="G648" s="7" t="s">
        <v>19</v>
      </c>
      <c r="H648" s="9" t="n">
        <v>45964</v>
      </c>
      <c r="I648" s="9" t="n">
        <v>45965</v>
      </c>
      <c r="J648" s="7" t="n">
        <v>9.8</v>
      </c>
      <c r="K648" s="7" t="s">
        <v>771</v>
      </c>
      <c r="L648" s="7" t="s">
        <v>19</v>
      </c>
      <c r="M648" s="7" t="s">
        <v>855</v>
      </c>
      <c r="N648" s="7" t="s">
        <v>58</v>
      </c>
      <c r="O648" s="10" t="n">
        <f aca="false">'Exec Summary'!$E$2-H648</f>
        <v>270</v>
      </c>
      <c r="P648" s="10" t="n">
        <f aca="false">IF(I648="","",I648-H648)</f>
        <v>1</v>
      </c>
      <c r="Q648" s="10" t="n">
        <f aca="false">VLOOKUP(G648,$AA$2:$AB$5,2,FALSE())</f>
        <v>15</v>
      </c>
      <c r="R648" s="7" t="n">
        <f aca="false">IF(OR(F648="Open",F648="Reopened"),1,0)</f>
        <v>0</v>
      </c>
      <c r="S648" s="7" t="n">
        <f aca="false">IF(AND(H648&gt;='Exec Summary'!$E$1,H648&lt;='Exec Summary'!$E$2),1,0)</f>
        <v>0</v>
      </c>
      <c r="T648" s="7" t="n">
        <f aca="false">IF(AND(F648="Closed",I648&lt;&gt;"",I648&gt;='Exec Summary'!$E$1,I648&lt;='Exec Summary'!$E$2),1,0)</f>
        <v>0</v>
      </c>
      <c r="U648" s="7" t="n">
        <f aca="false">IF(F648="Reopened",1,0)</f>
        <v>0</v>
      </c>
      <c r="V648" s="7" t="n">
        <f aca="false">IF(AND(R648=1,O648&gt;Q648),1,0)</f>
        <v>0</v>
      </c>
      <c r="W648" s="7" t="n">
        <f aca="false">IF(AND(T648=1,P648&lt;&gt;"",P648&lt;=Q648),1,0)</f>
        <v>0</v>
      </c>
    </row>
    <row r="649" customFormat="false" ht="15" hidden="false" customHeight="false" outlineLevel="0" collapsed="false">
      <c r="A649" s="7" t="s">
        <v>856</v>
      </c>
      <c r="B649" s="7" t="s">
        <v>46</v>
      </c>
      <c r="C649" s="7" t="s">
        <v>158</v>
      </c>
      <c r="D649" s="7" t="s">
        <v>48</v>
      </c>
      <c r="E649" s="7" t="s">
        <v>49</v>
      </c>
      <c r="F649" s="7" t="s">
        <v>50</v>
      </c>
      <c r="G649" s="7" t="s">
        <v>20</v>
      </c>
      <c r="H649" s="9" t="n">
        <v>45980</v>
      </c>
      <c r="I649" s="9" t="n">
        <v>46002</v>
      </c>
      <c r="J649" s="7" t="n">
        <v>7.5</v>
      </c>
      <c r="K649" s="7" t="s">
        <v>771</v>
      </c>
      <c r="L649" s="7" t="s">
        <v>19</v>
      </c>
      <c r="M649" s="7" t="s">
        <v>857</v>
      </c>
      <c r="N649" s="7" t="s">
        <v>53</v>
      </c>
      <c r="O649" s="10" t="n">
        <f aca="false">'Exec Summary'!$E$2-H649</f>
        <v>254</v>
      </c>
      <c r="P649" s="10" t="n">
        <f aca="false">IF(I649="","",I649-H649)</f>
        <v>22</v>
      </c>
      <c r="Q649" s="10" t="n">
        <f aca="false">VLOOKUP(G649,$AA$2:$AB$5,2,FALSE())</f>
        <v>30</v>
      </c>
      <c r="R649" s="7" t="n">
        <f aca="false">IF(OR(F649="Open",F649="Reopened"),1,0)</f>
        <v>0</v>
      </c>
      <c r="S649" s="7" t="n">
        <f aca="false">IF(AND(H649&gt;='Exec Summary'!$E$1,H649&lt;='Exec Summary'!$E$2),1,0)</f>
        <v>0</v>
      </c>
      <c r="T649" s="7" t="n">
        <f aca="false">IF(AND(F649="Closed",I649&lt;&gt;"",I649&gt;='Exec Summary'!$E$1,I649&lt;='Exec Summary'!$E$2),1,0)</f>
        <v>0</v>
      </c>
      <c r="U649" s="7" t="n">
        <f aca="false">IF(F649="Reopened",1,0)</f>
        <v>0</v>
      </c>
      <c r="V649" s="7" t="n">
        <f aca="false">IF(AND(R649=1,O649&gt;Q649),1,0)</f>
        <v>0</v>
      </c>
      <c r="W649" s="7" t="n">
        <f aca="false">IF(AND(T649=1,P649&lt;&gt;"",P649&lt;=Q649),1,0)</f>
        <v>0</v>
      </c>
    </row>
    <row r="650" customFormat="false" ht="15" hidden="false" customHeight="false" outlineLevel="0" collapsed="false">
      <c r="A650" s="7" t="s">
        <v>856</v>
      </c>
      <c r="B650" s="7" t="s">
        <v>46</v>
      </c>
      <c r="C650" s="7" t="s">
        <v>158</v>
      </c>
      <c r="D650" s="7" t="s">
        <v>117</v>
      </c>
      <c r="E650" s="7" t="s">
        <v>118</v>
      </c>
      <c r="F650" s="7" t="s">
        <v>56</v>
      </c>
      <c r="G650" s="7" t="s">
        <v>19</v>
      </c>
      <c r="H650" s="9" t="n">
        <v>46016</v>
      </c>
      <c r="I650" s="9"/>
      <c r="J650" s="7" t="n">
        <v>10</v>
      </c>
      <c r="K650" s="7" t="s">
        <v>771</v>
      </c>
      <c r="L650" s="7" t="s">
        <v>19</v>
      </c>
      <c r="M650" s="7" t="s">
        <v>858</v>
      </c>
      <c r="N650" s="7" t="s">
        <v>58</v>
      </c>
      <c r="O650" s="10" t="n">
        <f aca="false">'Exec Summary'!$E$2-H650</f>
        <v>218</v>
      </c>
      <c r="P650" s="10" t="str">
        <f aca="false">IF(I650="","",I650-H650)</f>
        <v/>
      </c>
      <c r="Q650" s="10" t="n">
        <f aca="false">VLOOKUP(G650,$AA$2:$AB$5,2,FALSE())</f>
        <v>15</v>
      </c>
      <c r="R650" s="7" t="n">
        <f aca="false">IF(OR(F650="Open",F650="Reopened"),1,0)</f>
        <v>1</v>
      </c>
      <c r="S650" s="7" t="n">
        <f aca="false">IF(AND(H650&gt;='Exec Summary'!$E$1,H650&lt;='Exec Summary'!$E$2),1,0)</f>
        <v>0</v>
      </c>
      <c r="T650" s="7" t="n">
        <f aca="false">IF(AND(F650="Closed",I650&lt;&gt;"",I650&gt;='Exec Summary'!$E$1,I650&lt;='Exec Summary'!$E$2),1,0)</f>
        <v>0</v>
      </c>
      <c r="U650" s="7" t="n">
        <f aca="false">IF(F650="Reopened",1,0)</f>
        <v>0</v>
      </c>
      <c r="V650" s="7" t="n">
        <f aca="false">IF(AND(R650=1,O650&gt;Q650),1,0)</f>
        <v>1</v>
      </c>
      <c r="W650" s="7" t="n">
        <f aca="false">IF(AND(T650=1,P650&lt;&gt;"",P650&lt;=Q650),1,0)</f>
        <v>0</v>
      </c>
    </row>
    <row r="651" customFormat="false" ht="15" hidden="false" customHeight="false" outlineLevel="0" collapsed="false">
      <c r="A651" s="7" t="s">
        <v>856</v>
      </c>
      <c r="B651" s="7" t="s">
        <v>46</v>
      </c>
      <c r="C651" s="7" t="s">
        <v>158</v>
      </c>
      <c r="D651" s="7" t="s">
        <v>166</v>
      </c>
      <c r="E651" s="7" t="s">
        <v>167</v>
      </c>
      <c r="F651" s="7" t="s">
        <v>123</v>
      </c>
      <c r="G651" s="7" t="s">
        <v>19</v>
      </c>
      <c r="H651" s="9" t="n">
        <v>46192</v>
      </c>
      <c r="I651" s="9" t="n">
        <v>46197</v>
      </c>
      <c r="J651" s="7" t="n">
        <v>9.8</v>
      </c>
      <c r="K651" s="7" t="s">
        <v>771</v>
      </c>
      <c r="L651" s="7" t="s">
        <v>19</v>
      </c>
      <c r="M651" s="7" t="s">
        <v>859</v>
      </c>
      <c r="N651" s="7" t="s">
        <v>58</v>
      </c>
      <c r="O651" s="10" t="n">
        <f aca="false">'Exec Summary'!$E$2-H651</f>
        <v>42</v>
      </c>
      <c r="P651" s="10" t="n">
        <f aca="false">IF(I651="","",I651-H651)</f>
        <v>5</v>
      </c>
      <c r="Q651" s="10" t="n">
        <f aca="false">VLOOKUP(G651,$AA$2:$AB$5,2,FALSE())</f>
        <v>15</v>
      </c>
      <c r="R651" s="7" t="n">
        <f aca="false">IF(OR(F651="Open",F651="Reopened"),1,0)</f>
        <v>1</v>
      </c>
      <c r="S651" s="7" t="n">
        <f aca="false">IF(AND(H651&gt;='Exec Summary'!$E$1,H651&lt;='Exec Summary'!$E$2),1,0)</f>
        <v>0</v>
      </c>
      <c r="T651" s="7" t="n">
        <f aca="false">IF(AND(F651="Closed",I651&lt;&gt;"",I651&gt;='Exec Summary'!$E$1,I651&lt;='Exec Summary'!$E$2),1,0)</f>
        <v>0</v>
      </c>
      <c r="U651" s="7" t="n">
        <f aca="false">IF(F651="Reopened",1,0)</f>
        <v>1</v>
      </c>
      <c r="V651" s="7" t="n">
        <f aca="false">IF(AND(R651=1,O651&gt;Q651),1,0)</f>
        <v>1</v>
      </c>
      <c r="W651" s="7" t="n">
        <f aca="false">IF(AND(T651=1,P651&lt;&gt;"",P651&lt;=Q651),1,0)</f>
        <v>0</v>
      </c>
    </row>
    <row r="652" customFormat="false" ht="15" hidden="false" customHeight="false" outlineLevel="0" collapsed="false">
      <c r="A652" s="7" t="s">
        <v>856</v>
      </c>
      <c r="B652" s="7" t="s">
        <v>46</v>
      </c>
      <c r="C652" s="7" t="s">
        <v>158</v>
      </c>
      <c r="D652" s="7" t="s">
        <v>101</v>
      </c>
      <c r="E652" s="7" t="s">
        <v>102</v>
      </c>
      <c r="F652" s="7" t="s">
        <v>50</v>
      </c>
      <c r="G652" s="7" t="s">
        <v>19</v>
      </c>
      <c r="H652" s="9" t="n">
        <v>46204</v>
      </c>
      <c r="I652" s="9" t="n">
        <v>46217</v>
      </c>
      <c r="J652" s="7" t="n">
        <v>10</v>
      </c>
      <c r="K652" s="7" t="s">
        <v>771</v>
      </c>
      <c r="L652" s="7" t="s">
        <v>19</v>
      </c>
      <c r="M652" s="7" t="s">
        <v>860</v>
      </c>
      <c r="N652" s="7" t="s">
        <v>58</v>
      </c>
      <c r="O652" s="10" t="n">
        <f aca="false">'Exec Summary'!$E$2-H652</f>
        <v>30</v>
      </c>
      <c r="P652" s="10" t="n">
        <f aca="false">IF(I652="","",I652-H652)</f>
        <v>13</v>
      </c>
      <c r="Q652" s="10" t="n">
        <f aca="false">VLOOKUP(G652,$AA$2:$AB$5,2,FALSE())</f>
        <v>15</v>
      </c>
      <c r="R652" s="7" t="n">
        <f aca="false">IF(OR(F652="Open",F652="Reopened"),1,0)</f>
        <v>0</v>
      </c>
      <c r="S652" s="7" t="n">
        <f aca="false">IF(AND(H652&gt;='Exec Summary'!$E$1,H652&lt;='Exec Summary'!$E$2),1,0)</f>
        <v>1</v>
      </c>
      <c r="T652" s="7" t="n">
        <f aca="false">IF(AND(F652="Closed",I652&lt;&gt;"",I652&gt;='Exec Summary'!$E$1,I652&lt;='Exec Summary'!$E$2),1,0)</f>
        <v>1</v>
      </c>
      <c r="U652" s="7" t="n">
        <f aca="false">IF(F652="Reopened",1,0)</f>
        <v>0</v>
      </c>
      <c r="V652" s="7" t="n">
        <f aca="false">IF(AND(R652=1,O652&gt;Q652),1,0)</f>
        <v>0</v>
      </c>
      <c r="W652" s="7" t="n">
        <f aca="false">IF(AND(T652=1,P652&lt;&gt;"",P652&lt;=Q652),1,0)</f>
        <v>1</v>
      </c>
    </row>
    <row r="653" customFormat="false" ht="15" hidden="false" customHeight="false" outlineLevel="0" collapsed="false">
      <c r="A653" s="7" t="s">
        <v>861</v>
      </c>
      <c r="B653" s="7" t="s">
        <v>135</v>
      </c>
      <c r="C653" s="7" t="s">
        <v>306</v>
      </c>
      <c r="D653" s="7" t="s">
        <v>131</v>
      </c>
      <c r="E653" s="7" t="s">
        <v>132</v>
      </c>
      <c r="F653" s="7" t="s">
        <v>50</v>
      </c>
      <c r="G653" s="7" t="s">
        <v>19</v>
      </c>
      <c r="H653" s="9" t="n">
        <v>46094</v>
      </c>
      <c r="I653" s="9" t="n">
        <v>46110</v>
      </c>
      <c r="J653" s="7" t="n">
        <v>9.8</v>
      </c>
      <c r="K653" s="7" t="s">
        <v>771</v>
      </c>
      <c r="L653" s="7" t="s">
        <v>22</v>
      </c>
      <c r="M653" s="7" t="s">
        <v>862</v>
      </c>
      <c r="N653" s="7" t="s">
        <v>58</v>
      </c>
      <c r="O653" s="10" t="n">
        <f aca="false">'Exec Summary'!$E$2-H653</f>
        <v>140</v>
      </c>
      <c r="P653" s="10" t="n">
        <f aca="false">IF(I653="","",I653-H653)</f>
        <v>16</v>
      </c>
      <c r="Q653" s="10" t="n">
        <f aca="false">VLOOKUP(G653,$AA$2:$AB$5,2,FALSE())</f>
        <v>15</v>
      </c>
      <c r="R653" s="7" t="n">
        <f aca="false">IF(OR(F653="Open",F653="Reopened"),1,0)</f>
        <v>0</v>
      </c>
      <c r="S653" s="7" t="n">
        <f aca="false">IF(AND(H653&gt;='Exec Summary'!$E$1,H653&lt;='Exec Summary'!$E$2),1,0)</f>
        <v>0</v>
      </c>
      <c r="T653" s="7" t="n">
        <f aca="false">IF(AND(F653="Closed",I653&lt;&gt;"",I653&gt;='Exec Summary'!$E$1,I653&lt;='Exec Summary'!$E$2),1,0)</f>
        <v>0</v>
      </c>
      <c r="U653" s="7" t="n">
        <f aca="false">IF(F653="Reopened",1,0)</f>
        <v>0</v>
      </c>
      <c r="V653" s="7" t="n">
        <f aca="false">IF(AND(R653=1,O653&gt;Q653),1,0)</f>
        <v>0</v>
      </c>
      <c r="W653" s="7" t="n">
        <f aca="false">IF(AND(T653=1,P653&lt;&gt;"",P653&lt;=Q653),1,0)</f>
        <v>0</v>
      </c>
    </row>
    <row r="654" customFormat="false" ht="15" hidden="false" customHeight="false" outlineLevel="0" collapsed="false">
      <c r="A654" s="7" t="s">
        <v>861</v>
      </c>
      <c r="B654" s="7" t="s">
        <v>135</v>
      </c>
      <c r="C654" s="7" t="s">
        <v>306</v>
      </c>
      <c r="D654" s="7" t="s">
        <v>48</v>
      </c>
      <c r="E654" s="7" t="s">
        <v>49</v>
      </c>
      <c r="F654" s="7" t="s">
        <v>56</v>
      </c>
      <c r="G654" s="7" t="s">
        <v>20</v>
      </c>
      <c r="H654" s="9" t="n">
        <v>46187</v>
      </c>
      <c r="I654" s="9"/>
      <c r="J654" s="7" t="n">
        <v>7.5</v>
      </c>
      <c r="K654" s="7" t="s">
        <v>771</v>
      </c>
      <c r="L654" s="7" t="s">
        <v>22</v>
      </c>
      <c r="M654" s="7" t="s">
        <v>863</v>
      </c>
      <c r="N654" s="7" t="s">
        <v>53</v>
      </c>
      <c r="O654" s="10" t="n">
        <f aca="false">'Exec Summary'!$E$2-H654</f>
        <v>47</v>
      </c>
      <c r="P654" s="10" t="str">
        <f aca="false">IF(I654="","",I654-H654)</f>
        <v/>
      </c>
      <c r="Q654" s="10" t="n">
        <f aca="false">VLOOKUP(G654,$AA$2:$AB$5,2,FALSE())</f>
        <v>30</v>
      </c>
      <c r="R654" s="7" t="n">
        <f aca="false">IF(OR(F654="Open",F654="Reopened"),1,0)</f>
        <v>1</v>
      </c>
      <c r="S654" s="7" t="n">
        <f aca="false">IF(AND(H654&gt;='Exec Summary'!$E$1,H654&lt;='Exec Summary'!$E$2),1,0)</f>
        <v>0</v>
      </c>
      <c r="T654" s="7" t="n">
        <f aca="false">IF(AND(F654="Closed",I654&lt;&gt;"",I654&gt;='Exec Summary'!$E$1,I654&lt;='Exec Summary'!$E$2),1,0)</f>
        <v>0</v>
      </c>
      <c r="U654" s="7" t="n">
        <f aca="false">IF(F654="Reopened",1,0)</f>
        <v>0</v>
      </c>
      <c r="V654" s="7" t="n">
        <f aca="false">IF(AND(R654=1,O654&gt;Q654),1,0)</f>
        <v>1</v>
      </c>
      <c r="W654" s="7" t="n">
        <f aca="false">IF(AND(T654=1,P654&lt;&gt;"",P654&lt;=Q654),1,0)</f>
        <v>0</v>
      </c>
    </row>
    <row r="655" customFormat="false" ht="15" hidden="false" customHeight="false" outlineLevel="0" collapsed="false">
      <c r="A655" s="7" t="s">
        <v>861</v>
      </c>
      <c r="B655" s="7" t="s">
        <v>135</v>
      </c>
      <c r="C655" s="7" t="s">
        <v>306</v>
      </c>
      <c r="D655" s="7" t="s">
        <v>59</v>
      </c>
      <c r="E655" s="7" t="s">
        <v>60</v>
      </c>
      <c r="F655" s="7" t="s">
        <v>56</v>
      </c>
      <c r="G655" s="7" t="s">
        <v>19</v>
      </c>
      <c r="H655" s="9" t="n">
        <v>46219</v>
      </c>
      <c r="I655" s="9"/>
      <c r="J655" s="7" t="n">
        <v>7.8</v>
      </c>
      <c r="K655" s="7" t="s">
        <v>771</v>
      </c>
      <c r="L655" s="7" t="s">
        <v>22</v>
      </c>
      <c r="M655" s="7" t="s">
        <v>864</v>
      </c>
      <c r="N655" s="7" t="s">
        <v>58</v>
      </c>
      <c r="O655" s="10" t="n">
        <f aca="false">'Exec Summary'!$E$2-H655</f>
        <v>15</v>
      </c>
      <c r="P655" s="10" t="str">
        <f aca="false">IF(I655="","",I655-H655)</f>
        <v/>
      </c>
      <c r="Q655" s="10" t="n">
        <f aca="false">VLOOKUP(G655,$AA$2:$AB$5,2,FALSE())</f>
        <v>15</v>
      </c>
      <c r="R655" s="7" t="n">
        <f aca="false">IF(OR(F655="Open",F655="Reopened"),1,0)</f>
        <v>1</v>
      </c>
      <c r="S655" s="7" t="n">
        <f aca="false">IF(AND(H655&gt;='Exec Summary'!$E$1,H655&lt;='Exec Summary'!$E$2),1,0)</f>
        <v>1</v>
      </c>
      <c r="T655" s="7" t="n">
        <f aca="false">IF(AND(F655="Closed",I655&lt;&gt;"",I655&gt;='Exec Summary'!$E$1,I655&lt;='Exec Summary'!$E$2),1,0)</f>
        <v>0</v>
      </c>
      <c r="U655" s="7" t="n">
        <f aca="false">IF(F655="Reopened",1,0)</f>
        <v>0</v>
      </c>
      <c r="V655" s="7" t="n">
        <f aca="false">IF(AND(R655=1,O655&gt;Q655),1,0)</f>
        <v>0</v>
      </c>
      <c r="W655" s="7" t="n">
        <f aca="false">IF(AND(T655=1,P655&lt;&gt;"",P655&lt;=Q655),1,0)</f>
        <v>0</v>
      </c>
    </row>
    <row r="656" customFormat="false" ht="15" hidden="false" customHeight="false" outlineLevel="0" collapsed="false">
      <c r="A656" s="7" t="s">
        <v>861</v>
      </c>
      <c r="B656" s="7" t="s">
        <v>135</v>
      </c>
      <c r="C656" s="7" t="s">
        <v>306</v>
      </c>
      <c r="D656" s="7" t="s">
        <v>166</v>
      </c>
      <c r="E656" s="7" t="s">
        <v>167</v>
      </c>
      <c r="F656" s="7" t="s">
        <v>50</v>
      </c>
      <c r="G656" s="7" t="s">
        <v>19</v>
      </c>
      <c r="H656" s="9" t="n">
        <v>46101</v>
      </c>
      <c r="I656" s="9" t="n">
        <v>46106</v>
      </c>
      <c r="J656" s="7" t="n">
        <v>9.8</v>
      </c>
      <c r="K656" s="7" t="s">
        <v>771</v>
      </c>
      <c r="L656" s="7" t="s">
        <v>22</v>
      </c>
      <c r="M656" s="7" t="s">
        <v>865</v>
      </c>
      <c r="N656" s="7" t="s">
        <v>58</v>
      </c>
      <c r="O656" s="10" t="n">
        <f aca="false">'Exec Summary'!$E$2-H656</f>
        <v>133</v>
      </c>
      <c r="P656" s="10" t="n">
        <f aca="false">IF(I656="","",I656-H656)</f>
        <v>5</v>
      </c>
      <c r="Q656" s="10" t="n">
        <f aca="false">VLOOKUP(G656,$AA$2:$AB$5,2,FALSE())</f>
        <v>15</v>
      </c>
      <c r="R656" s="7" t="n">
        <f aca="false">IF(OR(F656="Open",F656="Reopened"),1,0)</f>
        <v>0</v>
      </c>
      <c r="S656" s="7" t="n">
        <f aca="false">IF(AND(H656&gt;='Exec Summary'!$E$1,H656&lt;='Exec Summary'!$E$2),1,0)</f>
        <v>0</v>
      </c>
      <c r="T656" s="7" t="n">
        <f aca="false">IF(AND(F656="Closed",I656&lt;&gt;"",I656&gt;='Exec Summary'!$E$1,I656&lt;='Exec Summary'!$E$2),1,0)</f>
        <v>0</v>
      </c>
      <c r="U656" s="7" t="n">
        <f aca="false">IF(F656="Reopened",1,0)</f>
        <v>0</v>
      </c>
      <c r="V656" s="7" t="n">
        <f aca="false">IF(AND(R656=1,O656&gt;Q656),1,0)</f>
        <v>0</v>
      </c>
      <c r="W656" s="7" t="n">
        <f aca="false">IF(AND(T656=1,P656&lt;&gt;"",P656&lt;=Q656),1,0)</f>
        <v>0</v>
      </c>
    </row>
    <row r="657" customFormat="false" ht="15" hidden="false" customHeight="false" outlineLevel="0" collapsed="false">
      <c r="A657" s="7" t="s">
        <v>861</v>
      </c>
      <c r="B657" s="7" t="s">
        <v>135</v>
      </c>
      <c r="C657" s="7" t="s">
        <v>306</v>
      </c>
      <c r="D657" s="7" t="s">
        <v>145</v>
      </c>
      <c r="E657" s="7" t="s">
        <v>146</v>
      </c>
      <c r="F657" s="7" t="s">
        <v>50</v>
      </c>
      <c r="G657" s="7" t="s">
        <v>19</v>
      </c>
      <c r="H657" s="9" t="n">
        <v>46049</v>
      </c>
      <c r="I657" s="9" t="n">
        <v>46065</v>
      </c>
      <c r="J657" s="7" t="n">
        <v>9.8</v>
      </c>
      <c r="K657" s="7" t="s">
        <v>771</v>
      </c>
      <c r="L657" s="7" t="s">
        <v>22</v>
      </c>
      <c r="M657" s="7" t="s">
        <v>866</v>
      </c>
      <c r="N657" s="7" t="s">
        <v>58</v>
      </c>
      <c r="O657" s="10" t="n">
        <f aca="false">'Exec Summary'!$E$2-H657</f>
        <v>185</v>
      </c>
      <c r="P657" s="10" t="n">
        <f aca="false">IF(I657="","",I657-H657)</f>
        <v>16</v>
      </c>
      <c r="Q657" s="10" t="n">
        <f aca="false">VLOOKUP(G657,$AA$2:$AB$5,2,FALSE())</f>
        <v>15</v>
      </c>
      <c r="R657" s="7" t="n">
        <f aca="false">IF(OR(F657="Open",F657="Reopened"),1,0)</f>
        <v>0</v>
      </c>
      <c r="S657" s="7" t="n">
        <f aca="false">IF(AND(H657&gt;='Exec Summary'!$E$1,H657&lt;='Exec Summary'!$E$2),1,0)</f>
        <v>0</v>
      </c>
      <c r="T657" s="7" t="n">
        <f aca="false">IF(AND(F657="Closed",I657&lt;&gt;"",I657&gt;='Exec Summary'!$E$1,I657&lt;='Exec Summary'!$E$2),1,0)</f>
        <v>0</v>
      </c>
      <c r="U657" s="7" t="n">
        <f aca="false">IF(F657="Reopened",1,0)</f>
        <v>0</v>
      </c>
      <c r="V657" s="7" t="n">
        <f aca="false">IF(AND(R657=1,O657&gt;Q657),1,0)</f>
        <v>0</v>
      </c>
      <c r="W657" s="7" t="n">
        <f aca="false">IF(AND(T657=1,P657&lt;&gt;"",P657&lt;=Q657),1,0)</f>
        <v>0</v>
      </c>
    </row>
    <row r="658" customFormat="false" ht="15" hidden="false" customHeight="false" outlineLevel="0" collapsed="false">
      <c r="A658" s="7" t="s">
        <v>861</v>
      </c>
      <c r="B658" s="7" t="s">
        <v>135</v>
      </c>
      <c r="C658" s="7" t="s">
        <v>306</v>
      </c>
      <c r="D658" s="7" t="s">
        <v>62</v>
      </c>
      <c r="E658" s="7" t="s">
        <v>63</v>
      </c>
      <c r="F658" s="7" t="s">
        <v>56</v>
      </c>
      <c r="G658" s="7" t="s">
        <v>20</v>
      </c>
      <c r="H658" s="9" t="n">
        <v>46030</v>
      </c>
      <c r="I658" s="9"/>
      <c r="J658" s="7" t="n">
        <v>8.1</v>
      </c>
      <c r="K658" s="7" t="s">
        <v>771</v>
      </c>
      <c r="L658" s="7" t="s">
        <v>22</v>
      </c>
      <c r="M658" s="7" t="s">
        <v>867</v>
      </c>
      <c r="N658" s="7" t="s">
        <v>53</v>
      </c>
      <c r="O658" s="10" t="n">
        <f aca="false">'Exec Summary'!$E$2-H658</f>
        <v>204</v>
      </c>
      <c r="P658" s="10" t="str">
        <f aca="false">IF(I658="","",I658-H658)</f>
        <v/>
      </c>
      <c r="Q658" s="10" t="n">
        <f aca="false">VLOOKUP(G658,$AA$2:$AB$5,2,FALSE())</f>
        <v>30</v>
      </c>
      <c r="R658" s="7" t="n">
        <f aca="false">IF(OR(F658="Open",F658="Reopened"),1,0)</f>
        <v>1</v>
      </c>
      <c r="S658" s="7" t="n">
        <f aca="false">IF(AND(H658&gt;='Exec Summary'!$E$1,H658&lt;='Exec Summary'!$E$2),1,0)</f>
        <v>0</v>
      </c>
      <c r="T658" s="7" t="n">
        <f aca="false">IF(AND(F658="Closed",I658&lt;&gt;"",I658&gt;='Exec Summary'!$E$1,I658&lt;='Exec Summary'!$E$2),1,0)</f>
        <v>0</v>
      </c>
      <c r="U658" s="7" t="n">
        <f aca="false">IF(F658="Reopened",1,0)</f>
        <v>0</v>
      </c>
      <c r="V658" s="7" t="n">
        <f aca="false">IF(AND(R658=1,O658&gt;Q658),1,0)</f>
        <v>1</v>
      </c>
      <c r="W658" s="7" t="n">
        <f aca="false">IF(AND(T658=1,P658&lt;&gt;"",P658&lt;=Q658),1,0)</f>
        <v>0</v>
      </c>
    </row>
    <row r="659" customFormat="false" ht="15" hidden="false" customHeight="false" outlineLevel="0" collapsed="false">
      <c r="A659" s="7" t="s">
        <v>861</v>
      </c>
      <c r="B659" s="7" t="s">
        <v>135</v>
      </c>
      <c r="C659" s="7" t="s">
        <v>306</v>
      </c>
      <c r="D659" s="7" t="s">
        <v>98</v>
      </c>
      <c r="E659" s="7" t="s">
        <v>99</v>
      </c>
      <c r="F659" s="7" t="s">
        <v>50</v>
      </c>
      <c r="G659" s="7" t="s">
        <v>19</v>
      </c>
      <c r="H659" s="9" t="n">
        <v>46122</v>
      </c>
      <c r="I659" s="9" t="n">
        <v>46141</v>
      </c>
      <c r="J659" s="7" t="n">
        <v>10</v>
      </c>
      <c r="K659" s="7" t="s">
        <v>771</v>
      </c>
      <c r="L659" s="7" t="s">
        <v>22</v>
      </c>
      <c r="M659" s="7" t="s">
        <v>868</v>
      </c>
      <c r="N659" s="7" t="s">
        <v>58</v>
      </c>
      <c r="O659" s="10" t="n">
        <f aca="false">'Exec Summary'!$E$2-H659</f>
        <v>112</v>
      </c>
      <c r="P659" s="10" t="n">
        <f aca="false">IF(I659="","",I659-H659)</f>
        <v>19</v>
      </c>
      <c r="Q659" s="10" t="n">
        <f aca="false">VLOOKUP(G659,$AA$2:$AB$5,2,FALSE())</f>
        <v>15</v>
      </c>
      <c r="R659" s="7" t="n">
        <f aca="false">IF(OR(F659="Open",F659="Reopened"),1,0)</f>
        <v>0</v>
      </c>
      <c r="S659" s="7" t="n">
        <f aca="false">IF(AND(H659&gt;='Exec Summary'!$E$1,H659&lt;='Exec Summary'!$E$2),1,0)</f>
        <v>0</v>
      </c>
      <c r="T659" s="7" t="n">
        <f aca="false">IF(AND(F659="Closed",I659&lt;&gt;"",I659&gt;='Exec Summary'!$E$1,I659&lt;='Exec Summary'!$E$2),1,0)</f>
        <v>0</v>
      </c>
      <c r="U659" s="7" t="n">
        <f aca="false">IF(F659="Reopened",1,0)</f>
        <v>0</v>
      </c>
      <c r="V659" s="7" t="n">
        <f aca="false">IF(AND(R659=1,O659&gt;Q659),1,0)</f>
        <v>0</v>
      </c>
      <c r="W659" s="7" t="n">
        <f aca="false">IF(AND(T659=1,P659&lt;&gt;"",P659&lt;=Q659),1,0)</f>
        <v>0</v>
      </c>
    </row>
    <row r="660" customFormat="false" ht="15" hidden="false" customHeight="false" outlineLevel="0" collapsed="false">
      <c r="A660" s="7" t="s">
        <v>861</v>
      </c>
      <c r="B660" s="7" t="s">
        <v>135</v>
      </c>
      <c r="C660" s="7" t="s">
        <v>306</v>
      </c>
      <c r="D660" s="7" t="s">
        <v>108</v>
      </c>
      <c r="E660" s="7" t="s">
        <v>109</v>
      </c>
      <c r="F660" s="7" t="s">
        <v>56</v>
      </c>
      <c r="G660" s="7" t="s">
        <v>20</v>
      </c>
      <c r="H660" s="9" t="n">
        <v>46201</v>
      </c>
      <c r="I660" s="9"/>
      <c r="J660" s="7" t="n">
        <v>8.6</v>
      </c>
      <c r="K660" s="7" t="s">
        <v>771</v>
      </c>
      <c r="L660" s="7" t="s">
        <v>22</v>
      </c>
      <c r="M660" s="7" t="s">
        <v>869</v>
      </c>
      <c r="N660" s="7" t="s">
        <v>53</v>
      </c>
      <c r="O660" s="10" t="n">
        <f aca="false">'Exec Summary'!$E$2-H660</f>
        <v>33</v>
      </c>
      <c r="P660" s="10" t="str">
        <f aca="false">IF(I660="","",I660-H660)</f>
        <v/>
      </c>
      <c r="Q660" s="10" t="n">
        <f aca="false">VLOOKUP(G660,$AA$2:$AB$5,2,FALSE())</f>
        <v>30</v>
      </c>
      <c r="R660" s="7" t="n">
        <f aca="false">IF(OR(F660="Open",F660="Reopened"),1,0)</f>
        <v>1</v>
      </c>
      <c r="S660" s="7" t="n">
        <f aca="false">IF(AND(H660&gt;='Exec Summary'!$E$1,H660&lt;='Exec Summary'!$E$2),1,0)</f>
        <v>0</v>
      </c>
      <c r="T660" s="7" t="n">
        <f aca="false">IF(AND(F660="Closed",I660&lt;&gt;"",I660&gt;='Exec Summary'!$E$1,I660&lt;='Exec Summary'!$E$2),1,0)</f>
        <v>0</v>
      </c>
      <c r="U660" s="7" t="n">
        <f aca="false">IF(F660="Reopened",1,0)</f>
        <v>0</v>
      </c>
      <c r="V660" s="7" t="n">
        <f aca="false">IF(AND(R660=1,O660&gt;Q660),1,0)</f>
        <v>1</v>
      </c>
      <c r="W660" s="7" t="n">
        <f aca="false">IF(AND(T660=1,P660&lt;&gt;"",P660&lt;=Q660),1,0)</f>
        <v>0</v>
      </c>
    </row>
    <row r="661" customFormat="false" ht="15" hidden="false" customHeight="false" outlineLevel="0" collapsed="false">
      <c r="A661" s="7" t="s">
        <v>861</v>
      </c>
      <c r="B661" s="7" t="s">
        <v>135</v>
      </c>
      <c r="C661" s="7" t="s">
        <v>306</v>
      </c>
      <c r="D661" s="7" t="s">
        <v>54</v>
      </c>
      <c r="E661" s="7" t="s">
        <v>55</v>
      </c>
      <c r="F661" s="7" t="s">
        <v>50</v>
      </c>
      <c r="G661" s="7" t="s">
        <v>19</v>
      </c>
      <c r="H661" s="9" t="n">
        <v>45995</v>
      </c>
      <c r="I661" s="9" t="n">
        <v>46006</v>
      </c>
      <c r="J661" s="7" t="n">
        <v>9.8</v>
      </c>
      <c r="K661" s="7" t="s">
        <v>771</v>
      </c>
      <c r="L661" s="7" t="s">
        <v>22</v>
      </c>
      <c r="M661" s="7" t="s">
        <v>870</v>
      </c>
      <c r="N661" s="7" t="s">
        <v>58</v>
      </c>
      <c r="O661" s="10" t="n">
        <f aca="false">'Exec Summary'!$E$2-H661</f>
        <v>239</v>
      </c>
      <c r="P661" s="10" t="n">
        <f aca="false">IF(I661="","",I661-H661)</f>
        <v>11</v>
      </c>
      <c r="Q661" s="10" t="n">
        <f aca="false">VLOOKUP(G661,$AA$2:$AB$5,2,FALSE())</f>
        <v>15</v>
      </c>
      <c r="R661" s="7" t="n">
        <f aca="false">IF(OR(F661="Open",F661="Reopened"),1,0)</f>
        <v>0</v>
      </c>
      <c r="S661" s="7" t="n">
        <f aca="false">IF(AND(H661&gt;='Exec Summary'!$E$1,H661&lt;='Exec Summary'!$E$2),1,0)</f>
        <v>0</v>
      </c>
      <c r="T661" s="7" t="n">
        <f aca="false">IF(AND(F661="Closed",I661&lt;&gt;"",I661&gt;='Exec Summary'!$E$1,I661&lt;='Exec Summary'!$E$2),1,0)</f>
        <v>0</v>
      </c>
      <c r="U661" s="7" t="n">
        <f aca="false">IF(F661="Reopened",1,0)</f>
        <v>0</v>
      </c>
      <c r="V661" s="7" t="n">
        <f aca="false">IF(AND(R661=1,O661&gt;Q661),1,0)</f>
        <v>0</v>
      </c>
      <c r="W661" s="7" t="n">
        <f aca="false">IF(AND(T661=1,P661&lt;&gt;"",P661&lt;=Q661),1,0)</f>
        <v>0</v>
      </c>
    </row>
    <row r="662" customFormat="false" ht="15" hidden="false" customHeight="false" outlineLevel="0" collapsed="false">
      <c r="A662" s="7" t="s">
        <v>861</v>
      </c>
      <c r="B662" s="7" t="s">
        <v>135</v>
      </c>
      <c r="C662" s="7" t="s">
        <v>306</v>
      </c>
      <c r="D662" s="7" t="s">
        <v>152</v>
      </c>
      <c r="E662" s="7" t="s">
        <v>153</v>
      </c>
      <c r="F662" s="7" t="s">
        <v>50</v>
      </c>
      <c r="G662" s="7" t="s">
        <v>20</v>
      </c>
      <c r="H662" s="9" t="n">
        <v>46020</v>
      </c>
      <c r="I662" s="9" t="n">
        <v>46054</v>
      </c>
      <c r="J662" s="7" t="n">
        <v>7.5</v>
      </c>
      <c r="K662" s="7" t="s">
        <v>771</v>
      </c>
      <c r="L662" s="7" t="s">
        <v>22</v>
      </c>
      <c r="M662" s="7" t="s">
        <v>871</v>
      </c>
      <c r="N662" s="7" t="s">
        <v>53</v>
      </c>
      <c r="O662" s="10" t="n">
        <f aca="false">'Exec Summary'!$E$2-H662</f>
        <v>214</v>
      </c>
      <c r="P662" s="10" t="n">
        <f aca="false">IF(I662="","",I662-H662)</f>
        <v>34</v>
      </c>
      <c r="Q662" s="10" t="n">
        <f aca="false">VLOOKUP(G662,$AA$2:$AB$5,2,FALSE())</f>
        <v>30</v>
      </c>
      <c r="R662" s="7" t="n">
        <f aca="false">IF(OR(F662="Open",F662="Reopened"),1,0)</f>
        <v>0</v>
      </c>
      <c r="S662" s="7" t="n">
        <f aca="false">IF(AND(H662&gt;='Exec Summary'!$E$1,H662&lt;='Exec Summary'!$E$2),1,0)</f>
        <v>0</v>
      </c>
      <c r="T662" s="7" t="n">
        <f aca="false">IF(AND(F662="Closed",I662&lt;&gt;"",I662&gt;='Exec Summary'!$E$1,I662&lt;='Exec Summary'!$E$2),1,0)</f>
        <v>0</v>
      </c>
      <c r="U662" s="7" t="n">
        <f aca="false">IF(F662="Reopened",1,0)</f>
        <v>0</v>
      </c>
      <c r="V662" s="7" t="n">
        <f aca="false">IF(AND(R662=1,O662&gt;Q662),1,0)</f>
        <v>0</v>
      </c>
      <c r="W662" s="7" t="n">
        <f aca="false">IF(AND(T662=1,P662&lt;&gt;"",P662&lt;=Q662),1,0)</f>
        <v>0</v>
      </c>
    </row>
    <row r="663" customFormat="false" ht="15" hidden="false" customHeight="false" outlineLevel="0" collapsed="false">
      <c r="A663" s="7" t="s">
        <v>861</v>
      </c>
      <c r="B663" s="7" t="s">
        <v>135</v>
      </c>
      <c r="C663" s="7" t="s">
        <v>306</v>
      </c>
      <c r="D663" s="7" t="s">
        <v>74</v>
      </c>
      <c r="E663" s="7" t="s">
        <v>75</v>
      </c>
      <c r="F663" s="7" t="s">
        <v>50</v>
      </c>
      <c r="G663" s="7" t="s">
        <v>21</v>
      </c>
      <c r="H663" s="9" t="n">
        <v>45996</v>
      </c>
      <c r="I663" s="9" t="n">
        <v>46057</v>
      </c>
      <c r="J663" s="7" t="n">
        <v>6.5</v>
      </c>
      <c r="K663" s="7" t="s">
        <v>771</v>
      </c>
      <c r="L663" s="7" t="s">
        <v>22</v>
      </c>
      <c r="M663" s="7" t="s">
        <v>872</v>
      </c>
      <c r="N663" s="7" t="s">
        <v>77</v>
      </c>
      <c r="O663" s="10" t="n">
        <f aca="false">'Exec Summary'!$E$2-H663</f>
        <v>238</v>
      </c>
      <c r="P663" s="10" t="n">
        <f aca="false">IF(I663="","",I663-H663)</f>
        <v>61</v>
      </c>
      <c r="Q663" s="10" t="n">
        <f aca="false">VLOOKUP(G663,$AA$2:$AB$5,2,FALSE())</f>
        <v>90</v>
      </c>
      <c r="R663" s="7" t="n">
        <f aca="false">IF(OR(F663="Open",F663="Reopened"),1,0)</f>
        <v>0</v>
      </c>
      <c r="S663" s="7" t="n">
        <f aca="false">IF(AND(H663&gt;='Exec Summary'!$E$1,H663&lt;='Exec Summary'!$E$2),1,0)</f>
        <v>0</v>
      </c>
      <c r="T663" s="7" t="n">
        <f aca="false">IF(AND(F663="Closed",I663&lt;&gt;"",I663&gt;='Exec Summary'!$E$1,I663&lt;='Exec Summary'!$E$2),1,0)</f>
        <v>0</v>
      </c>
      <c r="U663" s="7" t="n">
        <f aca="false">IF(F663="Reopened",1,0)</f>
        <v>0</v>
      </c>
      <c r="V663" s="7" t="n">
        <f aca="false">IF(AND(R663=1,O663&gt;Q663),1,0)</f>
        <v>0</v>
      </c>
      <c r="W663" s="7" t="n">
        <f aca="false">IF(AND(T663=1,P663&lt;&gt;"",P663&lt;=Q663),1,0)</f>
        <v>0</v>
      </c>
    </row>
    <row r="664" customFormat="false" ht="15" hidden="false" customHeight="false" outlineLevel="0" collapsed="false">
      <c r="A664" s="7" t="s">
        <v>873</v>
      </c>
      <c r="B664" s="7" t="s">
        <v>46</v>
      </c>
      <c r="C664" s="7" t="s">
        <v>79</v>
      </c>
      <c r="D664" s="7" t="s">
        <v>117</v>
      </c>
      <c r="E664" s="7" t="s">
        <v>118</v>
      </c>
      <c r="F664" s="7" t="s">
        <v>50</v>
      </c>
      <c r="G664" s="7" t="s">
        <v>19</v>
      </c>
      <c r="H664" s="9" t="n">
        <v>45989</v>
      </c>
      <c r="I664" s="9" t="n">
        <v>45995</v>
      </c>
      <c r="J664" s="7" t="n">
        <v>10</v>
      </c>
      <c r="K664" s="7" t="s">
        <v>771</v>
      </c>
      <c r="L664" s="7" t="s">
        <v>19</v>
      </c>
      <c r="M664" s="7" t="s">
        <v>874</v>
      </c>
      <c r="N664" s="7" t="s">
        <v>58</v>
      </c>
      <c r="O664" s="10" t="n">
        <f aca="false">'Exec Summary'!$E$2-H664</f>
        <v>245</v>
      </c>
      <c r="P664" s="10" t="n">
        <f aca="false">IF(I664="","",I664-H664)</f>
        <v>6</v>
      </c>
      <c r="Q664" s="10" t="n">
        <f aca="false">VLOOKUP(G664,$AA$2:$AB$5,2,FALSE())</f>
        <v>15</v>
      </c>
      <c r="R664" s="7" t="n">
        <f aca="false">IF(OR(F664="Open",F664="Reopened"),1,0)</f>
        <v>0</v>
      </c>
      <c r="S664" s="7" t="n">
        <f aca="false">IF(AND(H664&gt;='Exec Summary'!$E$1,H664&lt;='Exec Summary'!$E$2),1,0)</f>
        <v>0</v>
      </c>
      <c r="T664" s="7" t="n">
        <f aca="false">IF(AND(F664="Closed",I664&lt;&gt;"",I664&gt;='Exec Summary'!$E$1,I664&lt;='Exec Summary'!$E$2),1,0)</f>
        <v>0</v>
      </c>
      <c r="U664" s="7" t="n">
        <f aca="false">IF(F664="Reopened",1,0)</f>
        <v>0</v>
      </c>
      <c r="V664" s="7" t="n">
        <f aca="false">IF(AND(R664=1,O664&gt;Q664),1,0)</f>
        <v>0</v>
      </c>
      <c r="W664" s="7" t="n">
        <f aca="false">IF(AND(T664=1,P664&lt;&gt;"",P664&lt;=Q664),1,0)</f>
        <v>0</v>
      </c>
    </row>
    <row r="665" customFormat="false" ht="15" hidden="false" customHeight="false" outlineLevel="0" collapsed="false">
      <c r="A665" s="7" t="s">
        <v>873</v>
      </c>
      <c r="B665" s="7" t="s">
        <v>46</v>
      </c>
      <c r="C665" s="7" t="s">
        <v>79</v>
      </c>
      <c r="D665" s="7" t="s">
        <v>65</v>
      </c>
      <c r="E665" s="7" t="s">
        <v>66</v>
      </c>
      <c r="F665" s="7" t="s">
        <v>56</v>
      </c>
      <c r="G665" s="7" t="s">
        <v>19</v>
      </c>
      <c r="H665" s="9" t="n">
        <v>45984</v>
      </c>
      <c r="I665" s="9"/>
      <c r="J665" s="7" t="n">
        <v>9.8</v>
      </c>
      <c r="K665" s="7" t="s">
        <v>771</v>
      </c>
      <c r="L665" s="7" t="s">
        <v>19</v>
      </c>
      <c r="M665" s="7" t="s">
        <v>875</v>
      </c>
      <c r="N665" s="7" t="s">
        <v>58</v>
      </c>
      <c r="O665" s="10" t="n">
        <f aca="false">'Exec Summary'!$E$2-H665</f>
        <v>250</v>
      </c>
      <c r="P665" s="10" t="str">
        <f aca="false">IF(I665="","",I665-H665)</f>
        <v/>
      </c>
      <c r="Q665" s="10" t="n">
        <f aca="false">VLOOKUP(G665,$AA$2:$AB$5,2,FALSE())</f>
        <v>15</v>
      </c>
      <c r="R665" s="7" t="n">
        <f aca="false">IF(OR(F665="Open",F665="Reopened"),1,0)</f>
        <v>1</v>
      </c>
      <c r="S665" s="7" t="n">
        <f aca="false">IF(AND(H665&gt;='Exec Summary'!$E$1,H665&lt;='Exec Summary'!$E$2),1,0)</f>
        <v>0</v>
      </c>
      <c r="T665" s="7" t="n">
        <f aca="false">IF(AND(F665="Closed",I665&lt;&gt;"",I665&gt;='Exec Summary'!$E$1,I665&lt;='Exec Summary'!$E$2),1,0)</f>
        <v>0</v>
      </c>
      <c r="U665" s="7" t="n">
        <f aca="false">IF(F665="Reopened",1,0)</f>
        <v>0</v>
      </c>
      <c r="V665" s="7" t="n">
        <f aca="false">IF(AND(R665=1,O665&gt;Q665),1,0)</f>
        <v>1</v>
      </c>
      <c r="W665" s="7" t="n">
        <f aca="false">IF(AND(T665=1,P665&lt;&gt;"",P665&lt;=Q665),1,0)</f>
        <v>0</v>
      </c>
    </row>
    <row r="666" customFormat="false" ht="15" hidden="false" customHeight="false" outlineLevel="0" collapsed="false">
      <c r="A666" s="7" t="s">
        <v>873</v>
      </c>
      <c r="B666" s="7" t="s">
        <v>46</v>
      </c>
      <c r="C666" s="7" t="s">
        <v>79</v>
      </c>
      <c r="D666" s="7" t="s">
        <v>145</v>
      </c>
      <c r="E666" s="7" t="s">
        <v>146</v>
      </c>
      <c r="F666" s="7" t="s">
        <v>56</v>
      </c>
      <c r="G666" s="7" t="s">
        <v>19</v>
      </c>
      <c r="H666" s="9" t="n">
        <v>46189</v>
      </c>
      <c r="I666" s="9"/>
      <c r="J666" s="7" t="n">
        <v>9.8</v>
      </c>
      <c r="K666" s="7" t="s">
        <v>771</v>
      </c>
      <c r="L666" s="7" t="s">
        <v>19</v>
      </c>
      <c r="M666" s="7" t="s">
        <v>876</v>
      </c>
      <c r="N666" s="7" t="s">
        <v>58</v>
      </c>
      <c r="O666" s="10" t="n">
        <f aca="false">'Exec Summary'!$E$2-H666</f>
        <v>45</v>
      </c>
      <c r="P666" s="10" t="str">
        <f aca="false">IF(I666="","",I666-H666)</f>
        <v/>
      </c>
      <c r="Q666" s="10" t="n">
        <f aca="false">VLOOKUP(G666,$AA$2:$AB$5,2,FALSE())</f>
        <v>15</v>
      </c>
      <c r="R666" s="7" t="n">
        <f aca="false">IF(OR(F666="Open",F666="Reopened"),1,0)</f>
        <v>1</v>
      </c>
      <c r="S666" s="7" t="n">
        <f aca="false">IF(AND(H666&gt;='Exec Summary'!$E$1,H666&lt;='Exec Summary'!$E$2),1,0)</f>
        <v>0</v>
      </c>
      <c r="T666" s="7" t="n">
        <f aca="false">IF(AND(F666="Closed",I666&lt;&gt;"",I666&gt;='Exec Summary'!$E$1,I666&lt;='Exec Summary'!$E$2),1,0)</f>
        <v>0</v>
      </c>
      <c r="U666" s="7" t="n">
        <f aca="false">IF(F666="Reopened",1,0)</f>
        <v>0</v>
      </c>
      <c r="V666" s="7" t="n">
        <f aca="false">IF(AND(R666=1,O666&gt;Q666),1,0)</f>
        <v>1</v>
      </c>
      <c r="W666" s="7" t="n">
        <f aca="false">IF(AND(T666=1,P666&lt;&gt;"",P666&lt;=Q666),1,0)</f>
        <v>0</v>
      </c>
    </row>
    <row r="667" customFormat="false" ht="15" hidden="false" customHeight="false" outlineLevel="0" collapsed="false">
      <c r="A667" s="7" t="s">
        <v>873</v>
      </c>
      <c r="B667" s="7" t="s">
        <v>46</v>
      </c>
      <c r="C667" s="7" t="s">
        <v>79</v>
      </c>
      <c r="D667" s="7" t="s">
        <v>139</v>
      </c>
      <c r="E667" s="7" t="s">
        <v>140</v>
      </c>
      <c r="F667" s="7" t="s">
        <v>56</v>
      </c>
      <c r="G667" s="7" t="s">
        <v>19</v>
      </c>
      <c r="H667" s="9" t="n">
        <v>46129</v>
      </c>
      <c r="I667" s="9"/>
      <c r="J667" s="7" t="n">
        <v>9.8</v>
      </c>
      <c r="K667" s="7" t="s">
        <v>771</v>
      </c>
      <c r="L667" s="7" t="s">
        <v>19</v>
      </c>
      <c r="M667" s="7" t="s">
        <v>877</v>
      </c>
      <c r="N667" s="7" t="s">
        <v>58</v>
      </c>
      <c r="O667" s="10" t="n">
        <f aca="false">'Exec Summary'!$E$2-H667</f>
        <v>105</v>
      </c>
      <c r="P667" s="10" t="str">
        <f aca="false">IF(I667="","",I667-H667)</f>
        <v/>
      </c>
      <c r="Q667" s="10" t="n">
        <f aca="false">VLOOKUP(G667,$AA$2:$AB$5,2,FALSE())</f>
        <v>15</v>
      </c>
      <c r="R667" s="7" t="n">
        <f aca="false">IF(OR(F667="Open",F667="Reopened"),1,0)</f>
        <v>1</v>
      </c>
      <c r="S667" s="7" t="n">
        <f aca="false">IF(AND(H667&gt;='Exec Summary'!$E$1,H667&lt;='Exec Summary'!$E$2),1,0)</f>
        <v>0</v>
      </c>
      <c r="T667" s="7" t="n">
        <f aca="false">IF(AND(F667="Closed",I667&lt;&gt;"",I667&gt;='Exec Summary'!$E$1,I667&lt;='Exec Summary'!$E$2),1,0)</f>
        <v>0</v>
      </c>
      <c r="U667" s="7" t="n">
        <f aca="false">IF(F667="Reopened",1,0)</f>
        <v>0</v>
      </c>
      <c r="V667" s="7" t="n">
        <f aca="false">IF(AND(R667=1,O667&gt;Q667),1,0)</f>
        <v>1</v>
      </c>
      <c r="W667" s="7" t="n">
        <f aca="false">IF(AND(T667=1,P667&lt;&gt;"",P667&lt;=Q667),1,0)</f>
        <v>0</v>
      </c>
    </row>
    <row r="668" customFormat="false" ht="15" hidden="false" customHeight="false" outlineLevel="0" collapsed="false">
      <c r="A668" s="7" t="s">
        <v>873</v>
      </c>
      <c r="B668" s="7" t="s">
        <v>46</v>
      </c>
      <c r="C668" s="7" t="s">
        <v>79</v>
      </c>
      <c r="D668" s="7" t="s">
        <v>108</v>
      </c>
      <c r="E668" s="7" t="s">
        <v>109</v>
      </c>
      <c r="F668" s="7" t="s">
        <v>50</v>
      </c>
      <c r="G668" s="7" t="s">
        <v>20</v>
      </c>
      <c r="H668" s="9" t="n">
        <v>46012</v>
      </c>
      <c r="I668" s="9" t="n">
        <v>46035</v>
      </c>
      <c r="J668" s="7" t="n">
        <v>8.6</v>
      </c>
      <c r="K668" s="7" t="s">
        <v>771</v>
      </c>
      <c r="L668" s="7" t="s">
        <v>19</v>
      </c>
      <c r="M668" s="7" t="s">
        <v>878</v>
      </c>
      <c r="N668" s="7" t="s">
        <v>53</v>
      </c>
      <c r="O668" s="10" t="n">
        <f aca="false">'Exec Summary'!$E$2-H668</f>
        <v>222</v>
      </c>
      <c r="P668" s="10" t="n">
        <f aca="false">IF(I668="","",I668-H668)</f>
        <v>23</v>
      </c>
      <c r="Q668" s="10" t="n">
        <f aca="false">VLOOKUP(G668,$AA$2:$AB$5,2,FALSE())</f>
        <v>30</v>
      </c>
      <c r="R668" s="7" t="n">
        <f aca="false">IF(OR(F668="Open",F668="Reopened"),1,0)</f>
        <v>0</v>
      </c>
      <c r="S668" s="7" t="n">
        <f aca="false">IF(AND(H668&gt;='Exec Summary'!$E$1,H668&lt;='Exec Summary'!$E$2),1,0)</f>
        <v>0</v>
      </c>
      <c r="T668" s="7" t="n">
        <f aca="false">IF(AND(F668="Closed",I668&lt;&gt;"",I668&gt;='Exec Summary'!$E$1,I668&lt;='Exec Summary'!$E$2),1,0)</f>
        <v>0</v>
      </c>
      <c r="U668" s="7" t="n">
        <f aca="false">IF(F668="Reopened",1,0)</f>
        <v>0</v>
      </c>
      <c r="V668" s="7" t="n">
        <f aca="false">IF(AND(R668=1,O668&gt;Q668),1,0)</f>
        <v>0</v>
      </c>
      <c r="W668" s="7" t="n">
        <f aca="false">IF(AND(T668=1,P668&lt;&gt;"",P668&lt;=Q668),1,0)</f>
        <v>0</v>
      </c>
    </row>
    <row r="669" customFormat="false" ht="15" hidden="false" customHeight="false" outlineLevel="0" collapsed="false">
      <c r="A669" s="7" t="s">
        <v>873</v>
      </c>
      <c r="B669" s="7" t="s">
        <v>46</v>
      </c>
      <c r="C669" s="7" t="s">
        <v>79</v>
      </c>
      <c r="D669" s="7" t="s">
        <v>95</v>
      </c>
      <c r="E669" s="7" t="s">
        <v>96</v>
      </c>
      <c r="F669" s="7" t="s">
        <v>56</v>
      </c>
      <c r="G669" s="7" t="s">
        <v>20</v>
      </c>
      <c r="H669" s="9" t="n">
        <v>46200</v>
      </c>
      <c r="I669" s="9"/>
      <c r="J669" s="7" t="n">
        <v>8.8</v>
      </c>
      <c r="K669" s="7" t="s">
        <v>771</v>
      </c>
      <c r="L669" s="7" t="s">
        <v>19</v>
      </c>
      <c r="M669" s="7" t="s">
        <v>879</v>
      </c>
      <c r="N669" s="7" t="s">
        <v>53</v>
      </c>
      <c r="O669" s="10" t="n">
        <f aca="false">'Exec Summary'!$E$2-H669</f>
        <v>34</v>
      </c>
      <c r="P669" s="10" t="str">
        <f aca="false">IF(I669="","",I669-H669)</f>
        <v/>
      </c>
      <c r="Q669" s="10" t="n">
        <f aca="false">VLOOKUP(G669,$AA$2:$AB$5,2,FALSE())</f>
        <v>30</v>
      </c>
      <c r="R669" s="7" t="n">
        <f aca="false">IF(OR(F669="Open",F669="Reopened"),1,0)</f>
        <v>1</v>
      </c>
      <c r="S669" s="7" t="n">
        <f aca="false">IF(AND(H669&gt;='Exec Summary'!$E$1,H669&lt;='Exec Summary'!$E$2),1,0)</f>
        <v>0</v>
      </c>
      <c r="T669" s="7" t="n">
        <f aca="false">IF(AND(F669="Closed",I669&lt;&gt;"",I669&gt;='Exec Summary'!$E$1,I669&lt;='Exec Summary'!$E$2),1,0)</f>
        <v>0</v>
      </c>
      <c r="U669" s="7" t="n">
        <f aca="false">IF(F669="Reopened",1,0)</f>
        <v>0</v>
      </c>
      <c r="V669" s="7" t="n">
        <f aca="false">IF(AND(R669=1,O669&gt;Q669),1,0)</f>
        <v>1</v>
      </c>
      <c r="W669" s="7" t="n">
        <f aca="false">IF(AND(T669=1,P669&lt;&gt;"",P669&lt;=Q669),1,0)</f>
        <v>0</v>
      </c>
    </row>
    <row r="670" customFormat="false" ht="15" hidden="false" customHeight="false" outlineLevel="0" collapsed="false">
      <c r="A670" s="7" t="s">
        <v>873</v>
      </c>
      <c r="B670" s="7" t="s">
        <v>46</v>
      </c>
      <c r="C670" s="7" t="s">
        <v>79</v>
      </c>
      <c r="D670" s="7" t="s">
        <v>68</v>
      </c>
      <c r="E670" s="7" t="s">
        <v>69</v>
      </c>
      <c r="F670" s="7" t="s">
        <v>50</v>
      </c>
      <c r="G670" s="7" t="s">
        <v>19</v>
      </c>
      <c r="H670" s="9" t="n">
        <v>46037</v>
      </c>
      <c r="I670" s="9" t="n">
        <v>46040</v>
      </c>
      <c r="J670" s="7" t="n">
        <v>9.8</v>
      </c>
      <c r="K670" s="7" t="s">
        <v>771</v>
      </c>
      <c r="L670" s="7" t="s">
        <v>19</v>
      </c>
      <c r="M670" s="7" t="s">
        <v>880</v>
      </c>
      <c r="N670" s="7" t="s">
        <v>58</v>
      </c>
      <c r="O670" s="10" t="n">
        <f aca="false">'Exec Summary'!$E$2-H670</f>
        <v>197</v>
      </c>
      <c r="P670" s="10" t="n">
        <f aca="false">IF(I670="","",I670-H670)</f>
        <v>3</v>
      </c>
      <c r="Q670" s="10" t="n">
        <f aca="false">VLOOKUP(G670,$AA$2:$AB$5,2,FALSE())</f>
        <v>15</v>
      </c>
      <c r="R670" s="7" t="n">
        <f aca="false">IF(OR(F670="Open",F670="Reopened"),1,0)</f>
        <v>0</v>
      </c>
      <c r="S670" s="7" t="n">
        <f aca="false">IF(AND(H670&gt;='Exec Summary'!$E$1,H670&lt;='Exec Summary'!$E$2),1,0)</f>
        <v>0</v>
      </c>
      <c r="T670" s="7" t="n">
        <f aca="false">IF(AND(F670="Closed",I670&lt;&gt;"",I670&gt;='Exec Summary'!$E$1,I670&lt;='Exec Summary'!$E$2),1,0)</f>
        <v>0</v>
      </c>
      <c r="U670" s="7" t="n">
        <f aca="false">IF(F670="Reopened",1,0)</f>
        <v>0</v>
      </c>
      <c r="V670" s="7" t="n">
        <f aca="false">IF(AND(R670=1,O670&gt;Q670),1,0)</f>
        <v>0</v>
      </c>
      <c r="W670" s="7" t="n">
        <f aca="false">IF(AND(T670=1,P670&lt;&gt;"",P670&lt;=Q670),1,0)</f>
        <v>0</v>
      </c>
    </row>
    <row r="671" customFormat="false" ht="15" hidden="false" customHeight="false" outlineLevel="0" collapsed="false">
      <c r="A671" s="7" t="s">
        <v>873</v>
      </c>
      <c r="B671" s="7" t="s">
        <v>46</v>
      </c>
      <c r="C671" s="7" t="s">
        <v>79</v>
      </c>
      <c r="D671" s="7" t="s">
        <v>112</v>
      </c>
      <c r="E671" s="7" t="s">
        <v>113</v>
      </c>
      <c r="F671" s="7" t="s">
        <v>56</v>
      </c>
      <c r="G671" s="7" t="s">
        <v>20</v>
      </c>
      <c r="H671" s="9" t="n">
        <v>45950</v>
      </c>
      <c r="I671" s="9"/>
      <c r="J671" s="7" t="n">
        <v>7.8</v>
      </c>
      <c r="K671" s="7" t="s">
        <v>771</v>
      </c>
      <c r="L671" s="7" t="s">
        <v>19</v>
      </c>
      <c r="M671" s="7" t="s">
        <v>881</v>
      </c>
      <c r="N671" s="7" t="s">
        <v>53</v>
      </c>
      <c r="O671" s="10" t="n">
        <f aca="false">'Exec Summary'!$E$2-H671</f>
        <v>284</v>
      </c>
      <c r="P671" s="10" t="str">
        <f aca="false">IF(I671="","",I671-H671)</f>
        <v/>
      </c>
      <c r="Q671" s="10" t="n">
        <f aca="false">VLOOKUP(G671,$AA$2:$AB$5,2,FALSE())</f>
        <v>30</v>
      </c>
      <c r="R671" s="7" t="n">
        <f aca="false">IF(OR(F671="Open",F671="Reopened"),1,0)</f>
        <v>1</v>
      </c>
      <c r="S671" s="7" t="n">
        <f aca="false">IF(AND(H671&gt;='Exec Summary'!$E$1,H671&lt;='Exec Summary'!$E$2),1,0)</f>
        <v>0</v>
      </c>
      <c r="T671" s="7" t="n">
        <f aca="false">IF(AND(F671="Closed",I671&lt;&gt;"",I671&gt;='Exec Summary'!$E$1,I671&lt;='Exec Summary'!$E$2),1,0)</f>
        <v>0</v>
      </c>
      <c r="U671" s="7" t="n">
        <f aca="false">IF(F671="Reopened",1,0)</f>
        <v>0</v>
      </c>
      <c r="V671" s="7" t="n">
        <f aca="false">IF(AND(R671=1,O671&gt;Q671),1,0)</f>
        <v>1</v>
      </c>
      <c r="W671" s="7" t="n">
        <f aca="false">IF(AND(T671=1,P671&lt;&gt;"",P671&lt;=Q671),1,0)</f>
        <v>0</v>
      </c>
    </row>
    <row r="672" customFormat="false" ht="15" hidden="false" customHeight="false" outlineLevel="0" collapsed="false">
      <c r="A672" s="7" t="s">
        <v>882</v>
      </c>
      <c r="B672" s="7" t="s">
        <v>46</v>
      </c>
      <c r="C672" s="7" t="s">
        <v>47</v>
      </c>
      <c r="D672" s="7" t="s">
        <v>91</v>
      </c>
      <c r="E672" s="7" t="s">
        <v>92</v>
      </c>
      <c r="F672" s="7" t="s">
        <v>56</v>
      </c>
      <c r="G672" s="7" t="s">
        <v>20</v>
      </c>
      <c r="H672" s="9" t="n">
        <v>46089</v>
      </c>
      <c r="I672" s="9"/>
      <c r="J672" s="7" t="n">
        <v>8.1</v>
      </c>
      <c r="K672" s="7" t="s">
        <v>771</v>
      </c>
      <c r="L672" s="7" t="s">
        <v>22</v>
      </c>
      <c r="M672" s="7" t="s">
        <v>883</v>
      </c>
      <c r="N672" s="7" t="s">
        <v>53</v>
      </c>
      <c r="O672" s="10" t="n">
        <f aca="false">'Exec Summary'!$E$2-H672</f>
        <v>145</v>
      </c>
      <c r="P672" s="10" t="str">
        <f aca="false">IF(I672="","",I672-H672)</f>
        <v/>
      </c>
      <c r="Q672" s="10" t="n">
        <f aca="false">VLOOKUP(G672,$AA$2:$AB$5,2,FALSE())</f>
        <v>30</v>
      </c>
      <c r="R672" s="7" t="n">
        <f aca="false">IF(OR(F672="Open",F672="Reopened"),1,0)</f>
        <v>1</v>
      </c>
      <c r="S672" s="7" t="n">
        <f aca="false">IF(AND(H672&gt;='Exec Summary'!$E$1,H672&lt;='Exec Summary'!$E$2),1,0)</f>
        <v>0</v>
      </c>
      <c r="T672" s="7" t="n">
        <f aca="false">IF(AND(F672="Closed",I672&lt;&gt;"",I672&gt;='Exec Summary'!$E$1,I672&lt;='Exec Summary'!$E$2),1,0)</f>
        <v>0</v>
      </c>
      <c r="U672" s="7" t="n">
        <f aca="false">IF(F672="Reopened",1,0)</f>
        <v>0</v>
      </c>
      <c r="V672" s="7" t="n">
        <f aca="false">IF(AND(R672=1,O672&gt;Q672),1,0)</f>
        <v>1</v>
      </c>
      <c r="W672" s="7" t="n">
        <f aca="false">IF(AND(T672=1,P672&lt;&gt;"",P672&lt;=Q672),1,0)</f>
        <v>0</v>
      </c>
    </row>
    <row r="673" customFormat="false" ht="15" hidden="false" customHeight="false" outlineLevel="0" collapsed="false">
      <c r="A673" s="7" t="s">
        <v>882</v>
      </c>
      <c r="B673" s="7" t="s">
        <v>46</v>
      </c>
      <c r="C673" s="7" t="s">
        <v>47</v>
      </c>
      <c r="D673" s="7" t="s">
        <v>117</v>
      </c>
      <c r="E673" s="7" t="s">
        <v>118</v>
      </c>
      <c r="F673" s="7" t="s">
        <v>50</v>
      </c>
      <c r="G673" s="7" t="s">
        <v>19</v>
      </c>
      <c r="H673" s="9" t="n">
        <v>46185</v>
      </c>
      <c r="I673" s="9" t="n">
        <v>46196</v>
      </c>
      <c r="J673" s="7" t="n">
        <v>10</v>
      </c>
      <c r="K673" s="7" t="s">
        <v>771</v>
      </c>
      <c r="L673" s="7" t="s">
        <v>22</v>
      </c>
      <c r="M673" s="7" t="s">
        <v>884</v>
      </c>
      <c r="N673" s="7" t="s">
        <v>58</v>
      </c>
      <c r="O673" s="10" t="n">
        <f aca="false">'Exec Summary'!$E$2-H673</f>
        <v>49</v>
      </c>
      <c r="P673" s="10" t="n">
        <f aca="false">IF(I673="","",I673-H673)</f>
        <v>11</v>
      </c>
      <c r="Q673" s="10" t="n">
        <f aca="false">VLOOKUP(G673,$AA$2:$AB$5,2,FALSE())</f>
        <v>15</v>
      </c>
      <c r="R673" s="7" t="n">
        <f aca="false">IF(OR(F673="Open",F673="Reopened"),1,0)</f>
        <v>0</v>
      </c>
      <c r="S673" s="7" t="n">
        <f aca="false">IF(AND(H673&gt;='Exec Summary'!$E$1,H673&lt;='Exec Summary'!$E$2),1,0)</f>
        <v>0</v>
      </c>
      <c r="T673" s="7" t="n">
        <f aca="false">IF(AND(F673="Closed",I673&lt;&gt;"",I673&gt;='Exec Summary'!$E$1,I673&lt;='Exec Summary'!$E$2),1,0)</f>
        <v>0</v>
      </c>
      <c r="U673" s="7" t="n">
        <f aca="false">IF(F673="Reopened",1,0)</f>
        <v>0</v>
      </c>
      <c r="V673" s="7" t="n">
        <f aca="false">IF(AND(R673=1,O673&gt;Q673),1,0)</f>
        <v>0</v>
      </c>
      <c r="W673" s="7" t="n">
        <f aca="false">IF(AND(T673=1,P673&lt;&gt;"",P673&lt;=Q673),1,0)</f>
        <v>0</v>
      </c>
    </row>
    <row r="674" customFormat="false" ht="15" hidden="false" customHeight="false" outlineLevel="0" collapsed="false">
      <c r="A674" s="7" t="s">
        <v>882</v>
      </c>
      <c r="B674" s="7" t="s">
        <v>46</v>
      </c>
      <c r="C674" s="7" t="s">
        <v>47</v>
      </c>
      <c r="D674" s="7" t="s">
        <v>81</v>
      </c>
      <c r="E674" s="7" t="s">
        <v>82</v>
      </c>
      <c r="F674" s="7" t="s">
        <v>56</v>
      </c>
      <c r="G674" s="7" t="s">
        <v>20</v>
      </c>
      <c r="H674" s="9" t="n">
        <v>46183</v>
      </c>
      <c r="I674" s="9"/>
      <c r="J674" s="7" t="n">
        <v>7.8</v>
      </c>
      <c r="K674" s="7" t="s">
        <v>771</v>
      </c>
      <c r="L674" s="7" t="s">
        <v>22</v>
      </c>
      <c r="M674" s="7" t="s">
        <v>885</v>
      </c>
      <c r="N674" s="7" t="s">
        <v>53</v>
      </c>
      <c r="O674" s="10" t="n">
        <f aca="false">'Exec Summary'!$E$2-H674</f>
        <v>51</v>
      </c>
      <c r="P674" s="10" t="str">
        <f aca="false">IF(I674="","",I674-H674)</f>
        <v/>
      </c>
      <c r="Q674" s="10" t="n">
        <f aca="false">VLOOKUP(G674,$AA$2:$AB$5,2,FALSE())</f>
        <v>30</v>
      </c>
      <c r="R674" s="7" t="n">
        <f aca="false">IF(OR(F674="Open",F674="Reopened"),1,0)</f>
        <v>1</v>
      </c>
      <c r="S674" s="7" t="n">
        <f aca="false">IF(AND(H674&gt;='Exec Summary'!$E$1,H674&lt;='Exec Summary'!$E$2),1,0)</f>
        <v>0</v>
      </c>
      <c r="T674" s="7" t="n">
        <f aca="false">IF(AND(F674="Closed",I674&lt;&gt;"",I674&gt;='Exec Summary'!$E$1,I674&lt;='Exec Summary'!$E$2),1,0)</f>
        <v>0</v>
      </c>
      <c r="U674" s="7" t="n">
        <f aca="false">IF(F674="Reopened",1,0)</f>
        <v>0</v>
      </c>
      <c r="V674" s="7" t="n">
        <f aca="false">IF(AND(R674=1,O674&gt;Q674),1,0)</f>
        <v>1</v>
      </c>
      <c r="W674" s="7" t="n">
        <f aca="false">IF(AND(T674=1,P674&lt;&gt;"",P674&lt;=Q674),1,0)</f>
        <v>0</v>
      </c>
    </row>
    <row r="675" customFormat="false" ht="15" hidden="false" customHeight="false" outlineLevel="0" collapsed="false">
      <c r="A675" s="7" t="s">
        <v>886</v>
      </c>
      <c r="B675" s="7" t="s">
        <v>46</v>
      </c>
      <c r="C675" s="7" t="s">
        <v>79</v>
      </c>
      <c r="D675" s="7" t="s">
        <v>145</v>
      </c>
      <c r="E675" s="7" t="s">
        <v>146</v>
      </c>
      <c r="F675" s="7" t="s">
        <v>50</v>
      </c>
      <c r="G675" s="7" t="s">
        <v>19</v>
      </c>
      <c r="H675" s="9" t="n">
        <v>46068</v>
      </c>
      <c r="I675" s="9" t="n">
        <v>46088</v>
      </c>
      <c r="J675" s="7" t="n">
        <v>9.8</v>
      </c>
      <c r="K675" s="7" t="s">
        <v>771</v>
      </c>
      <c r="L675" s="7" t="s">
        <v>19</v>
      </c>
      <c r="M675" s="7" t="s">
        <v>887</v>
      </c>
      <c r="N675" s="7" t="s">
        <v>58</v>
      </c>
      <c r="O675" s="10" t="n">
        <f aca="false">'Exec Summary'!$E$2-H675</f>
        <v>166</v>
      </c>
      <c r="P675" s="10" t="n">
        <f aca="false">IF(I675="","",I675-H675)</f>
        <v>20</v>
      </c>
      <c r="Q675" s="10" t="n">
        <f aca="false">VLOOKUP(G675,$AA$2:$AB$5,2,FALSE())</f>
        <v>15</v>
      </c>
      <c r="R675" s="7" t="n">
        <f aca="false">IF(OR(F675="Open",F675="Reopened"),1,0)</f>
        <v>0</v>
      </c>
      <c r="S675" s="7" t="n">
        <f aca="false">IF(AND(H675&gt;='Exec Summary'!$E$1,H675&lt;='Exec Summary'!$E$2),1,0)</f>
        <v>0</v>
      </c>
      <c r="T675" s="7" t="n">
        <f aca="false">IF(AND(F675="Closed",I675&lt;&gt;"",I675&gt;='Exec Summary'!$E$1,I675&lt;='Exec Summary'!$E$2),1,0)</f>
        <v>0</v>
      </c>
      <c r="U675" s="7" t="n">
        <f aca="false">IF(F675="Reopened",1,0)</f>
        <v>0</v>
      </c>
      <c r="V675" s="7" t="n">
        <f aca="false">IF(AND(R675=1,O675&gt;Q675),1,0)</f>
        <v>0</v>
      </c>
      <c r="W675" s="7" t="n">
        <f aca="false">IF(AND(T675=1,P675&lt;&gt;"",P675&lt;=Q675),1,0)</f>
        <v>0</v>
      </c>
    </row>
    <row r="676" customFormat="false" ht="15" hidden="false" customHeight="false" outlineLevel="0" collapsed="false">
      <c r="A676" s="7" t="s">
        <v>888</v>
      </c>
      <c r="B676" s="7" t="s">
        <v>46</v>
      </c>
      <c r="C676" s="7" t="s">
        <v>158</v>
      </c>
      <c r="D676" s="7" t="s">
        <v>206</v>
      </c>
      <c r="E676" s="7" t="s">
        <v>207</v>
      </c>
      <c r="F676" s="7" t="s">
        <v>56</v>
      </c>
      <c r="G676" s="7" t="s">
        <v>20</v>
      </c>
      <c r="H676" s="9" t="n">
        <v>45962</v>
      </c>
      <c r="I676" s="9"/>
      <c r="J676" s="7" t="n">
        <v>8.8</v>
      </c>
      <c r="K676" s="7" t="s">
        <v>771</v>
      </c>
      <c r="L676" s="7" t="s">
        <v>19</v>
      </c>
      <c r="M676" s="7" t="s">
        <v>889</v>
      </c>
      <c r="N676" s="7" t="s">
        <v>53</v>
      </c>
      <c r="O676" s="10" t="n">
        <f aca="false">'Exec Summary'!$E$2-H676</f>
        <v>272</v>
      </c>
      <c r="P676" s="10" t="str">
        <f aca="false">IF(I676="","",I676-H676)</f>
        <v/>
      </c>
      <c r="Q676" s="10" t="n">
        <f aca="false">VLOOKUP(G676,$AA$2:$AB$5,2,FALSE())</f>
        <v>30</v>
      </c>
      <c r="R676" s="7" t="n">
        <f aca="false">IF(OR(F676="Open",F676="Reopened"),1,0)</f>
        <v>1</v>
      </c>
      <c r="S676" s="7" t="n">
        <f aca="false">IF(AND(H676&gt;='Exec Summary'!$E$1,H676&lt;='Exec Summary'!$E$2),1,0)</f>
        <v>0</v>
      </c>
      <c r="T676" s="7" t="n">
        <f aca="false">IF(AND(F676="Closed",I676&lt;&gt;"",I676&gt;='Exec Summary'!$E$1,I676&lt;='Exec Summary'!$E$2),1,0)</f>
        <v>0</v>
      </c>
      <c r="U676" s="7" t="n">
        <f aca="false">IF(F676="Reopened",1,0)</f>
        <v>0</v>
      </c>
      <c r="V676" s="7" t="n">
        <f aca="false">IF(AND(R676=1,O676&gt;Q676),1,0)</f>
        <v>1</v>
      </c>
      <c r="W676" s="7" t="n">
        <f aca="false">IF(AND(T676=1,P676&lt;&gt;"",P676&lt;=Q676),1,0)</f>
        <v>0</v>
      </c>
    </row>
    <row r="677" customFormat="false" ht="15" hidden="false" customHeight="false" outlineLevel="0" collapsed="false">
      <c r="A677" s="7" t="s">
        <v>888</v>
      </c>
      <c r="B677" s="7" t="s">
        <v>46</v>
      </c>
      <c r="C677" s="7" t="s">
        <v>158</v>
      </c>
      <c r="D677" s="7" t="s">
        <v>71</v>
      </c>
      <c r="E677" s="7" t="s">
        <v>72</v>
      </c>
      <c r="F677" s="7" t="s">
        <v>56</v>
      </c>
      <c r="G677" s="7" t="s">
        <v>19</v>
      </c>
      <c r="H677" s="9" t="n">
        <v>46054</v>
      </c>
      <c r="I677" s="9"/>
      <c r="J677" s="7" t="n">
        <v>9.8</v>
      </c>
      <c r="K677" s="7" t="s">
        <v>771</v>
      </c>
      <c r="L677" s="7" t="s">
        <v>19</v>
      </c>
      <c r="M677" s="7" t="s">
        <v>890</v>
      </c>
      <c r="N677" s="7" t="s">
        <v>58</v>
      </c>
      <c r="O677" s="10" t="n">
        <f aca="false">'Exec Summary'!$E$2-H677</f>
        <v>180</v>
      </c>
      <c r="P677" s="10" t="str">
        <f aca="false">IF(I677="","",I677-H677)</f>
        <v/>
      </c>
      <c r="Q677" s="10" t="n">
        <f aca="false">VLOOKUP(G677,$AA$2:$AB$5,2,FALSE())</f>
        <v>15</v>
      </c>
      <c r="R677" s="7" t="n">
        <f aca="false">IF(OR(F677="Open",F677="Reopened"),1,0)</f>
        <v>1</v>
      </c>
      <c r="S677" s="7" t="n">
        <f aca="false">IF(AND(H677&gt;='Exec Summary'!$E$1,H677&lt;='Exec Summary'!$E$2),1,0)</f>
        <v>0</v>
      </c>
      <c r="T677" s="7" t="n">
        <f aca="false">IF(AND(F677="Closed",I677&lt;&gt;"",I677&gt;='Exec Summary'!$E$1,I677&lt;='Exec Summary'!$E$2),1,0)</f>
        <v>0</v>
      </c>
      <c r="U677" s="7" t="n">
        <f aca="false">IF(F677="Reopened",1,0)</f>
        <v>0</v>
      </c>
      <c r="V677" s="7" t="n">
        <f aca="false">IF(AND(R677=1,O677&gt;Q677),1,0)</f>
        <v>1</v>
      </c>
      <c r="W677" s="7" t="n">
        <f aca="false">IF(AND(T677=1,P677&lt;&gt;"",P677&lt;=Q677),1,0)</f>
        <v>0</v>
      </c>
    </row>
    <row r="678" customFormat="false" ht="15" hidden="false" customHeight="false" outlineLevel="0" collapsed="false">
      <c r="A678" s="7" t="s">
        <v>888</v>
      </c>
      <c r="B678" s="7" t="s">
        <v>46</v>
      </c>
      <c r="C678" s="7" t="s">
        <v>158</v>
      </c>
      <c r="D678" s="7" t="s">
        <v>101</v>
      </c>
      <c r="E678" s="7" t="s">
        <v>102</v>
      </c>
      <c r="F678" s="7" t="s">
        <v>56</v>
      </c>
      <c r="G678" s="7" t="s">
        <v>19</v>
      </c>
      <c r="H678" s="9" t="n">
        <v>45967</v>
      </c>
      <c r="I678" s="9"/>
      <c r="J678" s="7" t="n">
        <v>10</v>
      </c>
      <c r="K678" s="7" t="s">
        <v>771</v>
      </c>
      <c r="L678" s="7" t="s">
        <v>19</v>
      </c>
      <c r="M678" s="7" t="s">
        <v>891</v>
      </c>
      <c r="N678" s="7" t="s">
        <v>58</v>
      </c>
      <c r="O678" s="10" t="n">
        <f aca="false">'Exec Summary'!$E$2-H678</f>
        <v>267</v>
      </c>
      <c r="P678" s="10" t="str">
        <f aca="false">IF(I678="","",I678-H678)</f>
        <v/>
      </c>
      <c r="Q678" s="10" t="n">
        <f aca="false">VLOOKUP(G678,$AA$2:$AB$5,2,FALSE())</f>
        <v>15</v>
      </c>
      <c r="R678" s="7" t="n">
        <f aca="false">IF(OR(F678="Open",F678="Reopened"),1,0)</f>
        <v>1</v>
      </c>
      <c r="S678" s="7" t="n">
        <f aca="false">IF(AND(H678&gt;='Exec Summary'!$E$1,H678&lt;='Exec Summary'!$E$2),1,0)</f>
        <v>0</v>
      </c>
      <c r="T678" s="7" t="n">
        <f aca="false">IF(AND(F678="Closed",I678&lt;&gt;"",I678&gt;='Exec Summary'!$E$1,I678&lt;='Exec Summary'!$E$2),1,0)</f>
        <v>0</v>
      </c>
      <c r="U678" s="7" t="n">
        <f aca="false">IF(F678="Reopened",1,0)</f>
        <v>0</v>
      </c>
      <c r="V678" s="7" t="n">
        <f aca="false">IF(AND(R678=1,O678&gt;Q678),1,0)</f>
        <v>1</v>
      </c>
      <c r="W678" s="7" t="n">
        <f aca="false">IF(AND(T678=1,P678&lt;&gt;"",P678&lt;=Q678),1,0)</f>
        <v>0</v>
      </c>
    </row>
    <row r="679" customFormat="false" ht="15" hidden="false" customHeight="false" outlineLevel="0" collapsed="false">
      <c r="A679" s="7" t="s">
        <v>888</v>
      </c>
      <c r="B679" s="7" t="s">
        <v>46</v>
      </c>
      <c r="C679" s="7" t="s">
        <v>158</v>
      </c>
      <c r="D679" s="7" t="s">
        <v>152</v>
      </c>
      <c r="E679" s="7" t="s">
        <v>153</v>
      </c>
      <c r="F679" s="7" t="s">
        <v>50</v>
      </c>
      <c r="G679" s="7" t="s">
        <v>20</v>
      </c>
      <c r="H679" s="9" t="n">
        <v>46106</v>
      </c>
      <c r="I679" s="9" t="n">
        <v>46125</v>
      </c>
      <c r="J679" s="7" t="n">
        <v>7.5</v>
      </c>
      <c r="K679" s="7" t="s">
        <v>771</v>
      </c>
      <c r="L679" s="7" t="s">
        <v>19</v>
      </c>
      <c r="M679" s="7" t="s">
        <v>892</v>
      </c>
      <c r="N679" s="7" t="s">
        <v>53</v>
      </c>
      <c r="O679" s="10" t="n">
        <f aca="false">'Exec Summary'!$E$2-H679</f>
        <v>128</v>
      </c>
      <c r="P679" s="10" t="n">
        <f aca="false">IF(I679="","",I679-H679)</f>
        <v>19</v>
      </c>
      <c r="Q679" s="10" t="n">
        <f aca="false">VLOOKUP(G679,$AA$2:$AB$5,2,FALSE())</f>
        <v>30</v>
      </c>
      <c r="R679" s="7" t="n">
        <f aca="false">IF(OR(F679="Open",F679="Reopened"),1,0)</f>
        <v>0</v>
      </c>
      <c r="S679" s="7" t="n">
        <f aca="false">IF(AND(H679&gt;='Exec Summary'!$E$1,H679&lt;='Exec Summary'!$E$2),1,0)</f>
        <v>0</v>
      </c>
      <c r="T679" s="7" t="n">
        <f aca="false">IF(AND(F679="Closed",I679&lt;&gt;"",I679&gt;='Exec Summary'!$E$1,I679&lt;='Exec Summary'!$E$2),1,0)</f>
        <v>0</v>
      </c>
      <c r="U679" s="7" t="n">
        <f aca="false">IF(F679="Reopened",1,0)</f>
        <v>0</v>
      </c>
      <c r="V679" s="7" t="n">
        <f aca="false">IF(AND(R679=1,O679&gt;Q679),1,0)</f>
        <v>0</v>
      </c>
      <c r="W679" s="7" t="n">
        <f aca="false">IF(AND(T679=1,P679&lt;&gt;"",P679&lt;=Q679),1,0)</f>
        <v>0</v>
      </c>
    </row>
    <row r="680" customFormat="false" ht="15" hidden="false" customHeight="false" outlineLevel="0" collapsed="false">
      <c r="A680" s="7" t="s">
        <v>888</v>
      </c>
      <c r="B680" s="7" t="s">
        <v>46</v>
      </c>
      <c r="C680" s="7" t="s">
        <v>158</v>
      </c>
      <c r="D680" s="7" t="s">
        <v>104</v>
      </c>
      <c r="E680" s="7" t="s">
        <v>105</v>
      </c>
      <c r="F680" s="7" t="s">
        <v>56</v>
      </c>
      <c r="G680" s="7" t="s">
        <v>19</v>
      </c>
      <c r="H680" s="9" t="n">
        <v>46169</v>
      </c>
      <c r="I680" s="9"/>
      <c r="J680" s="7" t="n">
        <v>9.8</v>
      </c>
      <c r="K680" s="7" t="s">
        <v>771</v>
      </c>
      <c r="L680" s="7" t="s">
        <v>19</v>
      </c>
      <c r="M680" s="7" t="s">
        <v>893</v>
      </c>
      <c r="N680" s="7" t="s">
        <v>58</v>
      </c>
      <c r="O680" s="10" t="n">
        <f aca="false">'Exec Summary'!$E$2-H680</f>
        <v>65</v>
      </c>
      <c r="P680" s="10" t="str">
        <f aca="false">IF(I680="","",I680-H680)</f>
        <v/>
      </c>
      <c r="Q680" s="10" t="n">
        <f aca="false">VLOOKUP(G680,$AA$2:$AB$5,2,FALSE())</f>
        <v>15</v>
      </c>
      <c r="R680" s="7" t="n">
        <f aca="false">IF(OR(F680="Open",F680="Reopened"),1,0)</f>
        <v>1</v>
      </c>
      <c r="S680" s="7" t="n">
        <f aca="false">IF(AND(H680&gt;='Exec Summary'!$E$1,H680&lt;='Exec Summary'!$E$2),1,0)</f>
        <v>0</v>
      </c>
      <c r="T680" s="7" t="n">
        <f aca="false">IF(AND(F680="Closed",I680&lt;&gt;"",I680&gt;='Exec Summary'!$E$1,I680&lt;='Exec Summary'!$E$2),1,0)</f>
        <v>0</v>
      </c>
      <c r="U680" s="7" t="n">
        <f aca="false">IF(F680="Reopened",1,0)</f>
        <v>0</v>
      </c>
      <c r="V680" s="7" t="n">
        <f aca="false">IF(AND(R680=1,O680&gt;Q680),1,0)</f>
        <v>1</v>
      </c>
      <c r="W680" s="7" t="n">
        <f aca="false">IF(AND(T680=1,P680&lt;&gt;"",P680&lt;=Q680),1,0)</f>
        <v>0</v>
      </c>
    </row>
    <row r="681" customFormat="false" ht="15" hidden="false" customHeight="false" outlineLevel="0" collapsed="false">
      <c r="A681" s="7" t="s">
        <v>888</v>
      </c>
      <c r="B681" s="7" t="s">
        <v>46</v>
      </c>
      <c r="C681" s="7" t="s">
        <v>158</v>
      </c>
      <c r="D681" s="7" t="s">
        <v>163</v>
      </c>
      <c r="E681" s="7" t="s">
        <v>164</v>
      </c>
      <c r="F681" s="7" t="s">
        <v>50</v>
      </c>
      <c r="G681" s="7" t="s">
        <v>19</v>
      </c>
      <c r="H681" s="9" t="n">
        <v>46224</v>
      </c>
      <c r="I681" s="9" t="n">
        <v>46234</v>
      </c>
      <c r="J681" s="7" t="n">
        <v>9.1</v>
      </c>
      <c r="K681" s="7" t="s">
        <v>771</v>
      </c>
      <c r="L681" s="7" t="s">
        <v>19</v>
      </c>
      <c r="M681" s="7" t="s">
        <v>894</v>
      </c>
      <c r="N681" s="7" t="s">
        <v>58</v>
      </c>
      <c r="O681" s="10" t="n">
        <f aca="false">'Exec Summary'!$E$2-H681</f>
        <v>10</v>
      </c>
      <c r="P681" s="10" t="n">
        <f aca="false">IF(I681="","",I681-H681)</f>
        <v>10</v>
      </c>
      <c r="Q681" s="10" t="n">
        <f aca="false">VLOOKUP(G681,$AA$2:$AB$5,2,FALSE())</f>
        <v>15</v>
      </c>
      <c r="R681" s="7" t="n">
        <f aca="false">IF(OR(F681="Open",F681="Reopened"),1,0)</f>
        <v>0</v>
      </c>
      <c r="S681" s="7" t="n">
        <f aca="false">IF(AND(H681&gt;='Exec Summary'!$E$1,H681&lt;='Exec Summary'!$E$2),1,0)</f>
        <v>1</v>
      </c>
      <c r="T681" s="7" t="n">
        <f aca="false">IF(AND(F681="Closed",I681&lt;&gt;"",I681&gt;='Exec Summary'!$E$1,I681&lt;='Exec Summary'!$E$2),1,0)</f>
        <v>1</v>
      </c>
      <c r="U681" s="7" t="n">
        <f aca="false">IF(F681="Reopened",1,0)</f>
        <v>0</v>
      </c>
      <c r="V681" s="7" t="n">
        <f aca="false">IF(AND(R681=1,O681&gt;Q681),1,0)</f>
        <v>0</v>
      </c>
      <c r="W681" s="7" t="n">
        <f aca="false">IF(AND(T681=1,P681&lt;&gt;"",P681&lt;=Q681),1,0)</f>
        <v>1</v>
      </c>
    </row>
    <row r="682" customFormat="false" ht="15" hidden="false" customHeight="false" outlineLevel="0" collapsed="false">
      <c r="A682" s="7" t="s">
        <v>888</v>
      </c>
      <c r="B682" s="7" t="s">
        <v>46</v>
      </c>
      <c r="C682" s="7" t="s">
        <v>158</v>
      </c>
      <c r="D682" s="7" t="s">
        <v>145</v>
      </c>
      <c r="E682" s="7" t="s">
        <v>146</v>
      </c>
      <c r="F682" s="7" t="s">
        <v>50</v>
      </c>
      <c r="G682" s="7" t="s">
        <v>19</v>
      </c>
      <c r="H682" s="9" t="n">
        <v>46096</v>
      </c>
      <c r="I682" s="9" t="n">
        <v>46107</v>
      </c>
      <c r="J682" s="7" t="n">
        <v>9.8</v>
      </c>
      <c r="K682" s="7" t="s">
        <v>771</v>
      </c>
      <c r="L682" s="7" t="s">
        <v>19</v>
      </c>
      <c r="M682" s="7" t="s">
        <v>895</v>
      </c>
      <c r="N682" s="7" t="s">
        <v>58</v>
      </c>
      <c r="O682" s="10" t="n">
        <f aca="false">'Exec Summary'!$E$2-H682</f>
        <v>138</v>
      </c>
      <c r="P682" s="10" t="n">
        <f aca="false">IF(I682="","",I682-H682)</f>
        <v>11</v>
      </c>
      <c r="Q682" s="10" t="n">
        <f aca="false">VLOOKUP(G682,$AA$2:$AB$5,2,FALSE())</f>
        <v>15</v>
      </c>
      <c r="R682" s="7" t="n">
        <f aca="false">IF(OR(F682="Open",F682="Reopened"),1,0)</f>
        <v>0</v>
      </c>
      <c r="S682" s="7" t="n">
        <f aca="false">IF(AND(H682&gt;='Exec Summary'!$E$1,H682&lt;='Exec Summary'!$E$2),1,0)</f>
        <v>0</v>
      </c>
      <c r="T682" s="7" t="n">
        <f aca="false">IF(AND(F682="Closed",I682&lt;&gt;"",I682&gt;='Exec Summary'!$E$1,I682&lt;='Exec Summary'!$E$2),1,0)</f>
        <v>0</v>
      </c>
      <c r="U682" s="7" t="n">
        <f aca="false">IF(F682="Reopened",1,0)</f>
        <v>0</v>
      </c>
      <c r="V682" s="7" t="n">
        <f aca="false">IF(AND(R682=1,O682&gt;Q682),1,0)</f>
        <v>0</v>
      </c>
      <c r="W682" s="7" t="n">
        <f aca="false">IF(AND(T682=1,P682&lt;&gt;"",P682&lt;=Q682),1,0)</f>
        <v>0</v>
      </c>
    </row>
    <row r="683" customFormat="false" ht="15" hidden="false" customHeight="false" outlineLevel="0" collapsed="false">
      <c r="A683" s="7" t="s">
        <v>888</v>
      </c>
      <c r="B683" s="7" t="s">
        <v>46</v>
      </c>
      <c r="C683" s="7" t="s">
        <v>158</v>
      </c>
      <c r="D683" s="7" t="s">
        <v>131</v>
      </c>
      <c r="E683" s="7" t="s">
        <v>132</v>
      </c>
      <c r="F683" s="7" t="s">
        <v>50</v>
      </c>
      <c r="G683" s="7" t="s">
        <v>19</v>
      </c>
      <c r="H683" s="9" t="n">
        <v>46184</v>
      </c>
      <c r="I683" s="9" t="n">
        <v>46192</v>
      </c>
      <c r="J683" s="7" t="n">
        <v>9.8</v>
      </c>
      <c r="K683" s="7" t="s">
        <v>771</v>
      </c>
      <c r="L683" s="7" t="s">
        <v>19</v>
      </c>
      <c r="M683" s="7" t="s">
        <v>896</v>
      </c>
      <c r="N683" s="7" t="s">
        <v>58</v>
      </c>
      <c r="O683" s="10" t="n">
        <f aca="false">'Exec Summary'!$E$2-H683</f>
        <v>50</v>
      </c>
      <c r="P683" s="10" t="n">
        <f aca="false">IF(I683="","",I683-H683)</f>
        <v>8</v>
      </c>
      <c r="Q683" s="10" t="n">
        <f aca="false">VLOOKUP(G683,$AA$2:$AB$5,2,FALSE())</f>
        <v>15</v>
      </c>
      <c r="R683" s="7" t="n">
        <f aca="false">IF(OR(F683="Open",F683="Reopened"),1,0)</f>
        <v>0</v>
      </c>
      <c r="S683" s="7" t="n">
        <f aca="false">IF(AND(H683&gt;='Exec Summary'!$E$1,H683&lt;='Exec Summary'!$E$2),1,0)</f>
        <v>0</v>
      </c>
      <c r="T683" s="7" t="n">
        <f aca="false">IF(AND(F683="Closed",I683&lt;&gt;"",I683&gt;='Exec Summary'!$E$1,I683&lt;='Exec Summary'!$E$2),1,0)</f>
        <v>0</v>
      </c>
      <c r="U683" s="7" t="n">
        <f aca="false">IF(F683="Reopened",1,0)</f>
        <v>0</v>
      </c>
      <c r="V683" s="7" t="n">
        <f aca="false">IF(AND(R683=1,O683&gt;Q683),1,0)</f>
        <v>0</v>
      </c>
      <c r="W683" s="7" t="n">
        <f aca="false">IF(AND(T683=1,P683&lt;&gt;"",P683&lt;=Q683),1,0)</f>
        <v>0</v>
      </c>
    </row>
    <row r="684" customFormat="false" ht="15" hidden="false" customHeight="false" outlineLevel="0" collapsed="false">
      <c r="A684" s="7" t="s">
        <v>888</v>
      </c>
      <c r="B684" s="7" t="s">
        <v>46</v>
      </c>
      <c r="C684" s="7" t="s">
        <v>158</v>
      </c>
      <c r="D684" s="7" t="s">
        <v>62</v>
      </c>
      <c r="E684" s="7" t="s">
        <v>63</v>
      </c>
      <c r="F684" s="7" t="s">
        <v>56</v>
      </c>
      <c r="G684" s="7" t="s">
        <v>20</v>
      </c>
      <c r="H684" s="9" t="n">
        <v>46019</v>
      </c>
      <c r="I684" s="9"/>
      <c r="J684" s="7" t="n">
        <v>8.1</v>
      </c>
      <c r="K684" s="7" t="s">
        <v>771</v>
      </c>
      <c r="L684" s="7" t="s">
        <v>19</v>
      </c>
      <c r="M684" s="7" t="s">
        <v>897</v>
      </c>
      <c r="N684" s="7" t="s">
        <v>53</v>
      </c>
      <c r="O684" s="10" t="n">
        <f aca="false">'Exec Summary'!$E$2-H684</f>
        <v>215</v>
      </c>
      <c r="P684" s="10" t="str">
        <f aca="false">IF(I684="","",I684-H684)</f>
        <v/>
      </c>
      <c r="Q684" s="10" t="n">
        <f aca="false">VLOOKUP(G684,$AA$2:$AB$5,2,FALSE())</f>
        <v>30</v>
      </c>
      <c r="R684" s="7" t="n">
        <f aca="false">IF(OR(F684="Open",F684="Reopened"),1,0)</f>
        <v>1</v>
      </c>
      <c r="S684" s="7" t="n">
        <f aca="false">IF(AND(H684&gt;='Exec Summary'!$E$1,H684&lt;='Exec Summary'!$E$2),1,0)</f>
        <v>0</v>
      </c>
      <c r="T684" s="7" t="n">
        <f aca="false">IF(AND(F684="Closed",I684&lt;&gt;"",I684&gt;='Exec Summary'!$E$1,I684&lt;='Exec Summary'!$E$2),1,0)</f>
        <v>0</v>
      </c>
      <c r="U684" s="7" t="n">
        <f aca="false">IF(F684="Reopened",1,0)</f>
        <v>0</v>
      </c>
      <c r="V684" s="7" t="n">
        <f aca="false">IF(AND(R684=1,O684&gt;Q684),1,0)</f>
        <v>1</v>
      </c>
      <c r="W684" s="7" t="n">
        <f aca="false">IF(AND(T684=1,P684&lt;&gt;"",P684&lt;=Q684),1,0)</f>
        <v>0</v>
      </c>
    </row>
    <row r="685" customFormat="false" ht="15" hidden="false" customHeight="false" outlineLevel="0" collapsed="false">
      <c r="A685" s="7" t="s">
        <v>888</v>
      </c>
      <c r="B685" s="7" t="s">
        <v>46</v>
      </c>
      <c r="C685" s="7" t="s">
        <v>158</v>
      </c>
      <c r="D685" s="7" t="s">
        <v>166</v>
      </c>
      <c r="E685" s="7" t="s">
        <v>167</v>
      </c>
      <c r="F685" s="7" t="s">
        <v>50</v>
      </c>
      <c r="G685" s="7" t="s">
        <v>19</v>
      </c>
      <c r="H685" s="9" t="n">
        <v>46157</v>
      </c>
      <c r="I685" s="9" t="n">
        <v>46162</v>
      </c>
      <c r="J685" s="7" t="n">
        <v>9.8</v>
      </c>
      <c r="K685" s="7" t="s">
        <v>771</v>
      </c>
      <c r="L685" s="7" t="s">
        <v>19</v>
      </c>
      <c r="M685" s="7" t="s">
        <v>898</v>
      </c>
      <c r="N685" s="7" t="s">
        <v>58</v>
      </c>
      <c r="O685" s="10" t="n">
        <f aca="false">'Exec Summary'!$E$2-H685</f>
        <v>77</v>
      </c>
      <c r="P685" s="10" t="n">
        <f aca="false">IF(I685="","",I685-H685)</f>
        <v>5</v>
      </c>
      <c r="Q685" s="10" t="n">
        <f aca="false">VLOOKUP(G685,$AA$2:$AB$5,2,FALSE())</f>
        <v>15</v>
      </c>
      <c r="R685" s="7" t="n">
        <f aca="false">IF(OR(F685="Open",F685="Reopened"),1,0)</f>
        <v>0</v>
      </c>
      <c r="S685" s="7" t="n">
        <f aca="false">IF(AND(H685&gt;='Exec Summary'!$E$1,H685&lt;='Exec Summary'!$E$2),1,0)</f>
        <v>0</v>
      </c>
      <c r="T685" s="7" t="n">
        <f aca="false">IF(AND(F685="Closed",I685&lt;&gt;"",I685&gt;='Exec Summary'!$E$1,I685&lt;='Exec Summary'!$E$2),1,0)</f>
        <v>0</v>
      </c>
      <c r="U685" s="7" t="n">
        <f aca="false">IF(F685="Reopened",1,0)</f>
        <v>0</v>
      </c>
      <c r="V685" s="7" t="n">
        <f aca="false">IF(AND(R685=1,O685&gt;Q685),1,0)</f>
        <v>0</v>
      </c>
      <c r="W685" s="7" t="n">
        <f aca="false">IF(AND(T685=1,P685&lt;&gt;"",P685&lt;=Q685),1,0)</f>
        <v>0</v>
      </c>
    </row>
    <row r="686" customFormat="false" ht="15" hidden="false" customHeight="false" outlineLevel="0" collapsed="false">
      <c r="A686" s="7" t="s">
        <v>888</v>
      </c>
      <c r="B686" s="7" t="s">
        <v>46</v>
      </c>
      <c r="C686" s="7" t="s">
        <v>158</v>
      </c>
      <c r="D686" s="7" t="s">
        <v>120</v>
      </c>
      <c r="E686" s="7" t="s">
        <v>121</v>
      </c>
      <c r="F686" s="7" t="s">
        <v>50</v>
      </c>
      <c r="G686" s="7" t="s">
        <v>19</v>
      </c>
      <c r="H686" s="9" t="n">
        <v>46208</v>
      </c>
      <c r="I686" s="9" t="n">
        <v>46218</v>
      </c>
      <c r="J686" s="7" t="n">
        <v>8.8</v>
      </c>
      <c r="K686" s="7" t="s">
        <v>771</v>
      </c>
      <c r="L686" s="7" t="s">
        <v>19</v>
      </c>
      <c r="M686" s="7" t="s">
        <v>899</v>
      </c>
      <c r="N686" s="7" t="s">
        <v>58</v>
      </c>
      <c r="O686" s="10" t="n">
        <f aca="false">'Exec Summary'!$E$2-H686</f>
        <v>26</v>
      </c>
      <c r="P686" s="10" t="n">
        <f aca="false">IF(I686="","",I686-H686)</f>
        <v>10</v>
      </c>
      <c r="Q686" s="10" t="n">
        <f aca="false">VLOOKUP(G686,$AA$2:$AB$5,2,FALSE())</f>
        <v>15</v>
      </c>
      <c r="R686" s="7" t="n">
        <f aca="false">IF(OR(F686="Open",F686="Reopened"),1,0)</f>
        <v>0</v>
      </c>
      <c r="S686" s="7" t="n">
        <f aca="false">IF(AND(H686&gt;='Exec Summary'!$E$1,H686&lt;='Exec Summary'!$E$2),1,0)</f>
        <v>1</v>
      </c>
      <c r="T686" s="7" t="n">
        <f aca="false">IF(AND(F686="Closed",I686&lt;&gt;"",I686&gt;='Exec Summary'!$E$1,I686&lt;='Exec Summary'!$E$2),1,0)</f>
        <v>1</v>
      </c>
      <c r="U686" s="7" t="n">
        <f aca="false">IF(F686="Reopened",1,0)</f>
        <v>0</v>
      </c>
      <c r="V686" s="7" t="n">
        <f aca="false">IF(AND(R686=1,O686&gt;Q686),1,0)</f>
        <v>0</v>
      </c>
      <c r="W686" s="7" t="n">
        <f aca="false">IF(AND(T686=1,P686&lt;&gt;"",P686&lt;=Q686),1,0)</f>
        <v>1</v>
      </c>
    </row>
    <row r="687" customFormat="false" ht="15" hidden="false" customHeight="false" outlineLevel="0" collapsed="false">
      <c r="A687" s="7" t="s">
        <v>888</v>
      </c>
      <c r="B687" s="7" t="s">
        <v>46</v>
      </c>
      <c r="C687" s="7" t="s">
        <v>158</v>
      </c>
      <c r="D687" s="7" t="s">
        <v>117</v>
      </c>
      <c r="E687" s="7" t="s">
        <v>118</v>
      </c>
      <c r="F687" s="7" t="s">
        <v>56</v>
      </c>
      <c r="G687" s="7" t="s">
        <v>19</v>
      </c>
      <c r="H687" s="9" t="n">
        <v>45981</v>
      </c>
      <c r="I687" s="9"/>
      <c r="J687" s="7" t="n">
        <v>10</v>
      </c>
      <c r="K687" s="7" t="s">
        <v>771</v>
      </c>
      <c r="L687" s="7" t="s">
        <v>19</v>
      </c>
      <c r="M687" s="7" t="s">
        <v>900</v>
      </c>
      <c r="N687" s="7" t="s">
        <v>58</v>
      </c>
      <c r="O687" s="10" t="n">
        <f aca="false">'Exec Summary'!$E$2-H687</f>
        <v>253</v>
      </c>
      <c r="P687" s="10" t="str">
        <f aca="false">IF(I687="","",I687-H687)</f>
        <v/>
      </c>
      <c r="Q687" s="10" t="n">
        <f aca="false">VLOOKUP(G687,$AA$2:$AB$5,2,FALSE())</f>
        <v>15</v>
      </c>
      <c r="R687" s="7" t="n">
        <f aca="false">IF(OR(F687="Open",F687="Reopened"),1,0)</f>
        <v>1</v>
      </c>
      <c r="S687" s="7" t="n">
        <f aca="false">IF(AND(H687&gt;='Exec Summary'!$E$1,H687&lt;='Exec Summary'!$E$2),1,0)</f>
        <v>0</v>
      </c>
      <c r="T687" s="7" t="n">
        <f aca="false">IF(AND(F687="Closed",I687&lt;&gt;"",I687&gt;='Exec Summary'!$E$1,I687&lt;='Exec Summary'!$E$2),1,0)</f>
        <v>0</v>
      </c>
      <c r="U687" s="7" t="n">
        <f aca="false">IF(F687="Reopened",1,0)</f>
        <v>0</v>
      </c>
      <c r="V687" s="7" t="n">
        <f aca="false">IF(AND(R687=1,O687&gt;Q687),1,0)</f>
        <v>1</v>
      </c>
      <c r="W687" s="7" t="n">
        <f aca="false">IF(AND(T687=1,P687&lt;&gt;"",P687&lt;=Q687),1,0)</f>
        <v>0</v>
      </c>
    </row>
    <row r="688" customFormat="false" ht="15" hidden="false" customHeight="false" outlineLevel="0" collapsed="false">
      <c r="A688" s="7" t="s">
        <v>888</v>
      </c>
      <c r="B688" s="7" t="s">
        <v>46</v>
      </c>
      <c r="C688" s="7" t="s">
        <v>158</v>
      </c>
      <c r="D688" s="7" t="s">
        <v>65</v>
      </c>
      <c r="E688" s="7" t="s">
        <v>66</v>
      </c>
      <c r="F688" s="7" t="s">
        <v>50</v>
      </c>
      <c r="G688" s="7" t="s">
        <v>19</v>
      </c>
      <c r="H688" s="9" t="n">
        <v>46106</v>
      </c>
      <c r="I688" s="9" t="n">
        <v>46122</v>
      </c>
      <c r="J688" s="7" t="n">
        <v>9.8</v>
      </c>
      <c r="K688" s="7" t="s">
        <v>771</v>
      </c>
      <c r="L688" s="7" t="s">
        <v>19</v>
      </c>
      <c r="M688" s="7" t="s">
        <v>901</v>
      </c>
      <c r="N688" s="7" t="s">
        <v>58</v>
      </c>
      <c r="O688" s="10" t="n">
        <f aca="false">'Exec Summary'!$E$2-H688</f>
        <v>128</v>
      </c>
      <c r="P688" s="10" t="n">
        <f aca="false">IF(I688="","",I688-H688)</f>
        <v>16</v>
      </c>
      <c r="Q688" s="10" t="n">
        <f aca="false">VLOOKUP(G688,$AA$2:$AB$5,2,FALSE())</f>
        <v>15</v>
      </c>
      <c r="R688" s="7" t="n">
        <f aca="false">IF(OR(F688="Open",F688="Reopened"),1,0)</f>
        <v>0</v>
      </c>
      <c r="S688" s="7" t="n">
        <f aca="false">IF(AND(H688&gt;='Exec Summary'!$E$1,H688&lt;='Exec Summary'!$E$2),1,0)</f>
        <v>0</v>
      </c>
      <c r="T688" s="7" t="n">
        <f aca="false">IF(AND(F688="Closed",I688&lt;&gt;"",I688&gt;='Exec Summary'!$E$1,I688&lt;='Exec Summary'!$E$2),1,0)</f>
        <v>0</v>
      </c>
      <c r="U688" s="7" t="n">
        <f aca="false">IF(F688="Reopened",1,0)</f>
        <v>0</v>
      </c>
      <c r="V688" s="7" t="n">
        <f aca="false">IF(AND(R688=1,O688&gt;Q688),1,0)</f>
        <v>0</v>
      </c>
      <c r="W688" s="7" t="n">
        <f aca="false">IF(AND(T688=1,P688&lt;&gt;"",P688&lt;=Q688),1,0)</f>
        <v>0</v>
      </c>
    </row>
    <row r="689" customFormat="false" ht="15" hidden="false" customHeight="false" outlineLevel="0" collapsed="false">
      <c r="A689" s="7" t="s">
        <v>902</v>
      </c>
      <c r="B689" s="7" t="s">
        <v>46</v>
      </c>
      <c r="C689" s="7" t="s">
        <v>128</v>
      </c>
      <c r="D689" s="7" t="s">
        <v>87</v>
      </c>
      <c r="E689" s="7" t="s">
        <v>88</v>
      </c>
      <c r="F689" s="7" t="s">
        <v>56</v>
      </c>
      <c r="G689" s="7" t="s">
        <v>19</v>
      </c>
      <c r="H689" s="9" t="n">
        <v>46026</v>
      </c>
      <c r="I689" s="9"/>
      <c r="J689" s="7" t="n">
        <v>10</v>
      </c>
      <c r="K689" s="7" t="s">
        <v>771</v>
      </c>
      <c r="L689" s="7" t="s">
        <v>19</v>
      </c>
      <c r="M689" s="7" t="s">
        <v>903</v>
      </c>
      <c r="N689" s="7" t="s">
        <v>58</v>
      </c>
      <c r="O689" s="10" t="n">
        <f aca="false">'Exec Summary'!$E$2-H689</f>
        <v>208</v>
      </c>
      <c r="P689" s="10" t="str">
        <f aca="false">IF(I689="","",I689-H689)</f>
        <v/>
      </c>
      <c r="Q689" s="10" t="n">
        <f aca="false">VLOOKUP(G689,$AA$2:$AB$5,2,FALSE())</f>
        <v>15</v>
      </c>
      <c r="R689" s="7" t="n">
        <f aca="false">IF(OR(F689="Open",F689="Reopened"),1,0)</f>
        <v>1</v>
      </c>
      <c r="S689" s="7" t="n">
        <f aca="false">IF(AND(H689&gt;='Exec Summary'!$E$1,H689&lt;='Exec Summary'!$E$2),1,0)</f>
        <v>0</v>
      </c>
      <c r="T689" s="7" t="n">
        <f aca="false">IF(AND(F689="Closed",I689&lt;&gt;"",I689&gt;='Exec Summary'!$E$1,I689&lt;='Exec Summary'!$E$2),1,0)</f>
        <v>0</v>
      </c>
      <c r="U689" s="7" t="n">
        <f aca="false">IF(F689="Reopened",1,0)</f>
        <v>0</v>
      </c>
      <c r="V689" s="7" t="n">
        <f aca="false">IF(AND(R689=1,O689&gt;Q689),1,0)</f>
        <v>1</v>
      </c>
      <c r="W689" s="7" t="n">
        <f aca="false">IF(AND(T689=1,P689&lt;&gt;"",P689&lt;=Q689),1,0)</f>
        <v>0</v>
      </c>
    </row>
    <row r="690" customFormat="false" ht="15" hidden="false" customHeight="false" outlineLevel="0" collapsed="false">
      <c r="A690" s="7" t="s">
        <v>902</v>
      </c>
      <c r="B690" s="7" t="s">
        <v>46</v>
      </c>
      <c r="C690" s="7" t="s">
        <v>128</v>
      </c>
      <c r="D690" s="7" t="s">
        <v>62</v>
      </c>
      <c r="E690" s="7" t="s">
        <v>63</v>
      </c>
      <c r="F690" s="7" t="s">
        <v>50</v>
      </c>
      <c r="G690" s="7" t="s">
        <v>20</v>
      </c>
      <c r="H690" s="9" t="n">
        <v>46029</v>
      </c>
      <c r="I690" s="9" t="n">
        <v>46059</v>
      </c>
      <c r="J690" s="7" t="n">
        <v>8.1</v>
      </c>
      <c r="K690" s="7" t="s">
        <v>771</v>
      </c>
      <c r="L690" s="7" t="s">
        <v>19</v>
      </c>
      <c r="M690" s="7" t="s">
        <v>904</v>
      </c>
      <c r="N690" s="7" t="s">
        <v>53</v>
      </c>
      <c r="O690" s="10" t="n">
        <f aca="false">'Exec Summary'!$E$2-H690</f>
        <v>205</v>
      </c>
      <c r="P690" s="10" t="n">
        <f aca="false">IF(I690="","",I690-H690)</f>
        <v>30</v>
      </c>
      <c r="Q690" s="10" t="n">
        <f aca="false">VLOOKUP(G690,$AA$2:$AB$5,2,FALSE())</f>
        <v>30</v>
      </c>
      <c r="R690" s="7" t="n">
        <f aca="false">IF(OR(F690="Open",F690="Reopened"),1,0)</f>
        <v>0</v>
      </c>
      <c r="S690" s="7" t="n">
        <f aca="false">IF(AND(H690&gt;='Exec Summary'!$E$1,H690&lt;='Exec Summary'!$E$2),1,0)</f>
        <v>0</v>
      </c>
      <c r="T690" s="7" t="n">
        <f aca="false">IF(AND(F690="Closed",I690&lt;&gt;"",I690&gt;='Exec Summary'!$E$1,I690&lt;='Exec Summary'!$E$2),1,0)</f>
        <v>0</v>
      </c>
      <c r="U690" s="7" t="n">
        <f aca="false">IF(F690="Reopened",1,0)</f>
        <v>0</v>
      </c>
      <c r="V690" s="7" t="n">
        <f aca="false">IF(AND(R690=1,O690&gt;Q690),1,0)</f>
        <v>0</v>
      </c>
      <c r="W690" s="7" t="n">
        <f aca="false">IF(AND(T690=1,P690&lt;&gt;"",P690&lt;=Q690),1,0)</f>
        <v>0</v>
      </c>
    </row>
    <row r="691" customFormat="false" ht="15" hidden="false" customHeight="false" outlineLevel="0" collapsed="false">
      <c r="A691" s="7" t="s">
        <v>902</v>
      </c>
      <c r="B691" s="7" t="s">
        <v>46</v>
      </c>
      <c r="C691" s="7" t="s">
        <v>128</v>
      </c>
      <c r="D691" s="7" t="s">
        <v>117</v>
      </c>
      <c r="E691" s="7" t="s">
        <v>118</v>
      </c>
      <c r="F691" s="7" t="s">
        <v>56</v>
      </c>
      <c r="G691" s="7" t="s">
        <v>19</v>
      </c>
      <c r="H691" s="9" t="n">
        <v>46071</v>
      </c>
      <c r="I691" s="9"/>
      <c r="J691" s="7" t="n">
        <v>10</v>
      </c>
      <c r="K691" s="7" t="s">
        <v>771</v>
      </c>
      <c r="L691" s="7" t="s">
        <v>19</v>
      </c>
      <c r="M691" s="7" t="s">
        <v>905</v>
      </c>
      <c r="N691" s="7" t="s">
        <v>58</v>
      </c>
      <c r="O691" s="10" t="n">
        <f aca="false">'Exec Summary'!$E$2-H691</f>
        <v>163</v>
      </c>
      <c r="P691" s="10" t="str">
        <f aca="false">IF(I691="","",I691-H691)</f>
        <v/>
      </c>
      <c r="Q691" s="10" t="n">
        <f aca="false">VLOOKUP(G691,$AA$2:$AB$5,2,FALSE())</f>
        <v>15</v>
      </c>
      <c r="R691" s="7" t="n">
        <f aca="false">IF(OR(F691="Open",F691="Reopened"),1,0)</f>
        <v>1</v>
      </c>
      <c r="S691" s="7" t="n">
        <f aca="false">IF(AND(H691&gt;='Exec Summary'!$E$1,H691&lt;='Exec Summary'!$E$2),1,0)</f>
        <v>0</v>
      </c>
      <c r="T691" s="7" t="n">
        <f aca="false">IF(AND(F691="Closed",I691&lt;&gt;"",I691&gt;='Exec Summary'!$E$1,I691&lt;='Exec Summary'!$E$2),1,0)</f>
        <v>0</v>
      </c>
      <c r="U691" s="7" t="n">
        <f aca="false">IF(F691="Reopened",1,0)</f>
        <v>0</v>
      </c>
      <c r="V691" s="7" t="n">
        <f aca="false">IF(AND(R691=1,O691&gt;Q691),1,0)</f>
        <v>1</v>
      </c>
      <c r="W691" s="7" t="n">
        <f aca="false">IF(AND(T691=1,P691&lt;&gt;"",P691&lt;=Q691),1,0)</f>
        <v>0</v>
      </c>
    </row>
    <row r="692" customFormat="false" ht="15" hidden="false" customHeight="false" outlineLevel="0" collapsed="false">
      <c r="A692" s="7" t="s">
        <v>902</v>
      </c>
      <c r="B692" s="7" t="s">
        <v>46</v>
      </c>
      <c r="C692" s="7" t="s">
        <v>128</v>
      </c>
      <c r="D692" s="7" t="s">
        <v>91</v>
      </c>
      <c r="E692" s="7" t="s">
        <v>92</v>
      </c>
      <c r="F692" s="7" t="s">
        <v>56</v>
      </c>
      <c r="G692" s="7" t="s">
        <v>20</v>
      </c>
      <c r="H692" s="9" t="n">
        <v>46156</v>
      </c>
      <c r="I692" s="9"/>
      <c r="J692" s="7" t="n">
        <v>8.1</v>
      </c>
      <c r="K692" s="7" t="s">
        <v>771</v>
      </c>
      <c r="L692" s="7" t="s">
        <v>19</v>
      </c>
      <c r="M692" s="7" t="s">
        <v>906</v>
      </c>
      <c r="N692" s="7" t="s">
        <v>53</v>
      </c>
      <c r="O692" s="10" t="n">
        <f aca="false">'Exec Summary'!$E$2-H692</f>
        <v>78</v>
      </c>
      <c r="P692" s="10" t="str">
        <f aca="false">IF(I692="","",I692-H692)</f>
        <v/>
      </c>
      <c r="Q692" s="10" t="n">
        <f aca="false">VLOOKUP(G692,$AA$2:$AB$5,2,FALSE())</f>
        <v>30</v>
      </c>
      <c r="R692" s="7" t="n">
        <f aca="false">IF(OR(F692="Open",F692="Reopened"),1,0)</f>
        <v>1</v>
      </c>
      <c r="S692" s="7" t="n">
        <f aca="false">IF(AND(H692&gt;='Exec Summary'!$E$1,H692&lt;='Exec Summary'!$E$2),1,0)</f>
        <v>0</v>
      </c>
      <c r="T692" s="7" t="n">
        <f aca="false">IF(AND(F692="Closed",I692&lt;&gt;"",I692&gt;='Exec Summary'!$E$1,I692&lt;='Exec Summary'!$E$2),1,0)</f>
        <v>0</v>
      </c>
      <c r="U692" s="7" t="n">
        <f aca="false">IF(F692="Reopened",1,0)</f>
        <v>0</v>
      </c>
      <c r="V692" s="7" t="n">
        <f aca="false">IF(AND(R692=1,O692&gt;Q692),1,0)</f>
        <v>1</v>
      </c>
      <c r="W692" s="7" t="n">
        <f aca="false">IF(AND(T692=1,P692&lt;&gt;"",P692&lt;=Q692),1,0)</f>
        <v>0</v>
      </c>
    </row>
    <row r="693" customFormat="false" ht="15" hidden="false" customHeight="false" outlineLevel="0" collapsed="false">
      <c r="A693" s="7" t="s">
        <v>902</v>
      </c>
      <c r="B693" s="7" t="s">
        <v>46</v>
      </c>
      <c r="C693" s="7" t="s">
        <v>128</v>
      </c>
      <c r="D693" s="7" t="s">
        <v>163</v>
      </c>
      <c r="E693" s="7" t="s">
        <v>164</v>
      </c>
      <c r="F693" s="7" t="s">
        <v>50</v>
      </c>
      <c r="G693" s="7" t="s">
        <v>19</v>
      </c>
      <c r="H693" s="9" t="n">
        <v>46201</v>
      </c>
      <c r="I693" s="9" t="n">
        <v>46229</v>
      </c>
      <c r="J693" s="7" t="n">
        <v>9.1</v>
      </c>
      <c r="K693" s="7" t="s">
        <v>771</v>
      </c>
      <c r="L693" s="7" t="s">
        <v>19</v>
      </c>
      <c r="M693" s="7" t="s">
        <v>907</v>
      </c>
      <c r="N693" s="7" t="s">
        <v>58</v>
      </c>
      <c r="O693" s="10" t="n">
        <f aca="false">'Exec Summary'!$E$2-H693</f>
        <v>33</v>
      </c>
      <c r="P693" s="10" t="n">
        <f aca="false">IF(I693="","",I693-H693)</f>
        <v>28</v>
      </c>
      <c r="Q693" s="10" t="n">
        <f aca="false">VLOOKUP(G693,$AA$2:$AB$5,2,FALSE())</f>
        <v>15</v>
      </c>
      <c r="R693" s="7" t="n">
        <f aca="false">IF(OR(F693="Open",F693="Reopened"),1,0)</f>
        <v>0</v>
      </c>
      <c r="S693" s="7" t="n">
        <f aca="false">IF(AND(H693&gt;='Exec Summary'!$E$1,H693&lt;='Exec Summary'!$E$2),1,0)</f>
        <v>0</v>
      </c>
      <c r="T693" s="7" t="n">
        <f aca="false">IF(AND(F693="Closed",I693&lt;&gt;"",I693&gt;='Exec Summary'!$E$1,I693&lt;='Exec Summary'!$E$2),1,0)</f>
        <v>1</v>
      </c>
      <c r="U693" s="7" t="n">
        <f aca="false">IF(F693="Reopened",1,0)</f>
        <v>0</v>
      </c>
      <c r="V693" s="7" t="n">
        <f aca="false">IF(AND(R693=1,O693&gt;Q693),1,0)</f>
        <v>0</v>
      </c>
      <c r="W693" s="7" t="n">
        <f aca="false">IF(AND(T693=1,P693&lt;&gt;"",P693&lt;=Q693),1,0)</f>
        <v>0</v>
      </c>
    </row>
    <row r="694" customFormat="false" ht="15" hidden="false" customHeight="false" outlineLevel="0" collapsed="false">
      <c r="A694" s="7" t="s">
        <v>902</v>
      </c>
      <c r="B694" s="7" t="s">
        <v>46</v>
      </c>
      <c r="C694" s="7" t="s">
        <v>128</v>
      </c>
      <c r="D694" s="7" t="s">
        <v>98</v>
      </c>
      <c r="E694" s="7" t="s">
        <v>99</v>
      </c>
      <c r="F694" s="7" t="s">
        <v>56</v>
      </c>
      <c r="G694" s="7" t="s">
        <v>19</v>
      </c>
      <c r="H694" s="9" t="n">
        <v>46011</v>
      </c>
      <c r="I694" s="9"/>
      <c r="J694" s="7" t="n">
        <v>10</v>
      </c>
      <c r="K694" s="7" t="s">
        <v>771</v>
      </c>
      <c r="L694" s="7" t="s">
        <v>19</v>
      </c>
      <c r="M694" s="7" t="s">
        <v>908</v>
      </c>
      <c r="N694" s="7" t="s">
        <v>58</v>
      </c>
      <c r="O694" s="10" t="n">
        <f aca="false">'Exec Summary'!$E$2-H694</f>
        <v>223</v>
      </c>
      <c r="P694" s="10" t="str">
        <f aca="false">IF(I694="","",I694-H694)</f>
        <v/>
      </c>
      <c r="Q694" s="10" t="n">
        <f aca="false">VLOOKUP(G694,$AA$2:$AB$5,2,FALSE())</f>
        <v>15</v>
      </c>
      <c r="R694" s="7" t="n">
        <f aca="false">IF(OR(F694="Open",F694="Reopened"),1,0)</f>
        <v>1</v>
      </c>
      <c r="S694" s="7" t="n">
        <f aca="false">IF(AND(H694&gt;='Exec Summary'!$E$1,H694&lt;='Exec Summary'!$E$2),1,0)</f>
        <v>0</v>
      </c>
      <c r="T694" s="7" t="n">
        <f aca="false">IF(AND(F694="Closed",I694&lt;&gt;"",I694&gt;='Exec Summary'!$E$1,I694&lt;='Exec Summary'!$E$2),1,0)</f>
        <v>0</v>
      </c>
      <c r="U694" s="7" t="n">
        <f aca="false">IF(F694="Reopened",1,0)</f>
        <v>0</v>
      </c>
      <c r="V694" s="7" t="n">
        <f aca="false">IF(AND(R694=1,O694&gt;Q694),1,0)</f>
        <v>1</v>
      </c>
      <c r="W694" s="7" t="n">
        <f aca="false">IF(AND(T694=1,P694&lt;&gt;"",P694&lt;=Q694),1,0)</f>
        <v>0</v>
      </c>
    </row>
    <row r="695" customFormat="false" ht="15" hidden="false" customHeight="false" outlineLevel="0" collapsed="false">
      <c r="A695" s="7" t="s">
        <v>902</v>
      </c>
      <c r="B695" s="7" t="s">
        <v>46</v>
      </c>
      <c r="C695" s="7" t="s">
        <v>128</v>
      </c>
      <c r="D695" s="7" t="s">
        <v>210</v>
      </c>
      <c r="E695" s="7" t="s">
        <v>211</v>
      </c>
      <c r="F695" s="7" t="s">
        <v>50</v>
      </c>
      <c r="G695" s="7" t="s">
        <v>19</v>
      </c>
      <c r="H695" s="9" t="n">
        <v>46156</v>
      </c>
      <c r="I695" s="9" t="n">
        <v>46176</v>
      </c>
      <c r="J695" s="7" t="n">
        <v>9.8</v>
      </c>
      <c r="K695" s="7" t="s">
        <v>771</v>
      </c>
      <c r="L695" s="7" t="s">
        <v>19</v>
      </c>
      <c r="M695" s="7" t="s">
        <v>909</v>
      </c>
      <c r="N695" s="7" t="s">
        <v>58</v>
      </c>
      <c r="O695" s="10" t="n">
        <f aca="false">'Exec Summary'!$E$2-H695</f>
        <v>78</v>
      </c>
      <c r="P695" s="10" t="n">
        <f aca="false">IF(I695="","",I695-H695)</f>
        <v>20</v>
      </c>
      <c r="Q695" s="10" t="n">
        <f aca="false">VLOOKUP(G695,$AA$2:$AB$5,2,FALSE())</f>
        <v>15</v>
      </c>
      <c r="R695" s="7" t="n">
        <f aca="false">IF(OR(F695="Open",F695="Reopened"),1,0)</f>
        <v>0</v>
      </c>
      <c r="S695" s="7" t="n">
        <f aca="false">IF(AND(H695&gt;='Exec Summary'!$E$1,H695&lt;='Exec Summary'!$E$2),1,0)</f>
        <v>0</v>
      </c>
      <c r="T695" s="7" t="n">
        <f aca="false">IF(AND(F695="Closed",I695&lt;&gt;"",I695&gt;='Exec Summary'!$E$1,I695&lt;='Exec Summary'!$E$2),1,0)</f>
        <v>0</v>
      </c>
      <c r="U695" s="7" t="n">
        <f aca="false">IF(F695="Reopened",1,0)</f>
        <v>0</v>
      </c>
      <c r="V695" s="7" t="n">
        <f aca="false">IF(AND(R695=1,O695&gt;Q695),1,0)</f>
        <v>0</v>
      </c>
      <c r="W695" s="7" t="n">
        <f aca="false">IF(AND(T695=1,P695&lt;&gt;"",P695&lt;=Q695),1,0)</f>
        <v>0</v>
      </c>
    </row>
    <row r="696" customFormat="false" ht="15" hidden="false" customHeight="false" outlineLevel="0" collapsed="false">
      <c r="A696" s="7" t="s">
        <v>902</v>
      </c>
      <c r="B696" s="7" t="s">
        <v>46</v>
      </c>
      <c r="C696" s="7" t="s">
        <v>128</v>
      </c>
      <c r="D696" s="7" t="s">
        <v>145</v>
      </c>
      <c r="E696" s="7" t="s">
        <v>146</v>
      </c>
      <c r="F696" s="7" t="s">
        <v>56</v>
      </c>
      <c r="G696" s="7" t="s">
        <v>19</v>
      </c>
      <c r="H696" s="9" t="n">
        <v>46070</v>
      </c>
      <c r="I696" s="9"/>
      <c r="J696" s="7" t="n">
        <v>9.8</v>
      </c>
      <c r="K696" s="7" t="s">
        <v>771</v>
      </c>
      <c r="L696" s="7" t="s">
        <v>19</v>
      </c>
      <c r="M696" s="7" t="s">
        <v>910</v>
      </c>
      <c r="N696" s="7" t="s">
        <v>58</v>
      </c>
      <c r="O696" s="10" t="n">
        <f aca="false">'Exec Summary'!$E$2-H696</f>
        <v>164</v>
      </c>
      <c r="P696" s="10" t="str">
        <f aca="false">IF(I696="","",I696-H696)</f>
        <v/>
      </c>
      <c r="Q696" s="10" t="n">
        <f aca="false">VLOOKUP(G696,$AA$2:$AB$5,2,FALSE())</f>
        <v>15</v>
      </c>
      <c r="R696" s="7" t="n">
        <f aca="false">IF(OR(F696="Open",F696="Reopened"),1,0)</f>
        <v>1</v>
      </c>
      <c r="S696" s="7" t="n">
        <f aca="false">IF(AND(H696&gt;='Exec Summary'!$E$1,H696&lt;='Exec Summary'!$E$2),1,0)</f>
        <v>0</v>
      </c>
      <c r="T696" s="7" t="n">
        <f aca="false">IF(AND(F696="Closed",I696&lt;&gt;"",I696&gt;='Exec Summary'!$E$1,I696&lt;='Exec Summary'!$E$2),1,0)</f>
        <v>0</v>
      </c>
      <c r="U696" s="7" t="n">
        <f aca="false">IF(F696="Reopened",1,0)</f>
        <v>0</v>
      </c>
      <c r="V696" s="7" t="n">
        <f aca="false">IF(AND(R696=1,O696&gt;Q696),1,0)</f>
        <v>1</v>
      </c>
      <c r="W696" s="7" t="n">
        <f aca="false">IF(AND(T696=1,P696&lt;&gt;"",P696&lt;=Q696),1,0)</f>
        <v>0</v>
      </c>
    </row>
    <row r="697" customFormat="false" ht="15" hidden="false" customHeight="false" outlineLevel="0" collapsed="false">
      <c r="A697" s="7" t="s">
        <v>902</v>
      </c>
      <c r="B697" s="7" t="s">
        <v>46</v>
      </c>
      <c r="C697" s="7" t="s">
        <v>128</v>
      </c>
      <c r="D697" s="7" t="s">
        <v>95</v>
      </c>
      <c r="E697" s="7" t="s">
        <v>96</v>
      </c>
      <c r="F697" s="7" t="s">
        <v>56</v>
      </c>
      <c r="G697" s="7" t="s">
        <v>20</v>
      </c>
      <c r="H697" s="9" t="n">
        <v>46065</v>
      </c>
      <c r="I697" s="9"/>
      <c r="J697" s="7" t="n">
        <v>8.8</v>
      </c>
      <c r="K697" s="7" t="s">
        <v>771</v>
      </c>
      <c r="L697" s="7" t="s">
        <v>19</v>
      </c>
      <c r="M697" s="7" t="s">
        <v>911</v>
      </c>
      <c r="N697" s="7" t="s">
        <v>53</v>
      </c>
      <c r="O697" s="10" t="n">
        <f aca="false">'Exec Summary'!$E$2-H697</f>
        <v>169</v>
      </c>
      <c r="P697" s="10" t="str">
        <f aca="false">IF(I697="","",I697-H697)</f>
        <v/>
      </c>
      <c r="Q697" s="10" t="n">
        <f aca="false">VLOOKUP(G697,$AA$2:$AB$5,2,FALSE())</f>
        <v>30</v>
      </c>
      <c r="R697" s="7" t="n">
        <f aca="false">IF(OR(F697="Open",F697="Reopened"),1,0)</f>
        <v>1</v>
      </c>
      <c r="S697" s="7" t="n">
        <f aca="false">IF(AND(H697&gt;='Exec Summary'!$E$1,H697&lt;='Exec Summary'!$E$2),1,0)</f>
        <v>0</v>
      </c>
      <c r="T697" s="7" t="n">
        <f aca="false">IF(AND(F697="Closed",I697&lt;&gt;"",I697&gt;='Exec Summary'!$E$1,I697&lt;='Exec Summary'!$E$2),1,0)</f>
        <v>0</v>
      </c>
      <c r="U697" s="7" t="n">
        <f aca="false">IF(F697="Reopened",1,0)</f>
        <v>0</v>
      </c>
      <c r="V697" s="7" t="n">
        <f aca="false">IF(AND(R697=1,O697&gt;Q697),1,0)</f>
        <v>1</v>
      </c>
      <c r="W697" s="7" t="n">
        <f aca="false">IF(AND(T697=1,P697&lt;&gt;"",P697&lt;=Q697),1,0)</f>
        <v>0</v>
      </c>
    </row>
    <row r="698" customFormat="false" ht="15" hidden="false" customHeight="false" outlineLevel="0" collapsed="false">
      <c r="A698" s="7" t="s">
        <v>902</v>
      </c>
      <c r="B698" s="7" t="s">
        <v>46</v>
      </c>
      <c r="C698" s="7" t="s">
        <v>128</v>
      </c>
      <c r="D698" s="7" t="s">
        <v>65</v>
      </c>
      <c r="E698" s="7" t="s">
        <v>66</v>
      </c>
      <c r="F698" s="7" t="s">
        <v>50</v>
      </c>
      <c r="G698" s="7" t="s">
        <v>19</v>
      </c>
      <c r="H698" s="9" t="n">
        <v>46141</v>
      </c>
      <c r="I698" s="9" t="n">
        <v>46142</v>
      </c>
      <c r="J698" s="7" t="n">
        <v>9.8</v>
      </c>
      <c r="K698" s="7" t="s">
        <v>771</v>
      </c>
      <c r="L698" s="7" t="s">
        <v>19</v>
      </c>
      <c r="M698" s="7" t="s">
        <v>912</v>
      </c>
      <c r="N698" s="7" t="s">
        <v>58</v>
      </c>
      <c r="O698" s="10" t="n">
        <f aca="false">'Exec Summary'!$E$2-H698</f>
        <v>93</v>
      </c>
      <c r="P698" s="10" t="n">
        <f aca="false">IF(I698="","",I698-H698)</f>
        <v>1</v>
      </c>
      <c r="Q698" s="10" t="n">
        <f aca="false">VLOOKUP(G698,$AA$2:$AB$5,2,FALSE())</f>
        <v>15</v>
      </c>
      <c r="R698" s="7" t="n">
        <f aca="false">IF(OR(F698="Open",F698="Reopened"),1,0)</f>
        <v>0</v>
      </c>
      <c r="S698" s="7" t="n">
        <f aca="false">IF(AND(H698&gt;='Exec Summary'!$E$1,H698&lt;='Exec Summary'!$E$2),1,0)</f>
        <v>0</v>
      </c>
      <c r="T698" s="7" t="n">
        <f aca="false">IF(AND(F698="Closed",I698&lt;&gt;"",I698&gt;='Exec Summary'!$E$1,I698&lt;='Exec Summary'!$E$2),1,0)</f>
        <v>0</v>
      </c>
      <c r="U698" s="7" t="n">
        <f aca="false">IF(F698="Reopened",1,0)</f>
        <v>0</v>
      </c>
      <c r="V698" s="7" t="n">
        <f aca="false">IF(AND(R698=1,O698&gt;Q698),1,0)</f>
        <v>0</v>
      </c>
      <c r="W698" s="7" t="n">
        <f aca="false">IF(AND(T698=1,P698&lt;&gt;"",P698&lt;=Q698),1,0)</f>
        <v>0</v>
      </c>
    </row>
    <row r="699" customFormat="false" ht="15" hidden="false" customHeight="false" outlineLevel="0" collapsed="false">
      <c r="A699" s="7" t="s">
        <v>902</v>
      </c>
      <c r="B699" s="7" t="s">
        <v>46</v>
      </c>
      <c r="C699" s="7" t="s">
        <v>128</v>
      </c>
      <c r="D699" s="7" t="s">
        <v>108</v>
      </c>
      <c r="E699" s="7" t="s">
        <v>109</v>
      </c>
      <c r="F699" s="7" t="s">
        <v>56</v>
      </c>
      <c r="G699" s="7" t="s">
        <v>20</v>
      </c>
      <c r="H699" s="9" t="n">
        <v>46059</v>
      </c>
      <c r="I699" s="9"/>
      <c r="J699" s="7" t="n">
        <v>8.6</v>
      </c>
      <c r="K699" s="7" t="s">
        <v>771</v>
      </c>
      <c r="L699" s="7" t="s">
        <v>19</v>
      </c>
      <c r="M699" s="7" t="s">
        <v>913</v>
      </c>
      <c r="N699" s="7" t="s">
        <v>53</v>
      </c>
      <c r="O699" s="10" t="n">
        <f aca="false">'Exec Summary'!$E$2-H699</f>
        <v>175</v>
      </c>
      <c r="P699" s="10" t="str">
        <f aca="false">IF(I699="","",I699-H699)</f>
        <v/>
      </c>
      <c r="Q699" s="10" t="n">
        <f aca="false">VLOOKUP(G699,$AA$2:$AB$5,2,FALSE())</f>
        <v>30</v>
      </c>
      <c r="R699" s="7" t="n">
        <f aca="false">IF(OR(F699="Open",F699="Reopened"),1,0)</f>
        <v>1</v>
      </c>
      <c r="S699" s="7" t="n">
        <f aca="false">IF(AND(H699&gt;='Exec Summary'!$E$1,H699&lt;='Exec Summary'!$E$2),1,0)</f>
        <v>0</v>
      </c>
      <c r="T699" s="7" t="n">
        <f aca="false">IF(AND(F699="Closed",I699&lt;&gt;"",I699&gt;='Exec Summary'!$E$1,I699&lt;='Exec Summary'!$E$2),1,0)</f>
        <v>0</v>
      </c>
      <c r="U699" s="7" t="n">
        <f aca="false">IF(F699="Reopened",1,0)</f>
        <v>0</v>
      </c>
      <c r="V699" s="7" t="n">
        <f aca="false">IF(AND(R699=1,O699&gt;Q699),1,0)</f>
        <v>1</v>
      </c>
      <c r="W699" s="7" t="n">
        <f aca="false">IF(AND(T699=1,P699&lt;&gt;"",P699&lt;=Q699),1,0)</f>
        <v>0</v>
      </c>
    </row>
    <row r="700" customFormat="false" ht="15" hidden="false" customHeight="false" outlineLevel="0" collapsed="false">
      <c r="A700" s="7" t="s">
        <v>902</v>
      </c>
      <c r="B700" s="7" t="s">
        <v>46</v>
      </c>
      <c r="C700" s="7" t="s">
        <v>128</v>
      </c>
      <c r="D700" s="7" t="s">
        <v>112</v>
      </c>
      <c r="E700" s="7" t="s">
        <v>113</v>
      </c>
      <c r="F700" s="7" t="s">
        <v>50</v>
      </c>
      <c r="G700" s="7" t="s">
        <v>20</v>
      </c>
      <c r="H700" s="9" t="n">
        <v>46171</v>
      </c>
      <c r="I700" s="9" t="n">
        <v>46207</v>
      </c>
      <c r="J700" s="7" t="n">
        <v>7.8</v>
      </c>
      <c r="K700" s="7" t="s">
        <v>771</v>
      </c>
      <c r="L700" s="7" t="s">
        <v>19</v>
      </c>
      <c r="M700" s="7" t="s">
        <v>914</v>
      </c>
      <c r="N700" s="7" t="s">
        <v>53</v>
      </c>
      <c r="O700" s="10" t="n">
        <f aca="false">'Exec Summary'!$E$2-H700</f>
        <v>63</v>
      </c>
      <c r="P700" s="10" t="n">
        <f aca="false">IF(I700="","",I700-H700)</f>
        <v>36</v>
      </c>
      <c r="Q700" s="10" t="n">
        <f aca="false">VLOOKUP(G700,$AA$2:$AB$5,2,FALSE())</f>
        <v>30</v>
      </c>
      <c r="R700" s="7" t="n">
        <f aca="false">IF(OR(F700="Open",F700="Reopened"),1,0)</f>
        <v>0</v>
      </c>
      <c r="S700" s="7" t="n">
        <f aca="false">IF(AND(H700&gt;='Exec Summary'!$E$1,H700&lt;='Exec Summary'!$E$2),1,0)</f>
        <v>0</v>
      </c>
      <c r="T700" s="7" t="n">
        <f aca="false">IF(AND(F700="Closed",I700&lt;&gt;"",I700&gt;='Exec Summary'!$E$1,I700&lt;='Exec Summary'!$E$2),1,0)</f>
        <v>1</v>
      </c>
      <c r="U700" s="7" t="n">
        <f aca="false">IF(F700="Reopened",1,0)</f>
        <v>0</v>
      </c>
      <c r="V700" s="7" t="n">
        <f aca="false">IF(AND(R700=1,O700&gt;Q700),1,0)</f>
        <v>0</v>
      </c>
      <c r="W700" s="7" t="n">
        <f aca="false">IF(AND(T700=1,P700&lt;&gt;"",P700&lt;=Q700),1,0)</f>
        <v>0</v>
      </c>
    </row>
    <row r="701" customFormat="false" ht="15" hidden="false" customHeight="false" outlineLevel="0" collapsed="false">
      <c r="A701" s="7" t="s">
        <v>902</v>
      </c>
      <c r="B701" s="7" t="s">
        <v>46</v>
      </c>
      <c r="C701" s="7" t="s">
        <v>128</v>
      </c>
      <c r="D701" s="7" t="s">
        <v>59</v>
      </c>
      <c r="E701" s="7" t="s">
        <v>60</v>
      </c>
      <c r="F701" s="7" t="s">
        <v>123</v>
      </c>
      <c r="G701" s="7" t="s">
        <v>19</v>
      </c>
      <c r="H701" s="9" t="n">
        <v>46015</v>
      </c>
      <c r="I701" s="9" t="n">
        <v>46025</v>
      </c>
      <c r="J701" s="7" t="n">
        <v>7.8</v>
      </c>
      <c r="K701" s="7" t="s">
        <v>771</v>
      </c>
      <c r="L701" s="7" t="s">
        <v>19</v>
      </c>
      <c r="M701" s="7" t="s">
        <v>915</v>
      </c>
      <c r="N701" s="7" t="s">
        <v>58</v>
      </c>
      <c r="O701" s="10" t="n">
        <f aca="false">'Exec Summary'!$E$2-H701</f>
        <v>219</v>
      </c>
      <c r="P701" s="10" t="n">
        <f aca="false">IF(I701="","",I701-H701)</f>
        <v>10</v>
      </c>
      <c r="Q701" s="10" t="n">
        <f aca="false">VLOOKUP(G701,$AA$2:$AB$5,2,FALSE())</f>
        <v>15</v>
      </c>
      <c r="R701" s="7" t="n">
        <f aca="false">IF(OR(F701="Open",F701="Reopened"),1,0)</f>
        <v>1</v>
      </c>
      <c r="S701" s="7" t="n">
        <f aca="false">IF(AND(H701&gt;='Exec Summary'!$E$1,H701&lt;='Exec Summary'!$E$2),1,0)</f>
        <v>0</v>
      </c>
      <c r="T701" s="7" t="n">
        <f aca="false">IF(AND(F701="Closed",I701&lt;&gt;"",I701&gt;='Exec Summary'!$E$1,I701&lt;='Exec Summary'!$E$2),1,0)</f>
        <v>0</v>
      </c>
      <c r="U701" s="7" t="n">
        <f aca="false">IF(F701="Reopened",1,0)</f>
        <v>1</v>
      </c>
      <c r="V701" s="7" t="n">
        <f aca="false">IF(AND(R701=1,O701&gt;Q701),1,0)</f>
        <v>1</v>
      </c>
      <c r="W701" s="7" t="n">
        <f aca="false">IF(AND(T701=1,P701&lt;&gt;"",P701&lt;=Q701),1,0)</f>
        <v>0</v>
      </c>
    </row>
    <row r="702" customFormat="false" ht="15" hidden="false" customHeight="false" outlineLevel="0" collapsed="false">
      <c r="A702" s="7" t="s">
        <v>916</v>
      </c>
      <c r="B702" s="7" t="s">
        <v>46</v>
      </c>
      <c r="C702" s="7" t="s">
        <v>128</v>
      </c>
      <c r="D702" s="7" t="s">
        <v>192</v>
      </c>
      <c r="E702" s="7" t="s">
        <v>193</v>
      </c>
      <c r="F702" s="7" t="s">
        <v>50</v>
      </c>
      <c r="G702" s="7" t="s">
        <v>19</v>
      </c>
      <c r="H702" s="9" t="n">
        <v>45976</v>
      </c>
      <c r="I702" s="9" t="n">
        <v>45986</v>
      </c>
      <c r="J702" s="7" t="n">
        <v>9.8</v>
      </c>
      <c r="K702" s="7" t="s">
        <v>771</v>
      </c>
      <c r="L702" s="7" t="s">
        <v>19</v>
      </c>
      <c r="M702" s="7" t="s">
        <v>917</v>
      </c>
      <c r="N702" s="7" t="s">
        <v>58</v>
      </c>
      <c r="O702" s="10" t="n">
        <f aca="false">'Exec Summary'!$E$2-H702</f>
        <v>258</v>
      </c>
      <c r="P702" s="10" t="n">
        <f aca="false">IF(I702="","",I702-H702)</f>
        <v>10</v>
      </c>
      <c r="Q702" s="10" t="n">
        <f aca="false">VLOOKUP(G702,$AA$2:$AB$5,2,FALSE())</f>
        <v>15</v>
      </c>
      <c r="R702" s="7" t="n">
        <f aca="false">IF(OR(F702="Open",F702="Reopened"),1,0)</f>
        <v>0</v>
      </c>
      <c r="S702" s="7" t="n">
        <f aca="false">IF(AND(H702&gt;='Exec Summary'!$E$1,H702&lt;='Exec Summary'!$E$2),1,0)</f>
        <v>0</v>
      </c>
      <c r="T702" s="7" t="n">
        <f aca="false">IF(AND(F702="Closed",I702&lt;&gt;"",I702&gt;='Exec Summary'!$E$1,I702&lt;='Exec Summary'!$E$2),1,0)</f>
        <v>0</v>
      </c>
      <c r="U702" s="7" t="n">
        <f aca="false">IF(F702="Reopened",1,0)</f>
        <v>0</v>
      </c>
      <c r="V702" s="7" t="n">
        <f aca="false">IF(AND(R702=1,O702&gt;Q702),1,0)</f>
        <v>0</v>
      </c>
      <c r="W702" s="7" t="n">
        <f aca="false">IF(AND(T702=1,P702&lt;&gt;"",P702&lt;=Q702),1,0)</f>
        <v>0</v>
      </c>
    </row>
    <row r="703" customFormat="false" ht="15" hidden="false" customHeight="false" outlineLevel="0" collapsed="false">
      <c r="A703" s="7" t="s">
        <v>918</v>
      </c>
      <c r="B703" s="7" t="s">
        <v>46</v>
      </c>
      <c r="C703" s="7" t="s">
        <v>158</v>
      </c>
      <c r="D703" s="7" t="s">
        <v>71</v>
      </c>
      <c r="E703" s="7" t="s">
        <v>72</v>
      </c>
      <c r="F703" s="7" t="s">
        <v>56</v>
      </c>
      <c r="G703" s="7" t="s">
        <v>19</v>
      </c>
      <c r="H703" s="9" t="n">
        <v>46190</v>
      </c>
      <c r="I703" s="9"/>
      <c r="J703" s="7" t="n">
        <v>9.8</v>
      </c>
      <c r="K703" s="7" t="s">
        <v>771</v>
      </c>
      <c r="L703" s="7" t="s">
        <v>19</v>
      </c>
      <c r="M703" s="7" t="s">
        <v>919</v>
      </c>
      <c r="N703" s="7" t="s">
        <v>58</v>
      </c>
      <c r="O703" s="10" t="n">
        <f aca="false">'Exec Summary'!$E$2-H703</f>
        <v>44</v>
      </c>
      <c r="P703" s="10" t="str">
        <f aca="false">IF(I703="","",I703-H703)</f>
        <v/>
      </c>
      <c r="Q703" s="10" t="n">
        <f aca="false">VLOOKUP(G703,$AA$2:$AB$5,2,FALSE())</f>
        <v>15</v>
      </c>
      <c r="R703" s="7" t="n">
        <f aca="false">IF(OR(F703="Open",F703="Reopened"),1,0)</f>
        <v>1</v>
      </c>
      <c r="S703" s="7" t="n">
        <f aca="false">IF(AND(H703&gt;='Exec Summary'!$E$1,H703&lt;='Exec Summary'!$E$2),1,0)</f>
        <v>0</v>
      </c>
      <c r="T703" s="7" t="n">
        <f aca="false">IF(AND(F703="Closed",I703&lt;&gt;"",I703&gt;='Exec Summary'!$E$1,I703&lt;='Exec Summary'!$E$2),1,0)</f>
        <v>0</v>
      </c>
      <c r="U703" s="7" t="n">
        <f aca="false">IF(F703="Reopened",1,0)</f>
        <v>0</v>
      </c>
      <c r="V703" s="7" t="n">
        <f aca="false">IF(AND(R703=1,O703&gt;Q703),1,0)</f>
        <v>1</v>
      </c>
      <c r="W703" s="7" t="n">
        <f aca="false">IF(AND(T703=1,P703&lt;&gt;"",P703&lt;=Q703),1,0)</f>
        <v>0</v>
      </c>
    </row>
    <row r="704" customFormat="false" ht="15" hidden="false" customHeight="false" outlineLevel="0" collapsed="false">
      <c r="A704" s="7" t="s">
        <v>918</v>
      </c>
      <c r="B704" s="7" t="s">
        <v>46</v>
      </c>
      <c r="C704" s="7" t="s">
        <v>158</v>
      </c>
      <c r="D704" s="7" t="s">
        <v>206</v>
      </c>
      <c r="E704" s="7" t="s">
        <v>207</v>
      </c>
      <c r="F704" s="7" t="s">
        <v>50</v>
      </c>
      <c r="G704" s="7" t="s">
        <v>20</v>
      </c>
      <c r="H704" s="9" t="n">
        <v>46202</v>
      </c>
      <c r="I704" s="9" t="n">
        <v>46229</v>
      </c>
      <c r="J704" s="7" t="n">
        <v>8.8</v>
      </c>
      <c r="K704" s="7" t="s">
        <v>771</v>
      </c>
      <c r="L704" s="7" t="s">
        <v>19</v>
      </c>
      <c r="M704" s="7" t="s">
        <v>920</v>
      </c>
      <c r="N704" s="7" t="s">
        <v>53</v>
      </c>
      <c r="O704" s="10" t="n">
        <f aca="false">'Exec Summary'!$E$2-H704</f>
        <v>32</v>
      </c>
      <c r="P704" s="10" t="n">
        <f aca="false">IF(I704="","",I704-H704)</f>
        <v>27</v>
      </c>
      <c r="Q704" s="10" t="n">
        <f aca="false">VLOOKUP(G704,$AA$2:$AB$5,2,FALSE())</f>
        <v>30</v>
      </c>
      <c r="R704" s="7" t="n">
        <f aca="false">IF(OR(F704="Open",F704="Reopened"),1,0)</f>
        <v>0</v>
      </c>
      <c r="S704" s="7" t="n">
        <f aca="false">IF(AND(H704&gt;='Exec Summary'!$E$1,H704&lt;='Exec Summary'!$E$2),1,0)</f>
        <v>0</v>
      </c>
      <c r="T704" s="7" t="n">
        <f aca="false">IF(AND(F704="Closed",I704&lt;&gt;"",I704&gt;='Exec Summary'!$E$1,I704&lt;='Exec Summary'!$E$2),1,0)</f>
        <v>1</v>
      </c>
      <c r="U704" s="7" t="n">
        <f aca="false">IF(F704="Reopened",1,0)</f>
        <v>0</v>
      </c>
      <c r="V704" s="7" t="n">
        <f aca="false">IF(AND(R704=1,O704&gt;Q704),1,0)</f>
        <v>0</v>
      </c>
      <c r="W704" s="7" t="n">
        <f aca="false">IF(AND(T704=1,P704&lt;&gt;"",P704&lt;=Q704),1,0)</f>
        <v>1</v>
      </c>
    </row>
    <row r="705" customFormat="false" ht="15" hidden="false" customHeight="false" outlineLevel="0" collapsed="false">
      <c r="A705" s="7" t="s">
        <v>921</v>
      </c>
      <c r="B705" s="7" t="s">
        <v>46</v>
      </c>
      <c r="C705" s="7" t="s">
        <v>47</v>
      </c>
      <c r="D705" s="7" t="s">
        <v>206</v>
      </c>
      <c r="E705" s="7" t="s">
        <v>207</v>
      </c>
      <c r="F705" s="7" t="s">
        <v>50</v>
      </c>
      <c r="G705" s="7" t="s">
        <v>20</v>
      </c>
      <c r="H705" s="9" t="n">
        <v>45962</v>
      </c>
      <c r="I705" s="9" t="n">
        <v>45963</v>
      </c>
      <c r="J705" s="7" t="n">
        <v>8.8</v>
      </c>
      <c r="K705" s="7" t="s">
        <v>771</v>
      </c>
      <c r="L705" s="7" t="s">
        <v>19</v>
      </c>
      <c r="M705" s="7" t="s">
        <v>922</v>
      </c>
      <c r="N705" s="7" t="s">
        <v>53</v>
      </c>
      <c r="O705" s="10" t="n">
        <f aca="false">'Exec Summary'!$E$2-H705</f>
        <v>272</v>
      </c>
      <c r="P705" s="10" t="n">
        <f aca="false">IF(I705="","",I705-H705)</f>
        <v>1</v>
      </c>
      <c r="Q705" s="10" t="n">
        <f aca="false">VLOOKUP(G705,$AA$2:$AB$5,2,FALSE())</f>
        <v>30</v>
      </c>
      <c r="R705" s="7" t="n">
        <f aca="false">IF(OR(F705="Open",F705="Reopened"),1,0)</f>
        <v>0</v>
      </c>
      <c r="S705" s="7" t="n">
        <f aca="false">IF(AND(H705&gt;='Exec Summary'!$E$1,H705&lt;='Exec Summary'!$E$2),1,0)</f>
        <v>0</v>
      </c>
      <c r="T705" s="7" t="n">
        <f aca="false">IF(AND(F705="Closed",I705&lt;&gt;"",I705&gt;='Exec Summary'!$E$1,I705&lt;='Exec Summary'!$E$2),1,0)</f>
        <v>0</v>
      </c>
      <c r="U705" s="7" t="n">
        <f aca="false">IF(F705="Reopened",1,0)</f>
        <v>0</v>
      </c>
      <c r="V705" s="7" t="n">
        <f aca="false">IF(AND(R705=1,O705&gt;Q705),1,0)</f>
        <v>0</v>
      </c>
      <c r="W705" s="7" t="n">
        <f aca="false">IF(AND(T705=1,P705&lt;&gt;"",P705&lt;=Q705),1,0)</f>
        <v>0</v>
      </c>
    </row>
    <row r="706" customFormat="false" ht="15" hidden="false" customHeight="false" outlineLevel="0" collapsed="false">
      <c r="A706" s="7" t="s">
        <v>921</v>
      </c>
      <c r="B706" s="7" t="s">
        <v>46</v>
      </c>
      <c r="C706" s="7" t="s">
        <v>47</v>
      </c>
      <c r="D706" s="7" t="s">
        <v>54</v>
      </c>
      <c r="E706" s="7" t="s">
        <v>55</v>
      </c>
      <c r="F706" s="7" t="s">
        <v>56</v>
      </c>
      <c r="G706" s="7" t="s">
        <v>19</v>
      </c>
      <c r="H706" s="9" t="n">
        <v>46177</v>
      </c>
      <c r="I706" s="9"/>
      <c r="J706" s="7" t="n">
        <v>9.8</v>
      </c>
      <c r="K706" s="7" t="s">
        <v>771</v>
      </c>
      <c r="L706" s="7" t="s">
        <v>19</v>
      </c>
      <c r="M706" s="7" t="s">
        <v>923</v>
      </c>
      <c r="N706" s="7" t="s">
        <v>58</v>
      </c>
      <c r="O706" s="10" t="n">
        <f aca="false">'Exec Summary'!$E$2-H706</f>
        <v>57</v>
      </c>
      <c r="P706" s="10" t="str">
        <f aca="false">IF(I706="","",I706-H706)</f>
        <v/>
      </c>
      <c r="Q706" s="10" t="n">
        <f aca="false">VLOOKUP(G706,$AA$2:$AB$5,2,FALSE())</f>
        <v>15</v>
      </c>
      <c r="R706" s="7" t="n">
        <f aca="false">IF(OR(F706="Open",F706="Reopened"),1,0)</f>
        <v>1</v>
      </c>
      <c r="S706" s="7" t="n">
        <f aca="false">IF(AND(H706&gt;='Exec Summary'!$E$1,H706&lt;='Exec Summary'!$E$2),1,0)</f>
        <v>0</v>
      </c>
      <c r="T706" s="7" t="n">
        <f aca="false">IF(AND(F706="Closed",I706&lt;&gt;"",I706&gt;='Exec Summary'!$E$1,I706&lt;='Exec Summary'!$E$2),1,0)</f>
        <v>0</v>
      </c>
      <c r="U706" s="7" t="n">
        <f aca="false">IF(F706="Reopened",1,0)</f>
        <v>0</v>
      </c>
      <c r="V706" s="7" t="n">
        <f aca="false">IF(AND(R706=1,O706&gt;Q706),1,0)</f>
        <v>1</v>
      </c>
      <c r="W706" s="7" t="n">
        <f aca="false">IF(AND(T706=1,P706&lt;&gt;"",P706&lt;=Q706),1,0)</f>
        <v>0</v>
      </c>
    </row>
    <row r="707" customFormat="false" ht="15" hidden="false" customHeight="false" outlineLevel="0" collapsed="false">
      <c r="A707" s="7" t="s">
        <v>921</v>
      </c>
      <c r="B707" s="7" t="s">
        <v>46</v>
      </c>
      <c r="C707" s="7" t="s">
        <v>47</v>
      </c>
      <c r="D707" s="7" t="s">
        <v>62</v>
      </c>
      <c r="E707" s="7" t="s">
        <v>63</v>
      </c>
      <c r="F707" s="7" t="s">
        <v>50</v>
      </c>
      <c r="G707" s="7" t="s">
        <v>20</v>
      </c>
      <c r="H707" s="9" t="n">
        <v>46008</v>
      </c>
      <c r="I707" s="9" t="n">
        <v>46053</v>
      </c>
      <c r="J707" s="7" t="n">
        <v>8.1</v>
      </c>
      <c r="K707" s="7" t="s">
        <v>771</v>
      </c>
      <c r="L707" s="7" t="s">
        <v>19</v>
      </c>
      <c r="M707" s="7" t="s">
        <v>924</v>
      </c>
      <c r="N707" s="7" t="s">
        <v>53</v>
      </c>
      <c r="O707" s="10" t="n">
        <f aca="false">'Exec Summary'!$E$2-H707</f>
        <v>226</v>
      </c>
      <c r="P707" s="10" t="n">
        <f aca="false">IF(I707="","",I707-H707)</f>
        <v>45</v>
      </c>
      <c r="Q707" s="10" t="n">
        <f aca="false">VLOOKUP(G707,$AA$2:$AB$5,2,FALSE())</f>
        <v>30</v>
      </c>
      <c r="R707" s="7" t="n">
        <f aca="false">IF(OR(F707="Open",F707="Reopened"),1,0)</f>
        <v>0</v>
      </c>
      <c r="S707" s="7" t="n">
        <f aca="false">IF(AND(H707&gt;='Exec Summary'!$E$1,H707&lt;='Exec Summary'!$E$2),1,0)</f>
        <v>0</v>
      </c>
      <c r="T707" s="7" t="n">
        <f aca="false">IF(AND(F707="Closed",I707&lt;&gt;"",I707&gt;='Exec Summary'!$E$1,I707&lt;='Exec Summary'!$E$2),1,0)</f>
        <v>0</v>
      </c>
      <c r="U707" s="7" t="n">
        <f aca="false">IF(F707="Reopened",1,0)</f>
        <v>0</v>
      </c>
      <c r="V707" s="7" t="n">
        <f aca="false">IF(AND(R707=1,O707&gt;Q707),1,0)</f>
        <v>0</v>
      </c>
      <c r="W707" s="7" t="n">
        <f aca="false">IF(AND(T707=1,P707&lt;&gt;"",P707&lt;=Q707),1,0)</f>
        <v>0</v>
      </c>
    </row>
    <row r="708" customFormat="false" ht="15" hidden="false" customHeight="false" outlineLevel="0" collapsed="false">
      <c r="A708" s="7" t="s">
        <v>921</v>
      </c>
      <c r="B708" s="7" t="s">
        <v>46</v>
      </c>
      <c r="C708" s="7" t="s">
        <v>47</v>
      </c>
      <c r="D708" s="7" t="s">
        <v>98</v>
      </c>
      <c r="E708" s="7" t="s">
        <v>99</v>
      </c>
      <c r="F708" s="7" t="s">
        <v>56</v>
      </c>
      <c r="G708" s="7" t="s">
        <v>19</v>
      </c>
      <c r="H708" s="9" t="n">
        <v>45944</v>
      </c>
      <c r="I708" s="9"/>
      <c r="J708" s="7" t="n">
        <v>10</v>
      </c>
      <c r="K708" s="7" t="s">
        <v>771</v>
      </c>
      <c r="L708" s="7" t="s">
        <v>19</v>
      </c>
      <c r="M708" s="7" t="s">
        <v>925</v>
      </c>
      <c r="N708" s="7" t="s">
        <v>58</v>
      </c>
      <c r="O708" s="10" t="n">
        <f aca="false">'Exec Summary'!$E$2-H708</f>
        <v>290</v>
      </c>
      <c r="P708" s="10" t="str">
        <f aca="false">IF(I708="","",I708-H708)</f>
        <v/>
      </c>
      <c r="Q708" s="10" t="n">
        <f aca="false">VLOOKUP(G708,$AA$2:$AB$5,2,FALSE())</f>
        <v>15</v>
      </c>
      <c r="R708" s="7" t="n">
        <f aca="false">IF(OR(F708="Open",F708="Reopened"),1,0)</f>
        <v>1</v>
      </c>
      <c r="S708" s="7" t="n">
        <f aca="false">IF(AND(H708&gt;='Exec Summary'!$E$1,H708&lt;='Exec Summary'!$E$2),1,0)</f>
        <v>0</v>
      </c>
      <c r="T708" s="7" t="n">
        <f aca="false">IF(AND(F708="Closed",I708&lt;&gt;"",I708&gt;='Exec Summary'!$E$1,I708&lt;='Exec Summary'!$E$2),1,0)</f>
        <v>0</v>
      </c>
      <c r="U708" s="7" t="n">
        <f aca="false">IF(F708="Reopened",1,0)</f>
        <v>0</v>
      </c>
      <c r="V708" s="7" t="n">
        <f aca="false">IF(AND(R708=1,O708&gt;Q708),1,0)</f>
        <v>1</v>
      </c>
      <c r="W708" s="7" t="n">
        <f aca="false">IF(AND(T708=1,P708&lt;&gt;"",P708&lt;=Q708),1,0)</f>
        <v>0</v>
      </c>
    </row>
    <row r="709" customFormat="false" ht="15" hidden="false" customHeight="false" outlineLevel="0" collapsed="false">
      <c r="A709" s="7" t="s">
        <v>921</v>
      </c>
      <c r="B709" s="7" t="s">
        <v>46</v>
      </c>
      <c r="C709" s="7" t="s">
        <v>47</v>
      </c>
      <c r="D709" s="7" t="s">
        <v>68</v>
      </c>
      <c r="E709" s="7" t="s">
        <v>69</v>
      </c>
      <c r="F709" s="7" t="s">
        <v>56</v>
      </c>
      <c r="G709" s="7" t="s">
        <v>19</v>
      </c>
      <c r="H709" s="9" t="n">
        <v>45961</v>
      </c>
      <c r="I709" s="9"/>
      <c r="J709" s="7" t="n">
        <v>9.8</v>
      </c>
      <c r="K709" s="7" t="s">
        <v>771</v>
      </c>
      <c r="L709" s="7" t="s">
        <v>19</v>
      </c>
      <c r="M709" s="7" t="s">
        <v>926</v>
      </c>
      <c r="N709" s="7" t="s">
        <v>58</v>
      </c>
      <c r="O709" s="10" t="n">
        <f aca="false">'Exec Summary'!$E$2-H709</f>
        <v>273</v>
      </c>
      <c r="P709" s="10" t="str">
        <f aca="false">IF(I709="","",I709-H709)</f>
        <v/>
      </c>
      <c r="Q709" s="10" t="n">
        <f aca="false">VLOOKUP(G709,$AA$2:$AB$5,2,FALSE())</f>
        <v>15</v>
      </c>
      <c r="R709" s="7" t="n">
        <f aca="false">IF(OR(F709="Open",F709="Reopened"),1,0)</f>
        <v>1</v>
      </c>
      <c r="S709" s="7" t="n">
        <f aca="false">IF(AND(H709&gt;='Exec Summary'!$E$1,H709&lt;='Exec Summary'!$E$2),1,0)</f>
        <v>0</v>
      </c>
      <c r="T709" s="7" t="n">
        <f aca="false">IF(AND(F709="Closed",I709&lt;&gt;"",I709&gt;='Exec Summary'!$E$1,I709&lt;='Exec Summary'!$E$2),1,0)</f>
        <v>0</v>
      </c>
      <c r="U709" s="7" t="n">
        <f aca="false">IF(F709="Reopened",1,0)</f>
        <v>0</v>
      </c>
      <c r="V709" s="7" t="n">
        <f aca="false">IF(AND(R709=1,O709&gt;Q709),1,0)</f>
        <v>1</v>
      </c>
      <c r="W709" s="7" t="n">
        <f aca="false">IF(AND(T709=1,P709&lt;&gt;"",P709&lt;=Q709),1,0)</f>
        <v>0</v>
      </c>
    </row>
    <row r="710" customFormat="false" ht="15" hidden="false" customHeight="false" outlineLevel="0" collapsed="false">
      <c r="A710" s="7" t="s">
        <v>921</v>
      </c>
      <c r="B710" s="7" t="s">
        <v>46</v>
      </c>
      <c r="C710" s="7" t="s">
        <v>47</v>
      </c>
      <c r="D710" s="7" t="s">
        <v>131</v>
      </c>
      <c r="E710" s="7" t="s">
        <v>132</v>
      </c>
      <c r="F710" s="7" t="s">
        <v>50</v>
      </c>
      <c r="G710" s="7" t="s">
        <v>19</v>
      </c>
      <c r="H710" s="9" t="n">
        <v>46063</v>
      </c>
      <c r="I710" s="9" t="n">
        <v>46068</v>
      </c>
      <c r="J710" s="7" t="n">
        <v>9.8</v>
      </c>
      <c r="K710" s="7" t="s">
        <v>771</v>
      </c>
      <c r="L710" s="7" t="s">
        <v>19</v>
      </c>
      <c r="M710" s="7" t="s">
        <v>927</v>
      </c>
      <c r="N710" s="7" t="s">
        <v>58</v>
      </c>
      <c r="O710" s="10" t="n">
        <f aca="false">'Exec Summary'!$E$2-H710</f>
        <v>171</v>
      </c>
      <c r="P710" s="10" t="n">
        <f aca="false">IF(I710="","",I710-H710)</f>
        <v>5</v>
      </c>
      <c r="Q710" s="10" t="n">
        <f aca="false">VLOOKUP(G710,$AA$2:$AB$5,2,FALSE())</f>
        <v>15</v>
      </c>
      <c r="R710" s="7" t="n">
        <f aca="false">IF(OR(F710="Open",F710="Reopened"),1,0)</f>
        <v>0</v>
      </c>
      <c r="S710" s="7" t="n">
        <f aca="false">IF(AND(H710&gt;='Exec Summary'!$E$1,H710&lt;='Exec Summary'!$E$2),1,0)</f>
        <v>0</v>
      </c>
      <c r="T710" s="7" t="n">
        <f aca="false">IF(AND(F710="Closed",I710&lt;&gt;"",I710&gt;='Exec Summary'!$E$1,I710&lt;='Exec Summary'!$E$2),1,0)</f>
        <v>0</v>
      </c>
      <c r="U710" s="7" t="n">
        <f aca="false">IF(F710="Reopened",1,0)</f>
        <v>0</v>
      </c>
      <c r="V710" s="7" t="n">
        <f aca="false">IF(AND(R710=1,O710&gt;Q710),1,0)</f>
        <v>0</v>
      </c>
      <c r="W710" s="7" t="n">
        <f aca="false">IF(AND(T710=1,P710&lt;&gt;"",P710&lt;=Q710),1,0)</f>
        <v>0</v>
      </c>
    </row>
    <row r="711" customFormat="false" ht="15" hidden="false" customHeight="false" outlineLevel="0" collapsed="false">
      <c r="A711" s="7" t="s">
        <v>921</v>
      </c>
      <c r="B711" s="7" t="s">
        <v>46</v>
      </c>
      <c r="C711" s="7" t="s">
        <v>47</v>
      </c>
      <c r="D711" s="7" t="s">
        <v>48</v>
      </c>
      <c r="E711" s="7" t="s">
        <v>49</v>
      </c>
      <c r="F711" s="7" t="s">
        <v>56</v>
      </c>
      <c r="G711" s="7" t="s">
        <v>20</v>
      </c>
      <c r="H711" s="9" t="n">
        <v>46207</v>
      </c>
      <c r="I711" s="9"/>
      <c r="J711" s="7" t="n">
        <v>7.5</v>
      </c>
      <c r="K711" s="7" t="s">
        <v>771</v>
      </c>
      <c r="L711" s="7" t="s">
        <v>19</v>
      </c>
      <c r="M711" s="7" t="s">
        <v>928</v>
      </c>
      <c r="N711" s="7" t="s">
        <v>53</v>
      </c>
      <c r="O711" s="10" t="n">
        <f aca="false">'Exec Summary'!$E$2-H711</f>
        <v>27</v>
      </c>
      <c r="P711" s="10" t="str">
        <f aca="false">IF(I711="","",I711-H711)</f>
        <v/>
      </c>
      <c r="Q711" s="10" t="n">
        <f aca="false">VLOOKUP(G711,$AA$2:$AB$5,2,FALSE())</f>
        <v>30</v>
      </c>
      <c r="R711" s="7" t="n">
        <f aca="false">IF(OR(F711="Open",F711="Reopened"),1,0)</f>
        <v>1</v>
      </c>
      <c r="S711" s="7" t="n">
        <f aca="false">IF(AND(H711&gt;='Exec Summary'!$E$1,H711&lt;='Exec Summary'!$E$2),1,0)</f>
        <v>1</v>
      </c>
      <c r="T711" s="7" t="n">
        <f aca="false">IF(AND(F711="Closed",I711&lt;&gt;"",I711&gt;='Exec Summary'!$E$1,I711&lt;='Exec Summary'!$E$2),1,0)</f>
        <v>0</v>
      </c>
      <c r="U711" s="7" t="n">
        <f aca="false">IF(F711="Reopened",1,0)</f>
        <v>0</v>
      </c>
      <c r="V711" s="7" t="n">
        <f aca="false">IF(AND(R711=1,O711&gt;Q711),1,0)</f>
        <v>0</v>
      </c>
      <c r="W711" s="7" t="n">
        <f aca="false">IF(AND(T711=1,P711&lt;&gt;"",P711&lt;=Q711),1,0)</f>
        <v>0</v>
      </c>
    </row>
    <row r="712" customFormat="false" ht="15" hidden="false" customHeight="false" outlineLevel="0" collapsed="false">
      <c r="A712" s="7" t="s">
        <v>921</v>
      </c>
      <c r="B712" s="7" t="s">
        <v>46</v>
      </c>
      <c r="C712" s="7" t="s">
        <v>47</v>
      </c>
      <c r="D712" s="7" t="s">
        <v>59</v>
      </c>
      <c r="E712" s="7" t="s">
        <v>60</v>
      </c>
      <c r="F712" s="7" t="s">
        <v>50</v>
      </c>
      <c r="G712" s="7" t="s">
        <v>19</v>
      </c>
      <c r="H712" s="9" t="n">
        <v>46132</v>
      </c>
      <c r="I712" s="9" t="n">
        <v>46159</v>
      </c>
      <c r="J712" s="7" t="n">
        <v>7.8</v>
      </c>
      <c r="K712" s="7" t="s">
        <v>771</v>
      </c>
      <c r="L712" s="7" t="s">
        <v>19</v>
      </c>
      <c r="M712" s="7" t="s">
        <v>929</v>
      </c>
      <c r="N712" s="7" t="s">
        <v>58</v>
      </c>
      <c r="O712" s="10" t="n">
        <f aca="false">'Exec Summary'!$E$2-H712</f>
        <v>102</v>
      </c>
      <c r="P712" s="10" t="n">
        <f aca="false">IF(I712="","",I712-H712)</f>
        <v>27</v>
      </c>
      <c r="Q712" s="10" t="n">
        <f aca="false">VLOOKUP(G712,$AA$2:$AB$5,2,FALSE())</f>
        <v>15</v>
      </c>
      <c r="R712" s="7" t="n">
        <f aca="false">IF(OR(F712="Open",F712="Reopened"),1,0)</f>
        <v>0</v>
      </c>
      <c r="S712" s="7" t="n">
        <f aca="false">IF(AND(H712&gt;='Exec Summary'!$E$1,H712&lt;='Exec Summary'!$E$2),1,0)</f>
        <v>0</v>
      </c>
      <c r="T712" s="7" t="n">
        <f aca="false">IF(AND(F712="Closed",I712&lt;&gt;"",I712&gt;='Exec Summary'!$E$1,I712&lt;='Exec Summary'!$E$2),1,0)</f>
        <v>0</v>
      </c>
      <c r="U712" s="7" t="n">
        <f aca="false">IF(F712="Reopened",1,0)</f>
        <v>0</v>
      </c>
      <c r="V712" s="7" t="n">
        <f aca="false">IF(AND(R712=1,O712&gt;Q712),1,0)</f>
        <v>0</v>
      </c>
      <c r="W712" s="7" t="n">
        <f aca="false">IF(AND(T712=1,P712&lt;&gt;"",P712&lt;=Q712),1,0)</f>
        <v>0</v>
      </c>
    </row>
    <row r="713" customFormat="false" ht="15" hidden="false" customHeight="false" outlineLevel="0" collapsed="false">
      <c r="A713" s="7" t="s">
        <v>921</v>
      </c>
      <c r="B713" s="7" t="s">
        <v>46</v>
      </c>
      <c r="C713" s="7" t="s">
        <v>47</v>
      </c>
      <c r="D713" s="7" t="s">
        <v>95</v>
      </c>
      <c r="E713" s="7" t="s">
        <v>96</v>
      </c>
      <c r="F713" s="7" t="s">
        <v>50</v>
      </c>
      <c r="G713" s="7" t="s">
        <v>20</v>
      </c>
      <c r="H713" s="9" t="n">
        <v>46088</v>
      </c>
      <c r="I713" s="9" t="n">
        <v>46114</v>
      </c>
      <c r="J713" s="7" t="n">
        <v>8.8</v>
      </c>
      <c r="K713" s="7" t="s">
        <v>771</v>
      </c>
      <c r="L713" s="7" t="s">
        <v>19</v>
      </c>
      <c r="M713" s="7" t="s">
        <v>930</v>
      </c>
      <c r="N713" s="7" t="s">
        <v>53</v>
      </c>
      <c r="O713" s="10" t="n">
        <f aca="false">'Exec Summary'!$E$2-H713</f>
        <v>146</v>
      </c>
      <c r="P713" s="10" t="n">
        <f aca="false">IF(I713="","",I713-H713)</f>
        <v>26</v>
      </c>
      <c r="Q713" s="10" t="n">
        <f aca="false">VLOOKUP(G713,$AA$2:$AB$5,2,FALSE())</f>
        <v>30</v>
      </c>
      <c r="R713" s="7" t="n">
        <f aca="false">IF(OR(F713="Open",F713="Reopened"),1,0)</f>
        <v>0</v>
      </c>
      <c r="S713" s="7" t="n">
        <f aca="false">IF(AND(H713&gt;='Exec Summary'!$E$1,H713&lt;='Exec Summary'!$E$2),1,0)</f>
        <v>0</v>
      </c>
      <c r="T713" s="7" t="n">
        <f aca="false">IF(AND(F713="Closed",I713&lt;&gt;"",I713&gt;='Exec Summary'!$E$1,I713&lt;='Exec Summary'!$E$2),1,0)</f>
        <v>0</v>
      </c>
      <c r="U713" s="7" t="n">
        <f aca="false">IF(F713="Reopened",1,0)</f>
        <v>0</v>
      </c>
      <c r="V713" s="7" t="n">
        <f aca="false">IF(AND(R713=1,O713&gt;Q713),1,0)</f>
        <v>0</v>
      </c>
      <c r="W713" s="7" t="n">
        <f aca="false">IF(AND(T713=1,P713&lt;&gt;"",P713&lt;=Q713),1,0)</f>
        <v>0</v>
      </c>
    </row>
    <row r="714" customFormat="false" ht="15" hidden="false" customHeight="false" outlineLevel="0" collapsed="false">
      <c r="A714" s="7" t="s">
        <v>921</v>
      </c>
      <c r="B714" s="7" t="s">
        <v>46</v>
      </c>
      <c r="C714" s="7" t="s">
        <v>47</v>
      </c>
      <c r="D714" s="7" t="s">
        <v>112</v>
      </c>
      <c r="E714" s="7" t="s">
        <v>113</v>
      </c>
      <c r="F714" s="7" t="s">
        <v>56</v>
      </c>
      <c r="G714" s="7" t="s">
        <v>20</v>
      </c>
      <c r="H714" s="9" t="n">
        <v>46158</v>
      </c>
      <c r="I714" s="9"/>
      <c r="J714" s="7" t="n">
        <v>7.8</v>
      </c>
      <c r="K714" s="7" t="s">
        <v>771</v>
      </c>
      <c r="L714" s="7" t="s">
        <v>19</v>
      </c>
      <c r="M714" s="7" t="s">
        <v>931</v>
      </c>
      <c r="N714" s="7" t="s">
        <v>53</v>
      </c>
      <c r="O714" s="10" t="n">
        <f aca="false">'Exec Summary'!$E$2-H714</f>
        <v>76</v>
      </c>
      <c r="P714" s="10" t="str">
        <f aca="false">IF(I714="","",I714-H714)</f>
        <v/>
      </c>
      <c r="Q714" s="10" t="n">
        <f aca="false">VLOOKUP(G714,$AA$2:$AB$5,2,FALSE())</f>
        <v>30</v>
      </c>
      <c r="R714" s="7" t="n">
        <f aca="false">IF(OR(F714="Open",F714="Reopened"),1,0)</f>
        <v>1</v>
      </c>
      <c r="S714" s="7" t="n">
        <f aca="false">IF(AND(H714&gt;='Exec Summary'!$E$1,H714&lt;='Exec Summary'!$E$2),1,0)</f>
        <v>0</v>
      </c>
      <c r="T714" s="7" t="n">
        <f aca="false">IF(AND(F714="Closed",I714&lt;&gt;"",I714&gt;='Exec Summary'!$E$1,I714&lt;='Exec Summary'!$E$2),1,0)</f>
        <v>0</v>
      </c>
      <c r="U714" s="7" t="n">
        <f aca="false">IF(F714="Reopened",1,0)</f>
        <v>0</v>
      </c>
      <c r="V714" s="7" t="n">
        <f aca="false">IF(AND(R714=1,O714&gt;Q714),1,0)</f>
        <v>1</v>
      </c>
      <c r="W714" s="7" t="n">
        <f aca="false">IF(AND(T714=1,P714&lt;&gt;"",P714&lt;=Q714),1,0)</f>
        <v>0</v>
      </c>
    </row>
    <row r="715" customFormat="false" ht="15" hidden="false" customHeight="false" outlineLevel="0" collapsed="false">
      <c r="A715" s="7" t="s">
        <v>921</v>
      </c>
      <c r="B715" s="7" t="s">
        <v>46</v>
      </c>
      <c r="C715" s="7" t="s">
        <v>47</v>
      </c>
      <c r="D715" s="7" t="s">
        <v>81</v>
      </c>
      <c r="E715" s="7" t="s">
        <v>82</v>
      </c>
      <c r="F715" s="7" t="s">
        <v>123</v>
      </c>
      <c r="G715" s="7" t="s">
        <v>20</v>
      </c>
      <c r="H715" s="9" t="n">
        <v>45951</v>
      </c>
      <c r="I715" s="9" t="n">
        <v>45964</v>
      </c>
      <c r="J715" s="7" t="n">
        <v>7.8</v>
      </c>
      <c r="K715" s="7" t="s">
        <v>771</v>
      </c>
      <c r="L715" s="7" t="s">
        <v>19</v>
      </c>
      <c r="M715" s="7" t="s">
        <v>932</v>
      </c>
      <c r="N715" s="7" t="s">
        <v>53</v>
      </c>
      <c r="O715" s="10" t="n">
        <f aca="false">'Exec Summary'!$E$2-H715</f>
        <v>283</v>
      </c>
      <c r="P715" s="10" t="n">
        <f aca="false">IF(I715="","",I715-H715)</f>
        <v>13</v>
      </c>
      <c r="Q715" s="10" t="n">
        <f aca="false">VLOOKUP(G715,$AA$2:$AB$5,2,FALSE())</f>
        <v>30</v>
      </c>
      <c r="R715" s="7" t="n">
        <f aca="false">IF(OR(F715="Open",F715="Reopened"),1,0)</f>
        <v>1</v>
      </c>
      <c r="S715" s="7" t="n">
        <f aca="false">IF(AND(H715&gt;='Exec Summary'!$E$1,H715&lt;='Exec Summary'!$E$2),1,0)</f>
        <v>0</v>
      </c>
      <c r="T715" s="7" t="n">
        <f aca="false">IF(AND(F715="Closed",I715&lt;&gt;"",I715&gt;='Exec Summary'!$E$1,I715&lt;='Exec Summary'!$E$2),1,0)</f>
        <v>0</v>
      </c>
      <c r="U715" s="7" t="n">
        <f aca="false">IF(F715="Reopened",1,0)</f>
        <v>1</v>
      </c>
      <c r="V715" s="7" t="n">
        <f aca="false">IF(AND(R715=1,O715&gt;Q715),1,0)</f>
        <v>1</v>
      </c>
      <c r="W715" s="7" t="n">
        <f aca="false">IF(AND(T715=1,P715&lt;&gt;"",P715&lt;=Q715),1,0)</f>
        <v>0</v>
      </c>
    </row>
    <row r="716" customFormat="false" ht="15" hidden="false" customHeight="false" outlineLevel="0" collapsed="false">
      <c r="A716" s="7" t="s">
        <v>921</v>
      </c>
      <c r="B716" s="7" t="s">
        <v>46</v>
      </c>
      <c r="C716" s="7" t="s">
        <v>47</v>
      </c>
      <c r="D716" s="7" t="s">
        <v>117</v>
      </c>
      <c r="E716" s="7" t="s">
        <v>118</v>
      </c>
      <c r="F716" s="7" t="s">
        <v>56</v>
      </c>
      <c r="G716" s="7" t="s">
        <v>19</v>
      </c>
      <c r="H716" s="9" t="n">
        <v>46175</v>
      </c>
      <c r="I716" s="9"/>
      <c r="J716" s="7" t="n">
        <v>10</v>
      </c>
      <c r="K716" s="7" t="s">
        <v>771</v>
      </c>
      <c r="L716" s="7" t="s">
        <v>19</v>
      </c>
      <c r="M716" s="7" t="s">
        <v>933</v>
      </c>
      <c r="N716" s="7" t="s">
        <v>58</v>
      </c>
      <c r="O716" s="10" t="n">
        <f aca="false">'Exec Summary'!$E$2-H716</f>
        <v>59</v>
      </c>
      <c r="P716" s="10" t="str">
        <f aca="false">IF(I716="","",I716-H716)</f>
        <v/>
      </c>
      <c r="Q716" s="10" t="n">
        <f aca="false">VLOOKUP(G716,$AA$2:$AB$5,2,FALSE())</f>
        <v>15</v>
      </c>
      <c r="R716" s="7" t="n">
        <f aca="false">IF(OR(F716="Open",F716="Reopened"),1,0)</f>
        <v>1</v>
      </c>
      <c r="S716" s="7" t="n">
        <f aca="false">IF(AND(H716&gt;='Exec Summary'!$E$1,H716&lt;='Exec Summary'!$E$2),1,0)</f>
        <v>0</v>
      </c>
      <c r="T716" s="7" t="n">
        <f aca="false">IF(AND(F716="Closed",I716&lt;&gt;"",I716&gt;='Exec Summary'!$E$1,I716&lt;='Exec Summary'!$E$2),1,0)</f>
        <v>0</v>
      </c>
      <c r="U716" s="7" t="n">
        <f aca="false">IF(F716="Reopened",1,0)</f>
        <v>0</v>
      </c>
      <c r="V716" s="7" t="n">
        <f aca="false">IF(AND(R716=1,O716&gt;Q716),1,0)</f>
        <v>1</v>
      </c>
      <c r="W716" s="7" t="n">
        <f aca="false">IF(AND(T716=1,P716&lt;&gt;"",P716&lt;=Q716),1,0)</f>
        <v>0</v>
      </c>
    </row>
    <row r="717" customFormat="false" ht="15" hidden="false" customHeight="false" outlineLevel="0" collapsed="false">
      <c r="A717" s="7" t="s">
        <v>934</v>
      </c>
      <c r="B717" s="7" t="s">
        <v>46</v>
      </c>
      <c r="C717" s="7" t="s">
        <v>158</v>
      </c>
      <c r="D717" s="7" t="s">
        <v>65</v>
      </c>
      <c r="E717" s="7" t="s">
        <v>66</v>
      </c>
      <c r="F717" s="7" t="s">
        <v>56</v>
      </c>
      <c r="G717" s="7" t="s">
        <v>19</v>
      </c>
      <c r="H717" s="9" t="n">
        <v>45948</v>
      </c>
      <c r="I717" s="9"/>
      <c r="J717" s="7" t="n">
        <v>9.8</v>
      </c>
      <c r="K717" s="7" t="s">
        <v>771</v>
      </c>
      <c r="L717" s="7" t="s">
        <v>21</v>
      </c>
      <c r="M717" s="7" t="s">
        <v>935</v>
      </c>
      <c r="N717" s="7" t="s">
        <v>58</v>
      </c>
      <c r="O717" s="10" t="n">
        <f aca="false">'Exec Summary'!$E$2-H717</f>
        <v>286</v>
      </c>
      <c r="P717" s="10" t="str">
        <f aca="false">IF(I717="","",I717-H717)</f>
        <v/>
      </c>
      <c r="Q717" s="10" t="n">
        <f aca="false">VLOOKUP(G717,$AA$2:$AB$5,2,FALSE())</f>
        <v>15</v>
      </c>
      <c r="R717" s="7" t="n">
        <f aca="false">IF(OR(F717="Open",F717="Reopened"),1,0)</f>
        <v>1</v>
      </c>
      <c r="S717" s="7" t="n">
        <f aca="false">IF(AND(H717&gt;='Exec Summary'!$E$1,H717&lt;='Exec Summary'!$E$2),1,0)</f>
        <v>0</v>
      </c>
      <c r="T717" s="7" t="n">
        <f aca="false">IF(AND(F717="Closed",I717&lt;&gt;"",I717&gt;='Exec Summary'!$E$1,I717&lt;='Exec Summary'!$E$2),1,0)</f>
        <v>0</v>
      </c>
      <c r="U717" s="7" t="n">
        <f aca="false">IF(F717="Reopened",1,0)</f>
        <v>0</v>
      </c>
      <c r="V717" s="7" t="n">
        <f aca="false">IF(AND(R717=1,O717&gt;Q717),1,0)</f>
        <v>1</v>
      </c>
      <c r="W717" s="7" t="n">
        <f aca="false">IF(AND(T717=1,P717&lt;&gt;"",P717&lt;=Q717),1,0)</f>
        <v>0</v>
      </c>
    </row>
    <row r="718" customFormat="false" ht="15" hidden="false" customHeight="false" outlineLevel="0" collapsed="false">
      <c r="A718" s="7" t="s">
        <v>934</v>
      </c>
      <c r="B718" s="7" t="s">
        <v>46</v>
      </c>
      <c r="C718" s="7" t="s">
        <v>158</v>
      </c>
      <c r="D718" s="7" t="s">
        <v>206</v>
      </c>
      <c r="E718" s="7" t="s">
        <v>207</v>
      </c>
      <c r="F718" s="7" t="s">
        <v>56</v>
      </c>
      <c r="G718" s="7" t="s">
        <v>20</v>
      </c>
      <c r="H718" s="9" t="n">
        <v>46161</v>
      </c>
      <c r="I718" s="9"/>
      <c r="J718" s="7" t="n">
        <v>8.8</v>
      </c>
      <c r="K718" s="7" t="s">
        <v>771</v>
      </c>
      <c r="L718" s="7" t="s">
        <v>21</v>
      </c>
      <c r="M718" s="7" t="s">
        <v>936</v>
      </c>
      <c r="N718" s="7" t="s">
        <v>53</v>
      </c>
      <c r="O718" s="10" t="n">
        <f aca="false">'Exec Summary'!$E$2-H718</f>
        <v>73</v>
      </c>
      <c r="P718" s="10" t="str">
        <f aca="false">IF(I718="","",I718-H718)</f>
        <v/>
      </c>
      <c r="Q718" s="10" t="n">
        <f aca="false">VLOOKUP(G718,$AA$2:$AB$5,2,FALSE())</f>
        <v>30</v>
      </c>
      <c r="R718" s="7" t="n">
        <f aca="false">IF(OR(F718="Open",F718="Reopened"),1,0)</f>
        <v>1</v>
      </c>
      <c r="S718" s="7" t="n">
        <f aca="false">IF(AND(H718&gt;='Exec Summary'!$E$1,H718&lt;='Exec Summary'!$E$2),1,0)</f>
        <v>0</v>
      </c>
      <c r="T718" s="7" t="n">
        <f aca="false">IF(AND(F718="Closed",I718&lt;&gt;"",I718&gt;='Exec Summary'!$E$1,I718&lt;='Exec Summary'!$E$2),1,0)</f>
        <v>0</v>
      </c>
      <c r="U718" s="7" t="n">
        <f aca="false">IF(F718="Reopened",1,0)</f>
        <v>0</v>
      </c>
      <c r="V718" s="7" t="n">
        <f aca="false">IF(AND(R718=1,O718&gt;Q718),1,0)</f>
        <v>1</v>
      </c>
      <c r="W718" s="7" t="n">
        <f aca="false">IF(AND(T718=1,P718&lt;&gt;"",P718&lt;=Q718),1,0)</f>
        <v>0</v>
      </c>
    </row>
    <row r="719" customFormat="false" ht="15" hidden="false" customHeight="false" outlineLevel="0" collapsed="false">
      <c r="A719" s="7" t="s">
        <v>934</v>
      </c>
      <c r="B719" s="7" t="s">
        <v>46</v>
      </c>
      <c r="C719" s="7" t="s">
        <v>158</v>
      </c>
      <c r="D719" s="7" t="s">
        <v>59</v>
      </c>
      <c r="E719" s="7" t="s">
        <v>60</v>
      </c>
      <c r="F719" s="7" t="s">
        <v>123</v>
      </c>
      <c r="G719" s="7" t="s">
        <v>19</v>
      </c>
      <c r="H719" s="9" t="n">
        <v>45935</v>
      </c>
      <c r="I719" s="9" t="n">
        <v>45942</v>
      </c>
      <c r="J719" s="7" t="n">
        <v>7.8</v>
      </c>
      <c r="K719" s="7" t="s">
        <v>771</v>
      </c>
      <c r="L719" s="7" t="s">
        <v>21</v>
      </c>
      <c r="M719" s="7" t="s">
        <v>937</v>
      </c>
      <c r="N719" s="7" t="s">
        <v>58</v>
      </c>
      <c r="O719" s="10" t="n">
        <f aca="false">'Exec Summary'!$E$2-H719</f>
        <v>299</v>
      </c>
      <c r="P719" s="10" t="n">
        <f aca="false">IF(I719="","",I719-H719)</f>
        <v>7</v>
      </c>
      <c r="Q719" s="10" t="n">
        <f aca="false">VLOOKUP(G719,$AA$2:$AB$5,2,FALSE())</f>
        <v>15</v>
      </c>
      <c r="R719" s="7" t="n">
        <f aca="false">IF(OR(F719="Open",F719="Reopened"),1,0)</f>
        <v>1</v>
      </c>
      <c r="S719" s="7" t="n">
        <f aca="false">IF(AND(H719&gt;='Exec Summary'!$E$1,H719&lt;='Exec Summary'!$E$2),1,0)</f>
        <v>0</v>
      </c>
      <c r="T719" s="7" t="n">
        <f aca="false">IF(AND(F719="Closed",I719&lt;&gt;"",I719&gt;='Exec Summary'!$E$1,I719&lt;='Exec Summary'!$E$2),1,0)</f>
        <v>0</v>
      </c>
      <c r="U719" s="7" t="n">
        <f aca="false">IF(F719="Reopened",1,0)</f>
        <v>1</v>
      </c>
      <c r="V719" s="7" t="n">
        <f aca="false">IF(AND(R719=1,O719&gt;Q719),1,0)</f>
        <v>1</v>
      </c>
      <c r="W719" s="7" t="n">
        <f aca="false">IF(AND(T719=1,P719&lt;&gt;"",P719&lt;=Q719),1,0)</f>
        <v>0</v>
      </c>
    </row>
    <row r="720" customFormat="false" ht="15" hidden="false" customHeight="false" outlineLevel="0" collapsed="false">
      <c r="A720" s="7" t="s">
        <v>934</v>
      </c>
      <c r="B720" s="7" t="s">
        <v>46</v>
      </c>
      <c r="C720" s="7" t="s">
        <v>158</v>
      </c>
      <c r="D720" s="7" t="s">
        <v>91</v>
      </c>
      <c r="E720" s="7" t="s">
        <v>92</v>
      </c>
      <c r="F720" s="7" t="s">
        <v>50</v>
      </c>
      <c r="G720" s="7" t="s">
        <v>20</v>
      </c>
      <c r="H720" s="9" t="n">
        <v>46061</v>
      </c>
      <c r="I720" s="9" t="n">
        <v>46075</v>
      </c>
      <c r="J720" s="7" t="n">
        <v>8.1</v>
      </c>
      <c r="K720" s="7" t="s">
        <v>771</v>
      </c>
      <c r="L720" s="7" t="s">
        <v>21</v>
      </c>
      <c r="M720" s="7" t="s">
        <v>938</v>
      </c>
      <c r="N720" s="7" t="s">
        <v>53</v>
      </c>
      <c r="O720" s="10" t="n">
        <f aca="false">'Exec Summary'!$E$2-H720</f>
        <v>173</v>
      </c>
      <c r="P720" s="10" t="n">
        <f aca="false">IF(I720="","",I720-H720)</f>
        <v>14</v>
      </c>
      <c r="Q720" s="10" t="n">
        <f aca="false">VLOOKUP(G720,$AA$2:$AB$5,2,FALSE())</f>
        <v>30</v>
      </c>
      <c r="R720" s="7" t="n">
        <f aca="false">IF(OR(F720="Open",F720="Reopened"),1,0)</f>
        <v>0</v>
      </c>
      <c r="S720" s="7" t="n">
        <f aca="false">IF(AND(H720&gt;='Exec Summary'!$E$1,H720&lt;='Exec Summary'!$E$2),1,0)</f>
        <v>0</v>
      </c>
      <c r="T720" s="7" t="n">
        <f aca="false">IF(AND(F720="Closed",I720&lt;&gt;"",I720&gt;='Exec Summary'!$E$1,I720&lt;='Exec Summary'!$E$2),1,0)</f>
        <v>0</v>
      </c>
      <c r="U720" s="7" t="n">
        <f aca="false">IF(F720="Reopened",1,0)</f>
        <v>0</v>
      </c>
      <c r="V720" s="7" t="n">
        <f aca="false">IF(AND(R720=1,O720&gt;Q720),1,0)</f>
        <v>0</v>
      </c>
      <c r="W720" s="7" t="n">
        <f aca="false">IF(AND(T720=1,P720&lt;&gt;"",P720&lt;=Q720),1,0)</f>
        <v>0</v>
      </c>
    </row>
    <row r="721" customFormat="false" ht="15" hidden="false" customHeight="false" outlineLevel="0" collapsed="false">
      <c r="A721" s="7" t="s">
        <v>934</v>
      </c>
      <c r="B721" s="7" t="s">
        <v>46</v>
      </c>
      <c r="C721" s="7" t="s">
        <v>158</v>
      </c>
      <c r="D721" s="7" t="s">
        <v>210</v>
      </c>
      <c r="E721" s="7" t="s">
        <v>211</v>
      </c>
      <c r="F721" s="7" t="s">
        <v>56</v>
      </c>
      <c r="G721" s="7" t="s">
        <v>19</v>
      </c>
      <c r="H721" s="9" t="n">
        <v>46144</v>
      </c>
      <c r="I721" s="9"/>
      <c r="J721" s="7" t="n">
        <v>9.8</v>
      </c>
      <c r="K721" s="7" t="s">
        <v>771</v>
      </c>
      <c r="L721" s="7" t="s">
        <v>21</v>
      </c>
      <c r="M721" s="7" t="s">
        <v>939</v>
      </c>
      <c r="N721" s="7" t="s">
        <v>58</v>
      </c>
      <c r="O721" s="10" t="n">
        <f aca="false">'Exec Summary'!$E$2-H721</f>
        <v>90</v>
      </c>
      <c r="P721" s="10" t="str">
        <f aca="false">IF(I721="","",I721-H721)</f>
        <v/>
      </c>
      <c r="Q721" s="10" t="n">
        <f aca="false">VLOOKUP(G721,$AA$2:$AB$5,2,FALSE())</f>
        <v>15</v>
      </c>
      <c r="R721" s="7" t="n">
        <f aca="false">IF(OR(F721="Open",F721="Reopened"),1,0)</f>
        <v>1</v>
      </c>
      <c r="S721" s="7" t="n">
        <f aca="false">IF(AND(H721&gt;='Exec Summary'!$E$1,H721&lt;='Exec Summary'!$E$2),1,0)</f>
        <v>0</v>
      </c>
      <c r="T721" s="7" t="n">
        <f aca="false">IF(AND(F721="Closed",I721&lt;&gt;"",I721&gt;='Exec Summary'!$E$1,I721&lt;='Exec Summary'!$E$2),1,0)</f>
        <v>0</v>
      </c>
      <c r="U721" s="7" t="n">
        <f aca="false">IF(F721="Reopened",1,0)</f>
        <v>0</v>
      </c>
      <c r="V721" s="7" t="n">
        <f aca="false">IF(AND(R721=1,O721&gt;Q721),1,0)</f>
        <v>1</v>
      </c>
      <c r="W721" s="7" t="n">
        <f aca="false">IF(AND(T721=1,P721&lt;&gt;"",P721&lt;=Q721),1,0)</f>
        <v>0</v>
      </c>
    </row>
    <row r="722" customFormat="false" ht="15" hidden="false" customHeight="false" outlineLevel="0" collapsed="false">
      <c r="A722" s="7" t="s">
        <v>934</v>
      </c>
      <c r="B722" s="7" t="s">
        <v>46</v>
      </c>
      <c r="C722" s="7" t="s">
        <v>158</v>
      </c>
      <c r="D722" s="7" t="s">
        <v>163</v>
      </c>
      <c r="E722" s="7" t="s">
        <v>164</v>
      </c>
      <c r="F722" s="7" t="s">
        <v>50</v>
      </c>
      <c r="G722" s="7" t="s">
        <v>19</v>
      </c>
      <c r="H722" s="9" t="n">
        <v>46165</v>
      </c>
      <c r="I722" s="9" t="n">
        <v>46175</v>
      </c>
      <c r="J722" s="7" t="n">
        <v>9.1</v>
      </c>
      <c r="K722" s="7" t="s">
        <v>771</v>
      </c>
      <c r="L722" s="7" t="s">
        <v>21</v>
      </c>
      <c r="M722" s="7" t="s">
        <v>940</v>
      </c>
      <c r="N722" s="7" t="s">
        <v>58</v>
      </c>
      <c r="O722" s="10" t="n">
        <f aca="false">'Exec Summary'!$E$2-H722</f>
        <v>69</v>
      </c>
      <c r="P722" s="10" t="n">
        <f aca="false">IF(I722="","",I722-H722)</f>
        <v>10</v>
      </c>
      <c r="Q722" s="10" t="n">
        <f aca="false">VLOOKUP(G722,$AA$2:$AB$5,2,FALSE())</f>
        <v>15</v>
      </c>
      <c r="R722" s="7" t="n">
        <f aca="false">IF(OR(F722="Open",F722="Reopened"),1,0)</f>
        <v>0</v>
      </c>
      <c r="S722" s="7" t="n">
        <f aca="false">IF(AND(H722&gt;='Exec Summary'!$E$1,H722&lt;='Exec Summary'!$E$2),1,0)</f>
        <v>0</v>
      </c>
      <c r="T722" s="7" t="n">
        <f aca="false">IF(AND(F722="Closed",I722&lt;&gt;"",I722&gt;='Exec Summary'!$E$1,I722&lt;='Exec Summary'!$E$2),1,0)</f>
        <v>0</v>
      </c>
      <c r="U722" s="7" t="n">
        <f aca="false">IF(F722="Reopened",1,0)</f>
        <v>0</v>
      </c>
      <c r="V722" s="7" t="n">
        <f aca="false">IF(AND(R722=1,O722&gt;Q722),1,0)</f>
        <v>0</v>
      </c>
      <c r="W722" s="7" t="n">
        <f aca="false">IF(AND(T722=1,P722&lt;&gt;"",P722&lt;=Q722),1,0)</f>
        <v>0</v>
      </c>
    </row>
    <row r="723" customFormat="false" ht="15" hidden="false" customHeight="false" outlineLevel="0" collapsed="false">
      <c r="A723" s="7" t="s">
        <v>934</v>
      </c>
      <c r="B723" s="7" t="s">
        <v>46</v>
      </c>
      <c r="C723" s="7" t="s">
        <v>158</v>
      </c>
      <c r="D723" s="7" t="s">
        <v>112</v>
      </c>
      <c r="E723" s="7" t="s">
        <v>113</v>
      </c>
      <c r="F723" s="7" t="s">
        <v>50</v>
      </c>
      <c r="G723" s="7" t="s">
        <v>20</v>
      </c>
      <c r="H723" s="9" t="n">
        <v>46078</v>
      </c>
      <c r="I723" s="9" t="n">
        <v>46090</v>
      </c>
      <c r="J723" s="7" t="n">
        <v>7.8</v>
      </c>
      <c r="K723" s="7" t="s">
        <v>771</v>
      </c>
      <c r="L723" s="7" t="s">
        <v>21</v>
      </c>
      <c r="M723" s="7" t="s">
        <v>941</v>
      </c>
      <c r="N723" s="7" t="s">
        <v>53</v>
      </c>
      <c r="O723" s="10" t="n">
        <f aca="false">'Exec Summary'!$E$2-H723</f>
        <v>156</v>
      </c>
      <c r="P723" s="10" t="n">
        <f aca="false">IF(I723="","",I723-H723)</f>
        <v>12</v>
      </c>
      <c r="Q723" s="10" t="n">
        <f aca="false">VLOOKUP(G723,$AA$2:$AB$5,2,FALSE())</f>
        <v>30</v>
      </c>
      <c r="R723" s="7" t="n">
        <f aca="false">IF(OR(F723="Open",F723="Reopened"),1,0)</f>
        <v>0</v>
      </c>
      <c r="S723" s="7" t="n">
        <f aca="false">IF(AND(H723&gt;='Exec Summary'!$E$1,H723&lt;='Exec Summary'!$E$2),1,0)</f>
        <v>0</v>
      </c>
      <c r="T723" s="7" t="n">
        <f aca="false">IF(AND(F723="Closed",I723&lt;&gt;"",I723&gt;='Exec Summary'!$E$1,I723&lt;='Exec Summary'!$E$2),1,0)</f>
        <v>0</v>
      </c>
      <c r="U723" s="7" t="n">
        <f aca="false">IF(F723="Reopened",1,0)</f>
        <v>0</v>
      </c>
      <c r="V723" s="7" t="n">
        <f aca="false">IF(AND(R723=1,O723&gt;Q723),1,0)</f>
        <v>0</v>
      </c>
      <c r="W723" s="7" t="n">
        <f aca="false">IF(AND(T723=1,P723&lt;&gt;"",P723&lt;=Q723),1,0)</f>
        <v>0</v>
      </c>
    </row>
    <row r="724" customFormat="false" ht="15" hidden="false" customHeight="false" outlineLevel="0" collapsed="false">
      <c r="A724" s="7" t="s">
        <v>942</v>
      </c>
      <c r="B724" s="7" t="s">
        <v>46</v>
      </c>
      <c r="C724" s="7" t="s">
        <v>177</v>
      </c>
      <c r="D724" s="7" t="s">
        <v>104</v>
      </c>
      <c r="E724" s="7" t="s">
        <v>105</v>
      </c>
      <c r="F724" s="7" t="s">
        <v>123</v>
      </c>
      <c r="G724" s="7" t="s">
        <v>19</v>
      </c>
      <c r="H724" s="9" t="n">
        <v>45959</v>
      </c>
      <c r="I724" s="9" t="n">
        <v>45965</v>
      </c>
      <c r="J724" s="7" t="n">
        <v>9.8</v>
      </c>
      <c r="K724" s="7" t="s">
        <v>771</v>
      </c>
      <c r="L724" s="7" t="s">
        <v>20</v>
      </c>
      <c r="M724" s="7" t="s">
        <v>943</v>
      </c>
      <c r="N724" s="7" t="s">
        <v>58</v>
      </c>
      <c r="O724" s="10" t="n">
        <f aca="false">'Exec Summary'!$E$2-H724</f>
        <v>275</v>
      </c>
      <c r="P724" s="10" t="n">
        <f aca="false">IF(I724="","",I724-H724)</f>
        <v>6</v>
      </c>
      <c r="Q724" s="10" t="n">
        <f aca="false">VLOOKUP(G724,$AA$2:$AB$5,2,FALSE())</f>
        <v>15</v>
      </c>
      <c r="R724" s="7" t="n">
        <f aca="false">IF(OR(F724="Open",F724="Reopened"),1,0)</f>
        <v>1</v>
      </c>
      <c r="S724" s="7" t="n">
        <f aca="false">IF(AND(H724&gt;='Exec Summary'!$E$1,H724&lt;='Exec Summary'!$E$2),1,0)</f>
        <v>0</v>
      </c>
      <c r="T724" s="7" t="n">
        <f aca="false">IF(AND(F724="Closed",I724&lt;&gt;"",I724&gt;='Exec Summary'!$E$1,I724&lt;='Exec Summary'!$E$2),1,0)</f>
        <v>0</v>
      </c>
      <c r="U724" s="7" t="n">
        <f aca="false">IF(F724="Reopened",1,0)</f>
        <v>1</v>
      </c>
      <c r="V724" s="7" t="n">
        <f aca="false">IF(AND(R724=1,O724&gt;Q724),1,0)</f>
        <v>1</v>
      </c>
      <c r="W724" s="7" t="n">
        <f aca="false">IF(AND(T724=1,P724&lt;&gt;"",P724&lt;=Q724),1,0)</f>
        <v>0</v>
      </c>
    </row>
    <row r="725" customFormat="false" ht="15" hidden="false" customHeight="false" outlineLevel="0" collapsed="false">
      <c r="A725" s="7" t="s">
        <v>942</v>
      </c>
      <c r="B725" s="7" t="s">
        <v>46</v>
      </c>
      <c r="C725" s="7" t="s">
        <v>177</v>
      </c>
      <c r="D725" s="7" t="s">
        <v>65</v>
      </c>
      <c r="E725" s="7" t="s">
        <v>66</v>
      </c>
      <c r="F725" s="7" t="s">
        <v>56</v>
      </c>
      <c r="G725" s="7" t="s">
        <v>19</v>
      </c>
      <c r="H725" s="9" t="n">
        <v>46021</v>
      </c>
      <c r="I725" s="9"/>
      <c r="J725" s="7" t="n">
        <v>9.8</v>
      </c>
      <c r="K725" s="7" t="s">
        <v>771</v>
      </c>
      <c r="L725" s="7" t="s">
        <v>20</v>
      </c>
      <c r="M725" s="7" t="s">
        <v>944</v>
      </c>
      <c r="N725" s="7" t="s">
        <v>58</v>
      </c>
      <c r="O725" s="10" t="n">
        <f aca="false">'Exec Summary'!$E$2-H725</f>
        <v>213</v>
      </c>
      <c r="P725" s="10" t="str">
        <f aca="false">IF(I725="","",I725-H725)</f>
        <v/>
      </c>
      <c r="Q725" s="10" t="n">
        <f aca="false">VLOOKUP(G725,$AA$2:$AB$5,2,FALSE())</f>
        <v>15</v>
      </c>
      <c r="R725" s="7" t="n">
        <f aca="false">IF(OR(F725="Open",F725="Reopened"),1,0)</f>
        <v>1</v>
      </c>
      <c r="S725" s="7" t="n">
        <f aca="false">IF(AND(H725&gt;='Exec Summary'!$E$1,H725&lt;='Exec Summary'!$E$2),1,0)</f>
        <v>0</v>
      </c>
      <c r="T725" s="7" t="n">
        <f aca="false">IF(AND(F725="Closed",I725&lt;&gt;"",I725&gt;='Exec Summary'!$E$1,I725&lt;='Exec Summary'!$E$2),1,0)</f>
        <v>0</v>
      </c>
      <c r="U725" s="7" t="n">
        <f aca="false">IF(F725="Reopened",1,0)</f>
        <v>0</v>
      </c>
      <c r="V725" s="7" t="n">
        <f aca="false">IF(AND(R725=1,O725&gt;Q725),1,0)</f>
        <v>1</v>
      </c>
      <c r="W725" s="7" t="n">
        <f aca="false">IF(AND(T725=1,P725&lt;&gt;"",P725&lt;=Q725),1,0)</f>
        <v>0</v>
      </c>
    </row>
    <row r="726" customFormat="false" ht="15" hidden="false" customHeight="false" outlineLevel="0" collapsed="false">
      <c r="A726" s="7" t="s">
        <v>942</v>
      </c>
      <c r="B726" s="7" t="s">
        <v>46</v>
      </c>
      <c r="C726" s="7" t="s">
        <v>177</v>
      </c>
      <c r="D726" s="7" t="s">
        <v>74</v>
      </c>
      <c r="E726" s="7" t="s">
        <v>75</v>
      </c>
      <c r="F726" s="7" t="s">
        <v>56</v>
      </c>
      <c r="G726" s="7" t="s">
        <v>21</v>
      </c>
      <c r="H726" s="9" t="n">
        <v>45941</v>
      </c>
      <c r="I726" s="9"/>
      <c r="J726" s="7" t="n">
        <v>6.5</v>
      </c>
      <c r="K726" s="7" t="s">
        <v>771</v>
      </c>
      <c r="L726" s="7" t="s">
        <v>20</v>
      </c>
      <c r="M726" s="7" t="s">
        <v>945</v>
      </c>
      <c r="N726" s="7" t="s">
        <v>77</v>
      </c>
      <c r="O726" s="10" t="n">
        <f aca="false">'Exec Summary'!$E$2-H726</f>
        <v>293</v>
      </c>
      <c r="P726" s="10" t="str">
        <f aca="false">IF(I726="","",I726-H726)</f>
        <v/>
      </c>
      <c r="Q726" s="10" t="n">
        <f aca="false">VLOOKUP(G726,$AA$2:$AB$5,2,FALSE())</f>
        <v>90</v>
      </c>
      <c r="R726" s="7" t="n">
        <f aca="false">IF(OR(F726="Open",F726="Reopened"),1,0)</f>
        <v>1</v>
      </c>
      <c r="S726" s="7" t="n">
        <f aca="false">IF(AND(H726&gt;='Exec Summary'!$E$1,H726&lt;='Exec Summary'!$E$2),1,0)</f>
        <v>0</v>
      </c>
      <c r="T726" s="7" t="n">
        <f aca="false">IF(AND(F726="Closed",I726&lt;&gt;"",I726&gt;='Exec Summary'!$E$1,I726&lt;='Exec Summary'!$E$2),1,0)</f>
        <v>0</v>
      </c>
      <c r="U726" s="7" t="n">
        <f aca="false">IF(F726="Reopened",1,0)</f>
        <v>0</v>
      </c>
      <c r="V726" s="7" t="n">
        <f aca="false">IF(AND(R726=1,O726&gt;Q726),1,0)</f>
        <v>1</v>
      </c>
      <c r="W726" s="7" t="n">
        <f aca="false">IF(AND(T726=1,P726&lt;&gt;"",P726&lt;=Q726),1,0)</f>
        <v>0</v>
      </c>
    </row>
    <row r="727" customFormat="false" ht="15" hidden="false" customHeight="false" outlineLevel="0" collapsed="false">
      <c r="A727" s="7" t="s">
        <v>942</v>
      </c>
      <c r="B727" s="7" t="s">
        <v>46</v>
      </c>
      <c r="C727" s="7" t="s">
        <v>177</v>
      </c>
      <c r="D727" s="7" t="s">
        <v>54</v>
      </c>
      <c r="E727" s="7" t="s">
        <v>55</v>
      </c>
      <c r="F727" s="7" t="s">
        <v>56</v>
      </c>
      <c r="G727" s="7" t="s">
        <v>19</v>
      </c>
      <c r="H727" s="9" t="n">
        <v>46166</v>
      </c>
      <c r="I727" s="9"/>
      <c r="J727" s="7" t="n">
        <v>9.8</v>
      </c>
      <c r="K727" s="7" t="s">
        <v>771</v>
      </c>
      <c r="L727" s="7" t="s">
        <v>20</v>
      </c>
      <c r="M727" s="7" t="s">
        <v>946</v>
      </c>
      <c r="N727" s="7" t="s">
        <v>58</v>
      </c>
      <c r="O727" s="10" t="n">
        <f aca="false">'Exec Summary'!$E$2-H727</f>
        <v>68</v>
      </c>
      <c r="P727" s="10" t="str">
        <f aca="false">IF(I727="","",I727-H727)</f>
        <v/>
      </c>
      <c r="Q727" s="10" t="n">
        <f aca="false">VLOOKUP(G727,$AA$2:$AB$5,2,FALSE())</f>
        <v>15</v>
      </c>
      <c r="R727" s="7" t="n">
        <f aca="false">IF(OR(F727="Open",F727="Reopened"),1,0)</f>
        <v>1</v>
      </c>
      <c r="S727" s="7" t="n">
        <f aca="false">IF(AND(H727&gt;='Exec Summary'!$E$1,H727&lt;='Exec Summary'!$E$2),1,0)</f>
        <v>0</v>
      </c>
      <c r="T727" s="7" t="n">
        <f aca="false">IF(AND(F727="Closed",I727&lt;&gt;"",I727&gt;='Exec Summary'!$E$1,I727&lt;='Exec Summary'!$E$2),1,0)</f>
        <v>0</v>
      </c>
      <c r="U727" s="7" t="n">
        <f aca="false">IF(F727="Reopened",1,0)</f>
        <v>0</v>
      </c>
      <c r="V727" s="7" t="n">
        <f aca="false">IF(AND(R727=1,O727&gt;Q727),1,0)</f>
        <v>1</v>
      </c>
      <c r="W727" s="7" t="n">
        <f aca="false">IF(AND(T727=1,P727&lt;&gt;"",P727&lt;=Q727),1,0)</f>
        <v>0</v>
      </c>
    </row>
    <row r="728" customFormat="false" ht="15" hidden="false" customHeight="false" outlineLevel="0" collapsed="false">
      <c r="A728" s="7" t="s">
        <v>942</v>
      </c>
      <c r="B728" s="7" t="s">
        <v>46</v>
      </c>
      <c r="C728" s="7" t="s">
        <v>177</v>
      </c>
      <c r="D728" s="7" t="s">
        <v>84</v>
      </c>
      <c r="E728" s="7" t="s">
        <v>85</v>
      </c>
      <c r="F728" s="7" t="s">
        <v>50</v>
      </c>
      <c r="G728" s="7" t="s">
        <v>20</v>
      </c>
      <c r="H728" s="9" t="n">
        <v>45994</v>
      </c>
      <c r="I728" s="9" t="n">
        <v>46021</v>
      </c>
      <c r="J728" s="7" t="n">
        <v>7.5</v>
      </c>
      <c r="K728" s="7" t="s">
        <v>771</v>
      </c>
      <c r="L728" s="7" t="s">
        <v>20</v>
      </c>
      <c r="M728" s="7" t="s">
        <v>947</v>
      </c>
      <c r="N728" s="7" t="s">
        <v>53</v>
      </c>
      <c r="O728" s="10" t="n">
        <f aca="false">'Exec Summary'!$E$2-H728</f>
        <v>240</v>
      </c>
      <c r="P728" s="10" t="n">
        <f aca="false">IF(I728="","",I728-H728)</f>
        <v>27</v>
      </c>
      <c r="Q728" s="10" t="n">
        <f aca="false">VLOOKUP(G728,$AA$2:$AB$5,2,FALSE())</f>
        <v>30</v>
      </c>
      <c r="R728" s="7" t="n">
        <f aca="false">IF(OR(F728="Open",F728="Reopened"),1,0)</f>
        <v>0</v>
      </c>
      <c r="S728" s="7" t="n">
        <f aca="false">IF(AND(H728&gt;='Exec Summary'!$E$1,H728&lt;='Exec Summary'!$E$2),1,0)</f>
        <v>0</v>
      </c>
      <c r="T728" s="7" t="n">
        <f aca="false">IF(AND(F728="Closed",I728&lt;&gt;"",I728&gt;='Exec Summary'!$E$1,I728&lt;='Exec Summary'!$E$2),1,0)</f>
        <v>0</v>
      </c>
      <c r="U728" s="7" t="n">
        <f aca="false">IF(F728="Reopened",1,0)</f>
        <v>0</v>
      </c>
      <c r="V728" s="7" t="n">
        <f aca="false">IF(AND(R728=1,O728&gt;Q728),1,0)</f>
        <v>0</v>
      </c>
      <c r="W728" s="7" t="n">
        <f aca="false">IF(AND(T728=1,P728&lt;&gt;"",P728&lt;=Q728),1,0)</f>
        <v>0</v>
      </c>
    </row>
    <row r="729" customFormat="false" ht="15" hidden="false" customHeight="false" outlineLevel="0" collapsed="false">
      <c r="A729" s="7" t="s">
        <v>942</v>
      </c>
      <c r="B729" s="7" t="s">
        <v>46</v>
      </c>
      <c r="C729" s="7" t="s">
        <v>177</v>
      </c>
      <c r="D729" s="7" t="s">
        <v>112</v>
      </c>
      <c r="E729" s="7" t="s">
        <v>113</v>
      </c>
      <c r="F729" s="7" t="s">
        <v>56</v>
      </c>
      <c r="G729" s="7" t="s">
        <v>20</v>
      </c>
      <c r="H729" s="9" t="n">
        <v>46081</v>
      </c>
      <c r="I729" s="9"/>
      <c r="J729" s="7" t="n">
        <v>7.8</v>
      </c>
      <c r="K729" s="7" t="s">
        <v>771</v>
      </c>
      <c r="L729" s="7" t="s">
        <v>20</v>
      </c>
      <c r="M729" s="7" t="s">
        <v>948</v>
      </c>
      <c r="N729" s="7" t="s">
        <v>53</v>
      </c>
      <c r="O729" s="10" t="n">
        <f aca="false">'Exec Summary'!$E$2-H729</f>
        <v>153</v>
      </c>
      <c r="P729" s="10" t="str">
        <f aca="false">IF(I729="","",I729-H729)</f>
        <v/>
      </c>
      <c r="Q729" s="10" t="n">
        <f aca="false">VLOOKUP(G729,$AA$2:$AB$5,2,FALSE())</f>
        <v>30</v>
      </c>
      <c r="R729" s="7" t="n">
        <f aca="false">IF(OR(F729="Open",F729="Reopened"),1,0)</f>
        <v>1</v>
      </c>
      <c r="S729" s="7" t="n">
        <f aca="false">IF(AND(H729&gt;='Exec Summary'!$E$1,H729&lt;='Exec Summary'!$E$2),1,0)</f>
        <v>0</v>
      </c>
      <c r="T729" s="7" t="n">
        <f aca="false">IF(AND(F729="Closed",I729&lt;&gt;"",I729&gt;='Exec Summary'!$E$1,I729&lt;='Exec Summary'!$E$2),1,0)</f>
        <v>0</v>
      </c>
      <c r="U729" s="7" t="n">
        <f aca="false">IF(F729="Reopened",1,0)</f>
        <v>0</v>
      </c>
      <c r="V729" s="7" t="n">
        <f aca="false">IF(AND(R729=1,O729&gt;Q729),1,0)</f>
        <v>1</v>
      </c>
      <c r="W729" s="7" t="n">
        <f aca="false">IF(AND(T729=1,P729&lt;&gt;"",P729&lt;=Q729),1,0)</f>
        <v>0</v>
      </c>
    </row>
    <row r="730" customFormat="false" ht="15" hidden="false" customHeight="false" outlineLevel="0" collapsed="false">
      <c r="A730" s="7" t="s">
        <v>942</v>
      </c>
      <c r="B730" s="7" t="s">
        <v>46</v>
      </c>
      <c r="C730" s="7" t="s">
        <v>177</v>
      </c>
      <c r="D730" s="7" t="s">
        <v>98</v>
      </c>
      <c r="E730" s="7" t="s">
        <v>99</v>
      </c>
      <c r="F730" s="7" t="s">
        <v>50</v>
      </c>
      <c r="G730" s="7" t="s">
        <v>19</v>
      </c>
      <c r="H730" s="9" t="n">
        <v>46000</v>
      </c>
      <c r="I730" s="9" t="n">
        <v>46012</v>
      </c>
      <c r="J730" s="7" t="n">
        <v>10</v>
      </c>
      <c r="K730" s="7" t="s">
        <v>771</v>
      </c>
      <c r="L730" s="7" t="s">
        <v>20</v>
      </c>
      <c r="M730" s="7" t="s">
        <v>949</v>
      </c>
      <c r="N730" s="7" t="s">
        <v>58</v>
      </c>
      <c r="O730" s="10" t="n">
        <f aca="false">'Exec Summary'!$E$2-H730</f>
        <v>234</v>
      </c>
      <c r="P730" s="10" t="n">
        <f aca="false">IF(I730="","",I730-H730)</f>
        <v>12</v>
      </c>
      <c r="Q730" s="10" t="n">
        <f aca="false">VLOOKUP(G730,$AA$2:$AB$5,2,FALSE())</f>
        <v>15</v>
      </c>
      <c r="R730" s="7" t="n">
        <f aca="false">IF(OR(F730="Open",F730="Reopened"),1,0)</f>
        <v>0</v>
      </c>
      <c r="S730" s="7" t="n">
        <f aca="false">IF(AND(H730&gt;='Exec Summary'!$E$1,H730&lt;='Exec Summary'!$E$2),1,0)</f>
        <v>0</v>
      </c>
      <c r="T730" s="7" t="n">
        <f aca="false">IF(AND(F730="Closed",I730&lt;&gt;"",I730&gt;='Exec Summary'!$E$1,I730&lt;='Exec Summary'!$E$2),1,0)</f>
        <v>0</v>
      </c>
      <c r="U730" s="7" t="n">
        <f aca="false">IF(F730="Reopened",1,0)</f>
        <v>0</v>
      </c>
      <c r="V730" s="7" t="n">
        <f aca="false">IF(AND(R730=1,O730&gt;Q730),1,0)</f>
        <v>0</v>
      </c>
      <c r="W730" s="7" t="n">
        <f aca="false">IF(AND(T730=1,P730&lt;&gt;"",P730&lt;=Q730),1,0)</f>
        <v>0</v>
      </c>
    </row>
    <row r="731" customFormat="false" ht="15" hidden="false" customHeight="false" outlineLevel="0" collapsed="false">
      <c r="A731" s="7" t="s">
        <v>942</v>
      </c>
      <c r="B731" s="7" t="s">
        <v>46</v>
      </c>
      <c r="C731" s="7" t="s">
        <v>177</v>
      </c>
      <c r="D731" s="7" t="s">
        <v>95</v>
      </c>
      <c r="E731" s="7" t="s">
        <v>96</v>
      </c>
      <c r="F731" s="7" t="s">
        <v>50</v>
      </c>
      <c r="G731" s="7" t="s">
        <v>20</v>
      </c>
      <c r="H731" s="9" t="n">
        <v>46148</v>
      </c>
      <c r="I731" s="9" t="n">
        <v>46179</v>
      </c>
      <c r="J731" s="7" t="n">
        <v>8.8</v>
      </c>
      <c r="K731" s="7" t="s">
        <v>771</v>
      </c>
      <c r="L731" s="7" t="s">
        <v>20</v>
      </c>
      <c r="M731" s="7" t="s">
        <v>950</v>
      </c>
      <c r="N731" s="7" t="s">
        <v>53</v>
      </c>
      <c r="O731" s="10" t="n">
        <f aca="false">'Exec Summary'!$E$2-H731</f>
        <v>86</v>
      </c>
      <c r="P731" s="10" t="n">
        <f aca="false">IF(I731="","",I731-H731)</f>
        <v>31</v>
      </c>
      <c r="Q731" s="10" t="n">
        <f aca="false">VLOOKUP(G731,$AA$2:$AB$5,2,FALSE())</f>
        <v>30</v>
      </c>
      <c r="R731" s="7" t="n">
        <f aca="false">IF(OR(F731="Open",F731="Reopened"),1,0)</f>
        <v>0</v>
      </c>
      <c r="S731" s="7" t="n">
        <f aca="false">IF(AND(H731&gt;='Exec Summary'!$E$1,H731&lt;='Exec Summary'!$E$2),1,0)</f>
        <v>0</v>
      </c>
      <c r="T731" s="7" t="n">
        <f aca="false">IF(AND(F731="Closed",I731&lt;&gt;"",I731&gt;='Exec Summary'!$E$1,I731&lt;='Exec Summary'!$E$2),1,0)</f>
        <v>0</v>
      </c>
      <c r="U731" s="7" t="n">
        <f aca="false">IF(F731="Reopened",1,0)</f>
        <v>0</v>
      </c>
      <c r="V731" s="7" t="n">
        <f aca="false">IF(AND(R731=1,O731&gt;Q731),1,0)</f>
        <v>0</v>
      </c>
      <c r="W731" s="7" t="n">
        <f aca="false">IF(AND(T731=1,P731&lt;&gt;"",P731&lt;=Q731),1,0)</f>
        <v>0</v>
      </c>
    </row>
    <row r="732" customFormat="false" ht="15" hidden="false" customHeight="false" outlineLevel="0" collapsed="false">
      <c r="A732" s="7" t="s">
        <v>942</v>
      </c>
      <c r="B732" s="7" t="s">
        <v>46</v>
      </c>
      <c r="C732" s="7" t="s">
        <v>177</v>
      </c>
      <c r="D732" s="7" t="s">
        <v>48</v>
      </c>
      <c r="E732" s="7" t="s">
        <v>49</v>
      </c>
      <c r="F732" s="7" t="s">
        <v>56</v>
      </c>
      <c r="G732" s="7" t="s">
        <v>20</v>
      </c>
      <c r="H732" s="9" t="n">
        <v>46082</v>
      </c>
      <c r="I732" s="9"/>
      <c r="J732" s="7" t="n">
        <v>7.5</v>
      </c>
      <c r="K732" s="7" t="s">
        <v>771</v>
      </c>
      <c r="L732" s="7" t="s">
        <v>20</v>
      </c>
      <c r="M732" s="7" t="s">
        <v>951</v>
      </c>
      <c r="N732" s="7" t="s">
        <v>53</v>
      </c>
      <c r="O732" s="10" t="n">
        <f aca="false">'Exec Summary'!$E$2-H732</f>
        <v>152</v>
      </c>
      <c r="P732" s="10" t="str">
        <f aca="false">IF(I732="","",I732-H732)</f>
        <v/>
      </c>
      <c r="Q732" s="10" t="n">
        <f aca="false">VLOOKUP(G732,$AA$2:$AB$5,2,FALSE())</f>
        <v>30</v>
      </c>
      <c r="R732" s="7" t="n">
        <f aca="false">IF(OR(F732="Open",F732="Reopened"),1,0)</f>
        <v>1</v>
      </c>
      <c r="S732" s="7" t="n">
        <f aca="false">IF(AND(H732&gt;='Exec Summary'!$E$1,H732&lt;='Exec Summary'!$E$2),1,0)</f>
        <v>0</v>
      </c>
      <c r="T732" s="7" t="n">
        <f aca="false">IF(AND(F732="Closed",I732&lt;&gt;"",I732&gt;='Exec Summary'!$E$1,I732&lt;='Exec Summary'!$E$2),1,0)</f>
        <v>0</v>
      </c>
      <c r="U732" s="7" t="n">
        <f aca="false">IF(F732="Reopened",1,0)</f>
        <v>0</v>
      </c>
      <c r="V732" s="7" t="n">
        <f aca="false">IF(AND(R732=1,O732&gt;Q732),1,0)</f>
        <v>1</v>
      </c>
      <c r="W732" s="7" t="n">
        <f aca="false">IF(AND(T732=1,P732&lt;&gt;"",P732&lt;=Q732),1,0)</f>
        <v>0</v>
      </c>
    </row>
    <row r="733" customFormat="false" ht="15" hidden="false" customHeight="false" outlineLevel="0" collapsed="false">
      <c r="A733" s="7" t="s">
        <v>952</v>
      </c>
      <c r="B733" s="7" t="s">
        <v>46</v>
      </c>
      <c r="C733" s="7" t="s">
        <v>128</v>
      </c>
      <c r="D733" s="7" t="s">
        <v>139</v>
      </c>
      <c r="E733" s="7" t="s">
        <v>140</v>
      </c>
      <c r="F733" s="7" t="s">
        <v>56</v>
      </c>
      <c r="G733" s="7" t="s">
        <v>19</v>
      </c>
      <c r="H733" s="9" t="n">
        <v>46002</v>
      </c>
      <c r="I733" s="9"/>
      <c r="J733" s="7" t="n">
        <v>9.8</v>
      </c>
      <c r="K733" s="7" t="s">
        <v>771</v>
      </c>
      <c r="L733" s="7" t="s">
        <v>19</v>
      </c>
      <c r="M733" s="7" t="s">
        <v>953</v>
      </c>
      <c r="N733" s="7" t="s">
        <v>58</v>
      </c>
      <c r="O733" s="10" t="n">
        <f aca="false">'Exec Summary'!$E$2-H733</f>
        <v>232</v>
      </c>
      <c r="P733" s="10" t="str">
        <f aca="false">IF(I733="","",I733-H733)</f>
        <v/>
      </c>
      <c r="Q733" s="10" t="n">
        <f aca="false">VLOOKUP(G733,$AA$2:$AB$5,2,FALSE())</f>
        <v>15</v>
      </c>
      <c r="R733" s="7" t="n">
        <f aca="false">IF(OR(F733="Open",F733="Reopened"),1,0)</f>
        <v>1</v>
      </c>
      <c r="S733" s="7" t="n">
        <f aca="false">IF(AND(H733&gt;='Exec Summary'!$E$1,H733&lt;='Exec Summary'!$E$2),1,0)</f>
        <v>0</v>
      </c>
      <c r="T733" s="7" t="n">
        <f aca="false">IF(AND(F733="Closed",I733&lt;&gt;"",I733&gt;='Exec Summary'!$E$1,I733&lt;='Exec Summary'!$E$2),1,0)</f>
        <v>0</v>
      </c>
      <c r="U733" s="7" t="n">
        <f aca="false">IF(F733="Reopened",1,0)</f>
        <v>0</v>
      </c>
      <c r="V733" s="7" t="n">
        <f aca="false">IF(AND(R733=1,O733&gt;Q733),1,0)</f>
        <v>1</v>
      </c>
      <c r="W733" s="7" t="n">
        <f aca="false">IF(AND(T733=1,P733&lt;&gt;"",P733&lt;=Q733),1,0)</f>
        <v>0</v>
      </c>
    </row>
    <row r="734" customFormat="false" ht="15" hidden="false" customHeight="false" outlineLevel="0" collapsed="false">
      <c r="A734" s="7" t="s">
        <v>954</v>
      </c>
      <c r="B734" s="7" t="s">
        <v>46</v>
      </c>
      <c r="C734" s="7" t="s">
        <v>177</v>
      </c>
      <c r="D734" s="7" t="s">
        <v>192</v>
      </c>
      <c r="E734" s="7" t="s">
        <v>193</v>
      </c>
      <c r="F734" s="7" t="s">
        <v>56</v>
      </c>
      <c r="G734" s="7" t="s">
        <v>19</v>
      </c>
      <c r="H734" s="9" t="n">
        <v>46104</v>
      </c>
      <c r="I734" s="9"/>
      <c r="J734" s="7" t="n">
        <v>9.8</v>
      </c>
      <c r="K734" s="7" t="s">
        <v>771</v>
      </c>
      <c r="L734" s="7" t="s">
        <v>21</v>
      </c>
      <c r="M734" s="7" t="s">
        <v>955</v>
      </c>
      <c r="N734" s="7" t="s">
        <v>58</v>
      </c>
      <c r="O734" s="10" t="n">
        <f aca="false">'Exec Summary'!$E$2-H734</f>
        <v>130</v>
      </c>
      <c r="P734" s="10" t="str">
        <f aca="false">IF(I734="","",I734-H734)</f>
        <v/>
      </c>
      <c r="Q734" s="10" t="n">
        <f aca="false">VLOOKUP(G734,$AA$2:$AB$5,2,FALSE())</f>
        <v>15</v>
      </c>
      <c r="R734" s="7" t="n">
        <f aca="false">IF(OR(F734="Open",F734="Reopened"),1,0)</f>
        <v>1</v>
      </c>
      <c r="S734" s="7" t="n">
        <f aca="false">IF(AND(H734&gt;='Exec Summary'!$E$1,H734&lt;='Exec Summary'!$E$2),1,0)</f>
        <v>0</v>
      </c>
      <c r="T734" s="7" t="n">
        <f aca="false">IF(AND(F734="Closed",I734&lt;&gt;"",I734&gt;='Exec Summary'!$E$1,I734&lt;='Exec Summary'!$E$2),1,0)</f>
        <v>0</v>
      </c>
      <c r="U734" s="7" t="n">
        <f aca="false">IF(F734="Reopened",1,0)</f>
        <v>0</v>
      </c>
      <c r="V734" s="7" t="n">
        <f aca="false">IF(AND(R734=1,O734&gt;Q734),1,0)</f>
        <v>1</v>
      </c>
      <c r="W734" s="7" t="n">
        <f aca="false">IF(AND(T734=1,P734&lt;&gt;"",P734&lt;=Q734),1,0)</f>
        <v>0</v>
      </c>
    </row>
    <row r="735" customFormat="false" ht="15" hidden="false" customHeight="false" outlineLevel="0" collapsed="false">
      <c r="A735" s="7" t="s">
        <v>956</v>
      </c>
      <c r="B735" s="7" t="s">
        <v>135</v>
      </c>
      <c r="C735" s="7" t="s">
        <v>247</v>
      </c>
      <c r="D735" s="7" t="s">
        <v>145</v>
      </c>
      <c r="E735" s="7" t="s">
        <v>146</v>
      </c>
      <c r="F735" s="7" t="s">
        <v>50</v>
      </c>
      <c r="G735" s="7" t="s">
        <v>19</v>
      </c>
      <c r="H735" s="9" t="n">
        <v>46067</v>
      </c>
      <c r="I735" s="9" t="n">
        <v>46072</v>
      </c>
      <c r="J735" s="7" t="n">
        <v>9.8</v>
      </c>
      <c r="K735" s="7" t="s">
        <v>771</v>
      </c>
      <c r="L735" s="7" t="s">
        <v>19</v>
      </c>
      <c r="M735" s="7" t="s">
        <v>957</v>
      </c>
      <c r="N735" s="7" t="s">
        <v>58</v>
      </c>
      <c r="O735" s="10" t="n">
        <f aca="false">'Exec Summary'!$E$2-H735</f>
        <v>167</v>
      </c>
      <c r="P735" s="10" t="n">
        <f aca="false">IF(I735="","",I735-H735)</f>
        <v>5</v>
      </c>
      <c r="Q735" s="10" t="n">
        <f aca="false">VLOOKUP(G735,$AA$2:$AB$5,2,FALSE())</f>
        <v>15</v>
      </c>
      <c r="R735" s="7" t="n">
        <f aca="false">IF(OR(F735="Open",F735="Reopened"),1,0)</f>
        <v>0</v>
      </c>
      <c r="S735" s="7" t="n">
        <f aca="false">IF(AND(H735&gt;='Exec Summary'!$E$1,H735&lt;='Exec Summary'!$E$2),1,0)</f>
        <v>0</v>
      </c>
      <c r="T735" s="7" t="n">
        <f aca="false">IF(AND(F735="Closed",I735&lt;&gt;"",I735&gt;='Exec Summary'!$E$1,I735&lt;='Exec Summary'!$E$2),1,0)</f>
        <v>0</v>
      </c>
      <c r="U735" s="7" t="n">
        <f aca="false">IF(F735="Reopened",1,0)</f>
        <v>0</v>
      </c>
      <c r="V735" s="7" t="n">
        <f aca="false">IF(AND(R735=1,O735&gt;Q735),1,0)</f>
        <v>0</v>
      </c>
      <c r="W735" s="7" t="n">
        <f aca="false">IF(AND(T735=1,P735&lt;&gt;"",P735&lt;=Q735),1,0)</f>
        <v>0</v>
      </c>
    </row>
    <row r="736" customFormat="false" ht="15" hidden="false" customHeight="false" outlineLevel="0" collapsed="false">
      <c r="A736" s="7" t="s">
        <v>956</v>
      </c>
      <c r="B736" s="7" t="s">
        <v>135</v>
      </c>
      <c r="C736" s="7" t="s">
        <v>247</v>
      </c>
      <c r="D736" s="7" t="s">
        <v>87</v>
      </c>
      <c r="E736" s="7" t="s">
        <v>88</v>
      </c>
      <c r="F736" s="7" t="s">
        <v>56</v>
      </c>
      <c r="G736" s="7" t="s">
        <v>19</v>
      </c>
      <c r="H736" s="9" t="n">
        <v>46096</v>
      </c>
      <c r="I736" s="9"/>
      <c r="J736" s="7" t="n">
        <v>10</v>
      </c>
      <c r="K736" s="7" t="s">
        <v>771</v>
      </c>
      <c r="L736" s="7" t="s">
        <v>19</v>
      </c>
      <c r="M736" s="7" t="s">
        <v>958</v>
      </c>
      <c r="N736" s="7" t="s">
        <v>58</v>
      </c>
      <c r="O736" s="10" t="n">
        <f aca="false">'Exec Summary'!$E$2-H736</f>
        <v>138</v>
      </c>
      <c r="P736" s="10" t="str">
        <f aca="false">IF(I736="","",I736-H736)</f>
        <v/>
      </c>
      <c r="Q736" s="10" t="n">
        <f aca="false">VLOOKUP(G736,$AA$2:$AB$5,2,FALSE())</f>
        <v>15</v>
      </c>
      <c r="R736" s="7" t="n">
        <f aca="false">IF(OR(F736="Open",F736="Reopened"),1,0)</f>
        <v>1</v>
      </c>
      <c r="S736" s="7" t="n">
        <f aca="false">IF(AND(H736&gt;='Exec Summary'!$E$1,H736&lt;='Exec Summary'!$E$2),1,0)</f>
        <v>0</v>
      </c>
      <c r="T736" s="7" t="n">
        <f aca="false">IF(AND(F736="Closed",I736&lt;&gt;"",I736&gt;='Exec Summary'!$E$1,I736&lt;='Exec Summary'!$E$2),1,0)</f>
        <v>0</v>
      </c>
      <c r="U736" s="7" t="n">
        <f aca="false">IF(F736="Reopened",1,0)</f>
        <v>0</v>
      </c>
      <c r="V736" s="7" t="n">
        <f aca="false">IF(AND(R736=1,O736&gt;Q736),1,0)</f>
        <v>1</v>
      </c>
      <c r="W736" s="7" t="n">
        <f aca="false">IF(AND(T736=1,P736&lt;&gt;"",P736&lt;=Q736),1,0)</f>
        <v>0</v>
      </c>
    </row>
    <row r="737" customFormat="false" ht="15" hidden="false" customHeight="false" outlineLevel="0" collapsed="false">
      <c r="A737" s="7" t="s">
        <v>956</v>
      </c>
      <c r="B737" s="7" t="s">
        <v>135</v>
      </c>
      <c r="C737" s="7" t="s">
        <v>247</v>
      </c>
      <c r="D737" s="7" t="s">
        <v>74</v>
      </c>
      <c r="E737" s="7" t="s">
        <v>75</v>
      </c>
      <c r="F737" s="7" t="s">
        <v>50</v>
      </c>
      <c r="G737" s="7" t="s">
        <v>21</v>
      </c>
      <c r="H737" s="9" t="n">
        <v>46006</v>
      </c>
      <c r="I737" s="9" t="n">
        <v>46075</v>
      </c>
      <c r="J737" s="7" t="n">
        <v>6.5</v>
      </c>
      <c r="K737" s="7" t="s">
        <v>771</v>
      </c>
      <c r="L737" s="7" t="s">
        <v>19</v>
      </c>
      <c r="M737" s="7" t="s">
        <v>959</v>
      </c>
      <c r="N737" s="7" t="s">
        <v>77</v>
      </c>
      <c r="O737" s="10" t="n">
        <f aca="false">'Exec Summary'!$E$2-H737</f>
        <v>228</v>
      </c>
      <c r="P737" s="10" t="n">
        <f aca="false">IF(I737="","",I737-H737)</f>
        <v>69</v>
      </c>
      <c r="Q737" s="10" t="n">
        <f aca="false">VLOOKUP(G737,$AA$2:$AB$5,2,FALSE())</f>
        <v>90</v>
      </c>
      <c r="R737" s="7" t="n">
        <f aca="false">IF(OR(F737="Open",F737="Reopened"),1,0)</f>
        <v>0</v>
      </c>
      <c r="S737" s="7" t="n">
        <f aca="false">IF(AND(H737&gt;='Exec Summary'!$E$1,H737&lt;='Exec Summary'!$E$2),1,0)</f>
        <v>0</v>
      </c>
      <c r="T737" s="7" t="n">
        <f aca="false">IF(AND(F737="Closed",I737&lt;&gt;"",I737&gt;='Exec Summary'!$E$1,I737&lt;='Exec Summary'!$E$2),1,0)</f>
        <v>0</v>
      </c>
      <c r="U737" s="7" t="n">
        <f aca="false">IF(F737="Reopened",1,0)</f>
        <v>0</v>
      </c>
      <c r="V737" s="7" t="n">
        <f aca="false">IF(AND(R737=1,O737&gt;Q737),1,0)</f>
        <v>0</v>
      </c>
      <c r="W737" s="7" t="n">
        <f aca="false">IF(AND(T737=1,P737&lt;&gt;"",P737&lt;=Q737),1,0)</f>
        <v>0</v>
      </c>
    </row>
    <row r="738" customFormat="false" ht="15" hidden="false" customHeight="false" outlineLevel="0" collapsed="false">
      <c r="A738" s="7" t="s">
        <v>956</v>
      </c>
      <c r="B738" s="7" t="s">
        <v>135</v>
      </c>
      <c r="C738" s="7" t="s">
        <v>247</v>
      </c>
      <c r="D738" s="7" t="s">
        <v>117</v>
      </c>
      <c r="E738" s="7" t="s">
        <v>118</v>
      </c>
      <c r="F738" s="7" t="s">
        <v>56</v>
      </c>
      <c r="G738" s="7" t="s">
        <v>19</v>
      </c>
      <c r="H738" s="9" t="n">
        <v>46189</v>
      </c>
      <c r="I738" s="9"/>
      <c r="J738" s="7" t="n">
        <v>10</v>
      </c>
      <c r="K738" s="7" t="s">
        <v>771</v>
      </c>
      <c r="L738" s="7" t="s">
        <v>19</v>
      </c>
      <c r="M738" s="7" t="s">
        <v>960</v>
      </c>
      <c r="N738" s="7" t="s">
        <v>58</v>
      </c>
      <c r="O738" s="10" t="n">
        <f aca="false">'Exec Summary'!$E$2-H738</f>
        <v>45</v>
      </c>
      <c r="P738" s="10" t="str">
        <f aca="false">IF(I738="","",I738-H738)</f>
        <v/>
      </c>
      <c r="Q738" s="10" t="n">
        <f aca="false">VLOOKUP(G738,$AA$2:$AB$5,2,FALSE())</f>
        <v>15</v>
      </c>
      <c r="R738" s="7" t="n">
        <f aca="false">IF(OR(F738="Open",F738="Reopened"),1,0)</f>
        <v>1</v>
      </c>
      <c r="S738" s="7" t="n">
        <f aca="false">IF(AND(H738&gt;='Exec Summary'!$E$1,H738&lt;='Exec Summary'!$E$2),1,0)</f>
        <v>0</v>
      </c>
      <c r="T738" s="7" t="n">
        <f aca="false">IF(AND(F738="Closed",I738&lt;&gt;"",I738&gt;='Exec Summary'!$E$1,I738&lt;='Exec Summary'!$E$2),1,0)</f>
        <v>0</v>
      </c>
      <c r="U738" s="7" t="n">
        <f aca="false">IF(F738="Reopened",1,0)</f>
        <v>0</v>
      </c>
      <c r="V738" s="7" t="n">
        <f aca="false">IF(AND(R738=1,O738&gt;Q738),1,0)</f>
        <v>1</v>
      </c>
      <c r="W738" s="7" t="n">
        <f aca="false">IF(AND(T738=1,P738&lt;&gt;"",P738&lt;=Q738),1,0)</f>
        <v>0</v>
      </c>
    </row>
    <row r="739" customFormat="false" ht="15" hidden="false" customHeight="false" outlineLevel="0" collapsed="false">
      <c r="A739" s="7" t="s">
        <v>956</v>
      </c>
      <c r="B739" s="7" t="s">
        <v>135</v>
      </c>
      <c r="C739" s="7" t="s">
        <v>247</v>
      </c>
      <c r="D739" s="7" t="s">
        <v>166</v>
      </c>
      <c r="E739" s="7" t="s">
        <v>167</v>
      </c>
      <c r="F739" s="7" t="s">
        <v>56</v>
      </c>
      <c r="G739" s="7" t="s">
        <v>19</v>
      </c>
      <c r="H739" s="9" t="n">
        <v>46118</v>
      </c>
      <c r="I739" s="9"/>
      <c r="J739" s="7" t="n">
        <v>9.8</v>
      </c>
      <c r="K739" s="7" t="s">
        <v>771</v>
      </c>
      <c r="L739" s="7" t="s">
        <v>19</v>
      </c>
      <c r="M739" s="7" t="s">
        <v>961</v>
      </c>
      <c r="N739" s="7" t="s">
        <v>58</v>
      </c>
      <c r="O739" s="10" t="n">
        <f aca="false">'Exec Summary'!$E$2-H739</f>
        <v>116</v>
      </c>
      <c r="P739" s="10" t="str">
        <f aca="false">IF(I739="","",I739-H739)</f>
        <v/>
      </c>
      <c r="Q739" s="10" t="n">
        <f aca="false">VLOOKUP(G739,$AA$2:$AB$5,2,FALSE())</f>
        <v>15</v>
      </c>
      <c r="R739" s="7" t="n">
        <f aca="false">IF(OR(F739="Open",F739="Reopened"),1,0)</f>
        <v>1</v>
      </c>
      <c r="S739" s="7" t="n">
        <f aca="false">IF(AND(H739&gt;='Exec Summary'!$E$1,H739&lt;='Exec Summary'!$E$2),1,0)</f>
        <v>0</v>
      </c>
      <c r="T739" s="7" t="n">
        <f aca="false">IF(AND(F739="Closed",I739&lt;&gt;"",I739&gt;='Exec Summary'!$E$1,I739&lt;='Exec Summary'!$E$2),1,0)</f>
        <v>0</v>
      </c>
      <c r="U739" s="7" t="n">
        <f aca="false">IF(F739="Reopened",1,0)</f>
        <v>0</v>
      </c>
      <c r="V739" s="7" t="n">
        <f aca="false">IF(AND(R739=1,O739&gt;Q739),1,0)</f>
        <v>1</v>
      </c>
      <c r="W739" s="7" t="n">
        <f aca="false">IF(AND(T739=1,P739&lt;&gt;"",P739&lt;=Q739),1,0)</f>
        <v>0</v>
      </c>
    </row>
    <row r="740" customFormat="false" ht="15" hidden="false" customHeight="false" outlineLevel="0" collapsed="false">
      <c r="A740" s="7" t="s">
        <v>956</v>
      </c>
      <c r="B740" s="7" t="s">
        <v>135</v>
      </c>
      <c r="C740" s="7" t="s">
        <v>247</v>
      </c>
      <c r="D740" s="7" t="s">
        <v>68</v>
      </c>
      <c r="E740" s="7" t="s">
        <v>69</v>
      </c>
      <c r="F740" s="7" t="s">
        <v>56</v>
      </c>
      <c r="G740" s="7" t="s">
        <v>19</v>
      </c>
      <c r="H740" s="9" t="n">
        <v>46068</v>
      </c>
      <c r="I740" s="9"/>
      <c r="J740" s="7" t="n">
        <v>9.8</v>
      </c>
      <c r="K740" s="7" t="s">
        <v>771</v>
      </c>
      <c r="L740" s="7" t="s">
        <v>19</v>
      </c>
      <c r="M740" s="7" t="s">
        <v>962</v>
      </c>
      <c r="N740" s="7" t="s">
        <v>58</v>
      </c>
      <c r="O740" s="10" t="n">
        <f aca="false">'Exec Summary'!$E$2-H740</f>
        <v>166</v>
      </c>
      <c r="P740" s="10" t="str">
        <f aca="false">IF(I740="","",I740-H740)</f>
        <v/>
      </c>
      <c r="Q740" s="10" t="n">
        <f aca="false">VLOOKUP(G740,$AA$2:$AB$5,2,FALSE())</f>
        <v>15</v>
      </c>
      <c r="R740" s="7" t="n">
        <f aca="false">IF(OR(F740="Open",F740="Reopened"),1,0)</f>
        <v>1</v>
      </c>
      <c r="S740" s="7" t="n">
        <f aca="false">IF(AND(H740&gt;='Exec Summary'!$E$1,H740&lt;='Exec Summary'!$E$2),1,0)</f>
        <v>0</v>
      </c>
      <c r="T740" s="7" t="n">
        <f aca="false">IF(AND(F740="Closed",I740&lt;&gt;"",I740&gt;='Exec Summary'!$E$1,I740&lt;='Exec Summary'!$E$2),1,0)</f>
        <v>0</v>
      </c>
      <c r="U740" s="7" t="n">
        <f aca="false">IF(F740="Reopened",1,0)</f>
        <v>0</v>
      </c>
      <c r="V740" s="7" t="n">
        <f aca="false">IF(AND(R740=1,O740&gt;Q740),1,0)</f>
        <v>1</v>
      </c>
      <c r="W740" s="7" t="n">
        <f aca="false">IF(AND(T740=1,P740&lt;&gt;"",P740&lt;=Q740),1,0)</f>
        <v>0</v>
      </c>
    </row>
    <row r="741" customFormat="false" ht="15" hidden="false" customHeight="false" outlineLevel="0" collapsed="false">
      <c r="A741" s="7" t="s">
        <v>956</v>
      </c>
      <c r="B741" s="7" t="s">
        <v>135</v>
      </c>
      <c r="C741" s="7" t="s">
        <v>247</v>
      </c>
      <c r="D741" s="7" t="s">
        <v>91</v>
      </c>
      <c r="E741" s="7" t="s">
        <v>92</v>
      </c>
      <c r="F741" s="7" t="s">
        <v>50</v>
      </c>
      <c r="G741" s="7" t="s">
        <v>20</v>
      </c>
      <c r="H741" s="9" t="n">
        <v>46198</v>
      </c>
      <c r="I741" s="9" t="n">
        <v>46229</v>
      </c>
      <c r="J741" s="7" t="n">
        <v>8.1</v>
      </c>
      <c r="K741" s="7" t="s">
        <v>771</v>
      </c>
      <c r="L741" s="7" t="s">
        <v>19</v>
      </c>
      <c r="M741" s="7" t="s">
        <v>963</v>
      </c>
      <c r="N741" s="7" t="s">
        <v>53</v>
      </c>
      <c r="O741" s="10" t="n">
        <f aca="false">'Exec Summary'!$E$2-H741</f>
        <v>36</v>
      </c>
      <c r="P741" s="10" t="n">
        <f aca="false">IF(I741="","",I741-H741)</f>
        <v>31</v>
      </c>
      <c r="Q741" s="10" t="n">
        <f aca="false">VLOOKUP(G741,$AA$2:$AB$5,2,FALSE())</f>
        <v>30</v>
      </c>
      <c r="R741" s="7" t="n">
        <f aca="false">IF(OR(F741="Open",F741="Reopened"),1,0)</f>
        <v>0</v>
      </c>
      <c r="S741" s="7" t="n">
        <f aca="false">IF(AND(H741&gt;='Exec Summary'!$E$1,H741&lt;='Exec Summary'!$E$2),1,0)</f>
        <v>0</v>
      </c>
      <c r="T741" s="7" t="n">
        <f aca="false">IF(AND(F741="Closed",I741&lt;&gt;"",I741&gt;='Exec Summary'!$E$1,I741&lt;='Exec Summary'!$E$2),1,0)</f>
        <v>1</v>
      </c>
      <c r="U741" s="7" t="n">
        <f aca="false">IF(F741="Reopened",1,0)</f>
        <v>0</v>
      </c>
      <c r="V741" s="7" t="n">
        <f aca="false">IF(AND(R741=1,O741&gt;Q741),1,0)</f>
        <v>0</v>
      </c>
      <c r="W741" s="7" t="n">
        <f aca="false">IF(AND(T741=1,P741&lt;&gt;"",P741&lt;=Q741),1,0)</f>
        <v>0</v>
      </c>
    </row>
    <row r="742" customFormat="false" ht="15" hidden="false" customHeight="false" outlineLevel="0" collapsed="false">
      <c r="A742" s="7" t="s">
        <v>956</v>
      </c>
      <c r="B742" s="7" t="s">
        <v>135</v>
      </c>
      <c r="C742" s="7" t="s">
        <v>247</v>
      </c>
      <c r="D742" s="7" t="s">
        <v>192</v>
      </c>
      <c r="E742" s="7" t="s">
        <v>193</v>
      </c>
      <c r="F742" s="7" t="s">
        <v>56</v>
      </c>
      <c r="G742" s="7" t="s">
        <v>19</v>
      </c>
      <c r="H742" s="9" t="n">
        <v>46218</v>
      </c>
      <c r="I742" s="9"/>
      <c r="J742" s="7" t="n">
        <v>9.8</v>
      </c>
      <c r="K742" s="7" t="s">
        <v>771</v>
      </c>
      <c r="L742" s="7" t="s">
        <v>19</v>
      </c>
      <c r="M742" s="7" t="s">
        <v>964</v>
      </c>
      <c r="N742" s="7" t="s">
        <v>58</v>
      </c>
      <c r="O742" s="10" t="n">
        <f aca="false">'Exec Summary'!$E$2-H742</f>
        <v>16</v>
      </c>
      <c r="P742" s="10" t="str">
        <f aca="false">IF(I742="","",I742-H742)</f>
        <v/>
      </c>
      <c r="Q742" s="10" t="n">
        <f aca="false">VLOOKUP(G742,$AA$2:$AB$5,2,FALSE())</f>
        <v>15</v>
      </c>
      <c r="R742" s="7" t="n">
        <f aca="false">IF(OR(F742="Open",F742="Reopened"),1,0)</f>
        <v>1</v>
      </c>
      <c r="S742" s="7" t="n">
        <f aca="false">IF(AND(H742&gt;='Exec Summary'!$E$1,H742&lt;='Exec Summary'!$E$2),1,0)</f>
        <v>1</v>
      </c>
      <c r="T742" s="7" t="n">
        <f aca="false">IF(AND(F742="Closed",I742&lt;&gt;"",I742&gt;='Exec Summary'!$E$1,I742&lt;='Exec Summary'!$E$2),1,0)</f>
        <v>0</v>
      </c>
      <c r="U742" s="7" t="n">
        <f aca="false">IF(F742="Reopened",1,0)</f>
        <v>0</v>
      </c>
      <c r="V742" s="7" t="n">
        <f aca="false">IF(AND(R742=1,O742&gt;Q742),1,0)</f>
        <v>1</v>
      </c>
      <c r="W742" s="7" t="n">
        <f aca="false">IF(AND(T742=1,P742&lt;&gt;"",P742&lt;=Q742),1,0)</f>
        <v>0</v>
      </c>
    </row>
    <row r="743" customFormat="false" ht="15" hidden="false" customHeight="false" outlineLevel="0" collapsed="false">
      <c r="A743" s="7" t="s">
        <v>956</v>
      </c>
      <c r="B743" s="7" t="s">
        <v>135</v>
      </c>
      <c r="C743" s="7" t="s">
        <v>247</v>
      </c>
      <c r="D743" s="7" t="s">
        <v>71</v>
      </c>
      <c r="E743" s="7" t="s">
        <v>72</v>
      </c>
      <c r="F743" s="7" t="s">
        <v>123</v>
      </c>
      <c r="G743" s="7" t="s">
        <v>19</v>
      </c>
      <c r="H743" s="9" t="n">
        <v>45961</v>
      </c>
      <c r="I743" s="9" t="n">
        <v>45968</v>
      </c>
      <c r="J743" s="7" t="n">
        <v>9.8</v>
      </c>
      <c r="K743" s="7" t="s">
        <v>771</v>
      </c>
      <c r="L743" s="7" t="s">
        <v>19</v>
      </c>
      <c r="M743" s="7" t="s">
        <v>965</v>
      </c>
      <c r="N743" s="7" t="s">
        <v>58</v>
      </c>
      <c r="O743" s="10" t="n">
        <f aca="false">'Exec Summary'!$E$2-H743</f>
        <v>273</v>
      </c>
      <c r="P743" s="10" t="n">
        <f aca="false">IF(I743="","",I743-H743)</f>
        <v>7</v>
      </c>
      <c r="Q743" s="10" t="n">
        <f aca="false">VLOOKUP(G743,$AA$2:$AB$5,2,FALSE())</f>
        <v>15</v>
      </c>
      <c r="R743" s="7" t="n">
        <f aca="false">IF(OR(F743="Open",F743="Reopened"),1,0)</f>
        <v>1</v>
      </c>
      <c r="S743" s="7" t="n">
        <f aca="false">IF(AND(H743&gt;='Exec Summary'!$E$1,H743&lt;='Exec Summary'!$E$2),1,0)</f>
        <v>0</v>
      </c>
      <c r="T743" s="7" t="n">
        <f aca="false">IF(AND(F743="Closed",I743&lt;&gt;"",I743&gt;='Exec Summary'!$E$1,I743&lt;='Exec Summary'!$E$2),1,0)</f>
        <v>0</v>
      </c>
      <c r="U743" s="7" t="n">
        <f aca="false">IF(F743="Reopened",1,0)</f>
        <v>1</v>
      </c>
      <c r="V743" s="7" t="n">
        <f aca="false">IF(AND(R743=1,O743&gt;Q743),1,0)</f>
        <v>1</v>
      </c>
      <c r="W743" s="7" t="n">
        <f aca="false">IF(AND(T743=1,P743&lt;&gt;"",P743&lt;=Q743),1,0)</f>
        <v>0</v>
      </c>
    </row>
    <row r="744" customFormat="false" ht="15" hidden="false" customHeight="false" outlineLevel="0" collapsed="false">
      <c r="A744" s="7" t="s">
        <v>956</v>
      </c>
      <c r="B744" s="7" t="s">
        <v>135</v>
      </c>
      <c r="C744" s="7" t="s">
        <v>247</v>
      </c>
      <c r="D744" s="7" t="s">
        <v>48</v>
      </c>
      <c r="E744" s="7" t="s">
        <v>49</v>
      </c>
      <c r="F744" s="7" t="s">
        <v>50</v>
      </c>
      <c r="G744" s="7" t="s">
        <v>20</v>
      </c>
      <c r="H744" s="9" t="n">
        <v>45952</v>
      </c>
      <c r="I744" s="9" t="n">
        <v>45982</v>
      </c>
      <c r="J744" s="7" t="n">
        <v>7.5</v>
      </c>
      <c r="K744" s="7" t="s">
        <v>771</v>
      </c>
      <c r="L744" s="7" t="s">
        <v>19</v>
      </c>
      <c r="M744" s="7" t="s">
        <v>966</v>
      </c>
      <c r="N744" s="7" t="s">
        <v>53</v>
      </c>
      <c r="O744" s="10" t="n">
        <f aca="false">'Exec Summary'!$E$2-H744</f>
        <v>282</v>
      </c>
      <c r="P744" s="10" t="n">
        <f aca="false">IF(I744="","",I744-H744)</f>
        <v>30</v>
      </c>
      <c r="Q744" s="10" t="n">
        <f aca="false">VLOOKUP(G744,$AA$2:$AB$5,2,FALSE())</f>
        <v>30</v>
      </c>
      <c r="R744" s="7" t="n">
        <f aca="false">IF(OR(F744="Open",F744="Reopened"),1,0)</f>
        <v>0</v>
      </c>
      <c r="S744" s="7" t="n">
        <f aca="false">IF(AND(H744&gt;='Exec Summary'!$E$1,H744&lt;='Exec Summary'!$E$2),1,0)</f>
        <v>0</v>
      </c>
      <c r="T744" s="7" t="n">
        <f aca="false">IF(AND(F744="Closed",I744&lt;&gt;"",I744&gt;='Exec Summary'!$E$1,I744&lt;='Exec Summary'!$E$2),1,0)</f>
        <v>0</v>
      </c>
      <c r="U744" s="7" t="n">
        <f aca="false">IF(F744="Reopened",1,0)</f>
        <v>0</v>
      </c>
      <c r="V744" s="7" t="n">
        <f aca="false">IF(AND(R744=1,O744&gt;Q744),1,0)</f>
        <v>0</v>
      </c>
      <c r="W744" s="7" t="n">
        <f aca="false">IF(AND(T744=1,P744&lt;&gt;"",P744&lt;=Q744),1,0)</f>
        <v>0</v>
      </c>
    </row>
    <row r="745" customFormat="false" ht="15" hidden="false" customHeight="false" outlineLevel="0" collapsed="false">
      <c r="A745" s="7" t="s">
        <v>967</v>
      </c>
      <c r="B745" s="7" t="s">
        <v>46</v>
      </c>
      <c r="C745" s="7" t="s">
        <v>47</v>
      </c>
      <c r="D745" s="7" t="s">
        <v>206</v>
      </c>
      <c r="E745" s="7" t="s">
        <v>207</v>
      </c>
      <c r="F745" s="7" t="s">
        <v>56</v>
      </c>
      <c r="G745" s="7" t="s">
        <v>20</v>
      </c>
      <c r="H745" s="9" t="n">
        <v>46203</v>
      </c>
      <c r="I745" s="9"/>
      <c r="J745" s="7" t="n">
        <v>8.8</v>
      </c>
      <c r="K745" s="7" t="s">
        <v>771</v>
      </c>
      <c r="L745" s="7" t="s">
        <v>22</v>
      </c>
      <c r="M745" s="7" t="s">
        <v>968</v>
      </c>
      <c r="N745" s="7" t="s">
        <v>53</v>
      </c>
      <c r="O745" s="10" t="n">
        <f aca="false">'Exec Summary'!$E$2-H745</f>
        <v>31</v>
      </c>
      <c r="P745" s="10" t="str">
        <f aca="false">IF(I745="","",I745-H745)</f>
        <v/>
      </c>
      <c r="Q745" s="10" t="n">
        <f aca="false">VLOOKUP(G745,$AA$2:$AB$5,2,FALSE())</f>
        <v>30</v>
      </c>
      <c r="R745" s="7" t="n">
        <f aca="false">IF(OR(F745="Open",F745="Reopened"),1,0)</f>
        <v>1</v>
      </c>
      <c r="S745" s="7" t="n">
        <f aca="false">IF(AND(H745&gt;='Exec Summary'!$E$1,H745&lt;='Exec Summary'!$E$2),1,0)</f>
        <v>0</v>
      </c>
      <c r="T745" s="7" t="n">
        <f aca="false">IF(AND(F745="Closed",I745&lt;&gt;"",I745&gt;='Exec Summary'!$E$1,I745&lt;='Exec Summary'!$E$2),1,0)</f>
        <v>0</v>
      </c>
      <c r="U745" s="7" t="n">
        <f aca="false">IF(F745="Reopened",1,0)</f>
        <v>0</v>
      </c>
      <c r="V745" s="7" t="n">
        <f aca="false">IF(AND(R745=1,O745&gt;Q745),1,0)</f>
        <v>1</v>
      </c>
      <c r="W745" s="7" t="n">
        <f aca="false">IF(AND(T745=1,P745&lt;&gt;"",P745&lt;=Q745),1,0)</f>
        <v>0</v>
      </c>
    </row>
    <row r="746" customFormat="false" ht="15" hidden="false" customHeight="false" outlineLevel="0" collapsed="false">
      <c r="A746" s="7" t="s">
        <v>967</v>
      </c>
      <c r="B746" s="7" t="s">
        <v>46</v>
      </c>
      <c r="C746" s="7" t="s">
        <v>47</v>
      </c>
      <c r="D746" s="7" t="s">
        <v>81</v>
      </c>
      <c r="E746" s="7" t="s">
        <v>82</v>
      </c>
      <c r="F746" s="7" t="s">
        <v>56</v>
      </c>
      <c r="G746" s="7" t="s">
        <v>20</v>
      </c>
      <c r="H746" s="9" t="n">
        <v>46147</v>
      </c>
      <c r="I746" s="9"/>
      <c r="J746" s="7" t="n">
        <v>7.8</v>
      </c>
      <c r="K746" s="7" t="s">
        <v>771</v>
      </c>
      <c r="L746" s="7" t="s">
        <v>22</v>
      </c>
      <c r="M746" s="7" t="s">
        <v>969</v>
      </c>
      <c r="N746" s="7" t="s">
        <v>53</v>
      </c>
      <c r="O746" s="10" t="n">
        <f aca="false">'Exec Summary'!$E$2-H746</f>
        <v>87</v>
      </c>
      <c r="P746" s="10" t="str">
        <f aca="false">IF(I746="","",I746-H746)</f>
        <v/>
      </c>
      <c r="Q746" s="10" t="n">
        <f aca="false">VLOOKUP(G746,$AA$2:$AB$5,2,FALSE())</f>
        <v>30</v>
      </c>
      <c r="R746" s="7" t="n">
        <f aca="false">IF(OR(F746="Open",F746="Reopened"),1,0)</f>
        <v>1</v>
      </c>
      <c r="S746" s="7" t="n">
        <f aca="false">IF(AND(H746&gt;='Exec Summary'!$E$1,H746&lt;='Exec Summary'!$E$2),1,0)</f>
        <v>0</v>
      </c>
      <c r="T746" s="7" t="n">
        <f aca="false">IF(AND(F746="Closed",I746&lt;&gt;"",I746&gt;='Exec Summary'!$E$1,I746&lt;='Exec Summary'!$E$2),1,0)</f>
        <v>0</v>
      </c>
      <c r="U746" s="7" t="n">
        <f aca="false">IF(F746="Reopened",1,0)</f>
        <v>0</v>
      </c>
      <c r="V746" s="7" t="n">
        <f aca="false">IF(AND(R746=1,O746&gt;Q746),1,0)</f>
        <v>1</v>
      </c>
      <c r="W746" s="7" t="n">
        <f aca="false">IF(AND(T746=1,P746&lt;&gt;"",P746&lt;=Q746),1,0)</f>
        <v>0</v>
      </c>
    </row>
    <row r="747" customFormat="false" ht="15" hidden="false" customHeight="false" outlineLevel="0" collapsed="false">
      <c r="A747" s="7" t="s">
        <v>967</v>
      </c>
      <c r="B747" s="7" t="s">
        <v>46</v>
      </c>
      <c r="C747" s="7" t="s">
        <v>47</v>
      </c>
      <c r="D747" s="7" t="s">
        <v>68</v>
      </c>
      <c r="E747" s="7" t="s">
        <v>69</v>
      </c>
      <c r="F747" s="7" t="s">
        <v>56</v>
      </c>
      <c r="G747" s="7" t="s">
        <v>19</v>
      </c>
      <c r="H747" s="9" t="n">
        <v>46189</v>
      </c>
      <c r="I747" s="9"/>
      <c r="J747" s="7" t="n">
        <v>9.8</v>
      </c>
      <c r="K747" s="7" t="s">
        <v>771</v>
      </c>
      <c r="L747" s="7" t="s">
        <v>22</v>
      </c>
      <c r="M747" s="7" t="s">
        <v>970</v>
      </c>
      <c r="N747" s="7" t="s">
        <v>58</v>
      </c>
      <c r="O747" s="10" t="n">
        <f aca="false">'Exec Summary'!$E$2-H747</f>
        <v>45</v>
      </c>
      <c r="P747" s="10" t="str">
        <f aca="false">IF(I747="","",I747-H747)</f>
        <v/>
      </c>
      <c r="Q747" s="10" t="n">
        <f aca="false">VLOOKUP(G747,$AA$2:$AB$5,2,FALSE())</f>
        <v>15</v>
      </c>
      <c r="R747" s="7" t="n">
        <f aca="false">IF(OR(F747="Open",F747="Reopened"),1,0)</f>
        <v>1</v>
      </c>
      <c r="S747" s="7" t="n">
        <f aca="false">IF(AND(H747&gt;='Exec Summary'!$E$1,H747&lt;='Exec Summary'!$E$2),1,0)</f>
        <v>0</v>
      </c>
      <c r="T747" s="7" t="n">
        <f aca="false">IF(AND(F747="Closed",I747&lt;&gt;"",I747&gt;='Exec Summary'!$E$1,I747&lt;='Exec Summary'!$E$2),1,0)</f>
        <v>0</v>
      </c>
      <c r="U747" s="7" t="n">
        <f aca="false">IF(F747="Reopened",1,0)</f>
        <v>0</v>
      </c>
      <c r="V747" s="7" t="n">
        <f aca="false">IF(AND(R747=1,O747&gt;Q747),1,0)</f>
        <v>1</v>
      </c>
      <c r="W747" s="7" t="n">
        <f aca="false">IF(AND(T747=1,P747&lt;&gt;"",P747&lt;=Q747),1,0)</f>
        <v>0</v>
      </c>
    </row>
    <row r="748" customFormat="false" ht="15" hidden="false" customHeight="false" outlineLevel="0" collapsed="false">
      <c r="A748" s="7" t="s">
        <v>967</v>
      </c>
      <c r="B748" s="7" t="s">
        <v>46</v>
      </c>
      <c r="C748" s="7" t="s">
        <v>47</v>
      </c>
      <c r="D748" s="7" t="s">
        <v>131</v>
      </c>
      <c r="E748" s="7" t="s">
        <v>132</v>
      </c>
      <c r="F748" s="7" t="s">
        <v>50</v>
      </c>
      <c r="G748" s="7" t="s">
        <v>19</v>
      </c>
      <c r="H748" s="9" t="n">
        <v>45947</v>
      </c>
      <c r="I748" s="9" t="n">
        <v>45964</v>
      </c>
      <c r="J748" s="7" t="n">
        <v>9.8</v>
      </c>
      <c r="K748" s="7" t="s">
        <v>771</v>
      </c>
      <c r="L748" s="7" t="s">
        <v>22</v>
      </c>
      <c r="M748" s="7" t="s">
        <v>971</v>
      </c>
      <c r="N748" s="7" t="s">
        <v>58</v>
      </c>
      <c r="O748" s="10" t="n">
        <f aca="false">'Exec Summary'!$E$2-H748</f>
        <v>287</v>
      </c>
      <c r="P748" s="10" t="n">
        <f aca="false">IF(I748="","",I748-H748)</f>
        <v>17</v>
      </c>
      <c r="Q748" s="10" t="n">
        <f aca="false">VLOOKUP(G748,$AA$2:$AB$5,2,FALSE())</f>
        <v>15</v>
      </c>
      <c r="R748" s="7" t="n">
        <f aca="false">IF(OR(F748="Open",F748="Reopened"),1,0)</f>
        <v>0</v>
      </c>
      <c r="S748" s="7" t="n">
        <f aca="false">IF(AND(H748&gt;='Exec Summary'!$E$1,H748&lt;='Exec Summary'!$E$2),1,0)</f>
        <v>0</v>
      </c>
      <c r="T748" s="7" t="n">
        <f aca="false">IF(AND(F748="Closed",I748&lt;&gt;"",I748&gt;='Exec Summary'!$E$1,I748&lt;='Exec Summary'!$E$2),1,0)</f>
        <v>0</v>
      </c>
      <c r="U748" s="7" t="n">
        <f aca="false">IF(F748="Reopened",1,0)</f>
        <v>0</v>
      </c>
      <c r="V748" s="7" t="n">
        <f aca="false">IF(AND(R748=1,O748&gt;Q748),1,0)</f>
        <v>0</v>
      </c>
      <c r="W748" s="7" t="n">
        <f aca="false">IF(AND(T748=1,P748&lt;&gt;"",P748&lt;=Q748),1,0)</f>
        <v>0</v>
      </c>
    </row>
    <row r="749" customFormat="false" ht="15" hidden="false" customHeight="false" outlineLevel="0" collapsed="false">
      <c r="A749" s="7" t="s">
        <v>967</v>
      </c>
      <c r="B749" s="7" t="s">
        <v>46</v>
      </c>
      <c r="C749" s="7" t="s">
        <v>47</v>
      </c>
      <c r="D749" s="7" t="s">
        <v>166</v>
      </c>
      <c r="E749" s="7" t="s">
        <v>167</v>
      </c>
      <c r="F749" s="7" t="s">
        <v>50</v>
      </c>
      <c r="G749" s="7" t="s">
        <v>19</v>
      </c>
      <c r="H749" s="9" t="n">
        <v>46135</v>
      </c>
      <c r="I749" s="9" t="n">
        <v>46149</v>
      </c>
      <c r="J749" s="7" t="n">
        <v>9.8</v>
      </c>
      <c r="K749" s="7" t="s">
        <v>771</v>
      </c>
      <c r="L749" s="7" t="s">
        <v>22</v>
      </c>
      <c r="M749" s="7" t="s">
        <v>972</v>
      </c>
      <c r="N749" s="7" t="s">
        <v>58</v>
      </c>
      <c r="O749" s="10" t="n">
        <f aca="false">'Exec Summary'!$E$2-H749</f>
        <v>99</v>
      </c>
      <c r="P749" s="10" t="n">
        <f aca="false">IF(I749="","",I749-H749)</f>
        <v>14</v>
      </c>
      <c r="Q749" s="10" t="n">
        <f aca="false">VLOOKUP(G749,$AA$2:$AB$5,2,FALSE())</f>
        <v>15</v>
      </c>
      <c r="R749" s="7" t="n">
        <f aca="false">IF(OR(F749="Open",F749="Reopened"),1,0)</f>
        <v>0</v>
      </c>
      <c r="S749" s="7" t="n">
        <f aca="false">IF(AND(H749&gt;='Exec Summary'!$E$1,H749&lt;='Exec Summary'!$E$2),1,0)</f>
        <v>0</v>
      </c>
      <c r="T749" s="7" t="n">
        <f aca="false">IF(AND(F749="Closed",I749&lt;&gt;"",I749&gt;='Exec Summary'!$E$1,I749&lt;='Exec Summary'!$E$2),1,0)</f>
        <v>0</v>
      </c>
      <c r="U749" s="7" t="n">
        <f aca="false">IF(F749="Reopened",1,0)</f>
        <v>0</v>
      </c>
      <c r="V749" s="7" t="n">
        <f aca="false">IF(AND(R749=1,O749&gt;Q749),1,0)</f>
        <v>0</v>
      </c>
      <c r="W749" s="7" t="n">
        <f aca="false">IF(AND(T749=1,P749&lt;&gt;"",P749&lt;=Q749),1,0)</f>
        <v>0</v>
      </c>
    </row>
    <row r="750" customFormat="false" ht="15" hidden="false" customHeight="false" outlineLevel="0" collapsed="false">
      <c r="A750" s="7" t="s">
        <v>967</v>
      </c>
      <c r="B750" s="7" t="s">
        <v>46</v>
      </c>
      <c r="C750" s="7" t="s">
        <v>47</v>
      </c>
      <c r="D750" s="7" t="s">
        <v>84</v>
      </c>
      <c r="E750" s="7" t="s">
        <v>85</v>
      </c>
      <c r="F750" s="7" t="s">
        <v>50</v>
      </c>
      <c r="G750" s="7" t="s">
        <v>20</v>
      </c>
      <c r="H750" s="9" t="n">
        <v>45975</v>
      </c>
      <c r="I750" s="9" t="n">
        <v>45994</v>
      </c>
      <c r="J750" s="7" t="n">
        <v>7.5</v>
      </c>
      <c r="K750" s="7" t="s">
        <v>771</v>
      </c>
      <c r="L750" s="7" t="s">
        <v>22</v>
      </c>
      <c r="M750" s="7" t="s">
        <v>973</v>
      </c>
      <c r="N750" s="7" t="s">
        <v>53</v>
      </c>
      <c r="O750" s="10" t="n">
        <f aca="false">'Exec Summary'!$E$2-H750</f>
        <v>259</v>
      </c>
      <c r="P750" s="10" t="n">
        <f aca="false">IF(I750="","",I750-H750)</f>
        <v>19</v>
      </c>
      <c r="Q750" s="10" t="n">
        <f aca="false">VLOOKUP(G750,$AA$2:$AB$5,2,FALSE())</f>
        <v>30</v>
      </c>
      <c r="R750" s="7" t="n">
        <f aca="false">IF(OR(F750="Open",F750="Reopened"),1,0)</f>
        <v>0</v>
      </c>
      <c r="S750" s="7" t="n">
        <f aca="false">IF(AND(H750&gt;='Exec Summary'!$E$1,H750&lt;='Exec Summary'!$E$2),1,0)</f>
        <v>0</v>
      </c>
      <c r="T750" s="7" t="n">
        <f aca="false">IF(AND(F750="Closed",I750&lt;&gt;"",I750&gt;='Exec Summary'!$E$1,I750&lt;='Exec Summary'!$E$2),1,0)</f>
        <v>0</v>
      </c>
      <c r="U750" s="7" t="n">
        <f aca="false">IF(F750="Reopened",1,0)</f>
        <v>0</v>
      </c>
      <c r="V750" s="7" t="n">
        <f aca="false">IF(AND(R750=1,O750&gt;Q750),1,0)</f>
        <v>0</v>
      </c>
      <c r="W750" s="7" t="n">
        <f aca="false">IF(AND(T750=1,P750&lt;&gt;"",P750&lt;=Q750),1,0)</f>
        <v>0</v>
      </c>
    </row>
    <row r="751" customFormat="false" ht="15" hidden="false" customHeight="false" outlineLevel="0" collapsed="false">
      <c r="A751" s="7" t="s">
        <v>967</v>
      </c>
      <c r="B751" s="7" t="s">
        <v>46</v>
      </c>
      <c r="C751" s="7" t="s">
        <v>47</v>
      </c>
      <c r="D751" s="7" t="s">
        <v>98</v>
      </c>
      <c r="E751" s="7" t="s">
        <v>99</v>
      </c>
      <c r="F751" s="7" t="s">
        <v>56</v>
      </c>
      <c r="G751" s="7" t="s">
        <v>19</v>
      </c>
      <c r="H751" s="9" t="n">
        <v>46166</v>
      </c>
      <c r="I751" s="9"/>
      <c r="J751" s="7" t="n">
        <v>10</v>
      </c>
      <c r="K751" s="7" t="s">
        <v>771</v>
      </c>
      <c r="L751" s="7" t="s">
        <v>22</v>
      </c>
      <c r="M751" s="7" t="s">
        <v>974</v>
      </c>
      <c r="N751" s="7" t="s">
        <v>58</v>
      </c>
      <c r="O751" s="10" t="n">
        <f aca="false">'Exec Summary'!$E$2-H751</f>
        <v>68</v>
      </c>
      <c r="P751" s="10" t="str">
        <f aca="false">IF(I751="","",I751-H751)</f>
        <v/>
      </c>
      <c r="Q751" s="10" t="n">
        <f aca="false">VLOOKUP(G751,$AA$2:$AB$5,2,FALSE())</f>
        <v>15</v>
      </c>
      <c r="R751" s="7" t="n">
        <f aca="false">IF(OR(F751="Open",F751="Reopened"),1,0)</f>
        <v>1</v>
      </c>
      <c r="S751" s="7" t="n">
        <f aca="false">IF(AND(H751&gt;='Exec Summary'!$E$1,H751&lt;='Exec Summary'!$E$2),1,0)</f>
        <v>0</v>
      </c>
      <c r="T751" s="7" t="n">
        <f aca="false">IF(AND(F751="Closed",I751&lt;&gt;"",I751&gt;='Exec Summary'!$E$1,I751&lt;='Exec Summary'!$E$2),1,0)</f>
        <v>0</v>
      </c>
      <c r="U751" s="7" t="n">
        <f aca="false">IF(F751="Reopened",1,0)</f>
        <v>0</v>
      </c>
      <c r="V751" s="7" t="n">
        <f aca="false">IF(AND(R751=1,O751&gt;Q751),1,0)</f>
        <v>1</v>
      </c>
      <c r="W751" s="7" t="n">
        <f aca="false">IF(AND(T751=1,P751&lt;&gt;"",P751&lt;=Q751),1,0)</f>
        <v>0</v>
      </c>
    </row>
    <row r="752" customFormat="false" ht="15" hidden="false" customHeight="false" outlineLevel="0" collapsed="false">
      <c r="A752" s="7" t="s">
        <v>967</v>
      </c>
      <c r="B752" s="7" t="s">
        <v>46</v>
      </c>
      <c r="C752" s="7" t="s">
        <v>47</v>
      </c>
      <c r="D752" s="7" t="s">
        <v>87</v>
      </c>
      <c r="E752" s="7" t="s">
        <v>88</v>
      </c>
      <c r="F752" s="7" t="s">
        <v>50</v>
      </c>
      <c r="G752" s="7" t="s">
        <v>19</v>
      </c>
      <c r="H752" s="9" t="n">
        <v>45936</v>
      </c>
      <c r="I752" s="9" t="n">
        <v>45956</v>
      </c>
      <c r="J752" s="7" t="n">
        <v>10</v>
      </c>
      <c r="K752" s="7" t="s">
        <v>771</v>
      </c>
      <c r="L752" s="7" t="s">
        <v>22</v>
      </c>
      <c r="M752" s="7" t="s">
        <v>975</v>
      </c>
      <c r="N752" s="7" t="s">
        <v>58</v>
      </c>
      <c r="O752" s="10" t="n">
        <f aca="false">'Exec Summary'!$E$2-H752</f>
        <v>298</v>
      </c>
      <c r="P752" s="10" t="n">
        <f aca="false">IF(I752="","",I752-H752)</f>
        <v>20</v>
      </c>
      <c r="Q752" s="10" t="n">
        <f aca="false">VLOOKUP(G752,$AA$2:$AB$5,2,FALSE())</f>
        <v>15</v>
      </c>
      <c r="R752" s="7" t="n">
        <f aca="false">IF(OR(F752="Open",F752="Reopened"),1,0)</f>
        <v>0</v>
      </c>
      <c r="S752" s="7" t="n">
        <f aca="false">IF(AND(H752&gt;='Exec Summary'!$E$1,H752&lt;='Exec Summary'!$E$2),1,0)</f>
        <v>0</v>
      </c>
      <c r="T752" s="7" t="n">
        <f aca="false">IF(AND(F752="Closed",I752&lt;&gt;"",I752&gt;='Exec Summary'!$E$1,I752&lt;='Exec Summary'!$E$2),1,0)</f>
        <v>0</v>
      </c>
      <c r="U752" s="7" t="n">
        <f aca="false">IF(F752="Reopened",1,0)</f>
        <v>0</v>
      </c>
      <c r="V752" s="7" t="n">
        <f aca="false">IF(AND(R752=1,O752&gt;Q752),1,0)</f>
        <v>0</v>
      </c>
      <c r="W752" s="7" t="n">
        <f aca="false">IF(AND(T752=1,P752&lt;&gt;"",P752&lt;=Q752),1,0)</f>
        <v>0</v>
      </c>
    </row>
    <row r="753" customFormat="false" ht="15" hidden="false" customHeight="false" outlineLevel="0" collapsed="false">
      <c r="A753" s="7" t="s">
        <v>967</v>
      </c>
      <c r="B753" s="7" t="s">
        <v>46</v>
      </c>
      <c r="C753" s="7" t="s">
        <v>47</v>
      </c>
      <c r="D753" s="7" t="s">
        <v>48</v>
      </c>
      <c r="E753" s="7" t="s">
        <v>49</v>
      </c>
      <c r="F753" s="7" t="s">
        <v>56</v>
      </c>
      <c r="G753" s="7" t="s">
        <v>20</v>
      </c>
      <c r="H753" s="9" t="n">
        <v>46042</v>
      </c>
      <c r="I753" s="9"/>
      <c r="J753" s="7" t="n">
        <v>7.5</v>
      </c>
      <c r="K753" s="7" t="s">
        <v>771</v>
      </c>
      <c r="L753" s="7" t="s">
        <v>22</v>
      </c>
      <c r="M753" s="7" t="s">
        <v>976</v>
      </c>
      <c r="N753" s="7" t="s">
        <v>53</v>
      </c>
      <c r="O753" s="10" t="n">
        <f aca="false">'Exec Summary'!$E$2-H753</f>
        <v>192</v>
      </c>
      <c r="P753" s="10" t="str">
        <f aca="false">IF(I753="","",I753-H753)</f>
        <v/>
      </c>
      <c r="Q753" s="10" t="n">
        <f aca="false">VLOOKUP(G753,$AA$2:$AB$5,2,FALSE())</f>
        <v>30</v>
      </c>
      <c r="R753" s="7" t="n">
        <f aca="false">IF(OR(F753="Open",F753="Reopened"),1,0)</f>
        <v>1</v>
      </c>
      <c r="S753" s="7" t="n">
        <f aca="false">IF(AND(H753&gt;='Exec Summary'!$E$1,H753&lt;='Exec Summary'!$E$2),1,0)</f>
        <v>0</v>
      </c>
      <c r="T753" s="7" t="n">
        <f aca="false">IF(AND(F753="Closed",I753&lt;&gt;"",I753&gt;='Exec Summary'!$E$1,I753&lt;='Exec Summary'!$E$2),1,0)</f>
        <v>0</v>
      </c>
      <c r="U753" s="7" t="n">
        <f aca="false">IF(F753="Reopened",1,0)</f>
        <v>0</v>
      </c>
      <c r="V753" s="7" t="n">
        <f aca="false">IF(AND(R753=1,O753&gt;Q753),1,0)</f>
        <v>1</v>
      </c>
      <c r="W753" s="7" t="n">
        <f aca="false">IF(AND(T753=1,P753&lt;&gt;"",P753&lt;=Q753),1,0)</f>
        <v>0</v>
      </c>
    </row>
    <row r="754" customFormat="false" ht="15" hidden="false" customHeight="false" outlineLevel="0" collapsed="false">
      <c r="A754" s="7" t="s">
        <v>967</v>
      </c>
      <c r="B754" s="7" t="s">
        <v>46</v>
      </c>
      <c r="C754" s="7" t="s">
        <v>47</v>
      </c>
      <c r="D754" s="7" t="s">
        <v>117</v>
      </c>
      <c r="E754" s="7" t="s">
        <v>118</v>
      </c>
      <c r="F754" s="7" t="s">
        <v>56</v>
      </c>
      <c r="G754" s="7" t="s">
        <v>19</v>
      </c>
      <c r="H754" s="9" t="n">
        <v>46099</v>
      </c>
      <c r="I754" s="9"/>
      <c r="J754" s="7" t="n">
        <v>10</v>
      </c>
      <c r="K754" s="7" t="s">
        <v>771</v>
      </c>
      <c r="L754" s="7" t="s">
        <v>22</v>
      </c>
      <c r="M754" s="7" t="s">
        <v>977</v>
      </c>
      <c r="N754" s="7" t="s">
        <v>58</v>
      </c>
      <c r="O754" s="10" t="n">
        <f aca="false">'Exec Summary'!$E$2-H754</f>
        <v>135</v>
      </c>
      <c r="P754" s="10" t="str">
        <f aca="false">IF(I754="","",I754-H754)</f>
        <v/>
      </c>
      <c r="Q754" s="10" t="n">
        <f aca="false">VLOOKUP(G754,$AA$2:$AB$5,2,FALSE())</f>
        <v>15</v>
      </c>
      <c r="R754" s="7" t="n">
        <f aca="false">IF(OR(F754="Open",F754="Reopened"),1,0)</f>
        <v>1</v>
      </c>
      <c r="S754" s="7" t="n">
        <f aca="false">IF(AND(H754&gt;='Exec Summary'!$E$1,H754&lt;='Exec Summary'!$E$2),1,0)</f>
        <v>0</v>
      </c>
      <c r="T754" s="7" t="n">
        <f aca="false">IF(AND(F754="Closed",I754&lt;&gt;"",I754&gt;='Exec Summary'!$E$1,I754&lt;='Exec Summary'!$E$2),1,0)</f>
        <v>0</v>
      </c>
      <c r="U754" s="7" t="n">
        <f aca="false">IF(F754="Reopened",1,0)</f>
        <v>0</v>
      </c>
      <c r="V754" s="7" t="n">
        <f aca="false">IF(AND(R754=1,O754&gt;Q754),1,0)</f>
        <v>1</v>
      </c>
      <c r="W754" s="7" t="n">
        <f aca="false">IF(AND(T754=1,P754&lt;&gt;"",P754&lt;=Q754),1,0)</f>
        <v>0</v>
      </c>
    </row>
    <row r="755" customFormat="false" ht="15" hidden="false" customHeight="false" outlineLevel="0" collapsed="false">
      <c r="A755" s="7" t="s">
        <v>967</v>
      </c>
      <c r="B755" s="7" t="s">
        <v>46</v>
      </c>
      <c r="C755" s="7" t="s">
        <v>47</v>
      </c>
      <c r="D755" s="7" t="s">
        <v>108</v>
      </c>
      <c r="E755" s="7" t="s">
        <v>109</v>
      </c>
      <c r="F755" s="7" t="s">
        <v>56</v>
      </c>
      <c r="G755" s="7" t="s">
        <v>20</v>
      </c>
      <c r="H755" s="9" t="n">
        <v>46214</v>
      </c>
      <c r="I755" s="9"/>
      <c r="J755" s="7" t="n">
        <v>8.6</v>
      </c>
      <c r="K755" s="7" t="s">
        <v>771</v>
      </c>
      <c r="L755" s="7" t="s">
        <v>22</v>
      </c>
      <c r="M755" s="7" t="s">
        <v>978</v>
      </c>
      <c r="N755" s="7" t="s">
        <v>53</v>
      </c>
      <c r="O755" s="10" t="n">
        <f aca="false">'Exec Summary'!$E$2-H755</f>
        <v>20</v>
      </c>
      <c r="P755" s="10" t="str">
        <f aca="false">IF(I755="","",I755-H755)</f>
        <v/>
      </c>
      <c r="Q755" s="10" t="n">
        <f aca="false">VLOOKUP(G755,$AA$2:$AB$5,2,FALSE())</f>
        <v>30</v>
      </c>
      <c r="R755" s="7" t="n">
        <f aca="false">IF(OR(F755="Open",F755="Reopened"),1,0)</f>
        <v>1</v>
      </c>
      <c r="S755" s="7" t="n">
        <f aca="false">IF(AND(H755&gt;='Exec Summary'!$E$1,H755&lt;='Exec Summary'!$E$2),1,0)</f>
        <v>1</v>
      </c>
      <c r="T755" s="7" t="n">
        <f aca="false">IF(AND(F755="Closed",I755&lt;&gt;"",I755&gt;='Exec Summary'!$E$1,I755&lt;='Exec Summary'!$E$2),1,0)</f>
        <v>0</v>
      </c>
      <c r="U755" s="7" t="n">
        <f aca="false">IF(F755="Reopened",1,0)</f>
        <v>0</v>
      </c>
      <c r="V755" s="7" t="n">
        <f aca="false">IF(AND(R755=1,O755&gt;Q755),1,0)</f>
        <v>0</v>
      </c>
      <c r="W755" s="7" t="n">
        <f aca="false">IF(AND(T755=1,P755&lt;&gt;"",P755&lt;=Q755),1,0)</f>
        <v>0</v>
      </c>
    </row>
    <row r="756" customFormat="false" ht="15" hidden="false" customHeight="false" outlineLevel="0" collapsed="false">
      <c r="A756" s="7" t="s">
        <v>967</v>
      </c>
      <c r="B756" s="7" t="s">
        <v>46</v>
      </c>
      <c r="C756" s="7" t="s">
        <v>47</v>
      </c>
      <c r="D756" s="7" t="s">
        <v>95</v>
      </c>
      <c r="E756" s="7" t="s">
        <v>96</v>
      </c>
      <c r="F756" s="7" t="s">
        <v>50</v>
      </c>
      <c r="G756" s="7" t="s">
        <v>20</v>
      </c>
      <c r="H756" s="9" t="n">
        <v>45981</v>
      </c>
      <c r="I756" s="9" t="n">
        <v>46008</v>
      </c>
      <c r="J756" s="7" t="n">
        <v>8.8</v>
      </c>
      <c r="K756" s="7" t="s">
        <v>771</v>
      </c>
      <c r="L756" s="7" t="s">
        <v>22</v>
      </c>
      <c r="M756" s="7" t="s">
        <v>979</v>
      </c>
      <c r="N756" s="7" t="s">
        <v>53</v>
      </c>
      <c r="O756" s="10" t="n">
        <f aca="false">'Exec Summary'!$E$2-H756</f>
        <v>253</v>
      </c>
      <c r="P756" s="10" t="n">
        <f aca="false">IF(I756="","",I756-H756)</f>
        <v>27</v>
      </c>
      <c r="Q756" s="10" t="n">
        <f aca="false">VLOOKUP(G756,$AA$2:$AB$5,2,FALSE())</f>
        <v>30</v>
      </c>
      <c r="R756" s="7" t="n">
        <f aca="false">IF(OR(F756="Open",F756="Reopened"),1,0)</f>
        <v>0</v>
      </c>
      <c r="S756" s="7" t="n">
        <f aca="false">IF(AND(H756&gt;='Exec Summary'!$E$1,H756&lt;='Exec Summary'!$E$2),1,0)</f>
        <v>0</v>
      </c>
      <c r="T756" s="7" t="n">
        <f aca="false">IF(AND(F756="Closed",I756&lt;&gt;"",I756&gt;='Exec Summary'!$E$1,I756&lt;='Exec Summary'!$E$2),1,0)</f>
        <v>0</v>
      </c>
      <c r="U756" s="7" t="n">
        <f aca="false">IF(F756="Reopened",1,0)</f>
        <v>0</v>
      </c>
      <c r="V756" s="7" t="n">
        <f aca="false">IF(AND(R756=1,O756&gt;Q756),1,0)</f>
        <v>0</v>
      </c>
      <c r="W756" s="7" t="n">
        <f aca="false">IF(AND(T756=1,P756&lt;&gt;"",P756&lt;=Q756),1,0)</f>
        <v>0</v>
      </c>
    </row>
    <row r="757" customFormat="false" ht="15" hidden="false" customHeight="false" outlineLevel="0" collapsed="false">
      <c r="A757" s="7" t="s">
        <v>967</v>
      </c>
      <c r="B757" s="7" t="s">
        <v>46</v>
      </c>
      <c r="C757" s="7" t="s">
        <v>47</v>
      </c>
      <c r="D757" s="7" t="s">
        <v>74</v>
      </c>
      <c r="E757" s="7" t="s">
        <v>75</v>
      </c>
      <c r="F757" s="7" t="s">
        <v>50</v>
      </c>
      <c r="G757" s="7" t="s">
        <v>21</v>
      </c>
      <c r="H757" s="9" t="n">
        <v>45979</v>
      </c>
      <c r="I757" s="9" t="n">
        <v>46056</v>
      </c>
      <c r="J757" s="7" t="n">
        <v>6.5</v>
      </c>
      <c r="K757" s="7" t="s">
        <v>771</v>
      </c>
      <c r="L757" s="7" t="s">
        <v>22</v>
      </c>
      <c r="M757" s="7" t="s">
        <v>980</v>
      </c>
      <c r="N757" s="7" t="s">
        <v>77</v>
      </c>
      <c r="O757" s="10" t="n">
        <f aca="false">'Exec Summary'!$E$2-H757</f>
        <v>255</v>
      </c>
      <c r="P757" s="10" t="n">
        <f aca="false">IF(I757="","",I757-H757)</f>
        <v>77</v>
      </c>
      <c r="Q757" s="10" t="n">
        <f aca="false">VLOOKUP(G757,$AA$2:$AB$5,2,FALSE())</f>
        <v>90</v>
      </c>
      <c r="R757" s="7" t="n">
        <f aca="false">IF(OR(F757="Open",F757="Reopened"),1,0)</f>
        <v>0</v>
      </c>
      <c r="S757" s="7" t="n">
        <f aca="false">IF(AND(H757&gt;='Exec Summary'!$E$1,H757&lt;='Exec Summary'!$E$2),1,0)</f>
        <v>0</v>
      </c>
      <c r="T757" s="7" t="n">
        <f aca="false">IF(AND(F757="Closed",I757&lt;&gt;"",I757&gt;='Exec Summary'!$E$1,I757&lt;='Exec Summary'!$E$2),1,0)</f>
        <v>0</v>
      </c>
      <c r="U757" s="7" t="n">
        <f aca="false">IF(F757="Reopened",1,0)</f>
        <v>0</v>
      </c>
      <c r="V757" s="7" t="n">
        <f aca="false">IF(AND(R757=1,O757&gt;Q757),1,0)</f>
        <v>0</v>
      </c>
      <c r="W757" s="7" t="n">
        <f aca="false">IF(AND(T757=1,P757&lt;&gt;"",P757&lt;=Q757),1,0)</f>
        <v>0</v>
      </c>
    </row>
    <row r="758" customFormat="false" ht="15" hidden="false" customHeight="false" outlineLevel="0" collapsed="false">
      <c r="A758" s="7" t="s">
        <v>967</v>
      </c>
      <c r="B758" s="7" t="s">
        <v>46</v>
      </c>
      <c r="C758" s="7" t="s">
        <v>47</v>
      </c>
      <c r="D758" s="7" t="s">
        <v>101</v>
      </c>
      <c r="E758" s="7" t="s">
        <v>102</v>
      </c>
      <c r="F758" s="7" t="s">
        <v>50</v>
      </c>
      <c r="G758" s="7" t="s">
        <v>19</v>
      </c>
      <c r="H758" s="9" t="n">
        <v>45995</v>
      </c>
      <c r="I758" s="9" t="n">
        <v>46012</v>
      </c>
      <c r="J758" s="7" t="n">
        <v>10</v>
      </c>
      <c r="K758" s="7" t="s">
        <v>771</v>
      </c>
      <c r="L758" s="7" t="s">
        <v>22</v>
      </c>
      <c r="M758" s="7" t="s">
        <v>981</v>
      </c>
      <c r="N758" s="7" t="s">
        <v>58</v>
      </c>
      <c r="O758" s="10" t="n">
        <f aca="false">'Exec Summary'!$E$2-H758</f>
        <v>239</v>
      </c>
      <c r="P758" s="10" t="n">
        <f aca="false">IF(I758="","",I758-H758)</f>
        <v>17</v>
      </c>
      <c r="Q758" s="10" t="n">
        <f aca="false">VLOOKUP(G758,$AA$2:$AB$5,2,FALSE())</f>
        <v>15</v>
      </c>
      <c r="R758" s="7" t="n">
        <f aca="false">IF(OR(F758="Open",F758="Reopened"),1,0)</f>
        <v>0</v>
      </c>
      <c r="S758" s="7" t="n">
        <f aca="false">IF(AND(H758&gt;='Exec Summary'!$E$1,H758&lt;='Exec Summary'!$E$2),1,0)</f>
        <v>0</v>
      </c>
      <c r="T758" s="7" t="n">
        <f aca="false">IF(AND(F758="Closed",I758&lt;&gt;"",I758&gt;='Exec Summary'!$E$1,I758&lt;='Exec Summary'!$E$2),1,0)</f>
        <v>0</v>
      </c>
      <c r="U758" s="7" t="n">
        <f aca="false">IF(F758="Reopened",1,0)</f>
        <v>0</v>
      </c>
      <c r="V758" s="7" t="n">
        <f aca="false">IF(AND(R758=1,O758&gt;Q758),1,0)</f>
        <v>0</v>
      </c>
      <c r="W758" s="7" t="n">
        <f aca="false">IF(AND(T758=1,P758&lt;&gt;"",P758&lt;=Q758),1,0)</f>
        <v>0</v>
      </c>
    </row>
    <row r="759" customFormat="false" ht="15" hidden="false" customHeight="false" outlineLevel="0" collapsed="false">
      <c r="A759" s="7" t="s">
        <v>982</v>
      </c>
      <c r="B759" s="7" t="s">
        <v>135</v>
      </c>
      <c r="C759" s="7" t="s">
        <v>247</v>
      </c>
      <c r="D759" s="7" t="s">
        <v>108</v>
      </c>
      <c r="E759" s="7" t="s">
        <v>109</v>
      </c>
      <c r="F759" s="7" t="s">
        <v>50</v>
      </c>
      <c r="G759" s="7" t="s">
        <v>20</v>
      </c>
      <c r="H759" s="9" t="n">
        <v>46071</v>
      </c>
      <c r="I759" s="9" t="n">
        <v>46073</v>
      </c>
      <c r="J759" s="7" t="n">
        <v>8.6</v>
      </c>
      <c r="K759" s="7" t="s">
        <v>771</v>
      </c>
      <c r="L759" s="7" t="s">
        <v>19</v>
      </c>
      <c r="M759" s="7" t="s">
        <v>983</v>
      </c>
      <c r="N759" s="7" t="s">
        <v>53</v>
      </c>
      <c r="O759" s="10" t="n">
        <f aca="false">'Exec Summary'!$E$2-H759</f>
        <v>163</v>
      </c>
      <c r="P759" s="10" t="n">
        <f aca="false">IF(I759="","",I759-H759)</f>
        <v>2</v>
      </c>
      <c r="Q759" s="10" t="n">
        <f aca="false">VLOOKUP(G759,$AA$2:$AB$5,2,FALSE())</f>
        <v>30</v>
      </c>
      <c r="R759" s="7" t="n">
        <f aca="false">IF(OR(F759="Open",F759="Reopened"),1,0)</f>
        <v>0</v>
      </c>
      <c r="S759" s="7" t="n">
        <f aca="false">IF(AND(H759&gt;='Exec Summary'!$E$1,H759&lt;='Exec Summary'!$E$2),1,0)</f>
        <v>0</v>
      </c>
      <c r="T759" s="7" t="n">
        <f aca="false">IF(AND(F759="Closed",I759&lt;&gt;"",I759&gt;='Exec Summary'!$E$1,I759&lt;='Exec Summary'!$E$2),1,0)</f>
        <v>0</v>
      </c>
      <c r="U759" s="7" t="n">
        <f aca="false">IF(F759="Reopened",1,0)</f>
        <v>0</v>
      </c>
      <c r="V759" s="7" t="n">
        <f aca="false">IF(AND(R759=1,O759&gt;Q759),1,0)</f>
        <v>0</v>
      </c>
      <c r="W759" s="7" t="n">
        <f aca="false">IF(AND(T759=1,P759&lt;&gt;"",P759&lt;=Q759),1,0)</f>
        <v>0</v>
      </c>
    </row>
    <row r="760" customFormat="false" ht="15" hidden="false" customHeight="false" outlineLevel="0" collapsed="false">
      <c r="A760" s="7" t="s">
        <v>982</v>
      </c>
      <c r="B760" s="7" t="s">
        <v>135</v>
      </c>
      <c r="C760" s="7" t="s">
        <v>247</v>
      </c>
      <c r="D760" s="7" t="s">
        <v>98</v>
      </c>
      <c r="E760" s="7" t="s">
        <v>99</v>
      </c>
      <c r="F760" s="7" t="s">
        <v>56</v>
      </c>
      <c r="G760" s="7" t="s">
        <v>19</v>
      </c>
      <c r="H760" s="9" t="n">
        <v>46156</v>
      </c>
      <c r="I760" s="9"/>
      <c r="J760" s="7" t="n">
        <v>10</v>
      </c>
      <c r="K760" s="7" t="s">
        <v>771</v>
      </c>
      <c r="L760" s="7" t="s">
        <v>19</v>
      </c>
      <c r="M760" s="7" t="s">
        <v>984</v>
      </c>
      <c r="N760" s="7" t="s">
        <v>58</v>
      </c>
      <c r="O760" s="10" t="n">
        <f aca="false">'Exec Summary'!$E$2-H760</f>
        <v>78</v>
      </c>
      <c r="P760" s="10" t="str">
        <f aca="false">IF(I760="","",I760-H760)</f>
        <v/>
      </c>
      <c r="Q760" s="10" t="n">
        <f aca="false">VLOOKUP(G760,$AA$2:$AB$5,2,FALSE())</f>
        <v>15</v>
      </c>
      <c r="R760" s="7" t="n">
        <f aca="false">IF(OR(F760="Open",F760="Reopened"),1,0)</f>
        <v>1</v>
      </c>
      <c r="S760" s="7" t="n">
        <f aca="false">IF(AND(H760&gt;='Exec Summary'!$E$1,H760&lt;='Exec Summary'!$E$2),1,0)</f>
        <v>0</v>
      </c>
      <c r="T760" s="7" t="n">
        <f aca="false">IF(AND(F760="Closed",I760&lt;&gt;"",I760&gt;='Exec Summary'!$E$1,I760&lt;='Exec Summary'!$E$2),1,0)</f>
        <v>0</v>
      </c>
      <c r="U760" s="7" t="n">
        <f aca="false">IF(F760="Reopened",1,0)</f>
        <v>0</v>
      </c>
      <c r="V760" s="7" t="n">
        <f aca="false">IF(AND(R760=1,O760&gt;Q760),1,0)</f>
        <v>1</v>
      </c>
      <c r="W760" s="7" t="n">
        <f aca="false">IF(AND(T760=1,P760&lt;&gt;"",P760&lt;=Q760),1,0)</f>
        <v>0</v>
      </c>
    </row>
    <row r="761" customFormat="false" ht="15" hidden="false" customHeight="false" outlineLevel="0" collapsed="false">
      <c r="A761" s="7" t="s">
        <v>982</v>
      </c>
      <c r="B761" s="7" t="s">
        <v>135</v>
      </c>
      <c r="C761" s="7" t="s">
        <v>247</v>
      </c>
      <c r="D761" s="7" t="s">
        <v>139</v>
      </c>
      <c r="E761" s="7" t="s">
        <v>140</v>
      </c>
      <c r="F761" s="7" t="s">
        <v>50</v>
      </c>
      <c r="G761" s="7" t="s">
        <v>19</v>
      </c>
      <c r="H761" s="9" t="n">
        <v>45954</v>
      </c>
      <c r="I761" s="9" t="n">
        <v>45970</v>
      </c>
      <c r="J761" s="7" t="n">
        <v>9.8</v>
      </c>
      <c r="K761" s="7" t="s">
        <v>771</v>
      </c>
      <c r="L761" s="7" t="s">
        <v>19</v>
      </c>
      <c r="M761" s="7" t="s">
        <v>985</v>
      </c>
      <c r="N761" s="7" t="s">
        <v>58</v>
      </c>
      <c r="O761" s="10" t="n">
        <f aca="false">'Exec Summary'!$E$2-H761</f>
        <v>280</v>
      </c>
      <c r="P761" s="10" t="n">
        <f aca="false">IF(I761="","",I761-H761)</f>
        <v>16</v>
      </c>
      <c r="Q761" s="10" t="n">
        <f aca="false">VLOOKUP(G761,$AA$2:$AB$5,2,FALSE())</f>
        <v>15</v>
      </c>
      <c r="R761" s="7" t="n">
        <f aca="false">IF(OR(F761="Open",F761="Reopened"),1,0)</f>
        <v>0</v>
      </c>
      <c r="S761" s="7" t="n">
        <f aca="false">IF(AND(H761&gt;='Exec Summary'!$E$1,H761&lt;='Exec Summary'!$E$2),1,0)</f>
        <v>0</v>
      </c>
      <c r="T761" s="7" t="n">
        <f aca="false">IF(AND(F761="Closed",I761&lt;&gt;"",I761&gt;='Exec Summary'!$E$1,I761&lt;='Exec Summary'!$E$2),1,0)</f>
        <v>0</v>
      </c>
      <c r="U761" s="7" t="n">
        <f aca="false">IF(F761="Reopened",1,0)</f>
        <v>0</v>
      </c>
      <c r="V761" s="7" t="n">
        <f aca="false">IF(AND(R761=1,O761&gt;Q761),1,0)</f>
        <v>0</v>
      </c>
      <c r="W761" s="7" t="n">
        <f aca="false">IF(AND(T761=1,P761&lt;&gt;"",P761&lt;=Q761),1,0)</f>
        <v>0</v>
      </c>
    </row>
    <row r="762" customFormat="false" ht="15" hidden="false" customHeight="false" outlineLevel="0" collapsed="false">
      <c r="A762" s="7" t="s">
        <v>982</v>
      </c>
      <c r="B762" s="7" t="s">
        <v>135</v>
      </c>
      <c r="C762" s="7" t="s">
        <v>247</v>
      </c>
      <c r="D762" s="7" t="s">
        <v>112</v>
      </c>
      <c r="E762" s="7" t="s">
        <v>113</v>
      </c>
      <c r="F762" s="7" t="s">
        <v>56</v>
      </c>
      <c r="G762" s="7" t="s">
        <v>20</v>
      </c>
      <c r="H762" s="9" t="n">
        <v>46013</v>
      </c>
      <c r="I762" s="9"/>
      <c r="J762" s="7" t="n">
        <v>7.8</v>
      </c>
      <c r="K762" s="7" t="s">
        <v>771</v>
      </c>
      <c r="L762" s="7" t="s">
        <v>19</v>
      </c>
      <c r="M762" s="7" t="s">
        <v>986</v>
      </c>
      <c r="N762" s="7" t="s">
        <v>53</v>
      </c>
      <c r="O762" s="10" t="n">
        <f aca="false">'Exec Summary'!$E$2-H762</f>
        <v>221</v>
      </c>
      <c r="P762" s="10" t="str">
        <f aca="false">IF(I762="","",I762-H762)</f>
        <v/>
      </c>
      <c r="Q762" s="10" t="n">
        <f aca="false">VLOOKUP(G762,$AA$2:$AB$5,2,FALSE())</f>
        <v>30</v>
      </c>
      <c r="R762" s="7" t="n">
        <f aca="false">IF(OR(F762="Open",F762="Reopened"),1,0)</f>
        <v>1</v>
      </c>
      <c r="S762" s="7" t="n">
        <f aca="false">IF(AND(H762&gt;='Exec Summary'!$E$1,H762&lt;='Exec Summary'!$E$2),1,0)</f>
        <v>0</v>
      </c>
      <c r="T762" s="7" t="n">
        <f aca="false">IF(AND(F762="Closed",I762&lt;&gt;"",I762&gt;='Exec Summary'!$E$1,I762&lt;='Exec Summary'!$E$2),1,0)</f>
        <v>0</v>
      </c>
      <c r="U762" s="7" t="n">
        <f aca="false">IF(F762="Reopened",1,0)</f>
        <v>0</v>
      </c>
      <c r="V762" s="7" t="n">
        <f aca="false">IF(AND(R762=1,O762&gt;Q762),1,0)</f>
        <v>1</v>
      </c>
      <c r="W762" s="7" t="n">
        <f aca="false">IF(AND(T762=1,P762&lt;&gt;"",P762&lt;=Q762),1,0)</f>
        <v>0</v>
      </c>
    </row>
    <row r="763" customFormat="false" ht="15" hidden="false" customHeight="false" outlineLevel="0" collapsed="false">
      <c r="A763" s="7" t="s">
        <v>982</v>
      </c>
      <c r="B763" s="7" t="s">
        <v>135</v>
      </c>
      <c r="C763" s="7" t="s">
        <v>247</v>
      </c>
      <c r="D763" s="7" t="s">
        <v>145</v>
      </c>
      <c r="E763" s="7" t="s">
        <v>146</v>
      </c>
      <c r="F763" s="7" t="s">
        <v>50</v>
      </c>
      <c r="G763" s="7" t="s">
        <v>19</v>
      </c>
      <c r="H763" s="9" t="n">
        <v>46202</v>
      </c>
      <c r="I763" s="9" t="n">
        <v>46210</v>
      </c>
      <c r="J763" s="7" t="n">
        <v>9.8</v>
      </c>
      <c r="K763" s="7" t="s">
        <v>771</v>
      </c>
      <c r="L763" s="7" t="s">
        <v>19</v>
      </c>
      <c r="M763" s="7" t="s">
        <v>987</v>
      </c>
      <c r="N763" s="7" t="s">
        <v>58</v>
      </c>
      <c r="O763" s="10" t="n">
        <f aca="false">'Exec Summary'!$E$2-H763</f>
        <v>32</v>
      </c>
      <c r="P763" s="10" t="n">
        <f aca="false">IF(I763="","",I763-H763)</f>
        <v>8</v>
      </c>
      <c r="Q763" s="10" t="n">
        <f aca="false">VLOOKUP(G763,$AA$2:$AB$5,2,FALSE())</f>
        <v>15</v>
      </c>
      <c r="R763" s="7" t="n">
        <f aca="false">IF(OR(F763="Open",F763="Reopened"),1,0)</f>
        <v>0</v>
      </c>
      <c r="S763" s="7" t="n">
        <f aca="false">IF(AND(H763&gt;='Exec Summary'!$E$1,H763&lt;='Exec Summary'!$E$2),1,0)</f>
        <v>0</v>
      </c>
      <c r="T763" s="7" t="n">
        <f aca="false">IF(AND(F763="Closed",I763&lt;&gt;"",I763&gt;='Exec Summary'!$E$1,I763&lt;='Exec Summary'!$E$2),1,0)</f>
        <v>1</v>
      </c>
      <c r="U763" s="7" t="n">
        <f aca="false">IF(F763="Reopened",1,0)</f>
        <v>0</v>
      </c>
      <c r="V763" s="7" t="n">
        <f aca="false">IF(AND(R763=1,O763&gt;Q763),1,0)</f>
        <v>0</v>
      </c>
      <c r="W763" s="7" t="n">
        <f aca="false">IF(AND(T763=1,P763&lt;&gt;"",P763&lt;=Q763),1,0)</f>
        <v>1</v>
      </c>
    </row>
    <row r="764" customFormat="false" ht="15" hidden="false" customHeight="false" outlineLevel="0" collapsed="false">
      <c r="A764" s="7" t="s">
        <v>982</v>
      </c>
      <c r="B764" s="7" t="s">
        <v>135</v>
      </c>
      <c r="C764" s="7" t="s">
        <v>247</v>
      </c>
      <c r="D764" s="7" t="s">
        <v>81</v>
      </c>
      <c r="E764" s="7" t="s">
        <v>82</v>
      </c>
      <c r="F764" s="7" t="s">
        <v>56</v>
      </c>
      <c r="G764" s="7" t="s">
        <v>20</v>
      </c>
      <c r="H764" s="9" t="n">
        <v>46010</v>
      </c>
      <c r="I764" s="9"/>
      <c r="J764" s="7" t="n">
        <v>7.8</v>
      </c>
      <c r="K764" s="7" t="s">
        <v>771</v>
      </c>
      <c r="L764" s="7" t="s">
        <v>19</v>
      </c>
      <c r="M764" s="7" t="s">
        <v>988</v>
      </c>
      <c r="N764" s="7" t="s">
        <v>53</v>
      </c>
      <c r="O764" s="10" t="n">
        <f aca="false">'Exec Summary'!$E$2-H764</f>
        <v>224</v>
      </c>
      <c r="P764" s="10" t="str">
        <f aca="false">IF(I764="","",I764-H764)</f>
        <v/>
      </c>
      <c r="Q764" s="10" t="n">
        <f aca="false">VLOOKUP(G764,$AA$2:$AB$5,2,FALSE())</f>
        <v>30</v>
      </c>
      <c r="R764" s="7" t="n">
        <f aca="false">IF(OR(F764="Open",F764="Reopened"),1,0)</f>
        <v>1</v>
      </c>
      <c r="S764" s="7" t="n">
        <f aca="false">IF(AND(H764&gt;='Exec Summary'!$E$1,H764&lt;='Exec Summary'!$E$2),1,0)</f>
        <v>0</v>
      </c>
      <c r="T764" s="7" t="n">
        <f aca="false">IF(AND(F764="Closed",I764&lt;&gt;"",I764&gt;='Exec Summary'!$E$1,I764&lt;='Exec Summary'!$E$2),1,0)</f>
        <v>0</v>
      </c>
      <c r="U764" s="7" t="n">
        <f aca="false">IF(F764="Reopened",1,0)</f>
        <v>0</v>
      </c>
      <c r="V764" s="7" t="n">
        <f aca="false">IF(AND(R764=1,O764&gt;Q764),1,0)</f>
        <v>1</v>
      </c>
      <c r="W764" s="7" t="n">
        <f aca="false">IF(AND(T764=1,P764&lt;&gt;"",P764&lt;=Q764),1,0)</f>
        <v>0</v>
      </c>
    </row>
    <row r="765" customFormat="false" ht="15" hidden="false" customHeight="false" outlineLevel="0" collapsed="false">
      <c r="A765" s="7" t="s">
        <v>989</v>
      </c>
      <c r="B765" s="7" t="s">
        <v>135</v>
      </c>
      <c r="C765" s="7" t="s">
        <v>247</v>
      </c>
      <c r="D765" s="7" t="s">
        <v>74</v>
      </c>
      <c r="E765" s="7" t="s">
        <v>75</v>
      </c>
      <c r="F765" s="7" t="s">
        <v>50</v>
      </c>
      <c r="G765" s="7" t="s">
        <v>21</v>
      </c>
      <c r="H765" s="9" t="n">
        <v>46196</v>
      </c>
      <c r="I765" s="9" t="n">
        <v>46234</v>
      </c>
      <c r="J765" s="7" t="n">
        <v>6.5</v>
      </c>
      <c r="K765" s="7" t="s">
        <v>771</v>
      </c>
      <c r="L765" s="7" t="s">
        <v>19</v>
      </c>
      <c r="M765" s="7" t="s">
        <v>990</v>
      </c>
      <c r="N765" s="7" t="s">
        <v>77</v>
      </c>
      <c r="O765" s="10" t="n">
        <f aca="false">'Exec Summary'!$E$2-H765</f>
        <v>38</v>
      </c>
      <c r="P765" s="10" t="n">
        <f aca="false">IF(I765="","",I765-H765)</f>
        <v>38</v>
      </c>
      <c r="Q765" s="10" t="n">
        <f aca="false">VLOOKUP(G765,$AA$2:$AB$5,2,FALSE())</f>
        <v>90</v>
      </c>
      <c r="R765" s="7" t="n">
        <f aca="false">IF(OR(F765="Open",F765="Reopened"),1,0)</f>
        <v>0</v>
      </c>
      <c r="S765" s="7" t="n">
        <f aca="false">IF(AND(H765&gt;='Exec Summary'!$E$1,H765&lt;='Exec Summary'!$E$2),1,0)</f>
        <v>0</v>
      </c>
      <c r="T765" s="7" t="n">
        <f aca="false">IF(AND(F765="Closed",I765&lt;&gt;"",I765&gt;='Exec Summary'!$E$1,I765&lt;='Exec Summary'!$E$2),1,0)</f>
        <v>1</v>
      </c>
      <c r="U765" s="7" t="n">
        <f aca="false">IF(F765="Reopened",1,0)</f>
        <v>0</v>
      </c>
      <c r="V765" s="7" t="n">
        <f aca="false">IF(AND(R765=1,O765&gt;Q765),1,0)</f>
        <v>0</v>
      </c>
      <c r="W765" s="7" t="n">
        <f aca="false">IF(AND(T765=1,P765&lt;&gt;"",P765&lt;=Q765),1,0)</f>
        <v>1</v>
      </c>
    </row>
    <row r="766" customFormat="false" ht="15" hidden="false" customHeight="false" outlineLevel="0" collapsed="false">
      <c r="A766" s="7" t="s">
        <v>989</v>
      </c>
      <c r="B766" s="7" t="s">
        <v>135</v>
      </c>
      <c r="C766" s="7" t="s">
        <v>247</v>
      </c>
      <c r="D766" s="7" t="s">
        <v>192</v>
      </c>
      <c r="E766" s="7" t="s">
        <v>193</v>
      </c>
      <c r="F766" s="7" t="s">
        <v>56</v>
      </c>
      <c r="G766" s="7" t="s">
        <v>19</v>
      </c>
      <c r="H766" s="9" t="n">
        <v>46171</v>
      </c>
      <c r="I766" s="9"/>
      <c r="J766" s="7" t="n">
        <v>9.8</v>
      </c>
      <c r="K766" s="7" t="s">
        <v>771</v>
      </c>
      <c r="L766" s="7" t="s">
        <v>19</v>
      </c>
      <c r="M766" s="7" t="s">
        <v>991</v>
      </c>
      <c r="N766" s="7" t="s">
        <v>58</v>
      </c>
      <c r="O766" s="10" t="n">
        <f aca="false">'Exec Summary'!$E$2-H766</f>
        <v>63</v>
      </c>
      <c r="P766" s="10" t="str">
        <f aca="false">IF(I766="","",I766-H766)</f>
        <v/>
      </c>
      <c r="Q766" s="10" t="n">
        <f aca="false">VLOOKUP(G766,$AA$2:$AB$5,2,FALSE())</f>
        <v>15</v>
      </c>
      <c r="R766" s="7" t="n">
        <f aca="false">IF(OR(F766="Open",F766="Reopened"),1,0)</f>
        <v>1</v>
      </c>
      <c r="S766" s="7" t="n">
        <f aca="false">IF(AND(H766&gt;='Exec Summary'!$E$1,H766&lt;='Exec Summary'!$E$2),1,0)</f>
        <v>0</v>
      </c>
      <c r="T766" s="7" t="n">
        <f aca="false">IF(AND(F766="Closed",I766&lt;&gt;"",I766&gt;='Exec Summary'!$E$1,I766&lt;='Exec Summary'!$E$2),1,0)</f>
        <v>0</v>
      </c>
      <c r="U766" s="7" t="n">
        <f aca="false">IF(F766="Reopened",1,0)</f>
        <v>0</v>
      </c>
      <c r="V766" s="7" t="n">
        <f aca="false">IF(AND(R766=1,O766&gt;Q766),1,0)</f>
        <v>1</v>
      </c>
      <c r="W766" s="7" t="n">
        <f aca="false">IF(AND(T766=1,P766&lt;&gt;"",P766&lt;=Q766),1,0)</f>
        <v>0</v>
      </c>
    </row>
    <row r="767" customFormat="false" ht="15" hidden="false" customHeight="false" outlineLevel="0" collapsed="false">
      <c r="A767" s="7" t="s">
        <v>992</v>
      </c>
      <c r="B767" s="7" t="s">
        <v>46</v>
      </c>
      <c r="C767" s="7" t="s">
        <v>79</v>
      </c>
      <c r="D767" s="7" t="s">
        <v>117</v>
      </c>
      <c r="E767" s="7" t="s">
        <v>118</v>
      </c>
      <c r="F767" s="7" t="s">
        <v>56</v>
      </c>
      <c r="G767" s="7" t="s">
        <v>19</v>
      </c>
      <c r="H767" s="9" t="n">
        <v>46166</v>
      </c>
      <c r="I767" s="9"/>
      <c r="J767" s="7" t="n">
        <v>10</v>
      </c>
      <c r="K767" s="7" t="s">
        <v>771</v>
      </c>
      <c r="L767" s="7" t="s">
        <v>19</v>
      </c>
      <c r="M767" s="7" t="s">
        <v>993</v>
      </c>
      <c r="N767" s="7" t="s">
        <v>58</v>
      </c>
      <c r="O767" s="10" t="n">
        <f aca="false">'Exec Summary'!$E$2-H767</f>
        <v>68</v>
      </c>
      <c r="P767" s="10" t="str">
        <f aca="false">IF(I767="","",I767-H767)</f>
        <v/>
      </c>
      <c r="Q767" s="10" t="n">
        <f aca="false">VLOOKUP(G767,$AA$2:$AB$5,2,FALSE())</f>
        <v>15</v>
      </c>
      <c r="R767" s="7" t="n">
        <f aca="false">IF(OR(F767="Open",F767="Reopened"),1,0)</f>
        <v>1</v>
      </c>
      <c r="S767" s="7" t="n">
        <f aca="false">IF(AND(H767&gt;='Exec Summary'!$E$1,H767&lt;='Exec Summary'!$E$2),1,0)</f>
        <v>0</v>
      </c>
      <c r="T767" s="7" t="n">
        <f aca="false">IF(AND(F767="Closed",I767&lt;&gt;"",I767&gt;='Exec Summary'!$E$1,I767&lt;='Exec Summary'!$E$2),1,0)</f>
        <v>0</v>
      </c>
      <c r="U767" s="7" t="n">
        <f aca="false">IF(F767="Reopened",1,0)</f>
        <v>0</v>
      </c>
      <c r="V767" s="7" t="n">
        <f aca="false">IF(AND(R767=1,O767&gt;Q767),1,0)</f>
        <v>1</v>
      </c>
      <c r="W767" s="7" t="n">
        <f aca="false">IF(AND(T767=1,P767&lt;&gt;"",P767&lt;=Q767),1,0)</f>
        <v>0</v>
      </c>
    </row>
    <row r="768" customFormat="false" ht="15" hidden="false" customHeight="false" outlineLevel="0" collapsed="false">
      <c r="A768" s="7" t="s">
        <v>992</v>
      </c>
      <c r="B768" s="7" t="s">
        <v>46</v>
      </c>
      <c r="C768" s="7" t="s">
        <v>79</v>
      </c>
      <c r="D768" s="7" t="s">
        <v>112</v>
      </c>
      <c r="E768" s="7" t="s">
        <v>113</v>
      </c>
      <c r="F768" s="7" t="s">
        <v>50</v>
      </c>
      <c r="G768" s="7" t="s">
        <v>20</v>
      </c>
      <c r="H768" s="9" t="n">
        <v>46069</v>
      </c>
      <c r="I768" s="9" t="n">
        <v>46112</v>
      </c>
      <c r="J768" s="7" t="n">
        <v>7.8</v>
      </c>
      <c r="K768" s="7" t="s">
        <v>771</v>
      </c>
      <c r="L768" s="7" t="s">
        <v>19</v>
      </c>
      <c r="M768" s="7" t="s">
        <v>994</v>
      </c>
      <c r="N768" s="7" t="s">
        <v>53</v>
      </c>
      <c r="O768" s="10" t="n">
        <f aca="false">'Exec Summary'!$E$2-H768</f>
        <v>165</v>
      </c>
      <c r="P768" s="10" t="n">
        <f aca="false">IF(I768="","",I768-H768)</f>
        <v>43</v>
      </c>
      <c r="Q768" s="10" t="n">
        <f aca="false">VLOOKUP(G768,$AA$2:$AB$5,2,FALSE())</f>
        <v>30</v>
      </c>
      <c r="R768" s="7" t="n">
        <f aca="false">IF(OR(F768="Open",F768="Reopened"),1,0)</f>
        <v>0</v>
      </c>
      <c r="S768" s="7" t="n">
        <f aca="false">IF(AND(H768&gt;='Exec Summary'!$E$1,H768&lt;='Exec Summary'!$E$2),1,0)</f>
        <v>0</v>
      </c>
      <c r="T768" s="7" t="n">
        <f aca="false">IF(AND(F768="Closed",I768&lt;&gt;"",I768&gt;='Exec Summary'!$E$1,I768&lt;='Exec Summary'!$E$2),1,0)</f>
        <v>0</v>
      </c>
      <c r="U768" s="7" t="n">
        <f aca="false">IF(F768="Reopened",1,0)</f>
        <v>0</v>
      </c>
      <c r="V768" s="7" t="n">
        <f aca="false">IF(AND(R768=1,O768&gt;Q768),1,0)</f>
        <v>0</v>
      </c>
      <c r="W768" s="7" t="n">
        <f aca="false">IF(AND(T768=1,P768&lt;&gt;"",P768&lt;=Q768),1,0)</f>
        <v>0</v>
      </c>
    </row>
    <row r="769" customFormat="false" ht="15" hidden="false" customHeight="false" outlineLevel="0" collapsed="false">
      <c r="A769" s="7" t="s">
        <v>992</v>
      </c>
      <c r="B769" s="7" t="s">
        <v>46</v>
      </c>
      <c r="C769" s="7" t="s">
        <v>79</v>
      </c>
      <c r="D769" s="7" t="s">
        <v>48</v>
      </c>
      <c r="E769" s="7" t="s">
        <v>49</v>
      </c>
      <c r="F769" s="7" t="s">
        <v>56</v>
      </c>
      <c r="G769" s="7" t="s">
        <v>20</v>
      </c>
      <c r="H769" s="9" t="n">
        <v>46066</v>
      </c>
      <c r="I769" s="9"/>
      <c r="J769" s="7" t="n">
        <v>7.5</v>
      </c>
      <c r="K769" s="7" t="s">
        <v>771</v>
      </c>
      <c r="L769" s="7" t="s">
        <v>19</v>
      </c>
      <c r="M769" s="7" t="s">
        <v>995</v>
      </c>
      <c r="N769" s="7" t="s">
        <v>53</v>
      </c>
      <c r="O769" s="10" t="n">
        <f aca="false">'Exec Summary'!$E$2-H769</f>
        <v>168</v>
      </c>
      <c r="P769" s="10" t="str">
        <f aca="false">IF(I769="","",I769-H769)</f>
        <v/>
      </c>
      <c r="Q769" s="10" t="n">
        <f aca="false">VLOOKUP(G769,$AA$2:$AB$5,2,FALSE())</f>
        <v>30</v>
      </c>
      <c r="R769" s="7" t="n">
        <f aca="false">IF(OR(F769="Open",F769="Reopened"),1,0)</f>
        <v>1</v>
      </c>
      <c r="S769" s="7" t="n">
        <f aca="false">IF(AND(H769&gt;='Exec Summary'!$E$1,H769&lt;='Exec Summary'!$E$2),1,0)</f>
        <v>0</v>
      </c>
      <c r="T769" s="7" t="n">
        <f aca="false">IF(AND(F769="Closed",I769&lt;&gt;"",I769&gt;='Exec Summary'!$E$1,I769&lt;='Exec Summary'!$E$2),1,0)</f>
        <v>0</v>
      </c>
      <c r="U769" s="7" t="n">
        <f aca="false">IF(F769="Reopened",1,0)</f>
        <v>0</v>
      </c>
      <c r="V769" s="7" t="n">
        <f aca="false">IF(AND(R769=1,O769&gt;Q769),1,0)</f>
        <v>1</v>
      </c>
      <c r="W769" s="7" t="n">
        <f aca="false">IF(AND(T769=1,P769&lt;&gt;"",P769&lt;=Q769),1,0)</f>
        <v>0</v>
      </c>
    </row>
    <row r="770" customFormat="false" ht="15" hidden="false" customHeight="false" outlineLevel="0" collapsed="false">
      <c r="A770" s="7" t="s">
        <v>992</v>
      </c>
      <c r="B770" s="7" t="s">
        <v>46</v>
      </c>
      <c r="C770" s="7" t="s">
        <v>79</v>
      </c>
      <c r="D770" s="7" t="s">
        <v>120</v>
      </c>
      <c r="E770" s="7" t="s">
        <v>121</v>
      </c>
      <c r="F770" s="7" t="s">
        <v>123</v>
      </c>
      <c r="G770" s="7" t="s">
        <v>19</v>
      </c>
      <c r="H770" s="9" t="n">
        <v>46156</v>
      </c>
      <c r="I770" s="9" t="n">
        <v>46161</v>
      </c>
      <c r="J770" s="7" t="n">
        <v>8.8</v>
      </c>
      <c r="K770" s="7" t="s">
        <v>771</v>
      </c>
      <c r="L770" s="7" t="s">
        <v>19</v>
      </c>
      <c r="M770" s="7" t="s">
        <v>996</v>
      </c>
      <c r="N770" s="7" t="s">
        <v>58</v>
      </c>
      <c r="O770" s="10" t="n">
        <f aca="false">'Exec Summary'!$E$2-H770</f>
        <v>78</v>
      </c>
      <c r="P770" s="10" t="n">
        <f aca="false">IF(I770="","",I770-H770)</f>
        <v>5</v>
      </c>
      <c r="Q770" s="10" t="n">
        <f aca="false">VLOOKUP(G770,$AA$2:$AB$5,2,FALSE())</f>
        <v>15</v>
      </c>
      <c r="R770" s="7" t="n">
        <f aca="false">IF(OR(F770="Open",F770="Reopened"),1,0)</f>
        <v>1</v>
      </c>
      <c r="S770" s="7" t="n">
        <f aca="false">IF(AND(H770&gt;='Exec Summary'!$E$1,H770&lt;='Exec Summary'!$E$2),1,0)</f>
        <v>0</v>
      </c>
      <c r="T770" s="7" t="n">
        <f aca="false">IF(AND(F770="Closed",I770&lt;&gt;"",I770&gt;='Exec Summary'!$E$1,I770&lt;='Exec Summary'!$E$2),1,0)</f>
        <v>0</v>
      </c>
      <c r="U770" s="7" t="n">
        <f aca="false">IF(F770="Reopened",1,0)</f>
        <v>1</v>
      </c>
      <c r="V770" s="7" t="n">
        <f aca="false">IF(AND(R770=1,O770&gt;Q770),1,0)</f>
        <v>1</v>
      </c>
      <c r="W770" s="7" t="n">
        <f aca="false">IF(AND(T770=1,P770&lt;&gt;"",P770&lt;=Q770),1,0)</f>
        <v>0</v>
      </c>
    </row>
    <row r="771" customFormat="false" ht="15" hidden="false" customHeight="false" outlineLevel="0" collapsed="false">
      <c r="A771" s="7" t="s">
        <v>992</v>
      </c>
      <c r="B771" s="7" t="s">
        <v>46</v>
      </c>
      <c r="C771" s="7" t="s">
        <v>79</v>
      </c>
      <c r="D771" s="7" t="s">
        <v>81</v>
      </c>
      <c r="E771" s="7" t="s">
        <v>82</v>
      </c>
      <c r="F771" s="7" t="s">
        <v>50</v>
      </c>
      <c r="G771" s="7" t="s">
        <v>20</v>
      </c>
      <c r="H771" s="9" t="n">
        <v>45940</v>
      </c>
      <c r="I771" s="9" t="n">
        <v>45942</v>
      </c>
      <c r="J771" s="7" t="n">
        <v>7.8</v>
      </c>
      <c r="K771" s="7" t="s">
        <v>771</v>
      </c>
      <c r="L771" s="7" t="s">
        <v>19</v>
      </c>
      <c r="M771" s="7" t="s">
        <v>997</v>
      </c>
      <c r="N771" s="7" t="s">
        <v>53</v>
      </c>
      <c r="O771" s="10" t="n">
        <f aca="false">'Exec Summary'!$E$2-H771</f>
        <v>294</v>
      </c>
      <c r="P771" s="10" t="n">
        <f aca="false">IF(I771="","",I771-H771)</f>
        <v>2</v>
      </c>
      <c r="Q771" s="10" t="n">
        <f aca="false">VLOOKUP(G771,$AA$2:$AB$5,2,FALSE())</f>
        <v>30</v>
      </c>
      <c r="R771" s="7" t="n">
        <f aca="false">IF(OR(F771="Open",F771="Reopened"),1,0)</f>
        <v>0</v>
      </c>
      <c r="S771" s="7" t="n">
        <f aca="false">IF(AND(H771&gt;='Exec Summary'!$E$1,H771&lt;='Exec Summary'!$E$2),1,0)</f>
        <v>0</v>
      </c>
      <c r="T771" s="7" t="n">
        <f aca="false">IF(AND(F771="Closed",I771&lt;&gt;"",I771&gt;='Exec Summary'!$E$1,I771&lt;='Exec Summary'!$E$2),1,0)</f>
        <v>0</v>
      </c>
      <c r="U771" s="7" t="n">
        <f aca="false">IF(F771="Reopened",1,0)</f>
        <v>0</v>
      </c>
      <c r="V771" s="7" t="n">
        <f aca="false">IF(AND(R771=1,O771&gt;Q771),1,0)</f>
        <v>0</v>
      </c>
      <c r="W771" s="7" t="n">
        <f aca="false">IF(AND(T771=1,P771&lt;&gt;"",P771&lt;=Q771),1,0)</f>
        <v>0</v>
      </c>
    </row>
    <row r="772" customFormat="false" ht="15" hidden="false" customHeight="false" outlineLevel="0" collapsed="false">
      <c r="A772" s="7" t="s">
        <v>992</v>
      </c>
      <c r="B772" s="7" t="s">
        <v>46</v>
      </c>
      <c r="C772" s="7" t="s">
        <v>79</v>
      </c>
      <c r="D772" s="7" t="s">
        <v>145</v>
      </c>
      <c r="E772" s="7" t="s">
        <v>146</v>
      </c>
      <c r="F772" s="7" t="s">
        <v>56</v>
      </c>
      <c r="G772" s="7" t="s">
        <v>19</v>
      </c>
      <c r="H772" s="9" t="n">
        <v>46089</v>
      </c>
      <c r="I772" s="9"/>
      <c r="J772" s="7" t="n">
        <v>9.8</v>
      </c>
      <c r="K772" s="7" t="s">
        <v>771</v>
      </c>
      <c r="L772" s="7" t="s">
        <v>19</v>
      </c>
      <c r="M772" s="7" t="s">
        <v>998</v>
      </c>
      <c r="N772" s="7" t="s">
        <v>58</v>
      </c>
      <c r="O772" s="10" t="n">
        <f aca="false">'Exec Summary'!$E$2-H772</f>
        <v>145</v>
      </c>
      <c r="P772" s="10" t="str">
        <f aca="false">IF(I772="","",I772-H772)</f>
        <v/>
      </c>
      <c r="Q772" s="10" t="n">
        <f aca="false">VLOOKUP(G772,$AA$2:$AB$5,2,FALSE())</f>
        <v>15</v>
      </c>
      <c r="R772" s="7" t="n">
        <f aca="false">IF(OR(F772="Open",F772="Reopened"),1,0)</f>
        <v>1</v>
      </c>
      <c r="S772" s="7" t="n">
        <f aca="false">IF(AND(H772&gt;='Exec Summary'!$E$1,H772&lt;='Exec Summary'!$E$2),1,0)</f>
        <v>0</v>
      </c>
      <c r="T772" s="7" t="n">
        <f aca="false">IF(AND(F772="Closed",I772&lt;&gt;"",I772&gt;='Exec Summary'!$E$1,I772&lt;='Exec Summary'!$E$2),1,0)</f>
        <v>0</v>
      </c>
      <c r="U772" s="7" t="n">
        <f aca="false">IF(F772="Reopened",1,0)</f>
        <v>0</v>
      </c>
      <c r="V772" s="7" t="n">
        <f aca="false">IF(AND(R772=1,O772&gt;Q772),1,0)</f>
        <v>1</v>
      </c>
      <c r="W772" s="7" t="n">
        <f aca="false">IF(AND(T772=1,P772&lt;&gt;"",P772&lt;=Q772),1,0)</f>
        <v>0</v>
      </c>
    </row>
    <row r="773" customFormat="false" ht="15" hidden="false" customHeight="false" outlineLevel="0" collapsed="false">
      <c r="A773" s="7" t="s">
        <v>992</v>
      </c>
      <c r="B773" s="7" t="s">
        <v>46</v>
      </c>
      <c r="C773" s="7" t="s">
        <v>79</v>
      </c>
      <c r="D773" s="7" t="s">
        <v>192</v>
      </c>
      <c r="E773" s="7" t="s">
        <v>193</v>
      </c>
      <c r="F773" s="7" t="s">
        <v>56</v>
      </c>
      <c r="G773" s="7" t="s">
        <v>19</v>
      </c>
      <c r="H773" s="9" t="n">
        <v>46136</v>
      </c>
      <c r="I773" s="9"/>
      <c r="J773" s="7" t="n">
        <v>9.8</v>
      </c>
      <c r="K773" s="7" t="s">
        <v>771</v>
      </c>
      <c r="L773" s="7" t="s">
        <v>19</v>
      </c>
      <c r="M773" s="7" t="s">
        <v>999</v>
      </c>
      <c r="N773" s="7" t="s">
        <v>58</v>
      </c>
      <c r="O773" s="10" t="n">
        <f aca="false">'Exec Summary'!$E$2-H773</f>
        <v>98</v>
      </c>
      <c r="P773" s="10" t="str">
        <f aca="false">IF(I773="","",I773-H773)</f>
        <v/>
      </c>
      <c r="Q773" s="10" t="n">
        <f aca="false">VLOOKUP(G773,$AA$2:$AB$5,2,FALSE())</f>
        <v>15</v>
      </c>
      <c r="R773" s="7" t="n">
        <f aca="false">IF(OR(F773="Open",F773="Reopened"),1,0)</f>
        <v>1</v>
      </c>
      <c r="S773" s="7" t="n">
        <f aca="false">IF(AND(H773&gt;='Exec Summary'!$E$1,H773&lt;='Exec Summary'!$E$2),1,0)</f>
        <v>0</v>
      </c>
      <c r="T773" s="7" t="n">
        <f aca="false">IF(AND(F773="Closed",I773&lt;&gt;"",I773&gt;='Exec Summary'!$E$1,I773&lt;='Exec Summary'!$E$2),1,0)</f>
        <v>0</v>
      </c>
      <c r="U773" s="7" t="n">
        <f aca="false">IF(F773="Reopened",1,0)</f>
        <v>0</v>
      </c>
      <c r="V773" s="7" t="n">
        <f aca="false">IF(AND(R773=1,O773&gt;Q773),1,0)</f>
        <v>1</v>
      </c>
      <c r="W773" s="7" t="n">
        <f aca="false">IF(AND(T773=1,P773&lt;&gt;"",P773&lt;=Q773),1,0)</f>
        <v>0</v>
      </c>
    </row>
    <row r="774" customFormat="false" ht="15" hidden="false" customHeight="false" outlineLevel="0" collapsed="false">
      <c r="A774" s="7" t="s">
        <v>992</v>
      </c>
      <c r="B774" s="7" t="s">
        <v>46</v>
      </c>
      <c r="C774" s="7" t="s">
        <v>79</v>
      </c>
      <c r="D774" s="7" t="s">
        <v>84</v>
      </c>
      <c r="E774" s="7" t="s">
        <v>85</v>
      </c>
      <c r="F774" s="7" t="s">
        <v>50</v>
      </c>
      <c r="G774" s="7" t="s">
        <v>20</v>
      </c>
      <c r="H774" s="9" t="n">
        <v>45998</v>
      </c>
      <c r="I774" s="9" t="n">
        <v>46023</v>
      </c>
      <c r="J774" s="7" t="n">
        <v>7.5</v>
      </c>
      <c r="K774" s="7" t="s">
        <v>771</v>
      </c>
      <c r="L774" s="7" t="s">
        <v>19</v>
      </c>
      <c r="M774" s="7" t="s">
        <v>1000</v>
      </c>
      <c r="N774" s="7" t="s">
        <v>53</v>
      </c>
      <c r="O774" s="10" t="n">
        <f aca="false">'Exec Summary'!$E$2-H774</f>
        <v>236</v>
      </c>
      <c r="P774" s="10" t="n">
        <f aca="false">IF(I774="","",I774-H774)</f>
        <v>25</v>
      </c>
      <c r="Q774" s="10" t="n">
        <f aca="false">VLOOKUP(G774,$AA$2:$AB$5,2,FALSE())</f>
        <v>30</v>
      </c>
      <c r="R774" s="7" t="n">
        <f aca="false">IF(OR(F774="Open",F774="Reopened"),1,0)</f>
        <v>0</v>
      </c>
      <c r="S774" s="7" t="n">
        <f aca="false">IF(AND(H774&gt;='Exec Summary'!$E$1,H774&lt;='Exec Summary'!$E$2),1,0)</f>
        <v>0</v>
      </c>
      <c r="T774" s="7" t="n">
        <f aca="false">IF(AND(F774="Closed",I774&lt;&gt;"",I774&gt;='Exec Summary'!$E$1,I774&lt;='Exec Summary'!$E$2),1,0)</f>
        <v>0</v>
      </c>
      <c r="U774" s="7" t="n">
        <f aca="false">IF(F774="Reopened",1,0)</f>
        <v>0</v>
      </c>
      <c r="V774" s="7" t="n">
        <f aca="false">IF(AND(R774=1,O774&gt;Q774),1,0)</f>
        <v>0</v>
      </c>
      <c r="W774" s="7" t="n">
        <f aca="false">IF(AND(T774=1,P774&lt;&gt;"",P774&lt;=Q774),1,0)</f>
        <v>0</v>
      </c>
    </row>
    <row r="775" customFormat="false" ht="15" hidden="false" customHeight="false" outlineLevel="0" collapsed="false">
      <c r="A775" s="7" t="s">
        <v>992</v>
      </c>
      <c r="B775" s="7" t="s">
        <v>46</v>
      </c>
      <c r="C775" s="7" t="s">
        <v>79</v>
      </c>
      <c r="D775" s="7" t="s">
        <v>62</v>
      </c>
      <c r="E775" s="7" t="s">
        <v>63</v>
      </c>
      <c r="F775" s="7" t="s">
        <v>56</v>
      </c>
      <c r="G775" s="7" t="s">
        <v>20</v>
      </c>
      <c r="H775" s="9" t="n">
        <v>46030</v>
      </c>
      <c r="I775" s="9"/>
      <c r="J775" s="7" t="n">
        <v>8.1</v>
      </c>
      <c r="K775" s="7" t="s">
        <v>771</v>
      </c>
      <c r="L775" s="7" t="s">
        <v>19</v>
      </c>
      <c r="M775" s="7" t="s">
        <v>1001</v>
      </c>
      <c r="N775" s="7" t="s">
        <v>53</v>
      </c>
      <c r="O775" s="10" t="n">
        <f aca="false">'Exec Summary'!$E$2-H775</f>
        <v>204</v>
      </c>
      <c r="P775" s="10" t="str">
        <f aca="false">IF(I775="","",I775-H775)</f>
        <v/>
      </c>
      <c r="Q775" s="10" t="n">
        <f aca="false">VLOOKUP(G775,$AA$2:$AB$5,2,FALSE())</f>
        <v>30</v>
      </c>
      <c r="R775" s="7" t="n">
        <f aca="false">IF(OR(F775="Open",F775="Reopened"),1,0)</f>
        <v>1</v>
      </c>
      <c r="S775" s="7" t="n">
        <f aca="false">IF(AND(H775&gt;='Exec Summary'!$E$1,H775&lt;='Exec Summary'!$E$2),1,0)</f>
        <v>0</v>
      </c>
      <c r="T775" s="7" t="n">
        <f aca="false">IF(AND(F775="Closed",I775&lt;&gt;"",I775&gt;='Exec Summary'!$E$1,I775&lt;='Exec Summary'!$E$2),1,0)</f>
        <v>0</v>
      </c>
      <c r="U775" s="7" t="n">
        <f aca="false">IF(F775="Reopened",1,0)</f>
        <v>0</v>
      </c>
      <c r="V775" s="7" t="n">
        <f aca="false">IF(AND(R775=1,O775&gt;Q775),1,0)</f>
        <v>1</v>
      </c>
      <c r="W775" s="7" t="n">
        <f aca="false">IF(AND(T775=1,P775&lt;&gt;"",P775&lt;=Q775),1,0)</f>
        <v>0</v>
      </c>
    </row>
    <row r="776" customFormat="false" ht="15" hidden="false" customHeight="false" outlineLevel="0" collapsed="false">
      <c r="A776" s="7" t="s">
        <v>992</v>
      </c>
      <c r="B776" s="7" t="s">
        <v>46</v>
      </c>
      <c r="C776" s="7" t="s">
        <v>79</v>
      </c>
      <c r="D776" s="7" t="s">
        <v>87</v>
      </c>
      <c r="E776" s="7" t="s">
        <v>88</v>
      </c>
      <c r="F776" s="7" t="s">
        <v>56</v>
      </c>
      <c r="G776" s="7" t="s">
        <v>19</v>
      </c>
      <c r="H776" s="9" t="n">
        <v>46180</v>
      </c>
      <c r="I776" s="9"/>
      <c r="J776" s="7" t="n">
        <v>10</v>
      </c>
      <c r="K776" s="7" t="s">
        <v>771</v>
      </c>
      <c r="L776" s="7" t="s">
        <v>19</v>
      </c>
      <c r="M776" s="7" t="s">
        <v>1002</v>
      </c>
      <c r="N776" s="7" t="s">
        <v>58</v>
      </c>
      <c r="O776" s="10" t="n">
        <f aca="false">'Exec Summary'!$E$2-H776</f>
        <v>54</v>
      </c>
      <c r="P776" s="10" t="str">
        <f aca="false">IF(I776="","",I776-H776)</f>
        <v/>
      </c>
      <c r="Q776" s="10" t="n">
        <f aca="false">VLOOKUP(G776,$AA$2:$AB$5,2,FALSE())</f>
        <v>15</v>
      </c>
      <c r="R776" s="7" t="n">
        <f aca="false">IF(OR(F776="Open",F776="Reopened"),1,0)</f>
        <v>1</v>
      </c>
      <c r="S776" s="7" t="n">
        <f aca="false">IF(AND(H776&gt;='Exec Summary'!$E$1,H776&lt;='Exec Summary'!$E$2),1,0)</f>
        <v>0</v>
      </c>
      <c r="T776" s="7" t="n">
        <f aca="false">IF(AND(F776="Closed",I776&lt;&gt;"",I776&gt;='Exec Summary'!$E$1,I776&lt;='Exec Summary'!$E$2),1,0)</f>
        <v>0</v>
      </c>
      <c r="U776" s="7" t="n">
        <f aca="false">IF(F776="Reopened",1,0)</f>
        <v>0</v>
      </c>
      <c r="V776" s="7" t="n">
        <f aca="false">IF(AND(R776=1,O776&gt;Q776),1,0)</f>
        <v>1</v>
      </c>
      <c r="W776" s="7" t="n">
        <f aca="false">IF(AND(T776=1,P776&lt;&gt;"",P776&lt;=Q776),1,0)</f>
        <v>0</v>
      </c>
    </row>
    <row r="777" customFormat="false" ht="15" hidden="false" customHeight="false" outlineLevel="0" collapsed="false">
      <c r="A777" s="7" t="s">
        <v>992</v>
      </c>
      <c r="B777" s="7" t="s">
        <v>46</v>
      </c>
      <c r="C777" s="7" t="s">
        <v>79</v>
      </c>
      <c r="D777" s="7" t="s">
        <v>163</v>
      </c>
      <c r="E777" s="7" t="s">
        <v>164</v>
      </c>
      <c r="F777" s="7" t="s">
        <v>56</v>
      </c>
      <c r="G777" s="7" t="s">
        <v>19</v>
      </c>
      <c r="H777" s="9" t="n">
        <v>46157</v>
      </c>
      <c r="I777" s="9"/>
      <c r="J777" s="7" t="n">
        <v>9.1</v>
      </c>
      <c r="K777" s="7" t="s">
        <v>771</v>
      </c>
      <c r="L777" s="7" t="s">
        <v>19</v>
      </c>
      <c r="M777" s="7" t="s">
        <v>1003</v>
      </c>
      <c r="N777" s="7" t="s">
        <v>58</v>
      </c>
      <c r="O777" s="10" t="n">
        <f aca="false">'Exec Summary'!$E$2-H777</f>
        <v>77</v>
      </c>
      <c r="P777" s="10" t="str">
        <f aca="false">IF(I777="","",I777-H777)</f>
        <v/>
      </c>
      <c r="Q777" s="10" t="n">
        <f aca="false">VLOOKUP(G777,$AA$2:$AB$5,2,FALSE())</f>
        <v>15</v>
      </c>
      <c r="R777" s="7" t="n">
        <f aca="false">IF(OR(F777="Open",F777="Reopened"),1,0)</f>
        <v>1</v>
      </c>
      <c r="S777" s="7" t="n">
        <f aca="false">IF(AND(H777&gt;='Exec Summary'!$E$1,H777&lt;='Exec Summary'!$E$2),1,0)</f>
        <v>0</v>
      </c>
      <c r="T777" s="7" t="n">
        <f aca="false">IF(AND(F777="Closed",I777&lt;&gt;"",I777&gt;='Exec Summary'!$E$1,I777&lt;='Exec Summary'!$E$2),1,0)</f>
        <v>0</v>
      </c>
      <c r="U777" s="7" t="n">
        <f aca="false">IF(F777="Reopened",1,0)</f>
        <v>0</v>
      </c>
      <c r="V777" s="7" t="n">
        <f aca="false">IF(AND(R777=1,O777&gt;Q777),1,0)</f>
        <v>1</v>
      </c>
      <c r="W777" s="7" t="n">
        <f aca="false">IF(AND(T777=1,P777&lt;&gt;"",P777&lt;=Q777),1,0)</f>
        <v>0</v>
      </c>
    </row>
    <row r="778" customFormat="false" ht="15" hidden="false" customHeight="false" outlineLevel="0" collapsed="false">
      <c r="A778" s="7" t="s">
        <v>992</v>
      </c>
      <c r="B778" s="7" t="s">
        <v>46</v>
      </c>
      <c r="C778" s="7" t="s">
        <v>79</v>
      </c>
      <c r="D778" s="7" t="s">
        <v>71</v>
      </c>
      <c r="E778" s="7" t="s">
        <v>72</v>
      </c>
      <c r="F778" s="7" t="s">
        <v>123</v>
      </c>
      <c r="G778" s="7" t="s">
        <v>19</v>
      </c>
      <c r="H778" s="9" t="n">
        <v>45978</v>
      </c>
      <c r="I778" s="9" t="n">
        <v>45981</v>
      </c>
      <c r="J778" s="7" t="n">
        <v>9.8</v>
      </c>
      <c r="K778" s="7" t="s">
        <v>771</v>
      </c>
      <c r="L778" s="7" t="s">
        <v>19</v>
      </c>
      <c r="M778" s="7" t="s">
        <v>1004</v>
      </c>
      <c r="N778" s="7" t="s">
        <v>58</v>
      </c>
      <c r="O778" s="10" t="n">
        <f aca="false">'Exec Summary'!$E$2-H778</f>
        <v>256</v>
      </c>
      <c r="P778" s="10" t="n">
        <f aca="false">IF(I778="","",I778-H778)</f>
        <v>3</v>
      </c>
      <c r="Q778" s="10" t="n">
        <f aca="false">VLOOKUP(G778,$AA$2:$AB$5,2,FALSE())</f>
        <v>15</v>
      </c>
      <c r="R778" s="7" t="n">
        <f aca="false">IF(OR(F778="Open",F778="Reopened"),1,0)</f>
        <v>1</v>
      </c>
      <c r="S778" s="7" t="n">
        <f aca="false">IF(AND(H778&gt;='Exec Summary'!$E$1,H778&lt;='Exec Summary'!$E$2),1,0)</f>
        <v>0</v>
      </c>
      <c r="T778" s="7" t="n">
        <f aca="false">IF(AND(F778="Closed",I778&lt;&gt;"",I778&gt;='Exec Summary'!$E$1,I778&lt;='Exec Summary'!$E$2),1,0)</f>
        <v>0</v>
      </c>
      <c r="U778" s="7" t="n">
        <f aca="false">IF(F778="Reopened",1,0)</f>
        <v>1</v>
      </c>
      <c r="V778" s="7" t="n">
        <f aca="false">IF(AND(R778=1,O778&gt;Q778),1,0)</f>
        <v>1</v>
      </c>
      <c r="W778" s="7" t="n">
        <f aca="false">IF(AND(T778=1,P778&lt;&gt;"",P778&lt;=Q778),1,0)</f>
        <v>0</v>
      </c>
    </row>
    <row r="779" customFormat="false" ht="15" hidden="false" customHeight="false" outlineLevel="0" collapsed="false">
      <c r="A779" s="7" t="s">
        <v>1005</v>
      </c>
      <c r="B779" s="7" t="s">
        <v>135</v>
      </c>
      <c r="C779" s="7" t="s">
        <v>247</v>
      </c>
      <c r="D779" s="7" t="s">
        <v>71</v>
      </c>
      <c r="E779" s="7" t="s">
        <v>72</v>
      </c>
      <c r="F779" s="7" t="s">
        <v>50</v>
      </c>
      <c r="G779" s="7" t="s">
        <v>19</v>
      </c>
      <c r="H779" s="9" t="n">
        <v>45938</v>
      </c>
      <c r="I779" s="9" t="n">
        <v>45950</v>
      </c>
      <c r="J779" s="7" t="n">
        <v>9.8</v>
      </c>
      <c r="K779" s="7" t="s">
        <v>771</v>
      </c>
      <c r="L779" s="7" t="s">
        <v>22</v>
      </c>
      <c r="M779" s="7" t="s">
        <v>1006</v>
      </c>
      <c r="N779" s="7" t="s">
        <v>58</v>
      </c>
      <c r="O779" s="10" t="n">
        <f aca="false">'Exec Summary'!$E$2-H779</f>
        <v>296</v>
      </c>
      <c r="P779" s="10" t="n">
        <f aca="false">IF(I779="","",I779-H779)</f>
        <v>12</v>
      </c>
      <c r="Q779" s="10" t="n">
        <f aca="false">VLOOKUP(G779,$AA$2:$AB$5,2,FALSE())</f>
        <v>15</v>
      </c>
      <c r="R779" s="7" t="n">
        <f aca="false">IF(OR(F779="Open",F779="Reopened"),1,0)</f>
        <v>0</v>
      </c>
      <c r="S779" s="7" t="n">
        <f aca="false">IF(AND(H779&gt;='Exec Summary'!$E$1,H779&lt;='Exec Summary'!$E$2),1,0)</f>
        <v>0</v>
      </c>
      <c r="T779" s="7" t="n">
        <f aca="false">IF(AND(F779="Closed",I779&lt;&gt;"",I779&gt;='Exec Summary'!$E$1,I779&lt;='Exec Summary'!$E$2),1,0)</f>
        <v>0</v>
      </c>
      <c r="U779" s="7" t="n">
        <f aca="false">IF(F779="Reopened",1,0)</f>
        <v>0</v>
      </c>
      <c r="V779" s="7" t="n">
        <f aca="false">IF(AND(R779=1,O779&gt;Q779),1,0)</f>
        <v>0</v>
      </c>
      <c r="W779" s="7" t="n">
        <f aca="false">IF(AND(T779=1,P779&lt;&gt;"",P779&lt;=Q779),1,0)</f>
        <v>0</v>
      </c>
    </row>
    <row r="780" customFormat="false" ht="15" hidden="false" customHeight="false" outlineLevel="0" collapsed="false">
      <c r="A780" s="7" t="s">
        <v>1005</v>
      </c>
      <c r="B780" s="7" t="s">
        <v>135</v>
      </c>
      <c r="C780" s="7" t="s">
        <v>247</v>
      </c>
      <c r="D780" s="7" t="s">
        <v>54</v>
      </c>
      <c r="E780" s="7" t="s">
        <v>55</v>
      </c>
      <c r="F780" s="7" t="s">
        <v>56</v>
      </c>
      <c r="G780" s="7" t="s">
        <v>19</v>
      </c>
      <c r="H780" s="9" t="n">
        <v>46146</v>
      </c>
      <c r="I780" s="9"/>
      <c r="J780" s="7" t="n">
        <v>9.8</v>
      </c>
      <c r="K780" s="7" t="s">
        <v>771</v>
      </c>
      <c r="L780" s="7" t="s">
        <v>22</v>
      </c>
      <c r="M780" s="7" t="s">
        <v>1007</v>
      </c>
      <c r="N780" s="7" t="s">
        <v>58</v>
      </c>
      <c r="O780" s="10" t="n">
        <f aca="false">'Exec Summary'!$E$2-H780</f>
        <v>88</v>
      </c>
      <c r="P780" s="10" t="str">
        <f aca="false">IF(I780="","",I780-H780)</f>
        <v/>
      </c>
      <c r="Q780" s="10" t="n">
        <f aca="false">VLOOKUP(G780,$AA$2:$AB$5,2,FALSE())</f>
        <v>15</v>
      </c>
      <c r="R780" s="7" t="n">
        <f aca="false">IF(OR(F780="Open",F780="Reopened"),1,0)</f>
        <v>1</v>
      </c>
      <c r="S780" s="7" t="n">
        <f aca="false">IF(AND(H780&gt;='Exec Summary'!$E$1,H780&lt;='Exec Summary'!$E$2),1,0)</f>
        <v>0</v>
      </c>
      <c r="T780" s="7" t="n">
        <f aca="false">IF(AND(F780="Closed",I780&lt;&gt;"",I780&gt;='Exec Summary'!$E$1,I780&lt;='Exec Summary'!$E$2),1,0)</f>
        <v>0</v>
      </c>
      <c r="U780" s="7" t="n">
        <f aca="false">IF(F780="Reopened",1,0)</f>
        <v>0</v>
      </c>
      <c r="V780" s="7" t="n">
        <f aca="false">IF(AND(R780=1,O780&gt;Q780),1,0)</f>
        <v>1</v>
      </c>
      <c r="W780" s="7" t="n">
        <f aca="false">IF(AND(T780=1,P780&lt;&gt;"",P780&lt;=Q780),1,0)</f>
        <v>0</v>
      </c>
    </row>
    <row r="781" customFormat="false" ht="15" hidden="false" customHeight="false" outlineLevel="0" collapsed="false">
      <c r="A781" s="7" t="s">
        <v>1005</v>
      </c>
      <c r="B781" s="7" t="s">
        <v>135</v>
      </c>
      <c r="C781" s="7" t="s">
        <v>247</v>
      </c>
      <c r="D781" s="7" t="s">
        <v>98</v>
      </c>
      <c r="E781" s="7" t="s">
        <v>99</v>
      </c>
      <c r="F781" s="7" t="s">
        <v>50</v>
      </c>
      <c r="G781" s="7" t="s">
        <v>19</v>
      </c>
      <c r="H781" s="9" t="n">
        <v>45952</v>
      </c>
      <c r="I781" s="9" t="n">
        <v>45954</v>
      </c>
      <c r="J781" s="7" t="n">
        <v>10</v>
      </c>
      <c r="K781" s="7" t="s">
        <v>771</v>
      </c>
      <c r="L781" s="7" t="s">
        <v>22</v>
      </c>
      <c r="M781" s="7" t="s">
        <v>1008</v>
      </c>
      <c r="N781" s="7" t="s">
        <v>58</v>
      </c>
      <c r="O781" s="10" t="n">
        <f aca="false">'Exec Summary'!$E$2-H781</f>
        <v>282</v>
      </c>
      <c r="P781" s="10" t="n">
        <f aca="false">IF(I781="","",I781-H781)</f>
        <v>2</v>
      </c>
      <c r="Q781" s="10" t="n">
        <f aca="false">VLOOKUP(G781,$AA$2:$AB$5,2,FALSE())</f>
        <v>15</v>
      </c>
      <c r="R781" s="7" t="n">
        <f aca="false">IF(OR(F781="Open",F781="Reopened"),1,0)</f>
        <v>0</v>
      </c>
      <c r="S781" s="7" t="n">
        <f aca="false">IF(AND(H781&gt;='Exec Summary'!$E$1,H781&lt;='Exec Summary'!$E$2),1,0)</f>
        <v>0</v>
      </c>
      <c r="T781" s="7" t="n">
        <f aca="false">IF(AND(F781="Closed",I781&lt;&gt;"",I781&gt;='Exec Summary'!$E$1,I781&lt;='Exec Summary'!$E$2),1,0)</f>
        <v>0</v>
      </c>
      <c r="U781" s="7" t="n">
        <f aca="false">IF(F781="Reopened",1,0)</f>
        <v>0</v>
      </c>
      <c r="V781" s="7" t="n">
        <f aca="false">IF(AND(R781=1,O781&gt;Q781),1,0)</f>
        <v>0</v>
      </c>
      <c r="W781" s="7" t="n">
        <f aca="false">IF(AND(T781=1,P781&lt;&gt;"",P781&lt;=Q781),1,0)</f>
        <v>0</v>
      </c>
    </row>
    <row r="782" customFormat="false" ht="15" hidden="false" customHeight="false" outlineLevel="0" collapsed="false">
      <c r="A782" s="7" t="s">
        <v>1005</v>
      </c>
      <c r="B782" s="7" t="s">
        <v>135</v>
      </c>
      <c r="C782" s="7" t="s">
        <v>247</v>
      </c>
      <c r="D782" s="7" t="s">
        <v>87</v>
      </c>
      <c r="E782" s="7" t="s">
        <v>88</v>
      </c>
      <c r="F782" s="7" t="s">
        <v>56</v>
      </c>
      <c r="G782" s="7" t="s">
        <v>19</v>
      </c>
      <c r="H782" s="9" t="n">
        <v>46052</v>
      </c>
      <c r="I782" s="9"/>
      <c r="J782" s="7" t="n">
        <v>10</v>
      </c>
      <c r="K782" s="7" t="s">
        <v>771</v>
      </c>
      <c r="L782" s="7" t="s">
        <v>22</v>
      </c>
      <c r="M782" s="7" t="s">
        <v>1009</v>
      </c>
      <c r="N782" s="7" t="s">
        <v>58</v>
      </c>
      <c r="O782" s="10" t="n">
        <f aca="false">'Exec Summary'!$E$2-H782</f>
        <v>182</v>
      </c>
      <c r="P782" s="10" t="str">
        <f aca="false">IF(I782="","",I782-H782)</f>
        <v/>
      </c>
      <c r="Q782" s="10" t="n">
        <f aca="false">VLOOKUP(G782,$AA$2:$AB$5,2,FALSE())</f>
        <v>15</v>
      </c>
      <c r="R782" s="7" t="n">
        <f aca="false">IF(OR(F782="Open",F782="Reopened"),1,0)</f>
        <v>1</v>
      </c>
      <c r="S782" s="7" t="n">
        <f aca="false">IF(AND(H782&gt;='Exec Summary'!$E$1,H782&lt;='Exec Summary'!$E$2),1,0)</f>
        <v>0</v>
      </c>
      <c r="T782" s="7" t="n">
        <f aca="false">IF(AND(F782="Closed",I782&lt;&gt;"",I782&gt;='Exec Summary'!$E$1,I782&lt;='Exec Summary'!$E$2),1,0)</f>
        <v>0</v>
      </c>
      <c r="U782" s="7" t="n">
        <f aca="false">IF(F782="Reopened",1,0)</f>
        <v>0</v>
      </c>
      <c r="V782" s="7" t="n">
        <f aca="false">IF(AND(R782=1,O782&gt;Q782),1,0)</f>
        <v>1</v>
      </c>
      <c r="W782" s="7" t="n">
        <f aca="false">IF(AND(T782=1,P782&lt;&gt;"",P782&lt;=Q782),1,0)</f>
        <v>0</v>
      </c>
    </row>
    <row r="783" customFormat="false" ht="15" hidden="false" customHeight="false" outlineLevel="0" collapsed="false">
      <c r="A783" s="7" t="s">
        <v>1005</v>
      </c>
      <c r="B783" s="7" t="s">
        <v>135</v>
      </c>
      <c r="C783" s="7" t="s">
        <v>247</v>
      </c>
      <c r="D783" s="7" t="s">
        <v>74</v>
      </c>
      <c r="E783" s="7" t="s">
        <v>75</v>
      </c>
      <c r="F783" s="7" t="s">
        <v>50</v>
      </c>
      <c r="G783" s="7" t="s">
        <v>21</v>
      </c>
      <c r="H783" s="9" t="n">
        <v>45943</v>
      </c>
      <c r="I783" s="9" t="n">
        <v>46015</v>
      </c>
      <c r="J783" s="7" t="n">
        <v>6.5</v>
      </c>
      <c r="K783" s="7" t="s">
        <v>771</v>
      </c>
      <c r="L783" s="7" t="s">
        <v>22</v>
      </c>
      <c r="M783" s="7" t="s">
        <v>1010</v>
      </c>
      <c r="N783" s="7" t="s">
        <v>77</v>
      </c>
      <c r="O783" s="10" t="n">
        <f aca="false">'Exec Summary'!$E$2-H783</f>
        <v>291</v>
      </c>
      <c r="P783" s="10" t="n">
        <f aca="false">IF(I783="","",I783-H783)</f>
        <v>72</v>
      </c>
      <c r="Q783" s="10" t="n">
        <f aca="false">VLOOKUP(G783,$AA$2:$AB$5,2,FALSE())</f>
        <v>90</v>
      </c>
      <c r="R783" s="7" t="n">
        <f aca="false">IF(OR(F783="Open",F783="Reopened"),1,0)</f>
        <v>0</v>
      </c>
      <c r="S783" s="7" t="n">
        <f aca="false">IF(AND(H783&gt;='Exec Summary'!$E$1,H783&lt;='Exec Summary'!$E$2),1,0)</f>
        <v>0</v>
      </c>
      <c r="T783" s="7" t="n">
        <f aca="false">IF(AND(F783="Closed",I783&lt;&gt;"",I783&gt;='Exec Summary'!$E$1,I783&lt;='Exec Summary'!$E$2),1,0)</f>
        <v>0</v>
      </c>
      <c r="U783" s="7" t="n">
        <f aca="false">IF(F783="Reopened",1,0)</f>
        <v>0</v>
      </c>
      <c r="V783" s="7" t="n">
        <f aca="false">IF(AND(R783=1,O783&gt;Q783),1,0)</f>
        <v>0</v>
      </c>
      <c r="W783" s="7" t="n">
        <f aca="false">IF(AND(T783=1,P783&lt;&gt;"",P783&lt;=Q783),1,0)</f>
        <v>0</v>
      </c>
    </row>
    <row r="784" customFormat="false" ht="15" hidden="false" customHeight="false" outlineLevel="0" collapsed="false">
      <c r="A784" s="7" t="s">
        <v>1005</v>
      </c>
      <c r="B784" s="7" t="s">
        <v>135</v>
      </c>
      <c r="C784" s="7" t="s">
        <v>247</v>
      </c>
      <c r="D784" s="7" t="s">
        <v>145</v>
      </c>
      <c r="E784" s="7" t="s">
        <v>146</v>
      </c>
      <c r="F784" s="7" t="s">
        <v>56</v>
      </c>
      <c r="G784" s="7" t="s">
        <v>19</v>
      </c>
      <c r="H784" s="9" t="n">
        <v>46071</v>
      </c>
      <c r="I784" s="9"/>
      <c r="J784" s="7" t="n">
        <v>9.8</v>
      </c>
      <c r="K784" s="7" t="s">
        <v>771</v>
      </c>
      <c r="L784" s="7" t="s">
        <v>22</v>
      </c>
      <c r="M784" s="7" t="s">
        <v>1011</v>
      </c>
      <c r="N784" s="7" t="s">
        <v>58</v>
      </c>
      <c r="O784" s="10" t="n">
        <f aca="false">'Exec Summary'!$E$2-H784</f>
        <v>163</v>
      </c>
      <c r="P784" s="10" t="str">
        <f aca="false">IF(I784="","",I784-H784)</f>
        <v/>
      </c>
      <c r="Q784" s="10" t="n">
        <f aca="false">VLOOKUP(G784,$AA$2:$AB$5,2,FALSE())</f>
        <v>15</v>
      </c>
      <c r="R784" s="7" t="n">
        <f aca="false">IF(OR(F784="Open",F784="Reopened"),1,0)</f>
        <v>1</v>
      </c>
      <c r="S784" s="7" t="n">
        <f aca="false">IF(AND(H784&gt;='Exec Summary'!$E$1,H784&lt;='Exec Summary'!$E$2),1,0)</f>
        <v>0</v>
      </c>
      <c r="T784" s="7" t="n">
        <f aca="false">IF(AND(F784="Closed",I784&lt;&gt;"",I784&gt;='Exec Summary'!$E$1,I784&lt;='Exec Summary'!$E$2),1,0)</f>
        <v>0</v>
      </c>
      <c r="U784" s="7" t="n">
        <f aca="false">IF(F784="Reopened",1,0)</f>
        <v>0</v>
      </c>
      <c r="V784" s="7" t="n">
        <f aca="false">IF(AND(R784=1,O784&gt;Q784),1,0)</f>
        <v>1</v>
      </c>
      <c r="W784" s="7" t="n">
        <f aca="false">IF(AND(T784=1,P784&lt;&gt;"",P784&lt;=Q784),1,0)</f>
        <v>0</v>
      </c>
    </row>
    <row r="785" customFormat="false" ht="15" hidden="false" customHeight="false" outlineLevel="0" collapsed="false">
      <c r="A785" s="7" t="s">
        <v>1005</v>
      </c>
      <c r="B785" s="7" t="s">
        <v>135</v>
      </c>
      <c r="C785" s="7" t="s">
        <v>247</v>
      </c>
      <c r="D785" s="7" t="s">
        <v>192</v>
      </c>
      <c r="E785" s="7" t="s">
        <v>193</v>
      </c>
      <c r="F785" s="7" t="s">
        <v>50</v>
      </c>
      <c r="G785" s="7" t="s">
        <v>19</v>
      </c>
      <c r="H785" s="9" t="n">
        <v>46176</v>
      </c>
      <c r="I785" s="9" t="n">
        <v>46180</v>
      </c>
      <c r="J785" s="7" t="n">
        <v>9.8</v>
      </c>
      <c r="K785" s="7" t="s">
        <v>771</v>
      </c>
      <c r="L785" s="7" t="s">
        <v>22</v>
      </c>
      <c r="M785" s="7" t="s">
        <v>1012</v>
      </c>
      <c r="N785" s="7" t="s">
        <v>58</v>
      </c>
      <c r="O785" s="10" t="n">
        <f aca="false">'Exec Summary'!$E$2-H785</f>
        <v>58</v>
      </c>
      <c r="P785" s="10" t="n">
        <f aca="false">IF(I785="","",I785-H785)</f>
        <v>4</v>
      </c>
      <c r="Q785" s="10" t="n">
        <f aca="false">VLOOKUP(G785,$AA$2:$AB$5,2,FALSE())</f>
        <v>15</v>
      </c>
      <c r="R785" s="7" t="n">
        <f aca="false">IF(OR(F785="Open",F785="Reopened"),1,0)</f>
        <v>0</v>
      </c>
      <c r="S785" s="7" t="n">
        <f aca="false">IF(AND(H785&gt;='Exec Summary'!$E$1,H785&lt;='Exec Summary'!$E$2),1,0)</f>
        <v>0</v>
      </c>
      <c r="T785" s="7" t="n">
        <f aca="false">IF(AND(F785="Closed",I785&lt;&gt;"",I785&gt;='Exec Summary'!$E$1,I785&lt;='Exec Summary'!$E$2),1,0)</f>
        <v>0</v>
      </c>
      <c r="U785" s="7" t="n">
        <f aca="false">IF(F785="Reopened",1,0)</f>
        <v>0</v>
      </c>
      <c r="V785" s="7" t="n">
        <f aca="false">IF(AND(R785=1,O785&gt;Q785),1,0)</f>
        <v>0</v>
      </c>
      <c r="W785" s="7" t="n">
        <f aca="false">IF(AND(T785=1,P785&lt;&gt;"",P785&lt;=Q785),1,0)</f>
        <v>0</v>
      </c>
    </row>
    <row r="786" customFormat="false" ht="15" hidden="false" customHeight="false" outlineLevel="0" collapsed="false">
      <c r="A786" s="7" t="s">
        <v>1005</v>
      </c>
      <c r="B786" s="7" t="s">
        <v>135</v>
      </c>
      <c r="C786" s="7" t="s">
        <v>247</v>
      </c>
      <c r="D786" s="7" t="s">
        <v>163</v>
      </c>
      <c r="E786" s="7" t="s">
        <v>164</v>
      </c>
      <c r="F786" s="7" t="s">
        <v>50</v>
      </c>
      <c r="G786" s="7" t="s">
        <v>19</v>
      </c>
      <c r="H786" s="9" t="n">
        <v>45944</v>
      </c>
      <c r="I786" s="9" t="n">
        <v>45948</v>
      </c>
      <c r="J786" s="7" t="n">
        <v>9.1</v>
      </c>
      <c r="K786" s="7" t="s">
        <v>771</v>
      </c>
      <c r="L786" s="7" t="s">
        <v>22</v>
      </c>
      <c r="M786" s="7" t="s">
        <v>1013</v>
      </c>
      <c r="N786" s="7" t="s">
        <v>58</v>
      </c>
      <c r="O786" s="10" t="n">
        <f aca="false">'Exec Summary'!$E$2-H786</f>
        <v>290</v>
      </c>
      <c r="P786" s="10" t="n">
        <f aca="false">IF(I786="","",I786-H786)</f>
        <v>4</v>
      </c>
      <c r="Q786" s="10" t="n">
        <f aca="false">VLOOKUP(G786,$AA$2:$AB$5,2,FALSE())</f>
        <v>15</v>
      </c>
      <c r="R786" s="7" t="n">
        <f aca="false">IF(OR(F786="Open",F786="Reopened"),1,0)</f>
        <v>0</v>
      </c>
      <c r="S786" s="7" t="n">
        <f aca="false">IF(AND(H786&gt;='Exec Summary'!$E$1,H786&lt;='Exec Summary'!$E$2),1,0)</f>
        <v>0</v>
      </c>
      <c r="T786" s="7" t="n">
        <f aca="false">IF(AND(F786="Closed",I786&lt;&gt;"",I786&gt;='Exec Summary'!$E$1,I786&lt;='Exec Summary'!$E$2),1,0)</f>
        <v>0</v>
      </c>
      <c r="U786" s="7" t="n">
        <f aca="false">IF(F786="Reopened",1,0)</f>
        <v>0</v>
      </c>
      <c r="V786" s="7" t="n">
        <f aca="false">IF(AND(R786=1,O786&gt;Q786),1,0)</f>
        <v>0</v>
      </c>
      <c r="W786" s="7" t="n">
        <f aca="false">IF(AND(T786=1,P786&lt;&gt;"",P786&lt;=Q786),1,0)</f>
        <v>0</v>
      </c>
    </row>
    <row r="787" customFormat="false" ht="15" hidden="false" customHeight="false" outlineLevel="0" collapsed="false">
      <c r="A787" s="7" t="s">
        <v>1014</v>
      </c>
      <c r="B787" s="7" t="s">
        <v>46</v>
      </c>
      <c r="C787" s="7" t="s">
        <v>128</v>
      </c>
      <c r="D787" s="7" t="s">
        <v>206</v>
      </c>
      <c r="E787" s="7" t="s">
        <v>207</v>
      </c>
      <c r="F787" s="7" t="s">
        <v>50</v>
      </c>
      <c r="G787" s="7" t="s">
        <v>20</v>
      </c>
      <c r="H787" s="9" t="n">
        <v>46010</v>
      </c>
      <c r="I787" s="9" t="n">
        <v>46028</v>
      </c>
      <c r="J787" s="7" t="n">
        <v>8.8</v>
      </c>
      <c r="K787" s="7" t="s">
        <v>1015</v>
      </c>
      <c r="L787" s="7" t="s">
        <v>19</v>
      </c>
      <c r="M787" s="7" t="s">
        <v>1016</v>
      </c>
      <c r="N787" s="7" t="s">
        <v>53</v>
      </c>
      <c r="O787" s="10" t="n">
        <f aca="false">'Exec Summary'!$E$2-H787</f>
        <v>224</v>
      </c>
      <c r="P787" s="10" t="n">
        <f aca="false">IF(I787="","",I787-H787)</f>
        <v>18</v>
      </c>
      <c r="Q787" s="10" t="n">
        <f aca="false">VLOOKUP(G787,$AA$2:$AB$5,2,FALSE())</f>
        <v>30</v>
      </c>
      <c r="R787" s="7" t="n">
        <f aca="false">IF(OR(F787="Open",F787="Reopened"),1,0)</f>
        <v>0</v>
      </c>
      <c r="S787" s="7" t="n">
        <f aca="false">IF(AND(H787&gt;='Exec Summary'!$E$1,H787&lt;='Exec Summary'!$E$2),1,0)</f>
        <v>0</v>
      </c>
      <c r="T787" s="7" t="n">
        <f aca="false">IF(AND(F787="Closed",I787&lt;&gt;"",I787&gt;='Exec Summary'!$E$1,I787&lt;='Exec Summary'!$E$2),1,0)</f>
        <v>0</v>
      </c>
      <c r="U787" s="7" t="n">
        <f aca="false">IF(F787="Reopened",1,0)</f>
        <v>0</v>
      </c>
      <c r="V787" s="7" t="n">
        <f aca="false">IF(AND(R787=1,O787&gt;Q787),1,0)</f>
        <v>0</v>
      </c>
      <c r="W787" s="7" t="n">
        <f aca="false">IF(AND(T787=1,P787&lt;&gt;"",P787&lt;=Q787),1,0)</f>
        <v>0</v>
      </c>
    </row>
    <row r="788" customFormat="false" ht="15" hidden="false" customHeight="false" outlineLevel="0" collapsed="false">
      <c r="A788" s="7" t="s">
        <v>1014</v>
      </c>
      <c r="B788" s="7" t="s">
        <v>46</v>
      </c>
      <c r="C788" s="7" t="s">
        <v>128</v>
      </c>
      <c r="D788" s="7" t="s">
        <v>117</v>
      </c>
      <c r="E788" s="7" t="s">
        <v>118</v>
      </c>
      <c r="F788" s="7" t="s">
        <v>56</v>
      </c>
      <c r="G788" s="7" t="s">
        <v>19</v>
      </c>
      <c r="H788" s="9" t="n">
        <v>46154</v>
      </c>
      <c r="I788" s="9"/>
      <c r="J788" s="7" t="n">
        <v>10</v>
      </c>
      <c r="K788" s="7" t="s">
        <v>1015</v>
      </c>
      <c r="L788" s="7" t="s">
        <v>19</v>
      </c>
      <c r="M788" s="7" t="s">
        <v>1017</v>
      </c>
      <c r="N788" s="7" t="s">
        <v>58</v>
      </c>
      <c r="O788" s="10" t="n">
        <f aca="false">'Exec Summary'!$E$2-H788</f>
        <v>80</v>
      </c>
      <c r="P788" s="10" t="str">
        <f aca="false">IF(I788="","",I788-H788)</f>
        <v/>
      </c>
      <c r="Q788" s="10" t="n">
        <f aca="false">VLOOKUP(G788,$AA$2:$AB$5,2,FALSE())</f>
        <v>15</v>
      </c>
      <c r="R788" s="7" t="n">
        <f aca="false">IF(OR(F788="Open",F788="Reopened"),1,0)</f>
        <v>1</v>
      </c>
      <c r="S788" s="7" t="n">
        <f aca="false">IF(AND(H788&gt;='Exec Summary'!$E$1,H788&lt;='Exec Summary'!$E$2),1,0)</f>
        <v>0</v>
      </c>
      <c r="T788" s="7" t="n">
        <f aca="false">IF(AND(F788="Closed",I788&lt;&gt;"",I788&gt;='Exec Summary'!$E$1,I788&lt;='Exec Summary'!$E$2),1,0)</f>
        <v>0</v>
      </c>
      <c r="U788" s="7" t="n">
        <f aca="false">IF(F788="Reopened",1,0)</f>
        <v>0</v>
      </c>
      <c r="V788" s="7" t="n">
        <f aca="false">IF(AND(R788=1,O788&gt;Q788),1,0)</f>
        <v>1</v>
      </c>
      <c r="W788" s="7" t="n">
        <f aca="false">IF(AND(T788=1,P788&lt;&gt;"",P788&lt;=Q788),1,0)</f>
        <v>0</v>
      </c>
    </row>
    <row r="789" customFormat="false" ht="15" hidden="false" customHeight="false" outlineLevel="0" collapsed="false">
      <c r="A789" s="7" t="s">
        <v>1014</v>
      </c>
      <c r="B789" s="7" t="s">
        <v>46</v>
      </c>
      <c r="C789" s="7" t="s">
        <v>128</v>
      </c>
      <c r="D789" s="7" t="s">
        <v>84</v>
      </c>
      <c r="E789" s="7" t="s">
        <v>85</v>
      </c>
      <c r="F789" s="7" t="s">
        <v>50</v>
      </c>
      <c r="G789" s="7" t="s">
        <v>20</v>
      </c>
      <c r="H789" s="9" t="n">
        <v>46170</v>
      </c>
      <c r="I789" s="9" t="n">
        <v>46184</v>
      </c>
      <c r="J789" s="7" t="n">
        <v>7.5</v>
      </c>
      <c r="K789" s="7" t="s">
        <v>1015</v>
      </c>
      <c r="L789" s="7" t="s">
        <v>19</v>
      </c>
      <c r="M789" s="7" t="s">
        <v>1018</v>
      </c>
      <c r="N789" s="7" t="s">
        <v>53</v>
      </c>
      <c r="O789" s="10" t="n">
        <f aca="false">'Exec Summary'!$E$2-H789</f>
        <v>64</v>
      </c>
      <c r="P789" s="10" t="n">
        <f aca="false">IF(I789="","",I789-H789)</f>
        <v>14</v>
      </c>
      <c r="Q789" s="10" t="n">
        <f aca="false">VLOOKUP(G789,$AA$2:$AB$5,2,FALSE())</f>
        <v>30</v>
      </c>
      <c r="R789" s="7" t="n">
        <f aca="false">IF(OR(F789="Open",F789="Reopened"),1,0)</f>
        <v>0</v>
      </c>
      <c r="S789" s="7" t="n">
        <f aca="false">IF(AND(H789&gt;='Exec Summary'!$E$1,H789&lt;='Exec Summary'!$E$2),1,0)</f>
        <v>0</v>
      </c>
      <c r="T789" s="7" t="n">
        <f aca="false">IF(AND(F789="Closed",I789&lt;&gt;"",I789&gt;='Exec Summary'!$E$1,I789&lt;='Exec Summary'!$E$2),1,0)</f>
        <v>0</v>
      </c>
      <c r="U789" s="7" t="n">
        <f aca="false">IF(F789="Reopened",1,0)</f>
        <v>0</v>
      </c>
      <c r="V789" s="7" t="n">
        <f aca="false">IF(AND(R789=1,O789&gt;Q789),1,0)</f>
        <v>0</v>
      </c>
      <c r="W789" s="7" t="n">
        <f aca="false">IF(AND(T789=1,P789&lt;&gt;"",P789&lt;=Q789),1,0)</f>
        <v>0</v>
      </c>
    </row>
    <row r="790" customFormat="false" ht="15" hidden="false" customHeight="false" outlineLevel="0" collapsed="false">
      <c r="A790" s="7" t="s">
        <v>1019</v>
      </c>
      <c r="B790" s="7" t="s">
        <v>46</v>
      </c>
      <c r="C790" s="7" t="s">
        <v>158</v>
      </c>
      <c r="D790" s="7" t="s">
        <v>120</v>
      </c>
      <c r="E790" s="7" t="s">
        <v>121</v>
      </c>
      <c r="F790" s="7" t="s">
        <v>50</v>
      </c>
      <c r="G790" s="7" t="s">
        <v>19</v>
      </c>
      <c r="H790" s="9" t="n">
        <v>46028</v>
      </c>
      <c r="I790" s="9" t="n">
        <v>46033</v>
      </c>
      <c r="J790" s="7" t="n">
        <v>8.8</v>
      </c>
      <c r="K790" s="7" t="s">
        <v>1015</v>
      </c>
      <c r="L790" s="7" t="s">
        <v>20</v>
      </c>
      <c r="M790" s="7" t="s">
        <v>1020</v>
      </c>
      <c r="N790" s="7" t="s">
        <v>58</v>
      </c>
      <c r="O790" s="10" t="n">
        <f aca="false">'Exec Summary'!$E$2-H790</f>
        <v>206</v>
      </c>
      <c r="P790" s="10" t="n">
        <f aca="false">IF(I790="","",I790-H790)</f>
        <v>5</v>
      </c>
      <c r="Q790" s="10" t="n">
        <f aca="false">VLOOKUP(G790,$AA$2:$AB$5,2,FALSE())</f>
        <v>15</v>
      </c>
      <c r="R790" s="7" t="n">
        <f aca="false">IF(OR(F790="Open",F790="Reopened"),1,0)</f>
        <v>0</v>
      </c>
      <c r="S790" s="7" t="n">
        <f aca="false">IF(AND(H790&gt;='Exec Summary'!$E$1,H790&lt;='Exec Summary'!$E$2),1,0)</f>
        <v>0</v>
      </c>
      <c r="T790" s="7" t="n">
        <f aca="false">IF(AND(F790="Closed",I790&lt;&gt;"",I790&gt;='Exec Summary'!$E$1,I790&lt;='Exec Summary'!$E$2),1,0)</f>
        <v>0</v>
      </c>
      <c r="U790" s="7" t="n">
        <f aca="false">IF(F790="Reopened",1,0)</f>
        <v>0</v>
      </c>
      <c r="V790" s="7" t="n">
        <f aca="false">IF(AND(R790=1,O790&gt;Q790),1,0)</f>
        <v>0</v>
      </c>
      <c r="W790" s="7" t="n">
        <f aca="false">IF(AND(T790=1,P790&lt;&gt;"",P790&lt;=Q790),1,0)</f>
        <v>0</v>
      </c>
    </row>
    <row r="791" customFormat="false" ht="15" hidden="false" customHeight="false" outlineLevel="0" collapsed="false">
      <c r="A791" s="7" t="s">
        <v>1019</v>
      </c>
      <c r="B791" s="7" t="s">
        <v>46</v>
      </c>
      <c r="C791" s="7" t="s">
        <v>158</v>
      </c>
      <c r="D791" s="7" t="s">
        <v>65</v>
      </c>
      <c r="E791" s="7" t="s">
        <v>66</v>
      </c>
      <c r="F791" s="7" t="s">
        <v>56</v>
      </c>
      <c r="G791" s="7" t="s">
        <v>19</v>
      </c>
      <c r="H791" s="9" t="n">
        <v>46169</v>
      </c>
      <c r="I791" s="9"/>
      <c r="J791" s="7" t="n">
        <v>9.8</v>
      </c>
      <c r="K791" s="7" t="s">
        <v>1015</v>
      </c>
      <c r="L791" s="7" t="s">
        <v>20</v>
      </c>
      <c r="M791" s="7" t="s">
        <v>1021</v>
      </c>
      <c r="N791" s="7" t="s">
        <v>58</v>
      </c>
      <c r="O791" s="10" t="n">
        <f aca="false">'Exec Summary'!$E$2-H791</f>
        <v>65</v>
      </c>
      <c r="P791" s="10" t="str">
        <f aca="false">IF(I791="","",I791-H791)</f>
        <v/>
      </c>
      <c r="Q791" s="10" t="n">
        <f aca="false">VLOOKUP(G791,$AA$2:$AB$5,2,FALSE())</f>
        <v>15</v>
      </c>
      <c r="R791" s="7" t="n">
        <f aca="false">IF(OR(F791="Open",F791="Reopened"),1,0)</f>
        <v>1</v>
      </c>
      <c r="S791" s="7" t="n">
        <f aca="false">IF(AND(H791&gt;='Exec Summary'!$E$1,H791&lt;='Exec Summary'!$E$2),1,0)</f>
        <v>0</v>
      </c>
      <c r="T791" s="7" t="n">
        <f aca="false">IF(AND(F791="Closed",I791&lt;&gt;"",I791&gt;='Exec Summary'!$E$1,I791&lt;='Exec Summary'!$E$2),1,0)</f>
        <v>0</v>
      </c>
      <c r="U791" s="7" t="n">
        <f aca="false">IF(F791="Reopened",1,0)</f>
        <v>0</v>
      </c>
      <c r="V791" s="7" t="n">
        <f aca="false">IF(AND(R791=1,O791&gt;Q791),1,0)</f>
        <v>1</v>
      </c>
      <c r="W791" s="7" t="n">
        <f aca="false">IF(AND(T791=1,P791&lt;&gt;"",P791&lt;=Q791),1,0)</f>
        <v>0</v>
      </c>
    </row>
    <row r="792" customFormat="false" ht="15" hidden="false" customHeight="false" outlineLevel="0" collapsed="false">
      <c r="A792" s="7" t="s">
        <v>1022</v>
      </c>
      <c r="B792" s="7" t="s">
        <v>46</v>
      </c>
      <c r="C792" s="7" t="s">
        <v>177</v>
      </c>
      <c r="D792" s="7" t="s">
        <v>104</v>
      </c>
      <c r="E792" s="7" t="s">
        <v>105</v>
      </c>
      <c r="F792" s="7" t="s">
        <v>50</v>
      </c>
      <c r="G792" s="7" t="s">
        <v>19</v>
      </c>
      <c r="H792" s="9" t="n">
        <v>46092</v>
      </c>
      <c r="I792" s="9" t="n">
        <v>46112</v>
      </c>
      <c r="J792" s="7" t="n">
        <v>9.8</v>
      </c>
      <c r="K792" s="7" t="s">
        <v>1015</v>
      </c>
      <c r="L792" s="7" t="s">
        <v>20</v>
      </c>
      <c r="M792" s="7" t="s">
        <v>1023</v>
      </c>
      <c r="N792" s="7" t="s">
        <v>58</v>
      </c>
      <c r="O792" s="10" t="n">
        <f aca="false">'Exec Summary'!$E$2-H792</f>
        <v>142</v>
      </c>
      <c r="P792" s="10" t="n">
        <f aca="false">IF(I792="","",I792-H792)</f>
        <v>20</v>
      </c>
      <c r="Q792" s="10" t="n">
        <f aca="false">VLOOKUP(G792,$AA$2:$AB$5,2,FALSE())</f>
        <v>15</v>
      </c>
      <c r="R792" s="7" t="n">
        <f aca="false">IF(OR(F792="Open",F792="Reopened"),1,0)</f>
        <v>0</v>
      </c>
      <c r="S792" s="7" t="n">
        <f aca="false">IF(AND(H792&gt;='Exec Summary'!$E$1,H792&lt;='Exec Summary'!$E$2),1,0)</f>
        <v>0</v>
      </c>
      <c r="T792" s="7" t="n">
        <f aca="false">IF(AND(F792="Closed",I792&lt;&gt;"",I792&gt;='Exec Summary'!$E$1,I792&lt;='Exec Summary'!$E$2),1,0)</f>
        <v>0</v>
      </c>
      <c r="U792" s="7" t="n">
        <f aca="false">IF(F792="Reopened",1,0)</f>
        <v>0</v>
      </c>
      <c r="V792" s="7" t="n">
        <f aca="false">IF(AND(R792=1,O792&gt;Q792),1,0)</f>
        <v>0</v>
      </c>
      <c r="W792" s="7" t="n">
        <f aca="false">IF(AND(T792=1,P792&lt;&gt;"",P792&lt;=Q792),1,0)</f>
        <v>0</v>
      </c>
    </row>
    <row r="793" customFormat="false" ht="15" hidden="false" customHeight="false" outlineLevel="0" collapsed="false">
      <c r="A793" s="7" t="s">
        <v>1022</v>
      </c>
      <c r="B793" s="7" t="s">
        <v>46</v>
      </c>
      <c r="C793" s="7" t="s">
        <v>177</v>
      </c>
      <c r="D793" s="7" t="s">
        <v>98</v>
      </c>
      <c r="E793" s="7" t="s">
        <v>99</v>
      </c>
      <c r="F793" s="7" t="s">
        <v>50</v>
      </c>
      <c r="G793" s="7" t="s">
        <v>19</v>
      </c>
      <c r="H793" s="9" t="n">
        <v>46027</v>
      </c>
      <c r="I793" s="9" t="n">
        <v>46035</v>
      </c>
      <c r="J793" s="7" t="n">
        <v>10</v>
      </c>
      <c r="K793" s="7" t="s">
        <v>1015</v>
      </c>
      <c r="L793" s="7" t="s">
        <v>20</v>
      </c>
      <c r="M793" s="7" t="s">
        <v>1024</v>
      </c>
      <c r="N793" s="7" t="s">
        <v>58</v>
      </c>
      <c r="O793" s="10" t="n">
        <f aca="false">'Exec Summary'!$E$2-H793</f>
        <v>207</v>
      </c>
      <c r="P793" s="10" t="n">
        <f aca="false">IF(I793="","",I793-H793)</f>
        <v>8</v>
      </c>
      <c r="Q793" s="10" t="n">
        <f aca="false">VLOOKUP(G793,$AA$2:$AB$5,2,FALSE())</f>
        <v>15</v>
      </c>
      <c r="R793" s="7" t="n">
        <f aca="false">IF(OR(F793="Open",F793="Reopened"),1,0)</f>
        <v>0</v>
      </c>
      <c r="S793" s="7" t="n">
        <f aca="false">IF(AND(H793&gt;='Exec Summary'!$E$1,H793&lt;='Exec Summary'!$E$2),1,0)</f>
        <v>0</v>
      </c>
      <c r="T793" s="7" t="n">
        <f aca="false">IF(AND(F793="Closed",I793&lt;&gt;"",I793&gt;='Exec Summary'!$E$1,I793&lt;='Exec Summary'!$E$2),1,0)</f>
        <v>0</v>
      </c>
      <c r="U793" s="7" t="n">
        <f aca="false">IF(F793="Reopened",1,0)</f>
        <v>0</v>
      </c>
      <c r="V793" s="7" t="n">
        <f aca="false">IF(AND(R793=1,O793&gt;Q793),1,0)</f>
        <v>0</v>
      </c>
      <c r="W793" s="7" t="n">
        <f aca="false">IF(AND(T793=1,P793&lt;&gt;"",P793&lt;=Q793),1,0)</f>
        <v>0</v>
      </c>
    </row>
    <row r="794" customFormat="false" ht="15" hidden="false" customHeight="false" outlineLevel="0" collapsed="false">
      <c r="A794" s="7" t="s">
        <v>1022</v>
      </c>
      <c r="B794" s="7" t="s">
        <v>46</v>
      </c>
      <c r="C794" s="7" t="s">
        <v>177</v>
      </c>
      <c r="D794" s="7" t="s">
        <v>74</v>
      </c>
      <c r="E794" s="7" t="s">
        <v>75</v>
      </c>
      <c r="F794" s="7" t="s">
        <v>56</v>
      </c>
      <c r="G794" s="7" t="s">
        <v>21</v>
      </c>
      <c r="H794" s="9" t="n">
        <v>45995</v>
      </c>
      <c r="I794" s="9"/>
      <c r="J794" s="7" t="n">
        <v>6.5</v>
      </c>
      <c r="K794" s="7" t="s">
        <v>1015</v>
      </c>
      <c r="L794" s="7" t="s">
        <v>20</v>
      </c>
      <c r="M794" s="7" t="s">
        <v>1025</v>
      </c>
      <c r="N794" s="7" t="s">
        <v>77</v>
      </c>
      <c r="O794" s="10" t="n">
        <f aca="false">'Exec Summary'!$E$2-H794</f>
        <v>239</v>
      </c>
      <c r="P794" s="10" t="str">
        <f aca="false">IF(I794="","",I794-H794)</f>
        <v/>
      </c>
      <c r="Q794" s="10" t="n">
        <f aca="false">VLOOKUP(G794,$AA$2:$AB$5,2,FALSE())</f>
        <v>90</v>
      </c>
      <c r="R794" s="7" t="n">
        <f aca="false">IF(OR(F794="Open",F794="Reopened"),1,0)</f>
        <v>1</v>
      </c>
      <c r="S794" s="7" t="n">
        <f aca="false">IF(AND(H794&gt;='Exec Summary'!$E$1,H794&lt;='Exec Summary'!$E$2),1,0)</f>
        <v>0</v>
      </c>
      <c r="T794" s="7" t="n">
        <f aca="false">IF(AND(F794="Closed",I794&lt;&gt;"",I794&gt;='Exec Summary'!$E$1,I794&lt;='Exec Summary'!$E$2),1,0)</f>
        <v>0</v>
      </c>
      <c r="U794" s="7" t="n">
        <f aca="false">IF(F794="Reopened",1,0)</f>
        <v>0</v>
      </c>
      <c r="V794" s="7" t="n">
        <f aca="false">IF(AND(R794=1,O794&gt;Q794),1,0)</f>
        <v>1</v>
      </c>
      <c r="W794" s="7" t="n">
        <f aca="false">IF(AND(T794=1,P794&lt;&gt;"",P794&lt;=Q794),1,0)</f>
        <v>0</v>
      </c>
    </row>
    <row r="795" customFormat="false" ht="15" hidden="false" customHeight="false" outlineLevel="0" collapsed="false">
      <c r="A795" s="7" t="s">
        <v>1022</v>
      </c>
      <c r="B795" s="7" t="s">
        <v>46</v>
      </c>
      <c r="C795" s="7" t="s">
        <v>177</v>
      </c>
      <c r="D795" s="7" t="s">
        <v>117</v>
      </c>
      <c r="E795" s="7" t="s">
        <v>118</v>
      </c>
      <c r="F795" s="7" t="s">
        <v>56</v>
      </c>
      <c r="G795" s="7" t="s">
        <v>19</v>
      </c>
      <c r="H795" s="9" t="n">
        <v>45946</v>
      </c>
      <c r="I795" s="9"/>
      <c r="J795" s="7" t="n">
        <v>10</v>
      </c>
      <c r="K795" s="7" t="s">
        <v>1015</v>
      </c>
      <c r="L795" s="7" t="s">
        <v>20</v>
      </c>
      <c r="M795" s="7" t="s">
        <v>1026</v>
      </c>
      <c r="N795" s="7" t="s">
        <v>58</v>
      </c>
      <c r="O795" s="10" t="n">
        <f aca="false">'Exec Summary'!$E$2-H795</f>
        <v>288</v>
      </c>
      <c r="P795" s="10" t="str">
        <f aca="false">IF(I795="","",I795-H795)</f>
        <v/>
      </c>
      <c r="Q795" s="10" t="n">
        <f aca="false">VLOOKUP(G795,$AA$2:$AB$5,2,FALSE())</f>
        <v>15</v>
      </c>
      <c r="R795" s="7" t="n">
        <f aca="false">IF(OR(F795="Open",F795="Reopened"),1,0)</f>
        <v>1</v>
      </c>
      <c r="S795" s="7" t="n">
        <f aca="false">IF(AND(H795&gt;='Exec Summary'!$E$1,H795&lt;='Exec Summary'!$E$2),1,0)</f>
        <v>0</v>
      </c>
      <c r="T795" s="7" t="n">
        <f aca="false">IF(AND(F795="Closed",I795&lt;&gt;"",I795&gt;='Exec Summary'!$E$1,I795&lt;='Exec Summary'!$E$2),1,0)</f>
        <v>0</v>
      </c>
      <c r="U795" s="7" t="n">
        <f aca="false">IF(F795="Reopened",1,0)</f>
        <v>0</v>
      </c>
      <c r="V795" s="7" t="n">
        <f aca="false">IF(AND(R795=1,O795&gt;Q795),1,0)</f>
        <v>1</v>
      </c>
      <c r="W795" s="7" t="n">
        <f aca="false">IF(AND(T795=1,P795&lt;&gt;"",P795&lt;=Q795),1,0)</f>
        <v>0</v>
      </c>
    </row>
    <row r="796" customFormat="false" ht="15" hidden="false" customHeight="false" outlineLevel="0" collapsed="false">
      <c r="A796" s="7" t="s">
        <v>1022</v>
      </c>
      <c r="B796" s="7" t="s">
        <v>46</v>
      </c>
      <c r="C796" s="7" t="s">
        <v>177</v>
      </c>
      <c r="D796" s="7" t="s">
        <v>71</v>
      </c>
      <c r="E796" s="7" t="s">
        <v>72</v>
      </c>
      <c r="F796" s="7" t="s">
        <v>50</v>
      </c>
      <c r="G796" s="7" t="s">
        <v>19</v>
      </c>
      <c r="H796" s="9" t="n">
        <v>46127</v>
      </c>
      <c r="I796" s="9" t="n">
        <v>46136</v>
      </c>
      <c r="J796" s="7" t="n">
        <v>9.8</v>
      </c>
      <c r="K796" s="7" t="s">
        <v>1015</v>
      </c>
      <c r="L796" s="7" t="s">
        <v>20</v>
      </c>
      <c r="M796" s="7" t="s">
        <v>1027</v>
      </c>
      <c r="N796" s="7" t="s">
        <v>58</v>
      </c>
      <c r="O796" s="10" t="n">
        <f aca="false">'Exec Summary'!$E$2-H796</f>
        <v>107</v>
      </c>
      <c r="P796" s="10" t="n">
        <f aca="false">IF(I796="","",I796-H796)</f>
        <v>9</v>
      </c>
      <c r="Q796" s="10" t="n">
        <f aca="false">VLOOKUP(G796,$AA$2:$AB$5,2,FALSE())</f>
        <v>15</v>
      </c>
      <c r="R796" s="7" t="n">
        <f aca="false">IF(OR(F796="Open",F796="Reopened"),1,0)</f>
        <v>0</v>
      </c>
      <c r="S796" s="7" t="n">
        <f aca="false">IF(AND(H796&gt;='Exec Summary'!$E$1,H796&lt;='Exec Summary'!$E$2),1,0)</f>
        <v>0</v>
      </c>
      <c r="T796" s="7" t="n">
        <f aca="false">IF(AND(F796="Closed",I796&lt;&gt;"",I796&gt;='Exec Summary'!$E$1,I796&lt;='Exec Summary'!$E$2),1,0)</f>
        <v>0</v>
      </c>
      <c r="U796" s="7" t="n">
        <f aca="false">IF(F796="Reopened",1,0)</f>
        <v>0</v>
      </c>
      <c r="V796" s="7" t="n">
        <f aca="false">IF(AND(R796=1,O796&gt;Q796),1,0)</f>
        <v>0</v>
      </c>
      <c r="W796" s="7" t="n">
        <f aca="false">IF(AND(T796=1,P796&lt;&gt;"",P796&lt;=Q796),1,0)</f>
        <v>0</v>
      </c>
    </row>
    <row r="797" customFormat="false" ht="15" hidden="false" customHeight="false" outlineLevel="0" collapsed="false">
      <c r="A797" s="7" t="s">
        <v>1022</v>
      </c>
      <c r="B797" s="7" t="s">
        <v>46</v>
      </c>
      <c r="C797" s="7" t="s">
        <v>177</v>
      </c>
      <c r="D797" s="7" t="s">
        <v>173</v>
      </c>
      <c r="E797" s="7" t="s">
        <v>174</v>
      </c>
      <c r="F797" s="7" t="s">
        <v>123</v>
      </c>
      <c r="G797" s="7" t="s">
        <v>19</v>
      </c>
      <c r="H797" s="9" t="n">
        <v>46179</v>
      </c>
      <c r="I797" s="9" t="n">
        <v>46199</v>
      </c>
      <c r="J797" s="7" t="n">
        <v>9.8</v>
      </c>
      <c r="K797" s="7" t="s">
        <v>1015</v>
      </c>
      <c r="L797" s="7" t="s">
        <v>20</v>
      </c>
      <c r="M797" s="7" t="s">
        <v>1028</v>
      </c>
      <c r="N797" s="7" t="s">
        <v>58</v>
      </c>
      <c r="O797" s="10" t="n">
        <f aca="false">'Exec Summary'!$E$2-H797</f>
        <v>55</v>
      </c>
      <c r="P797" s="10" t="n">
        <f aca="false">IF(I797="","",I797-H797)</f>
        <v>20</v>
      </c>
      <c r="Q797" s="10" t="n">
        <f aca="false">VLOOKUP(G797,$AA$2:$AB$5,2,FALSE())</f>
        <v>15</v>
      </c>
      <c r="R797" s="7" t="n">
        <f aca="false">IF(OR(F797="Open",F797="Reopened"),1,0)</f>
        <v>1</v>
      </c>
      <c r="S797" s="7" t="n">
        <f aca="false">IF(AND(H797&gt;='Exec Summary'!$E$1,H797&lt;='Exec Summary'!$E$2),1,0)</f>
        <v>0</v>
      </c>
      <c r="T797" s="7" t="n">
        <f aca="false">IF(AND(F797="Closed",I797&lt;&gt;"",I797&gt;='Exec Summary'!$E$1,I797&lt;='Exec Summary'!$E$2),1,0)</f>
        <v>0</v>
      </c>
      <c r="U797" s="7" t="n">
        <f aca="false">IF(F797="Reopened",1,0)</f>
        <v>1</v>
      </c>
      <c r="V797" s="7" t="n">
        <f aca="false">IF(AND(R797=1,O797&gt;Q797),1,0)</f>
        <v>1</v>
      </c>
      <c r="W797" s="7" t="n">
        <f aca="false">IF(AND(T797=1,P797&lt;&gt;"",P797&lt;=Q797),1,0)</f>
        <v>0</v>
      </c>
    </row>
    <row r="798" customFormat="false" ht="15" hidden="false" customHeight="false" outlineLevel="0" collapsed="false">
      <c r="A798" s="7" t="s">
        <v>1022</v>
      </c>
      <c r="B798" s="7" t="s">
        <v>46</v>
      </c>
      <c r="C798" s="7" t="s">
        <v>177</v>
      </c>
      <c r="D798" s="7" t="s">
        <v>152</v>
      </c>
      <c r="E798" s="7" t="s">
        <v>153</v>
      </c>
      <c r="F798" s="7" t="s">
        <v>56</v>
      </c>
      <c r="G798" s="7" t="s">
        <v>20</v>
      </c>
      <c r="H798" s="9" t="n">
        <v>46149</v>
      </c>
      <c r="I798" s="9"/>
      <c r="J798" s="7" t="n">
        <v>7.5</v>
      </c>
      <c r="K798" s="7" t="s">
        <v>1015</v>
      </c>
      <c r="L798" s="7" t="s">
        <v>20</v>
      </c>
      <c r="M798" s="7" t="s">
        <v>1029</v>
      </c>
      <c r="N798" s="7" t="s">
        <v>53</v>
      </c>
      <c r="O798" s="10" t="n">
        <f aca="false">'Exec Summary'!$E$2-H798</f>
        <v>85</v>
      </c>
      <c r="P798" s="10" t="str">
        <f aca="false">IF(I798="","",I798-H798)</f>
        <v/>
      </c>
      <c r="Q798" s="10" t="n">
        <f aca="false">VLOOKUP(G798,$AA$2:$AB$5,2,FALSE())</f>
        <v>30</v>
      </c>
      <c r="R798" s="7" t="n">
        <f aca="false">IF(OR(F798="Open",F798="Reopened"),1,0)</f>
        <v>1</v>
      </c>
      <c r="S798" s="7" t="n">
        <f aca="false">IF(AND(H798&gt;='Exec Summary'!$E$1,H798&lt;='Exec Summary'!$E$2),1,0)</f>
        <v>0</v>
      </c>
      <c r="T798" s="7" t="n">
        <f aca="false">IF(AND(F798="Closed",I798&lt;&gt;"",I798&gt;='Exec Summary'!$E$1,I798&lt;='Exec Summary'!$E$2),1,0)</f>
        <v>0</v>
      </c>
      <c r="U798" s="7" t="n">
        <f aca="false">IF(F798="Reopened",1,0)</f>
        <v>0</v>
      </c>
      <c r="V798" s="7" t="n">
        <f aca="false">IF(AND(R798=1,O798&gt;Q798),1,0)</f>
        <v>1</v>
      </c>
      <c r="W798" s="7" t="n">
        <f aca="false">IF(AND(T798=1,P798&lt;&gt;"",P798&lt;=Q798),1,0)</f>
        <v>0</v>
      </c>
    </row>
    <row r="799" customFormat="false" ht="15" hidden="false" customHeight="false" outlineLevel="0" collapsed="false">
      <c r="A799" s="7" t="s">
        <v>1022</v>
      </c>
      <c r="B799" s="7" t="s">
        <v>46</v>
      </c>
      <c r="C799" s="7" t="s">
        <v>177</v>
      </c>
      <c r="D799" s="7" t="s">
        <v>87</v>
      </c>
      <c r="E799" s="7" t="s">
        <v>88</v>
      </c>
      <c r="F799" s="7" t="s">
        <v>50</v>
      </c>
      <c r="G799" s="7" t="s">
        <v>19</v>
      </c>
      <c r="H799" s="9" t="n">
        <v>46136</v>
      </c>
      <c r="I799" s="9" t="n">
        <v>46137</v>
      </c>
      <c r="J799" s="7" t="n">
        <v>10</v>
      </c>
      <c r="K799" s="7" t="s">
        <v>1015</v>
      </c>
      <c r="L799" s="7" t="s">
        <v>20</v>
      </c>
      <c r="M799" s="7" t="s">
        <v>1030</v>
      </c>
      <c r="N799" s="7" t="s">
        <v>58</v>
      </c>
      <c r="O799" s="10" t="n">
        <f aca="false">'Exec Summary'!$E$2-H799</f>
        <v>98</v>
      </c>
      <c r="P799" s="10" t="n">
        <f aca="false">IF(I799="","",I799-H799)</f>
        <v>1</v>
      </c>
      <c r="Q799" s="10" t="n">
        <f aca="false">VLOOKUP(G799,$AA$2:$AB$5,2,FALSE())</f>
        <v>15</v>
      </c>
      <c r="R799" s="7" t="n">
        <f aca="false">IF(OR(F799="Open",F799="Reopened"),1,0)</f>
        <v>0</v>
      </c>
      <c r="S799" s="7" t="n">
        <f aca="false">IF(AND(H799&gt;='Exec Summary'!$E$1,H799&lt;='Exec Summary'!$E$2),1,0)</f>
        <v>0</v>
      </c>
      <c r="T799" s="7" t="n">
        <f aca="false">IF(AND(F799="Closed",I799&lt;&gt;"",I799&gt;='Exec Summary'!$E$1,I799&lt;='Exec Summary'!$E$2),1,0)</f>
        <v>0</v>
      </c>
      <c r="U799" s="7" t="n">
        <f aca="false">IF(F799="Reopened",1,0)</f>
        <v>0</v>
      </c>
      <c r="V799" s="7" t="n">
        <f aca="false">IF(AND(R799=1,O799&gt;Q799),1,0)</f>
        <v>0</v>
      </c>
      <c r="W799" s="7" t="n">
        <f aca="false">IF(AND(T799=1,P799&lt;&gt;"",P799&lt;=Q799),1,0)</f>
        <v>0</v>
      </c>
    </row>
    <row r="800" customFormat="false" ht="15" hidden="false" customHeight="false" outlineLevel="0" collapsed="false">
      <c r="A800" s="7" t="s">
        <v>1022</v>
      </c>
      <c r="B800" s="7" t="s">
        <v>46</v>
      </c>
      <c r="C800" s="7" t="s">
        <v>177</v>
      </c>
      <c r="D800" s="7" t="s">
        <v>210</v>
      </c>
      <c r="E800" s="7" t="s">
        <v>211</v>
      </c>
      <c r="F800" s="7" t="s">
        <v>56</v>
      </c>
      <c r="G800" s="7" t="s">
        <v>19</v>
      </c>
      <c r="H800" s="9" t="n">
        <v>46163</v>
      </c>
      <c r="I800" s="9"/>
      <c r="J800" s="7" t="n">
        <v>9.8</v>
      </c>
      <c r="K800" s="7" t="s">
        <v>1015</v>
      </c>
      <c r="L800" s="7" t="s">
        <v>20</v>
      </c>
      <c r="M800" s="7" t="s">
        <v>1031</v>
      </c>
      <c r="N800" s="7" t="s">
        <v>58</v>
      </c>
      <c r="O800" s="10" t="n">
        <f aca="false">'Exec Summary'!$E$2-H800</f>
        <v>71</v>
      </c>
      <c r="P800" s="10" t="str">
        <f aca="false">IF(I800="","",I800-H800)</f>
        <v/>
      </c>
      <c r="Q800" s="10" t="n">
        <f aca="false">VLOOKUP(G800,$AA$2:$AB$5,2,FALSE())</f>
        <v>15</v>
      </c>
      <c r="R800" s="7" t="n">
        <f aca="false">IF(OR(F800="Open",F800="Reopened"),1,0)</f>
        <v>1</v>
      </c>
      <c r="S800" s="7" t="n">
        <f aca="false">IF(AND(H800&gt;='Exec Summary'!$E$1,H800&lt;='Exec Summary'!$E$2),1,0)</f>
        <v>0</v>
      </c>
      <c r="T800" s="7" t="n">
        <f aca="false">IF(AND(F800="Closed",I800&lt;&gt;"",I800&gt;='Exec Summary'!$E$1,I800&lt;='Exec Summary'!$E$2),1,0)</f>
        <v>0</v>
      </c>
      <c r="U800" s="7" t="n">
        <f aca="false">IF(F800="Reopened",1,0)</f>
        <v>0</v>
      </c>
      <c r="V800" s="7" t="n">
        <f aca="false">IF(AND(R800=1,O800&gt;Q800),1,0)</f>
        <v>1</v>
      </c>
      <c r="W800" s="7" t="n">
        <f aca="false">IF(AND(T800=1,P800&lt;&gt;"",P800&lt;=Q800),1,0)</f>
        <v>0</v>
      </c>
    </row>
    <row r="801" customFormat="false" ht="15" hidden="false" customHeight="false" outlineLevel="0" collapsed="false">
      <c r="A801" s="7" t="s">
        <v>1022</v>
      </c>
      <c r="B801" s="7" t="s">
        <v>46</v>
      </c>
      <c r="C801" s="7" t="s">
        <v>177</v>
      </c>
      <c r="D801" s="7" t="s">
        <v>131</v>
      </c>
      <c r="E801" s="7" t="s">
        <v>132</v>
      </c>
      <c r="F801" s="7" t="s">
        <v>50</v>
      </c>
      <c r="G801" s="7" t="s">
        <v>19</v>
      </c>
      <c r="H801" s="9" t="n">
        <v>45979</v>
      </c>
      <c r="I801" s="9" t="n">
        <v>45987</v>
      </c>
      <c r="J801" s="7" t="n">
        <v>9.8</v>
      </c>
      <c r="K801" s="7" t="s">
        <v>1015</v>
      </c>
      <c r="L801" s="7" t="s">
        <v>20</v>
      </c>
      <c r="M801" s="7" t="s">
        <v>1032</v>
      </c>
      <c r="N801" s="7" t="s">
        <v>58</v>
      </c>
      <c r="O801" s="10" t="n">
        <f aca="false">'Exec Summary'!$E$2-H801</f>
        <v>255</v>
      </c>
      <c r="P801" s="10" t="n">
        <f aca="false">IF(I801="","",I801-H801)</f>
        <v>8</v>
      </c>
      <c r="Q801" s="10" t="n">
        <f aca="false">VLOOKUP(G801,$AA$2:$AB$5,2,FALSE())</f>
        <v>15</v>
      </c>
      <c r="R801" s="7" t="n">
        <f aca="false">IF(OR(F801="Open",F801="Reopened"),1,0)</f>
        <v>0</v>
      </c>
      <c r="S801" s="7" t="n">
        <f aca="false">IF(AND(H801&gt;='Exec Summary'!$E$1,H801&lt;='Exec Summary'!$E$2),1,0)</f>
        <v>0</v>
      </c>
      <c r="T801" s="7" t="n">
        <f aca="false">IF(AND(F801="Closed",I801&lt;&gt;"",I801&gt;='Exec Summary'!$E$1,I801&lt;='Exec Summary'!$E$2),1,0)</f>
        <v>0</v>
      </c>
      <c r="U801" s="7" t="n">
        <f aca="false">IF(F801="Reopened",1,0)</f>
        <v>0</v>
      </c>
      <c r="V801" s="7" t="n">
        <f aca="false">IF(AND(R801=1,O801&gt;Q801),1,0)</f>
        <v>0</v>
      </c>
      <c r="W801" s="7" t="n">
        <f aca="false">IF(AND(T801=1,P801&lt;&gt;"",P801&lt;=Q801),1,0)</f>
        <v>0</v>
      </c>
    </row>
    <row r="802" customFormat="false" ht="15" hidden="false" customHeight="false" outlineLevel="0" collapsed="false">
      <c r="A802" s="7" t="s">
        <v>1022</v>
      </c>
      <c r="B802" s="7" t="s">
        <v>46</v>
      </c>
      <c r="C802" s="7" t="s">
        <v>177</v>
      </c>
      <c r="D802" s="7" t="s">
        <v>65</v>
      </c>
      <c r="E802" s="7" t="s">
        <v>66</v>
      </c>
      <c r="F802" s="7" t="s">
        <v>56</v>
      </c>
      <c r="G802" s="7" t="s">
        <v>19</v>
      </c>
      <c r="H802" s="9" t="n">
        <v>46152</v>
      </c>
      <c r="I802" s="9"/>
      <c r="J802" s="7" t="n">
        <v>9.8</v>
      </c>
      <c r="K802" s="7" t="s">
        <v>1015</v>
      </c>
      <c r="L802" s="7" t="s">
        <v>20</v>
      </c>
      <c r="M802" s="7" t="s">
        <v>1033</v>
      </c>
      <c r="N802" s="7" t="s">
        <v>58</v>
      </c>
      <c r="O802" s="10" t="n">
        <f aca="false">'Exec Summary'!$E$2-H802</f>
        <v>82</v>
      </c>
      <c r="P802" s="10" t="str">
        <f aca="false">IF(I802="","",I802-H802)</f>
        <v/>
      </c>
      <c r="Q802" s="10" t="n">
        <f aca="false">VLOOKUP(G802,$AA$2:$AB$5,2,FALSE())</f>
        <v>15</v>
      </c>
      <c r="R802" s="7" t="n">
        <f aca="false">IF(OR(F802="Open",F802="Reopened"),1,0)</f>
        <v>1</v>
      </c>
      <c r="S802" s="7" t="n">
        <f aca="false">IF(AND(H802&gt;='Exec Summary'!$E$1,H802&lt;='Exec Summary'!$E$2),1,0)</f>
        <v>0</v>
      </c>
      <c r="T802" s="7" t="n">
        <f aca="false">IF(AND(F802="Closed",I802&lt;&gt;"",I802&gt;='Exec Summary'!$E$1,I802&lt;='Exec Summary'!$E$2),1,0)</f>
        <v>0</v>
      </c>
      <c r="U802" s="7" t="n">
        <f aca="false">IF(F802="Reopened",1,0)</f>
        <v>0</v>
      </c>
      <c r="V802" s="7" t="n">
        <f aca="false">IF(AND(R802=1,O802&gt;Q802),1,0)</f>
        <v>1</v>
      </c>
      <c r="W802" s="7" t="n">
        <f aca="false">IF(AND(T802=1,P802&lt;&gt;"",P802&lt;=Q802),1,0)</f>
        <v>0</v>
      </c>
    </row>
    <row r="803" customFormat="false" ht="15" hidden="false" customHeight="false" outlineLevel="0" collapsed="false">
      <c r="A803" s="7" t="s">
        <v>1022</v>
      </c>
      <c r="B803" s="7" t="s">
        <v>46</v>
      </c>
      <c r="C803" s="7" t="s">
        <v>177</v>
      </c>
      <c r="D803" s="7" t="s">
        <v>84</v>
      </c>
      <c r="E803" s="7" t="s">
        <v>85</v>
      </c>
      <c r="F803" s="7" t="s">
        <v>56</v>
      </c>
      <c r="G803" s="7" t="s">
        <v>20</v>
      </c>
      <c r="H803" s="9" t="n">
        <v>46065</v>
      </c>
      <c r="I803" s="9"/>
      <c r="J803" s="7" t="n">
        <v>7.5</v>
      </c>
      <c r="K803" s="7" t="s">
        <v>1015</v>
      </c>
      <c r="L803" s="7" t="s">
        <v>20</v>
      </c>
      <c r="M803" s="7" t="s">
        <v>1034</v>
      </c>
      <c r="N803" s="7" t="s">
        <v>53</v>
      </c>
      <c r="O803" s="10" t="n">
        <f aca="false">'Exec Summary'!$E$2-H803</f>
        <v>169</v>
      </c>
      <c r="P803" s="10" t="str">
        <f aca="false">IF(I803="","",I803-H803)</f>
        <v/>
      </c>
      <c r="Q803" s="10" t="n">
        <f aca="false">VLOOKUP(G803,$AA$2:$AB$5,2,FALSE())</f>
        <v>30</v>
      </c>
      <c r="R803" s="7" t="n">
        <f aca="false">IF(OR(F803="Open",F803="Reopened"),1,0)</f>
        <v>1</v>
      </c>
      <c r="S803" s="7" t="n">
        <f aca="false">IF(AND(H803&gt;='Exec Summary'!$E$1,H803&lt;='Exec Summary'!$E$2),1,0)</f>
        <v>0</v>
      </c>
      <c r="T803" s="7" t="n">
        <f aca="false">IF(AND(F803="Closed",I803&lt;&gt;"",I803&gt;='Exec Summary'!$E$1,I803&lt;='Exec Summary'!$E$2),1,0)</f>
        <v>0</v>
      </c>
      <c r="U803" s="7" t="n">
        <f aca="false">IF(F803="Reopened",1,0)</f>
        <v>0</v>
      </c>
      <c r="V803" s="7" t="n">
        <f aca="false">IF(AND(R803=1,O803&gt;Q803),1,0)</f>
        <v>1</v>
      </c>
      <c r="W803" s="7" t="n">
        <f aca="false">IF(AND(T803=1,P803&lt;&gt;"",P803&lt;=Q803),1,0)</f>
        <v>0</v>
      </c>
    </row>
    <row r="804" customFormat="false" ht="15" hidden="false" customHeight="false" outlineLevel="0" collapsed="false">
      <c r="A804" s="7" t="s">
        <v>1022</v>
      </c>
      <c r="B804" s="7" t="s">
        <v>46</v>
      </c>
      <c r="C804" s="7" t="s">
        <v>177</v>
      </c>
      <c r="D804" s="7" t="s">
        <v>145</v>
      </c>
      <c r="E804" s="7" t="s">
        <v>146</v>
      </c>
      <c r="F804" s="7" t="s">
        <v>50</v>
      </c>
      <c r="G804" s="7" t="s">
        <v>19</v>
      </c>
      <c r="H804" s="9" t="n">
        <v>45945</v>
      </c>
      <c r="I804" s="9" t="n">
        <v>45949</v>
      </c>
      <c r="J804" s="7" t="n">
        <v>9.8</v>
      </c>
      <c r="K804" s="7" t="s">
        <v>1015</v>
      </c>
      <c r="L804" s="7" t="s">
        <v>20</v>
      </c>
      <c r="M804" s="7" t="s">
        <v>1035</v>
      </c>
      <c r="N804" s="7" t="s">
        <v>58</v>
      </c>
      <c r="O804" s="10" t="n">
        <f aca="false">'Exec Summary'!$E$2-H804</f>
        <v>289</v>
      </c>
      <c r="P804" s="10" t="n">
        <f aca="false">IF(I804="","",I804-H804)</f>
        <v>4</v>
      </c>
      <c r="Q804" s="10" t="n">
        <f aca="false">VLOOKUP(G804,$AA$2:$AB$5,2,FALSE())</f>
        <v>15</v>
      </c>
      <c r="R804" s="7" t="n">
        <f aca="false">IF(OR(F804="Open",F804="Reopened"),1,0)</f>
        <v>0</v>
      </c>
      <c r="S804" s="7" t="n">
        <f aca="false">IF(AND(H804&gt;='Exec Summary'!$E$1,H804&lt;='Exec Summary'!$E$2),1,0)</f>
        <v>0</v>
      </c>
      <c r="T804" s="7" t="n">
        <f aca="false">IF(AND(F804="Closed",I804&lt;&gt;"",I804&gt;='Exec Summary'!$E$1,I804&lt;='Exec Summary'!$E$2),1,0)</f>
        <v>0</v>
      </c>
      <c r="U804" s="7" t="n">
        <f aca="false">IF(F804="Reopened",1,0)</f>
        <v>0</v>
      </c>
      <c r="V804" s="7" t="n">
        <f aca="false">IF(AND(R804=1,O804&gt;Q804),1,0)</f>
        <v>0</v>
      </c>
      <c r="W804" s="7" t="n">
        <f aca="false">IF(AND(T804=1,P804&lt;&gt;"",P804&lt;=Q804),1,0)</f>
        <v>0</v>
      </c>
    </row>
    <row r="805" customFormat="false" ht="15" hidden="false" customHeight="false" outlineLevel="0" collapsed="false">
      <c r="A805" s="7" t="s">
        <v>1022</v>
      </c>
      <c r="B805" s="7" t="s">
        <v>46</v>
      </c>
      <c r="C805" s="7" t="s">
        <v>177</v>
      </c>
      <c r="D805" s="7" t="s">
        <v>163</v>
      </c>
      <c r="E805" s="7" t="s">
        <v>164</v>
      </c>
      <c r="F805" s="7" t="s">
        <v>56</v>
      </c>
      <c r="G805" s="7" t="s">
        <v>19</v>
      </c>
      <c r="H805" s="9" t="n">
        <v>46131</v>
      </c>
      <c r="I805" s="9"/>
      <c r="J805" s="7" t="n">
        <v>9.1</v>
      </c>
      <c r="K805" s="7" t="s">
        <v>1015</v>
      </c>
      <c r="L805" s="7" t="s">
        <v>20</v>
      </c>
      <c r="M805" s="7" t="s">
        <v>1036</v>
      </c>
      <c r="N805" s="7" t="s">
        <v>58</v>
      </c>
      <c r="O805" s="10" t="n">
        <f aca="false">'Exec Summary'!$E$2-H805</f>
        <v>103</v>
      </c>
      <c r="P805" s="10" t="str">
        <f aca="false">IF(I805="","",I805-H805)</f>
        <v/>
      </c>
      <c r="Q805" s="10" t="n">
        <f aca="false">VLOOKUP(G805,$AA$2:$AB$5,2,FALSE())</f>
        <v>15</v>
      </c>
      <c r="R805" s="7" t="n">
        <f aca="false">IF(OR(F805="Open",F805="Reopened"),1,0)</f>
        <v>1</v>
      </c>
      <c r="S805" s="7" t="n">
        <f aca="false">IF(AND(H805&gt;='Exec Summary'!$E$1,H805&lt;='Exec Summary'!$E$2),1,0)</f>
        <v>0</v>
      </c>
      <c r="T805" s="7" t="n">
        <f aca="false">IF(AND(F805="Closed",I805&lt;&gt;"",I805&gt;='Exec Summary'!$E$1,I805&lt;='Exec Summary'!$E$2),1,0)</f>
        <v>0</v>
      </c>
      <c r="U805" s="7" t="n">
        <f aca="false">IF(F805="Reopened",1,0)</f>
        <v>0</v>
      </c>
      <c r="V805" s="7" t="n">
        <f aca="false">IF(AND(R805=1,O805&gt;Q805),1,0)</f>
        <v>1</v>
      </c>
      <c r="W805" s="7" t="n">
        <f aca="false">IF(AND(T805=1,P805&lt;&gt;"",P805&lt;=Q805),1,0)</f>
        <v>0</v>
      </c>
    </row>
    <row r="806" customFormat="false" ht="15" hidden="false" customHeight="false" outlineLevel="0" collapsed="false">
      <c r="A806" s="7" t="s">
        <v>1037</v>
      </c>
      <c r="B806" s="7" t="s">
        <v>46</v>
      </c>
      <c r="C806" s="7" t="s">
        <v>177</v>
      </c>
      <c r="D806" s="7" t="s">
        <v>173</v>
      </c>
      <c r="E806" s="7" t="s">
        <v>174</v>
      </c>
      <c r="F806" s="7" t="s">
        <v>50</v>
      </c>
      <c r="G806" s="7" t="s">
        <v>19</v>
      </c>
      <c r="H806" s="9" t="n">
        <v>45938</v>
      </c>
      <c r="I806" s="9" t="n">
        <v>45957</v>
      </c>
      <c r="J806" s="7" t="n">
        <v>9.8</v>
      </c>
      <c r="K806" s="7" t="s">
        <v>1015</v>
      </c>
      <c r="L806" s="7" t="s">
        <v>20</v>
      </c>
      <c r="M806" s="7" t="s">
        <v>1038</v>
      </c>
      <c r="N806" s="7" t="s">
        <v>58</v>
      </c>
      <c r="O806" s="10" t="n">
        <f aca="false">'Exec Summary'!$E$2-H806</f>
        <v>296</v>
      </c>
      <c r="P806" s="10" t="n">
        <f aca="false">IF(I806="","",I806-H806)</f>
        <v>19</v>
      </c>
      <c r="Q806" s="10" t="n">
        <f aca="false">VLOOKUP(G806,$AA$2:$AB$5,2,FALSE())</f>
        <v>15</v>
      </c>
      <c r="R806" s="7" t="n">
        <f aca="false">IF(OR(F806="Open",F806="Reopened"),1,0)</f>
        <v>0</v>
      </c>
      <c r="S806" s="7" t="n">
        <f aca="false">IF(AND(H806&gt;='Exec Summary'!$E$1,H806&lt;='Exec Summary'!$E$2),1,0)</f>
        <v>0</v>
      </c>
      <c r="T806" s="7" t="n">
        <f aca="false">IF(AND(F806="Closed",I806&lt;&gt;"",I806&gt;='Exec Summary'!$E$1,I806&lt;='Exec Summary'!$E$2),1,0)</f>
        <v>0</v>
      </c>
      <c r="U806" s="7" t="n">
        <f aca="false">IF(F806="Reopened",1,0)</f>
        <v>0</v>
      </c>
      <c r="V806" s="7" t="n">
        <f aca="false">IF(AND(R806=1,O806&gt;Q806),1,0)</f>
        <v>0</v>
      </c>
      <c r="W806" s="7" t="n">
        <f aca="false">IF(AND(T806=1,P806&lt;&gt;"",P806&lt;=Q806),1,0)</f>
        <v>0</v>
      </c>
    </row>
    <row r="807" customFormat="false" ht="15" hidden="false" customHeight="false" outlineLevel="0" collapsed="false">
      <c r="A807" s="7" t="s">
        <v>1037</v>
      </c>
      <c r="B807" s="7" t="s">
        <v>46</v>
      </c>
      <c r="C807" s="7" t="s">
        <v>177</v>
      </c>
      <c r="D807" s="7" t="s">
        <v>145</v>
      </c>
      <c r="E807" s="7" t="s">
        <v>146</v>
      </c>
      <c r="F807" s="7" t="s">
        <v>50</v>
      </c>
      <c r="G807" s="7" t="s">
        <v>19</v>
      </c>
      <c r="H807" s="9" t="n">
        <v>46204</v>
      </c>
      <c r="I807" s="9" t="n">
        <v>46211</v>
      </c>
      <c r="J807" s="7" t="n">
        <v>9.8</v>
      </c>
      <c r="K807" s="7" t="s">
        <v>1015</v>
      </c>
      <c r="L807" s="7" t="s">
        <v>20</v>
      </c>
      <c r="M807" s="7" t="s">
        <v>1039</v>
      </c>
      <c r="N807" s="7" t="s">
        <v>58</v>
      </c>
      <c r="O807" s="10" t="n">
        <f aca="false">'Exec Summary'!$E$2-H807</f>
        <v>30</v>
      </c>
      <c r="P807" s="10" t="n">
        <f aca="false">IF(I807="","",I807-H807)</f>
        <v>7</v>
      </c>
      <c r="Q807" s="10" t="n">
        <f aca="false">VLOOKUP(G807,$AA$2:$AB$5,2,FALSE())</f>
        <v>15</v>
      </c>
      <c r="R807" s="7" t="n">
        <f aca="false">IF(OR(F807="Open",F807="Reopened"),1,0)</f>
        <v>0</v>
      </c>
      <c r="S807" s="7" t="n">
        <f aca="false">IF(AND(H807&gt;='Exec Summary'!$E$1,H807&lt;='Exec Summary'!$E$2),1,0)</f>
        <v>1</v>
      </c>
      <c r="T807" s="7" t="n">
        <f aca="false">IF(AND(F807="Closed",I807&lt;&gt;"",I807&gt;='Exec Summary'!$E$1,I807&lt;='Exec Summary'!$E$2),1,0)</f>
        <v>1</v>
      </c>
      <c r="U807" s="7" t="n">
        <f aca="false">IF(F807="Reopened",1,0)</f>
        <v>0</v>
      </c>
      <c r="V807" s="7" t="n">
        <f aca="false">IF(AND(R807=1,O807&gt;Q807),1,0)</f>
        <v>0</v>
      </c>
      <c r="W807" s="7" t="n">
        <f aca="false">IF(AND(T807=1,P807&lt;&gt;"",P807&lt;=Q807),1,0)</f>
        <v>1</v>
      </c>
    </row>
    <row r="808" customFormat="false" ht="15" hidden="false" customHeight="false" outlineLevel="0" collapsed="false">
      <c r="A808" s="7" t="s">
        <v>1037</v>
      </c>
      <c r="B808" s="7" t="s">
        <v>46</v>
      </c>
      <c r="C808" s="7" t="s">
        <v>177</v>
      </c>
      <c r="D808" s="7" t="s">
        <v>54</v>
      </c>
      <c r="E808" s="7" t="s">
        <v>55</v>
      </c>
      <c r="F808" s="7" t="s">
        <v>56</v>
      </c>
      <c r="G808" s="7" t="s">
        <v>19</v>
      </c>
      <c r="H808" s="9" t="n">
        <v>46094</v>
      </c>
      <c r="I808" s="9"/>
      <c r="J808" s="7" t="n">
        <v>9.8</v>
      </c>
      <c r="K808" s="7" t="s">
        <v>1015</v>
      </c>
      <c r="L808" s="7" t="s">
        <v>20</v>
      </c>
      <c r="M808" s="7" t="s">
        <v>1040</v>
      </c>
      <c r="N808" s="7" t="s">
        <v>58</v>
      </c>
      <c r="O808" s="10" t="n">
        <f aca="false">'Exec Summary'!$E$2-H808</f>
        <v>140</v>
      </c>
      <c r="P808" s="10" t="str">
        <f aca="false">IF(I808="","",I808-H808)</f>
        <v/>
      </c>
      <c r="Q808" s="10" t="n">
        <f aca="false">VLOOKUP(G808,$AA$2:$AB$5,2,FALSE())</f>
        <v>15</v>
      </c>
      <c r="R808" s="7" t="n">
        <f aca="false">IF(OR(F808="Open",F808="Reopened"),1,0)</f>
        <v>1</v>
      </c>
      <c r="S808" s="7" t="n">
        <f aca="false">IF(AND(H808&gt;='Exec Summary'!$E$1,H808&lt;='Exec Summary'!$E$2),1,0)</f>
        <v>0</v>
      </c>
      <c r="T808" s="7" t="n">
        <f aca="false">IF(AND(F808="Closed",I808&lt;&gt;"",I808&gt;='Exec Summary'!$E$1,I808&lt;='Exec Summary'!$E$2),1,0)</f>
        <v>0</v>
      </c>
      <c r="U808" s="7" t="n">
        <f aca="false">IF(F808="Reopened",1,0)</f>
        <v>0</v>
      </c>
      <c r="V808" s="7" t="n">
        <f aca="false">IF(AND(R808=1,O808&gt;Q808),1,0)</f>
        <v>1</v>
      </c>
      <c r="W808" s="7" t="n">
        <f aca="false">IF(AND(T808=1,P808&lt;&gt;"",P808&lt;=Q808),1,0)</f>
        <v>0</v>
      </c>
    </row>
    <row r="809" customFormat="false" ht="15" hidden="false" customHeight="false" outlineLevel="0" collapsed="false">
      <c r="A809" s="7" t="s">
        <v>1037</v>
      </c>
      <c r="B809" s="7" t="s">
        <v>46</v>
      </c>
      <c r="C809" s="7" t="s">
        <v>177</v>
      </c>
      <c r="D809" s="7" t="s">
        <v>163</v>
      </c>
      <c r="E809" s="7" t="s">
        <v>164</v>
      </c>
      <c r="F809" s="7" t="s">
        <v>56</v>
      </c>
      <c r="G809" s="7" t="s">
        <v>19</v>
      </c>
      <c r="H809" s="9" t="n">
        <v>46220</v>
      </c>
      <c r="I809" s="9"/>
      <c r="J809" s="7" t="n">
        <v>9.1</v>
      </c>
      <c r="K809" s="7" t="s">
        <v>1015</v>
      </c>
      <c r="L809" s="7" t="s">
        <v>20</v>
      </c>
      <c r="M809" s="7" t="s">
        <v>1041</v>
      </c>
      <c r="N809" s="7" t="s">
        <v>58</v>
      </c>
      <c r="O809" s="10" t="n">
        <f aca="false">'Exec Summary'!$E$2-H809</f>
        <v>14</v>
      </c>
      <c r="P809" s="10" t="str">
        <f aca="false">IF(I809="","",I809-H809)</f>
        <v/>
      </c>
      <c r="Q809" s="10" t="n">
        <f aca="false">VLOOKUP(G809,$AA$2:$AB$5,2,FALSE())</f>
        <v>15</v>
      </c>
      <c r="R809" s="7" t="n">
        <f aca="false">IF(OR(F809="Open",F809="Reopened"),1,0)</f>
        <v>1</v>
      </c>
      <c r="S809" s="7" t="n">
        <f aca="false">IF(AND(H809&gt;='Exec Summary'!$E$1,H809&lt;='Exec Summary'!$E$2),1,0)</f>
        <v>1</v>
      </c>
      <c r="T809" s="7" t="n">
        <f aca="false">IF(AND(F809="Closed",I809&lt;&gt;"",I809&gt;='Exec Summary'!$E$1,I809&lt;='Exec Summary'!$E$2),1,0)</f>
        <v>0</v>
      </c>
      <c r="U809" s="7" t="n">
        <f aca="false">IF(F809="Reopened",1,0)</f>
        <v>0</v>
      </c>
      <c r="V809" s="7" t="n">
        <f aca="false">IF(AND(R809=1,O809&gt;Q809),1,0)</f>
        <v>0</v>
      </c>
      <c r="W809" s="7" t="n">
        <f aca="false">IF(AND(T809=1,P809&lt;&gt;"",P809&lt;=Q809),1,0)</f>
        <v>0</v>
      </c>
    </row>
    <row r="810" customFormat="false" ht="15" hidden="false" customHeight="false" outlineLevel="0" collapsed="false">
      <c r="A810" s="7" t="s">
        <v>1037</v>
      </c>
      <c r="B810" s="7" t="s">
        <v>46</v>
      </c>
      <c r="C810" s="7" t="s">
        <v>177</v>
      </c>
      <c r="D810" s="7" t="s">
        <v>98</v>
      </c>
      <c r="E810" s="7" t="s">
        <v>99</v>
      </c>
      <c r="F810" s="7" t="s">
        <v>50</v>
      </c>
      <c r="G810" s="7" t="s">
        <v>19</v>
      </c>
      <c r="H810" s="9" t="n">
        <v>46135</v>
      </c>
      <c r="I810" s="9" t="n">
        <v>46148</v>
      </c>
      <c r="J810" s="7" t="n">
        <v>10</v>
      </c>
      <c r="K810" s="7" t="s">
        <v>1015</v>
      </c>
      <c r="L810" s="7" t="s">
        <v>20</v>
      </c>
      <c r="M810" s="7" t="s">
        <v>1042</v>
      </c>
      <c r="N810" s="7" t="s">
        <v>58</v>
      </c>
      <c r="O810" s="10" t="n">
        <f aca="false">'Exec Summary'!$E$2-H810</f>
        <v>99</v>
      </c>
      <c r="P810" s="10" t="n">
        <f aca="false">IF(I810="","",I810-H810)</f>
        <v>13</v>
      </c>
      <c r="Q810" s="10" t="n">
        <f aca="false">VLOOKUP(G810,$AA$2:$AB$5,2,FALSE())</f>
        <v>15</v>
      </c>
      <c r="R810" s="7" t="n">
        <f aca="false">IF(OR(F810="Open",F810="Reopened"),1,0)</f>
        <v>0</v>
      </c>
      <c r="S810" s="7" t="n">
        <f aca="false">IF(AND(H810&gt;='Exec Summary'!$E$1,H810&lt;='Exec Summary'!$E$2),1,0)</f>
        <v>0</v>
      </c>
      <c r="T810" s="7" t="n">
        <f aca="false">IF(AND(F810="Closed",I810&lt;&gt;"",I810&gt;='Exec Summary'!$E$1,I810&lt;='Exec Summary'!$E$2),1,0)</f>
        <v>0</v>
      </c>
      <c r="U810" s="7" t="n">
        <f aca="false">IF(F810="Reopened",1,0)</f>
        <v>0</v>
      </c>
      <c r="V810" s="7" t="n">
        <f aca="false">IF(AND(R810=1,O810&gt;Q810),1,0)</f>
        <v>0</v>
      </c>
      <c r="W810" s="7" t="n">
        <f aca="false">IF(AND(T810=1,P810&lt;&gt;"",P810&lt;=Q810),1,0)</f>
        <v>0</v>
      </c>
    </row>
    <row r="811" customFormat="false" ht="15" hidden="false" customHeight="false" outlineLevel="0" collapsed="false">
      <c r="A811" s="7" t="s">
        <v>1037</v>
      </c>
      <c r="B811" s="7" t="s">
        <v>46</v>
      </c>
      <c r="C811" s="7" t="s">
        <v>177</v>
      </c>
      <c r="D811" s="7" t="s">
        <v>192</v>
      </c>
      <c r="E811" s="7" t="s">
        <v>193</v>
      </c>
      <c r="F811" s="7" t="s">
        <v>50</v>
      </c>
      <c r="G811" s="7" t="s">
        <v>19</v>
      </c>
      <c r="H811" s="9" t="n">
        <v>46060</v>
      </c>
      <c r="I811" s="9" t="n">
        <v>46068</v>
      </c>
      <c r="J811" s="7" t="n">
        <v>9.8</v>
      </c>
      <c r="K811" s="7" t="s">
        <v>1015</v>
      </c>
      <c r="L811" s="7" t="s">
        <v>20</v>
      </c>
      <c r="M811" s="7" t="s">
        <v>1043</v>
      </c>
      <c r="N811" s="7" t="s">
        <v>58</v>
      </c>
      <c r="O811" s="10" t="n">
        <f aca="false">'Exec Summary'!$E$2-H811</f>
        <v>174</v>
      </c>
      <c r="P811" s="10" t="n">
        <f aca="false">IF(I811="","",I811-H811)</f>
        <v>8</v>
      </c>
      <c r="Q811" s="10" t="n">
        <f aca="false">VLOOKUP(G811,$AA$2:$AB$5,2,FALSE())</f>
        <v>15</v>
      </c>
      <c r="R811" s="7" t="n">
        <f aca="false">IF(OR(F811="Open",F811="Reopened"),1,0)</f>
        <v>0</v>
      </c>
      <c r="S811" s="7" t="n">
        <f aca="false">IF(AND(H811&gt;='Exec Summary'!$E$1,H811&lt;='Exec Summary'!$E$2),1,0)</f>
        <v>0</v>
      </c>
      <c r="T811" s="7" t="n">
        <f aca="false">IF(AND(F811="Closed",I811&lt;&gt;"",I811&gt;='Exec Summary'!$E$1,I811&lt;='Exec Summary'!$E$2),1,0)</f>
        <v>0</v>
      </c>
      <c r="U811" s="7" t="n">
        <f aca="false">IF(F811="Reopened",1,0)</f>
        <v>0</v>
      </c>
      <c r="V811" s="7" t="n">
        <f aca="false">IF(AND(R811=1,O811&gt;Q811),1,0)</f>
        <v>0</v>
      </c>
      <c r="W811" s="7" t="n">
        <f aca="false">IF(AND(T811=1,P811&lt;&gt;"",P811&lt;=Q811),1,0)</f>
        <v>0</v>
      </c>
    </row>
    <row r="812" customFormat="false" ht="15" hidden="false" customHeight="false" outlineLevel="0" collapsed="false">
      <c r="A812" s="7" t="s">
        <v>1037</v>
      </c>
      <c r="B812" s="7" t="s">
        <v>46</v>
      </c>
      <c r="C812" s="7" t="s">
        <v>177</v>
      </c>
      <c r="D812" s="7" t="s">
        <v>74</v>
      </c>
      <c r="E812" s="7" t="s">
        <v>75</v>
      </c>
      <c r="F812" s="7" t="s">
        <v>50</v>
      </c>
      <c r="G812" s="7" t="s">
        <v>21</v>
      </c>
      <c r="H812" s="9" t="n">
        <v>46047</v>
      </c>
      <c r="I812" s="9" t="n">
        <v>46142</v>
      </c>
      <c r="J812" s="7" t="n">
        <v>6.5</v>
      </c>
      <c r="K812" s="7" t="s">
        <v>1015</v>
      </c>
      <c r="L812" s="7" t="s">
        <v>20</v>
      </c>
      <c r="M812" s="7" t="s">
        <v>1044</v>
      </c>
      <c r="N812" s="7" t="s">
        <v>77</v>
      </c>
      <c r="O812" s="10" t="n">
        <f aca="false">'Exec Summary'!$E$2-H812</f>
        <v>187</v>
      </c>
      <c r="P812" s="10" t="n">
        <f aca="false">IF(I812="","",I812-H812)</f>
        <v>95</v>
      </c>
      <c r="Q812" s="10" t="n">
        <f aca="false">VLOOKUP(G812,$AA$2:$AB$5,2,FALSE())</f>
        <v>90</v>
      </c>
      <c r="R812" s="7" t="n">
        <f aca="false">IF(OR(F812="Open",F812="Reopened"),1,0)</f>
        <v>0</v>
      </c>
      <c r="S812" s="7" t="n">
        <f aca="false">IF(AND(H812&gt;='Exec Summary'!$E$1,H812&lt;='Exec Summary'!$E$2),1,0)</f>
        <v>0</v>
      </c>
      <c r="T812" s="7" t="n">
        <f aca="false">IF(AND(F812="Closed",I812&lt;&gt;"",I812&gt;='Exec Summary'!$E$1,I812&lt;='Exec Summary'!$E$2),1,0)</f>
        <v>0</v>
      </c>
      <c r="U812" s="7" t="n">
        <f aca="false">IF(F812="Reopened",1,0)</f>
        <v>0</v>
      </c>
      <c r="V812" s="7" t="n">
        <f aca="false">IF(AND(R812=1,O812&gt;Q812),1,0)</f>
        <v>0</v>
      </c>
      <c r="W812" s="7" t="n">
        <f aca="false">IF(AND(T812=1,P812&lt;&gt;"",P812&lt;=Q812),1,0)</f>
        <v>0</v>
      </c>
    </row>
    <row r="813" customFormat="false" ht="15" hidden="false" customHeight="false" outlineLevel="0" collapsed="false">
      <c r="A813" s="7" t="s">
        <v>1037</v>
      </c>
      <c r="B813" s="7" t="s">
        <v>46</v>
      </c>
      <c r="C813" s="7" t="s">
        <v>177</v>
      </c>
      <c r="D813" s="7" t="s">
        <v>166</v>
      </c>
      <c r="E813" s="7" t="s">
        <v>167</v>
      </c>
      <c r="F813" s="7" t="s">
        <v>56</v>
      </c>
      <c r="G813" s="7" t="s">
        <v>19</v>
      </c>
      <c r="H813" s="9" t="n">
        <v>46090</v>
      </c>
      <c r="I813" s="9"/>
      <c r="J813" s="7" t="n">
        <v>9.8</v>
      </c>
      <c r="K813" s="7" t="s">
        <v>1015</v>
      </c>
      <c r="L813" s="7" t="s">
        <v>20</v>
      </c>
      <c r="M813" s="7" t="s">
        <v>1045</v>
      </c>
      <c r="N813" s="7" t="s">
        <v>58</v>
      </c>
      <c r="O813" s="10" t="n">
        <f aca="false">'Exec Summary'!$E$2-H813</f>
        <v>144</v>
      </c>
      <c r="P813" s="10" t="str">
        <f aca="false">IF(I813="","",I813-H813)</f>
        <v/>
      </c>
      <c r="Q813" s="10" t="n">
        <f aca="false">VLOOKUP(G813,$AA$2:$AB$5,2,FALSE())</f>
        <v>15</v>
      </c>
      <c r="R813" s="7" t="n">
        <f aca="false">IF(OR(F813="Open",F813="Reopened"),1,0)</f>
        <v>1</v>
      </c>
      <c r="S813" s="7" t="n">
        <f aca="false">IF(AND(H813&gt;='Exec Summary'!$E$1,H813&lt;='Exec Summary'!$E$2),1,0)</f>
        <v>0</v>
      </c>
      <c r="T813" s="7" t="n">
        <f aca="false">IF(AND(F813="Closed",I813&lt;&gt;"",I813&gt;='Exec Summary'!$E$1,I813&lt;='Exec Summary'!$E$2),1,0)</f>
        <v>0</v>
      </c>
      <c r="U813" s="7" t="n">
        <f aca="false">IF(F813="Reopened",1,0)</f>
        <v>0</v>
      </c>
      <c r="V813" s="7" t="n">
        <f aca="false">IF(AND(R813=1,O813&gt;Q813),1,0)</f>
        <v>1</v>
      </c>
      <c r="W813" s="7" t="n">
        <f aca="false">IF(AND(T813=1,P813&lt;&gt;"",P813&lt;=Q813),1,0)</f>
        <v>0</v>
      </c>
    </row>
    <row r="814" customFormat="false" ht="15" hidden="false" customHeight="false" outlineLevel="0" collapsed="false">
      <c r="A814" s="7" t="s">
        <v>1037</v>
      </c>
      <c r="B814" s="7" t="s">
        <v>46</v>
      </c>
      <c r="C814" s="7" t="s">
        <v>177</v>
      </c>
      <c r="D814" s="7" t="s">
        <v>71</v>
      </c>
      <c r="E814" s="7" t="s">
        <v>72</v>
      </c>
      <c r="F814" s="7" t="s">
        <v>56</v>
      </c>
      <c r="G814" s="7" t="s">
        <v>19</v>
      </c>
      <c r="H814" s="9" t="n">
        <v>46059</v>
      </c>
      <c r="I814" s="9"/>
      <c r="J814" s="7" t="n">
        <v>9.8</v>
      </c>
      <c r="K814" s="7" t="s">
        <v>1015</v>
      </c>
      <c r="L814" s="7" t="s">
        <v>20</v>
      </c>
      <c r="M814" s="7" t="s">
        <v>1046</v>
      </c>
      <c r="N814" s="7" t="s">
        <v>58</v>
      </c>
      <c r="O814" s="10" t="n">
        <f aca="false">'Exec Summary'!$E$2-H814</f>
        <v>175</v>
      </c>
      <c r="P814" s="10" t="str">
        <f aca="false">IF(I814="","",I814-H814)</f>
        <v/>
      </c>
      <c r="Q814" s="10" t="n">
        <f aca="false">VLOOKUP(G814,$AA$2:$AB$5,2,FALSE())</f>
        <v>15</v>
      </c>
      <c r="R814" s="7" t="n">
        <f aca="false">IF(OR(F814="Open",F814="Reopened"),1,0)</f>
        <v>1</v>
      </c>
      <c r="S814" s="7" t="n">
        <f aca="false">IF(AND(H814&gt;='Exec Summary'!$E$1,H814&lt;='Exec Summary'!$E$2),1,0)</f>
        <v>0</v>
      </c>
      <c r="T814" s="7" t="n">
        <f aca="false">IF(AND(F814="Closed",I814&lt;&gt;"",I814&gt;='Exec Summary'!$E$1,I814&lt;='Exec Summary'!$E$2),1,0)</f>
        <v>0</v>
      </c>
      <c r="U814" s="7" t="n">
        <f aca="false">IF(F814="Reopened",1,0)</f>
        <v>0</v>
      </c>
      <c r="V814" s="7" t="n">
        <f aca="false">IF(AND(R814=1,O814&gt;Q814),1,0)</f>
        <v>1</v>
      </c>
      <c r="W814" s="7" t="n">
        <f aca="false">IF(AND(T814=1,P814&lt;&gt;"",P814&lt;=Q814),1,0)</f>
        <v>0</v>
      </c>
    </row>
    <row r="815" customFormat="false" ht="15" hidden="false" customHeight="false" outlineLevel="0" collapsed="false">
      <c r="A815" s="7" t="s">
        <v>1037</v>
      </c>
      <c r="B815" s="7" t="s">
        <v>46</v>
      </c>
      <c r="C815" s="7" t="s">
        <v>177</v>
      </c>
      <c r="D815" s="7" t="s">
        <v>112</v>
      </c>
      <c r="E815" s="7" t="s">
        <v>113</v>
      </c>
      <c r="F815" s="7" t="s">
        <v>50</v>
      </c>
      <c r="G815" s="7" t="s">
        <v>20</v>
      </c>
      <c r="H815" s="9" t="n">
        <v>46066</v>
      </c>
      <c r="I815" s="9" t="n">
        <v>46079</v>
      </c>
      <c r="J815" s="7" t="n">
        <v>7.8</v>
      </c>
      <c r="K815" s="7" t="s">
        <v>1015</v>
      </c>
      <c r="L815" s="7" t="s">
        <v>20</v>
      </c>
      <c r="M815" s="7" t="s">
        <v>1047</v>
      </c>
      <c r="N815" s="7" t="s">
        <v>53</v>
      </c>
      <c r="O815" s="10" t="n">
        <f aca="false">'Exec Summary'!$E$2-H815</f>
        <v>168</v>
      </c>
      <c r="P815" s="10" t="n">
        <f aca="false">IF(I815="","",I815-H815)</f>
        <v>13</v>
      </c>
      <c r="Q815" s="10" t="n">
        <f aca="false">VLOOKUP(G815,$AA$2:$AB$5,2,FALSE())</f>
        <v>30</v>
      </c>
      <c r="R815" s="7" t="n">
        <f aca="false">IF(OR(F815="Open",F815="Reopened"),1,0)</f>
        <v>0</v>
      </c>
      <c r="S815" s="7" t="n">
        <f aca="false">IF(AND(H815&gt;='Exec Summary'!$E$1,H815&lt;='Exec Summary'!$E$2),1,0)</f>
        <v>0</v>
      </c>
      <c r="T815" s="7" t="n">
        <f aca="false">IF(AND(F815="Closed",I815&lt;&gt;"",I815&gt;='Exec Summary'!$E$1,I815&lt;='Exec Summary'!$E$2),1,0)</f>
        <v>0</v>
      </c>
      <c r="U815" s="7" t="n">
        <f aca="false">IF(F815="Reopened",1,0)</f>
        <v>0</v>
      </c>
      <c r="V815" s="7" t="n">
        <f aca="false">IF(AND(R815=1,O815&gt;Q815),1,0)</f>
        <v>0</v>
      </c>
      <c r="W815" s="7" t="n">
        <f aca="false">IF(AND(T815=1,P815&lt;&gt;"",P815&lt;=Q815),1,0)</f>
        <v>0</v>
      </c>
    </row>
    <row r="816" customFormat="false" ht="15" hidden="false" customHeight="false" outlineLevel="0" collapsed="false">
      <c r="A816" s="7" t="s">
        <v>1048</v>
      </c>
      <c r="B816" s="7" t="s">
        <v>46</v>
      </c>
      <c r="C816" s="7" t="s">
        <v>79</v>
      </c>
      <c r="D816" s="7" t="s">
        <v>163</v>
      </c>
      <c r="E816" s="7" t="s">
        <v>164</v>
      </c>
      <c r="F816" s="7" t="s">
        <v>56</v>
      </c>
      <c r="G816" s="7" t="s">
        <v>19</v>
      </c>
      <c r="H816" s="9" t="n">
        <v>46201</v>
      </c>
      <c r="I816" s="9"/>
      <c r="J816" s="7" t="n">
        <v>9.1</v>
      </c>
      <c r="K816" s="7" t="s">
        <v>1015</v>
      </c>
      <c r="L816" s="7" t="s">
        <v>20</v>
      </c>
      <c r="M816" s="7" t="s">
        <v>1049</v>
      </c>
      <c r="N816" s="7" t="s">
        <v>58</v>
      </c>
      <c r="O816" s="10" t="n">
        <f aca="false">'Exec Summary'!$E$2-H816</f>
        <v>33</v>
      </c>
      <c r="P816" s="10" t="str">
        <f aca="false">IF(I816="","",I816-H816)</f>
        <v/>
      </c>
      <c r="Q816" s="10" t="n">
        <f aca="false">VLOOKUP(G816,$AA$2:$AB$5,2,FALSE())</f>
        <v>15</v>
      </c>
      <c r="R816" s="7" t="n">
        <f aca="false">IF(OR(F816="Open",F816="Reopened"),1,0)</f>
        <v>1</v>
      </c>
      <c r="S816" s="7" t="n">
        <f aca="false">IF(AND(H816&gt;='Exec Summary'!$E$1,H816&lt;='Exec Summary'!$E$2),1,0)</f>
        <v>0</v>
      </c>
      <c r="T816" s="7" t="n">
        <f aca="false">IF(AND(F816="Closed",I816&lt;&gt;"",I816&gt;='Exec Summary'!$E$1,I816&lt;='Exec Summary'!$E$2),1,0)</f>
        <v>0</v>
      </c>
      <c r="U816" s="7" t="n">
        <f aca="false">IF(F816="Reopened",1,0)</f>
        <v>0</v>
      </c>
      <c r="V816" s="7" t="n">
        <f aca="false">IF(AND(R816=1,O816&gt;Q816),1,0)</f>
        <v>1</v>
      </c>
      <c r="W816" s="7" t="n">
        <f aca="false">IF(AND(T816=1,P816&lt;&gt;"",P816&lt;=Q816),1,0)</f>
        <v>0</v>
      </c>
    </row>
    <row r="817" customFormat="false" ht="15" hidden="false" customHeight="false" outlineLevel="0" collapsed="false">
      <c r="A817" s="7" t="s">
        <v>1048</v>
      </c>
      <c r="B817" s="7" t="s">
        <v>46</v>
      </c>
      <c r="C817" s="7" t="s">
        <v>79</v>
      </c>
      <c r="D817" s="7" t="s">
        <v>108</v>
      </c>
      <c r="E817" s="7" t="s">
        <v>109</v>
      </c>
      <c r="F817" s="7" t="s">
        <v>50</v>
      </c>
      <c r="G817" s="7" t="s">
        <v>20</v>
      </c>
      <c r="H817" s="9" t="n">
        <v>45985</v>
      </c>
      <c r="I817" s="9" t="n">
        <v>46010</v>
      </c>
      <c r="J817" s="7" t="n">
        <v>8.6</v>
      </c>
      <c r="K817" s="7" t="s">
        <v>1015</v>
      </c>
      <c r="L817" s="7" t="s">
        <v>20</v>
      </c>
      <c r="M817" s="7" t="s">
        <v>1050</v>
      </c>
      <c r="N817" s="7" t="s">
        <v>53</v>
      </c>
      <c r="O817" s="10" t="n">
        <f aca="false">'Exec Summary'!$E$2-H817</f>
        <v>249</v>
      </c>
      <c r="P817" s="10" t="n">
        <f aca="false">IF(I817="","",I817-H817)</f>
        <v>25</v>
      </c>
      <c r="Q817" s="10" t="n">
        <f aca="false">VLOOKUP(G817,$AA$2:$AB$5,2,FALSE())</f>
        <v>30</v>
      </c>
      <c r="R817" s="7" t="n">
        <f aca="false">IF(OR(F817="Open",F817="Reopened"),1,0)</f>
        <v>0</v>
      </c>
      <c r="S817" s="7" t="n">
        <f aca="false">IF(AND(H817&gt;='Exec Summary'!$E$1,H817&lt;='Exec Summary'!$E$2),1,0)</f>
        <v>0</v>
      </c>
      <c r="T817" s="7" t="n">
        <f aca="false">IF(AND(F817="Closed",I817&lt;&gt;"",I817&gt;='Exec Summary'!$E$1,I817&lt;='Exec Summary'!$E$2),1,0)</f>
        <v>0</v>
      </c>
      <c r="U817" s="7" t="n">
        <f aca="false">IF(F817="Reopened",1,0)</f>
        <v>0</v>
      </c>
      <c r="V817" s="7" t="n">
        <f aca="false">IF(AND(R817=1,O817&gt;Q817),1,0)</f>
        <v>0</v>
      </c>
      <c r="W817" s="7" t="n">
        <f aca="false">IF(AND(T817=1,P817&lt;&gt;"",P817&lt;=Q817),1,0)</f>
        <v>0</v>
      </c>
    </row>
    <row r="818" customFormat="false" ht="15" hidden="false" customHeight="false" outlineLevel="0" collapsed="false">
      <c r="A818" s="7" t="s">
        <v>1048</v>
      </c>
      <c r="B818" s="7" t="s">
        <v>46</v>
      </c>
      <c r="C818" s="7" t="s">
        <v>79</v>
      </c>
      <c r="D818" s="7" t="s">
        <v>62</v>
      </c>
      <c r="E818" s="7" t="s">
        <v>63</v>
      </c>
      <c r="F818" s="7" t="s">
        <v>50</v>
      </c>
      <c r="G818" s="7" t="s">
        <v>20</v>
      </c>
      <c r="H818" s="9" t="n">
        <v>46162</v>
      </c>
      <c r="I818" s="9" t="n">
        <v>46182</v>
      </c>
      <c r="J818" s="7" t="n">
        <v>8.1</v>
      </c>
      <c r="K818" s="7" t="s">
        <v>1015</v>
      </c>
      <c r="L818" s="7" t="s">
        <v>20</v>
      </c>
      <c r="M818" s="7" t="s">
        <v>1051</v>
      </c>
      <c r="N818" s="7" t="s">
        <v>53</v>
      </c>
      <c r="O818" s="10" t="n">
        <f aca="false">'Exec Summary'!$E$2-H818</f>
        <v>72</v>
      </c>
      <c r="P818" s="10" t="n">
        <f aca="false">IF(I818="","",I818-H818)</f>
        <v>20</v>
      </c>
      <c r="Q818" s="10" t="n">
        <f aca="false">VLOOKUP(G818,$AA$2:$AB$5,2,FALSE())</f>
        <v>30</v>
      </c>
      <c r="R818" s="7" t="n">
        <f aca="false">IF(OR(F818="Open",F818="Reopened"),1,0)</f>
        <v>0</v>
      </c>
      <c r="S818" s="7" t="n">
        <f aca="false">IF(AND(H818&gt;='Exec Summary'!$E$1,H818&lt;='Exec Summary'!$E$2),1,0)</f>
        <v>0</v>
      </c>
      <c r="T818" s="7" t="n">
        <f aca="false">IF(AND(F818="Closed",I818&lt;&gt;"",I818&gt;='Exec Summary'!$E$1,I818&lt;='Exec Summary'!$E$2),1,0)</f>
        <v>0</v>
      </c>
      <c r="U818" s="7" t="n">
        <f aca="false">IF(F818="Reopened",1,0)</f>
        <v>0</v>
      </c>
      <c r="V818" s="7" t="n">
        <f aca="false">IF(AND(R818=1,O818&gt;Q818),1,0)</f>
        <v>0</v>
      </c>
      <c r="W818" s="7" t="n">
        <f aca="false">IF(AND(T818=1,P818&lt;&gt;"",P818&lt;=Q818),1,0)</f>
        <v>0</v>
      </c>
    </row>
    <row r="819" customFormat="false" ht="15" hidden="false" customHeight="false" outlineLevel="0" collapsed="false">
      <c r="A819" s="7" t="s">
        <v>1048</v>
      </c>
      <c r="B819" s="7" t="s">
        <v>46</v>
      </c>
      <c r="C819" s="7" t="s">
        <v>79</v>
      </c>
      <c r="D819" s="7" t="s">
        <v>68</v>
      </c>
      <c r="E819" s="7" t="s">
        <v>69</v>
      </c>
      <c r="F819" s="7" t="s">
        <v>50</v>
      </c>
      <c r="G819" s="7" t="s">
        <v>19</v>
      </c>
      <c r="H819" s="9" t="n">
        <v>46179</v>
      </c>
      <c r="I819" s="9" t="n">
        <v>46187</v>
      </c>
      <c r="J819" s="7" t="n">
        <v>9.8</v>
      </c>
      <c r="K819" s="7" t="s">
        <v>1015</v>
      </c>
      <c r="L819" s="7" t="s">
        <v>20</v>
      </c>
      <c r="M819" s="7" t="s">
        <v>1052</v>
      </c>
      <c r="N819" s="7" t="s">
        <v>58</v>
      </c>
      <c r="O819" s="10" t="n">
        <f aca="false">'Exec Summary'!$E$2-H819</f>
        <v>55</v>
      </c>
      <c r="P819" s="10" t="n">
        <f aca="false">IF(I819="","",I819-H819)</f>
        <v>8</v>
      </c>
      <c r="Q819" s="10" t="n">
        <f aca="false">VLOOKUP(G819,$AA$2:$AB$5,2,FALSE())</f>
        <v>15</v>
      </c>
      <c r="R819" s="7" t="n">
        <f aca="false">IF(OR(F819="Open",F819="Reopened"),1,0)</f>
        <v>0</v>
      </c>
      <c r="S819" s="7" t="n">
        <f aca="false">IF(AND(H819&gt;='Exec Summary'!$E$1,H819&lt;='Exec Summary'!$E$2),1,0)</f>
        <v>0</v>
      </c>
      <c r="T819" s="7" t="n">
        <f aca="false">IF(AND(F819="Closed",I819&lt;&gt;"",I819&gt;='Exec Summary'!$E$1,I819&lt;='Exec Summary'!$E$2),1,0)</f>
        <v>0</v>
      </c>
      <c r="U819" s="7" t="n">
        <f aca="false">IF(F819="Reopened",1,0)</f>
        <v>0</v>
      </c>
      <c r="V819" s="7" t="n">
        <f aca="false">IF(AND(R819=1,O819&gt;Q819),1,0)</f>
        <v>0</v>
      </c>
      <c r="W819" s="7" t="n">
        <f aca="false">IF(AND(T819=1,P819&lt;&gt;"",P819&lt;=Q819),1,0)</f>
        <v>0</v>
      </c>
    </row>
    <row r="820" customFormat="false" ht="15" hidden="false" customHeight="false" outlineLevel="0" collapsed="false">
      <c r="A820" s="7" t="s">
        <v>1048</v>
      </c>
      <c r="B820" s="7" t="s">
        <v>46</v>
      </c>
      <c r="C820" s="7" t="s">
        <v>79</v>
      </c>
      <c r="D820" s="7" t="s">
        <v>65</v>
      </c>
      <c r="E820" s="7" t="s">
        <v>66</v>
      </c>
      <c r="F820" s="7" t="s">
        <v>50</v>
      </c>
      <c r="G820" s="7" t="s">
        <v>19</v>
      </c>
      <c r="H820" s="9" t="n">
        <v>46112</v>
      </c>
      <c r="I820" s="9" t="n">
        <v>46115</v>
      </c>
      <c r="J820" s="7" t="n">
        <v>9.8</v>
      </c>
      <c r="K820" s="7" t="s">
        <v>1015</v>
      </c>
      <c r="L820" s="7" t="s">
        <v>20</v>
      </c>
      <c r="M820" s="7" t="s">
        <v>1053</v>
      </c>
      <c r="N820" s="7" t="s">
        <v>58</v>
      </c>
      <c r="O820" s="10" t="n">
        <f aca="false">'Exec Summary'!$E$2-H820</f>
        <v>122</v>
      </c>
      <c r="P820" s="10" t="n">
        <f aca="false">IF(I820="","",I820-H820)</f>
        <v>3</v>
      </c>
      <c r="Q820" s="10" t="n">
        <f aca="false">VLOOKUP(G820,$AA$2:$AB$5,2,FALSE())</f>
        <v>15</v>
      </c>
      <c r="R820" s="7" t="n">
        <f aca="false">IF(OR(F820="Open",F820="Reopened"),1,0)</f>
        <v>0</v>
      </c>
      <c r="S820" s="7" t="n">
        <f aca="false">IF(AND(H820&gt;='Exec Summary'!$E$1,H820&lt;='Exec Summary'!$E$2),1,0)</f>
        <v>0</v>
      </c>
      <c r="T820" s="7" t="n">
        <f aca="false">IF(AND(F820="Closed",I820&lt;&gt;"",I820&gt;='Exec Summary'!$E$1,I820&lt;='Exec Summary'!$E$2),1,0)</f>
        <v>0</v>
      </c>
      <c r="U820" s="7" t="n">
        <f aca="false">IF(F820="Reopened",1,0)</f>
        <v>0</v>
      </c>
      <c r="V820" s="7" t="n">
        <f aca="false">IF(AND(R820=1,O820&gt;Q820),1,0)</f>
        <v>0</v>
      </c>
      <c r="W820" s="7" t="n">
        <f aca="false">IF(AND(T820=1,P820&lt;&gt;"",P820&lt;=Q820),1,0)</f>
        <v>0</v>
      </c>
    </row>
    <row r="821" customFormat="false" ht="15" hidden="false" customHeight="false" outlineLevel="0" collapsed="false">
      <c r="A821" s="7" t="s">
        <v>1048</v>
      </c>
      <c r="B821" s="7" t="s">
        <v>46</v>
      </c>
      <c r="C821" s="7" t="s">
        <v>79</v>
      </c>
      <c r="D821" s="7" t="s">
        <v>206</v>
      </c>
      <c r="E821" s="7" t="s">
        <v>207</v>
      </c>
      <c r="F821" s="7" t="s">
        <v>56</v>
      </c>
      <c r="G821" s="7" t="s">
        <v>20</v>
      </c>
      <c r="H821" s="9" t="n">
        <v>46001</v>
      </c>
      <c r="I821" s="9"/>
      <c r="J821" s="7" t="n">
        <v>8.8</v>
      </c>
      <c r="K821" s="7" t="s">
        <v>1015</v>
      </c>
      <c r="L821" s="7" t="s">
        <v>20</v>
      </c>
      <c r="M821" s="7" t="s">
        <v>1054</v>
      </c>
      <c r="N821" s="7" t="s">
        <v>53</v>
      </c>
      <c r="O821" s="10" t="n">
        <f aca="false">'Exec Summary'!$E$2-H821</f>
        <v>233</v>
      </c>
      <c r="P821" s="10" t="str">
        <f aca="false">IF(I821="","",I821-H821)</f>
        <v/>
      </c>
      <c r="Q821" s="10" t="n">
        <f aca="false">VLOOKUP(G821,$AA$2:$AB$5,2,FALSE())</f>
        <v>30</v>
      </c>
      <c r="R821" s="7" t="n">
        <f aca="false">IF(OR(F821="Open",F821="Reopened"),1,0)</f>
        <v>1</v>
      </c>
      <c r="S821" s="7" t="n">
        <f aca="false">IF(AND(H821&gt;='Exec Summary'!$E$1,H821&lt;='Exec Summary'!$E$2),1,0)</f>
        <v>0</v>
      </c>
      <c r="T821" s="7" t="n">
        <f aca="false">IF(AND(F821="Closed",I821&lt;&gt;"",I821&gt;='Exec Summary'!$E$1,I821&lt;='Exec Summary'!$E$2),1,0)</f>
        <v>0</v>
      </c>
      <c r="U821" s="7" t="n">
        <f aca="false">IF(F821="Reopened",1,0)</f>
        <v>0</v>
      </c>
      <c r="V821" s="7" t="n">
        <f aca="false">IF(AND(R821=1,O821&gt;Q821),1,0)</f>
        <v>1</v>
      </c>
      <c r="W821" s="7" t="n">
        <f aca="false">IF(AND(T821=1,P821&lt;&gt;"",P821&lt;=Q821),1,0)</f>
        <v>0</v>
      </c>
    </row>
    <row r="822" customFormat="false" ht="15" hidden="false" customHeight="false" outlineLevel="0" collapsed="false">
      <c r="A822" s="7" t="s">
        <v>1048</v>
      </c>
      <c r="B822" s="7" t="s">
        <v>46</v>
      </c>
      <c r="C822" s="7" t="s">
        <v>79</v>
      </c>
      <c r="D822" s="7" t="s">
        <v>139</v>
      </c>
      <c r="E822" s="7" t="s">
        <v>140</v>
      </c>
      <c r="F822" s="7" t="s">
        <v>123</v>
      </c>
      <c r="G822" s="7" t="s">
        <v>19</v>
      </c>
      <c r="H822" s="9" t="n">
        <v>45953</v>
      </c>
      <c r="I822" s="9" t="n">
        <v>45955</v>
      </c>
      <c r="J822" s="7" t="n">
        <v>9.8</v>
      </c>
      <c r="K822" s="7" t="s">
        <v>1015</v>
      </c>
      <c r="L822" s="7" t="s">
        <v>20</v>
      </c>
      <c r="M822" s="7" t="s">
        <v>1055</v>
      </c>
      <c r="N822" s="7" t="s">
        <v>58</v>
      </c>
      <c r="O822" s="10" t="n">
        <f aca="false">'Exec Summary'!$E$2-H822</f>
        <v>281</v>
      </c>
      <c r="P822" s="10" t="n">
        <f aca="false">IF(I822="","",I822-H822)</f>
        <v>2</v>
      </c>
      <c r="Q822" s="10" t="n">
        <f aca="false">VLOOKUP(G822,$AA$2:$AB$5,2,FALSE())</f>
        <v>15</v>
      </c>
      <c r="R822" s="7" t="n">
        <f aca="false">IF(OR(F822="Open",F822="Reopened"),1,0)</f>
        <v>1</v>
      </c>
      <c r="S822" s="7" t="n">
        <f aca="false">IF(AND(H822&gt;='Exec Summary'!$E$1,H822&lt;='Exec Summary'!$E$2),1,0)</f>
        <v>0</v>
      </c>
      <c r="T822" s="7" t="n">
        <f aca="false">IF(AND(F822="Closed",I822&lt;&gt;"",I822&gt;='Exec Summary'!$E$1,I822&lt;='Exec Summary'!$E$2),1,0)</f>
        <v>0</v>
      </c>
      <c r="U822" s="7" t="n">
        <f aca="false">IF(F822="Reopened",1,0)</f>
        <v>1</v>
      </c>
      <c r="V822" s="7" t="n">
        <f aca="false">IF(AND(R822=1,O822&gt;Q822),1,0)</f>
        <v>1</v>
      </c>
      <c r="W822" s="7" t="n">
        <f aca="false">IF(AND(T822=1,P822&lt;&gt;"",P822&lt;=Q822),1,0)</f>
        <v>0</v>
      </c>
    </row>
    <row r="823" customFormat="false" ht="15" hidden="false" customHeight="false" outlineLevel="0" collapsed="false">
      <c r="A823" s="7" t="s">
        <v>1048</v>
      </c>
      <c r="B823" s="7" t="s">
        <v>46</v>
      </c>
      <c r="C823" s="7" t="s">
        <v>79</v>
      </c>
      <c r="D823" s="7" t="s">
        <v>98</v>
      </c>
      <c r="E823" s="7" t="s">
        <v>99</v>
      </c>
      <c r="F823" s="7" t="s">
        <v>50</v>
      </c>
      <c r="G823" s="7" t="s">
        <v>19</v>
      </c>
      <c r="H823" s="9" t="n">
        <v>46224</v>
      </c>
      <c r="I823" s="9" t="n">
        <v>46230</v>
      </c>
      <c r="J823" s="7" t="n">
        <v>10</v>
      </c>
      <c r="K823" s="7" t="s">
        <v>1015</v>
      </c>
      <c r="L823" s="7" t="s">
        <v>20</v>
      </c>
      <c r="M823" s="7" t="s">
        <v>1056</v>
      </c>
      <c r="N823" s="7" t="s">
        <v>58</v>
      </c>
      <c r="O823" s="10" t="n">
        <f aca="false">'Exec Summary'!$E$2-H823</f>
        <v>10</v>
      </c>
      <c r="P823" s="10" t="n">
        <f aca="false">IF(I823="","",I823-H823)</f>
        <v>6</v>
      </c>
      <c r="Q823" s="10" t="n">
        <f aca="false">VLOOKUP(G823,$AA$2:$AB$5,2,FALSE())</f>
        <v>15</v>
      </c>
      <c r="R823" s="7" t="n">
        <f aca="false">IF(OR(F823="Open",F823="Reopened"),1,0)</f>
        <v>0</v>
      </c>
      <c r="S823" s="7" t="n">
        <f aca="false">IF(AND(H823&gt;='Exec Summary'!$E$1,H823&lt;='Exec Summary'!$E$2),1,0)</f>
        <v>1</v>
      </c>
      <c r="T823" s="7" t="n">
        <f aca="false">IF(AND(F823="Closed",I823&lt;&gt;"",I823&gt;='Exec Summary'!$E$1,I823&lt;='Exec Summary'!$E$2),1,0)</f>
        <v>1</v>
      </c>
      <c r="U823" s="7" t="n">
        <f aca="false">IF(F823="Reopened",1,0)</f>
        <v>0</v>
      </c>
      <c r="V823" s="7" t="n">
        <f aca="false">IF(AND(R823=1,O823&gt;Q823),1,0)</f>
        <v>0</v>
      </c>
      <c r="W823" s="7" t="n">
        <f aca="false">IF(AND(T823=1,P823&lt;&gt;"",P823&lt;=Q823),1,0)</f>
        <v>1</v>
      </c>
    </row>
    <row r="824" customFormat="false" ht="15" hidden="false" customHeight="false" outlineLevel="0" collapsed="false">
      <c r="A824" s="7" t="s">
        <v>1048</v>
      </c>
      <c r="B824" s="7" t="s">
        <v>46</v>
      </c>
      <c r="C824" s="7" t="s">
        <v>79</v>
      </c>
      <c r="D824" s="7" t="s">
        <v>71</v>
      </c>
      <c r="E824" s="7" t="s">
        <v>72</v>
      </c>
      <c r="F824" s="7" t="s">
        <v>50</v>
      </c>
      <c r="G824" s="7" t="s">
        <v>19</v>
      </c>
      <c r="H824" s="9" t="n">
        <v>46224</v>
      </c>
      <c r="I824" s="9" t="n">
        <v>46234</v>
      </c>
      <c r="J824" s="7" t="n">
        <v>9.8</v>
      </c>
      <c r="K824" s="7" t="s">
        <v>1015</v>
      </c>
      <c r="L824" s="7" t="s">
        <v>20</v>
      </c>
      <c r="M824" s="7" t="s">
        <v>1057</v>
      </c>
      <c r="N824" s="7" t="s">
        <v>58</v>
      </c>
      <c r="O824" s="10" t="n">
        <f aca="false">'Exec Summary'!$E$2-H824</f>
        <v>10</v>
      </c>
      <c r="P824" s="10" t="n">
        <f aca="false">IF(I824="","",I824-H824)</f>
        <v>10</v>
      </c>
      <c r="Q824" s="10" t="n">
        <f aca="false">VLOOKUP(G824,$AA$2:$AB$5,2,FALSE())</f>
        <v>15</v>
      </c>
      <c r="R824" s="7" t="n">
        <f aca="false">IF(OR(F824="Open",F824="Reopened"),1,0)</f>
        <v>0</v>
      </c>
      <c r="S824" s="7" t="n">
        <f aca="false">IF(AND(H824&gt;='Exec Summary'!$E$1,H824&lt;='Exec Summary'!$E$2),1,0)</f>
        <v>1</v>
      </c>
      <c r="T824" s="7" t="n">
        <f aca="false">IF(AND(F824="Closed",I824&lt;&gt;"",I824&gt;='Exec Summary'!$E$1,I824&lt;='Exec Summary'!$E$2),1,0)</f>
        <v>1</v>
      </c>
      <c r="U824" s="7" t="n">
        <f aca="false">IF(F824="Reopened",1,0)</f>
        <v>0</v>
      </c>
      <c r="V824" s="7" t="n">
        <f aca="false">IF(AND(R824=1,O824&gt;Q824),1,0)</f>
        <v>0</v>
      </c>
      <c r="W824" s="7" t="n">
        <f aca="false">IF(AND(T824=1,P824&lt;&gt;"",P824&lt;=Q824),1,0)</f>
        <v>1</v>
      </c>
    </row>
    <row r="825" customFormat="false" ht="15" hidden="false" customHeight="false" outlineLevel="0" collapsed="false">
      <c r="A825" s="7" t="s">
        <v>1048</v>
      </c>
      <c r="B825" s="7" t="s">
        <v>46</v>
      </c>
      <c r="C825" s="7" t="s">
        <v>79</v>
      </c>
      <c r="D825" s="7" t="s">
        <v>91</v>
      </c>
      <c r="E825" s="7" t="s">
        <v>92</v>
      </c>
      <c r="F825" s="7" t="s">
        <v>50</v>
      </c>
      <c r="G825" s="7" t="s">
        <v>20</v>
      </c>
      <c r="H825" s="9" t="n">
        <v>45988</v>
      </c>
      <c r="I825" s="9" t="n">
        <v>46026</v>
      </c>
      <c r="J825" s="7" t="n">
        <v>8.1</v>
      </c>
      <c r="K825" s="7" t="s">
        <v>1015</v>
      </c>
      <c r="L825" s="7" t="s">
        <v>20</v>
      </c>
      <c r="M825" s="7" t="s">
        <v>1058</v>
      </c>
      <c r="N825" s="7" t="s">
        <v>53</v>
      </c>
      <c r="O825" s="10" t="n">
        <f aca="false">'Exec Summary'!$E$2-H825</f>
        <v>246</v>
      </c>
      <c r="P825" s="10" t="n">
        <f aca="false">IF(I825="","",I825-H825)</f>
        <v>38</v>
      </c>
      <c r="Q825" s="10" t="n">
        <f aca="false">VLOOKUP(G825,$AA$2:$AB$5,2,FALSE())</f>
        <v>30</v>
      </c>
      <c r="R825" s="7" t="n">
        <f aca="false">IF(OR(F825="Open",F825="Reopened"),1,0)</f>
        <v>0</v>
      </c>
      <c r="S825" s="7" t="n">
        <f aca="false">IF(AND(H825&gt;='Exec Summary'!$E$1,H825&lt;='Exec Summary'!$E$2),1,0)</f>
        <v>0</v>
      </c>
      <c r="T825" s="7" t="n">
        <f aca="false">IF(AND(F825="Closed",I825&lt;&gt;"",I825&gt;='Exec Summary'!$E$1,I825&lt;='Exec Summary'!$E$2),1,0)</f>
        <v>0</v>
      </c>
      <c r="U825" s="7" t="n">
        <f aca="false">IF(F825="Reopened",1,0)</f>
        <v>0</v>
      </c>
      <c r="V825" s="7" t="n">
        <f aca="false">IF(AND(R825=1,O825&gt;Q825),1,0)</f>
        <v>0</v>
      </c>
      <c r="W825" s="7" t="n">
        <f aca="false">IF(AND(T825=1,P825&lt;&gt;"",P825&lt;=Q825),1,0)</f>
        <v>0</v>
      </c>
    </row>
    <row r="826" customFormat="false" ht="15" hidden="false" customHeight="false" outlineLevel="0" collapsed="false">
      <c r="A826" s="7" t="s">
        <v>1059</v>
      </c>
      <c r="B826" s="7" t="s">
        <v>135</v>
      </c>
      <c r="C826" s="7" t="s">
        <v>247</v>
      </c>
      <c r="D826" s="7" t="s">
        <v>104</v>
      </c>
      <c r="E826" s="7" t="s">
        <v>105</v>
      </c>
      <c r="F826" s="7" t="s">
        <v>56</v>
      </c>
      <c r="G826" s="7" t="s">
        <v>19</v>
      </c>
      <c r="H826" s="9" t="n">
        <v>46154</v>
      </c>
      <c r="I826" s="9"/>
      <c r="J826" s="7" t="n">
        <v>9.8</v>
      </c>
      <c r="K826" s="7" t="s">
        <v>1015</v>
      </c>
      <c r="L826" s="7" t="s">
        <v>22</v>
      </c>
      <c r="M826" s="7" t="s">
        <v>1060</v>
      </c>
      <c r="N826" s="7" t="s">
        <v>58</v>
      </c>
      <c r="O826" s="10" t="n">
        <f aca="false">'Exec Summary'!$E$2-H826</f>
        <v>80</v>
      </c>
      <c r="P826" s="10" t="str">
        <f aca="false">IF(I826="","",I826-H826)</f>
        <v/>
      </c>
      <c r="Q826" s="10" t="n">
        <f aca="false">VLOOKUP(G826,$AA$2:$AB$5,2,FALSE())</f>
        <v>15</v>
      </c>
      <c r="R826" s="7" t="n">
        <f aca="false">IF(OR(F826="Open",F826="Reopened"),1,0)</f>
        <v>1</v>
      </c>
      <c r="S826" s="7" t="n">
        <f aca="false">IF(AND(H826&gt;='Exec Summary'!$E$1,H826&lt;='Exec Summary'!$E$2),1,0)</f>
        <v>0</v>
      </c>
      <c r="T826" s="7" t="n">
        <f aca="false">IF(AND(F826="Closed",I826&lt;&gt;"",I826&gt;='Exec Summary'!$E$1,I826&lt;='Exec Summary'!$E$2),1,0)</f>
        <v>0</v>
      </c>
      <c r="U826" s="7" t="n">
        <f aca="false">IF(F826="Reopened",1,0)</f>
        <v>0</v>
      </c>
      <c r="V826" s="7" t="n">
        <f aca="false">IF(AND(R826=1,O826&gt;Q826),1,0)</f>
        <v>1</v>
      </c>
      <c r="W826" s="7" t="n">
        <f aca="false">IF(AND(T826=1,P826&lt;&gt;"",P826&lt;=Q826),1,0)</f>
        <v>0</v>
      </c>
    </row>
    <row r="827" customFormat="false" ht="15" hidden="false" customHeight="false" outlineLevel="0" collapsed="false">
      <c r="A827" s="7" t="s">
        <v>1059</v>
      </c>
      <c r="B827" s="7" t="s">
        <v>135</v>
      </c>
      <c r="C827" s="7" t="s">
        <v>247</v>
      </c>
      <c r="D827" s="7" t="s">
        <v>117</v>
      </c>
      <c r="E827" s="7" t="s">
        <v>118</v>
      </c>
      <c r="F827" s="7" t="s">
        <v>56</v>
      </c>
      <c r="G827" s="7" t="s">
        <v>19</v>
      </c>
      <c r="H827" s="9" t="n">
        <v>46045</v>
      </c>
      <c r="I827" s="9"/>
      <c r="J827" s="7" t="n">
        <v>10</v>
      </c>
      <c r="K827" s="7" t="s">
        <v>1015</v>
      </c>
      <c r="L827" s="7" t="s">
        <v>22</v>
      </c>
      <c r="M827" s="7" t="s">
        <v>1061</v>
      </c>
      <c r="N827" s="7" t="s">
        <v>58</v>
      </c>
      <c r="O827" s="10" t="n">
        <f aca="false">'Exec Summary'!$E$2-H827</f>
        <v>189</v>
      </c>
      <c r="P827" s="10" t="str">
        <f aca="false">IF(I827="","",I827-H827)</f>
        <v/>
      </c>
      <c r="Q827" s="10" t="n">
        <f aca="false">VLOOKUP(G827,$AA$2:$AB$5,2,FALSE())</f>
        <v>15</v>
      </c>
      <c r="R827" s="7" t="n">
        <f aca="false">IF(OR(F827="Open",F827="Reopened"),1,0)</f>
        <v>1</v>
      </c>
      <c r="S827" s="7" t="n">
        <f aca="false">IF(AND(H827&gt;='Exec Summary'!$E$1,H827&lt;='Exec Summary'!$E$2),1,0)</f>
        <v>0</v>
      </c>
      <c r="T827" s="7" t="n">
        <f aca="false">IF(AND(F827="Closed",I827&lt;&gt;"",I827&gt;='Exec Summary'!$E$1,I827&lt;='Exec Summary'!$E$2),1,0)</f>
        <v>0</v>
      </c>
      <c r="U827" s="7" t="n">
        <f aca="false">IF(F827="Reopened",1,0)</f>
        <v>0</v>
      </c>
      <c r="V827" s="7" t="n">
        <f aca="false">IF(AND(R827=1,O827&gt;Q827),1,0)</f>
        <v>1</v>
      </c>
      <c r="W827" s="7" t="n">
        <f aca="false">IF(AND(T827=1,P827&lt;&gt;"",P827&lt;=Q827),1,0)</f>
        <v>0</v>
      </c>
    </row>
    <row r="828" customFormat="false" ht="15" hidden="false" customHeight="false" outlineLevel="0" collapsed="false">
      <c r="A828" s="7" t="s">
        <v>1059</v>
      </c>
      <c r="B828" s="7" t="s">
        <v>135</v>
      </c>
      <c r="C828" s="7" t="s">
        <v>247</v>
      </c>
      <c r="D828" s="7" t="s">
        <v>59</v>
      </c>
      <c r="E828" s="7" t="s">
        <v>60</v>
      </c>
      <c r="F828" s="7" t="s">
        <v>50</v>
      </c>
      <c r="G828" s="7" t="s">
        <v>19</v>
      </c>
      <c r="H828" s="9" t="n">
        <v>46118</v>
      </c>
      <c r="I828" s="9" t="n">
        <v>46136</v>
      </c>
      <c r="J828" s="7" t="n">
        <v>7.8</v>
      </c>
      <c r="K828" s="7" t="s">
        <v>1015</v>
      </c>
      <c r="L828" s="7" t="s">
        <v>22</v>
      </c>
      <c r="M828" s="7" t="s">
        <v>1062</v>
      </c>
      <c r="N828" s="7" t="s">
        <v>58</v>
      </c>
      <c r="O828" s="10" t="n">
        <f aca="false">'Exec Summary'!$E$2-H828</f>
        <v>116</v>
      </c>
      <c r="P828" s="10" t="n">
        <f aca="false">IF(I828="","",I828-H828)</f>
        <v>18</v>
      </c>
      <c r="Q828" s="10" t="n">
        <f aca="false">VLOOKUP(G828,$AA$2:$AB$5,2,FALSE())</f>
        <v>15</v>
      </c>
      <c r="R828" s="7" t="n">
        <f aca="false">IF(OR(F828="Open",F828="Reopened"),1,0)</f>
        <v>0</v>
      </c>
      <c r="S828" s="7" t="n">
        <f aca="false">IF(AND(H828&gt;='Exec Summary'!$E$1,H828&lt;='Exec Summary'!$E$2),1,0)</f>
        <v>0</v>
      </c>
      <c r="T828" s="7" t="n">
        <f aca="false">IF(AND(F828="Closed",I828&lt;&gt;"",I828&gt;='Exec Summary'!$E$1,I828&lt;='Exec Summary'!$E$2),1,0)</f>
        <v>0</v>
      </c>
      <c r="U828" s="7" t="n">
        <f aca="false">IF(F828="Reopened",1,0)</f>
        <v>0</v>
      </c>
      <c r="V828" s="7" t="n">
        <f aca="false">IF(AND(R828=1,O828&gt;Q828),1,0)</f>
        <v>0</v>
      </c>
      <c r="W828" s="7" t="n">
        <f aca="false">IF(AND(T828=1,P828&lt;&gt;"",P828&lt;=Q828),1,0)</f>
        <v>0</v>
      </c>
    </row>
    <row r="829" customFormat="false" ht="15" hidden="false" customHeight="false" outlineLevel="0" collapsed="false">
      <c r="A829" s="7" t="s">
        <v>1059</v>
      </c>
      <c r="B829" s="7" t="s">
        <v>135</v>
      </c>
      <c r="C829" s="7" t="s">
        <v>247</v>
      </c>
      <c r="D829" s="7" t="s">
        <v>139</v>
      </c>
      <c r="E829" s="7" t="s">
        <v>140</v>
      </c>
      <c r="F829" s="7" t="s">
        <v>50</v>
      </c>
      <c r="G829" s="7" t="s">
        <v>19</v>
      </c>
      <c r="H829" s="9" t="n">
        <v>46137</v>
      </c>
      <c r="I829" s="9" t="n">
        <v>46152</v>
      </c>
      <c r="J829" s="7" t="n">
        <v>9.8</v>
      </c>
      <c r="K829" s="7" t="s">
        <v>1015</v>
      </c>
      <c r="L829" s="7" t="s">
        <v>22</v>
      </c>
      <c r="M829" s="7" t="s">
        <v>1063</v>
      </c>
      <c r="N829" s="7" t="s">
        <v>58</v>
      </c>
      <c r="O829" s="10" t="n">
        <f aca="false">'Exec Summary'!$E$2-H829</f>
        <v>97</v>
      </c>
      <c r="P829" s="10" t="n">
        <f aca="false">IF(I829="","",I829-H829)</f>
        <v>15</v>
      </c>
      <c r="Q829" s="10" t="n">
        <f aca="false">VLOOKUP(G829,$AA$2:$AB$5,2,FALSE())</f>
        <v>15</v>
      </c>
      <c r="R829" s="7" t="n">
        <f aca="false">IF(OR(F829="Open",F829="Reopened"),1,0)</f>
        <v>0</v>
      </c>
      <c r="S829" s="7" t="n">
        <f aca="false">IF(AND(H829&gt;='Exec Summary'!$E$1,H829&lt;='Exec Summary'!$E$2),1,0)</f>
        <v>0</v>
      </c>
      <c r="T829" s="7" t="n">
        <f aca="false">IF(AND(F829="Closed",I829&lt;&gt;"",I829&gt;='Exec Summary'!$E$1,I829&lt;='Exec Summary'!$E$2),1,0)</f>
        <v>0</v>
      </c>
      <c r="U829" s="7" t="n">
        <f aca="false">IF(F829="Reopened",1,0)</f>
        <v>0</v>
      </c>
      <c r="V829" s="7" t="n">
        <f aca="false">IF(AND(R829=1,O829&gt;Q829),1,0)</f>
        <v>0</v>
      </c>
      <c r="W829" s="7" t="n">
        <f aca="false">IF(AND(T829=1,P829&lt;&gt;"",P829&lt;=Q829),1,0)</f>
        <v>0</v>
      </c>
    </row>
    <row r="830" customFormat="false" ht="15" hidden="false" customHeight="false" outlineLevel="0" collapsed="false">
      <c r="A830" s="7" t="s">
        <v>1059</v>
      </c>
      <c r="B830" s="7" t="s">
        <v>135</v>
      </c>
      <c r="C830" s="7" t="s">
        <v>247</v>
      </c>
      <c r="D830" s="7" t="s">
        <v>101</v>
      </c>
      <c r="E830" s="7" t="s">
        <v>102</v>
      </c>
      <c r="F830" s="7" t="s">
        <v>56</v>
      </c>
      <c r="G830" s="7" t="s">
        <v>19</v>
      </c>
      <c r="H830" s="9" t="n">
        <v>45958</v>
      </c>
      <c r="I830" s="9"/>
      <c r="J830" s="7" t="n">
        <v>10</v>
      </c>
      <c r="K830" s="7" t="s">
        <v>1015</v>
      </c>
      <c r="L830" s="7" t="s">
        <v>22</v>
      </c>
      <c r="M830" s="7" t="s">
        <v>1064</v>
      </c>
      <c r="N830" s="7" t="s">
        <v>58</v>
      </c>
      <c r="O830" s="10" t="n">
        <f aca="false">'Exec Summary'!$E$2-H830</f>
        <v>276</v>
      </c>
      <c r="P830" s="10" t="str">
        <f aca="false">IF(I830="","",I830-H830)</f>
        <v/>
      </c>
      <c r="Q830" s="10" t="n">
        <f aca="false">VLOOKUP(G830,$AA$2:$AB$5,2,FALSE())</f>
        <v>15</v>
      </c>
      <c r="R830" s="7" t="n">
        <f aca="false">IF(OR(F830="Open",F830="Reopened"),1,0)</f>
        <v>1</v>
      </c>
      <c r="S830" s="7" t="n">
        <f aca="false">IF(AND(H830&gt;='Exec Summary'!$E$1,H830&lt;='Exec Summary'!$E$2),1,0)</f>
        <v>0</v>
      </c>
      <c r="T830" s="7" t="n">
        <f aca="false">IF(AND(F830="Closed",I830&lt;&gt;"",I830&gt;='Exec Summary'!$E$1,I830&lt;='Exec Summary'!$E$2),1,0)</f>
        <v>0</v>
      </c>
      <c r="U830" s="7" t="n">
        <f aca="false">IF(F830="Reopened",1,0)</f>
        <v>0</v>
      </c>
      <c r="V830" s="7" t="n">
        <f aca="false">IF(AND(R830=1,O830&gt;Q830),1,0)</f>
        <v>1</v>
      </c>
      <c r="W830" s="7" t="n">
        <f aca="false">IF(AND(T830=1,P830&lt;&gt;"",P830&lt;=Q830),1,0)</f>
        <v>0</v>
      </c>
    </row>
    <row r="831" customFormat="false" ht="15" hidden="false" customHeight="false" outlineLevel="0" collapsed="false">
      <c r="A831" s="7" t="s">
        <v>1059</v>
      </c>
      <c r="B831" s="7" t="s">
        <v>135</v>
      </c>
      <c r="C831" s="7" t="s">
        <v>247</v>
      </c>
      <c r="D831" s="7" t="s">
        <v>91</v>
      </c>
      <c r="E831" s="7" t="s">
        <v>92</v>
      </c>
      <c r="F831" s="7" t="s">
        <v>50</v>
      </c>
      <c r="G831" s="7" t="s">
        <v>20</v>
      </c>
      <c r="H831" s="9" t="n">
        <v>46027</v>
      </c>
      <c r="I831" s="9" t="n">
        <v>46054</v>
      </c>
      <c r="J831" s="7" t="n">
        <v>8.1</v>
      </c>
      <c r="K831" s="7" t="s">
        <v>1015</v>
      </c>
      <c r="L831" s="7" t="s">
        <v>22</v>
      </c>
      <c r="M831" s="7" t="s">
        <v>1065</v>
      </c>
      <c r="N831" s="7" t="s">
        <v>53</v>
      </c>
      <c r="O831" s="10" t="n">
        <f aca="false">'Exec Summary'!$E$2-H831</f>
        <v>207</v>
      </c>
      <c r="P831" s="10" t="n">
        <f aca="false">IF(I831="","",I831-H831)</f>
        <v>27</v>
      </c>
      <c r="Q831" s="10" t="n">
        <f aca="false">VLOOKUP(G831,$AA$2:$AB$5,2,FALSE())</f>
        <v>30</v>
      </c>
      <c r="R831" s="7" t="n">
        <f aca="false">IF(OR(F831="Open",F831="Reopened"),1,0)</f>
        <v>0</v>
      </c>
      <c r="S831" s="7" t="n">
        <f aca="false">IF(AND(H831&gt;='Exec Summary'!$E$1,H831&lt;='Exec Summary'!$E$2),1,0)</f>
        <v>0</v>
      </c>
      <c r="T831" s="7" t="n">
        <f aca="false">IF(AND(F831="Closed",I831&lt;&gt;"",I831&gt;='Exec Summary'!$E$1,I831&lt;='Exec Summary'!$E$2),1,0)</f>
        <v>0</v>
      </c>
      <c r="U831" s="7" t="n">
        <f aca="false">IF(F831="Reopened",1,0)</f>
        <v>0</v>
      </c>
      <c r="V831" s="7" t="n">
        <f aca="false">IF(AND(R831=1,O831&gt;Q831),1,0)</f>
        <v>0</v>
      </c>
      <c r="W831" s="7" t="n">
        <f aca="false">IF(AND(T831=1,P831&lt;&gt;"",P831&lt;=Q831),1,0)</f>
        <v>0</v>
      </c>
    </row>
    <row r="832" customFormat="false" ht="15" hidden="false" customHeight="false" outlineLevel="0" collapsed="false">
      <c r="A832" s="7" t="s">
        <v>1066</v>
      </c>
      <c r="B832" s="7" t="s">
        <v>46</v>
      </c>
      <c r="C832" s="7" t="s">
        <v>128</v>
      </c>
      <c r="D832" s="7" t="s">
        <v>62</v>
      </c>
      <c r="E832" s="7" t="s">
        <v>63</v>
      </c>
      <c r="F832" s="7" t="s">
        <v>50</v>
      </c>
      <c r="G832" s="7" t="s">
        <v>20</v>
      </c>
      <c r="H832" s="9" t="n">
        <v>46088</v>
      </c>
      <c r="I832" s="9" t="n">
        <v>46093</v>
      </c>
      <c r="J832" s="7" t="n">
        <v>8.1</v>
      </c>
      <c r="K832" s="7" t="s">
        <v>1015</v>
      </c>
      <c r="L832" s="7" t="s">
        <v>20</v>
      </c>
      <c r="M832" s="7" t="s">
        <v>1067</v>
      </c>
      <c r="N832" s="7" t="s">
        <v>53</v>
      </c>
      <c r="O832" s="10" t="n">
        <f aca="false">'Exec Summary'!$E$2-H832</f>
        <v>146</v>
      </c>
      <c r="P832" s="10" t="n">
        <f aca="false">IF(I832="","",I832-H832)</f>
        <v>5</v>
      </c>
      <c r="Q832" s="10" t="n">
        <f aca="false">VLOOKUP(G832,$AA$2:$AB$5,2,FALSE())</f>
        <v>30</v>
      </c>
      <c r="R832" s="7" t="n">
        <f aca="false">IF(OR(F832="Open",F832="Reopened"),1,0)</f>
        <v>0</v>
      </c>
      <c r="S832" s="7" t="n">
        <f aca="false">IF(AND(H832&gt;='Exec Summary'!$E$1,H832&lt;='Exec Summary'!$E$2),1,0)</f>
        <v>0</v>
      </c>
      <c r="T832" s="7" t="n">
        <f aca="false">IF(AND(F832="Closed",I832&lt;&gt;"",I832&gt;='Exec Summary'!$E$1,I832&lt;='Exec Summary'!$E$2),1,0)</f>
        <v>0</v>
      </c>
      <c r="U832" s="7" t="n">
        <f aca="false">IF(F832="Reopened",1,0)</f>
        <v>0</v>
      </c>
      <c r="V832" s="7" t="n">
        <f aca="false">IF(AND(R832=1,O832&gt;Q832),1,0)</f>
        <v>0</v>
      </c>
      <c r="W832" s="7" t="n">
        <f aca="false">IF(AND(T832=1,P832&lt;&gt;"",P832&lt;=Q832),1,0)</f>
        <v>0</v>
      </c>
    </row>
    <row r="833" customFormat="false" ht="15" hidden="false" customHeight="false" outlineLevel="0" collapsed="false">
      <c r="A833" s="7" t="s">
        <v>1066</v>
      </c>
      <c r="B833" s="7" t="s">
        <v>46</v>
      </c>
      <c r="C833" s="7" t="s">
        <v>128</v>
      </c>
      <c r="D833" s="7" t="s">
        <v>98</v>
      </c>
      <c r="E833" s="7" t="s">
        <v>99</v>
      </c>
      <c r="F833" s="7" t="s">
        <v>56</v>
      </c>
      <c r="G833" s="7" t="s">
        <v>19</v>
      </c>
      <c r="H833" s="9" t="n">
        <v>46210</v>
      </c>
      <c r="I833" s="9"/>
      <c r="J833" s="7" t="n">
        <v>10</v>
      </c>
      <c r="K833" s="7" t="s">
        <v>1015</v>
      </c>
      <c r="L833" s="7" t="s">
        <v>20</v>
      </c>
      <c r="M833" s="7" t="s">
        <v>1068</v>
      </c>
      <c r="N833" s="7" t="s">
        <v>58</v>
      </c>
      <c r="O833" s="10" t="n">
        <f aca="false">'Exec Summary'!$E$2-H833</f>
        <v>24</v>
      </c>
      <c r="P833" s="10" t="str">
        <f aca="false">IF(I833="","",I833-H833)</f>
        <v/>
      </c>
      <c r="Q833" s="10" t="n">
        <f aca="false">VLOOKUP(G833,$AA$2:$AB$5,2,FALSE())</f>
        <v>15</v>
      </c>
      <c r="R833" s="7" t="n">
        <f aca="false">IF(OR(F833="Open",F833="Reopened"),1,0)</f>
        <v>1</v>
      </c>
      <c r="S833" s="7" t="n">
        <f aca="false">IF(AND(H833&gt;='Exec Summary'!$E$1,H833&lt;='Exec Summary'!$E$2),1,0)</f>
        <v>1</v>
      </c>
      <c r="T833" s="7" t="n">
        <f aca="false">IF(AND(F833="Closed",I833&lt;&gt;"",I833&gt;='Exec Summary'!$E$1,I833&lt;='Exec Summary'!$E$2),1,0)</f>
        <v>0</v>
      </c>
      <c r="U833" s="7" t="n">
        <f aca="false">IF(F833="Reopened",1,0)</f>
        <v>0</v>
      </c>
      <c r="V833" s="7" t="n">
        <f aca="false">IF(AND(R833=1,O833&gt;Q833),1,0)</f>
        <v>1</v>
      </c>
      <c r="W833" s="7" t="n">
        <f aca="false">IF(AND(T833=1,P833&lt;&gt;"",P833&lt;=Q833),1,0)</f>
        <v>0</v>
      </c>
    </row>
    <row r="834" customFormat="false" ht="15" hidden="false" customHeight="false" outlineLevel="0" collapsed="false">
      <c r="A834" s="7" t="s">
        <v>1066</v>
      </c>
      <c r="B834" s="7" t="s">
        <v>46</v>
      </c>
      <c r="C834" s="7" t="s">
        <v>128</v>
      </c>
      <c r="D834" s="7" t="s">
        <v>104</v>
      </c>
      <c r="E834" s="7" t="s">
        <v>105</v>
      </c>
      <c r="F834" s="7" t="s">
        <v>56</v>
      </c>
      <c r="G834" s="7" t="s">
        <v>19</v>
      </c>
      <c r="H834" s="9" t="n">
        <v>46216</v>
      </c>
      <c r="I834" s="9"/>
      <c r="J834" s="7" t="n">
        <v>9.8</v>
      </c>
      <c r="K834" s="7" t="s">
        <v>1015</v>
      </c>
      <c r="L834" s="7" t="s">
        <v>20</v>
      </c>
      <c r="M834" s="7" t="s">
        <v>1069</v>
      </c>
      <c r="N834" s="7" t="s">
        <v>58</v>
      </c>
      <c r="O834" s="10" t="n">
        <f aca="false">'Exec Summary'!$E$2-H834</f>
        <v>18</v>
      </c>
      <c r="P834" s="10" t="str">
        <f aca="false">IF(I834="","",I834-H834)</f>
        <v/>
      </c>
      <c r="Q834" s="10" t="n">
        <f aca="false">VLOOKUP(G834,$AA$2:$AB$5,2,FALSE())</f>
        <v>15</v>
      </c>
      <c r="R834" s="7" t="n">
        <f aca="false">IF(OR(F834="Open",F834="Reopened"),1,0)</f>
        <v>1</v>
      </c>
      <c r="S834" s="7" t="n">
        <f aca="false">IF(AND(H834&gt;='Exec Summary'!$E$1,H834&lt;='Exec Summary'!$E$2),1,0)</f>
        <v>1</v>
      </c>
      <c r="T834" s="7" t="n">
        <f aca="false">IF(AND(F834="Closed",I834&lt;&gt;"",I834&gt;='Exec Summary'!$E$1,I834&lt;='Exec Summary'!$E$2),1,0)</f>
        <v>0</v>
      </c>
      <c r="U834" s="7" t="n">
        <f aca="false">IF(F834="Reopened",1,0)</f>
        <v>0</v>
      </c>
      <c r="V834" s="7" t="n">
        <f aca="false">IF(AND(R834=1,O834&gt;Q834),1,0)</f>
        <v>1</v>
      </c>
      <c r="W834" s="7" t="n">
        <f aca="false">IF(AND(T834=1,P834&lt;&gt;"",P834&lt;=Q834),1,0)</f>
        <v>0</v>
      </c>
    </row>
    <row r="835" customFormat="false" ht="15" hidden="false" customHeight="false" outlineLevel="0" collapsed="false">
      <c r="A835" s="7" t="s">
        <v>1066</v>
      </c>
      <c r="B835" s="7" t="s">
        <v>46</v>
      </c>
      <c r="C835" s="7" t="s">
        <v>128</v>
      </c>
      <c r="D835" s="7" t="s">
        <v>131</v>
      </c>
      <c r="E835" s="7" t="s">
        <v>132</v>
      </c>
      <c r="F835" s="7" t="s">
        <v>50</v>
      </c>
      <c r="G835" s="7" t="s">
        <v>19</v>
      </c>
      <c r="H835" s="9" t="n">
        <v>46006</v>
      </c>
      <c r="I835" s="9" t="n">
        <v>46019</v>
      </c>
      <c r="J835" s="7" t="n">
        <v>9.8</v>
      </c>
      <c r="K835" s="7" t="s">
        <v>1015</v>
      </c>
      <c r="L835" s="7" t="s">
        <v>20</v>
      </c>
      <c r="M835" s="7" t="s">
        <v>1070</v>
      </c>
      <c r="N835" s="7" t="s">
        <v>58</v>
      </c>
      <c r="O835" s="10" t="n">
        <f aca="false">'Exec Summary'!$E$2-H835</f>
        <v>228</v>
      </c>
      <c r="P835" s="10" t="n">
        <f aca="false">IF(I835="","",I835-H835)</f>
        <v>13</v>
      </c>
      <c r="Q835" s="10" t="n">
        <f aca="false">VLOOKUP(G835,$AA$2:$AB$5,2,FALSE())</f>
        <v>15</v>
      </c>
      <c r="R835" s="7" t="n">
        <f aca="false">IF(OR(F835="Open",F835="Reopened"),1,0)</f>
        <v>0</v>
      </c>
      <c r="S835" s="7" t="n">
        <f aca="false">IF(AND(H835&gt;='Exec Summary'!$E$1,H835&lt;='Exec Summary'!$E$2),1,0)</f>
        <v>0</v>
      </c>
      <c r="T835" s="7" t="n">
        <f aca="false">IF(AND(F835="Closed",I835&lt;&gt;"",I835&gt;='Exec Summary'!$E$1,I835&lt;='Exec Summary'!$E$2),1,0)</f>
        <v>0</v>
      </c>
      <c r="U835" s="7" t="n">
        <f aca="false">IF(F835="Reopened",1,0)</f>
        <v>0</v>
      </c>
      <c r="V835" s="7" t="n">
        <f aca="false">IF(AND(R835=1,O835&gt;Q835),1,0)</f>
        <v>0</v>
      </c>
      <c r="W835" s="7" t="n">
        <f aca="false">IF(AND(T835=1,P835&lt;&gt;"",P835&lt;=Q835),1,0)</f>
        <v>0</v>
      </c>
    </row>
    <row r="836" customFormat="false" ht="15" hidden="false" customHeight="false" outlineLevel="0" collapsed="false">
      <c r="A836" s="7" t="s">
        <v>1066</v>
      </c>
      <c r="B836" s="7" t="s">
        <v>46</v>
      </c>
      <c r="C836" s="7" t="s">
        <v>128</v>
      </c>
      <c r="D836" s="7" t="s">
        <v>101</v>
      </c>
      <c r="E836" s="7" t="s">
        <v>102</v>
      </c>
      <c r="F836" s="7" t="s">
        <v>56</v>
      </c>
      <c r="G836" s="7" t="s">
        <v>19</v>
      </c>
      <c r="H836" s="9" t="n">
        <v>46012</v>
      </c>
      <c r="I836" s="9"/>
      <c r="J836" s="7" t="n">
        <v>10</v>
      </c>
      <c r="K836" s="7" t="s">
        <v>1015</v>
      </c>
      <c r="L836" s="7" t="s">
        <v>20</v>
      </c>
      <c r="M836" s="7" t="s">
        <v>1071</v>
      </c>
      <c r="N836" s="7" t="s">
        <v>58</v>
      </c>
      <c r="O836" s="10" t="n">
        <f aca="false">'Exec Summary'!$E$2-H836</f>
        <v>222</v>
      </c>
      <c r="P836" s="10" t="str">
        <f aca="false">IF(I836="","",I836-H836)</f>
        <v/>
      </c>
      <c r="Q836" s="10" t="n">
        <f aca="false">VLOOKUP(G836,$AA$2:$AB$5,2,FALSE())</f>
        <v>15</v>
      </c>
      <c r="R836" s="7" t="n">
        <f aca="false">IF(OR(F836="Open",F836="Reopened"),1,0)</f>
        <v>1</v>
      </c>
      <c r="S836" s="7" t="n">
        <f aca="false">IF(AND(H836&gt;='Exec Summary'!$E$1,H836&lt;='Exec Summary'!$E$2),1,0)</f>
        <v>0</v>
      </c>
      <c r="T836" s="7" t="n">
        <f aca="false">IF(AND(F836="Closed",I836&lt;&gt;"",I836&gt;='Exec Summary'!$E$1,I836&lt;='Exec Summary'!$E$2),1,0)</f>
        <v>0</v>
      </c>
      <c r="U836" s="7" t="n">
        <f aca="false">IF(F836="Reopened",1,0)</f>
        <v>0</v>
      </c>
      <c r="V836" s="7" t="n">
        <f aca="false">IF(AND(R836=1,O836&gt;Q836),1,0)</f>
        <v>1</v>
      </c>
      <c r="W836" s="7" t="n">
        <f aca="false">IF(AND(T836=1,P836&lt;&gt;"",P836&lt;=Q836),1,0)</f>
        <v>0</v>
      </c>
    </row>
    <row r="837" customFormat="false" ht="15" hidden="false" customHeight="false" outlineLevel="0" collapsed="false">
      <c r="A837" s="7" t="s">
        <v>1072</v>
      </c>
      <c r="B837" s="7" t="s">
        <v>46</v>
      </c>
      <c r="C837" s="7" t="s">
        <v>177</v>
      </c>
      <c r="D837" s="7" t="s">
        <v>98</v>
      </c>
      <c r="E837" s="7" t="s">
        <v>99</v>
      </c>
      <c r="F837" s="7" t="s">
        <v>50</v>
      </c>
      <c r="G837" s="7" t="s">
        <v>19</v>
      </c>
      <c r="H837" s="9" t="n">
        <v>45963</v>
      </c>
      <c r="I837" s="9" t="n">
        <v>45964</v>
      </c>
      <c r="J837" s="7" t="n">
        <v>10</v>
      </c>
      <c r="K837" s="7" t="s">
        <v>1015</v>
      </c>
      <c r="L837" s="7" t="s">
        <v>20</v>
      </c>
      <c r="M837" s="7" t="s">
        <v>1073</v>
      </c>
      <c r="N837" s="7" t="s">
        <v>58</v>
      </c>
      <c r="O837" s="10" t="n">
        <f aca="false">'Exec Summary'!$E$2-H837</f>
        <v>271</v>
      </c>
      <c r="P837" s="10" t="n">
        <f aca="false">IF(I837="","",I837-H837)</f>
        <v>1</v>
      </c>
      <c r="Q837" s="10" t="n">
        <f aca="false">VLOOKUP(G837,$AA$2:$AB$5,2,FALSE())</f>
        <v>15</v>
      </c>
      <c r="R837" s="7" t="n">
        <f aca="false">IF(OR(F837="Open",F837="Reopened"),1,0)</f>
        <v>0</v>
      </c>
      <c r="S837" s="7" t="n">
        <f aca="false">IF(AND(H837&gt;='Exec Summary'!$E$1,H837&lt;='Exec Summary'!$E$2),1,0)</f>
        <v>0</v>
      </c>
      <c r="T837" s="7" t="n">
        <f aca="false">IF(AND(F837="Closed",I837&lt;&gt;"",I837&gt;='Exec Summary'!$E$1,I837&lt;='Exec Summary'!$E$2),1,0)</f>
        <v>0</v>
      </c>
      <c r="U837" s="7" t="n">
        <f aca="false">IF(F837="Reopened",1,0)</f>
        <v>0</v>
      </c>
      <c r="V837" s="7" t="n">
        <f aca="false">IF(AND(R837=1,O837&gt;Q837),1,0)</f>
        <v>0</v>
      </c>
      <c r="W837" s="7" t="n">
        <f aca="false">IF(AND(T837=1,P837&lt;&gt;"",P837&lt;=Q837),1,0)</f>
        <v>0</v>
      </c>
    </row>
    <row r="838" customFormat="false" ht="15" hidden="false" customHeight="false" outlineLevel="0" collapsed="false">
      <c r="A838" s="7" t="s">
        <v>1072</v>
      </c>
      <c r="B838" s="7" t="s">
        <v>46</v>
      </c>
      <c r="C838" s="7" t="s">
        <v>177</v>
      </c>
      <c r="D838" s="7" t="s">
        <v>192</v>
      </c>
      <c r="E838" s="7" t="s">
        <v>193</v>
      </c>
      <c r="F838" s="7" t="s">
        <v>50</v>
      </c>
      <c r="G838" s="7" t="s">
        <v>19</v>
      </c>
      <c r="H838" s="9" t="n">
        <v>46017</v>
      </c>
      <c r="I838" s="9" t="n">
        <v>46025</v>
      </c>
      <c r="J838" s="7" t="n">
        <v>9.8</v>
      </c>
      <c r="K838" s="7" t="s">
        <v>1015</v>
      </c>
      <c r="L838" s="7" t="s">
        <v>20</v>
      </c>
      <c r="M838" s="7" t="s">
        <v>1074</v>
      </c>
      <c r="N838" s="7" t="s">
        <v>58</v>
      </c>
      <c r="O838" s="10" t="n">
        <f aca="false">'Exec Summary'!$E$2-H838</f>
        <v>217</v>
      </c>
      <c r="P838" s="10" t="n">
        <f aca="false">IF(I838="","",I838-H838)</f>
        <v>8</v>
      </c>
      <c r="Q838" s="10" t="n">
        <f aca="false">VLOOKUP(G838,$AA$2:$AB$5,2,FALSE())</f>
        <v>15</v>
      </c>
      <c r="R838" s="7" t="n">
        <f aca="false">IF(OR(F838="Open",F838="Reopened"),1,0)</f>
        <v>0</v>
      </c>
      <c r="S838" s="7" t="n">
        <f aca="false">IF(AND(H838&gt;='Exec Summary'!$E$1,H838&lt;='Exec Summary'!$E$2),1,0)</f>
        <v>0</v>
      </c>
      <c r="T838" s="7" t="n">
        <f aca="false">IF(AND(F838="Closed",I838&lt;&gt;"",I838&gt;='Exec Summary'!$E$1,I838&lt;='Exec Summary'!$E$2),1,0)</f>
        <v>0</v>
      </c>
      <c r="U838" s="7" t="n">
        <f aca="false">IF(F838="Reopened",1,0)</f>
        <v>0</v>
      </c>
      <c r="V838" s="7" t="n">
        <f aca="false">IF(AND(R838=1,O838&gt;Q838),1,0)</f>
        <v>0</v>
      </c>
      <c r="W838" s="7" t="n">
        <f aca="false">IF(AND(T838=1,P838&lt;&gt;"",P838&lt;=Q838),1,0)</f>
        <v>0</v>
      </c>
    </row>
    <row r="839" customFormat="false" ht="15" hidden="false" customHeight="false" outlineLevel="0" collapsed="false">
      <c r="A839" s="7" t="s">
        <v>1072</v>
      </c>
      <c r="B839" s="7" t="s">
        <v>46</v>
      </c>
      <c r="C839" s="7" t="s">
        <v>177</v>
      </c>
      <c r="D839" s="7" t="s">
        <v>87</v>
      </c>
      <c r="E839" s="7" t="s">
        <v>88</v>
      </c>
      <c r="F839" s="7" t="s">
        <v>50</v>
      </c>
      <c r="G839" s="7" t="s">
        <v>19</v>
      </c>
      <c r="H839" s="9" t="n">
        <v>46150</v>
      </c>
      <c r="I839" s="9" t="n">
        <v>46165</v>
      </c>
      <c r="J839" s="7" t="n">
        <v>10</v>
      </c>
      <c r="K839" s="7" t="s">
        <v>1015</v>
      </c>
      <c r="L839" s="7" t="s">
        <v>20</v>
      </c>
      <c r="M839" s="7" t="s">
        <v>1075</v>
      </c>
      <c r="N839" s="7" t="s">
        <v>58</v>
      </c>
      <c r="O839" s="10" t="n">
        <f aca="false">'Exec Summary'!$E$2-H839</f>
        <v>84</v>
      </c>
      <c r="P839" s="10" t="n">
        <f aca="false">IF(I839="","",I839-H839)</f>
        <v>15</v>
      </c>
      <c r="Q839" s="10" t="n">
        <f aca="false">VLOOKUP(G839,$AA$2:$AB$5,2,FALSE())</f>
        <v>15</v>
      </c>
      <c r="R839" s="7" t="n">
        <f aca="false">IF(OR(F839="Open",F839="Reopened"),1,0)</f>
        <v>0</v>
      </c>
      <c r="S839" s="7" t="n">
        <f aca="false">IF(AND(H839&gt;='Exec Summary'!$E$1,H839&lt;='Exec Summary'!$E$2),1,0)</f>
        <v>0</v>
      </c>
      <c r="T839" s="7" t="n">
        <f aca="false">IF(AND(F839="Closed",I839&lt;&gt;"",I839&gt;='Exec Summary'!$E$1,I839&lt;='Exec Summary'!$E$2),1,0)</f>
        <v>0</v>
      </c>
      <c r="U839" s="7" t="n">
        <f aca="false">IF(F839="Reopened",1,0)</f>
        <v>0</v>
      </c>
      <c r="V839" s="7" t="n">
        <f aca="false">IF(AND(R839=1,O839&gt;Q839),1,0)</f>
        <v>0</v>
      </c>
      <c r="W839" s="7" t="n">
        <f aca="false">IF(AND(T839=1,P839&lt;&gt;"",P839&lt;=Q839),1,0)</f>
        <v>0</v>
      </c>
    </row>
    <row r="840" customFormat="false" ht="15" hidden="false" customHeight="false" outlineLevel="0" collapsed="false">
      <c r="A840" s="7" t="s">
        <v>1072</v>
      </c>
      <c r="B840" s="7" t="s">
        <v>46</v>
      </c>
      <c r="C840" s="7" t="s">
        <v>177</v>
      </c>
      <c r="D840" s="7" t="s">
        <v>59</v>
      </c>
      <c r="E840" s="7" t="s">
        <v>60</v>
      </c>
      <c r="F840" s="7" t="s">
        <v>50</v>
      </c>
      <c r="G840" s="7" t="s">
        <v>19</v>
      </c>
      <c r="H840" s="9" t="n">
        <v>46035</v>
      </c>
      <c r="I840" s="9" t="n">
        <v>46056</v>
      </c>
      <c r="J840" s="7" t="n">
        <v>7.8</v>
      </c>
      <c r="K840" s="7" t="s">
        <v>1015</v>
      </c>
      <c r="L840" s="7" t="s">
        <v>20</v>
      </c>
      <c r="M840" s="7" t="s">
        <v>1076</v>
      </c>
      <c r="N840" s="7" t="s">
        <v>58</v>
      </c>
      <c r="O840" s="10" t="n">
        <f aca="false">'Exec Summary'!$E$2-H840</f>
        <v>199</v>
      </c>
      <c r="P840" s="10" t="n">
        <f aca="false">IF(I840="","",I840-H840)</f>
        <v>21</v>
      </c>
      <c r="Q840" s="10" t="n">
        <f aca="false">VLOOKUP(G840,$AA$2:$AB$5,2,FALSE())</f>
        <v>15</v>
      </c>
      <c r="R840" s="7" t="n">
        <f aca="false">IF(OR(F840="Open",F840="Reopened"),1,0)</f>
        <v>0</v>
      </c>
      <c r="S840" s="7" t="n">
        <f aca="false">IF(AND(H840&gt;='Exec Summary'!$E$1,H840&lt;='Exec Summary'!$E$2),1,0)</f>
        <v>0</v>
      </c>
      <c r="T840" s="7" t="n">
        <f aca="false">IF(AND(F840="Closed",I840&lt;&gt;"",I840&gt;='Exec Summary'!$E$1,I840&lt;='Exec Summary'!$E$2),1,0)</f>
        <v>0</v>
      </c>
      <c r="U840" s="7" t="n">
        <f aca="false">IF(F840="Reopened",1,0)</f>
        <v>0</v>
      </c>
      <c r="V840" s="7" t="n">
        <f aca="false">IF(AND(R840=1,O840&gt;Q840),1,0)</f>
        <v>0</v>
      </c>
      <c r="W840" s="7" t="n">
        <f aca="false">IF(AND(T840=1,P840&lt;&gt;"",P840&lt;=Q840),1,0)</f>
        <v>0</v>
      </c>
    </row>
    <row r="841" customFormat="false" ht="15" hidden="false" customHeight="false" outlineLevel="0" collapsed="false">
      <c r="A841" s="7" t="s">
        <v>1072</v>
      </c>
      <c r="B841" s="7" t="s">
        <v>46</v>
      </c>
      <c r="C841" s="7" t="s">
        <v>177</v>
      </c>
      <c r="D841" s="7" t="s">
        <v>163</v>
      </c>
      <c r="E841" s="7" t="s">
        <v>164</v>
      </c>
      <c r="F841" s="7" t="s">
        <v>50</v>
      </c>
      <c r="G841" s="7" t="s">
        <v>19</v>
      </c>
      <c r="H841" s="9" t="n">
        <v>46053</v>
      </c>
      <c r="I841" s="9" t="n">
        <v>46070</v>
      </c>
      <c r="J841" s="7" t="n">
        <v>9.1</v>
      </c>
      <c r="K841" s="7" t="s">
        <v>1015</v>
      </c>
      <c r="L841" s="7" t="s">
        <v>20</v>
      </c>
      <c r="M841" s="7" t="s">
        <v>1077</v>
      </c>
      <c r="N841" s="7" t="s">
        <v>58</v>
      </c>
      <c r="O841" s="10" t="n">
        <f aca="false">'Exec Summary'!$E$2-H841</f>
        <v>181</v>
      </c>
      <c r="P841" s="10" t="n">
        <f aca="false">IF(I841="","",I841-H841)</f>
        <v>17</v>
      </c>
      <c r="Q841" s="10" t="n">
        <f aca="false">VLOOKUP(G841,$AA$2:$AB$5,2,FALSE())</f>
        <v>15</v>
      </c>
      <c r="R841" s="7" t="n">
        <f aca="false">IF(OR(F841="Open",F841="Reopened"),1,0)</f>
        <v>0</v>
      </c>
      <c r="S841" s="7" t="n">
        <f aca="false">IF(AND(H841&gt;='Exec Summary'!$E$1,H841&lt;='Exec Summary'!$E$2),1,0)</f>
        <v>0</v>
      </c>
      <c r="T841" s="7" t="n">
        <f aca="false">IF(AND(F841="Closed",I841&lt;&gt;"",I841&gt;='Exec Summary'!$E$1,I841&lt;='Exec Summary'!$E$2),1,0)</f>
        <v>0</v>
      </c>
      <c r="U841" s="7" t="n">
        <f aca="false">IF(F841="Reopened",1,0)</f>
        <v>0</v>
      </c>
      <c r="V841" s="7" t="n">
        <f aca="false">IF(AND(R841=1,O841&gt;Q841),1,0)</f>
        <v>0</v>
      </c>
      <c r="W841" s="7" t="n">
        <f aca="false">IF(AND(T841=1,P841&lt;&gt;"",P841&lt;=Q841),1,0)</f>
        <v>0</v>
      </c>
    </row>
    <row r="842" customFormat="false" ht="15" hidden="false" customHeight="false" outlineLevel="0" collapsed="false">
      <c r="A842" s="7" t="s">
        <v>1078</v>
      </c>
      <c r="B842" s="7" t="s">
        <v>46</v>
      </c>
      <c r="C842" s="7" t="s">
        <v>158</v>
      </c>
      <c r="D842" s="7" t="s">
        <v>112</v>
      </c>
      <c r="E842" s="7" t="s">
        <v>113</v>
      </c>
      <c r="F842" s="7" t="s">
        <v>56</v>
      </c>
      <c r="G842" s="7" t="s">
        <v>20</v>
      </c>
      <c r="H842" s="9" t="n">
        <v>46153</v>
      </c>
      <c r="I842" s="9"/>
      <c r="J842" s="7" t="n">
        <v>7.8</v>
      </c>
      <c r="K842" s="7" t="s">
        <v>1015</v>
      </c>
      <c r="L842" s="7" t="s">
        <v>20</v>
      </c>
      <c r="M842" s="7" t="s">
        <v>1079</v>
      </c>
      <c r="N842" s="7" t="s">
        <v>53</v>
      </c>
      <c r="O842" s="10" t="n">
        <f aca="false">'Exec Summary'!$E$2-H842</f>
        <v>81</v>
      </c>
      <c r="P842" s="10" t="str">
        <f aca="false">IF(I842="","",I842-H842)</f>
        <v/>
      </c>
      <c r="Q842" s="10" t="n">
        <f aca="false">VLOOKUP(G842,$AA$2:$AB$5,2,FALSE())</f>
        <v>30</v>
      </c>
      <c r="R842" s="7" t="n">
        <f aca="false">IF(OR(F842="Open",F842="Reopened"),1,0)</f>
        <v>1</v>
      </c>
      <c r="S842" s="7" t="n">
        <f aca="false">IF(AND(H842&gt;='Exec Summary'!$E$1,H842&lt;='Exec Summary'!$E$2),1,0)</f>
        <v>0</v>
      </c>
      <c r="T842" s="7" t="n">
        <f aca="false">IF(AND(F842="Closed",I842&lt;&gt;"",I842&gt;='Exec Summary'!$E$1,I842&lt;='Exec Summary'!$E$2),1,0)</f>
        <v>0</v>
      </c>
      <c r="U842" s="7" t="n">
        <f aca="false">IF(F842="Reopened",1,0)</f>
        <v>0</v>
      </c>
      <c r="V842" s="7" t="n">
        <f aca="false">IF(AND(R842=1,O842&gt;Q842),1,0)</f>
        <v>1</v>
      </c>
      <c r="W842" s="7" t="n">
        <f aca="false">IF(AND(T842=1,P842&lt;&gt;"",P842&lt;=Q842),1,0)</f>
        <v>0</v>
      </c>
    </row>
    <row r="843" customFormat="false" ht="15" hidden="false" customHeight="false" outlineLevel="0" collapsed="false">
      <c r="A843" s="7" t="s">
        <v>1078</v>
      </c>
      <c r="B843" s="7" t="s">
        <v>46</v>
      </c>
      <c r="C843" s="7" t="s">
        <v>158</v>
      </c>
      <c r="D843" s="7" t="s">
        <v>74</v>
      </c>
      <c r="E843" s="7" t="s">
        <v>75</v>
      </c>
      <c r="F843" s="7" t="s">
        <v>50</v>
      </c>
      <c r="G843" s="7" t="s">
        <v>21</v>
      </c>
      <c r="H843" s="9" t="n">
        <v>45939</v>
      </c>
      <c r="I843" s="9" t="n">
        <v>46010</v>
      </c>
      <c r="J843" s="7" t="n">
        <v>6.5</v>
      </c>
      <c r="K843" s="7" t="s">
        <v>1015</v>
      </c>
      <c r="L843" s="7" t="s">
        <v>20</v>
      </c>
      <c r="M843" s="7" t="s">
        <v>1080</v>
      </c>
      <c r="N843" s="7" t="s">
        <v>77</v>
      </c>
      <c r="O843" s="10" t="n">
        <f aca="false">'Exec Summary'!$E$2-H843</f>
        <v>295</v>
      </c>
      <c r="P843" s="10" t="n">
        <f aca="false">IF(I843="","",I843-H843)</f>
        <v>71</v>
      </c>
      <c r="Q843" s="10" t="n">
        <f aca="false">VLOOKUP(G843,$AA$2:$AB$5,2,FALSE())</f>
        <v>90</v>
      </c>
      <c r="R843" s="7" t="n">
        <f aca="false">IF(OR(F843="Open",F843="Reopened"),1,0)</f>
        <v>0</v>
      </c>
      <c r="S843" s="7" t="n">
        <f aca="false">IF(AND(H843&gt;='Exec Summary'!$E$1,H843&lt;='Exec Summary'!$E$2),1,0)</f>
        <v>0</v>
      </c>
      <c r="T843" s="7" t="n">
        <f aca="false">IF(AND(F843="Closed",I843&lt;&gt;"",I843&gt;='Exec Summary'!$E$1,I843&lt;='Exec Summary'!$E$2),1,0)</f>
        <v>0</v>
      </c>
      <c r="U843" s="7" t="n">
        <f aca="false">IF(F843="Reopened",1,0)</f>
        <v>0</v>
      </c>
      <c r="V843" s="7" t="n">
        <f aca="false">IF(AND(R843=1,O843&gt;Q843),1,0)</f>
        <v>0</v>
      </c>
      <c r="W843" s="7" t="n">
        <f aca="false">IF(AND(T843=1,P843&lt;&gt;"",P843&lt;=Q843),1,0)</f>
        <v>0</v>
      </c>
    </row>
    <row r="844" customFormat="false" ht="15" hidden="false" customHeight="false" outlineLevel="0" collapsed="false">
      <c r="A844" s="7" t="s">
        <v>1078</v>
      </c>
      <c r="B844" s="7" t="s">
        <v>46</v>
      </c>
      <c r="C844" s="7" t="s">
        <v>158</v>
      </c>
      <c r="D844" s="7" t="s">
        <v>84</v>
      </c>
      <c r="E844" s="7" t="s">
        <v>85</v>
      </c>
      <c r="F844" s="7" t="s">
        <v>56</v>
      </c>
      <c r="G844" s="7" t="s">
        <v>20</v>
      </c>
      <c r="H844" s="9" t="n">
        <v>46111</v>
      </c>
      <c r="I844" s="9"/>
      <c r="J844" s="7" t="n">
        <v>7.5</v>
      </c>
      <c r="K844" s="7" t="s">
        <v>1015</v>
      </c>
      <c r="L844" s="7" t="s">
        <v>20</v>
      </c>
      <c r="M844" s="7" t="s">
        <v>1081</v>
      </c>
      <c r="N844" s="7" t="s">
        <v>53</v>
      </c>
      <c r="O844" s="10" t="n">
        <f aca="false">'Exec Summary'!$E$2-H844</f>
        <v>123</v>
      </c>
      <c r="P844" s="10" t="str">
        <f aca="false">IF(I844="","",I844-H844)</f>
        <v/>
      </c>
      <c r="Q844" s="10" t="n">
        <f aca="false">VLOOKUP(G844,$AA$2:$AB$5,2,FALSE())</f>
        <v>30</v>
      </c>
      <c r="R844" s="7" t="n">
        <f aca="false">IF(OR(F844="Open",F844="Reopened"),1,0)</f>
        <v>1</v>
      </c>
      <c r="S844" s="7" t="n">
        <f aca="false">IF(AND(H844&gt;='Exec Summary'!$E$1,H844&lt;='Exec Summary'!$E$2),1,0)</f>
        <v>0</v>
      </c>
      <c r="T844" s="7" t="n">
        <f aca="false">IF(AND(F844="Closed",I844&lt;&gt;"",I844&gt;='Exec Summary'!$E$1,I844&lt;='Exec Summary'!$E$2),1,0)</f>
        <v>0</v>
      </c>
      <c r="U844" s="7" t="n">
        <f aca="false">IF(F844="Reopened",1,0)</f>
        <v>0</v>
      </c>
      <c r="V844" s="7" t="n">
        <f aca="false">IF(AND(R844=1,O844&gt;Q844),1,0)</f>
        <v>1</v>
      </c>
      <c r="W844" s="7" t="n">
        <f aca="false">IF(AND(T844=1,P844&lt;&gt;"",P844&lt;=Q844),1,0)</f>
        <v>0</v>
      </c>
    </row>
    <row r="845" customFormat="false" ht="15" hidden="false" customHeight="false" outlineLevel="0" collapsed="false">
      <c r="A845" s="7" t="s">
        <v>1078</v>
      </c>
      <c r="B845" s="7" t="s">
        <v>46</v>
      </c>
      <c r="C845" s="7" t="s">
        <v>158</v>
      </c>
      <c r="D845" s="7" t="s">
        <v>206</v>
      </c>
      <c r="E845" s="7" t="s">
        <v>207</v>
      </c>
      <c r="F845" s="7" t="s">
        <v>56</v>
      </c>
      <c r="G845" s="7" t="s">
        <v>20</v>
      </c>
      <c r="H845" s="9" t="n">
        <v>46061</v>
      </c>
      <c r="I845" s="9"/>
      <c r="J845" s="7" t="n">
        <v>8.8</v>
      </c>
      <c r="K845" s="7" t="s">
        <v>1015</v>
      </c>
      <c r="L845" s="7" t="s">
        <v>20</v>
      </c>
      <c r="M845" s="7" t="s">
        <v>1082</v>
      </c>
      <c r="N845" s="7" t="s">
        <v>53</v>
      </c>
      <c r="O845" s="10" t="n">
        <f aca="false">'Exec Summary'!$E$2-H845</f>
        <v>173</v>
      </c>
      <c r="P845" s="10" t="str">
        <f aca="false">IF(I845="","",I845-H845)</f>
        <v/>
      </c>
      <c r="Q845" s="10" t="n">
        <f aca="false">VLOOKUP(G845,$AA$2:$AB$5,2,FALSE())</f>
        <v>30</v>
      </c>
      <c r="R845" s="7" t="n">
        <f aca="false">IF(OR(F845="Open",F845="Reopened"),1,0)</f>
        <v>1</v>
      </c>
      <c r="S845" s="7" t="n">
        <f aca="false">IF(AND(H845&gt;='Exec Summary'!$E$1,H845&lt;='Exec Summary'!$E$2),1,0)</f>
        <v>0</v>
      </c>
      <c r="T845" s="7" t="n">
        <f aca="false">IF(AND(F845="Closed",I845&lt;&gt;"",I845&gt;='Exec Summary'!$E$1,I845&lt;='Exec Summary'!$E$2),1,0)</f>
        <v>0</v>
      </c>
      <c r="U845" s="7" t="n">
        <f aca="false">IF(F845="Reopened",1,0)</f>
        <v>0</v>
      </c>
      <c r="V845" s="7" t="n">
        <f aca="false">IF(AND(R845=1,O845&gt;Q845),1,0)</f>
        <v>1</v>
      </c>
      <c r="W845" s="7" t="n">
        <f aca="false">IF(AND(T845=1,P845&lt;&gt;"",P845&lt;=Q845),1,0)</f>
        <v>0</v>
      </c>
    </row>
    <row r="846" customFormat="false" ht="15" hidden="false" customHeight="false" outlineLevel="0" collapsed="false">
      <c r="A846" s="7" t="s">
        <v>1078</v>
      </c>
      <c r="B846" s="7" t="s">
        <v>46</v>
      </c>
      <c r="C846" s="7" t="s">
        <v>158</v>
      </c>
      <c r="D846" s="7" t="s">
        <v>173</v>
      </c>
      <c r="E846" s="7" t="s">
        <v>174</v>
      </c>
      <c r="F846" s="7" t="s">
        <v>50</v>
      </c>
      <c r="G846" s="7" t="s">
        <v>19</v>
      </c>
      <c r="H846" s="9" t="n">
        <v>46022</v>
      </c>
      <c r="I846" s="9" t="n">
        <v>46031</v>
      </c>
      <c r="J846" s="7" t="n">
        <v>9.8</v>
      </c>
      <c r="K846" s="7" t="s">
        <v>1015</v>
      </c>
      <c r="L846" s="7" t="s">
        <v>20</v>
      </c>
      <c r="M846" s="7" t="s">
        <v>1083</v>
      </c>
      <c r="N846" s="7" t="s">
        <v>58</v>
      </c>
      <c r="O846" s="10" t="n">
        <f aca="false">'Exec Summary'!$E$2-H846</f>
        <v>212</v>
      </c>
      <c r="P846" s="10" t="n">
        <f aca="false">IF(I846="","",I846-H846)</f>
        <v>9</v>
      </c>
      <c r="Q846" s="10" t="n">
        <f aca="false">VLOOKUP(G846,$AA$2:$AB$5,2,FALSE())</f>
        <v>15</v>
      </c>
      <c r="R846" s="7" t="n">
        <f aca="false">IF(OR(F846="Open",F846="Reopened"),1,0)</f>
        <v>0</v>
      </c>
      <c r="S846" s="7" t="n">
        <f aca="false">IF(AND(H846&gt;='Exec Summary'!$E$1,H846&lt;='Exec Summary'!$E$2),1,0)</f>
        <v>0</v>
      </c>
      <c r="T846" s="7" t="n">
        <f aca="false">IF(AND(F846="Closed",I846&lt;&gt;"",I846&gt;='Exec Summary'!$E$1,I846&lt;='Exec Summary'!$E$2),1,0)</f>
        <v>0</v>
      </c>
      <c r="U846" s="7" t="n">
        <f aca="false">IF(F846="Reopened",1,0)</f>
        <v>0</v>
      </c>
      <c r="V846" s="7" t="n">
        <f aca="false">IF(AND(R846=1,O846&gt;Q846),1,0)</f>
        <v>0</v>
      </c>
      <c r="W846" s="7" t="n">
        <f aca="false">IF(AND(T846=1,P846&lt;&gt;"",P846&lt;=Q846),1,0)</f>
        <v>0</v>
      </c>
    </row>
    <row r="847" customFormat="false" ht="15" hidden="false" customHeight="false" outlineLevel="0" collapsed="false">
      <c r="A847" s="7" t="s">
        <v>1078</v>
      </c>
      <c r="B847" s="7" t="s">
        <v>46</v>
      </c>
      <c r="C847" s="7" t="s">
        <v>158</v>
      </c>
      <c r="D847" s="7" t="s">
        <v>131</v>
      </c>
      <c r="E847" s="7" t="s">
        <v>132</v>
      </c>
      <c r="F847" s="7" t="s">
        <v>56</v>
      </c>
      <c r="G847" s="7" t="s">
        <v>19</v>
      </c>
      <c r="H847" s="9" t="n">
        <v>46052</v>
      </c>
      <c r="I847" s="9"/>
      <c r="J847" s="7" t="n">
        <v>9.8</v>
      </c>
      <c r="K847" s="7" t="s">
        <v>1015</v>
      </c>
      <c r="L847" s="7" t="s">
        <v>20</v>
      </c>
      <c r="M847" s="7" t="s">
        <v>1084</v>
      </c>
      <c r="N847" s="7" t="s">
        <v>58</v>
      </c>
      <c r="O847" s="10" t="n">
        <f aca="false">'Exec Summary'!$E$2-H847</f>
        <v>182</v>
      </c>
      <c r="P847" s="10" t="str">
        <f aca="false">IF(I847="","",I847-H847)</f>
        <v/>
      </c>
      <c r="Q847" s="10" t="n">
        <f aca="false">VLOOKUP(G847,$AA$2:$AB$5,2,FALSE())</f>
        <v>15</v>
      </c>
      <c r="R847" s="7" t="n">
        <f aca="false">IF(OR(F847="Open",F847="Reopened"),1,0)</f>
        <v>1</v>
      </c>
      <c r="S847" s="7" t="n">
        <f aca="false">IF(AND(H847&gt;='Exec Summary'!$E$1,H847&lt;='Exec Summary'!$E$2),1,0)</f>
        <v>0</v>
      </c>
      <c r="T847" s="7" t="n">
        <f aca="false">IF(AND(F847="Closed",I847&lt;&gt;"",I847&gt;='Exec Summary'!$E$1,I847&lt;='Exec Summary'!$E$2),1,0)</f>
        <v>0</v>
      </c>
      <c r="U847" s="7" t="n">
        <f aca="false">IF(F847="Reopened",1,0)</f>
        <v>0</v>
      </c>
      <c r="V847" s="7" t="n">
        <f aca="false">IF(AND(R847=1,O847&gt;Q847),1,0)</f>
        <v>1</v>
      </c>
      <c r="W847" s="7" t="n">
        <f aca="false">IF(AND(T847=1,P847&lt;&gt;"",P847&lt;=Q847),1,0)</f>
        <v>0</v>
      </c>
    </row>
    <row r="848" customFormat="false" ht="15" hidden="false" customHeight="false" outlineLevel="0" collapsed="false">
      <c r="A848" s="7" t="s">
        <v>1078</v>
      </c>
      <c r="B848" s="7" t="s">
        <v>46</v>
      </c>
      <c r="C848" s="7" t="s">
        <v>158</v>
      </c>
      <c r="D848" s="7" t="s">
        <v>117</v>
      </c>
      <c r="E848" s="7" t="s">
        <v>118</v>
      </c>
      <c r="F848" s="7" t="s">
        <v>123</v>
      </c>
      <c r="G848" s="7" t="s">
        <v>19</v>
      </c>
      <c r="H848" s="9" t="n">
        <v>46183</v>
      </c>
      <c r="I848" s="9" t="n">
        <v>46195</v>
      </c>
      <c r="J848" s="7" t="n">
        <v>10</v>
      </c>
      <c r="K848" s="7" t="s">
        <v>1015</v>
      </c>
      <c r="L848" s="7" t="s">
        <v>20</v>
      </c>
      <c r="M848" s="7" t="s">
        <v>1085</v>
      </c>
      <c r="N848" s="7" t="s">
        <v>58</v>
      </c>
      <c r="O848" s="10" t="n">
        <f aca="false">'Exec Summary'!$E$2-H848</f>
        <v>51</v>
      </c>
      <c r="P848" s="10" t="n">
        <f aca="false">IF(I848="","",I848-H848)</f>
        <v>12</v>
      </c>
      <c r="Q848" s="10" t="n">
        <f aca="false">VLOOKUP(G848,$AA$2:$AB$5,2,FALSE())</f>
        <v>15</v>
      </c>
      <c r="R848" s="7" t="n">
        <f aca="false">IF(OR(F848="Open",F848="Reopened"),1,0)</f>
        <v>1</v>
      </c>
      <c r="S848" s="7" t="n">
        <f aca="false">IF(AND(H848&gt;='Exec Summary'!$E$1,H848&lt;='Exec Summary'!$E$2),1,0)</f>
        <v>0</v>
      </c>
      <c r="T848" s="7" t="n">
        <f aca="false">IF(AND(F848="Closed",I848&lt;&gt;"",I848&gt;='Exec Summary'!$E$1,I848&lt;='Exec Summary'!$E$2),1,0)</f>
        <v>0</v>
      </c>
      <c r="U848" s="7" t="n">
        <f aca="false">IF(F848="Reopened",1,0)</f>
        <v>1</v>
      </c>
      <c r="V848" s="7" t="n">
        <f aca="false">IF(AND(R848=1,O848&gt;Q848),1,0)</f>
        <v>1</v>
      </c>
      <c r="W848" s="7" t="n">
        <f aca="false">IF(AND(T848=1,P848&lt;&gt;"",P848&lt;=Q848),1,0)</f>
        <v>0</v>
      </c>
    </row>
    <row r="849" customFormat="false" ht="15" hidden="false" customHeight="false" outlineLevel="0" collapsed="false">
      <c r="A849" s="7" t="s">
        <v>1086</v>
      </c>
      <c r="B849" s="7" t="s">
        <v>46</v>
      </c>
      <c r="C849" s="7" t="s">
        <v>128</v>
      </c>
      <c r="D849" s="7" t="s">
        <v>120</v>
      </c>
      <c r="E849" s="7" t="s">
        <v>121</v>
      </c>
      <c r="F849" s="7" t="s">
        <v>50</v>
      </c>
      <c r="G849" s="7" t="s">
        <v>19</v>
      </c>
      <c r="H849" s="9" t="n">
        <v>45942</v>
      </c>
      <c r="I849" s="9" t="n">
        <v>45949</v>
      </c>
      <c r="J849" s="7" t="n">
        <v>8.8</v>
      </c>
      <c r="K849" s="7" t="s">
        <v>1015</v>
      </c>
      <c r="L849" s="7" t="s">
        <v>20</v>
      </c>
      <c r="M849" s="7" t="s">
        <v>1087</v>
      </c>
      <c r="N849" s="7" t="s">
        <v>58</v>
      </c>
      <c r="O849" s="10" t="n">
        <f aca="false">'Exec Summary'!$E$2-H849</f>
        <v>292</v>
      </c>
      <c r="P849" s="10" t="n">
        <f aca="false">IF(I849="","",I849-H849)</f>
        <v>7</v>
      </c>
      <c r="Q849" s="10" t="n">
        <f aca="false">VLOOKUP(G849,$AA$2:$AB$5,2,FALSE())</f>
        <v>15</v>
      </c>
      <c r="R849" s="7" t="n">
        <f aca="false">IF(OR(F849="Open",F849="Reopened"),1,0)</f>
        <v>0</v>
      </c>
      <c r="S849" s="7" t="n">
        <f aca="false">IF(AND(H849&gt;='Exec Summary'!$E$1,H849&lt;='Exec Summary'!$E$2),1,0)</f>
        <v>0</v>
      </c>
      <c r="T849" s="7" t="n">
        <f aca="false">IF(AND(F849="Closed",I849&lt;&gt;"",I849&gt;='Exec Summary'!$E$1,I849&lt;='Exec Summary'!$E$2),1,0)</f>
        <v>0</v>
      </c>
      <c r="U849" s="7" t="n">
        <f aca="false">IF(F849="Reopened",1,0)</f>
        <v>0</v>
      </c>
      <c r="V849" s="7" t="n">
        <f aca="false">IF(AND(R849=1,O849&gt;Q849),1,0)</f>
        <v>0</v>
      </c>
      <c r="W849" s="7" t="n">
        <f aca="false">IF(AND(T849=1,P849&lt;&gt;"",P849&lt;=Q849),1,0)</f>
        <v>0</v>
      </c>
    </row>
    <row r="850" customFormat="false" ht="15" hidden="false" customHeight="false" outlineLevel="0" collapsed="false">
      <c r="A850" s="7" t="s">
        <v>1086</v>
      </c>
      <c r="B850" s="7" t="s">
        <v>46</v>
      </c>
      <c r="C850" s="7" t="s">
        <v>128</v>
      </c>
      <c r="D850" s="7" t="s">
        <v>71</v>
      </c>
      <c r="E850" s="7" t="s">
        <v>72</v>
      </c>
      <c r="F850" s="7" t="s">
        <v>50</v>
      </c>
      <c r="G850" s="7" t="s">
        <v>19</v>
      </c>
      <c r="H850" s="9" t="n">
        <v>46083</v>
      </c>
      <c r="I850" s="9" t="n">
        <v>46084</v>
      </c>
      <c r="J850" s="7" t="n">
        <v>9.8</v>
      </c>
      <c r="K850" s="7" t="s">
        <v>1015</v>
      </c>
      <c r="L850" s="7" t="s">
        <v>20</v>
      </c>
      <c r="M850" s="7" t="s">
        <v>1088</v>
      </c>
      <c r="N850" s="7" t="s">
        <v>58</v>
      </c>
      <c r="O850" s="10" t="n">
        <f aca="false">'Exec Summary'!$E$2-H850</f>
        <v>151</v>
      </c>
      <c r="P850" s="10" t="n">
        <f aca="false">IF(I850="","",I850-H850)</f>
        <v>1</v>
      </c>
      <c r="Q850" s="10" t="n">
        <f aca="false">VLOOKUP(G850,$AA$2:$AB$5,2,FALSE())</f>
        <v>15</v>
      </c>
      <c r="R850" s="7" t="n">
        <f aca="false">IF(OR(F850="Open",F850="Reopened"),1,0)</f>
        <v>0</v>
      </c>
      <c r="S850" s="7" t="n">
        <f aca="false">IF(AND(H850&gt;='Exec Summary'!$E$1,H850&lt;='Exec Summary'!$E$2),1,0)</f>
        <v>0</v>
      </c>
      <c r="T850" s="7" t="n">
        <f aca="false">IF(AND(F850="Closed",I850&lt;&gt;"",I850&gt;='Exec Summary'!$E$1,I850&lt;='Exec Summary'!$E$2),1,0)</f>
        <v>0</v>
      </c>
      <c r="U850" s="7" t="n">
        <f aca="false">IF(F850="Reopened",1,0)</f>
        <v>0</v>
      </c>
      <c r="V850" s="7" t="n">
        <f aca="false">IF(AND(R850=1,O850&gt;Q850),1,0)</f>
        <v>0</v>
      </c>
      <c r="W850" s="7" t="n">
        <f aca="false">IF(AND(T850=1,P850&lt;&gt;"",P850&lt;=Q850),1,0)</f>
        <v>0</v>
      </c>
    </row>
    <row r="851" customFormat="false" ht="15" hidden="false" customHeight="false" outlineLevel="0" collapsed="false">
      <c r="A851" s="7" t="s">
        <v>1089</v>
      </c>
      <c r="B851" s="7" t="s">
        <v>135</v>
      </c>
      <c r="C851" s="7" t="s">
        <v>247</v>
      </c>
      <c r="D851" s="7" t="s">
        <v>112</v>
      </c>
      <c r="E851" s="7" t="s">
        <v>113</v>
      </c>
      <c r="F851" s="7" t="s">
        <v>56</v>
      </c>
      <c r="G851" s="7" t="s">
        <v>20</v>
      </c>
      <c r="H851" s="9" t="n">
        <v>46098</v>
      </c>
      <c r="I851" s="9"/>
      <c r="J851" s="7" t="n">
        <v>7.8</v>
      </c>
      <c r="K851" s="7" t="s">
        <v>1015</v>
      </c>
      <c r="L851" s="7" t="s">
        <v>20</v>
      </c>
      <c r="M851" s="7" t="s">
        <v>1090</v>
      </c>
      <c r="N851" s="7" t="s">
        <v>53</v>
      </c>
      <c r="O851" s="10" t="n">
        <f aca="false">'Exec Summary'!$E$2-H851</f>
        <v>136</v>
      </c>
      <c r="P851" s="10" t="str">
        <f aca="false">IF(I851="","",I851-H851)</f>
        <v/>
      </c>
      <c r="Q851" s="10" t="n">
        <f aca="false">VLOOKUP(G851,$AA$2:$AB$5,2,FALSE())</f>
        <v>30</v>
      </c>
      <c r="R851" s="7" t="n">
        <f aca="false">IF(OR(F851="Open",F851="Reopened"),1,0)</f>
        <v>1</v>
      </c>
      <c r="S851" s="7" t="n">
        <f aca="false">IF(AND(H851&gt;='Exec Summary'!$E$1,H851&lt;='Exec Summary'!$E$2),1,0)</f>
        <v>0</v>
      </c>
      <c r="T851" s="7" t="n">
        <f aca="false">IF(AND(F851="Closed",I851&lt;&gt;"",I851&gt;='Exec Summary'!$E$1,I851&lt;='Exec Summary'!$E$2),1,0)</f>
        <v>0</v>
      </c>
      <c r="U851" s="7" t="n">
        <f aca="false">IF(F851="Reopened",1,0)</f>
        <v>0</v>
      </c>
      <c r="V851" s="7" t="n">
        <f aca="false">IF(AND(R851=1,O851&gt;Q851),1,0)</f>
        <v>1</v>
      </c>
      <c r="W851" s="7" t="n">
        <f aca="false">IF(AND(T851=1,P851&lt;&gt;"",P851&lt;=Q851),1,0)</f>
        <v>0</v>
      </c>
    </row>
    <row r="852" customFormat="false" ht="15" hidden="false" customHeight="false" outlineLevel="0" collapsed="false">
      <c r="A852" s="7" t="s">
        <v>1089</v>
      </c>
      <c r="B852" s="7" t="s">
        <v>135</v>
      </c>
      <c r="C852" s="7" t="s">
        <v>247</v>
      </c>
      <c r="D852" s="7" t="s">
        <v>206</v>
      </c>
      <c r="E852" s="7" t="s">
        <v>207</v>
      </c>
      <c r="F852" s="7" t="s">
        <v>56</v>
      </c>
      <c r="G852" s="7" t="s">
        <v>20</v>
      </c>
      <c r="H852" s="9" t="n">
        <v>45988</v>
      </c>
      <c r="I852" s="9"/>
      <c r="J852" s="7" t="n">
        <v>8.8</v>
      </c>
      <c r="K852" s="7" t="s">
        <v>1015</v>
      </c>
      <c r="L852" s="7" t="s">
        <v>20</v>
      </c>
      <c r="M852" s="7" t="s">
        <v>1091</v>
      </c>
      <c r="N852" s="7" t="s">
        <v>53</v>
      </c>
      <c r="O852" s="10" t="n">
        <f aca="false">'Exec Summary'!$E$2-H852</f>
        <v>246</v>
      </c>
      <c r="P852" s="10" t="str">
        <f aca="false">IF(I852="","",I852-H852)</f>
        <v/>
      </c>
      <c r="Q852" s="10" t="n">
        <f aca="false">VLOOKUP(G852,$AA$2:$AB$5,2,FALSE())</f>
        <v>30</v>
      </c>
      <c r="R852" s="7" t="n">
        <f aca="false">IF(OR(F852="Open",F852="Reopened"),1,0)</f>
        <v>1</v>
      </c>
      <c r="S852" s="7" t="n">
        <f aca="false">IF(AND(H852&gt;='Exec Summary'!$E$1,H852&lt;='Exec Summary'!$E$2),1,0)</f>
        <v>0</v>
      </c>
      <c r="T852" s="7" t="n">
        <f aca="false">IF(AND(F852="Closed",I852&lt;&gt;"",I852&gt;='Exec Summary'!$E$1,I852&lt;='Exec Summary'!$E$2),1,0)</f>
        <v>0</v>
      </c>
      <c r="U852" s="7" t="n">
        <f aca="false">IF(F852="Reopened",1,0)</f>
        <v>0</v>
      </c>
      <c r="V852" s="7" t="n">
        <f aca="false">IF(AND(R852=1,O852&gt;Q852),1,0)</f>
        <v>1</v>
      </c>
      <c r="W852" s="7" t="n">
        <f aca="false">IF(AND(T852=1,P852&lt;&gt;"",P852&lt;=Q852),1,0)</f>
        <v>0</v>
      </c>
    </row>
    <row r="853" customFormat="false" ht="15" hidden="false" customHeight="false" outlineLevel="0" collapsed="false">
      <c r="A853" s="7" t="s">
        <v>1089</v>
      </c>
      <c r="B853" s="7" t="s">
        <v>135</v>
      </c>
      <c r="C853" s="7" t="s">
        <v>247</v>
      </c>
      <c r="D853" s="7" t="s">
        <v>152</v>
      </c>
      <c r="E853" s="7" t="s">
        <v>153</v>
      </c>
      <c r="F853" s="7" t="s">
        <v>50</v>
      </c>
      <c r="G853" s="7" t="s">
        <v>20</v>
      </c>
      <c r="H853" s="9" t="n">
        <v>46069</v>
      </c>
      <c r="I853" s="9" t="n">
        <v>46080</v>
      </c>
      <c r="J853" s="7" t="n">
        <v>7.5</v>
      </c>
      <c r="K853" s="7" t="s">
        <v>1015</v>
      </c>
      <c r="L853" s="7" t="s">
        <v>20</v>
      </c>
      <c r="M853" s="7" t="s">
        <v>1092</v>
      </c>
      <c r="N853" s="7" t="s">
        <v>53</v>
      </c>
      <c r="O853" s="10" t="n">
        <f aca="false">'Exec Summary'!$E$2-H853</f>
        <v>165</v>
      </c>
      <c r="P853" s="10" t="n">
        <f aca="false">IF(I853="","",I853-H853)</f>
        <v>11</v>
      </c>
      <c r="Q853" s="10" t="n">
        <f aca="false">VLOOKUP(G853,$AA$2:$AB$5,2,FALSE())</f>
        <v>30</v>
      </c>
      <c r="R853" s="7" t="n">
        <f aca="false">IF(OR(F853="Open",F853="Reopened"),1,0)</f>
        <v>0</v>
      </c>
      <c r="S853" s="7" t="n">
        <f aca="false">IF(AND(H853&gt;='Exec Summary'!$E$1,H853&lt;='Exec Summary'!$E$2),1,0)</f>
        <v>0</v>
      </c>
      <c r="T853" s="7" t="n">
        <f aca="false">IF(AND(F853="Closed",I853&lt;&gt;"",I853&gt;='Exec Summary'!$E$1,I853&lt;='Exec Summary'!$E$2),1,0)</f>
        <v>0</v>
      </c>
      <c r="U853" s="7" t="n">
        <f aca="false">IF(F853="Reopened",1,0)</f>
        <v>0</v>
      </c>
      <c r="V853" s="7" t="n">
        <f aca="false">IF(AND(R853=1,O853&gt;Q853),1,0)</f>
        <v>0</v>
      </c>
      <c r="W853" s="7" t="n">
        <f aca="false">IF(AND(T853=1,P853&lt;&gt;"",P853&lt;=Q853),1,0)</f>
        <v>0</v>
      </c>
    </row>
    <row r="854" customFormat="false" ht="15" hidden="false" customHeight="false" outlineLevel="0" collapsed="false">
      <c r="A854" s="7" t="s">
        <v>1089</v>
      </c>
      <c r="B854" s="7" t="s">
        <v>135</v>
      </c>
      <c r="C854" s="7" t="s">
        <v>247</v>
      </c>
      <c r="D854" s="7" t="s">
        <v>131</v>
      </c>
      <c r="E854" s="7" t="s">
        <v>132</v>
      </c>
      <c r="F854" s="7" t="s">
        <v>56</v>
      </c>
      <c r="G854" s="7" t="s">
        <v>19</v>
      </c>
      <c r="H854" s="9" t="n">
        <v>46012</v>
      </c>
      <c r="I854" s="9"/>
      <c r="J854" s="7" t="n">
        <v>9.8</v>
      </c>
      <c r="K854" s="7" t="s">
        <v>1015</v>
      </c>
      <c r="L854" s="7" t="s">
        <v>20</v>
      </c>
      <c r="M854" s="7" t="s">
        <v>1093</v>
      </c>
      <c r="N854" s="7" t="s">
        <v>58</v>
      </c>
      <c r="O854" s="10" t="n">
        <f aca="false">'Exec Summary'!$E$2-H854</f>
        <v>222</v>
      </c>
      <c r="P854" s="10" t="str">
        <f aca="false">IF(I854="","",I854-H854)</f>
        <v/>
      </c>
      <c r="Q854" s="10" t="n">
        <f aca="false">VLOOKUP(G854,$AA$2:$AB$5,2,FALSE())</f>
        <v>15</v>
      </c>
      <c r="R854" s="7" t="n">
        <f aca="false">IF(OR(F854="Open",F854="Reopened"),1,0)</f>
        <v>1</v>
      </c>
      <c r="S854" s="7" t="n">
        <f aca="false">IF(AND(H854&gt;='Exec Summary'!$E$1,H854&lt;='Exec Summary'!$E$2),1,0)</f>
        <v>0</v>
      </c>
      <c r="T854" s="7" t="n">
        <f aca="false">IF(AND(F854="Closed",I854&lt;&gt;"",I854&gt;='Exec Summary'!$E$1,I854&lt;='Exec Summary'!$E$2),1,0)</f>
        <v>0</v>
      </c>
      <c r="U854" s="7" t="n">
        <f aca="false">IF(F854="Reopened",1,0)</f>
        <v>0</v>
      </c>
      <c r="V854" s="7" t="n">
        <f aca="false">IF(AND(R854=1,O854&gt;Q854),1,0)</f>
        <v>1</v>
      </c>
      <c r="W854" s="7" t="n">
        <f aca="false">IF(AND(T854=1,P854&lt;&gt;"",P854&lt;=Q854),1,0)</f>
        <v>0</v>
      </c>
    </row>
    <row r="855" customFormat="false" ht="15" hidden="false" customHeight="false" outlineLevel="0" collapsed="false">
      <c r="A855" s="7" t="s">
        <v>1089</v>
      </c>
      <c r="B855" s="7" t="s">
        <v>135</v>
      </c>
      <c r="C855" s="7" t="s">
        <v>247</v>
      </c>
      <c r="D855" s="7" t="s">
        <v>139</v>
      </c>
      <c r="E855" s="7" t="s">
        <v>140</v>
      </c>
      <c r="F855" s="7" t="s">
        <v>50</v>
      </c>
      <c r="G855" s="7" t="s">
        <v>19</v>
      </c>
      <c r="H855" s="9" t="n">
        <v>46009</v>
      </c>
      <c r="I855" s="9" t="n">
        <v>46026</v>
      </c>
      <c r="J855" s="7" t="n">
        <v>9.8</v>
      </c>
      <c r="K855" s="7" t="s">
        <v>1015</v>
      </c>
      <c r="L855" s="7" t="s">
        <v>20</v>
      </c>
      <c r="M855" s="7" t="s">
        <v>1094</v>
      </c>
      <c r="N855" s="7" t="s">
        <v>58</v>
      </c>
      <c r="O855" s="10" t="n">
        <f aca="false">'Exec Summary'!$E$2-H855</f>
        <v>225</v>
      </c>
      <c r="P855" s="10" t="n">
        <f aca="false">IF(I855="","",I855-H855)</f>
        <v>17</v>
      </c>
      <c r="Q855" s="10" t="n">
        <f aca="false">VLOOKUP(G855,$AA$2:$AB$5,2,FALSE())</f>
        <v>15</v>
      </c>
      <c r="R855" s="7" t="n">
        <f aca="false">IF(OR(F855="Open",F855="Reopened"),1,0)</f>
        <v>0</v>
      </c>
      <c r="S855" s="7" t="n">
        <f aca="false">IF(AND(H855&gt;='Exec Summary'!$E$1,H855&lt;='Exec Summary'!$E$2),1,0)</f>
        <v>0</v>
      </c>
      <c r="T855" s="7" t="n">
        <f aca="false">IF(AND(F855="Closed",I855&lt;&gt;"",I855&gt;='Exec Summary'!$E$1,I855&lt;='Exec Summary'!$E$2),1,0)</f>
        <v>0</v>
      </c>
      <c r="U855" s="7" t="n">
        <f aca="false">IF(F855="Reopened",1,0)</f>
        <v>0</v>
      </c>
      <c r="V855" s="7" t="n">
        <f aca="false">IF(AND(R855=1,O855&gt;Q855),1,0)</f>
        <v>0</v>
      </c>
      <c r="W855" s="7" t="n">
        <f aca="false">IF(AND(T855=1,P855&lt;&gt;"",P855&lt;=Q855),1,0)</f>
        <v>0</v>
      </c>
    </row>
    <row r="856" customFormat="false" ht="15" hidden="false" customHeight="false" outlineLevel="0" collapsed="false">
      <c r="A856" s="7" t="s">
        <v>1089</v>
      </c>
      <c r="B856" s="7" t="s">
        <v>135</v>
      </c>
      <c r="C856" s="7" t="s">
        <v>247</v>
      </c>
      <c r="D856" s="7" t="s">
        <v>104</v>
      </c>
      <c r="E856" s="7" t="s">
        <v>105</v>
      </c>
      <c r="F856" s="7" t="s">
        <v>50</v>
      </c>
      <c r="G856" s="7" t="s">
        <v>19</v>
      </c>
      <c r="H856" s="9" t="n">
        <v>46026</v>
      </c>
      <c r="I856" s="9" t="n">
        <v>46027</v>
      </c>
      <c r="J856" s="7" t="n">
        <v>9.8</v>
      </c>
      <c r="K856" s="7" t="s">
        <v>1015</v>
      </c>
      <c r="L856" s="7" t="s">
        <v>20</v>
      </c>
      <c r="M856" s="7" t="s">
        <v>1095</v>
      </c>
      <c r="N856" s="7" t="s">
        <v>58</v>
      </c>
      <c r="O856" s="10" t="n">
        <f aca="false">'Exec Summary'!$E$2-H856</f>
        <v>208</v>
      </c>
      <c r="P856" s="10" t="n">
        <f aca="false">IF(I856="","",I856-H856)</f>
        <v>1</v>
      </c>
      <c r="Q856" s="10" t="n">
        <f aca="false">VLOOKUP(G856,$AA$2:$AB$5,2,FALSE())</f>
        <v>15</v>
      </c>
      <c r="R856" s="7" t="n">
        <f aca="false">IF(OR(F856="Open",F856="Reopened"),1,0)</f>
        <v>0</v>
      </c>
      <c r="S856" s="7" t="n">
        <f aca="false">IF(AND(H856&gt;='Exec Summary'!$E$1,H856&lt;='Exec Summary'!$E$2),1,0)</f>
        <v>0</v>
      </c>
      <c r="T856" s="7" t="n">
        <f aca="false">IF(AND(F856="Closed",I856&lt;&gt;"",I856&gt;='Exec Summary'!$E$1,I856&lt;='Exec Summary'!$E$2),1,0)</f>
        <v>0</v>
      </c>
      <c r="U856" s="7" t="n">
        <f aca="false">IF(F856="Reopened",1,0)</f>
        <v>0</v>
      </c>
      <c r="V856" s="7" t="n">
        <f aca="false">IF(AND(R856=1,O856&gt;Q856),1,0)</f>
        <v>0</v>
      </c>
      <c r="W856" s="7" t="n">
        <f aca="false">IF(AND(T856=1,P856&lt;&gt;"",P856&lt;=Q856),1,0)</f>
        <v>0</v>
      </c>
    </row>
    <row r="857" customFormat="false" ht="15" hidden="false" customHeight="false" outlineLevel="0" collapsed="false">
      <c r="A857" s="7" t="s">
        <v>1089</v>
      </c>
      <c r="B857" s="7" t="s">
        <v>135</v>
      </c>
      <c r="C857" s="7" t="s">
        <v>247</v>
      </c>
      <c r="D857" s="7" t="s">
        <v>81</v>
      </c>
      <c r="E857" s="7" t="s">
        <v>82</v>
      </c>
      <c r="F857" s="7" t="s">
        <v>50</v>
      </c>
      <c r="G857" s="7" t="s">
        <v>20</v>
      </c>
      <c r="H857" s="9" t="n">
        <v>46131</v>
      </c>
      <c r="I857" s="9" t="n">
        <v>46139</v>
      </c>
      <c r="J857" s="7" t="n">
        <v>7.8</v>
      </c>
      <c r="K857" s="7" t="s">
        <v>1015</v>
      </c>
      <c r="L857" s="7" t="s">
        <v>20</v>
      </c>
      <c r="M857" s="7" t="s">
        <v>1096</v>
      </c>
      <c r="N857" s="7" t="s">
        <v>53</v>
      </c>
      <c r="O857" s="10" t="n">
        <f aca="false">'Exec Summary'!$E$2-H857</f>
        <v>103</v>
      </c>
      <c r="P857" s="10" t="n">
        <f aca="false">IF(I857="","",I857-H857)</f>
        <v>8</v>
      </c>
      <c r="Q857" s="10" t="n">
        <f aca="false">VLOOKUP(G857,$AA$2:$AB$5,2,FALSE())</f>
        <v>30</v>
      </c>
      <c r="R857" s="7" t="n">
        <f aca="false">IF(OR(F857="Open",F857="Reopened"),1,0)</f>
        <v>0</v>
      </c>
      <c r="S857" s="7" t="n">
        <f aca="false">IF(AND(H857&gt;='Exec Summary'!$E$1,H857&lt;='Exec Summary'!$E$2),1,0)</f>
        <v>0</v>
      </c>
      <c r="T857" s="7" t="n">
        <f aca="false">IF(AND(F857="Closed",I857&lt;&gt;"",I857&gt;='Exec Summary'!$E$1,I857&lt;='Exec Summary'!$E$2),1,0)</f>
        <v>0</v>
      </c>
      <c r="U857" s="7" t="n">
        <f aca="false">IF(F857="Reopened",1,0)</f>
        <v>0</v>
      </c>
      <c r="V857" s="7" t="n">
        <f aca="false">IF(AND(R857=1,O857&gt;Q857),1,0)</f>
        <v>0</v>
      </c>
      <c r="W857" s="7" t="n">
        <f aca="false">IF(AND(T857=1,P857&lt;&gt;"",P857&lt;=Q857),1,0)</f>
        <v>0</v>
      </c>
    </row>
    <row r="858" customFormat="false" ht="15" hidden="false" customHeight="false" outlineLevel="0" collapsed="false">
      <c r="A858" s="7" t="s">
        <v>1089</v>
      </c>
      <c r="B858" s="7" t="s">
        <v>135</v>
      </c>
      <c r="C858" s="7" t="s">
        <v>247</v>
      </c>
      <c r="D858" s="7" t="s">
        <v>173</v>
      </c>
      <c r="E858" s="7" t="s">
        <v>174</v>
      </c>
      <c r="F858" s="7" t="s">
        <v>56</v>
      </c>
      <c r="G858" s="7" t="s">
        <v>19</v>
      </c>
      <c r="H858" s="9" t="n">
        <v>46193</v>
      </c>
      <c r="I858" s="9"/>
      <c r="J858" s="7" t="n">
        <v>9.8</v>
      </c>
      <c r="K858" s="7" t="s">
        <v>1015</v>
      </c>
      <c r="L858" s="7" t="s">
        <v>20</v>
      </c>
      <c r="M858" s="7" t="s">
        <v>1097</v>
      </c>
      <c r="N858" s="7" t="s">
        <v>58</v>
      </c>
      <c r="O858" s="10" t="n">
        <f aca="false">'Exec Summary'!$E$2-H858</f>
        <v>41</v>
      </c>
      <c r="P858" s="10" t="str">
        <f aca="false">IF(I858="","",I858-H858)</f>
        <v/>
      </c>
      <c r="Q858" s="10" t="n">
        <f aca="false">VLOOKUP(G858,$AA$2:$AB$5,2,FALSE())</f>
        <v>15</v>
      </c>
      <c r="R858" s="7" t="n">
        <f aca="false">IF(OR(F858="Open",F858="Reopened"),1,0)</f>
        <v>1</v>
      </c>
      <c r="S858" s="7" t="n">
        <f aca="false">IF(AND(H858&gt;='Exec Summary'!$E$1,H858&lt;='Exec Summary'!$E$2),1,0)</f>
        <v>0</v>
      </c>
      <c r="T858" s="7" t="n">
        <f aca="false">IF(AND(F858="Closed",I858&lt;&gt;"",I858&gt;='Exec Summary'!$E$1,I858&lt;='Exec Summary'!$E$2),1,0)</f>
        <v>0</v>
      </c>
      <c r="U858" s="7" t="n">
        <f aca="false">IF(F858="Reopened",1,0)</f>
        <v>0</v>
      </c>
      <c r="V858" s="7" t="n">
        <f aca="false">IF(AND(R858=1,O858&gt;Q858),1,0)</f>
        <v>1</v>
      </c>
      <c r="W858" s="7" t="n">
        <f aca="false">IF(AND(T858=1,P858&lt;&gt;"",P858&lt;=Q858),1,0)</f>
        <v>0</v>
      </c>
    </row>
    <row r="859" customFormat="false" ht="15" hidden="false" customHeight="false" outlineLevel="0" collapsed="false">
      <c r="A859" s="7" t="s">
        <v>1089</v>
      </c>
      <c r="B859" s="7" t="s">
        <v>135</v>
      </c>
      <c r="C859" s="7" t="s">
        <v>247</v>
      </c>
      <c r="D859" s="7" t="s">
        <v>120</v>
      </c>
      <c r="E859" s="7" t="s">
        <v>121</v>
      </c>
      <c r="F859" s="7" t="s">
        <v>50</v>
      </c>
      <c r="G859" s="7" t="s">
        <v>19</v>
      </c>
      <c r="H859" s="9" t="n">
        <v>46060</v>
      </c>
      <c r="I859" s="9" t="n">
        <v>46066</v>
      </c>
      <c r="J859" s="7" t="n">
        <v>8.8</v>
      </c>
      <c r="K859" s="7" t="s">
        <v>1015</v>
      </c>
      <c r="L859" s="7" t="s">
        <v>20</v>
      </c>
      <c r="M859" s="7" t="s">
        <v>1098</v>
      </c>
      <c r="N859" s="7" t="s">
        <v>58</v>
      </c>
      <c r="O859" s="10" t="n">
        <f aca="false">'Exec Summary'!$E$2-H859</f>
        <v>174</v>
      </c>
      <c r="P859" s="10" t="n">
        <f aca="false">IF(I859="","",I859-H859)</f>
        <v>6</v>
      </c>
      <c r="Q859" s="10" t="n">
        <f aca="false">VLOOKUP(G859,$AA$2:$AB$5,2,FALSE())</f>
        <v>15</v>
      </c>
      <c r="R859" s="7" t="n">
        <f aca="false">IF(OR(F859="Open",F859="Reopened"),1,0)</f>
        <v>0</v>
      </c>
      <c r="S859" s="7" t="n">
        <f aca="false">IF(AND(H859&gt;='Exec Summary'!$E$1,H859&lt;='Exec Summary'!$E$2),1,0)</f>
        <v>0</v>
      </c>
      <c r="T859" s="7" t="n">
        <f aca="false">IF(AND(F859="Closed",I859&lt;&gt;"",I859&gt;='Exec Summary'!$E$1,I859&lt;='Exec Summary'!$E$2),1,0)</f>
        <v>0</v>
      </c>
      <c r="U859" s="7" t="n">
        <f aca="false">IF(F859="Reopened",1,0)</f>
        <v>0</v>
      </c>
      <c r="V859" s="7" t="n">
        <f aca="false">IF(AND(R859=1,O859&gt;Q859),1,0)</f>
        <v>0</v>
      </c>
      <c r="W859" s="7" t="n">
        <f aca="false">IF(AND(T859=1,P859&lt;&gt;"",P859&lt;=Q859),1,0)</f>
        <v>0</v>
      </c>
    </row>
    <row r="860" customFormat="false" ht="15" hidden="false" customHeight="false" outlineLevel="0" collapsed="false">
      <c r="A860" s="7" t="s">
        <v>1099</v>
      </c>
      <c r="B860" s="7" t="s">
        <v>135</v>
      </c>
      <c r="C860" s="7" t="s">
        <v>306</v>
      </c>
      <c r="D860" s="7" t="s">
        <v>112</v>
      </c>
      <c r="E860" s="7" t="s">
        <v>113</v>
      </c>
      <c r="F860" s="7" t="s">
        <v>56</v>
      </c>
      <c r="G860" s="7" t="s">
        <v>20</v>
      </c>
      <c r="H860" s="9" t="n">
        <v>45959</v>
      </c>
      <c r="I860" s="9"/>
      <c r="J860" s="7" t="n">
        <v>7.8</v>
      </c>
      <c r="K860" s="7" t="s">
        <v>1015</v>
      </c>
      <c r="L860" s="7" t="s">
        <v>20</v>
      </c>
      <c r="M860" s="7" t="s">
        <v>1100</v>
      </c>
      <c r="N860" s="7" t="s">
        <v>53</v>
      </c>
      <c r="O860" s="10" t="n">
        <f aca="false">'Exec Summary'!$E$2-H860</f>
        <v>275</v>
      </c>
      <c r="P860" s="10" t="str">
        <f aca="false">IF(I860="","",I860-H860)</f>
        <v/>
      </c>
      <c r="Q860" s="10" t="n">
        <f aca="false">VLOOKUP(G860,$AA$2:$AB$5,2,FALSE())</f>
        <v>30</v>
      </c>
      <c r="R860" s="7" t="n">
        <f aca="false">IF(OR(F860="Open",F860="Reopened"),1,0)</f>
        <v>1</v>
      </c>
      <c r="S860" s="7" t="n">
        <f aca="false">IF(AND(H860&gt;='Exec Summary'!$E$1,H860&lt;='Exec Summary'!$E$2),1,0)</f>
        <v>0</v>
      </c>
      <c r="T860" s="7" t="n">
        <f aca="false">IF(AND(F860="Closed",I860&lt;&gt;"",I860&gt;='Exec Summary'!$E$1,I860&lt;='Exec Summary'!$E$2),1,0)</f>
        <v>0</v>
      </c>
      <c r="U860" s="7" t="n">
        <f aca="false">IF(F860="Reopened",1,0)</f>
        <v>0</v>
      </c>
      <c r="V860" s="7" t="n">
        <f aca="false">IF(AND(R860=1,O860&gt;Q860),1,0)</f>
        <v>1</v>
      </c>
      <c r="W860" s="7" t="n">
        <f aca="false">IF(AND(T860=1,P860&lt;&gt;"",P860&lt;=Q860),1,0)</f>
        <v>0</v>
      </c>
    </row>
    <row r="861" customFormat="false" ht="15" hidden="false" customHeight="false" outlineLevel="0" collapsed="false">
      <c r="A861" s="7" t="s">
        <v>1099</v>
      </c>
      <c r="B861" s="7" t="s">
        <v>135</v>
      </c>
      <c r="C861" s="7" t="s">
        <v>306</v>
      </c>
      <c r="D861" s="7" t="s">
        <v>108</v>
      </c>
      <c r="E861" s="7" t="s">
        <v>109</v>
      </c>
      <c r="F861" s="7" t="s">
        <v>56</v>
      </c>
      <c r="G861" s="7" t="s">
        <v>20</v>
      </c>
      <c r="H861" s="9" t="n">
        <v>46166</v>
      </c>
      <c r="I861" s="9"/>
      <c r="J861" s="7" t="n">
        <v>8.6</v>
      </c>
      <c r="K861" s="7" t="s">
        <v>1015</v>
      </c>
      <c r="L861" s="7" t="s">
        <v>20</v>
      </c>
      <c r="M861" s="7" t="s">
        <v>1101</v>
      </c>
      <c r="N861" s="7" t="s">
        <v>53</v>
      </c>
      <c r="O861" s="10" t="n">
        <f aca="false">'Exec Summary'!$E$2-H861</f>
        <v>68</v>
      </c>
      <c r="P861" s="10" t="str">
        <f aca="false">IF(I861="","",I861-H861)</f>
        <v/>
      </c>
      <c r="Q861" s="10" t="n">
        <f aca="false">VLOOKUP(G861,$AA$2:$AB$5,2,FALSE())</f>
        <v>30</v>
      </c>
      <c r="R861" s="7" t="n">
        <f aca="false">IF(OR(F861="Open",F861="Reopened"),1,0)</f>
        <v>1</v>
      </c>
      <c r="S861" s="7" t="n">
        <f aca="false">IF(AND(H861&gt;='Exec Summary'!$E$1,H861&lt;='Exec Summary'!$E$2),1,0)</f>
        <v>0</v>
      </c>
      <c r="T861" s="7" t="n">
        <f aca="false">IF(AND(F861="Closed",I861&lt;&gt;"",I861&gt;='Exec Summary'!$E$1,I861&lt;='Exec Summary'!$E$2),1,0)</f>
        <v>0</v>
      </c>
      <c r="U861" s="7" t="n">
        <f aca="false">IF(F861="Reopened",1,0)</f>
        <v>0</v>
      </c>
      <c r="V861" s="7" t="n">
        <f aca="false">IF(AND(R861=1,O861&gt;Q861),1,0)</f>
        <v>1</v>
      </c>
      <c r="W861" s="7" t="n">
        <f aca="false">IF(AND(T861=1,P861&lt;&gt;"",P861&lt;=Q861),1,0)</f>
        <v>0</v>
      </c>
    </row>
    <row r="862" customFormat="false" ht="15" hidden="false" customHeight="false" outlineLevel="0" collapsed="false">
      <c r="A862" s="7" t="s">
        <v>1099</v>
      </c>
      <c r="B862" s="7" t="s">
        <v>135</v>
      </c>
      <c r="C862" s="7" t="s">
        <v>306</v>
      </c>
      <c r="D862" s="7" t="s">
        <v>192</v>
      </c>
      <c r="E862" s="7" t="s">
        <v>193</v>
      </c>
      <c r="F862" s="7" t="s">
        <v>56</v>
      </c>
      <c r="G862" s="7" t="s">
        <v>19</v>
      </c>
      <c r="H862" s="9" t="n">
        <v>46083</v>
      </c>
      <c r="I862" s="9"/>
      <c r="J862" s="7" t="n">
        <v>9.8</v>
      </c>
      <c r="K862" s="7" t="s">
        <v>1015</v>
      </c>
      <c r="L862" s="7" t="s">
        <v>20</v>
      </c>
      <c r="M862" s="7" t="s">
        <v>1102</v>
      </c>
      <c r="N862" s="7" t="s">
        <v>58</v>
      </c>
      <c r="O862" s="10" t="n">
        <f aca="false">'Exec Summary'!$E$2-H862</f>
        <v>151</v>
      </c>
      <c r="P862" s="10" t="str">
        <f aca="false">IF(I862="","",I862-H862)</f>
        <v/>
      </c>
      <c r="Q862" s="10" t="n">
        <f aca="false">VLOOKUP(G862,$AA$2:$AB$5,2,FALSE())</f>
        <v>15</v>
      </c>
      <c r="R862" s="7" t="n">
        <f aca="false">IF(OR(F862="Open",F862="Reopened"),1,0)</f>
        <v>1</v>
      </c>
      <c r="S862" s="7" t="n">
        <f aca="false">IF(AND(H862&gt;='Exec Summary'!$E$1,H862&lt;='Exec Summary'!$E$2),1,0)</f>
        <v>0</v>
      </c>
      <c r="T862" s="7" t="n">
        <f aca="false">IF(AND(F862="Closed",I862&lt;&gt;"",I862&gt;='Exec Summary'!$E$1,I862&lt;='Exec Summary'!$E$2),1,0)</f>
        <v>0</v>
      </c>
      <c r="U862" s="7" t="n">
        <f aca="false">IF(F862="Reopened",1,0)</f>
        <v>0</v>
      </c>
      <c r="V862" s="7" t="n">
        <f aca="false">IF(AND(R862=1,O862&gt;Q862),1,0)</f>
        <v>1</v>
      </c>
      <c r="W862" s="7" t="n">
        <f aca="false">IF(AND(T862=1,P862&lt;&gt;"",P862&lt;=Q862),1,0)</f>
        <v>0</v>
      </c>
    </row>
    <row r="863" customFormat="false" ht="15" hidden="false" customHeight="false" outlineLevel="0" collapsed="false">
      <c r="A863" s="7" t="s">
        <v>1099</v>
      </c>
      <c r="B863" s="7" t="s">
        <v>135</v>
      </c>
      <c r="C863" s="7" t="s">
        <v>306</v>
      </c>
      <c r="D863" s="7" t="s">
        <v>54</v>
      </c>
      <c r="E863" s="7" t="s">
        <v>55</v>
      </c>
      <c r="F863" s="7" t="s">
        <v>50</v>
      </c>
      <c r="G863" s="7" t="s">
        <v>19</v>
      </c>
      <c r="H863" s="9" t="n">
        <v>46011</v>
      </c>
      <c r="I863" s="9" t="n">
        <v>46016</v>
      </c>
      <c r="J863" s="7" t="n">
        <v>9.8</v>
      </c>
      <c r="K863" s="7" t="s">
        <v>1015</v>
      </c>
      <c r="L863" s="7" t="s">
        <v>20</v>
      </c>
      <c r="M863" s="7" t="s">
        <v>1103</v>
      </c>
      <c r="N863" s="7" t="s">
        <v>58</v>
      </c>
      <c r="O863" s="10" t="n">
        <f aca="false">'Exec Summary'!$E$2-H863</f>
        <v>223</v>
      </c>
      <c r="P863" s="10" t="n">
        <f aca="false">IF(I863="","",I863-H863)</f>
        <v>5</v>
      </c>
      <c r="Q863" s="10" t="n">
        <f aca="false">VLOOKUP(G863,$AA$2:$AB$5,2,FALSE())</f>
        <v>15</v>
      </c>
      <c r="R863" s="7" t="n">
        <f aca="false">IF(OR(F863="Open",F863="Reopened"),1,0)</f>
        <v>0</v>
      </c>
      <c r="S863" s="7" t="n">
        <f aca="false">IF(AND(H863&gt;='Exec Summary'!$E$1,H863&lt;='Exec Summary'!$E$2),1,0)</f>
        <v>0</v>
      </c>
      <c r="T863" s="7" t="n">
        <f aca="false">IF(AND(F863="Closed",I863&lt;&gt;"",I863&gt;='Exec Summary'!$E$1,I863&lt;='Exec Summary'!$E$2),1,0)</f>
        <v>0</v>
      </c>
      <c r="U863" s="7" t="n">
        <f aca="false">IF(F863="Reopened",1,0)</f>
        <v>0</v>
      </c>
      <c r="V863" s="7" t="n">
        <f aca="false">IF(AND(R863=1,O863&gt;Q863),1,0)</f>
        <v>0</v>
      </c>
      <c r="W863" s="7" t="n">
        <f aca="false">IF(AND(T863=1,P863&lt;&gt;"",P863&lt;=Q863),1,0)</f>
        <v>0</v>
      </c>
    </row>
    <row r="864" customFormat="false" ht="15" hidden="false" customHeight="false" outlineLevel="0" collapsed="false">
      <c r="A864" s="7" t="s">
        <v>1099</v>
      </c>
      <c r="B864" s="7" t="s">
        <v>135</v>
      </c>
      <c r="C864" s="7" t="s">
        <v>306</v>
      </c>
      <c r="D864" s="7" t="s">
        <v>173</v>
      </c>
      <c r="E864" s="7" t="s">
        <v>174</v>
      </c>
      <c r="F864" s="7" t="s">
        <v>50</v>
      </c>
      <c r="G864" s="7" t="s">
        <v>19</v>
      </c>
      <c r="H864" s="9" t="n">
        <v>46115</v>
      </c>
      <c r="I864" s="9" t="n">
        <v>46120</v>
      </c>
      <c r="J864" s="7" t="n">
        <v>9.8</v>
      </c>
      <c r="K864" s="7" t="s">
        <v>1015</v>
      </c>
      <c r="L864" s="7" t="s">
        <v>20</v>
      </c>
      <c r="M864" s="7" t="s">
        <v>1104</v>
      </c>
      <c r="N864" s="7" t="s">
        <v>58</v>
      </c>
      <c r="O864" s="10" t="n">
        <f aca="false">'Exec Summary'!$E$2-H864</f>
        <v>119</v>
      </c>
      <c r="P864" s="10" t="n">
        <f aca="false">IF(I864="","",I864-H864)</f>
        <v>5</v>
      </c>
      <c r="Q864" s="10" t="n">
        <f aca="false">VLOOKUP(G864,$AA$2:$AB$5,2,FALSE())</f>
        <v>15</v>
      </c>
      <c r="R864" s="7" t="n">
        <f aca="false">IF(OR(F864="Open",F864="Reopened"),1,0)</f>
        <v>0</v>
      </c>
      <c r="S864" s="7" t="n">
        <f aca="false">IF(AND(H864&gt;='Exec Summary'!$E$1,H864&lt;='Exec Summary'!$E$2),1,0)</f>
        <v>0</v>
      </c>
      <c r="T864" s="7" t="n">
        <f aca="false">IF(AND(F864="Closed",I864&lt;&gt;"",I864&gt;='Exec Summary'!$E$1,I864&lt;='Exec Summary'!$E$2),1,0)</f>
        <v>0</v>
      </c>
      <c r="U864" s="7" t="n">
        <f aca="false">IF(F864="Reopened",1,0)</f>
        <v>0</v>
      </c>
      <c r="V864" s="7" t="n">
        <f aca="false">IF(AND(R864=1,O864&gt;Q864),1,0)</f>
        <v>0</v>
      </c>
      <c r="W864" s="7" t="n">
        <f aca="false">IF(AND(T864=1,P864&lt;&gt;"",P864&lt;=Q864),1,0)</f>
        <v>0</v>
      </c>
    </row>
    <row r="865" customFormat="false" ht="15" hidden="false" customHeight="false" outlineLevel="0" collapsed="false">
      <c r="A865" s="7" t="s">
        <v>1099</v>
      </c>
      <c r="B865" s="7" t="s">
        <v>135</v>
      </c>
      <c r="C865" s="7" t="s">
        <v>306</v>
      </c>
      <c r="D865" s="7" t="s">
        <v>166</v>
      </c>
      <c r="E865" s="7" t="s">
        <v>167</v>
      </c>
      <c r="F865" s="7" t="s">
        <v>50</v>
      </c>
      <c r="G865" s="7" t="s">
        <v>19</v>
      </c>
      <c r="H865" s="9" t="n">
        <v>45986</v>
      </c>
      <c r="I865" s="9" t="n">
        <v>46010</v>
      </c>
      <c r="J865" s="7" t="n">
        <v>9.8</v>
      </c>
      <c r="K865" s="7" t="s">
        <v>1015</v>
      </c>
      <c r="L865" s="7" t="s">
        <v>20</v>
      </c>
      <c r="M865" s="7" t="s">
        <v>1105</v>
      </c>
      <c r="N865" s="7" t="s">
        <v>58</v>
      </c>
      <c r="O865" s="10" t="n">
        <f aca="false">'Exec Summary'!$E$2-H865</f>
        <v>248</v>
      </c>
      <c r="P865" s="10" t="n">
        <f aca="false">IF(I865="","",I865-H865)</f>
        <v>24</v>
      </c>
      <c r="Q865" s="10" t="n">
        <f aca="false">VLOOKUP(G865,$AA$2:$AB$5,2,FALSE())</f>
        <v>15</v>
      </c>
      <c r="R865" s="7" t="n">
        <f aca="false">IF(OR(F865="Open",F865="Reopened"),1,0)</f>
        <v>0</v>
      </c>
      <c r="S865" s="7" t="n">
        <f aca="false">IF(AND(H865&gt;='Exec Summary'!$E$1,H865&lt;='Exec Summary'!$E$2),1,0)</f>
        <v>0</v>
      </c>
      <c r="T865" s="7" t="n">
        <f aca="false">IF(AND(F865="Closed",I865&lt;&gt;"",I865&gt;='Exec Summary'!$E$1,I865&lt;='Exec Summary'!$E$2),1,0)</f>
        <v>0</v>
      </c>
      <c r="U865" s="7" t="n">
        <f aca="false">IF(F865="Reopened",1,0)</f>
        <v>0</v>
      </c>
      <c r="V865" s="7" t="n">
        <f aca="false">IF(AND(R865=1,O865&gt;Q865),1,0)</f>
        <v>0</v>
      </c>
      <c r="W865" s="7" t="n">
        <f aca="false">IF(AND(T865=1,P865&lt;&gt;"",P865&lt;=Q865),1,0)</f>
        <v>0</v>
      </c>
    </row>
    <row r="866" customFormat="false" ht="15" hidden="false" customHeight="false" outlineLevel="0" collapsed="false">
      <c r="A866" s="7" t="s">
        <v>1099</v>
      </c>
      <c r="B866" s="7" t="s">
        <v>135</v>
      </c>
      <c r="C866" s="7" t="s">
        <v>306</v>
      </c>
      <c r="D866" s="7" t="s">
        <v>120</v>
      </c>
      <c r="E866" s="7" t="s">
        <v>121</v>
      </c>
      <c r="F866" s="7" t="s">
        <v>56</v>
      </c>
      <c r="G866" s="7" t="s">
        <v>19</v>
      </c>
      <c r="H866" s="9" t="n">
        <v>46132</v>
      </c>
      <c r="I866" s="9"/>
      <c r="J866" s="7" t="n">
        <v>8.8</v>
      </c>
      <c r="K866" s="7" t="s">
        <v>1015</v>
      </c>
      <c r="L866" s="7" t="s">
        <v>20</v>
      </c>
      <c r="M866" s="7" t="s">
        <v>1106</v>
      </c>
      <c r="N866" s="7" t="s">
        <v>58</v>
      </c>
      <c r="O866" s="10" t="n">
        <f aca="false">'Exec Summary'!$E$2-H866</f>
        <v>102</v>
      </c>
      <c r="P866" s="10" t="str">
        <f aca="false">IF(I866="","",I866-H866)</f>
        <v/>
      </c>
      <c r="Q866" s="10" t="n">
        <f aca="false">VLOOKUP(G866,$AA$2:$AB$5,2,FALSE())</f>
        <v>15</v>
      </c>
      <c r="R866" s="7" t="n">
        <f aca="false">IF(OR(F866="Open",F866="Reopened"),1,0)</f>
        <v>1</v>
      </c>
      <c r="S866" s="7" t="n">
        <f aca="false">IF(AND(H866&gt;='Exec Summary'!$E$1,H866&lt;='Exec Summary'!$E$2),1,0)</f>
        <v>0</v>
      </c>
      <c r="T866" s="7" t="n">
        <f aca="false">IF(AND(F866="Closed",I866&lt;&gt;"",I866&gt;='Exec Summary'!$E$1,I866&lt;='Exec Summary'!$E$2),1,0)</f>
        <v>0</v>
      </c>
      <c r="U866" s="7" t="n">
        <f aca="false">IF(F866="Reopened",1,0)</f>
        <v>0</v>
      </c>
      <c r="V866" s="7" t="n">
        <f aca="false">IF(AND(R866=1,O866&gt;Q866),1,0)</f>
        <v>1</v>
      </c>
      <c r="W866" s="7" t="n">
        <f aca="false">IF(AND(T866=1,P866&lt;&gt;"",P866&lt;=Q866),1,0)</f>
        <v>0</v>
      </c>
    </row>
    <row r="867" customFormat="false" ht="15" hidden="false" customHeight="false" outlineLevel="0" collapsed="false">
      <c r="A867" s="7" t="s">
        <v>1099</v>
      </c>
      <c r="B867" s="7" t="s">
        <v>135</v>
      </c>
      <c r="C867" s="7" t="s">
        <v>306</v>
      </c>
      <c r="D867" s="7" t="s">
        <v>91</v>
      </c>
      <c r="E867" s="7" t="s">
        <v>92</v>
      </c>
      <c r="F867" s="7" t="s">
        <v>50</v>
      </c>
      <c r="G867" s="7" t="s">
        <v>20</v>
      </c>
      <c r="H867" s="9" t="n">
        <v>46046</v>
      </c>
      <c r="I867" s="9" t="n">
        <v>46069</v>
      </c>
      <c r="J867" s="7" t="n">
        <v>8.1</v>
      </c>
      <c r="K867" s="7" t="s">
        <v>1015</v>
      </c>
      <c r="L867" s="7" t="s">
        <v>20</v>
      </c>
      <c r="M867" s="7" t="s">
        <v>1107</v>
      </c>
      <c r="N867" s="7" t="s">
        <v>53</v>
      </c>
      <c r="O867" s="10" t="n">
        <f aca="false">'Exec Summary'!$E$2-H867</f>
        <v>188</v>
      </c>
      <c r="P867" s="10" t="n">
        <f aca="false">IF(I867="","",I867-H867)</f>
        <v>23</v>
      </c>
      <c r="Q867" s="10" t="n">
        <f aca="false">VLOOKUP(G867,$AA$2:$AB$5,2,FALSE())</f>
        <v>30</v>
      </c>
      <c r="R867" s="7" t="n">
        <f aca="false">IF(OR(F867="Open",F867="Reopened"),1,0)</f>
        <v>0</v>
      </c>
      <c r="S867" s="7" t="n">
        <f aca="false">IF(AND(H867&gt;='Exec Summary'!$E$1,H867&lt;='Exec Summary'!$E$2),1,0)</f>
        <v>0</v>
      </c>
      <c r="T867" s="7" t="n">
        <f aca="false">IF(AND(F867="Closed",I867&lt;&gt;"",I867&gt;='Exec Summary'!$E$1,I867&lt;='Exec Summary'!$E$2),1,0)</f>
        <v>0</v>
      </c>
      <c r="U867" s="7" t="n">
        <f aca="false">IF(F867="Reopened",1,0)</f>
        <v>0</v>
      </c>
      <c r="V867" s="7" t="n">
        <f aca="false">IF(AND(R867=1,O867&gt;Q867),1,0)</f>
        <v>0</v>
      </c>
      <c r="W867" s="7" t="n">
        <f aca="false">IF(AND(T867=1,P867&lt;&gt;"",P867&lt;=Q867),1,0)</f>
        <v>0</v>
      </c>
    </row>
    <row r="868" customFormat="false" ht="15" hidden="false" customHeight="false" outlineLevel="0" collapsed="false">
      <c r="A868" s="7" t="s">
        <v>1099</v>
      </c>
      <c r="B868" s="7" t="s">
        <v>135</v>
      </c>
      <c r="C868" s="7" t="s">
        <v>306</v>
      </c>
      <c r="D868" s="7" t="s">
        <v>62</v>
      </c>
      <c r="E868" s="7" t="s">
        <v>63</v>
      </c>
      <c r="F868" s="7" t="s">
        <v>50</v>
      </c>
      <c r="G868" s="7" t="s">
        <v>20</v>
      </c>
      <c r="H868" s="9" t="n">
        <v>46007</v>
      </c>
      <c r="I868" s="9" t="n">
        <v>46032</v>
      </c>
      <c r="J868" s="7" t="n">
        <v>8.1</v>
      </c>
      <c r="K868" s="7" t="s">
        <v>1015</v>
      </c>
      <c r="L868" s="7" t="s">
        <v>20</v>
      </c>
      <c r="M868" s="7" t="s">
        <v>1108</v>
      </c>
      <c r="N868" s="7" t="s">
        <v>53</v>
      </c>
      <c r="O868" s="10" t="n">
        <f aca="false">'Exec Summary'!$E$2-H868</f>
        <v>227</v>
      </c>
      <c r="P868" s="10" t="n">
        <f aca="false">IF(I868="","",I868-H868)</f>
        <v>25</v>
      </c>
      <c r="Q868" s="10" t="n">
        <f aca="false">VLOOKUP(G868,$AA$2:$AB$5,2,FALSE())</f>
        <v>30</v>
      </c>
      <c r="R868" s="7" t="n">
        <f aca="false">IF(OR(F868="Open",F868="Reopened"),1,0)</f>
        <v>0</v>
      </c>
      <c r="S868" s="7" t="n">
        <f aca="false">IF(AND(H868&gt;='Exec Summary'!$E$1,H868&lt;='Exec Summary'!$E$2),1,0)</f>
        <v>0</v>
      </c>
      <c r="T868" s="7" t="n">
        <f aca="false">IF(AND(F868="Closed",I868&lt;&gt;"",I868&gt;='Exec Summary'!$E$1,I868&lt;='Exec Summary'!$E$2),1,0)</f>
        <v>0</v>
      </c>
      <c r="U868" s="7" t="n">
        <f aca="false">IF(F868="Reopened",1,0)</f>
        <v>0</v>
      </c>
      <c r="V868" s="7" t="n">
        <f aca="false">IF(AND(R868=1,O868&gt;Q868),1,0)</f>
        <v>0</v>
      </c>
      <c r="W868" s="7" t="n">
        <f aca="false">IF(AND(T868=1,P868&lt;&gt;"",P868&lt;=Q868),1,0)</f>
        <v>0</v>
      </c>
    </row>
    <row r="869" customFormat="false" ht="15" hidden="false" customHeight="false" outlineLevel="0" collapsed="false">
      <c r="A869" s="7" t="s">
        <v>1109</v>
      </c>
      <c r="B869" s="7" t="s">
        <v>46</v>
      </c>
      <c r="C869" s="7" t="s">
        <v>47</v>
      </c>
      <c r="D869" s="7" t="s">
        <v>74</v>
      </c>
      <c r="E869" s="7" t="s">
        <v>75</v>
      </c>
      <c r="F869" s="7" t="s">
        <v>56</v>
      </c>
      <c r="G869" s="7" t="s">
        <v>21</v>
      </c>
      <c r="H869" s="9" t="n">
        <v>46210</v>
      </c>
      <c r="I869" s="9"/>
      <c r="J869" s="7" t="n">
        <v>6.5</v>
      </c>
      <c r="K869" s="7" t="s">
        <v>1015</v>
      </c>
      <c r="L869" s="7" t="s">
        <v>20</v>
      </c>
      <c r="M869" s="7" t="s">
        <v>1110</v>
      </c>
      <c r="N869" s="7" t="s">
        <v>77</v>
      </c>
      <c r="O869" s="10" t="n">
        <f aca="false">'Exec Summary'!$E$2-H869</f>
        <v>24</v>
      </c>
      <c r="P869" s="10" t="str">
        <f aca="false">IF(I869="","",I869-H869)</f>
        <v/>
      </c>
      <c r="Q869" s="10" t="n">
        <f aca="false">VLOOKUP(G869,$AA$2:$AB$5,2,FALSE())</f>
        <v>90</v>
      </c>
      <c r="R869" s="7" t="n">
        <f aca="false">IF(OR(F869="Open",F869="Reopened"),1,0)</f>
        <v>1</v>
      </c>
      <c r="S869" s="7" t="n">
        <f aca="false">IF(AND(H869&gt;='Exec Summary'!$E$1,H869&lt;='Exec Summary'!$E$2),1,0)</f>
        <v>1</v>
      </c>
      <c r="T869" s="7" t="n">
        <f aca="false">IF(AND(F869="Closed",I869&lt;&gt;"",I869&gt;='Exec Summary'!$E$1,I869&lt;='Exec Summary'!$E$2),1,0)</f>
        <v>0</v>
      </c>
      <c r="U869" s="7" t="n">
        <f aca="false">IF(F869="Reopened",1,0)</f>
        <v>0</v>
      </c>
      <c r="V869" s="7" t="n">
        <f aca="false">IF(AND(R869=1,O869&gt;Q869),1,0)</f>
        <v>0</v>
      </c>
      <c r="W869" s="7" t="n">
        <f aca="false">IF(AND(T869=1,P869&lt;&gt;"",P869&lt;=Q869),1,0)</f>
        <v>0</v>
      </c>
    </row>
    <row r="870" customFormat="false" ht="15" hidden="false" customHeight="false" outlineLevel="0" collapsed="false">
      <c r="A870" s="7" t="s">
        <v>1109</v>
      </c>
      <c r="B870" s="7" t="s">
        <v>46</v>
      </c>
      <c r="C870" s="7" t="s">
        <v>47</v>
      </c>
      <c r="D870" s="7" t="s">
        <v>98</v>
      </c>
      <c r="E870" s="7" t="s">
        <v>99</v>
      </c>
      <c r="F870" s="7" t="s">
        <v>123</v>
      </c>
      <c r="G870" s="7" t="s">
        <v>19</v>
      </c>
      <c r="H870" s="9" t="n">
        <v>46082</v>
      </c>
      <c r="I870" s="9" t="n">
        <v>46083</v>
      </c>
      <c r="J870" s="7" t="n">
        <v>10</v>
      </c>
      <c r="K870" s="7" t="s">
        <v>1015</v>
      </c>
      <c r="L870" s="7" t="s">
        <v>20</v>
      </c>
      <c r="M870" s="7" t="s">
        <v>1111</v>
      </c>
      <c r="N870" s="7" t="s">
        <v>58</v>
      </c>
      <c r="O870" s="10" t="n">
        <f aca="false">'Exec Summary'!$E$2-H870</f>
        <v>152</v>
      </c>
      <c r="P870" s="10" t="n">
        <f aca="false">IF(I870="","",I870-H870)</f>
        <v>1</v>
      </c>
      <c r="Q870" s="10" t="n">
        <f aca="false">VLOOKUP(G870,$AA$2:$AB$5,2,FALSE())</f>
        <v>15</v>
      </c>
      <c r="R870" s="7" t="n">
        <f aca="false">IF(OR(F870="Open",F870="Reopened"),1,0)</f>
        <v>1</v>
      </c>
      <c r="S870" s="7" t="n">
        <f aca="false">IF(AND(H870&gt;='Exec Summary'!$E$1,H870&lt;='Exec Summary'!$E$2),1,0)</f>
        <v>0</v>
      </c>
      <c r="T870" s="7" t="n">
        <f aca="false">IF(AND(F870="Closed",I870&lt;&gt;"",I870&gt;='Exec Summary'!$E$1,I870&lt;='Exec Summary'!$E$2),1,0)</f>
        <v>0</v>
      </c>
      <c r="U870" s="7" t="n">
        <f aca="false">IF(F870="Reopened",1,0)</f>
        <v>1</v>
      </c>
      <c r="V870" s="7" t="n">
        <f aca="false">IF(AND(R870=1,O870&gt;Q870),1,0)</f>
        <v>1</v>
      </c>
      <c r="W870" s="7" t="n">
        <f aca="false">IF(AND(T870=1,P870&lt;&gt;"",P870&lt;=Q870),1,0)</f>
        <v>0</v>
      </c>
    </row>
    <row r="871" customFormat="false" ht="15" hidden="false" customHeight="false" outlineLevel="0" collapsed="false">
      <c r="A871" s="7" t="s">
        <v>1109</v>
      </c>
      <c r="B871" s="7" t="s">
        <v>46</v>
      </c>
      <c r="C871" s="7" t="s">
        <v>47</v>
      </c>
      <c r="D871" s="7" t="s">
        <v>206</v>
      </c>
      <c r="E871" s="7" t="s">
        <v>207</v>
      </c>
      <c r="F871" s="7" t="s">
        <v>50</v>
      </c>
      <c r="G871" s="7" t="s">
        <v>20</v>
      </c>
      <c r="H871" s="9" t="n">
        <v>46199</v>
      </c>
      <c r="I871" s="9" t="n">
        <v>46231</v>
      </c>
      <c r="J871" s="7" t="n">
        <v>8.8</v>
      </c>
      <c r="K871" s="7" t="s">
        <v>1015</v>
      </c>
      <c r="L871" s="7" t="s">
        <v>20</v>
      </c>
      <c r="M871" s="7" t="s">
        <v>1112</v>
      </c>
      <c r="N871" s="7" t="s">
        <v>53</v>
      </c>
      <c r="O871" s="10" t="n">
        <f aca="false">'Exec Summary'!$E$2-H871</f>
        <v>35</v>
      </c>
      <c r="P871" s="10" t="n">
        <f aca="false">IF(I871="","",I871-H871)</f>
        <v>32</v>
      </c>
      <c r="Q871" s="10" t="n">
        <f aca="false">VLOOKUP(G871,$AA$2:$AB$5,2,FALSE())</f>
        <v>30</v>
      </c>
      <c r="R871" s="7" t="n">
        <f aca="false">IF(OR(F871="Open",F871="Reopened"),1,0)</f>
        <v>0</v>
      </c>
      <c r="S871" s="7" t="n">
        <f aca="false">IF(AND(H871&gt;='Exec Summary'!$E$1,H871&lt;='Exec Summary'!$E$2),1,0)</f>
        <v>0</v>
      </c>
      <c r="T871" s="7" t="n">
        <f aca="false">IF(AND(F871="Closed",I871&lt;&gt;"",I871&gt;='Exec Summary'!$E$1,I871&lt;='Exec Summary'!$E$2),1,0)</f>
        <v>1</v>
      </c>
      <c r="U871" s="7" t="n">
        <f aca="false">IF(F871="Reopened",1,0)</f>
        <v>0</v>
      </c>
      <c r="V871" s="7" t="n">
        <f aca="false">IF(AND(R871=1,O871&gt;Q871),1,0)</f>
        <v>0</v>
      </c>
      <c r="W871" s="7" t="n">
        <f aca="false">IF(AND(T871=1,P871&lt;&gt;"",P871&lt;=Q871),1,0)</f>
        <v>0</v>
      </c>
    </row>
    <row r="872" customFormat="false" ht="15" hidden="false" customHeight="false" outlineLevel="0" collapsed="false">
      <c r="A872" s="7" t="s">
        <v>1109</v>
      </c>
      <c r="B872" s="7" t="s">
        <v>46</v>
      </c>
      <c r="C872" s="7" t="s">
        <v>47</v>
      </c>
      <c r="D872" s="7" t="s">
        <v>101</v>
      </c>
      <c r="E872" s="7" t="s">
        <v>102</v>
      </c>
      <c r="F872" s="7" t="s">
        <v>50</v>
      </c>
      <c r="G872" s="7" t="s">
        <v>19</v>
      </c>
      <c r="H872" s="9" t="n">
        <v>45940</v>
      </c>
      <c r="I872" s="9" t="n">
        <v>45955</v>
      </c>
      <c r="J872" s="7" t="n">
        <v>10</v>
      </c>
      <c r="K872" s="7" t="s">
        <v>1015</v>
      </c>
      <c r="L872" s="7" t="s">
        <v>20</v>
      </c>
      <c r="M872" s="7" t="s">
        <v>1113</v>
      </c>
      <c r="N872" s="7" t="s">
        <v>58</v>
      </c>
      <c r="O872" s="10" t="n">
        <f aca="false">'Exec Summary'!$E$2-H872</f>
        <v>294</v>
      </c>
      <c r="P872" s="10" t="n">
        <f aca="false">IF(I872="","",I872-H872)</f>
        <v>15</v>
      </c>
      <c r="Q872" s="10" t="n">
        <f aca="false">VLOOKUP(G872,$AA$2:$AB$5,2,FALSE())</f>
        <v>15</v>
      </c>
      <c r="R872" s="7" t="n">
        <f aca="false">IF(OR(F872="Open",F872="Reopened"),1,0)</f>
        <v>0</v>
      </c>
      <c r="S872" s="7" t="n">
        <f aca="false">IF(AND(H872&gt;='Exec Summary'!$E$1,H872&lt;='Exec Summary'!$E$2),1,0)</f>
        <v>0</v>
      </c>
      <c r="T872" s="7" t="n">
        <f aca="false">IF(AND(F872="Closed",I872&lt;&gt;"",I872&gt;='Exec Summary'!$E$1,I872&lt;='Exec Summary'!$E$2),1,0)</f>
        <v>0</v>
      </c>
      <c r="U872" s="7" t="n">
        <f aca="false">IF(F872="Reopened",1,0)</f>
        <v>0</v>
      </c>
      <c r="V872" s="7" t="n">
        <f aca="false">IF(AND(R872=1,O872&gt;Q872),1,0)</f>
        <v>0</v>
      </c>
      <c r="W872" s="7" t="n">
        <f aca="false">IF(AND(T872=1,P872&lt;&gt;"",P872&lt;=Q872),1,0)</f>
        <v>0</v>
      </c>
    </row>
    <row r="873" customFormat="false" ht="15" hidden="false" customHeight="false" outlineLevel="0" collapsed="false">
      <c r="A873" s="7" t="s">
        <v>1114</v>
      </c>
      <c r="B873" s="7" t="s">
        <v>135</v>
      </c>
      <c r="C873" s="7" t="s">
        <v>247</v>
      </c>
      <c r="D873" s="7" t="s">
        <v>117</v>
      </c>
      <c r="E873" s="7" t="s">
        <v>118</v>
      </c>
      <c r="F873" s="7" t="s">
        <v>50</v>
      </c>
      <c r="G873" s="7" t="s">
        <v>19</v>
      </c>
      <c r="H873" s="9" t="n">
        <v>46146</v>
      </c>
      <c r="I873" s="9" t="n">
        <v>46157</v>
      </c>
      <c r="J873" s="7" t="n">
        <v>10</v>
      </c>
      <c r="K873" s="7" t="s">
        <v>1015</v>
      </c>
      <c r="L873" s="7" t="s">
        <v>20</v>
      </c>
      <c r="M873" s="7" t="s">
        <v>1115</v>
      </c>
      <c r="N873" s="7" t="s">
        <v>58</v>
      </c>
      <c r="O873" s="10" t="n">
        <f aca="false">'Exec Summary'!$E$2-H873</f>
        <v>88</v>
      </c>
      <c r="P873" s="10" t="n">
        <f aca="false">IF(I873="","",I873-H873)</f>
        <v>11</v>
      </c>
      <c r="Q873" s="10" t="n">
        <f aca="false">VLOOKUP(G873,$AA$2:$AB$5,2,FALSE())</f>
        <v>15</v>
      </c>
      <c r="R873" s="7" t="n">
        <f aca="false">IF(OR(F873="Open",F873="Reopened"),1,0)</f>
        <v>0</v>
      </c>
      <c r="S873" s="7" t="n">
        <f aca="false">IF(AND(H873&gt;='Exec Summary'!$E$1,H873&lt;='Exec Summary'!$E$2),1,0)</f>
        <v>0</v>
      </c>
      <c r="T873" s="7" t="n">
        <f aca="false">IF(AND(F873="Closed",I873&lt;&gt;"",I873&gt;='Exec Summary'!$E$1,I873&lt;='Exec Summary'!$E$2),1,0)</f>
        <v>0</v>
      </c>
      <c r="U873" s="7" t="n">
        <f aca="false">IF(F873="Reopened",1,0)</f>
        <v>0</v>
      </c>
      <c r="V873" s="7" t="n">
        <f aca="false">IF(AND(R873=1,O873&gt;Q873),1,0)</f>
        <v>0</v>
      </c>
      <c r="W873" s="7" t="n">
        <f aca="false">IF(AND(T873=1,P873&lt;&gt;"",P873&lt;=Q873),1,0)</f>
        <v>0</v>
      </c>
    </row>
    <row r="874" customFormat="false" ht="15" hidden="false" customHeight="false" outlineLevel="0" collapsed="false">
      <c r="A874" s="7" t="s">
        <v>1114</v>
      </c>
      <c r="B874" s="7" t="s">
        <v>135</v>
      </c>
      <c r="C874" s="7" t="s">
        <v>247</v>
      </c>
      <c r="D874" s="7" t="s">
        <v>112</v>
      </c>
      <c r="E874" s="7" t="s">
        <v>113</v>
      </c>
      <c r="F874" s="7" t="s">
        <v>50</v>
      </c>
      <c r="G874" s="7" t="s">
        <v>20</v>
      </c>
      <c r="H874" s="9" t="n">
        <v>46176</v>
      </c>
      <c r="I874" s="9" t="n">
        <v>46212</v>
      </c>
      <c r="J874" s="7" t="n">
        <v>7.8</v>
      </c>
      <c r="K874" s="7" t="s">
        <v>1015</v>
      </c>
      <c r="L874" s="7" t="s">
        <v>20</v>
      </c>
      <c r="M874" s="7" t="s">
        <v>1116</v>
      </c>
      <c r="N874" s="7" t="s">
        <v>53</v>
      </c>
      <c r="O874" s="10" t="n">
        <f aca="false">'Exec Summary'!$E$2-H874</f>
        <v>58</v>
      </c>
      <c r="P874" s="10" t="n">
        <f aca="false">IF(I874="","",I874-H874)</f>
        <v>36</v>
      </c>
      <c r="Q874" s="10" t="n">
        <f aca="false">VLOOKUP(G874,$AA$2:$AB$5,2,FALSE())</f>
        <v>30</v>
      </c>
      <c r="R874" s="7" t="n">
        <f aca="false">IF(OR(F874="Open",F874="Reopened"),1,0)</f>
        <v>0</v>
      </c>
      <c r="S874" s="7" t="n">
        <f aca="false">IF(AND(H874&gt;='Exec Summary'!$E$1,H874&lt;='Exec Summary'!$E$2),1,0)</f>
        <v>0</v>
      </c>
      <c r="T874" s="7" t="n">
        <f aca="false">IF(AND(F874="Closed",I874&lt;&gt;"",I874&gt;='Exec Summary'!$E$1,I874&lt;='Exec Summary'!$E$2),1,0)</f>
        <v>1</v>
      </c>
      <c r="U874" s="7" t="n">
        <f aca="false">IF(F874="Reopened",1,0)</f>
        <v>0</v>
      </c>
      <c r="V874" s="7" t="n">
        <f aca="false">IF(AND(R874=1,O874&gt;Q874),1,0)</f>
        <v>0</v>
      </c>
      <c r="W874" s="7" t="n">
        <f aca="false">IF(AND(T874=1,P874&lt;&gt;"",P874&lt;=Q874),1,0)</f>
        <v>0</v>
      </c>
    </row>
    <row r="875" customFormat="false" ht="15" hidden="false" customHeight="false" outlineLevel="0" collapsed="false">
      <c r="A875" s="7" t="s">
        <v>1114</v>
      </c>
      <c r="B875" s="7" t="s">
        <v>135</v>
      </c>
      <c r="C875" s="7" t="s">
        <v>247</v>
      </c>
      <c r="D875" s="7" t="s">
        <v>139</v>
      </c>
      <c r="E875" s="7" t="s">
        <v>140</v>
      </c>
      <c r="F875" s="7" t="s">
        <v>50</v>
      </c>
      <c r="G875" s="7" t="s">
        <v>19</v>
      </c>
      <c r="H875" s="9" t="n">
        <v>46148</v>
      </c>
      <c r="I875" s="9" t="n">
        <v>46172</v>
      </c>
      <c r="J875" s="7" t="n">
        <v>9.8</v>
      </c>
      <c r="K875" s="7" t="s">
        <v>1015</v>
      </c>
      <c r="L875" s="7" t="s">
        <v>20</v>
      </c>
      <c r="M875" s="7" t="s">
        <v>1117</v>
      </c>
      <c r="N875" s="7" t="s">
        <v>58</v>
      </c>
      <c r="O875" s="10" t="n">
        <f aca="false">'Exec Summary'!$E$2-H875</f>
        <v>86</v>
      </c>
      <c r="P875" s="10" t="n">
        <f aca="false">IF(I875="","",I875-H875)</f>
        <v>24</v>
      </c>
      <c r="Q875" s="10" t="n">
        <f aca="false">VLOOKUP(G875,$AA$2:$AB$5,2,FALSE())</f>
        <v>15</v>
      </c>
      <c r="R875" s="7" t="n">
        <f aca="false">IF(OR(F875="Open",F875="Reopened"),1,0)</f>
        <v>0</v>
      </c>
      <c r="S875" s="7" t="n">
        <f aca="false">IF(AND(H875&gt;='Exec Summary'!$E$1,H875&lt;='Exec Summary'!$E$2),1,0)</f>
        <v>0</v>
      </c>
      <c r="T875" s="7" t="n">
        <f aca="false">IF(AND(F875="Closed",I875&lt;&gt;"",I875&gt;='Exec Summary'!$E$1,I875&lt;='Exec Summary'!$E$2),1,0)</f>
        <v>0</v>
      </c>
      <c r="U875" s="7" t="n">
        <f aca="false">IF(F875="Reopened",1,0)</f>
        <v>0</v>
      </c>
      <c r="V875" s="7" t="n">
        <f aca="false">IF(AND(R875=1,O875&gt;Q875),1,0)</f>
        <v>0</v>
      </c>
      <c r="W875" s="7" t="n">
        <f aca="false">IF(AND(T875=1,P875&lt;&gt;"",P875&lt;=Q875),1,0)</f>
        <v>0</v>
      </c>
    </row>
    <row r="876" customFormat="false" ht="15" hidden="false" customHeight="false" outlineLevel="0" collapsed="false">
      <c r="A876" s="7" t="s">
        <v>1114</v>
      </c>
      <c r="B876" s="7" t="s">
        <v>135</v>
      </c>
      <c r="C876" s="7" t="s">
        <v>247</v>
      </c>
      <c r="D876" s="7" t="s">
        <v>95</v>
      </c>
      <c r="E876" s="7" t="s">
        <v>96</v>
      </c>
      <c r="F876" s="7" t="s">
        <v>56</v>
      </c>
      <c r="G876" s="7" t="s">
        <v>20</v>
      </c>
      <c r="H876" s="9" t="n">
        <v>46006</v>
      </c>
      <c r="I876" s="9"/>
      <c r="J876" s="7" t="n">
        <v>8.8</v>
      </c>
      <c r="K876" s="7" t="s">
        <v>1015</v>
      </c>
      <c r="L876" s="7" t="s">
        <v>20</v>
      </c>
      <c r="M876" s="7" t="s">
        <v>1118</v>
      </c>
      <c r="N876" s="7" t="s">
        <v>53</v>
      </c>
      <c r="O876" s="10" t="n">
        <f aca="false">'Exec Summary'!$E$2-H876</f>
        <v>228</v>
      </c>
      <c r="P876" s="10" t="str">
        <f aca="false">IF(I876="","",I876-H876)</f>
        <v/>
      </c>
      <c r="Q876" s="10" t="n">
        <f aca="false">VLOOKUP(G876,$AA$2:$AB$5,2,FALSE())</f>
        <v>30</v>
      </c>
      <c r="R876" s="7" t="n">
        <f aca="false">IF(OR(F876="Open",F876="Reopened"),1,0)</f>
        <v>1</v>
      </c>
      <c r="S876" s="7" t="n">
        <f aca="false">IF(AND(H876&gt;='Exec Summary'!$E$1,H876&lt;='Exec Summary'!$E$2),1,0)</f>
        <v>0</v>
      </c>
      <c r="T876" s="7" t="n">
        <f aca="false">IF(AND(F876="Closed",I876&lt;&gt;"",I876&gt;='Exec Summary'!$E$1,I876&lt;='Exec Summary'!$E$2),1,0)</f>
        <v>0</v>
      </c>
      <c r="U876" s="7" t="n">
        <f aca="false">IF(F876="Reopened",1,0)</f>
        <v>0</v>
      </c>
      <c r="V876" s="7" t="n">
        <f aca="false">IF(AND(R876=1,O876&gt;Q876),1,0)</f>
        <v>1</v>
      </c>
      <c r="W876" s="7" t="n">
        <f aca="false">IF(AND(T876=1,P876&lt;&gt;"",P876&lt;=Q876),1,0)</f>
        <v>0</v>
      </c>
    </row>
    <row r="877" customFormat="false" ht="15" hidden="false" customHeight="false" outlineLevel="0" collapsed="false">
      <c r="A877" s="7" t="s">
        <v>1114</v>
      </c>
      <c r="B877" s="7" t="s">
        <v>135</v>
      </c>
      <c r="C877" s="7" t="s">
        <v>247</v>
      </c>
      <c r="D877" s="7" t="s">
        <v>65</v>
      </c>
      <c r="E877" s="7" t="s">
        <v>66</v>
      </c>
      <c r="F877" s="7" t="s">
        <v>56</v>
      </c>
      <c r="G877" s="7" t="s">
        <v>19</v>
      </c>
      <c r="H877" s="9" t="n">
        <v>45948</v>
      </c>
      <c r="I877" s="9"/>
      <c r="J877" s="7" t="n">
        <v>9.8</v>
      </c>
      <c r="K877" s="7" t="s">
        <v>1015</v>
      </c>
      <c r="L877" s="7" t="s">
        <v>20</v>
      </c>
      <c r="M877" s="7" t="s">
        <v>1119</v>
      </c>
      <c r="N877" s="7" t="s">
        <v>58</v>
      </c>
      <c r="O877" s="10" t="n">
        <f aca="false">'Exec Summary'!$E$2-H877</f>
        <v>286</v>
      </c>
      <c r="P877" s="10" t="str">
        <f aca="false">IF(I877="","",I877-H877)</f>
        <v/>
      </c>
      <c r="Q877" s="10" t="n">
        <f aca="false">VLOOKUP(G877,$AA$2:$AB$5,2,FALSE())</f>
        <v>15</v>
      </c>
      <c r="R877" s="7" t="n">
        <f aca="false">IF(OR(F877="Open",F877="Reopened"),1,0)</f>
        <v>1</v>
      </c>
      <c r="S877" s="7" t="n">
        <f aca="false">IF(AND(H877&gt;='Exec Summary'!$E$1,H877&lt;='Exec Summary'!$E$2),1,0)</f>
        <v>0</v>
      </c>
      <c r="T877" s="7" t="n">
        <f aca="false">IF(AND(F877="Closed",I877&lt;&gt;"",I877&gt;='Exec Summary'!$E$1,I877&lt;='Exec Summary'!$E$2),1,0)</f>
        <v>0</v>
      </c>
      <c r="U877" s="7" t="n">
        <f aca="false">IF(F877="Reopened",1,0)</f>
        <v>0</v>
      </c>
      <c r="V877" s="7" t="n">
        <f aca="false">IF(AND(R877=1,O877&gt;Q877),1,0)</f>
        <v>1</v>
      </c>
      <c r="W877" s="7" t="n">
        <f aca="false">IF(AND(T877=1,P877&lt;&gt;"",P877&lt;=Q877),1,0)</f>
        <v>0</v>
      </c>
    </row>
    <row r="878" customFormat="false" ht="15" hidden="false" customHeight="false" outlineLevel="0" collapsed="false">
      <c r="A878" s="7" t="s">
        <v>1114</v>
      </c>
      <c r="B878" s="7" t="s">
        <v>135</v>
      </c>
      <c r="C878" s="7" t="s">
        <v>247</v>
      </c>
      <c r="D878" s="7" t="s">
        <v>173</v>
      </c>
      <c r="E878" s="7" t="s">
        <v>174</v>
      </c>
      <c r="F878" s="7" t="s">
        <v>56</v>
      </c>
      <c r="G878" s="7" t="s">
        <v>19</v>
      </c>
      <c r="H878" s="9" t="n">
        <v>46011</v>
      </c>
      <c r="I878" s="9"/>
      <c r="J878" s="7" t="n">
        <v>9.8</v>
      </c>
      <c r="K878" s="7" t="s">
        <v>1015</v>
      </c>
      <c r="L878" s="7" t="s">
        <v>20</v>
      </c>
      <c r="M878" s="7" t="s">
        <v>1120</v>
      </c>
      <c r="N878" s="7" t="s">
        <v>58</v>
      </c>
      <c r="O878" s="10" t="n">
        <f aca="false">'Exec Summary'!$E$2-H878</f>
        <v>223</v>
      </c>
      <c r="P878" s="10" t="str">
        <f aca="false">IF(I878="","",I878-H878)</f>
        <v/>
      </c>
      <c r="Q878" s="10" t="n">
        <f aca="false">VLOOKUP(G878,$AA$2:$AB$5,2,FALSE())</f>
        <v>15</v>
      </c>
      <c r="R878" s="7" t="n">
        <f aca="false">IF(OR(F878="Open",F878="Reopened"),1,0)</f>
        <v>1</v>
      </c>
      <c r="S878" s="7" t="n">
        <f aca="false">IF(AND(H878&gt;='Exec Summary'!$E$1,H878&lt;='Exec Summary'!$E$2),1,0)</f>
        <v>0</v>
      </c>
      <c r="T878" s="7" t="n">
        <f aca="false">IF(AND(F878="Closed",I878&lt;&gt;"",I878&gt;='Exec Summary'!$E$1,I878&lt;='Exec Summary'!$E$2),1,0)</f>
        <v>0</v>
      </c>
      <c r="U878" s="7" t="n">
        <f aca="false">IF(F878="Reopened",1,0)</f>
        <v>0</v>
      </c>
      <c r="V878" s="7" t="n">
        <f aca="false">IF(AND(R878=1,O878&gt;Q878),1,0)</f>
        <v>1</v>
      </c>
      <c r="W878" s="7" t="n">
        <f aca="false">IF(AND(T878=1,P878&lt;&gt;"",P878&lt;=Q878),1,0)</f>
        <v>0</v>
      </c>
    </row>
    <row r="879" customFormat="false" ht="15" hidden="false" customHeight="false" outlineLevel="0" collapsed="false">
      <c r="A879" s="7" t="s">
        <v>1114</v>
      </c>
      <c r="B879" s="7" t="s">
        <v>135</v>
      </c>
      <c r="C879" s="7" t="s">
        <v>247</v>
      </c>
      <c r="D879" s="7" t="s">
        <v>48</v>
      </c>
      <c r="E879" s="7" t="s">
        <v>49</v>
      </c>
      <c r="F879" s="7" t="s">
        <v>50</v>
      </c>
      <c r="G879" s="7" t="s">
        <v>20</v>
      </c>
      <c r="H879" s="9" t="n">
        <v>45970</v>
      </c>
      <c r="I879" s="9" t="n">
        <v>46012</v>
      </c>
      <c r="J879" s="7" t="n">
        <v>7.5</v>
      </c>
      <c r="K879" s="7" t="s">
        <v>1015</v>
      </c>
      <c r="L879" s="7" t="s">
        <v>20</v>
      </c>
      <c r="M879" s="7" t="s">
        <v>1121</v>
      </c>
      <c r="N879" s="7" t="s">
        <v>53</v>
      </c>
      <c r="O879" s="10" t="n">
        <f aca="false">'Exec Summary'!$E$2-H879</f>
        <v>264</v>
      </c>
      <c r="P879" s="10" t="n">
        <f aca="false">IF(I879="","",I879-H879)</f>
        <v>42</v>
      </c>
      <c r="Q879" s="10" t="n">
        <f aca="false">VLOOKUP(G879,$AA$2:$AB$5,2,FALSE())</f>
        <v>30</v>
      </c>
      <c r="R879" s="7" t="n">
        <f aca="false">IF(OR(F879="Open",F879="Reopened"),1,0)</f>
        <v>0</v>
      </c>
      <c r="S879" s="7" t="n">
        <f aca="false">IF(AND(H879&gt;='Exec Summary'!$E$1,H879&lt;='Exec Summary'!$E$2),1,0)</f>
        <v>0</v>
      </c>
      <c r="T879" s="7" t="n">
        <f aca="false">IF(AND(F879="Closed",I879&lt;&gt;"",I879&gt;='Exec Summary'!$E$1,I879&lt;='Exec Summary'!$E$2),1,0)</f>
        <v>0</v>
      </c>
      <c r="U879" s="7" t="n">
        <f aca="false">IF(F879="Reopened",1,0)</f>
        <v>0</v>
      </c>
      <c r="V879" s="7" t="n">
        <f aca="false">IF(AND(R879=1,O879&gt;Q879),1,0)</f>
        <v>0</v>
      </c>
      <c r="W879" s="7" t="n">
        <f aca="false">IF(AND(T879=1,P879&lt;&gt;"",P879&lt;=Q879),1,0)</f>
        <v>0</v>
      </c>
    </row>
    <row r="880" customFormat="false" ht="15" hidden="false" customHeight="false" outlineLevel="0" collapsed="false">
      <c r="A880" s="7" t="s">
        <v>1114</v>
      </c>
      <c r="B880" s="7" t="s">
        <v>135</v>
      </c>
      <c r="C880" s="7" t="s">
        <v>247</v>
      </c>
      <c r="D880" s="7" t="s">
        <v>145</v>
      </c>
      <c r="E880" s="7" t="s">
        <v>146</v>
      </c>
      <c r="F880" s="7" t="s">
        <v>56</v>
      </c>
      <c r="G880" s="7" t="s">
        <v>19</v>
      </c>
      <c r="H880" s="9" t="n">
        <v>46011</v>
      </c>
      <c r="I880" s="9"/>
      <c r="J880" s="7" t="n">
        <v>9.8</v>
      </c>
      <c r="K880" s="7" t="s">
        <v>1015</v>
      </c>
      <c r="L880" s="7" t="s">
        <v>20</v>
      </c>
      <c r="M880" s="7" t="s">
        <v>1122</v>
      </c>
      <c r="N880" s="7" t="s">
        <v>58</v>
      </c>
      <c r="O880" s="10" t="n">
        <f aca="false">'Exec Summary'!$E$2-H880</f>
        <v>223</v>
      </c>
      <c r="P880" s="10" t="str">
        <f aca="false">IF(I880="","",I880-H880)</f>
        <v/>
      </c>
      <c r="Q880" s="10" t="n">
        <f aca="false">VLOOKUP(G880,$AA$2:$AB$5,2,FALSE())</f>
        <v>15</v>
      </c>
      <c r="R880" s="7" t="n">
        <f aca="false">IF(OR(F880="Open",F880="Reopened"),1,0)</f>
        <v>1</v>
      </c>
      <c r="S880" s="7" t="n">
        <f aca="false">IF(AND(H880&gt;='Exec Summary'!$E$1,H880&lt;='Exec Summary'!$E$2),1,0)</f>
        <v>0</v>
      </c>
      <c r="T880" s="7" t="n">
        <f aca="false">IF(AND(F880="Closed",I880&lt;&gt;"",I880&gt;='Exec Summary'!$E$1,I880&lt;='Exec Summary'!$E$2),1,0)</f>
        <v>0</v>
      </c>
      <c r="U880" s="7" t="n">
        <f aca="false">IF(F880="Reopened",1,0)</f>
        <v>0</v>
      </c>
      <c r="V880" s="7" t="n">
        <f aca="false">IF(AND(R880=1,O880&gt;Q880),1,0)</f>
        <v>1</v>
      </c>
      <c r="W880" s="7" t="n">
        <f aca="false">IF(AND(T880=1,P880&lt;&gt;"",P880&lt;=Q880),1,0)</f>
        <v>0</v>
      </c>
    </row>
    <row r="881" customFormat="false" ht="15" hidden="false" customHeight="false" outlineLevel="0" collapsed="false">
      <c r="A881" s="7" t="s">
        <v>1114</v>
      </c>
      <c r="B881" s="7" t="s">
        <v>135</v>
      </c>
      <c r="C881" s="7" t="s">
        <v>247</v>
      </c>
      <c r="D881" s="7" t="s">
        <v>62</v>
      </c>
      <c r="E881" s="7" t="s">
        <v>63</v>
      </c>
      <c r="F881" s="7" t="s">
        <v>50</v>
      </c>
      <c r="G881" s="7" t="s">
        <v>20</v>
      </c>
      <c r="H881" s="9" t="n">
        <v>46139</v>
      </c>
      <c r="I881" s="9" t="n">
        <v>46140</v>
      </c>
      <c r="J881" s="7" t="n">
        <v>8.1</v>
      </c>
      <c r="K881" s="7" t="s">
        <v>1015</v>
      </c>
      <c r="L881" s="7" t="s">
        <v>20</v>
      </c>
      <c r="M881" s="7" t="s">
        <v>1123</v>
      </c>
      <c r="N881" s="7" t="s">
        <v>53</v>
      </c>
      <c r="O881" s="10" t="n">
        <f aca="false">'Exec Summary'!$E$2-H881</f>
        <v>95</v>
      </c>
      <c r="P881" s="10" t="n">
        <f aca="false">IF(I881="","",I881-H881)</f>
        <v>1</v>
      </c>
      <c r="Q881" s="10" t="n">
        <f aca="false">VLOOKUP(G881,$AA$2:$AB$5,2,FALSE())</f>
        <v>30</v>
      </c>
      <c r="R881" s="7" t="n">
        <f aca="false">IF(OR(F881="Open",F881="Reopened"),1,0)</f>
        <v>0</v>
      </c>
      <c r="S881" s="7" t="n">
        <f aca="false">IF(AND(H881&gt;='Exec Summary'!$E$1,H881&lt;='Exec Summary'!$E$2),1,0)</f>
        <v>0</v>
      </c>
      <c r="T881" s="7" t="n">
        <f aca="false">IF(AND(F881="Closed",I881&lt;&gt;"",I881&gt;='Exec Summary'!$E$1,I881&lt;='Exec Summary'!$E$2),1,0)</f>
        <v>0</v>
      </c>
      <c r="U881" s="7" t="n">
        <f aca="false">IF(F881="Reopened",1,0)</f>
        <v>0</v>
      </c>
      <c r="V881" s="7" t="n">
        <f aca="false">IF(AND(R881=1,O881&gt;Q881),1,0)</f>
        <v>0</v>
      </c>
      <c r="W881" s="7" t="n">
        <f aca="false">IF(AND(T881=1,P881&lt;&gt;"",P881&lt;=Q881),1,0)</f>
        <v>0</v>
      </c>
    </row>
    <row r="882" customFormat="false" ht="15" hidden="false" customHeight="false" outlineLevel="0" collapsed="false">
      <c r="A882" s="7" t="s">
        <v>1114</v>
      </c>
      <c r="B882" s="7" t="s">
        <v>135</v>
      </c>
      <c r="C882" s="7" t="s">
        <v>247</v>
      </c>
      <c r="D882" s="7" t="s">
        <v>104</v>
      </c>
      <c r="E882" s="7" t="s">
        <v>105</v>
      </c>
      <c r="F882" s="7" t="s">
        <v>50</v>
      </c>
      <c r="G882" s="7" t="s">
        <v>19</v>
      </c>
      <c r="H882" s="9" t="n">
        <v>46143</v>
      </c>
      <c r="I882" s="9" t="n">
        <v>46150</v>
      </c>
      <c r="J882" s="7" t="n">
        <v>9.8</v>
      </c>
      <c r="K882" s="7" t="s">
        <v>1015</v>
      </c>
      <c r="L882" s="7" t="s">
        <v>20</v>
      </c>
      <c r="M882" s="7" t="s">
        <v>1124</v>
      </c>
      <c r="N882" s="7" t="s">
        <v>58</v>
      </c>
      <c r="O882" s="10" t="n">
        <f aca="false">'Exec Summary'!$E$2-H882</f>
        <v>91</v>
      </c>
      <c r="P882" s="10" t="n">
        <f aca="false">IF(I882="","",I882-H882)</f>
        <v>7</v>
      </c>
      <c r="Q882" s="10" t="n">
        <f aca="false">VLOOKUP(G882,$AA$2:$AB$5,2,FALSE())</f>
        <v>15</v>
      </c>
      <c r="R882" s="7" t="n">
        <f aca="false">IF(OR(F882="Open",F882="Reopened"),1,0)</f>
        <v>0</v>
      </c>
      <c r="S882" s="7" t="n">
        <f aca="false">IF(AND(H882&gt;='Exec Summary'!$E$1,H882&lt;='Exec Summary'!$E$2),1,0)</f>
        <v>0</v>
      </c>
      <c r="T882" s="7" t="n">
        <f aca="false">IF(AND(F882="Closed",I882&lt;&gt;"",I882&gt;='Exec Summary'!$E$1,I882&lt;='Exec Summary'!$E$2),1,0)</f>
        <v>0</v>
      </c>
      <c r="U882" s="7" t="n">
        <f aca="false">IF(F882="Reopened",1,0)</f>
        <v>0</v>
      </c>
      <c r="V882" s="7" t="n">
        <f aca="false">IF(AND(R882=1,O882&gt;Q882),1,0)</f>
        <v>0</v>
      </c>
      <c r="W882" s="7" t="n">
        <f aca="false">IF(AND(T882=1,P882&lt;&gt;"",P882&lt;=Q882),1,0)</f>
        <v>0</v>
      </c>
    </row>
    <row r="883" customFormat="false" ht="15" hidden="false" customHeight="false" outlineLevel="0" collapsed="false">
      <c r="A883" s="7" t="s">
        <v>1114</v>
      </c>
      <c r="B883" s="7" t="s">
        <v>135</v>
      </c>
      <c r="C883" s="7" t="s">
        <v>247</v>
      </c>
      <c r="D883" s="7" t="s">
        <v>98</v>
      </c>
      <c r="E883" s="7" t="s">
        <v>99</v>
      </c>
      <c r="F883" s="7" t="s">
        <v>123</v>
      </c>
      <c r="G883" s="7" t="s">
        <v>19</v>
      </c>
      <c r="H883" s="9" t="n">
        <v>45955</v>
      </c>
      <c r="I883" s="9" t="n">
        <v>45962</v>
      </c>
      <c r="J883" s="7" t="n">
        <v>10</v>
      </c>
      <c r="K883" s="7" t="s">
        <v>1015</v>
      </c>
      <c r="L883" s="7" t="s">
        <v>20</v>
      </c>
      <c r="M883" s="7" t="s">
        <v>1125</v>
      </c>
      <c r="N883" s="7" t="s">
        <v>58</v>
      </c>
      <c r="O883" s="10" t="n">
        <f aca="false">'Exec Summary'!$E$2-H883</f>
        <v>279</v>
      </c>
      <c r="P883" s="10" t="n">
        <f aca="false">IF(I883="","",I883-H883)</f>
        <v>7</v>
      </c>
      <c r="Q883" s="10" t="n">
        <f aca="false">VLOOKUP(G883,$AA$2:$AB$5,2,FALSE())</f>
        <v>15</v>
      </c>
      <c r="R883" s="7" t="n">
        <f aca="false">IF(OR(F883="Open",F883="Reopened"),1,0)</f>
        <v>1</v>
      </c>
      <c r="S883" s="7" t="n">
        <f aca="false">IF(AND(H883&gt;='Exec Summary'!$E$1,H883&lt;='Exec Summary'!$E$2),1,0)</f>
        <v>0</v>
      </c>
      <c r="T883" s="7" t="n">
        <f aca="false">IF(AND(F883="Closed",I883&lt;&gt;"",I883&gt;='Exec Summary'!$E$1,I883&lt;='Exec Summary'!$E$2),1,0)</f>
        <v>0</v>
      </c>
      <c r="U883" s="7" t="n">
        <f aca="false">IF(F883="Reopened",1,0)</f>
        <v>1</v>
      </c>
      <c r="V883" s="7" t="n">
        <f aca="false">IF(AND(R883=1,O883&gt;Q883),1,0)</f>
        <v>1</v>
      </c>
      <c r="W883" s="7" t="n">
        <f aca="false">IF(AND(T883=1,P883&lt;&gt;"",P883&lt;=Q883),1,0)</f>
        <v>0</v>
      </c>
    </row>
    <row r="884" customFormat="false" ht="15" hidden="false" customHeight="false" outlineLevel="0" collapsed="false">
      <c r="A884" s="7" t="s">
        <v>1114</v>
      </c>
      <c r="B884" s="7" t="s">
        <v>135</v>
      </c>
      <c r="C884" s="7" t="s">
        <v>247</v>
      </c>
      <c r="D884" s="7" t="s">
        <v>206</v>
      </c>
      <c r="E884" s="7" t="s">
        <v>207</v>
      </c>
      <c r="F884" s="7" t="s">
        <v>50</v>
      </c>
      <c r="G884" s="7" t="s">
        <v>20</v>
      </c>
      <c r="H884" s="9" t="n">
        <v>46197</v>
      </c>
      <c r="I884" s="9" t="n">
        <v>46213</v>
      </c>
      <c r="J884" s="7" t="n">
        <v>8.8</v>
      </c>
      <c r="K884" s="7" t="s">
        <v>1015</v>
      </c>
      <c r="L884" s="7" t="s">
        <v>20</v>
      </c>
      <c r="M884" s="7" t="s">
        <v>1126</v>
      </c>
      <c r="N884" s="7" t="s">
        <v>53</v>
      </c>
      <c r="O884" s="10" t="n">
        <f aca="false">'Exec Summary'!$E$2-H884</f>
        <v>37</v>
      </c>
      <c r="P884" s="10" t="n">
        <f aca="false">IF(I884="","",I884-H884)</f>
        <v>16</v>
      </c>
      <c r="Q884" s="10" t="n">
        <f aca="false">VLOOKUP(G884,$AA$2:$AB$5,2,FALSE())</f>
        <v>30</v>
      </c>
      <c r="R884" s="7" t="n">
        <f aca="false">IF(OR(F884="Open",F884="Reopened"),1,0)</f>
        <v>0</v>
      </c>
      <c r="S884" s="7" t="n">
        <f aca="false">IF(AND(H884&gt;='Exec Summary'!$E$1,H884&lt;='Exec Summary'!$E$2),1,0)</f>
        <v>0</v>
      </c>
      <c r="T884" s="7" t="n">
        <f aca="false">IF(AND(F884="Closed",I884&lt;&gt;"",I884&gt;='Exec Summary'!$E$1,I884&lt;='Exec Summary'!$E$2),1,0)</f>
        <v>1</v>
      </c>
      <c r="U884" s="7" t="n">
        <f aca="false">IF(F884="Reopened",1,0)</f>
        <v>0</v>
      </c>
      <c r="V884" s="7" t="n">
        <f aca="false">IF(AND(R884=1,O884&gt;Q884),1,0)</f>
        <v>0</v>
      </c>
      <c r="W884" s="7" t="n">
        <f aca="false">IF(AND(T884=1,P884&lt;&gt;"",P884&lt;=Q884),1,0)</f>
        <v>1</v>
      </c>
    </row>
    <row r="885" customFormat="false" ht="15" hidden="false" customHeight="false" outlineLevel="0" collapsed="false">
      <c r="A885" s="7" t="s">
        <v>1114</v>
      </c>
      <c r="B885" s="7" t="s">
        <v>135</v>
      </c>
      <c r="C885" s="7" t="s">
        <v>247</v>
      </c>
      <c r="D885" s="7" t="s">
        <v>163</v>
      </c>
      <c r="E885" s="7" t="s">
        <v>164</v>
      </c>
      <c r="F885" s="7" t="s">
        <v>56</v>
      </c>
      <c r="G885" s="7" t="s">
        <v>19</v>
      </c>
      <c r="H885" s="9" t="n">
        <v>46048</v>
      </c>
      <c r="I885" s="9"/>
      <c r="J885" s="7" t="n">
        <v>9.1</v>
      </c>
      <c r="K885" s="7" t="s">
        <v>1015</v>
      </c>
      <c r="L885" s="7" t="s">
        <v>20</v>
      </c>
      <c r="M885" s="7" t="s">
        <v>1127</v>
      </c>
      <c r="N885" s="7" t="s">
        <v>58</v>
      </c>
      <c r="O885" s="10" t="n">
        <f aca="false">'Exec Summary'!$E$2-H885</f>
        <v>186</v>
      </c>
      <c r="P885" s="10" t="str">
        <f aca="false">IF(I885="","",I885-H885)</f>
        <v/>
      </c>
      <c r="Q885" s="10" t="n">
        <f aca="false">VLOOKUP(G885,$AA$2:$AB$5,2,FALSE())</f>
        <v>15</v>
      </c>
      <c r="R885" s="7" t="n">
        <f aca="false">IF(OR(F885="Open",F885="Reopened"),1,0)</f>
        <v>1</v>
      </c>
      <c r="S885" s="7" t="n">
        <f aca="false">IF(AND(H885&gt;='Exec Summary'!$E$1,H885&lt;='Exec Summary'!$E$2),1,0)</f>
        <v>0</v>
      </c>
      <c r="T885" s="7" t="n">
        <f aca="false">IF(AND(F885="Closed",I885&lt;&gt;"",I885&gt;='Exec Summary'!$E$1,I885&lt;='Exec Summary'!$E$2),1,0)</f>
        <v>0</v>
      </c>
      <c r="U885" s="7" t="n">
        <f aca="false">IF(F885="Reopened",1,0)</f>
        <v>0</v>
      </c>
      <c r="V885" s="7" t="n">
        <f aca="false">IF(AND(R885=1,O885&gt;Q885),1,0)</f>
        <v>1</v>
      </c>
      <c r="W885" s="7" t="n">
        <f aca="false">IF(AND(T885=1,P885&lt;&gt;"",P885&lt;=Q885),1,0)</f>
        <v>0</v>
      </c>
    </row>
    <row r="886" customFormat="false" ht="15" hidden="false" customHeight="false" outlineLevel="0" collapsed="false">
      <c r="A886" s="7" t="s">
        <v>1128</v>
      </c>
      <c r="B886" s="7" t="s">
        <v>46</v>
      </c>
      <c r="C886" s="7" t="s">
        <v>79</v>
      </c>
      <c r="D886" s="7" t="s">
        <v>48</v>
      </c>
      <c r="E886" s="7" t="s">
        <v>49</v>
      </c>
      <c r="F886" s="7" t="s">
        <v>50</v>
      </c>
      <c r="G886" s="7" t="s">
        <v>20</v>
      </c>
      <c r="H886" s="9" t="n">
        <v>46124</v>
      </c>
      <c r="I886" s="9" t="n">
        <v>46135</v>
      </c>
      <c r="J886" s="7" t="n">
        <v>7.5</v>
      </c>
      <c r="K886" s="7" t="s">
        <v>1015</v>
      </c>
      <c r="L886" s="7" t="s">
        <v>20</v>
      </c>
      <c r="M886" s="7" t="s">
        <v>1129</v>
      </c>
      <c r="N886" s="7" t="s">
        <v>53</v>
      </c>
      <c r="O886" s="10" t="n">
        <f aca="false">'Exec Summary'!$E$2-H886</f>
        <v>110</v>
      </c>
      <c r="P886" s="10" t="n">
        <f aca="false">IF(I886="","",I886-H886)</f>
        <v>11</v>
      </c>
      <c r="Q886" s="10" t="n">
        <f aca="false">VLOOKUP(G886,$AA$2:$AB$5,2,FALSE())</f>
        <v>30</v>
      </c>
      <c r="R886" s="7" t="n">
        <f aca="false">IF(OR(F886="Open",F886="Reopened"),1,0)</f>
        <v>0</v>
      </c>
      <c r="S886" s="7" t="n">
        <f aca="false">IF(AND(H886&gt;='Exec Summary'!$E$1,H886&lt;='Exec Summary'!$E$2),1,0)</f>
        <v>0</v>
      </c>
      <c r="T886" s="7" t="n">
        <f aca="false">IF(AND(F886="Closed",I886&lt;&gt;"",I886&gt;='Exec Summary'!$E$1,I886&lt;='Exec Summary'!$E$2),1,0)</f>
        <v>0</v>
      </c>
      <c r="U886" s="7" t="n">
        <f aca="false">IF(F886="Reopened",1,0)</f>
        <v>0</v>
      </c>
      <c r="V886" s="7" t="n">
        <f aca="false">IF(AND(R886=1,O886&gt;Q886),1,0)</f>
        <v>0</v>
      </c>
      <c r="W886" s="7" t="n">
        <f aca="false">IF(AND(T886=1,P886&lt;&gt;"",P886&lt;=Q886),1,0)</f>
        <v>0</v>
      </c>
    </row>
    <row r="887" customFormat="false" ht="15" hidden="false" customHeight="false" outlineLevel="0" collapsed="false">
      <c r="A887" s="7" t="s">
        <v>1128</v>
      </c>
      <c r="B887" s="7" t="s">
        <v>46</v>
      </c>
      <c r="C887" s="7" t="s">
        <v>79</v>
      </c>
      <c r="D887" s="7" t="s">
        <v>84</v>
      </c>
      <c r="E887" s="7" t="s">
        <v>85</v>
      </c>
      <c r="F887" s="7" t="s">
        <v>50</v>
      </c>
      <c r="G887" s="7" t="s">
        <v>20</v>
      </c>
      <c r="H887" s="9" t="n">
        <v>46208</v>
      </c>
      <c r="I887" s="9" t="n">
        <v>46209</v>
      </c>
      <c r="J887" s="7" t="n">
        <v>7.5</v>
      </c>
      <c r="K887" s="7" t="s">
        <v>1015</v>
      </c>
      <c r="L887" s="7" t="s">
        <v>20</v>
      </c>
      <c r="M887" s="7" t="s">
        <v>1130</v>
      </c>
      <c r="N887" s="7" t="s">
        <v>53</v>
      </c>
      <c r="O887" s="10" t="n">
        <f aca="false">'Exec Summary'!$E$2-H887</f>
        <v>26</v>
      </c>
      <c r="P887" s="10" t="n">
        <f aca="false">IF(I887="","",I887-H887)</f>
        <v>1</v>
      </c>
      <c r="Q887" s="10" t="n">
        <f aca="false">VLOOKUP(G887,$AA$2:$AB$5,2,FALSE())</f>
        <v>30</v>
      </c>
      <c r="R887" s="7" t="n">
        <f aca="false">IF(OR(F887="Open",F887="Reopened"),1,0)</f>
        <v>0</v>
      </c>
      <c r="S887" s="7" t="n">
        <f aca="false">IF(AND(H887&gt;='Exec Summary'!$E$1,H887&lt;='Exec Summary'!$E$2),1,0)</f>
        <v>1</v>
      </c>
      <c r="T887" s="7" t="n">
        <f aca="false">IF(AND(F887="Closed",I887&lt;&gt;"",I887&gt;='Exec Summary'!$E$1,I887&lt;='Exec Summary'!$E$2),1,0)</f>
        <v>1</v>
      </c>
      <c r="U887" s="7" t="n">
        <f aca="false">IF(F887="Reopened",1,0)</f>
        <v>0</v>
      </c>
      <c r="V887" s="7" t="n">
        <f aca="false">IF(AND(R887=1,O887&gt;Q887),1,0)</f>
        <v>0</v>
      </c>
      <c r="W887" s="7" t="n">
        <f aca="false">IF(AND(T887=1,P887&lt;&gt;"",P887&lt;=Q887),1,0)</f>
        <v>1</v>
      </c>
    </row>
    <row r="888" customFormat="false" ht="15" hidden="false" customHeight="false" outlineLevel="0" collapsed="false">
      <c r="A888" s="7" t="s">
        <v>1128</v>
      </c>
      <c r="B888" s="7" t="s">
        <v>46</v>
      </c>
      <c r="C888" s="7" t="s">
        <v>79</v>
      </c>
      <c r="D888" s="7" t="s">
        <v>59</v>
      </c>
      <c r="E888" s="7" t="s">
        <v>60</v>
      </c>
      <c r="F888" s="7" t="s">
        <v>50</v>
      </c>
      <c r="G888" s="7" t="s">
        <v>19</v>
      </c>
      <c r="H888" s="9" t="n">
        <v>46205</v>
      </c>
      <c r="I888" s="9" t="n">
        <v>46224</v>
      </c>
      <c r="J888" s="7" t="n">
        <v>7.8</v>
      </c>
      <c r="K888" s="7" t="s">
        <v>1015</v>
      </c>
      <c r="L888" s="7" t="s">
        <v>20</v>
      </c>
      <c r="M888" s="7" t="s">
        <v>1131</v>
      </c>
      <c r="N888" s="7" t="s">
        <v>58</v>
      </c>
      <c r="O888" s="10" t="n">
        <f aca="false">'Exec Summary'!$E$2-H888</f>
        <v>29</v>
      </c>
      <c r="P888" s="10" t="n">
        <f aca="false">IF(I888="","",I888-H888)</f>
        <v>19</v>
      </c>
      <c r="Q888" s="10" t="n">
        <f aca="false">VLOOKUP(G888,$AA$2:$AB$5,2,FALSE())</f>
        <v>15</v>
      </c>
      <c r="R888" s="7" t="n">
        <f aca="false">IF(OR(F888="Open",F888="Reopened"),1,0)</f>
        <v>0</v>
      </c>
      <c r="S888" s="7" t="n">
        <f aca="false">IF(AND(H888&gt;='Exec Summary'!$E$1,H888&lt;='Exec Summary'!$E$2),1,0)</f>
        <v>1</v>
      </c>
      <c r="T888" s="7" t="n">
        <f aca="false">IF(AND(F888="Closed",I888&lt;&gt;"",I888&gt;='Exec Summary'!$E$1,I888&lt;='Exec Summary'!$E$2),1,0)</f>
        <v>1</v>
      </c>
      <c r="U888" s="7" t="n">
        <f aca="false">IF(F888="Reopened",1,0)</f>
        <v>0</v>
      </c>
      <c r="V888" s="7" t="n">
        <f aca="false">IF(AND(R888=1,O888&gt;Q888),1,0)</f>
        <v>0</v>
      </c>
      <c r="W888" s="7" t="n">
        <f aca="false">IF(AND(T888=1,P888&lt;&gt;"",P888&lt;=Q888),1,0)</f>
        <v>0</v>
      </c>
    </row>
    <row r="889" customFormat="false" ht="15" hidden="false" customHeight="false" outlineLevel="0" collapsed="false">
      <c r="A889" s="7" t="s">
        <v>1128</v>
      </c>
      <c r="B889" s="7" t="s">
        <v>46</v>
      </c>
      <c r="C889" s="7" t="s">
        <v>79</v>
      </c>
      <c r="D889" s="7" t="s">
        <v>104</v>
      </c>
      <c r="E889" s="7" t="s">
        <v>105</v>
      </c>
      <c r="F889" s="7" t="s">
        <v>50</v>
      </c>
      <c r="G889" s="7" t="s">
        <v>19</v>
      </c>
      <c r="H889" s="9" t="n">
        <v>46133</v>
      </c>
      <c r="I889" s="9" t="n">
        <v>46143</v>
      </c>
      <c r="J889" s="7" t="n">
        <v>9.8</v>
      </c>
      <c r="K889" s="7" t="s">
        <v>1015</v>
      </c>
      <c r="L889" s="7" t="s">
        <v>20</v>
      </c>
      <c r="M889" s="7" t="s">
        <v>1132</v>
      </c>
      <c r="N889" s="7" t="s">
        <v>58</v>
      </c>
      <c r="O889" s="10" t="n">
        <f aca="false">'Exec Summary'!$E$2-H889</f>
        <v>101</v>
      </c>
      <c r="P889" s="10" t="n">
        <f aca="false">IF(I889="","",I889-H889)</f>
        <v>10</v>
      </c>
      <c r="Q889" s="10" t="n">
        <f aca="false">VLOOKUP(G889,$AA$2:$AB$5,2,FALSE())</f>
        <v>15</v>
      </c>
      <c r="R889" s="7" t="n">
        <f aca="false">IF(OR(F889="Open",F889="Reopened"),1,0)</f>
        <v>0</v>
      </c>
      <c r="S889" s="7" t="n">
        <f aca="false">IF(AND(H889&gt;='Exec Summary'!$E$1,H889&lt;='Exec Summary'!$E$2),1,0)</f>
        <v>0</v>
      </c>
      <c r="T889" s="7" t="n">
        <f aca="false">IF(AND(F889="Closed",I889&lt;&gt;"",I889&gt;='Exec Summary'!$E$1,I889&lt;='Exec Summary'!$E$2),1,0)</f>
        <v>0</v>
      </c>
      <c r="U889" s="7" t="n">
        <f aca="false">IF(F889="Reopened",1,0)</f>
        <v>0</v>
      </c>
      <c r="V889" s="7" t="n">
        <f aca="false">IF(AND(R889=1,O889&gt;Q889),1,0)</f>
        <v>0</v>
      </c>
      <c r="W889" s="7" t="n">
        <f aca="false">IF(AND(T889=1,P889&lt;&gt;"",P889&lt;=Q889),1,0)</f>
        <v>0</v>
      </c>
    </row>
    <row r="890" customFormat="false" ht="15" hidden="false" customHeight="false" outlineLevel="0" collapsed="false">
      <c r="A890" s="7" t="s">
        <v>1128</v>
      </c>
      <c r="B890" s="7" t="s">
        <v>46</v>
      </c>
      <c r="C890" s="7" t="s">
        <v>79</v>
      </c>
      <c r="D890" s="7" t="s">
        <v>210</v>
      </c>
      <c r="E890" s="7" t="s">
        <v>211</v>
      </c>
      <c r="F890" s="7" t="s">
        <v>56</v>
      </c>
      <c r="G890" s="7" t="s">
        <v>19</v>
      </c>
      <c r="H890" s="9" t="n">
        <v>45955</v>
      </c>
      <c r="I890" s="9"/>
      <c r="J890" s="7" t="n">
        <v>9.8</v>
      </c>
      <c r="K890" s="7" t="s">
        <v>1015</v>
      </c>
      <c r="L890" s="7" t="s">
        <v>20</v>
      </c>
      <c r="M890" s="7" t="s">
        <v>1133</v>
      </c>
      <c r="N890" s="7" t="s">
        <v>58</v>
      </c>
      <c r="O890" s="10" t="n">
        <f aca="false">'Exec Summary'!$E$2-H890</f>
        <v>279</v>
      </c>
      <c r="P890" s="10" t="str">
        <f aca="false">IF(I890="","",I890-H890)</f>
        <v/>
      </c>
      <c r="Q890" s="10" t="n">
        <f aca="false">VLOOKUP(G890,$AA$2:$AB$5,2,FALSE())</f>
        <v>15</v>
      </c>
      <c r="R890" s="7" t="n">
        <f aca="false">IF(OR(F890="Open",F890="Reopened"),1,0)</f>
        <v>1</v>
      </c>
      <c r="S890" s="7" t="n">
        <f aca="false">IF(AND(H890&gt;='Exec Summary'!$E$1,H890&lt;='Exec Summary'!$E$2),1,0)</f>
        <v>0</v>
      </c>
      <c r="T890" s="7" t="n">
        <f aca="false">IF(AND(F890="Closed",I890&lt;&gt;"",I890&gt;='Exec Summary'!$E$1,I890&lt;='Exec Summary'!$E$2),1,0)</f>
        <v>0</v>
      </c>
      <c r="U890" s="7" t="n">
        <f aca="false">IF(F890="Reopened",1,0)</f>
        <v>0</v>
      </c>
      <c r="V890" s="7" t="n">
        <f aca="false">IF(AND(R890=1,O890&gt;Q890),1,0)</f>
        <v>1</v>
      </c>
      <c r="W890" s="7" t="n">
        <f aca="false">IF(AND(T890=1,P890&lt;&gt;"",P890&lt;=Q890),1,0)</f>
        <v>0</v>
      </c>
    </row>
    <row r="891" customFormat="false" ht="15" hidden="false" customHeight="false" outlineLevel="0" collapsed="false">
      <c r="A891" s="7" t="s">
        <v>1128</v>
      </c>
      <c r="B891" s="7" t="s">
        <v>46</v>
      </c>
      <c r="C891" s="7" t="s">
        <v>79</v>
      </c>
      <c r="D891" s="7" t="s">
        <v>74</v>
      </c>
      <c r="E891" s="7" t="s">
        <v>75</v>
      </c>
      <c r="F891" s="7" t="s">
        <v>56</v>
      </c>
      <c r="G891" s="7" t="s">
        <v>21</v>
      </c>
      <c r="H891" s="9" t="n">
        <v>46191</v>
      </c>
      <c r="I891" s="9"/>
      <c r="J891" s="7" t="n">
        <v>6.5</v>
      </c>
      <c r="K891" s="7" t="s">
        <v>1015</v>
      </c>
      <c r="L891" s="7" t="s">
        <v>20</v>
      </c>
      <c r="M891" s="7" t="s">
        <v>1134</v>
      </c>
      <c r="N891" s="7" t="s">
        <v>77</v>
      </c>
      <c r="O891" s="10" t="n">
        <f aca="false">'Exec Summary'!$E$2-H891</f>
        <v>43</v>
      </c>
      <c r="P891" s="10" t="str">
        <f aca="false">IF(I891="","",I891-H891)</f>
        <v/>
      </c>
      <c r="Q891" s="10" t="n">
        <f aca="false">VLOOKUP(G891,$AA$2:$AB$5,2,FALSE())</f>
        <v>90</v>
      </c>
      <c r="R891" s="7" t="n">
        <f aca="false">IF(OR(F891="Open",F891="Reopened"),1,0)</f>
        <v>1</v>
      </c>
      <c r="S891" s="7" t="n">
        <f aca="false">IF(AND(H891&gt;='Exec Summary'!$E$1,H891&lt;='Exec Summary'!$E$2),1,0)</f>
        <v>0</v>
      </c>
      <c r="T891" s="7" t="n">
        <f aca="false">IF(AND(F891="Closed",I891&lt;&gt;"",I891&gt;='Exec Summary'!$E$1,I891&lt;='Exec Summary'!$E$2),1,0)</f>
        <v>0</v>
      </c>
      <c r="U891" s="7" t="n">
        <f aca="false">IF(F891="Reopened",1,0)</f>
        <v>0</v>
      </c>
      <c r="V891" s="7" t="n">
        <f aca="false">IF(AND(R891=1,O891&gt;Q891),1,0)</f>
        <v>0</v>
      </c>
      <c r="W891" s="7" t="n">
        <f aca="false">IF(AND(T891=1,P891&lt;&gt;"",P891&lt;=Q891),1,0)</f>
        <v>0</v>
      </c>
    </row>
    <row r="892" customFormat="false" ht="15" hidden="false" customHeight="false" outlineLevel="0" collapsed="false">
      <c r="A892" s="7" t="s">
        <v>1128</v>
      </c>
      <c r="B892" s="7" t="s">
        <v>46</v>
      </c>
      <c r="C892" s="7" t="s">
        <v>79</v>
      </c>
      <c r="D892" s="7" t="s">
        <v>68</v>
      </c>
      <c r="E892" s="7" t="s">
        <v>69</v>
      </c>
      <c r="F892" s="7" t="s">
        <v>56</v>
      </c>
      <c r="G892" s="7" t="s">
        <v>19</v>
      </c>
      <c r="H892" s="9" t="n">
        <v>46160</v>
      </c>
      <c r="I892" s="9"/>
      <c r="J892" s="7" t="n">
        <v>9.8</v>
      </c>
      <c r="K892" s="7" t="s">
        <v>1015</v>
      </c>
      <c r="L892" s="7" t="s">
        <v>20</v>
      </c>
      <c r="M892" s="7" t="s">
        <v>1135</v>
      </c>
      <c r="N892" s="7" t="s">
        <v>58</v>
      </c>
      <c r="O892" s="10" t="n">
        <f aca="false">'Exec Summary'!$E$2-H892</f>
        <v>74</v>
      </c>
      <c r="P892" s="10" t="str">
        <f aca="false">IF(I892="","",I892-H892)</f>
        <v/>
      </c>
      <c r="Q892" s="10" t="n">
        <f aca="false">VLOOKUP(G892,$AA$2:$AB$5,2,FALSE())</f>
        <v>15</v>
      </c>
      <c r="R892" s="7" t="n">
        <f aca="false">IF(OR(F892="Open",F892="Reopened"),1,0)</f>
        <v>1</v>
      </c>
      <c r="S892" s="7" t="n">
        <f aca="false">IF(AND(H892&gt;='Exec Summary'!$E$1,H892&lt;='Exec Summary'!$E$2),1,0)</f>
        <v>0</v>
      </c>
      <c r="T892" s="7" t="n">
        <f aca="false">IF(AND(F892="Closed",I892&lt;&gt;"",I892&gt;='Exec Summary'!$E$1,I892&lt;='Exec Summary'!$E$2),1,0)</f>
        <v>0</v>
      </c>
      <c r="U892" s="7" t="n">
        <f aca="false">IF(F892="Reopened",1,0)</f>
        <v>0</v>
      </c>
      <c r="V892" s="7" t="n">
        <f aca="false">IF(AND(R892=1,O892&gt;Q892),1,0)</f>
        <v>1</v>
      </c>
      <c r="W892" s="7" t="n">
        <f aca="false">IF(AND(T892=1,P892&lt;&gt;"",P892&lt;=Q892),1,0)</f>
        <v>0</v>
      </c>
    </row>
    <row r="893" customFormat="false" ht="15" hidden="false" customHeight="false" outlineLevel="0" collapsed="false">
      <c r="A893" s="7" t="s">
        <v>1128</v>
      </c>
      <c r="B893" s="7" t="s">
        <v>46</v>
      </c>
      <c r="C893" s="7" t="s">
        <v>79</v>
      </c>
      <c r="D893" s="7" t="s">
        <v>131</v>
      </c>
      <c r="E893" s="7" t="s">
        <v>132</v>
      </c>
      <c r="F893" s="7" t="s">
        <v>56</v>
      </c>
      <c r="G893" s="7" t="s">
        <v>19</v>
      </c>
      <c r="H893" s="9" t="n">
        <v>46059</v>
      </c>
      <c r="I893" s="9"/>
      <c r="J893" s="7" t="n">
        <v>9.8</v>
      </c>
      <c r="K893" s="7" t="s">
        <v>1015</v>
      </c>
      <c r="L893" s="7" t="s">
        <v>20</v>
      </c>
      <c r="M893" s="7" t="s">
        <v>1136</v>
      </c>
      <c r="N893" s="7" t="s">
        <v>58</v>
      </c>
      <c r="O893" s="10" t="n">
        <f aca="false">'Exec Summary'!$E$2-H893</f>
        <v>175</v>
      </c>
      <c r="P893" s="10" t="str">
        <f aca="false">IF(I893="","",I893-H893)</f>
        <v/>
      </c>
      <c r="Q893" s="10" t="n">
        <f aca="false">VLOOKUP(G893,$AA$2:$AB$5,2,FALSE())</f>
        <v>15</v>
      </c>
      <c r="R893" s="7" t="n">
        <f aca="false">IF(OR(F893="Open",F893="Reopened"),1,0)</f>
        <v>1</v>
      </c>
      <c r="S893" s="7" t="n">
        <f aca="false">IF(AND(H893&gt;='Exec Summary'!$E$1,H893&lt;='Exec Summary'!$E$2),1,0)</f>
        <v>0</v>
      </c>
      <c r="T893" s="7" t="n">
        <f aca="false">IF(AND(F893="Closed",I893&lt;&gt;"",I893&gt;='Exec Summary'!$E$1,I893&lt;='Exec Summary'!$E$2),1,0)</f>
        <v>0</v>
      </c>
      <c r="U893" s="7" t="n">
        <f aca="false">IF(F893="Reopened",1,0)</f>
        <v>0</v>
      </c>
      <c r="V893" s="7" t="n">
        <f aca="false">IF(AND(R893=1,O893&gt;Q893),1,0)</f>
        <v>1</v>
      </c>
      <c r="W893" s="7" t="n">
        <f aca="false">IF(AND(T893=1,P893&lt;&gt;"",P893&lt;=Q893),1,0)</f>
        <v>0</v>
      </c>
    </row>
    <row r="894" customFormat="false" ht="15" hidden="false" customHeight="false" outlineLevel="0" collapsed="false">
      <c r="A894" s="7" t="s">
        <v>1128</v>
      </c>
      <c r="B894" s="7" t="s">
        <v>46</v>
      </c>
      <c r="C894" s="7" t="s">
        <v>79</v>
      </c>
      <c r="D894" s="7" t="s">
        <v>152</v>
      </c>
      <c r="E894" s="7" t="s">
        <v>153</v>
      </c>
      <c r="F894" s="7" t="s">
        <v>56</v>
      </c>
      <c r="G894" s="7" t="s">
        <v>20</v>
      </c>
      <c r="H894" s="9" t="n">
        <v>46101</v>
      </c>
      <c r="I894" s="9"/>
      <c r="J894" s="7" t="n">
        <v>7.5</v>
      </c>
      <c r="K894" s="7" t="s">
        <v>1015</v>
      </c>
      <c r="L894" s="7" t="s">
        <v>20</v>
      </c>
      <c r="M894" s="7" t="s">
        <v>1137</v>
      </c>
      <c r="N894" s="7" t="s">
        <v>53</v>
      </c>
      <c r="O894" s="10" t="n">
        <f aca="false">'Exec Summary'!$E$2-H894</f>
        <v>133</v>
      </c>
      <c r="P894" s="10" t="str">
        <f aca="false">IF(I894="","",I894-H894)</f>
        <v/>
      </c>
      <c r="Q894" s="10" t="n">
        <f aca="false">VLOOKUP(G894,$AA$2:$AB$5,2,FALSE())</f>
        <v>30</v>
      </c>
      <c r="R894" s="7" t="n">
        <f aca="false">IF(OR(F894="Open",F894="Reopened"),1,0)</f>
        <v>1</v>
      </c>
      <c r="S894" s="7" t="n">
        <f aca="false">IF(AND(H894&gt;='Exec Summary'!$E$1,H894&lt;='Exec Summary'!$E$2),1,0)</f>
        <v>0</v>
      </c>
      <c r="T894" s="7" t="n">
        <f aca="false">IF(AND(F894="Closed",I894&lt;&gt;"",I894&gt;='Exec Summary'!$E$1,I894&lt;='Exec Summary'!$E$2),1,0)</f>
        <v>0</v>
      </c>
      <c r="U894" s="7" t="n">
        <f aca="false">IF(F894="Reopened",1,0)</f>
        <v>0</v>
      </c>
      <c r="V894" s="7" t="n">
        <f aca="false">IF(AND(R894=1,O894&gt;Q894),1,0)</f>
        <v>1</v>
      </c>
      <c r="W894" s="7" t="n">
        <f aca="false">IF(AND(T894=1,P894&lt;&gt;"",P894&lt;=Q894),1,0)</f>
        <v>0</v>
      </c>
    </row>
    <row r="895" customFormat="false" ht="15" hidden="false" customHeight="false" outlineLevel="0" collapsed="false">
      <c r="A895" s="7" t="s">
        <v>1128</v>
      </c>
      <c r="B895" s="7" t="s">
        <v>46</v>
      </c>
      <c r="C895" s="7" t="s">
        <v>79</v>
      </c>
      <c r="D895" s="7" t="s">
        <v>120</v>
      </c>
      <c r="E895" s="7" t="s">
        <v>121</v>
      </c>
      <c r="F895" s="7" t="s">
        <v>50</v>
      </c>
      <c r="G895" s="7" t="s">
        <v>19</v>
      </c>
      <c r="H895" s="9" t="n">
        <v>46139</v>
      </c>
      <c r="I895" s="9" t="n">
        <v>46153</v>
      </c>
      <c r="J895" s="7" t="n">
        <v>8.8</v>
      </c>
      <c r="K895" s="7" t="s">
        <v>1015</v>
      </c>
      <c r="L895" s="7" t="s">
        <v>20</v>
      </c>
      <c r="M895" s="7" t="s">
        <v>1138</v>
      </c>
      <c r="N895" s="7" t="s">
        <v>58</v>
      </c>
      <c r="O895" s="10" t="n">
        <f aca="false">'Exec Summary'!$E$2-H895</f>
        <v>95</v>
      </c>
      <c r="P895" s="10" t="n">
        <f aca="false">IF(I895="","",I895-H895)</f>
        <v>14</v>
      </c>
      <c r="Q895" s="10" t="n">
        <f aca="false">VLOOKUP(G895,$AA$2:$AB$5,2,FALSE())</f>
        <v>15</v>
      </c>
      <c r="R895" s="7" t="n">
        <f aca="false">IF(OR(F895="Open",F895="Reopened"),1,0)</f>
        <v>0</v>
      </c>
      <c r="S895" s="7" t="n">
        <f aca="false">IF(AND(H895&gt;='Exec Summary'!$E$1,H895&lt;='Exec Summary'!$E$2),1,0)</f>
        <v>0</v>
      </c>
      <c r="T895" s="7" t="n">
        <f aca="false">IF(AND(F895="Closed",I895&lt;&gt;"",I895&gt;='Exec Summary'!$E$1,I895&lt;='Exec Summary'!$E$2),1,0)</f>
        <v>0</v>
      </c>
      <c r="U895" s="7" t="n">
        <f aca="false">IF(F895="Reopened",1,0)</f>
        <v>0</v>
      </c>
      <c r="V895" s="7" t="n">
        <f aca="false">IF(AND(R895=1,O895&gt;Q895),1,0)</f>
        <v>0</v>
      </c>
      <c r="W895" s="7" t="n">
        <f aca="false">IF(AND(T895=1,P895&lt;&gt;"",P895&lt;=Q895),1,0)</f>
        <v>0</v>
      </c>
    </row>
    <row r="896" customFormat="false" ht="15" hidden="false" customHeight="false" outlineLevel="0" collapsed="false">
      <c r="A896" s="7" t="s">
        <v>1128</v>
      </c>
      <c r="B896" s="7" t="s">
        <v>46</v>
      </c>
      <c r="C896" s="7" t="s">
        <v>79</v>
      </c>
      <c r="D896" s="7" t="s">
        <v>166</v>
      </c>
      <c r="E896" s="7" t="s">
        <v>167</v>
      </c>
      <c r="F896" s="7" t="s">
        <v>56</v>
      </c>
      <c r="G896" s="7" t="s">
        <v>19</v>
      </c>
      <c r="H896" s="9" t="n">
        <v>45994</v>
      </c>
      <c r="I896" s="9"/>
      <c r="J896" s="7" t="n">
        <v>9.8</v>
      </c>
      <c r="K896" s="7" t="s">
        <v>1015</v>
      </c>
      <c r="L896" s="7" t="s">
        <v>20</v>
      </c>
      <c r="M896" s="7" t="s">
        <v>1139</v>
      </c>
      <c r="N896" s="7" t="s">
        <v>58</v>
      </c>
      <c r="O896" s="10" t="n">
        <f aca="false">'Exec Summary'!$E$2-H896</f>
        <v>240</v>
      </c>
      <c r="P896" s="10" t="str">
        <f aca="false">IF(I896="","",I896-H896)</f>
        <v/>
      </c>
      <c r="Q896" s="10" t="n">
        <f aca="false">VLOOKUP(G896,$AA$2:$AB$5,2,FALSE())</f>
        <v>15</v>
      </c>
      <c r="R896" s="7" t="n">
        <f aca="false">IF(OR(F896="Open",F896="Reopened"),1,0)</f>
        <v>1</v>
      </c>
      <c r="S896" s="7" t="n">
        <f aca="false">IF(AND(H896&gt;='Exec Summary'!$E$1,H896&lt;='Exec Summary'!$E$2),1,0)</f>
        <v>0</v>
      </c>
      <c r="T896" s="7" t="n">
        <f aca="false">IF(AND(F896="Closed",I896&lt;&gt;"",I896&gt;='Exec Summary'!$E$1,I896&lt;='Exec Summary'!$E$2),1,0)</f>
        <v>0</v>
      </c>
      <c r="U896" s="7" t="n">
        <f aca="false">IF(F896="Reopened",1,0)</f>
        <v>0</v>
      </c>
      <c r="V896" s="7" t="n">
        <f aca="false">IF(AND(R896=1,O896&gt;Q896),1,0)</f>
        <v>1</v>
      </c>
      <c r="W896" s="7" t="n">
        <f aca="false">IF(AND(T896=1,P896&lt;&gt;"",P896&lt;=Q896),1,0)</f>
        <v>0</v>
      </c>
    </row>
    <row r="897" customFormat="false" ht="15" hidden="false" customHeight="false" outlineLevel="0" collapsed="false">
      <c r="A897" s="7" t="s">
        <v>1128</v>
      </c>
      <c r="B897" s="7" t="s">
        <v>46</v>
      </c>
      <c r="C897" s="7" t="s">
        <v>79</v>
      </c>
      <c r="D897" s="7" t="s">
        <v>87</v>
      </c>
      <c r="E897" s="7" t="s">
        <v>88</v>
      </c>
      <c r="F897" s="7" t="s">
        <v>50</v>
      </c>
      <c r="G897" s="7" t="s">
        <v>19</v>
      </c>
      <c r="H897" s="9" t="n">
        <v>46045</v>
      </c>
      <c r="I897" s="9" t="n">
        <v>46060</v>
      </c>
      <c r="J897" s="7" t="n">
        <v>10</v>
      </c>
      <c r="K897" s="7" t="s">
        <v>1015</v>
      </c>
      <c r="L897" s="7" t="s">
        <v>20</v>
      </c>
      <c r="M897" s="7" t="s">
        <v>1140</v>
      </c>
      <c r="N897" s="7" t="s">
        <v>58</v>
      </c>
      <c r="O897" s="10" t="n">
        <f aca="false">'Exec Summary'!$E$2-H897</f>
        <v>189</v>
      </c>
      <c r="P897" s="10" t="n">
        <f aca="false">IF(I897="","",I897-H897)</f>
        <v>15</v>
      </c>
      <c r="Q897" s="10" t="n">
        <f aca="false">VLOOKUP(G897,$AA$2:$AB$5,2,FALSE())</f>
        <v>15</v>
      </c>
      <c r="R897" s="7" t="n">
        <f aca="false">IF(OR(F897="Open",F897="Reopened"),1,0)</f>
        <v>0</v>
      </c>
      <c r="S897" s="7" t="n">
        <f aca="false">IF(AND(H897&gt;='Exec Summary'!$E$1,H897&lt;='Exec Summary'!$E$2),1,0)</f>
        <v>0</v>
      </c>
      <c r="T897" s="7" t="n">
        <f aca="false">IF(AND(F897="Closed",I897&lt;&gt;"",I897&gt;='Exec Summary'!$E$1,I897&lt;='Exec Summary'!$E$2),1,0)</f>
        <v>0</v>
      </c>
      <c r="U897" s="7" t="n">
        <f aca="false">IF(F897="Reopened",1,0)</f>
        <v>0</v>
      </c>
      <c r="V897" s="7" t="n">
        <f aca="false">IF(AND(R897=1,O897&gt;Q897),1,0)</f>
        <v>0</v>
      </c>
      <c r="W897" s="7" t="n">
        <f aca="false">IF(AND(T897=1,P897&lt;&gt;"",P897&lt;=Q897),1,0)</f>
        <v>0</v>
      </c>
    </row>
    <row r="898" customFormat="false" ht="15" hidden="false" customHeight="false" outlineLevel="0" collapsed="false">
      <c r="A898" s="7" t="s">
        <v>1128</v>
      </c>
      <c r="B898" s="7" t="s">
        <v>46</v>
      </c>
      <c r="C898" s="7" t="s">
        <v>79</v>
      </c>
      <c r="D898" s="7" t="s">
        <v>108</v>
      </c>
      <c r="E898" s="7" t="s">
        <v>109</v>
      </c>
      <c r="F898" s="7" t="s">
        <v>50</v>
      </c>
      <c r="G898" s="7" t="s">
        <v>20</v>
      </c>
      <c r="H898" s="9" t="n">
        <v>46008</v>
      </c>
      <c r="I898" s="9" t="n">
        <v>46047</v>
      </c>
      <c r="J898" s="7" t="n">
        <v>8.6</v>
      </c>
      <c r="K898" s="7" t="s">
        <v>1015</v>
      </c>
      <c r="L898" s="7" t="s">
        <v>20</v>
      </c>
      <c r="M898" s="7" t="s">
        <v>1141</v>
      </c>
      <c r="N898" s="7" t="s">
        <v>53</v>
      </c>
      <c r="O898" s="10" t="n">
        <f aca="false">'Exec Summary'!$E$2-H898</f>
        <v>226</v>
      </c>
      <c r="P898" s="10" t="n">
        <f aca="false">IF(I898="","",I898-H898)</f>
        <v>39</v>
      </c>
      <c r="Q898" s="10" t="n">
        <f aca="false">VLOOKUP(G898,$AA$2:$AB$5,2,FALSE())</f>
        <v>30</v>
      </c>
      <c r="R898" s="7" t="n">
        <f aca="false">IF(OR(F898="Open",F898="Reopened"),1,0)</f>
        <v>0</v>
      </c>
      <c r="S898" s="7" t="n">
        <f aca="false">IF(AND(H898&gt;='Exec Summary'!$E$1,H898&lt;='Exec Summary'!$E$2),1,0)</f>
        <v>0</v>
      </c>
      <c r="T898" s="7" t="n">
        <f aca="false">IF(AND(F898="Closed",I898&lt;&gt;"",I898&gt;='Exec Summary'!$E$1,I898&lt;='Exec Summary'!$E$2),1,0)</f>
        <v>0</v>
      </c>
      <c r="U898" s="7" t="n">
        <f aca="false">IF(F898="Reopened",1,0)</f>
        <v>0</v>
      </c>
      <c r="V898" s="7" t="n">
        <f aca="false">IF(AND(R898=1,O898&gt;Q898),1,0)</f>
        <v>0</v>
      </c>
      <c r="W898" s="7" t="n">
        <f aca="false">IF(AND(T898=1,P898&lt;&gt;"",P898&lt;=Q898),1,0)</f>
        <v>0</v>
      </c>
    </row>
    <row r="899" customFormat="false" ht="15" hidden="false" customHeight="false" outlineLevel="0" collapsed="false">
      <c r="A899" s="7" t="s">
        <v>1128</v>
      </c>
      <c r="B899" s="7" t="s">
        <v>46</v>
      </c>
      <c r="C899" s="7" t="s">
        <v>79</v>
      </c>
      <c r="D899" s="7" t="s">
        <v>173</v>
      </c>
      <c r="E899" s="7" t="s">
        <v>174</v>
      </c>
      <c r="F899" s="7" t="s">
        <v>56</v>
      </c>
      <c r="G899" s="7" t="s">
        <v>19</v>
      </c>
      <c r="H899" s="9" t="n">
        <v>46090</v>
      </c>
      <c r="I899" s="9"/>
      <c r="J899" s="7" t="n">
        <v>9.8</v>
      </c>
      <c r="K899" s="7" t="s">
        <v>1015</v>
      </c>
      <c r="L899" s="7" t="s">
        <v>20</v>
      </c>
      <c r="M899" s="7" t="s">
        <v>1142</v>
      </c>
      <c r="N899" s="7" t="s">
        <v>58</v>
      </c>
      <c r="O899" s="10" t="n">
        <f aca="false">'Exec Summary'!$E$2-H899</f>
        <v>144</v>
      </c>
      <c r="P899" s="10" t="str">
        <f aca="false">IF(I899="","",I899-H899)</f>
        <v/>
      </c>
      <c r="Q899" s="10" t="n">
        <f aca="false">VLOOKUP(G899,$AA$2:$AB$5,2,FALSE())</f>
        <v>15</v>
      </c>
      <c r="R899" s="7" t="n">
        <f aca="false">IF(OR(F899="Open",F899="Reopened"),1,0)</f>
        <v>1</v>
      </c>
      <c r="S899" s="7" t="n">
        <f aca="false">IF(AND(H899&gt;='Exec Summary'!$E$1,H899&lt;='Exec Summary'!$E$2),1,0)</f>
        <v>0</v>
      </c>
      <c r="T899" s="7" t="n">
        <f aca="false">IF(AND(F899="Closed",I899&lt;&gt;"",I899&gt;='Exec Summary'!$E$1,I899&lt;='Exec Summary'!$E$2),1,0)</f>
        <v>0</v>
      </c>
      <c r="U899" s="7" t="n">
        <f aca="false">IF(F899="Reopened",1,0)</f>
        <v>0</v>
      </c>
      <c r="V899" s="7" t="n">
        <f aca="false">IF(AND(R899=1,O899&gt;Q899),1,0)</f>
        <v>1</v>
      </c>
      <c r="W899" s="7" t="n">
        <f aca="false">IF(AND(T899=1,P899&lt;&gt;"",P899&lt;=Q899),1,0)</f>
        <v>0</v>
      </c>
    </row>
    <row r="900" customFormat="false" ht="15" hidden="false" customHeight="false" outlineLevel="0" collapsed="false">
      <c r="A900" s="7" t="s">
        <v>1143</v>
      </c>
      <c r="B900" s="7" t="s">
        <v>46</v>
      </c>
      <c r="C900" s="7" t="s">
        <v>79</v>
      </c>
      <c r="D900" s="7" t="s">
        <v>139</v>
      </c>
      <c r="E900" s="7" t="s">
        <v>140</v>
      </c>
      <c r="F900" s="7" t="s">
        <v>50</v>
      </c>
      <c r="G900" s="7" t="s">
        <v>19</v>
      </c>
      <c r="H900" s="9" t="n">
        <v>46076</v>
      </c>
      <c r="I900" s="9" t="n">
        <v>46077</v>
      </c>
      <c r="J900" s="7" t="n">
        <v>9.8</v>
      </c>
      <c r="K900" s="7" t="s">
        <v>1015</v>
      </c>
      <c r="L900" s="7" t="s">
        <v>20</v>
      </c>
      <c r="M900" s="7" t="s">
        <v>1144</v>
      </c>
      <c r="N900" s="7" t="s">
        <v>58</v>
      </c>
      <c r="O900" s="10" t="n">
        <f aca="false">'Exec Summary'!$E$2-H900</f>
        <v>158</v>
      </c>
      <c r="P900" s="10" t="n">
        <f aca="false">IF(I900="","",I900-H900)</f>
        <v>1</v>
      </c>
      <c r="Q900" s="10" t="n">
        <f aca="false">VLOOKUP(G900,$AA$2:$AB$5,2,FALSE())</f>
        <v>15</v>
      </c>
      <c r="R900" s="7" t="n">
        <f aca="false">IF(OR(F900="Open",F900="Reopened"),1,0)</f>
        <v>0</v>
      </c>
      <c r="S900" s="7" t="n">
        <f aca="false">IF(AND(H900&gt;='Exec Summary'!$E$1,H900&lt;='Exec Summary'!$E$2),1,0)</f>
        <v>0</v>
      </c>
      <c r="T900" s="7" t="n">
        <f aca="false">IF(AND(F900="Closed",I900&lt;&gt;"",I900&gt;='Exec Summary'!$E$1,I900&lt;='Exec Summary'!$E$2),1,0)</f>
        <v>0</v>
      </c>
      <c r="U900" s="7" t="n">
        <f aca="false">IF(F900="Reopened",1,0)</f>
        <v>0</v>
      </c>
      <c r="V900" s="7" t="n">
        <f aca="false">IF(AND(R900=1,O900&gt;Q900),1,0)</f>
        <v>0</v>
      </c>
      <c r="W900" s="7" t="n">
        <f aca="false">IF(AND(T900=1,P900&lt;&gt;"",P900&lt;=Q900),1,0)</f>
        <v>0</v>
      </c>
    </row>
    <row r="901" customFormat="false" ht="15" hidden="false" customHeight="false" outlineLevel="0" collapsed="false">
      <c r="A901" s="7" t="s">
        <v>1143</v>
      </c>
      <c r="B901" s="7" t="s">
        <v>46</v>
      </c>
      <c r="C901" s="7" t="s">
        <v>79</v>
      </c>
      <c r="D901" s="7" t="s">
        <v>108</v>
      </c>
      <c r="E901" s="7" t="s">
        <v>109</v>
      </c>
      <c r="F901" s="7" t="s">
        <v>56</v>
      </c>
      <c r="G901" s="7" t="s">
        <v>20</v>
      </c>
      <c r="H901" s="9" t="n">
        <v>45990</v>
      </c>
      <c r="I901" s="9"/>
      <c r="J901" s="7" t="n">
        <v>8.6</v>
      </c>
      <c r="K901" s="7" t="s">
        <v>1015</v>
      </c>
      <c r="L901" s="7" t="s">
        <v>20</v>
      </c>
      <c r="M901" s="7" t="s">
        <v>1145</v>
      </c>
      <c r="N901" s="7" t="s">
        <v>53</v>
      </c>
      <c r="O901" s="10" t="n">
        <f aca="false">'Exec Summary'!$E$2-H901</f>
        <v>244</v>
      </c>
      <c r="P901" s="10" t="str">
        <f aca="false">IF(I901="","",I901-H901)</f>
        <v/>
      </c>
      <c r="Q901" s="10" t="n">
        <f aca="false">VLOOKUP(G901,$AA$2:$AB$5,2,FALSE())</f>
        <v>30</v>
      </c>
      <c r="R901" s="7" t="n">
        <f aca="false">IF(OR(F901="Open",F901="Reopened"),1,0)</f>
        <v>1</v>
      </c>
      <c r="S901" s="7" t="n">
        <f aca="false">IF(AND(H901&gt;='Exec Summary'!$E$1,H901&lt;='Exec Summary'!$E$2),1,0)</f>
        <v>0</v>
      </c>
      <c r="T901" s="7" t="n">
        <f aca="false">IF(AND(F901="Closed",I901&lt;&gt;"",I901&gt;='Exec Summary'!$E$1,I901&lt;='Exec Summary'!$E$2),1,0)</f>
        <v>0</v>
      </c>
      <c r="U901" s="7" t="n">
        <f aca="false">IF(F901="Reopened",1,0)</f>
        <v>0</v>
      </c>
      <c r="V901" s="7" t="n">
        <f aca="false">IF(AND(R901=1,O901&gt;Q901),1,0)</f>
        <v>1</v>
      </c>
      <c r="W901" s="7" t="n">
        <f aca="false">IF(AND(T901=1,P901&lt;&gt;"",P901&lt;=Q901),1,0)</f>
        <v>0</v>
      </c>
    </row>
    <row r="902" customFormat="false" ht="15" hidden="false" customHeight="false" outlineLevel="0" collapsed="false">
      <c r="A902" s="7" t="s">
        <v>1143</v>
      </c>
      <c r="B902" s="7" t="s">
        <v>46</v>
      </c>
      <c r="C902" s="7" t="s">
        <v>79</v>
      </c>
      <c r="D902" s="7" t="s">
        <v>71</v>
      </c>
      <c r="E902" s="7" t="s">
        <v>72</v>
      </c>
      <c r="F902" s="7" t="s">
        <v>50</v>
      </c>
      <c r="G902" s="7" t="s">
        <v>19</v>
      </c>
      <c r="H902" s="9" t="n">
        <v>45963</v>
      </c>
      <c r="I902" s="9" t="n">
        <v>45972</v>
      </c>
      <c r="J902" s="7" t="n">
        <v>9.8</v>
      </c>
      <c r="K902" s="7" t="s">
        <v>1015</v>
      </c>
      <c r="L902" s="7" t="s">
        <v>20</v>
      </c>
      <c r="M902" s="7" t="s">
        <v>1146</v>
      </c>
      <c r="N902" s="7" t="s">
        <v>58</v>
      </c>
      <c r="O902" s="10" t="n">
        <f aca="false">'Exec Summary'!$E$2-H902</f>
        <v>271</v>
      </c>
      <c r="P902" s="10" t="n">
        <f aca="false">IF(I902="","",I902-H902)</f>
        <v>9</v>
      </c>
      <c r="Q902" s="10" t="n">
        <f aca="false">VLOOKUP(G902,$AA$2:$AB$5,2,FALSE())</f>
        <v>15</v>
      </c>
      <c r="R902" s="7" t="n">
        <f aca="false">IF(OR(F902="Open",F902="Reopened"),1,0)</f>
        <v>0</v>
      </c>
      <c r="S902" s="7" t="n">
        <f aca="false">IF(AND(H902&gt;='Exec Summary'!$E$1,H902&lt;='Exec Summary'!$E$2),1,0)</f>
        <v>0</v>
      </c>
      <c r="T902" s="7" t="n">
        <f aca="false">IF(AND(F902="Closed",I902&lt;&gt;"",I902&gt;='Exec Summary'!$E$1,I902&lt;='Exec Summary'!$E$2),1,0)</f>
        <v>0</v>
      </c>
      <c r="U902" s="7" t="n">
        <f aca="false">IF(F902="Reopened",1,0)</f>
        <v>0</v>
      </c>
      <c r="V902" s="7" t="n">
        <f aca="false">IF(AND(R902=1,O902&gt;Q902),1,0)</f>
        <v>0</v>
      </c>
      <c r="W902" s="7" t="n">
        <f aca="false">IF(AND(T902=1,P902&lt;&gt;"",P902&lt;=Q902),1,0)</f>
        <v>0</v>
      </c>
    </row>
    <row r="903" customFormat="false" ht="15" hidden="false" customHeight="false" outlineLevel="0" collapsed="false">
      <c r="A903" s="7" t="s">
        <v>1143</v>
      </c>
      <c r="B903" s="7" t="s">
        <v>46</v>
      </c>
      <c r="C903" s="7" t="s">
        <v>79</v>
      </c>
      <c r="D903" s="7" t="s">
        <v>152</v>
      </c>
      <c r="E903" s="7" t="s">
        <v>153</v>
      </c>
      <c r="F903" s="7" t="s">
        <v>56</v>
      </c>
      <c r="G903" s="7" t="s">
        <v>20</v>
      </c>
      <c r="H903" s="9" t="n">
        <v>45944</v>
      </c>
      <c r="I903" s="9"/>
      <c r="J903" s="7" t="n">
        <v>7.5</v>
      </c>
      <c r="K903" s="7" t="s">
        <v>1015</v>
      </c>
      <c r="L903" s="7" t="s">
        <v>20</v>
      </c>
      <c r="M903" s="7" t="s">
        <v>1147</v>
      </c>
      <c r="N903" s="7" t="s">
        <v>53</v>
      </c>
      <c r="O903" s="10" t="n">
        <f aca="false">'Exec Summary'!$E$2-H903</f>
        <v>290</v>
      </c>
      <c r="P903" s="10" t="str">
        <f aca="false">IF(I903="","",I903-H903)</f>
        <v/>
      </c>
      <c r="Q903" s="10" t="n">
        <f aca="false">VLOOKUP(G903,$AA$2:$AB$5,2,FALSE())</f>
        <v>30</v>
      </c>
      <c r="R903" s="7" t="n">
        <f aca="false">IF(OR(F903="Open",F903="Reopened"),1,0)</f>
        <v>1</v>
      </c>
      <c r="S903" s="7" t="n">
        <f aca="false">IF(AND(H903&gt;='Exec Summary'!$E$1,H903&lt;='Exec Summary'!$E$2),1,0)</f>
        <v>0</v>
      </c>
      <c r="T903" s="7" t="n">
        <f aca="false">IF(AND(F903="Closed",I903&lt;&gt;"",I903&gt;='Exec Summary'!$E$1,I903&lt;='Exec Summary'!$E$2),1,0)</f>
        <v>0</v>
      </c>
      <c r="U903" s="7" t="n">
        <f aca="false">IF(F903="Reopened",1,0)</f>
        <v>0</v>
      </c>
      <c r="V903" s="7" t="n">
        <f aca="false">IF(AND(R903=1,O903&gt;Q903),1,0)</f>
        <v>1</v>
      </c>
      <c r="W903" s="7" t="n">
        <f aca="false">IF(AND(T903=1,P903&lt;&gt;"",P903&lt;=Q903),1,0)</f>
        <v>0</v>
      </c>
    </row>
    <row r="904" customFormat="false" ht="15" hidden="false" customHeight="false" outlineLevel="0" collapsed="false">
      <c r="A904" s="7" t="s">
        <v>1143</v>
      </c>
      <c r="B904" s="7" t="s">
        <v>46</v>
      </c>
      <c r="C904" s="7" t="s">
        <v>79</v>
      </c>
      <c r="D904" s="7" t="s">
        <v>173</v>
      </c>
      <c r="E904" s="7" t="s">
        <v>174</v>
      </c>
      <c r="F904" s="7" t="s">
        <v>50</v>
      </c>
      <c r="G904" s="7" t="s">
        <v>19</v>
      </c>
      <c r="H904" s="9" t="n">
        <v>45935</v>
      </c>
      <c r="I904" s="9" t="n">
        <v>45943</v>
      </c>
      <c r="J904" s="7" t="n">
        <v>9.8</v>
      </c>
      <c r="K904" s="7" t="s">
        <v>1015</v>
      </c>
      <c r="L904" s="7" t="s">
        <v>20</v>
      </c>
      <c r="M904" s="7" t="s">
        <v>1148</v>
      </c>
      <c r="N904" s="7" t="s">
        <v>58</v>
      </c>
      <c r="O904" s="10" t="n">
        <f aca="false">'Exec Summary'!$E$2-H904</f>
        <v>299</v>
      </c>
      <c r="P904" s="10" t="n">
        <f aca="false">IF(I904="","",I904-H904)</f>
        <v>8</v>
      </c>
      <c r="Q904" s="10" t="n">
        <f aca="false">VLOOKUP(G904,$AA$2:$AB$5,2,FALSE())</f>
        <v>15</v>
      </c>
      <c r="R904" s="7" t="n">
        <f aca="false">IF(OR(F904="Open",F904="Reopened"),1,0)</f>
        <v>0</v>
      </c>
      <c r="S904" s="7" t="n">
        <f aca="false">IF(AND(H904&gt;='Exec Summary'!$E$1,H904&lt;='Exec Summary'!$E$2),1,0)</f>
        <v>0</v>
      </c>
      <c r="T904" s="7" t="n">
        <f aca="false">IF(AND(F904="Closed",I904&lt;&gt;"",I904&gt;='Exec Summary'!$E$1,I904&lt;='Exec Summary'!$E$2),1,0)</f>
        <v>0</v>
      </c>
      <c r="U904" s="7" t="n">
        <f aca="false">IF(F904="Reopened",1,0)</f>
        <v>0</v>
      </c>
      <c r="V904" s="7" t="n">
        <f aca="false">IF(AND(R904=1,O904&gt;Q904),1,0)</f>
        <v>0</v>
      </c>
      <c r="W904" s="7" t="n">
        <f aca="false">IF(AND(T904=1,P904&lt;&gt;"",P904&lt;=Q904),1,0)</f>
        <v>0</v>
      </c>
    </row>
    <row r="905" customFormat="false" ht="15" hidden="false" customHeight="false" outlineLevel="0" collapsed="false">
      <c r="A905" s="7" t="s">
        <v>1143</v>
      </c>
      <c r="B905" s="7" t="s">
        <v>46</v>
      </c>
      <c r="C905" s="7" t="s">
        <v>79</v>
      </c>
      <c r="D905" s="7" t="s">
        <v>131</v>
      </c>
      <c r="E905" s="7" t="s">
        <v>132</v>
      </c>
      <c r="F905" s="7" t="s">
        <v>50</v>
      </c>
      <c r="G905" s="7" t="s">
        <v>19</v>
      </c>
      <c r="H905" s="9" t="n">
        <v>46033</v>
      </c>
      <c r="I905" s="9" t="n">
        <v>46047</v>
      </c>
      <c r="J905" s="7" t="n">
        <v>9.8</v>
      </c>
      <c r="K905" s="7" t="s">
        <v>1015</v>
      </c>
      <c r="L905" s="7" t="s">
        <v>20</v>
      </c>
      <c r="M905" s="7" t="s">
        <v>1149</v>
      </c>
      <c r="N905" s="7" t="s">
        <v>58</v>
      </c>
      <c r="O905" s="10" t="n">
        <f aca="false">'Exec Summary'!$E$2-H905</f>
        <v>201</v>
      </c>
      <c r="P905" s="10" t="n">
        <f aca="false">IF(I905="","",I905-H905)</f>
        <v>14</v>
      </c>
      <c r="Q905" s="10" t="n">
        <f aca="false">VLOOKUP(G905,$AA$2:$AB$5,2,FALSE())</f>
        <v>15</v>
      </c>
      <c r="R905" s="7" t="n">
        <f aca="false">IF(OR(F905="Open",F905="Reopened"),1,0)</f>
        <v>0</v>
      </c>
      <c r="S905" s="7" t="n">
        <f aca="false">IF(AND(H905&gt;='Exec Summary'!$E$1,H905&lt;='Exec Summary'!$E$2),1,0)</f>
        <v>0</v>
      </c>
      <c r="T905" s="7" t="n">
        <f aca="false">IF(AND(F905="Closed",I905&lt;&gt;"",I905&gt;='Exec Summary'!$E$1,I905&lt;='Exec Summary'!$E$2),1,0)</f>
        <v>0</v>
      </c>
      <c r="U905" s="7" t="n">
        <f aca="false">IF(F905="Reopened",1,0)</f>
        <v>0</v>
      </c>
      <c r="V905" s="7" t="n">
        <f aca="false">IF(AND(R905=1,O905&gt;Q905),1,0)</f>
        <v>0</v>
      </c>
      <c r="W905" s="7" t="n">
        <f aca="false">IF(AND(T905=1,P905&lt;&gt;"",P905&lt;=Q905),1,0)</f>
        <v>0</v>
      </c>
    </row>
    <row r="906" customFormat="false" ht="15" hidden="false" customHeight="false" outlineLevel="0" collapsed="false">
      <c r="A906" s="7" t="s">
        <v>1143</v>
      </c>
      <c r="B906" s="7" t="s">
        <v>46</v>
      </c>
      <c r="C906" s="7" t="s">
        <v>79</v>
      </c>
      <c r="D906" s="7" t="s">
        <v>84</v>
      </c>
      <c r="E906" s="7" t="s">
        <v>85</v>
      </c>
      <c r="F906" s="7" t="s">
        <v>50</v>
      </c>
      <c r="G906" s="7" t="s">
        <v>20</v>
      </c>
      <c r="H906" s="9" t="n">
        <v>45935</v>
      </c>
      <c r="I906" s="9" t="n">
        <v>45981</v>
      </c>
      <c r="J906" s="7" t="n">
        <v>7.5</v>
      </c>
      <c r="K906" s="7" t="s">
        <v>1015</v>
      </c>
      <c r="L906" s="7" t="s">
        <v>20</v>
      </c>
      <c r="M906" s="7" t="s">
        <v>1150</v>
      </c>
      <c r="N906" s="7" t="s">
        <v>53</v>
      </c>
      <c r="O906" s="10" t="n">
        <f aca="false">'Exec Summary'!$E$2-H906</f>
        <v>299</v>
      </c>
      <c r="P906" s="10" t="n">
        <f aca="false">IF(I906="","",I906-H906)</f>
        <v>46</v>
      </c>
      <c r="Q906" s="10" t="n">
        <f aca="false">VLOOKUP(G906,$AA$2:$AB$5,2,FALSE())</f>
        <v>30</v>
      </c>
      <c r="R906" s="7" t="n">
        <f aca="false">IF(OR(F906="Open",F906="Reopened"),1,0)</f>
        <v>0</v>
      </c>
      <c r="S906" s="7" t="n">
        <f aca="false">IF(AND(H906&gt;='Exec Summary'!$E$1,H906&lt;='Exec Summary'!$E$2),1,0)</f>
        <v>0</v>
      </c>
      <c r="T906" s="7" t="n">
        <f aca="false">IF(AND(F906="Closed",I906&lt;&gt;"",I906&gt;='Exec Summary'!$E$1,I906&lt;='Exec Summary'!$E$2),1,0)</f>
        <v>0</v>
      </c>
      <c r="U906" s="7" t="n">
        <f aca="false">IF(F906="Reopened",1,0)</f>
        <v>0</v>
      </c>
      <c r="V906" s="7" t="n">
        <f aca="false">IF(AND(R906=1,O906&gt;Q906),1,0)</f>
        <v>0</v>
      </c>
      <c r="W906" s="7" t="n">
        <f aca="false">IF(AND(T906=1,P906&lt;&gt;"",P906&lt;=Q906),1,0)</f>
        <v>0</v>
      </c>
    </row>
    <row r="907" customFormat="false" ht="15" hidden="false" customHeight="false" outlineLevel="0" collapsed="false">
      <c r="A907" s="7" t="s">
        <v>1143</v>
      </c>
      <c r="B907" s="7" t="s">
        <v>46</v>
      </c>
      <c r="C907" s="7" t="s">
        <v>79</v>
      </c>
      <c r="D907" s="7" t="s">
        <v>74</v>
      </c>
      <c r="E907" s="7" t="s">
        <v>75</v>
      </c>
      <c r="F907" s="7" t="s">
        <v>123</v>
      </c>
      <c r="G907" s="7" t="s">
        <v>21</v>
      </c>
      <c r="H907" s="9" t="n">
        <v>46054</v>
      </c>
      <c r="I907" s="9" t="n">
        <v>46142</v>
      </c>
      <c r="J907" s="7" t="n">
        <v>6.5</v>
      </c>
      <c r="K907" s="7" t="s">
        <v>1015</v>
      </c>
      <c r="L907" s="7" t="s">
        <v>20</v>
      </c>
      <c r="M907" s="7" t="s">
        <v>1151</v>
      </c>
      <c r="N907" s="7" t="s">
        <v>77</v>
      </c>
      <c r="O907" s="10" t="n">
        <f aca="false">'Exec Summary'!$E$2-H907</f>
        <v>180</v>
      </c>
      <c r="P907" s="10" t="n">
        <f aca="false">IF(I907="","",I907-H907)</f>
        <v>88</v>
      </c>
      <c r="Q907" s="10" t="n">
        <f aca="false">VLOOKUP(G907,$AA$2:$AB$5,2,FALSE())</f>
        <v>90</v>
      </c>
      <c r="R907" s="7" t="n">
        <f aca="false">IF(OR(F907="Open",F907="Reopened"),1,0)</f>
        <v>1</v>
      </c>
      <c r="S907" s="7" t="n">
        <f aca="false">IF(AND(H907&gt;='Exec Summary'!$E$1,H907&lt;='Exec Summary'!$E$2),1,0)</f>
        <v>0</v>
      </c>
      <c r="T907" s="7" t="n">
        <f aca="false">IF(AND(F907="Closed",I907&lt;&gt;"",I907&gt;='Exec Summary'!$E$1,I907&lt;='Exec Summary'!$E$2),1,0)</f>
        <v>0</v>
      </c>
      <c r="U907" s="7" t="n">
        <f aca="false">IF(F907="Reopened",1,0)</f>
        <v>1</v>
      </c>
      <c r="V907" s="7" t="n">
        <f aca="false">IF(AND(R907=1,O907&gt;Q907),1,0)</f>
        <v>1</v>
      </c>
      <c r="W907" s="7" t="n">
        <f aca="false">IF(AND(T907=1,P907&lt;&gt;"",P907&lt;=Q907),1,0)</f>
        <v>0</v>
      </c>
    </row>
    <row r="908" customFormat="false" ht="15" hidden="false" customHeight="false" outlineLevel="0" collapsed="false">
      <c r="A908" s="7" t="s">
        <v>1143</v>
      </c>
      <c r="B908" s="7" t="s">
        <v>46</v>
      </c>
      <c r="C908" s="7" t="s">
        <v>79</v>
      </c>
      <c r="D908" s="7" t="s">
        <v>65</v>
      </c>
      <c r="E908" s="7" t="s">
        <v>66</v>
      </c>
      <c r="F908" s="7" t="s">
        <v>56</v>
      </c>
      <c r="G908" s="7" t="s">
        <v>19</v>
      </c>
      <c r="H908" s="9" t="n">
        <v>46217</v>
      </c>
      <c r="I908" s="9"/>
      <c r="J908" s="7" t="n">
        <v>9.8</v>
      </c>
      <c r="K908" s="7" t="s">
        <v>1015</v>
      </c>
      <c r="L908" s="7" t="s">
        <v>20</v>
      </c>
      <c r="M908" s="7" t="s">
        <v>1152</v>
      </c>
      <c r="N908" s="7" t="s">
        <v>58</v>
      </c>
      <c r="O908" s="10" t="n">
        <f aca="false">'Exec Summary'!$E$2-H908</f>
        <v>17</v>
      </c>
      <c r="P908" s="10" t="str">
        <f aca="false">IF(I908="","",I908-H908)</f>
        <v/>
      </c>
      <c r="Q908" s="10" t="n">
        <f aca="false">VLOOKUP(G908,$AA$2:$AB$5,2,FALSE())</f>
        <v>15</v>
      </c>
      <c r="R908" s="7" t="n">
        <f aca="false">IF(OR(F908="Open",F908="Reopened"),1,0)</f>
        <v>1</v>
      </c>
      <c r="S908" s="7" t="n">
        <f aca="false">IF(AND(H908&gt;='Exec Summary'!$E$1,H908&lt;='Exec Summary'!$E$2),1,0)</f>
        <v>1</v>
      </c>
      <c r="T908" s="7" t="n">
        <f aca="false">IF(AND(F908="Closed",I908&lt;&gt;"",I908&gt;='Exec Summary'!$E$1,I908&lt;='Exec Summary'!$E$2),1,0)</f>
        <v>0</v>
      </c>
      <c r="U908" s="7" t="n">
        <f aca="false">IF(F908="Reopened",1,0)</f>
        <v>0</v>
      </c>
      <c r="V908" s="7" t="n">
        <f aca="false">IF(AND(R908=1,O908&gt;Q908),1,0)</f>
        <v>1</v>
      </c>
      <c r="W908" s="7" t="n">
        <f aca="false">IF(AND(T908=1,P908&lt;&gt;"",P908&lt;=Q908),1,0)</f>
        <v>0</v>
      </c>
    </row>
    <row r="909" customFormat="false" ht="15" hidden="false" customHeight="false" outlineLevel="0" collapsed="false">
      <c r="A909" s="7" t="s">
        <v>1143</v>
      </c>
      <c r="B909" s="7" t="s">
        <v>46</v>
      </c>
      <c r="C909" s="7" t="s">
        <v>79</v>
      </c>
      <c r="D909" s="7" t="s">
        <v>112</v>
      </c>
      <c r="E909" s="7" t="s">
        <v>113</v>
      </c>
      <c r="F909" s="7" t="s">
        <v>56</v>
      </c>
      <c r="G909" s="7" t="s">
        <v>20</v>
      </c>
      <c r="H909" s="9" t="n">
        <v>46021</v>
      </c>
      <c r="I909" s="9"/>
      <c r="J909" s="7" t="n">
        <v>7.8</v>
      </c>
      <c r="K909" s="7" t="s">
        <v>1015</v>
      </c>
      <c r="L909" s="7" t="s">
        <v>20</v>
      </c>
      <c r="M909" s="7" t="s">
        <v>1153</v>
      </c>
      <c r="N909" s="7" t="s">
        <v>53</v>
      </c>
      <c r="O909" s="10" t="n">
        <f aca="false">'Exec Summary'!$E$2-H909</f>
        <v>213</v>
      </c>
      <c r="P909" s="10" t="str">
        <f aca="false">IF(I909="","",I909-H909)</f>
        <v/>
      </c>
      <c r="Q909" s="10" t="n">
        <f aca="false">VLOOKUP(G909,$AA$2:$AB$5,2,FALSE())</f>
        <v>30</v>
      </c>
      <c r="R909" s="7" t="n">
        <f aca="false">IF(OR(F909="Open",F909="Reopened"),1,0)</f>
        <v>1</v>
      </c>
      <c r="S909" s="7" t="n">
        <f aca="false">IF(AND(H909&gt;='Exec Summary'!$E$1,H909&lt;='Exec Summary'!$E$2),1,0)</f>
        <v>0</v>
      </c>
      <c r="T909" s="7" t="n">
        <f aca="false">IF(AND(F909="Closed",I909&lt;&gt;"",I909&gt;='Exec Summary'!$E$1,I909&lt;='Exec Summary'!$E$2),1,0)</f>
        <v>0</v>
      </c>
      <c r="U909" s="7" t="n">
        <f aca="false">IF(F909="Reopened",1,0)</f>
        <v>0</v>
      </c>
      <c r="V909" s="7" t="n">
        <f aca="false">IF(AND(R909=1,O909&gt;Q909),1,0)</f>
        <v>1</v>
      </c>
      <c r="W909" s="7" t="n">
        <f aca="false">IF(AND(T909=1,P909&lt;&gt;"",P909&lt;=Q909),1,0)</f>
        <v>0</v>
      </c>
    </row>
    <row r="910" customFormat="false" ht="15" hidden="false" customHeight="false" outlineLevel="0" collapsed="false">
      <c r="A910" s="7" t="s">
        <v>1143</v>
      </c>
      <c r="B910" s="7" t="s">
        <v>46</v>
      </c>
      <c r="C910" s="7" t="s">
        <v>79</v>
      </c>
      <c r="D910" s="7" t="s">
        <v>68</v>
      </c>
      <c r="E910" s="7" t="s">
        <v>69</v>
      </c>
      <c r="F910" s="7" t="s">
        <v>50</v>
      </c>
      <c r="G910" s="7" t="s">
        <v>19</v>
      </c>
      <c r="H910" s="9" t="n">
        <v>45964</v>
      </c>
      <c r="I910" s="9" t="n">
        <v>45968</v>
      </c>
      <c r="J910" s="7" t="n">
        <v>9.8</v>
      </c>
      <c r="K910" s="7" t="s">
        <v>1015</v>
      </c>
      <c r="L910" s="7" t="s">
        <v>20</v>
      </c>
      <c r="M910" s="7" t="s">
        <v>1154</v>
      </c>
      <c r="N910" s="7" t="s">
        <v>58</v>
      </c>
      <c r="O910" s="10" t="n">
        <f aca="false">'Exec Summary'!$E$2-H910</f>
        <v>270</v>
      </c>
      <c r="P910" s="10" t="n">
        <f aca="false">IF(I910="","",I910-H910)</f>
        <v>4</v>
      </c>
      <c r="Q910" s="10" t="n">
        <f aca="false">VLOOKUP(G910,$AA$2:$AB$5,2,FALSE())</f>
        <v>15</v>
      </c>
      <c r="R910" s="7" t="n">
        <f aca="false">IF(OR(F910="Open",F910="Reopened"),1,0)</f>
        <v>0</v>
      </c>
      <c r="S910" s="7" t="n">
        <f aca="false">IF(AND(H910&gt;='Exec Summary'!$E$1,H910&lt;='Exec Summary'!$E$2),1,0)</f>
        <v>0</v>
      </c>
      <c r="T910" s="7" t="n">
        <f aca="false">IF(AND(F910="Closed",I910&lt;&gt;"",I910&gt;='Exec Summary'!$E$1,I910&lt;='Exec Summary'!$E$2),1,0)</f>
        <v>0</v>
      </c>
      <c r="U910" s="7" t="n">
        <f aca="false">IF(F910="Reopened",1,0)</f>
        <v>0</v>
      </c>
      <c r="V910" s="7" t="n">
        <f aca="false">IF(AND(R910=1,O910&gt;Q910),1,0)</f>
        <v>0</v>
      </c>
      <c r="W910" s="7" t="n">
        <f aca="false">IF(AND(T910=1,P910&lt;&gt;"",P910&lt;=Q910),1,0)</f>
        <v>0</v>
      </c>
    </row>
    <row r="911" customFormat="false" ht="15" hidden="false" customHeight="false" outlineLevel="0" collapsed="false">
      <c r="A911" s="7" t="s">
        <v>1143</v>
      </c>
      <c r="B911" s="7" t="s">
        <v>46</v>
      </c>
      <c r="C911" s="7" t="s">
        <v>79</v>
      </c>
      <c r="D911" s="7" t="s">
        <v>62</v>
      </c>
      <c r="E911" s="7" t="s">
        <v>63</v>
      </c>
      <c r="F911" s="7" t="s">
        <v>56</v>
      </c>
      <c r="G911" s="7" t="s">
        <v>20</v>
      </c>
      <c r="H911" s="9" t="n">
        <v>46058</v>
      </c>
      <c r="I911" s="9"/>
      <c r="J911" s="7" t="n">
        <v>8.1</v>
      </c>
      <c r="K911" s="7" t="s">
        <v>1015</v>
      </c>
      <c r="L911" s="7" t="s">
        <v>20</v>
      </c>
      <c r="M911" s="7" t="s">
        <v>1155</v>
      </c>
      <c r="N911" s="7" t="s">
        <v>53</v>
      </c>
      <c r="O911" s="10" t="n">
        <f aca="false">'Exec Summary'!$E$2-H911</f>
        <v>176</v>
      </c>
      <c r="P911" s="10" t="str">
        <f aca="false">IF(I911="","",I911-H911)</f>
        <v/>
      </c>
      <c r="Q911" s="10" t="n">
        <f aca="false">VLOOKUP(G911,$AA$2:$AB$5,2,FALSE())</f>
        <v>30</v>
      </c>
      <c r="R911" s="7" t="n">
        <f aca="false">IF(OR(F911="Open",F911="Reopened"),1,0)</f>
        <v>1</v>
      </c>
      <c r="S911" s="7" t="n">
        <f aca="false">IF(AND(H911&gt;='Exec Summary'!$E$1,H911&lt;='Exec Summary'!$E$2),1,0)</f>
        <v>0</v>
      </c>
      <c r="T911" s="7" t="n">
        <f aca="false">IF(AND(F911="Closed",I911&lt;&gt;"",I911&gt;='Exec Summary'!$E$1,I911&lt;='Exec Summary'!$E$2),1,0)</f>
        <v>0</v>
      </c>
      <c r="U911" s="7" t="n">
        <f aca="false">IF(F911="Reopened",1,0)</f>
        <v>0</v>
      </c>
      <c r="V911" s="7" t="n">
        <f aca="false">IF(AND(R911=1,O911&gt;Q911),1,0)</f>
        <v>1</v>
      </c>
      <c r="W911" s="7" t="n">
        <f aca="false">IF(AND(T911=1,P911&lt;&gt;"",P911&lt;=Q911),1,0)</f>
        <v>0</v>
      </c>
    </row>
    <row r="912" customFormat="false" ht="15" hidden="false" customHeight="false" outlineLevel="0" collapsed="false">
      <c r="A912" s="7" t="s">
        <v>1156</v>
      </c>
      <c r="B912" s="7" t="s">
        <v>135</v>
      </c>
      <c r="C912" s="7" t="s">
        <v>306</v>
      </c>
      <c r="D912" s="7" t="s">
        <v>139</v>
      </c>
      <c r="E912" s="7" t="s">
        <v>140</v>
      </c>
      <c r="F912" s="7" t="s">
        <v>50</v>
      </c>
      <c r="G912" s="7" t="s">
        <v>19</v>
      </c>
      <c r="H912" s="9" t="n">
        <v>45987</v>
      </c>
      <c r="I912" s="9" t="n">
        <v>45996</v>
      </c>
      <c r="J912" s="7" t="n">
        <v>9.8</v>
      </c>
      <c r="K912" s="7" t="s">
        <v>1015</v>
      </c>
      <c r="L912" s="7" t="s">
        <v>22</v>
      </c>
      <c r="M912" s="7" t="s">
        <v>1157</v>
      </c>
      <c r="N912" s="7" t="s">
        <v>58</v>
      </c>
      <c r="O912" s="10" t="n">
        <f aca="false">'Exec Summary'!$E$2-H912</f>
        <v>247</v>
      </c>
      <c r="P912" s="10" t="n">
        <f aca="false">IF(I912="","",I912-H912)</f>
        <v>9</v>
      </c>
      <c r="Q912" s="10" t="n">
        <f aca="false">VLOOKUP(G912,$AA$2:$AB$5,2,FALSE())</f>
        <v>15</v>
      </c>
      <c r="R912" s="7" t="n">
        <f aca="false">IF(OR(F912="Open",F912="Reopened"),1,0)</f>
        <v>0</v>
      </c>
      <c r="S912" s="7" t="n">
        <f aca="false">IF(AND(H912&gt;='Exec Summary'!$E$1,H912&lt;='Exec Summary'!$E$2),1,0)</f>
        <v>0</v>
      </c>
      <c r="T912" s="7" t="n">
        <f aca="false">IF(AND(F912="Closed",I912&lt;&gt;"",I912&gt;='Exec Summary'!$E$1,I912&lt;='Exec Summary'!$E$2),1,0)</f>
        <v>0</v>
      </c>
      <c r="U912" s="7" t="n">
        <f aca="false">IF(F912="Reopened",1,0)</f>
        <v>0</v>
      </c>
      <c r="V912" s="7" t="n">
        <f aca="false">IF(AND(R912=1,O912&gt;Q912),1,0)</f>
        <v>0</v>
      </c>
      <c r="W912" s="7" t="n">
        <f aca="false">IF(AND(T912=1,P912&lt;&gt;"",P912&lt;=Q912),1,0)</f>
        <v>0</v>
      </c>
    </row>
    <row r="913" customFormat="false" ht="15" hidden="false" customHeight="false" outlineLevel="0" collapsed="false">
      <c r="A913" s="7" t="s">
        <v>1156</v>
      </c>
      <c r="B913" s="7" t="s">
        <v>135</v>
      </c>
      <c r="C913" s="7" t="s">
        <v>306</v>
      </c>
      <c r="D913" s="7" t="s">
        <v>62</v>
      </c>
      <c r="E913" s="7" t="s">
        <v>63</v>
      </c>
      <c r="F913" s="7" t="s">
        <v>56</v>
      </c>
      <c r="G913" s="7" t="s">
        <v>20</v>
      </c>
      <c r="H913" s="9" t="n">
        <v>45934</v>
      </c>
      <c r="I913" s="9"/>
      <c r="J913" s="7" t="n">
        <v>8.1</v>
      </c>
      <c r="K913" s="7" t="s">
        <v>1015</v>
      </c>
      <c r="L913" s="7" t="s">
        <v>22</v>
      </c>
      <c r="M913" s="7" t="s">
        <v>1158</v>
      </c>
      <c r="N913" s="7" t="s">
        <v>53</v>
      </c>
      <c r="O913" s="10" t="n">
        <f aca="false">'Exec Summary'!$E$2-H913</f>
        <v>300</v>
      </c>
      <c r="P913" s="10" t="str">
        <f aca="false">IF(I913="","",I913-H913)</f>
        <v/>
      </c>
      <c r="Q913" s="10" t="n">
        <f aca="false">VLOOKUP(G913,$AA$2:$AB$5,2,FALSE())</f>
        <v>30</v>
      </c>
      <c r="R913" s="7" t="n">
        <f aca="false">IF(OR(F913="Open",F913="Reopened"),1,0)</f>
        <v>1</v>
      </c>
      <c r="S913" s="7" t="n">
        <f aca="false">IF(AND(H913&gt;='Exec Summary'!$E$1,H913&lt;='Exec Summary'!$E$2),1,0)</f>
        <v>0</v>
      </c>
      <c r="T913" s="7" t="n">
        <f aca="false">IF(AND(F913="Closed",I913&lt;&gt;"",I913&gt;='Exec Summary'!$E$1,I913&lt;='Exec Summary'!$E$2),1,0)</f>
        <v>0</v>
      </c>
      <c r="U913" s="7" t="n">
        <f aca="false">IF(F913="Reopened",1,0)</f>
        <v>0</v>
      </c>
      <c r="V913" s="7" t="n">
        <f aca="false">IF(AND(R913=1,O913&gt;Q913),1,0)</f>
        <v>1</v>
      </c>
      <c r="W913" s="7" t="n">
        <f aca="false">IF(AND(T913=1,P913&lt;&gt;"",P913&lt;=Q913),1,0)</f>
        <v>0</v>
      </c>
    </row>
    <row r="914" customFormat="false" ht="15" hidden="false" customHeight="false" outlineLevel="0" collapsed="false">
      <c r="A914" s="7" t="s">
        <v>1156</v>
      </c>
      <c r="B914" s="7" t="s">
        <v>135</v>
      </c>
      <c r="C914" s="7" t="s">
        <v>306</v>
      </c>
      <c r="D914" s="7" t="s">
        <v>206</v>
      </c>
      <c r="E914" s="7" t="s">
        <v>207</v>
      </c>
      <c r="F914" s="7" t="s">
        <v>56</v>
      </c>
      <c r="G914" s="7" t="s">
        <v>20</v>
      </c>
      <c r="H914" s="9" t="n">
        <v>46013</v>
      </c>
      <c r="I914" s="9"/>
      <c r="J914" s="7" t="n">
        <v>8.8</v>
      </c>
      <c r="K914" s="7" t="s">
        <v>1015</v>
      </c>
      <c r="L914" s="7" t="s">
        <v>22</v>
      </c>
      <c r="M914" s="7" t="s">
        <v>1159</v>
      </c>
      <c r="N914" s="7" t="s">
        <v>53</v>
      </c>
      <c r="O914" s="10" t="n">
        <f aca="false">'Exec Summary'!$E$2-H914</f>
        <v>221</v>
      </c>
      <c r="P914" s="10" t="str">
        <f aca="false">IF(I914="","",I914-H914)</f>
        <v/>
      </c>
      <c r="Q914" s="10" t="n">
        <f aca="false">VLOOKUP(G914,$AA$2:$AB$5,2,FALSE())</f>
        <v>30</v>
      </c>
      <c r="R914" s="7" t="n">
        <f aca="false">IF(OR(F914="Open",F914="Reopened"),1,0)</f>
        <v>1</v>
      </c>
      <c r="S914" s="7" t="n">
        <f aca="false">IF(AND(H914&gt;='Exec Summary'!$E$1,H914&lt;='Exec Summary'!$E$2),1,0)</f>
        <v>0</v>
      </c>
      <c r="T914" s="7" t="n">
        <f aca="false">IF(AND(F914="Closed",I914&lt;&gt;"",I914&gt;='Exec Summary'!$E$1,I914&lt;='Exec Summary'!$E$2),1,0)</f>
        <v>0</v>
      </c>
      <c r="U914" s="7" t="n">
        <f aca="false">IF(F914="Reopened",1,0)</f>
        <v>0</v>
      </c>
      <c r="V914" s="7" t="n">
        <f aca="false">IF(AND(R914=1,O914&gt;Q914),1,0)</f>
        <v>1</v>
      </c>
      <c r="W914" s="7" t="n">
        <f aca="false">IF(AND(T914=1,P914&lt;&gt;"",P914&lt;=Q914),1,0)</f>
        <v>0</v>
      </c>
    </row>
    <row r="915" customFormat="false" ht="15" hidden="false" customHeight="false" outlineLevel="0" collapsed="false">
      <c r="A915" s="7" t="s">
        <v>1156</v>
      </c>
      <c r="B915" s="7" t="s">
        <v>135</v>
      </c>
      <c r="C915" s="7" t="s">
        <v>306</v>
      </c>
      <c r="D915" s="7" t="s">
        <v>84</v>
      </c>
      <c r="E915" s="7" t="s">
        <v>85</v>
      </c>
      <c r="F915" s="7" t="s">
        <v>56</v>
      </c>
      <c r="G915" s="7" t="s">
        <v>20</v>
      </c>
      <c r="H915" s="9" t="n">
        <v>46036</v>
      </c>
      <c r="I915" s="9"/>
      <c r="J915" s="7" t="n">
        <v>7.5</v>
      </c>
      <c r="K915" s="7" t="s">
        <v>1015</v>
      </c>
      <c r="L915" s="7" t="s">
        <v>22</v>
      </c>
      <c r="M915" s="7" t="s">
        <v>1160</v>
      </c>
      <c r="N915" s="7" t="s">
        <v>53</v>
      </c>
      <c r="O915" s="10" t="n">
        <f aca="false">'Exec Summary'!$E$2-H915</f>
        <v>198</v>
      </c>
      <c r="P915" s="10" t="str">
        <f aca="false">IF(I915="","",I915-H915)</f>
        <v/>
      </c>
      <c r="Q915" s="10" t="n">
        <f aca="false">VLOOKUP(G915,$AA$2:$AB$5,2,FALSE())</f>
        <v>30</v>
      </c>
      <c r="R915" s="7" t="n">
        <f aca="false">IF(OR(F915="Open",F915="Reopened"),1,0)</f>
        <v>1</v>
      </c>
      <c r="S915" s="7" t="n">
        <f aca="false">IF(AND(H915&gt;='Exec Summary'!$E$1,H915&lt;='Exec Summary'!$E$2),1,0)</f>
        <v>0</v>
      </c>
      <c r="T915" s="7" t="n">
        <f aca="false">IF(AND(F915="Closed",I915&lt;&gt;"",I915&gt;='Exec Summary'!$E$1,I915&lt;='Exec Summary'!$E$2),1,0)</f>
        <v>0</v>
      </c>
      <c r="U915" s="7" t="n">
        <f aca="false">IF(F915="Reopened",1,0)</f>
        <v>0</v>
      </c>
      <c r="V915" s="7" t="n">
        <f aca="false">IF(AND(R915=1,O915&gt;Q915),1,0)</f>
        <v>1</v>
      </c>
      <c r="W915" s="7" t="n">
        <f aca="false">IF(AND(T915=1,P915&lt;&gt;"",P915&lt;=Q915),1,0)</f>
        <v>0</v>
      </c>
    </row>
    <row r="916" customFormat="false" ht="15" hidden="false" customHeight="false" outlineLevel="0" collapsed="false">
      <c r="A916" s="7" t="s">
        <v>1156</v>
      </c>
      <c r="B916" s="7" t="s">
        <v>135</v>
      </c>
      <c r="C916" s="7" t="s">
        <v>306</v>
      </c>
      <c r="D916" s="7" t="s">
        <v>108</v>
      </c>
      <c r="E916" s="7" t="s">
        <v>109</v>
      </c>
      <c r="F916" s="7" t="s">
        <v>56</v>
      </c>
      <c r="G916" s="7" t="s">
        <v>20</v>
      </c>
      <c r="H916" s="9" t="n">
        <v>45984</v>
      </c>
      <c r="I916" s="9"/>
      <c r="J916" s="7" t="n">
        <v>8.6</v>
      </c>
      <c r="K916" s="7" t="s">
        <v>1015</v>
      </c>
      <c r="L916" s="7" t="s">
        <v>22</v>
      </c>
      <c r="M916" s="7" t="s">
        <v>1161</v>
      </c>
      <c r="N916" s="7" t="s">
        <v>53</v>
      </c>
      <c r="O916" s="10" t="n">
        <f aca="false">'Exec Summary'!$E$2-H916</f>
        <v>250</v>
      </c>
      <c r="P916" s="10" t="str">
        <f aca="false">IF(I916="","",I916-H916)</f>
        <v/>
      </c>
      <c r="Q916" s="10" t="n">
        <f aca="false">VLOOKUP(G916,$AA$2:$AB$5,2,FALSE())</f>
        <v>30</v>
      </c>
      <c r="R916" s="7" t="n">
        <f aca="false">IF(OR(F916="Open",F916="Reopened"),1,0)</f>
        <v>1</v>
      </c>
      <c r="S916" s="7" t="n">
        <f aca="false">IF(AND(H916&gt;='Exec Summary'!$E$1,H916&lt;='Exec Summary'!$E$2),1,0)</f>
        <v>0</v>
      </c>
      <c r="T916" s="7" t="n">
        <f aca="false">IF(AND(F916="Closed",I916&lt;&gt;"",I916&gt;='Exec Summary'!$E$1,I916&lt;='Exec Summary'!$E$2),1,0)</f>
        <v>0</v>
      </c>
      <c r="U916" s="7" t="n">
        <f aca="false">IF(F916="Reopened",1,0)</f>
        <v>0</v>
      </c>
      <c r="V916" s="7" t="n">
        <f aca="false">IF(AND(R916=1,O916&gt;Q916),1,0)</f>
        <v>1</v>
      </c>
      <c r="W916" s="7" t="n">
        <f aca="false">IF(AND(T916=1,P916&lt;&gt;"",P916&lt;=Q916),1,0)</f>
        <v>0</v>
      </c>
    </row>
    <row r="917" customFormat="false" ht="15" hidden="false" customHeight="false" outlineLevel="0" collapsed="false">
      <c r="A917" s="7" t="s">
        <v>1156</v>
      </c>
      <c r="B917" s="7" t="s">
        <v>135</v>
      </c>
      <c r="C917" s="7" t="s">
        <v>306</v>
      </c>
      <c r="D917" s="7" t="s">
        <v>163</v>
      </c>
      <c r="E917" s="7" t="s">
        <v>164</v>
      </c>
      <c r="F917" s="7" t="s">
        <v>50</v>
      </c>
      <c r="G917" s="7" t="s">
        <v>19</v>
      </c>
      <c r="H917" s="9" t="n">
        <v>46048</v>
      </c>
      <c r="I917" s="9" t="n">
        <v>46063</v>
      </c>
      <c r="J917" s="7" t="n">
        <v>9.1</v>
      </c>
      <c r="K917" s="7" t="s">
        <v>1015</v>
      </c>
      <c r="L917" s="7" t="s">
        <v>22</v>
      </c>
      <c r="M917" s="7" t="s">
        <v>1162</v>
      </c>
      <c r="N917" s="7" t="s">
        <v>58</v>
      </c>
      <c r="O917" s="10" t="n">
        <f aca="false">'Exec Summary'!$E$2-H917</f>
        <v>186</v>
      </c>
      <c r="P917" s="10" t="n">
        <f aca="false">IF(I917="","",I917-H917)</f>
        <v>15</v>
      </c>
      <c r="Q917" s="10" t="n">
        <f aca="false">VLOOKUP(G917,$AA$2:$AB$5,2,FALSE())</f>
        <v>15</v>
      </c>
      <c r="R917" s="7" t="n">
        <f aca="false">IF(OR(F917="Open",F917="Reopened"),1,0)</f>
        <v>0</v>
      </c>
      <c r="S917" s="7" t="n">
        <f aca="false">IF(AND(H917&gt;='Exec Summary'!$E$1,H917&lt;='Exec Summary'!$E$2),1,0)</f>
        <v>0</v>
      </c>
      <c r="T917" s="7" t="n">
        <f aca="false">IF(AND(F917="Closed",I917&lt;&gt;"",I917&gt;='Exec Summary'!$E$1,I917&lt;='Exec Summary'!$E$2),1,0)</f>
        <v>0</v>
      </c>
      <c r="U917" s="7" t="n">
        <f aca="false">IF(F917="Reopened",1,0)</f>
        <v>0</v>
      </c>
      <c r="V917" s="7" t="n">
        <f aca="false">IF(AND(R917=1,O917&gt;Q917),1,0)</f>
        <v>0</v>
      </c>
      <c r="W917" s="7" t="n">
        <f aca="false">IF(AND(T917=1,P917&lt;&gt;"",P917&lt;=Q917),1,0)</f>
        <v>0</v>
      </c>
    </row>
    <row r="918" customFormat="false" ht="15" hidden="false" customHeight="false" outlineLevel="0" collapsed="false">
      <c r="A918" s="7" t="s">
        <v>1156</v>
      </c>
      <c r="B918" s="7" t="s">
        <v>135</v>
      </c>
      <c r="C918" s="7" t="s">
        <v>306</v>
      </c>
      <c r="D918" s="7" t="s">
        <v>104</v>
      </c>
      <c r="E918" s="7" t="s">
        <v>105</v>
      </c>
      <c r="F918" s="7" t="s">
        <v>50</v>
      </c>
      <c r="G918" s="7" t="s">
        <v>19</v>
      </c>
      <c r="H918" s="9" t="n">
        <v>46204</v>
      </c>
      <c r="I918" s="9" t="n">
        <v>46225</v>
      </c>
      <c r="J918" s="7" t="n">
        <v>9.8</v>
      </c>
      <c r="K918" s="7" t="s">
        <v>1015</v>
      </c>
      <c r="L918" s="7" t="s">
        <v>22</v>
      </c>
      <c r="M918" s="7" t="s">
        <v>1163</v>
      </c>
      <c r="N918" s="7" t="s">
        <v>58</v>
      </c>
      <c r="O918" s="10" t="n">
        <f aca="false">'Exec Summary'!$E$2-H918</f>
        <v>30</v>
      </c>
      <c r="P918" s="10" t="n">
        <f aca="false">IF(I918="","",I918-H918)</f>
        <v>21</v>
      </c>
      <c r="Q918" s="10" t="n">
        <f aca="false">VLOOKUP(G918,$AA$2:$AB$5,2,FALSE())</f>
        <v>15</v>
      </c>
      <c r="R918" s="7" t="n">
        <f aca="false">IF(OR(F918="Open",F918="Reopened"),1,0)</f>
        <v>0</v>
      </c>
      <c r="S918" s="7" t="n">
        <f aca="false">IF(AND(H918&gt;='Exec Summary'!$E$1,H918&lt;='Exec Summary'!$E$2),1,0)</f>
        <v>1</v>
      </c>
      <c r="T918" s="7" t="n">
        <f aca="false">IF(AND(F918="Closed",I918&lt;&gt;"",I918&gt;='Exec Summary'!$E$1,I918&lt;='Exec Summary'!$E$2),1,0)</f>
        <v>1</v>
      </c>
      <c r="U918" s="7" t="n">
        <f aca="false">IF(F918="Reopened",1,0)</f>
        <v>0</v>
      </c>
      <c r="V918" s="7" t="n">
        <f aca="false">IF(AND(R918=1,O918&gt;Q918),1,0)</f>
        <v>0</v>
      </c>
      <c r="W918" s="7" t="n">
        <f aca="false">IF(AND(T918=1,P918&lt;&gt;"",P918&lt;=Q918),1,0)</f>
        <v>0</v>
      </c>
    </row>
    <row r="919" customFormat="false" ht="15" hidden="false" customHeight="false" outlineLevel="0" collapsed="false">
      <c r="A919" s="7" t="s">
        <v>1156</v>
      </c>
      <c r="B919" s="7" t="s">
        <v>135</v>
      </c>
      <c r="C919" s="7" t="s">
        <v>306</v>
      </c>
      <c r="D919" s="7" t="s">
        <v>131</v>
      </c>
      <c r="E919" s="7" t="s">
        <v>132</v>
      </c>
      <c r="F919" s="7" t="s">
        <v>56</v>
      </c>
      <c r="G919" s="7" t="s">
        <v>19</v>
      </c>
      <c r="H919" s="9" t="n">
        <v>46141</v>
      </c>
      <c r="I919" s="9"/>
      <c r="J919" s="7" t="n">
        <v>9.8</v>
      </c>
      <c r="K919" s="7" t="s">
        <v>1015</v>
      </c>
      <c r="L919" s="7" t="s">
        <v>22</v>
      </c>
      <c r="M919" s="7" t="s">
        <v>1164</v>
      </c>
      <c r="N919" s="7" t="s">
        <v>58</v>
      </c>
      <c r="O919" s="10" t="n">
        <f aca="false">'Exec Summary'!$E$2-H919</f>
        <v>93</v>
      </c>
      <c r="P919" s="10" t="str">
        <f aca="false">IF(I919="","",I919-H919)</f>
        <v/>
      </c>
      <c r="Q919" s="10" t="n">
        <f aca="false">VLOOKUP(G919,$AA$2:$AB$5,2,FALSE())</f>
        <v>15</v>
      </c>
      <c r="R919" s="7" t="n">
        <f aca="false">IF(OR(F919="Open",F919="Reopened"),1,0)</f>
        <v>1</v>
      </c>
      <c r="S919" s="7" t="n">
        <f aca="false">IF(AND(H919&gt;='Exec Summary'!$E$1,H919&lt;='Exec Summary'!$E$2),1,0)</f>
        <v>0</v>
      </c>
      <c r="T919" s="7" t="n">
        <f aca="false">IF(AND(F919="Closed",I919&lt;&gt;"",I919&gt;='Exec Summary'!$E$1,I919&lt;='Exec Summary'!$E$2),1,0)</f>
        <v>0</v>
      </c>
      <c r="U919" s="7" t="n">
        <f aca="false">IF(F919="Reopened",1,0)</f>
        <v>0</v>
      </c>
      <c r="V919" s="7" t="n">
        <f aca="false">IF(AND(R919=1,O919&gt;Q919),1,0)</f>
        <v>1</v>
      </c>
      <c r="W919" s="7" t="n">
        <f aca="false">IF(AND(T919=1,P919&lt;&gt;"",P919&lt;=Q919),1,0)</f>
        <v>0</v>
      </c>
    </row>
    <row r="920" customFormat="false" ht="15" hidden="false" customHeight="false" outlineLevel="0" collapsed="false">
      <c r="A920" s="7" t="s">
        <v>1156</v>
      </c>
      <c r="B920" s="7" t="s">
        <v>135</v>
      </c>
      <c r="C920" s="7" t="s">
        <v>306</v>
      </c>
      <c r="D920" s="7" t="s">
        <v>81</v>
      </c>
      <c r="E920" s="7" t="s">
        <v>82</v>
      </c>
      <c r="F920" s="7" t="s">
        <v>50</v>
      </c>
      <c r="G920" s="7" t="s">
        <v>20</v>
      </c>
      <c r="H920" s="9" t="n">
        <v>46186</v>
      </c>
      <c r="I920" s="9" t="n">
        <v>46200</v>
      </c>
      <c r="J920" s="7" t="n">
        <v>7.8</v>
      </c>
      <c r="K920" s="7" t="s">
        <v>1015</v>
      </c>
      <c r="L920" s="7" t="s">
        <v>22</v>
      </c>
      <c r="M920" s="7" t="s">
        <v>1165</v>
      </c>
      <c r="N920" s="7" t="s">
        <v>53</v>
      </c>
      <c r="O920" s="10" t="n">
        <f aca="false">'Exec Summary'!$E$2-H920</f>
        <v>48</v>
      </c>
      <c r="P920" s="10" t="n">
        <f aca="false">IF(I920="","",I920-H920)</f>
        <v>14</v>
      </c>
      <c r="Q920" s="10" t="n">
        <f aca="false">VLOOKUP(G920,$AA$2:$AB$5,2,FALSE())</f>
        <v>30</v>
      </c>
      <c r="R920" s="7" t="n">
        <f aca="false">IF(OR(F920="Open",F920="Reopened"),1,0)</f>
        <v>0</v>
      </c>
      <c r="S920" s="7" t="n">
        <f aca="false">IF(AND(H920&gt;='Exec Summary'!$E$1,H920&lt;='Exec Summary'!$E$2),1,0)</f>
        <v>0</v>
      </c>
      <c r="T920" s="7" t="n">
        <f aca="false">IF(AND(F920="Closed",I920&lt;&gt;"",I920&gt;='Exec Summary'!$E$1,I920&lt;='Exec Summary'!$E$2),1,0)</f>
        <v>0</v>
      </c>
      <c r="U920" s="7" t="n">
        <f aca="false">IF(F920="Reopened",1,0)</f>
        <v>0</v>
      </c>
      <c r="V920" s="7" t="n">
        <f aca="false">IF(AND(R920=1,O920&gt;Q920),1,0)</f>
        <v>0</v>
      </c>
      <c r="W920" s="7" t="n">
        <f aca="false">IF(AND(T920=1,P920&lt;&gt;"",P920&lt;=Q920),1,0)</f>
        <v>0</v>
      </c>
    </row>
    <row r="921" customFormat="false" ht="15" hidden="false" customHeight="false" outlineLevel="0" collapsed="false">
      <c r="A921" s="7" t="s">
        <v>1156</v>
      </c>
      <c r="B921" s="7" t="s">
        <v>135</v>
      </c>
      <c r="C921" s="7" t="s">
        <v>306</v>
      </c>
      <c r="D921" s="7" t="s">
        <v>91</v>
      </c>
      <c r="E921" s="7" t="s">
        <v>92</v>
      </c>
      <c r="F921" s="7" t="s">
        <v>50</v>
      </c>
      <c r="G921" s="7" t="s">
        <v>20</v>
      </c>
      <c r="H921" s="9" t="n">
        <v>46019</v>
      </c>
      <c r="I921" s="9" t="n">
        <v>46030</v>
      </c>
      <c r="J921" s="7" t="n">
        <v>8.1</v>
      </c>
      <c r="K921" s="7" t="s">
        <v>1015</v>
      </c>
      <c r="L921" s="7" t="s">
        <v>22</v>
      </c>
      <c r="M921" s="7" t="s">
        <v>1166</v>
      </c>
      <c r="N921" s="7" t="s">
        <v>53</v>
      </c>
      <c r="O921" s="10" t="n">
        <f aca="false">'Exec Summary'!$E$2-H921</f>
        <v>215</v>
      </c>
      <c r="P921" s="10" t="n">
        <f aca="false">IF(I921="","",I921-H921)</f>
        <v>11</v>
      </c>
      <c r="Q921" s="10" t="n">
        <f aca="false">VLOOKUP(G921,$AA$2:$AB$5,2,FALSE())</f>
        <v>30</v>
      </c>
      <c r="R921" s="7" t="n">
        <f aca="false">IF(OR(F921="Open",F921="Reopened"),1,0)</f>
        <v>0</v>
      </c>
      <c r="S921" s="7" t="n">
        <f aca="false">IF(AND(H921&gt;='Exec Summary'!$E$1,H921&lt;='Exec Summary'!$E$2),1,0)</f>
        <v>0</v>
      </c>
      <c r="T921" s="7" t="n">
        <f aca="false">IF(AND(F921="Closed",I921&lt;&gt;"",I921&gt;='Exec Summary'!$E$1,I921&lt;='Exec Summary'!$E$2),1,0)</f>
        <v>0</v>
      </c>
      <c r="U921" s="7" t="n">
        <f aca="false">IF(F921="Reopened",1,0)</f>
        <v>0</v>
      </c>
      <c r="V921" s="7" t="n">
        <f aca="false">IF(AND(R921=1,O921&gt;Q921),1,0)</f>
        <v>0</v>
      </c>
      <c r="W921" s="7" t="n">
        <f aca="false">IF(AND(T921=1,P921&lt;&gt;"",P921&lt;=Q921),1,0)</f>
        <v>0</v>
      </c>
    </row>
    <row r="922" customFormat="false" ht="15" hidden="false" customHeight="false" outlineLevel="0" collapsed="false">
      <c r="A922" s="7" t="s">
        <v>1156</v>
      </c>
      <c r="B922" s="7" t="s">
        <v>135</v>
      </c>
      <c r="C922" s="7" t="s">
        <v>306</v>
      </c>
      <c r="D922" s="7" t="s">
        <v>145</v>
      </c>
      <c r="E922" s="7" t="s">
        <v>146</v>
      </c>
      <c r="F922" s="7" t="s">
        <v>56</v>
      </c>
      <c r="G922" s="7" t="s">
        <v>19</v>
      </c>
      <c r="H922" s="9" t="n">
        <v>45985</v>
      </c>
      <c r="I922" s="9"/>
      <c r="J922" s="7" t="n">
        <v>9.8</v>
      </c>
      <c r="K922" s="7" t="s">
        <v>1015</v>
      </c>
      <c r="L922" s="7" t="s">
        <v>22</v>
      </c>
      <c r="M922" s="7" t="s">
        <v>1167</v>
      </c>
      <c r="N922" s="7" t="s">
        <v>58</v>
      </c>
      <c r="O922" s="10" t="n">
        <f aca="false">'Exec Summary'!$E$2-H922</f>
        <v>249</v>
      </c>
      <c r="P922" s="10" t="str">
        <f aca="false">IF(I922="","",I922-H922)</f>
        <v/>
      </c>
      <c r="Q922" s="10" t="n">
        <f aca="false">VLOOKUP(G922,$AA$2:$AB$5,2,FALSE())</f>
        <v>15</v>
      </c>
      <c r="R922" s="7" t="n">
        <f aca="false">IF(OR(F922="Open",F922="Reopened"),1,0)</f>
        <v>1</v>
      </c>
      <c r="S922" s="7" t="n">
        <f aca="false">IF(AND(H922&gt;='Exec Summary'!$E$1,H922&lt;='Exec Summary'!$E$2),1,0)</f>
        <v>0</v>
      </c>
      <c r="T922" s="7" t="n">
        <f aca="false">IF(AND(F922="Closed",I922&lt;&gt;"",I922&gt;='Exec Summary'!$E$1,I922&lt;='Exec Summary'!$E$2),1,0)</f>
        <v>0</v>
      </c>
      <c r="U922" s="7" t="n">
        <f aca="false">IF(F922="Reopened",1,0)</f>
        <v>0</v>
      </c>
      <c r="V922" s="7" t="n">
        <f aca="false">IF(AND(R922=1,O922&gt;Q922),1,0)</f>
        <v>1</v>
      </c>
      <c r="W922" s="7" t="n">
        <f aca="false">IF(AND(T922=1,P922&lt;&gt;"",P922&lt;=Q922),1,0)</f>
        <v>0</v>
      </c>
    </row>
    <row r="923" customFormat="false" ht="15" hidden="false" customHeight="false" outlineLevel="0" collapsed="false">
      <c r="A923" s="7" t="s">
        <v>1156</v>
      </c>
      <c r="B923" s="7" t="s">
        <v>135</v>
      </c>
      <c r="C923" s="7" t="s">
        <v>306</v>
      </c>
      <c r="D923" s="7" t="s">
        <v>48</v>
      </c>
      <c r="E923" s="7" t="s">
        <v>49</v>
      </c>
      <c r="F923" s="7" t="s">
        <v>56</v>
      </c>
      <c r="G923" s="7" t="s">
        <v>20</v>
      </c>
      <c r="H923" s="9" t="n">
        <v>46060</v>
      </c>
      <c r="I923" s="9"/>
      <c r="J923" s="7" t="n">
        <v>7.5</v>
      </c>
      <c r="K923" s="7" t="s">
        <v>1015</v>
      </c>
      <c r="L923" s="7" t="s">
        <v>22</v>
      </c>
      <c r="M923" s="7" t="s">
        <v>1168</v>
      </c>
      <c r="N923" s="7" t="s">
        <v>53</v>
      </c>
      <c r="O923" s="10" t="n">
        <f aca="false">'Exec Summary'!$E$2-H923</f>
        <v>174</v>
      </c>
      <c r="P923" s="10" t="str">
        <f aca="false">IF(I923="","",I923-H923)</f>
        <v/>
      </c>
      <c r="Q923" s="10" t="n">
        <f aca="false">VLOOKUP(G923,$AA$2:$AB$5,2,FALSE())</f>
        <v>30</v>
      </c>
      <c r="R923" s="7" t="n">
        <f aca="false">IF(OR(F923="Open",F923="Reopened"),1,0)</f>
        <v>1</v>
      </c>
      <c r="S923" s="7" t="n">
        <f aca="false">IF(AND(H923&gt;='Exec Summary'!$E$1,H923&lt;='Exec Summary'!$E$2),1,0)</f>
        <v>0</v>
      </c>
      <c r="T923" s="7" t="n">
        <f aca="false">IF(AND(F923="Closed",I923&lt;&gt;"",I923&gt;='Exec Summary'!$E$1,I923&lt;='Exec Summary'!$E$2),1,0)</f>
        <v>0</v>
      </c>
      <c r="U923" s="7" t="n">
        <f aca="false">IF(F923="Reopened",1,0)</f>
        <v>0</v>
      </c>
      <c r="V923" s="7" t="n">
        <f aca="false">IF(AND(R923=1,O923&gt;Q923),1,0)</f>
        <v>1</v>
      </c>
      <c r="W923" s="7" t="n">
        <f aca="false">IF(AND(T923=1,P923&lt;&gt;"",P923&lt;=Q923),1,0)</f>
        <v>0</v>
      </c>
    </row>
    <row r="924" customFormat="false" ht="15" hidden="false" customHeight="false" outlineLevel="0" collapsed="false">
      <c r="A924" s="7" t="s">
        <v>1156</v>
      </c>
      <c r="B924" s="7" t="s">
        <v>135</v>
      </c>
      <c r="C924" s="7" t="s">
        <v>306</v>
      </c>
      <c r="D924" s="7" t="s">
        <v>65</v>
      </c>
      <c r="E924" s="7" t="s">
        <v>66</v>
      </c>
      <c r="F924" s="7" t="s">
        <v>56</v>
      </c>
      <c r="G924" s="7" t="s">
        <v>19</v>
      </c>
      <c r="H924" s="9" t="n">
        <v>46173</v>
      </c>
      <c r="I924" s="9"/>
      <c r="J924" s="7" t="n">
        <v>9.8</v>
      </c>
      <c r="K924" s="7" t="s">
        <v>1015</v>
      </c>
      <c r="L924" s="7" t="s">
        <v>22</v>
      </c>
      <c r="M924" s="7" t="s">
        <v>1169</v>
      </c>
      <c r="N924" s="7" t="s">
        <v>58</v>
      </c>
      <c r="O924" s="10" t="n">
        <f aca="false">'Exec Summary'!$E$2-H924</f>
        <v>61</v>
      </c>
      <c r="P924" s="10" t="str">
        <f aca="false">IF(I924="","",I924-H924)</f>
        <v/>
      </c>
      <c r="Q924" s="10" t="n">
        <f aca="false">VLOOKUP(G924,$AA$2:$AB$5,2,FALSE())</f>
        <v>15</v>
      </c>
      <c r="R924" s="7" t="n">
        <f aca="false">IF(OR(F924="Open",F924="Reopened"),1,0)</f>
        <v>1</v>
      </c>
      <c r="S924" s="7" t="n">
        <f aca="false">IF(AND(H924&gt;='Exec Summary'!$E$1,H924&lt;='Exec Summary'!$E$2),1,0)</f>
        <v>0</v>
      </c>
      <c r="T924" s="7" t="n">
        <f aca="false">IF(AND(F924="Closed",I924&lt;&gt;"",I924&gt;='Exec Summary'!$E$1,I924&lt;='Exec Summary'!$E$2),1,0)</f>
        <v>0</v>
      </c>
      <c r="U924" s="7" t="n">
        <f aca="false">IF(F924="Reopened",1,0)</f>
        <v>0</v>
      </c>
      <c r="V924" s="7" t="n">
        <f aca="false">IF(AND(R924=1,O924&gt;Q924),1,0)</f>
        <v>1</v>
      </c>
      <c r="W924" s="7" t="n">
        <f aca="false">IF(AND(T924=1,P924&lt;&gt;"",P924&lt;=Q924),1,0)</f>
        <v>0</v>
      </c>
    </row>
    <row r="925" customFormat="false" ht="15" hidden="false" customHeight="false" outlineLevel="0" collapsed="false">
      <c r="A925" s="7" t="s">
        <v>1156</v>
      </c>
      <c r="B925" s="7" t="s">
        <v>135</v>
      </c>
      <c r="C925" s="7" t="s">
        <v>306</v>
      </c>
      <c r="D925" s="7" t="s">
        <v>112</v>
      </c>
      <c r="E925" s="7" t="s">
        <v>113</v>
      </c>
      <c r="F925" s="7" t="s">
        <v>50</v>
      </c>
      <c r="G925" s="7" t="s">
        <v>20</v>
      </c>
      <c r="H925" s="9" t="n">
        <v>45993</v>
      </c>
      <c r="I925" s="9" t="n">
        <v>46008</v>
      </c>
      <c r="J925" s="7" t="n">
        <v>7.8</v>
      </c>
      <c r="K925" s="7" t="s">
        <v>1015</v>
      </c>
      <c r="L925" s="7" t="s">
        <v>22</v>
      </c>
      <c r="M925" s="7" t="s">
        <v>1170</v>
      </c>
      <c r="N925" s="7" t="s">
        <v>53</v>
      </c>
      <c r="O925" s="10" t="n">
        <f aca="false">'Exec Summary'!$E$2-H925</f>
        <v>241</v>
      </c>
      <c r="P925" s="10" t="n">
        <f aca="false">IF(I925="","",I925-H925)</f>
        <v>15</v>
      </c>
      <c r="Q925" s="10" t="n">
        <f aca="false">VLOOKUP(G925,$AA$2:$AB$5,2,FALSE())</f>
        <v>30</v>
      </c>
      <c r="R925" s="7" t="n">
        <f aca="false">IF(OR(F925="Open",F925="Reopened"),1,0)</f>
        <v>0</v>
      </c>
      <c r="S925" s="7" t="n">
        <f aca="false">IF(AND(H925&gt;='Exec Summary'!$E$1,H925&lt;='Exec Summary'!$E$2),1,0)</f>
        <v>0</v>
      </c>
      <c r="T925" s="7" t="n">
        <f aca="false">IF(AND(F925="Closed",I925&lt;&gt;"",I925&gt;='Exec Summary'!$E$1,I925&lt;='Exec Summary'!$E$2),1,0)</f>
        <v>0</v>
      </c>
      <c r="U925" s="7" t="n">
        <f aca="false">IF(F925="Reopened",1,0)</f>
        <v>0</v>
      </c>
      <c r="V925" s="7" t="n">
        <f aca="false">IF(AND(R925=1,O925&gt;Q925),1,0)</f>
        <v>0</v>
      </c>
      <c r="W925" s="7" t="n">
        <f aca="false">IF(AND(T925=1,P925&lt;&gt;"",P925&lt;=Q925),1,0)</f>
        <v>0</v>
      </c>
    </row>
    <row r="926" customFormat="false" ht="15" hidden="false" customHeight="false" outlineLevel="0" collapsed="false">
      <c r="A926" s="7" t="s">
        <v>1171</v>
      </c>
      <c r="B926" s="7" t="s">
        <v>46</v>
      </c>
      <c r="C926" s="7" t="s">
        <v>79</v>
      </c>
      <c r="D926" s="7" t="s">
        <v>139</v>
      </c>
      <c r="E926" s="7" t="s">
        <v>140</v>
      </c>
      <c r="F926" s="7" t="s">
        <v>50</v>
      </c>
      <c r="G926" s="7" t="s">
        <v>19</v>
      </c>
      <c r="H926" s="9" t="n">
        <v>46138</v>
      </c>
      <c r="I926" s="9" t="n">
        <v>46149</v>
      </c>
      <c r="J926" s="7" t="n">
        <v>9.8</v>
      </c>
      <c r="K926" s="7" t="s">
        <v>1015</v>
      </c>
      <c r="L926" s="7" t="s">
        <v>20</v>
      </c>
      <c r="M926" s="7" t="s">
        <v>1172</v>
      </c>
      <c r="N926" s="7" t="s">
        <v>58</v>
      </c>
      <c r="O926" s="10" t="n">
        <f aca="false">'Exec Summary'!$E$2-H926</f>
        <v>96</v>
      </c>
      <c r="P926" s="10" t="n">
        <f aca="false">IF(I926="","",I926-H926)</f>
        <v>11</v>
      </c>
      <c r="Q926" s="10" t="n">
        <f aca="false">VLOOKUP(G926,$AA$2:$AB$5,2,FALSE())</f>
        <v>15</v>
      </c>
      <c r="R926" s="7" t="n">
        <f aca="false">IF(OR(F926="Open",F926="Reopened"),1,0)</f>
        <v>0</v>
      </c>
      <c r="S926" s="7" t="n">
        <f aca="false">IF(AND(H926&gt;='Exec Summary'!$E$1,H926&lt;='Exec Summary'!$E$2),1,0)</f>
        <v>0</v>
      </c>
      <c r="T926" s="7" t="n">
        <f aca="false">IF(AND(F926="Closed",I926&lt;&gt;"",I926&gt;='Exec Summary'!$E$1,I926&lt;='Exec Summary'!$E$2),1,0)</f>
        <v>0</v>
      </c>
      <c r="U926" s="7" t="n">
        <f aca="false">IF(F926="Reopened",1,0)</f>
        <v>0</v>
      </c>
      <c r="V926" s="7" t="n">
        <f aca="false">IF(AND(R926=1,O926&gt;Q926),1,0)</f>
        <v>0</v>
      </c>
      <c r="W926" s="7" t="n">
        <f aca="false">IF(AND(T926=1,P926&lt;&gt;"",P926&lt;=Q926),1,0)</f>
        <v>0</v>
      </c>
    </row>
    <row r="927" customFormat="false" ht="15" hidden="false" customHeight="false" outlineLevel="0" collapsed="false">
      <c r="A927" s="7" t="s">
        <v>1171</v>
      </c>
      <c r="B927" s="7" t="s">
        <v>46</v>
      </c>
      <c r="C927" s="7" t="s">
        <v>79</v>
      </c>
      <c r="D927" s="7" t="s">
        <v>48</v>
      </c>
      <c r="E927" s="7" t="s">
        <v>49</v>
      </c>
      <c r="F927" s="7" t="s">
        <v>50</v>
      </c>
      <c r="G927" s="7" t="s">
        <v>20</v>
      </c>
      <c r="H927" s="9" t="n">
        <v>45982</v>
      </c>
      <c r="I927" s="9" t="n">
        <v>45993</v>
      </c>
      <c r="J927" s="7" t="n">
        <v>7.5</v>
      </c>
      <c r="K927" s="7" t="s">
        <v>1015</v>
      </c>
      <c r="L927" s="7" t="s">
        <v>20</v>
      </c>
      <c r="M927" s="7" t="s">
        <v>1173</v>
      </c>
      <c r="N927" s="7" t="s">
        <v>53</v>
      </c>
      <c r="O927" s="10" t="n">
        <f aca="false">'Exec Summary'!$E$2-H927</f>
        <v>252</v>
      </c>
      <c r="P927" s="10" t="n">
        <f aca="false">IF(I927="","",I927-H927)</f>
        <v>11</v>
      </c>
      <c r="Q927" s="10" t="n">
        <f aca="false">VLOOKUP(G927,$AA$2:$AB$5,2,FALSE())</f>
        <v>30</v>
      </c>
      <c r="R927" s="7" t="n">
        <f aca="false">IF(OR(F927="Open",F927="Reopened"),1,0)</f>
        <v>0</v>
      </c>
      <c r="S927" s="7" t="n">
        <f aca="false">IF(AND(H927&gt;='Exec Summary'!$E$1,H927&lt;='Exec Summary'!$E$2),1,0)</f>
        <v>0</v>
      </c>
      <c r="T927" s="7" t="n">
        <f aca="false">IF(AND(F927="Closed",I927&lt;&gt;"",I927&gt;='Exec Summary'!$E$1,I927&lt;='Exec Summary'!$E$2),1,0)</f>
        <v>0</v>
      </c>
      <c r="U927" s="7" t="n">
        <f aca="false">IF(F927="Reopened",1,0)</f>
        <v>0</v>
      </c>
      <c r="V927" s="7" t="n">
        <f aca="false">IF(AND(R927=1,O927&gt;Q927),1,0)</f>
        <v>0</v>
      </c>
      <c r="W927" s="7" t="n">
        <f aca="false">IF(AND(T927=1,P927&lt;&gt;"",P927&lt;=Q927),1,0)</f>
        <v>0</v>
      </c>
    </row>
    <row r="928" customFormat="false" ht="15" hidden="false" customHeight="false" outlineLevel="0" collapsed="false">
      <c r="A928" s="7" t="s">
        <v>1171</v>
      </c>
      <c r="B928" s="7" t="s">
        <v>46</v>
      </c>
      <c r="C928" s="7" t="s">
        <v>79</v>
      </c>
      <c r="D928" s="7" t="s">
        <v>206</v>
      </c>
      <c r="E928" s="7" t="s">
        <v>207</v>
      </c>
      <c r="F928" s="7" t="s">
        <v>50</v>
      </c>
      <c r="G928" s="7" t="s">
        <v>20</v>
      </c>
      <c r="H928" s="9" t="n">
        <v>46109</v>
      </c>
      <c r="I928" s="9" t="n">
        <v>46135</v>
      </c>
      <c r="J928" s="7" t="n">
        <v>8.8</v>
      </c>
      <c r="K928" s="7" t="s">
        <v>1015</v>
      </c>
      <c r="L928" s="7" t="s">
        <v>20</v>
      </c>
      <c r="M928" s="7" t="s">
        <v>1174</v>
      </c>
      <c r="N928" s="7" t="s">
        <v>53</v>
      </c>
      <c r="O928" s="10" t="n">
        <f aca="false">'Exec Summary'!$E$2-H928</f>
        <v>125</v>
      </c>
      <c r="P928" s="10" t="n">
        <f aca="false">IF(I928="","",I928-H928)</f>
        <v>26</v>
      </c>
      <c r="Q928" s="10" t="n">
        <f aca="false">VLOOKUP(G928,$AA$2:$AB$5,2,FALSE())</f>
        <v>30</v>
      </c>
      <c r="R928" s="7" t="n">
        <f aca="false">IF(OR(F928="Open",F928="Reopened"),1,0)</f>
        <v>0</v>
      </c>
      <c r="S928" s="7" t="n">
        <f aca="false">IF(AND(H928&gt;='Exec Summary'!$E$1,H928&lt;='Exec Summary'!$E$2),1,0)</f>
        <v>0</v>
      </c>
      <c r="T928" s="7" t="n">
        <f aca="false">IF(AND(F928="Closed",I928&lt;&gt;"",I928&gt;='Exec Summary'!$E$1,I928&lt;='Exec Summary'!$E$2),1,0)</f>
        <v>0</v>
      </c>
      <c r="U928" s="7" t="n">
        <f aca="false">IF(F928="Reopened",1,0)</f>
        <v>0</v>
      </c>
      <c r="V928" s="7" t="n">
        <f aca="false">IF(AND(R928=1,O928&gt;Q928),1,0)</f>
        <v>0</v>
      </c>
      <c r="W928" s="7" t="n">
        <f aca="false">IF(AND(T928=1,P928&lt;&gt;"",P928&lt;=Q928),1,0)</f>
        <v>0</v>
      </c>
    </row>
    <row r="929" customFormat="false" ht="15" hidden="false" customHeight="false" outlineLevel="0" collapsed="false">
      <c r="A929" s="7" t="s">
        <v>1171</v>
      </c>
      <c r="B929" s="7" t="s">
        <v>46</v>
      </c>
      <c r="C929" s="7" t="s">
        <v>79</v>
      </c>
      <c r="D929" s="7" t="s">
        <v>117</v>
      </c>
      <c r="E929" s="7" t="s">
        <v>118</v>
      </c>
      <c r="F929" s="7" t="s">
        <v>56</v>
      </c>
      <c r="G929" s="7" t="s">
        <v>19</v>
      </c>
      <c r="H929" s="9" t="n">
        <v>45938</v>
      </c>
      <c r="I929" s="9"/>
      <c r="J929" s="7" t="n">
        <v>10</v>
      </c>
      <c r="K929" s="7" t="s">
        <v>1015</v>
      </c>
      <c r="L929" s="7" t="s">
        <v>20</v>
      </c>
      <c r="M929" s="7" t="s">
        <v>1175</v>
      </c>
      <c r="N929" s="7" t="s">
        <v>58</v>
      </c>
      <c r="O929" s="10" t="n">
        <f aca="false">'Exec Summary'!$E$2-H929</f>
        <v>296</v>
      </c>
      <c r="P929" s="10" t="str">
        <f aca="false">IF(I929="","",I929-H929)</f>
        <v/>
      </c>
      <c r="Q929" s="10" t="n">
        <f aca="false">VLOOKUP(G929,$AA$2:$AB$5,2,FALSE())</f>
        <v>15</v>
      </c>
      <c r="R929" s="7" t="n">
        <f aca="false">IF(OR(F929="Open",F929="Reopened"),1,0)</f>
        <v>1</v>
      </c>
      <c r="S929" s="7" t="n">
        <f aca="false">IF(AND(H929&gt;='Exec Summary'!$E$1,H929&lt;='Exec Summary'!$E$2),1,0)</f>
        <v>0</v>
      </c>
      <c r="T929" s="7" t="n">
        <f aca="false">IF(AND(F929="Closed",I929&lt;&gt;"",I929&gt;='Exec Summary'!$E$1,I929&lt;='Exec Summary'!$E$2),1,0)</f>
        <v>0</v>
      </c>
      <c r="U929" s="7" t="n">
        <f aca="false">IF(F929="Reopened",1,0)</f>
        <v>0</v>
      </c>
      <c r="V929" s="7" t="n">
        <f aca="false">IF(AND(R929=1,O929&gt;Q929),1,0)</f>
        <v>1</v>
      </c>
      <c r="W929" s="7" t="n">
        <f aca="false">IF(AND(T929=1,P929&lt;&gt;"",P929&lt;=Q929),1,0)</f>
        <v>0</v>
      </c>
    </row>
    <row r="930" customFormat="false" ht="15" hidden="false" customHeight="false" outlineLevel="0" collapsed="false">
      <c r="A930" s="7" t="s">
        <v>1171</v>
      </c>
      <c r="B930" s="7" t="s">
        <v>46</v>
      </c>
      <c r="C930" s="7" t="s">
        <v>79</v>
      </c>
      <c r="D930" s="7" t="s">
        <v>101</v>
      </c>
      <c r="E930" s="7" t="s">
        <v>102</v>
      </c>
      <c r="F930" s="7" t="s">
        <v>50</v>
      </c>
      <c r="G930" s="7" t="s">
        <v>19</v>
      </c>
      <c r="H930" s="9" t="n">
        <v>46003</v>
      </c>
      <c r="I930" s="9" t="n">
        <v>46008</v>
      </c>
      <c r="J930" s="7" t="n">
        <v>10</v>
      </c>
      <c r="K930" s="7" t="s">
        <v>1015</v>
      </c>
      <c r="L930" s="7" t="s">
        <v>20</v>
      </c>
      <c r="M930" s="7" t="s">
        <v>1176</v>
      </c>
      <c r="N930" s="7" t="s">
        <v>58</v>
      </c>
      <c r="O930" s="10" t="n">
        <f aca="false">'Exec Summary'!$E$2-H930</f>
        <v>231</v>
      </c>
      <c r="P930" s="10" t="n">
        <f aca="false">IF(I930="","",I930-H930)</f>
        <v>5</v>
      </c>
      <c r="Q930" s="10" t="n">
        <f aca="false">VLOOKUP(G930,$AA$2:$AB$5,2,FALSE())</f>
        <v>15</v>
      </c>
      <c r="R930" s="7" t="n">
        <f aca="false">IF(OR(F930="Open",F930="Reopened"),1,0)</f>
        <v>0</v>
      </c>
      <c r="S930" s="7" t="n">
        <f aca="false">IF(AND(H930&gt;='Exec Summary'!$E$1,H930&lt;='Exec Summary'!$E$2),1,0)</f>
        <v>0</v>
      </c>
      <c r="T930" s="7" t="n">
        <f aca="false">IF(AND(F930="Closed",I930&lt;&gt;"",I930&gt;='Exec Summary'!$E$1,I930&lt;='Exec Summary'!$E$2),1,0)</f>
        <v>0</v>
      </c>
      <c r="U930" s="7" t="n">
        <f aca="false">IF(F930="Reopened",1,0)</f>
        <v>0</v>
      </c>
      <c r="V930" s="7" t="n">
        <f aca="false">IF(AND(R930=1,O930&gt;Q930),1,0)</f>
        <v>0</v>
      </c>
      <c r="W930" s="7" t="n">
        <f aca="false">IF(AND(T930=1,P930&lt;&gt;"",P930&lt;=Q930),1,0)</f>
        <v>0</v>
      </c>
    </row>
    <row r="931" customFormat="false" ht="15" hidden="false" customHeight="false" outlineLevel="0" collapsed="false">
      <c r="A931" s="7" t="s">
        <v>1171</v>
      </c>
      <c r="B931" s="7" t="s">
        <v>46</v>
      </c>
      <c r="C931" s="7" t="s">
        <v>79</v>
      </c>
      <c r="D931" s="7" t="s">
        <v>173</v>
      </c>
      <c r="E931" s="7" t="s">
        <v>174</v>
      </c>
      <c r="F931" s="7" t="s">
        <v>50</v>
      </c>
      <c r="G931" s="7" t="s">
        <v>19</v>
      </c>
      <c r="H931" s="9" t="n">
        <v>46144</v>
      </c>
      <c r="I931" s="9" t="n">
        <v>46150</v>
      </c>
      <c r="J931" s="7" t="n">
        <v>9.8</v>
      </c>
      <c r="K931" s="7" t="s">
        <v>1015</v>
      </c>
      <c r="L931" s="7" t="s">
        <v>20</v>
      </c>
      <c r="M931" s="7" t="s">
        <v>1177</v>
      </c>
      <c r="N931" s="7" t="s">
        <v>58</v>
      </c>
      <c r="O931" s="10" t="n">
        <f aca="false">'Exec Summary'!$E$2-H931</f>
        <v>90</v>
      </c>
      <c r="P931" s="10" t="n">
        <f aca="false">IF(I931="","",I931-H931)</f>
        <v>6</v>
      </c>
      <c r="Q931" s="10" t="n">
        <f aca="false">VLOOKUP(G931,$AA$2:$AB$5,2,FALSE())</f>
        <v>15</v>
      </c>
      <c r="R931" s="7" t="n">
        <f aca="false">IF(OR(F931="Open",F931="Reopened"),1,0)</f>
        <v>0</v>
      </c>
      <c r="S931" s="7" t="n">
        <f aca="false">IF(AND(H931&gt;='Exec Summary'!$E$1,H931&lt;='Exec Summary'!$E$2),1,0)</f>
        <v>0</v>
      </c>
      <c r="T931" s="7" t="n">
        <f aca="false">IF(AND(F931="Closed",I931&lt;&gt;"",I931&gt;='Exec Summary'!$E$1,I931&lt;='Exec Summary'!$E$2),1,0)</f>
        <v>0</v>
      </c>
      <c r="U931" s="7" t="n">
        <f aca="false">IF(F931="Reopened",1,0)</f>
        <v>0</v>
      </c>
      <c r="V931" s="7" t="n">
        <f aca="false">IF(AND(R931=1,O931&gt;Q931),1,0)</f>
        <v>0</v>
      </c>
      <c r="W931" s="7" t="n">
        <f aca="false">IF(AND(T931=1,P931&lt;&gt;"",P931&lt;=Q931),1,0)</f>
        <v>0</v>
      </c>
    </row>
    <row r="932" customFormat="false" ht="15" hidden="false" customHeight="false" outlineLevel="0" collapsed="false">
      <c r="A932" s="7" t="s">
        <v>1171</v>
      </c>
      <c r="B932" s="7" t="s">
        <v>46</v>
      </c>
      <c r="C932" s="7" t="s">
        <v>79</v>
      </c>
      <c r="D932" s="7" t="s">
        <v>81</v>
      </c>
      <c r="E932" s="7" t="s">
        <v>82</v>
      </c>
      <c r="F932" s="7" t="s">
        <v>56</v>
      </c>
      <c r="G932" s="7" t="s">
        <v>20</v>
      </c>
      <c r="H932" s="9" t="n">
        <v>45966</v>
      </c>
      <c r="I932" s="9"/>
      <c r="J932" s="7" t="n">
        <v>7.8</v>
      </c>
      <c r="K932" s="7" t="s">
        <v>1015</v>
      </c>
      <c r="L932" s="7" t="s">
        <v>20</v>
      </c>
      <c r="M932" s="7" t="s">
        <v>1178</v>
      </c>
      <c r="N932" s="7" t="s">
        <v>53</v>
      </c>
      <c r="O932" s="10" t="n">
        <f aca="false">'Exec Summary'!$E$2-H932</f>
        <v>268</v>
      </c>
      <c r="P932" s="10" t="str">
        <f aca="false">IF(I932="","",I932-H932)</f>
        <v/>
      </c>
      <c r="Q932" s="10" t="n">
        <f aca="false">VLOOKUP(G932,$AA$2:$AB$5,2,FALSE())</f>
        <v>30</v>
      </c>
      <c r="R932" s="7" t="n">
        <f aca="false">IF(OR(F932="Open",F932="Reopened"),1,0)</f>
        <v>1</v>
      </c>
      <c r="S932" s="7" t="n">
        <f aca="false">IF(AND(H932&gt;='Exec Summary'!$E$1,H932&lt;='Exec Summary'!$E$2),1,0)</f>
        <v>0</v>
      </c>
      <c r="T932" s="7" t="n">
        <f aca="false">IF(AND(F932="Closed",I932&lt;&gt;"",I932&gt;='Exec Summary'!$E$1,I932&lt;='Exec Summary'!$E$2),1,0)</f>
        <v>0</v>
      </c>
      <c r="U932" s="7" t="n">
        <f aca="false">IF(F932="Reopened",1,0)</f>
        <v>0</v>
      </c>
      <c r="V932" s="7" t="n">
        <f aca="false">IF(AND(R932=1,O932&gt;Q932),1,0)</f>
        <v>1</v>
      </c>
      <c r="W932" s="7" t="n">
        <f aca="false">IF(AND(T932=1,P932&lt;&gt;"",P932&lt;=Q932),1,0)</f>
        <v>0</v>
      </c>
    </row>
    <row r="933" customFormat="false" ht="15" hidden="false" customHeight="false" outlineLevel="0" collapsed="false">
      <c r="A933" s="7" t="s">
        <v>1171</v>
      </c>
      <c r="B933" s="7" t="s">
        <v>46</v>
      </c>
      <c r="C933" s="7" t="s">
        <v>79</v>
      </c>
      <c r="D933" s="7" t="s">
        <v>68</v>
      </c>
      <c r="E933" s="7" t="s">
        <v>69</v>
      </c>
      <c r="F933" s="7" t="s">
        <v>50</v>
      </c>
      <c r="G933" s="7" t="s">
        <v>19</v>
      </c>
      <c r="H933" s="9" t="n">
        <v>46182</v>
      </c>
      <c r="I933" s="9" t="n">
        <v>46205</v>
      </c>
      <c r="J933" s="7" t="n">
        <v>9.8</v>
      </c>
      <c r="K933" s="7" t="s">
        <v>1015</v>
      </c>
      <c r="L933" s="7" t="s">
        <v>20</v>
      </c>
      <c r="M933" s="7" t="s">
        <v>1179</v>
      </c>
      <c r="N933" s="7" t="s">
        <v>58</v>
      </c>
      <c r="O933" s="10" t="n">
        <f aca="false">'Exec Summary'!$E$2-H933</f>
        <v>52</v>
      </c>
      <c r="P933" s="10" t="n">
        <f aca="false">IF(I933="","",I933-H933)</f>
        <v>23</v>
      </c>
      <c r="Q933" s="10" t="n">
        <f aca="false">VLOOKUP(G933,$AA$2:$AB$5,2,FALSE())</f>
        <v>15</v>
      </c>
      <c r="R933" s="7" t="n">
        <f aca="false">IF(OR(F933="Open",F933="Reopened"),1,0)</f>
        <v>0</v>
      </c>
      <c r="S933" s="7" t="n">
        <f aca="false">IF(AND(H933&gt;='Exec Summary'!$E$1,H933&lt;='Exec Summary'!$E$2),1,0)</f>
        <v>0</v>
      </c>
      <c r="T933" s="7" t="n">
        <f aca="false">IF(AND(F933="Closed",I933&lt;&gt;"",I933&gt;='Exec Summary'!$E$1,I933&lt;='Exec Summary'!$E$2),1,0)</f>
        <v>1</v>
      </c>
      <c r="U933" s="7" t="n">
        <f aca="false">IF(F933="Reopened",1,0)</f>
        <v>0</v>
      </c>
      <c r="V933" s="7" t="n">
        <f aca="false">IF(AND(R933=1,O933&gt;Q933),1,0)</f>
        <v>0</v>
      </c>
      <c r="W933" s="7" t="n">
        <f aca="false">IF(AND(T933=1,P933&lt;&gt;"",P933&lt;=Q933),1,0)</f>
        <v>0</v>
      </c>
    </row>
    <row r="934" customFormat="false" ht="15" hidden="false" customHeight="false" outlineLevel="0" collapsed="false">
      <c r="A934" s="7" t="s">
        <v>1171</v>
      </c>
      <c r="B934" s="7" t="s">
        <v>46</v>
      </c>
      <c r="C934" s="7" t="s">
        <v>79</v>
      </c>
      <c r="D934" s="7" t="s">
        <v>145</v>
      </c>
      <c r="E934" s="7" t="s">
        <v>146</v>
      </c>
      <c r="F934" s="7" t="s">
        <v>50</v>
      </c>
      <c r="G934" s="7" t="s">
        <v>19</v>
      </c>
      <c r="H934" s="9" t="n">
        <v>46064</v>
      </c>
      <c r="I934" s="9" t="n">
        <v>46075</v>
      </c>
      <c r="J934" s="7" t="n">
        <v>9.8</v>
      </c>
      <c r="K934" s="7" t="s">
        <v>1015</v>
      </c>
      <c r="L934" s="7" t="s">
        <v>20</v>
      </c>
      <c r="M934" s="7" t="s">
        <v>1180</v>
      </c>
      <c r="N934" s="7" t="s">
        <v>58</v>
      </c>
      <c r="O934" s="10" t="n">
        <f aca="false">'Exec Summary'!$E$2-H934</f>
        <v>170</v>
      </c>
      <c r="P934" s="10" t="n">
        <f aca="false">IF(I934="","",I934-H934)</f>
        <v>11</v>
      </c>
      <c r="Q934" s="10" t="n">
        <f aca="false">VLOOKUP(G934,$AA$2:$AB$5,2,FALSE())</f>
        <v>15</v>
      </c>
      <c r="R934" s="7" t="n">
        <f aca="false">IF(OR(F934="Open",F934="Reopened"),1,0)</f>
        <v>0</v>
      </c>
      <c r="S934" s="7" t="n">
        <f aca="false">IF(AND(H934&gt;='Exec Summary'!$E$1,H934&lt;='Exec Summary'!$E$2),1,0)</f>
        <v>0</v>
      </c>
      <c r="T934" s="7" t="n">
        <f aca="false">IF(AND(F934="Closed",I934&lt;&gt;"",I934&gt;='Exec Summary'!$E$1,I934&lt;='Exec Summary'!$E$2),1,0)</f>
        <v>0</v>
      </c>
      <c r="U934" s="7" t="n">
        <f aca="false">IF(F934="Reopened",1,0)</f>
        <v>0</v>
      </c>
      <c r="V934" s="7" t="n">
        <f aca="false">IF(AND(R934=1,O934&gt;Q934),1,0)</f>
        <v>0</v>
      </c>
      <c r="W934" s="7" t="n">
        <f aca="false">IF(AND(T934=1,P934&lt;&gt;"",P934&lt;=Q934),1,0)</f>
        <v>0</v>
      </c>
    </row>
    <row r="935" customFormat="false" ht="15" hidden="false" customHeight="false" outlineLevel="0" collapsed="false">
      <c r="A935" s="7" t="s">
        <v>1171</v>
      </c>
      <c r="B935" s="7" t="s">
        <v>46</v>
      </c>
      <c r="C935" s="7" t="s">
        <v>79</v>
      </c>
      <c r="D935" s="7" t="s">
        <v>59</v>
      </c>
      <c r="E935" s="7" t="s">
        <v>60</v>
      </c>
      <c r="F935" s="7" t="s">
        <v>50</v>
      </c>
      <c r="G935" s="7" t="s">
        <v>19</v>
      </c>
      <c r="H935" s="9" t="n">
        <v>46141</v>
      </c>
      <c r="I935" s="9" t="n">
        <v>46156</v>
      </c>
      <c r="J935" s="7" t="n">
        <v>7.8</v>
      </c>
      <c r="K935" s="7" t="s">
        <v>1015</v>
      </c>
      <c r="L935" s="7" t="s">
        <v>20</v>
      </c>
      <c r="M935" s="7" t="s">
        <v>1181</v>
      </c>
      <c r="N935" s="7" t="s">
        <v>58</v>
      </c>
      <c r="O935" s="10" t="n">
        <f aca="false">'Exec Summary'!$E$2-H935</f>
        <v>93</v>
      </c>
      <c r="P935" s="10" t="n">
        <f aca="false">IF(I935="","",I935-H935)</f>
        <v>15</v>
      </c>
      <c r="Q935" s="10" t="n">
        <f aca="false">VLOOKUP(G935,$AA$2:$AB$5,2,FALSE())</f>
        <v>15</v>
      </c>
      <c r="R935" s="7" t="n">
        <f aca="false">IF(OR(F935="Open",F935="Reopened"),1,0)</f>
        <v>0</v>
      </c>
      <c r="S935" s="7" t="n">
        <f aca="false">IF(AND(H935&gt;='Exec Summary'!$E$1,H935&lt;='Exec Summary'!$E$2),1,0)</f>
        <v>0</v>
      </c>
      <c r="T935" s="7" t="n">
        <f aca="false">IF(AND(F935="Closed",I935&lt;&gt;"",I935&gt;='Exec Summary'!$E$1,I935&lt;='Exec Summary'!$E$2),1,0)</f>
        <v>0</v>
      </c>
      <c r="U935" s="7" t="n">
        <f aca="false">IF(F935="Reopened",1,0)</f>
        <v>0</v>
      </c>
      <c r="V935" s="7" t="n">
        <f aca="false">IF(AND(R935=1,O935&gt;Q935),1,0)</f>
        <v>0</v>
      </c>
      <c r="W935" s="7" t="n">
        <f aca="false">IF(AND(T935=1,P935&lt;&gt;"",P935&lt;=Q935),1,0)</f>
        <v>0</v>
      </c>
    </row>
    <row r="936" customFormat="false" ht="15" hidden="false" customHeight="false" outlineLevel="0" collapsed="false">
      <c r="A936" s="7" t="s">
        <v>1171</v>
      </c>
      <c r="B936" s="7" t="s">
        <v>46</v>
      </c>
      <c r="C936" s="7" t="s">
        <v>79</v>
      </c>
      <c r="D936" s="7" t="s">
        <v>166</v>
      </c>
      <c r="E936" s="7" t="s">
        <v>167</v>
      </c>
      <c r="F936" s="7" t="s">
        <v>50</v>
      </c>
      <c r="G936" s="7" t="s">
        <v>19</v>
      </c>
      <c r="H936" s="9" t="n">
        <v>46088</v>
      </c>
      <c r="I936" s="9" t="n">
        <v>46097</v>
      </c>
      <c r="J936" s="7" t="n">
        <v>9.8</v>
      </c>
      <c r="K936" s="7" t="s">
        <v>1015</v>
      </c>
      <c r="L936" s="7" t="s">
        <v>20</v>
      </c>
      <c r="M936" s="7" t="s">
        <v>1182</v>
      </c>
      <c r="N936" s="7" t="s">
        <v>58</v>
      </c>
      <c r="O936" s="10" t="n">
        <f aca="false">'Exec Summary'!$E$2-H936</f>
        <v>146</v>
      </c>
      <c r="P936" s="10" t="n">
        <f aca="false">IF(I936="","",I936-H936)</f>
        <v>9</v>
      </c>
      <c r="Q936" s="10" t="n">
        <f aca="false">VLOOKUP(G936,$AA$2:$AB$5,2,FALSE())</f>
        <v>15</v>
      </c>
      <c r="R936" s="7" t="n">
        <f aca="false">IF(OR(F936="Open",F936="Reopened"),1,0)</f>
        <v>0</v>
      </c>
      <c r="S936" s="7" t="n">
        <f aca="false">IF(AND(H936&gt;='Exec Summary'!$E$1,H936&lt;='Exec Summary'!$E$2),1,0)</f>
        <v>0</v>
      </c>
      <c r="T936" s="7" t="n">
        <f aca="false">IF(AND(F936="Closed",I936&lt;&gt;"",I936&gt;='Exec Summary'!$E$1,I936&lt;='Exec Summary'!$E$2),1,0)</f>
        <v>0</v>
      </c>
      <c r="U936" s="7" t="n">
        <f aca="false">IF(F936="Reopened",1,0)</f>
        <v>0</v>
      </c>
      <c r="V936" s="7" t="n">
        <f aca="false">IF(AND(R936=1,O936&gt;Q936),1,0)</f>
        <v>0</v>
      </c>
      <c r="W936" s="7" t="n">
        <f aca="false">IF(AND(T936=1,P936&lt;&gt;"",P936&lt;=Q936),1,0)</f>
        <v>0</v>
      </c>
    </row>
    <row r="937" customFormat="false" ht="15" hidden="false" customHeight="false" outlineLevel="0" collapsed="false">
      <c r="A937" s="7" t="s">
        <v>1183</v>
      </c>
      <c r="B937" s="7" t="s">
        <v>46</v>
      </c>
      <c r="C937" s="7" t="s">
        <v>177</v>
      </c>
      <c r="D937" s="7" t="s">
        <v>98</v>
      </c>
      <c r="E937" s="7" t="s">
        <v>99</v>
      </c>
      <c r="F937" s="7" t="s">
        <v>50</v>
      </c>
      <c r="G937" s="7" t="s">
        <v>19</v>
      </c>
      <c r="H937" s="9" t="n">
        <v>46217</v>
      </c>
      <c r="I937" s="9" t="n">
        <v>46230</v>
      </c>
      <c r="J937" s="7" t="n">
        <v>10</v>
      </c>
      <c r="K937" s="7" t="s">
        <v>1184</v>
      </c>
      <c r="L937" s="7" t="s">
        <v>20</v>
      </c>
      <c r="M937" s="7" t="s">
        <v>1185</v>
      </c>
      <c r="N937" s="7" t="s">
        <v>58</v>
      </c>
      <c r="O937" s="10" t="n">
        <f aca="false">'Exec Summary'!$E$2-H937</f>
        <v>17</v>
      </c>
      <c r="P937" s="10" t="n">
        <f aca="false">IF(I937="","",I937-H937)</f>
        <v>13</v>
      </c>
      <c r="Q937" s="10" t="n">
        <f aca="false">VLOOKUP(G937,$AA$2:$AB$5,2,FALSE())</f>
        <v>15</v>
      </c>
      <c r="R937" s="7" t="n">
        <f aca="false">IF(OR(F937="Open",F937="Reopened"),1,0)</f>
        <v>0</v>
      </c>
      <c r="S937" s="7" t="n">
        <f aca="false">IF(AND(H937&gt;='Exec Summary'!$E$1,H937&lt;='Exec Summary'!$E$2),1,0)</f>
        <v>1</v>
      </c>
      <c r="T937" s="7" t="n">
        <f aca="false">IF(AND(F937="Closed",I937&lt;&gt;"",I937&gt;='Exec Summary'!$E$1,I937&lt;='Exec Summary'!$E$2),1,0)</f>
        <v>1</v>
      </c>
      <c r="U937" s="7" t="n">
        <f aca="false">IF(F937="Reopened",1,0)</f>
        <v>0</v>
      </c>
      <c r="V937" s="7" t="n">
        <f aca="false">IF(AND(R937=1,O937&gt;Q937),1,0)</f>
        <v>0</v>
      </c>
      <c r="W937" s="7" t="n">
        <f aca="false">IF(AND(T937=1,P937&lt;&gt;"",P937&lt;=Q937),1,0)</f>
        <v>1</v>
      </c>
    </row>
    <row r="938" customFormat="false" ht="15" hidden="false" customHeight="false" outlineLevel="0" collapsed="false">
      <c r="A938" s="7" t="s">
        <v>1183</v>
      </c>
      <c r="B938" s="7" t="s">
        <v>46</v>
      </c>
      <c r="C938" s="7" t="s">
        <v>177</v>
      </c>
      <c r="D938" s="7" t="s">
        <v>152</v>
      </c>
      <c r="E938" s="7" t="s">
        <v>153</v>
      </c>
      <c r="F938" s="7" t="s">
        <v>50</v>
      </c>
      <c r="G938" s="7" t="s">
        <v>20</v>
      </c>
      <c r="H938" s="9" t="n">
        <v>46060</v>
      </c>
      <c r="I938" s="9" t="n">
        <v>46065</v>
      </c>
      <c r="J938" s="7" t="n">
        <v>7.5</v>
      </c>
      <c r="K938" s="7" t="s">
        <v>1184</v>
      </c>
      <c r="L938" s="7" t="s">
        <v>20</v>
      </c>
      <c r="M938" s="7" t="s">
        <v>1186</v>
      </c>
      <c r="N938" s="7" t="s">
        <v>53</v>
      </c>
      <c r="O938" s="10" t="n">
        <f aca="false">'Exec Summary'!$E$2-H938</f>
        <v>174</v>
      </c>
      <c r="P938" s="10" t="n">
        <f aca="false">IF(I938="","",I938-H938)</f>
        <v>5</v>
      </c>
      <c r="Q938" s="10" t="n">
        <f aca="false">VLOOKUP(G938,$AA$2:$AB$5,2,FALSE())</f>
        <v>30</v>
      </c>
      <c r="R938" s="7" t="n">
        <f aca="false">IF(OR(F938="Open",F938="Reopened"),1,0)</f>
        <v>0</v>
      </c>
      <c r="S938" s="7" t="n">
        <f aca="false">IF(AND(H938&gt;='Exec Summary'!$E$1,H938&lt;='Exec Summary'!$E$2),1,0)</f>
        <v>0</v>
      </c>
      <c r="T938" s="7" t="n">
        <f aca="false">IF(AND(F938="Closed",I938&lt;&gt;"",I938&gt;='Exec Summary'!$E$1,I938&lt;='Exec Summary'!$E$2),1,0)</f>
        <v>0</v>
      </c>
      <c r="U938" s="7" t="n">
        <f aca="false">IF(F938="Reopened",1,0)</f>
        <v>0</v>
      </c>
      <c r="V938" s="7" t="n">
        <f aca="false">IF(AND(R938=1,O938&gt;Q938),1,0)</f>
        <v>0</v>
      </c>
      <c r="W938" s="7" t="n">
        <f aca="false">IF(AND(T938=1,P938&lt;&gt;"",P938&lt;=Q938),1,0)</f>
        <v>0</v>
      </c>
    </row>
    <row r="939" customFormat="false" ht="15" hidden="false" customHeight="false" outlineLevel="0" collapsed="false">
      <c r="A939" s="7" t="s">
        <v>1183</v>
      </c>
      <c r="B939" s="7" t="s">
        <v>46</v>
      </c>
      <c r="C939" s="7" t="s">
        <v>177</v>
      </c>
      <c r="D939" s="7" t="s">
        <v>65</v>
      </c>
      <c r="E939" s="7" t="s">
        <v>66</v>
      </c>
      <c r="F939" s="7" t="s">
        <v>56</v>
      </c>
      <c r="G939" s="7" t="s">
        <v>19</v>
      </c>
      <c r="H939" s="9" t="n">
        <v>46027</v>
      </c>
      <c r="I939" s="9"/>
      <c r="J939" s="7" t="n">
        <v>9.8</v>
      </c>
      <c r="K939" s="7" t="s">
        <v>1184</v>
      </c>
      <c r="L939" s="7" t="s">
        <v>20</v>
      </c>
      <c r="M939" s="7" t="s">
        <v>1187</v>
      </c>
      <c r="N939" s="7" t="s">
        <v>58</v>
      </c>
      <c r="O939" s="10" t="n">
        <f aca="false">'Exec Summary'!$E$2-H939</f>
        <v>207</v>
      </c>
      <c r="P939" s="10" t="str">
        <f aca="false">IF(I939="","",I939-H939)</f>
        <v/>
      </c>
      <c r="Q939" s="10" t="n">
        <f aca="false">VLOOKUP(G939,$AA$2:$AB$5,2,FALSE())</f>
        <v>15</v>
      </c>
      <c r="R939" s="7" t="n">
        <f aca="false">IF(OR(F939="Open",F939="Reopened"),1,0)</f>
        <v>1</v>
      </c>
      <c r="S939" s="7" t="n">
        <f aca="false">IF(AND(H939&gt;='Exec Summary'!$E$1,H939&lt;='Exec Summary'!$E$2),1,0)</f>
        <v>0</v>
      </c>
      <c r="T939" s="7" t="n">
        <f aca="false">IF(AND(F939="Closed",I939&lt;&gt;"",I939&gt;='Exec Summary'!$E$1,I939&lt;='Exec Summary'!$E$2),1,0)</f>
        <v>0</v>
      </c>
      <c r="U939" s="7" t="n">
        <f aca="false">IF(F939="Reopened",1,0)</f>
        <v>0</v>
      </c>
      <c r="V939" s="7" t="n">
        <f aca="false">IF(AND(R939=1,O939&gt;Q939),1,0)</f>
        <v>1</v>
      </c>
      <c r="W939" s="7" t="n">
        <f aca="false">IF(AND(T939=1,P939&lt;&gt;"",P939&lt;=Q939),1,0)</f>
        <v>0</v>
      </c>
    </row>
    <row r="940" customFormat="false" ht="15" hidden="false" customHeight="false" outlineLevel="0" collapsed="false">
      <c r="A940" s="7" t="s">
        <v>1183</v>
      </c>
      <c r="B940" s="7" t="s">
        <v>46</v>
      </c>
      <c r="C940" s="7" t="s">
        <v>177</v>
      </c>
      <c r="D940" s="7" t="s">
        <v>120</v>
      </c>
      <c r="E940" s="7" t="s">
        <v>121</v>
      </c>
      <c r="F940" s="7" t="s">
        <v>50</v>
      </c>
      <c r="G940" s="7" t="s">
        <v>19</v>
      </c>
      <c r="H940" s="9" t="n">
        <v>46125</v>
      </c>
      <c r="I940" s="9" t="n">
        <v>46130</v>
      </c>
      <c r="J940" s="7" t="n">
        <v>8.8</v>
      </c>
      <c r="K940" s="7" t="s">
        <v>1184</v>
      </c>
      <c r="L940" s="7" t="s">
        <v>20</v>
      </c>
      <c r="M940" s="7" t="s">
        <v>1188</v>
      </c>
      <c r="N940" s="7" t="s">
        <v>58</v>
      </c>
      <c r="O940" s="10" t="n">
        <f aca="false">'Exec Summary'!$E$2-H940</f>
        <v>109</v>
      </c>
      <c r="P940" s="10" t="n">
        <f aca="false">IF(I940="","",I940-H940)</f>
        <v>5</v>
      </c>
      <c r="Q940" s="10" t="n">
        <f aca="false">VLOOKUP(G940,$AA$2:$AB$5,2,FALSE())</f>
        <v>15</v>
      </c>
      <c r="R940" s="7" t="n">
        <f aca="false">IF(OR(F940="Open",F940="Reopened"),1,0)</f>
        <v>0</v>
      </c>
      <c r="S940" s="7" t="n">
        <f aca="false">IF(AND(H940&gt;='Exec Summary'!$E$1,H940&lt;='Exec Summary'!$E$2),1,0)</f>
        <v>0</v>
      </c>
      <c r="T940" s="7" t="n">
        <f aca="false">IF(AND(F940="Closed",I940&lt;&gt;"",I940&gt;='Exec Summary'!$E$1,I940&lt;='Exec Summary'!$E$2),1,0)</f>
        <v>0</v>
      </c>
      <c r="U940" s="7" t="n">
        <f aca="false">IF(F940="Reopened",1,0)</f>
        <v>0</v>
      </c>
      <c r="V940" s="7" t="n">
        <f aca="false">IF(AND(R940=1,O940&gt;Q940),1,0)</f>
        <v>0</v>
      </c>
      <c r="W940" s="7" t="n">
        <f aca="false">IF(AND(T940=1,P940&lt;&gt;"",P940&lt;=Q940),1,0)</f>
        <v>0</v>
      </c>
    </row>
    <row r="941" customFormat="false" ht="15" hidden="false" customHeight="false" outlineLevel="0" collapsed="false">
      <c r="A941" s="7" t="s">
        <v>1183</v>
      </c>
      <c r="B941" s="7" t="s">
        <v>46</v>
      </c>
      <c r="C941" s="7" t="s">
        <v>177</v>
      </c>
      <c r="D941" s="7" t="s">
        <v>68</v>
      </c>
      <c r="E941" s="7" t="s">
        <v>69</v>
      </c>
      <c r="F941" s="7" t="s">
        <v>123</v>
      </c>
      <c r="G941" s="7" t="s">
        <v>19</v>
      </c>
      <c r="H941" s="9" t="n">
        <v>46008</v>
      </c>
      <c r="I941" s="9" t="n">
        <v>46019</v>
      </c>
      <c r="J941" s="7" t="n">
        <v>9.8</v>
      </c>
      <c r="K941" s="7" t="s">
        <v>1184</v>
      </c>
      <c r="L941" s="7" t="s">
        <v>20</v>
      </c>
      <c r="M941" s="7" t="s">
        <v>1189</v>
      </c>
      <c r="N941" s="7" t="s">
        <v>58</v>
      </c>
      <c r="O941" s="10" t="n">
        <f aca="false">'Exec Summary'!$E$2-H941</f>
        <v>226</v>
      </c>
      <c r="P941" s="10" t="n">
        <f aca="false">IF(I941="","",I941-H941)</f>
        <v>11</v>
      </c>
      <c r="Q941" s="10" t="n">
        <f aca="false">VLOOKUP(G941,$AA$2:$AB$5,2,FALSE())</f>
        <v>15</v>
      </c>
      <c r="R941" s="7" t="n">
        <f aca="false">IF(OR(F941="Open",F941="Reopened"),1,0)</f>
        <v>1</v>
      </c>
      <c r="S941" s="7" t="n">
        <f aca="false">IF(AND(H941&gt;='Exec Summary'!$E$1,H941&lt;='Exec Summary'!$E$2),1,0)</f>
        <v>0</v>
      </c>
      <c r="T941" s="7" t="n">
        <f aca="false">IF(AND(F941="Closed",I941&lt;&gt;"",I941&gt;='Exec Summary'!$E$1,I941&lt;='Exec Summary'!$E$2),1,0)</f>
        <v>0</v>
      </c>
      <c r="U941" s="7" t="n">
        <f aca="false">IF(F941="Reopened",1,0)</f>
        <v>1</v>
      </c>
      <c r="V941" s="7" t="n">
        <f aca="false">IF(AND(R941=1,O941&gt;Q941),1,0)</f>
        <v>1</v>
      </c>
      <c r="W941" s="7" t="n">
        <f aca="false">IF(AND(T941=1,P941&lt;&gt;"",P941&lt;=Q941),1,0)</f>
        <v>0</v>
      </c>
    </row>
    <row r="942" customFormat="false" ht="15" hidden="false" customHeight="false" outlineLevel="0" collapsed="false">
      <c r="A942" s="7" t="s">
        <v>1183</v>
      </c>
      <c r="B942" s="7" t="s">
        <v>46</v>
      </c>
      <c r="C942" s="7" t="s">
        <v>177</v>
      </c>
      <c r="D942" s="7" t="s">
        <v>210</v>
      </c>
      <c r="E942" s="7" t="s">
        <v>211</v>
      </c>
      <c r="F942" s="7" t="s">
        <v>56</v>
      </c>
      <c r="G942" s="7" t="s">
        <v>19</v>
      </c>
      <c r="H942" s="9" t="n">
        <v>46126</v>
      </c>
      <c r="I942" s="9"/>
      <c r="J942" s="7" t="n">
        <v>9.8</v>
      </c>
      <c r="K942" s="7" t="s">
        <v>1184</v>
      </c>
      <c r="L942" s="7" t="s">
        <v>20</v>
      </c>
      <c r="M942" s="7" t="s">
        <v>1190</v>
      </c>
      <c r="N942" s="7" t="s">
        <v>58</v>
      </c>
      <c r="O942" s="10" t="n">
        <f aca="false">'Exec Summary'!$E$2-H942</f>
        <v>108</v>
      </c>
      <c r="P942" s="10" t="str">
        <f aca="false">IF(I942="","",I942-H942)</f>
        <v/>
      </c>
      <c r="Q942" s="10" t="n">
        <f aca="false">VLOOKUP(G942,$AA$2:$AB$5,2,FALSE())</f>
        <v>15</v>
      </c>
      <c r="R942" s="7" t="n">
        <f aca="false">IF(OR(F942="Open",F942="Reopened"),1,0)</f>
        <v>1</v>
      </c>
      <c r="S942" s="7" t="n">
        <f aca="false">IF(AND(H942&gt;='Exec Summary'!$E$1,H942&lt;='Exec Summary'!$E$2),1,0)</f>
        <v>0</v>
      </c>
      <c r="T942" s="7" t="n">
        <f aca="false">IF(AND(F942="Closed",I942&lt;&gt;"",I942&gt;='Exec Summary'!$E$1,I942&lt;='Exec Summary'!$E$2),1,0)</f>
        <v>0</v>
      </c>
      <c r="U942" s="7" t="n">
        <f aca="false">IF(F942="Reopened",1,0)</f>
        <v>0</v>
      </c>
      <c r="V942" s="7" t="n">
        <f aca="false">IF(AND(R942=1,O942&gt;Q942),1,0)</f>
        <v>1</v>
      </c>
      <c r="W942" s="7" t="n">
        <f aca="false">IF(AND(T942=1,P942&lt;&gt;"",P942&lt;=Q942),1,0)</f>
        <v>0</v>
      </c>
    </row>
    <row r="943" customFormat="false" ht="15" hidden="false" customHeight="false" outlineLevel="0" collapsed="false">
      <c r="A943" s="7" t="s">
        <v>1183</v>
      </c>
      <c r="B943" s="7" t="s">
        <v>46</v>
      </c>
      <c r="C943" s="7" t="s">
        <v>177</v>
      </c>
      <c r="D943" s="7" t="s">
        <v>173</v>
      </c>
      <c r="E943" s="7" t="s">
        <v>174</v>
      </c>
      <c r="F943" s="7" t="s">
        <v>50</v>
      </c>
      <c r="G943" s="7" t="s">
        <v>19</v>
      </c>
      <c r="H943" s="9" t="n">
        <v>45935</v>
      </c>
      <c r="I943" s="9" t="n">
        <v>45948</v>
      </c>
      <c r="J943" s="7" t="n">
        <v>9.8</v>
      </c>
      <c r="K943" s="7" t="s">
        <v>1184</v>
      </c>
      <c r="L943" s="7" t="s">
        <v>20</v>
      </c>
      <c r="M943" s="7" t="s">
        <v>1191</v>
      </c>
      <c r="N943" s="7" t="s">
        <v>58</v>
      </c>
      <c r="O943" s="10" t="n">
        <f aca="false">'Exec Summary'!$E$2-H943</f>
        <v>299</v>
      </c>
      <c r="P943" s="10" t="n">
        <f aca="false">IF(I943="","",I943-H943)</f>
        <v>13</v>
      </c>
      <c r="Q943" s="10" t="n">
        <f aca="false">VLOOKUP(G943,$AA$2:$AB$5,2,FALSE())</f>
        <v>15</v>
      </c>
      <c r="R943" s="7" t="n">
        <f aca="false">IF(OR(F943="Open",F943="Reopened"),1,0)</f>
        <v>0</v>
      </c>
      <c r="S943" s="7" t="n">
        <f aca="false">IF(AND(H943&gt;='Exec Summary'!$E$1,H943&lt;='Exec Summary'!$E$2),1,0)</f>
        <v>0</v>
      </c>
      <c r="T943" s="7" t="n">
        <f aca="false">IF(AND(F943="Closed",I943&lt;&gt;"",I943&gt;='Exec Summary'!$E$1,I943&lt;='Exec Summary'!$E$2),1,0)</f>
        <v>0</v>
      </c>
      <c r="U943" s="7" t="n">
        <f aca="false">IF(F943="Reopened",1,0)</f>
        <v>0</v>
      </c>
      <c r="V943" s="7" t="n">
        <f aca="false">IF(AND(R943=1,O943&gt;Q943),1,0)</f>
        <v>0</v>
      </c>
      <c r="W943" s="7" t="n">
        <f aca="false">IF(AND(T943=1,P943&lt;&gt;"",P943&lt;=Q943),1,0)</f>
        <v>0</v>
      </c>
    </row>
    <row r="944" customFormat="false" ht="15" hidden="false" customHeight="false" outlineLevel="0" collapsed="false">
      <c r="A944" s="7" t="s">
        <v>1183</v>
      </c>
      <c r="B944" s="7" t="s">
        <v>46</v>
      </c>
      <c r="C944" s="7" t="s">
        <v>177</v>
      </c>
      <c r="D944" s="7" t="s">
        <v>87</v>
      </c>
      <c r="E944" s="7" t="s">
        <v>88</v>
      </c>
      <c r="F944" s="7" t="s">
        <v>50</v>
      </c>
      <c r="G944" s="7" t="s">
        <v>19</v>
      </c>
      <c r="H944" s="9" t="n">
        <v>46195</v>
      </c>
      <c r="I944" s="9" t="n">
        <v>46201</v>
      </c>
      <c r="J944" s="7" t="n">
        <v>10</v>
      </c>
      <c r="K944" s="7" t="s">
        <v>1184</v>
      </c>
      <c r="L944" s="7" t="s">
        <v>20</v>
      </c>
      <c r="M944" s="7" t="s">
        <v>1192</v>
      </c>
      <c r="N944" s="7" t="s">
        <v>58</v>
      </c>
      <c r="O944" s="10" t="n">
        <f aca="false">'Exec Summary'!$E$2-H944</f>
        <v>39</v>
      </c>
      <c r="P944" s="10" t="n">
        <f aca="false">IF(I944="","",I944-H944)</f>
        <v>6</v>
      </c>
      <c r="Q944" s="10" t="n">
        <f aca="false">VLOOKUP(G944,$AA$2:$AB$5,2,FALSE())</f>
        <v>15</v>
      </c>
      <c r="R944" s="7" t="n">
        <f aca="false">IF(OR(F944="Open",F944="Reopened"),1,0)</f>
        <v>0</v>
      </c>
      <c r="S944" s="7" t="n">
        <f aca="false">IF(AND(H944&gt;='Exec Summary'!$E$1,H944&lt;='Exec Summary'!$E$2),1,0)</f>
        <v>0</v>
      </c>
      <c r="T944" s="7" t="n">
        <f aca="false">IF(AND(F944="Closed",I944&lt;&gt;"",I944&gt;='Exec Summary'!$E$1,I944&lt;='Exec Summary'!$E$2),1,0)</f>
        <v>0</v>
      </c>
      <c r="U944" s="7" t="n">
        <f aca="false">IF(F944="Reopened",1,0)</f>
        <v>0</v>
      </c>
      <c r="V944" s="7" t="n">
        <f aca="false">IF(AND(R944=1,O944&gt;Q944),1,0)</f>
        <v>0</v>
      </c>
      <c r="W944" s="7" t="n">
        <f aca="false">IF(AND(T944=1,P944&lt;&gt;"",P944&lt;=Q944),1,0)</f>
        <v>0</v>
      </c>
    </row>
    <row r="945" customFormat="false" ht="15" hidden="false" customHeight="false" outlineLevel="0" collapsed="false">
      <c r="A945" s="7" t="s">
        <v>1183</v>
      </c>
      <c r="B945" s="7" t="s">
        <v>46</v>
      </c>
      <c r="C945" s="7" t="s">
        <v>177</v>
      </c>
      <c r="D945" s="7" t="s">
        <v>74</v>
      </c>
      <c r="E945" s="7" t="s">
        <v>75</v>
      </c>
      <c r="F945" s="7" t="s">
        <v>56</v>
      </c>
      <c r="G945" s="7" t="s">
        <v>21</v>
      </c>
      <c r="H945" s="9" t="n">
        <v>46152</v>
      </c>
      <c r="I945" s="9"/>
      <c r="J945" s="7" t="n">
        <v>6.5</v>
      </c>
      <c r="K945" s="7" t="s">
        <v>1184</v>
      </c>
      <c r="L945" s="7" t="s">
        <v>20</v>
      </c>
      <c r="M945" s="7" t="s">
        <v>1193</v>
      </c>
      <c r="N945" s="7" t="s">
        <v>77</v>
      </c>
      <c r="O945" s="10" t="n">
        <f aca="false">'Exec Summary'!$E$2-H945</f>
        <v>82</v>
      </c>
      <c r="P945" s="10" t="str">
        <f aca="false">IF(I945="","",I945-H945)</f>
        <v/>
      </c>
      <c r="Q945" s="10" t="n">
        <f aca="false">VLOOKUP(G945,$AA$2:$AB$5,2,FALSE())</f>
        <v>90</v>
      </c>
      <c r="R945" s="7" t="n">
        <f aca="false">IF(OR(F945="Open",F945="Reopened"),1,0)</f>
        <v>1</v>
      </c>
      <c r="S945" s="7" t="n">
        <f aca="false">IF(AND(H945&gt;='Exec Summary'!$E$1,H945&lt;='Exec Summary'!$E$2),1,0)</f>
        <v>0</v>
      </c>
      <c r="T945" s="7" t="n">
        <f aca="false">IF(AND(F945="Closed",I945&lt;&gt;"",I945&gt;='Exec Summary'!$E$1,I945&lt;='Exec Summary'!$E$2),1,0)</f>
        <v>0</v>
      </c>
      <c r="U945" s="7" t="n">
        <f aca="false">IF(F945="Reopened",1,0)</f>
        <v>0</v>
      </c>
      <c r="V945" s="7" t="n">
        <f aca="false">IF(AND(R945=1,O945&gt;Q945),1,0)</f>
        <v>0</v>
      </c>
      <c r="W945" s="7" t="n">
        <f aca="false">IF(AND(T945=1,P945&lt;&gt;"",P945&lt;=Q945),1,0)</f>
        <v>0</v>
      </c>
    </row>
    <row r="946" customFormat="false" ht="15" hidden="false" customHeight="false" outlineLevel="0" collapsed="false">
      <c r="A946" s="7" t="s">
        <v>1183</v>
      </c>
      <c r="B946" s="7" t="s">
        <v>46</v>
      </c>
      <c r="C946" s="7" t="s">
        <v>177</v>
      </c>
      <c r="D946" s="7" t="s">
        <v>166</v>
      </c>
      <c r="E946" s="7" t="s">
        <v>167</v>
      </c>
      <c r="F946" s="7" t="s">
        <v>50</v>
      </c>
      <c r="G946" s="7" t="s">
        <v>19</v>
      </c>
      <c r="H946" s="9" t="n">
        <v>45989</v>
      </c>
      <c r="I946" s="9" t="n">
        <v>45997</v>
      </c>
      <c r="J946" s="7" t="n">
        <v>9.8</v>
      </c>
      <c r="K946" s="7" t="s">
        <v>1184</v>
      </c>
      <c r="L946" s="7" t="s">
        <v>20</v>
      </c>
      <c r="M946" s="7" t="s">
        <v>1194</v>
      </c>
      <c r="N946" s="7" t="s">
        <v>58</v>
      </c>
      <c r="O946" s="10" t="n">
        <f aca="false">'Exec Summary'!$E$2-H946</f>
        <v>245</v>
      </c>
      <c r="P946" s="10" t="n">
        <f aca="false">IF(I946="","",I946-H946)</f>
        <v>8</v>
      </c>
      <c r="Q946" s="10" t="n">
        <f aca="false">VLOOKUP(G946,$AA$2:$AB$5,2,FALSE())</f>
        <v>15</v>
      </c>
      <c r="R946" s="7" t="n">
        <f aca="false">IF(OR(F946="Open",F946="Reopened"),1,0)</f>
        <v>0</v>
      </c>
      <c r="S946" s="7" t="n">
        <f aca="false">IF(AND(H946&gt;='Exec Summary'!$E$1,H946&lt;='Exec Summary'!$E$2),1,0)</f>
        <v>0</v>
      </c>
      <c r="T946" s="7" t="n">
        <f aca="false">IF(AND(F946="Closed",I946&lt;&gt;"",I946&gt;='Exec Summary'!$E$1,I946&lt;='Exec Summary'!$E$2),1,0)</f>
        <v>0</v>
      </c>
      <c r="U946" s="7" t="n">
        <f aca="false">IF(F946="Reopened",1,0)</f>
        <v>0</v>
      </c>
      <c r="V946" s="7" t="n">
        <f aca="false">IF(AND(R946=1,O946&gt;Q946),1,0)</f>
        <v>0</v>
      </c>
      <c r="W946" s="7" t="n">
        <f aca="false">IF(AND(T946=1,P946&lt;&gt;"",P946&lt;=Q946),1,0)</f>
        <v>0</v>
      </c>
    </row>
    <row r="947" customFormat="false" ht="15" hidden="false" customHeight="false" outlineLevel="0" collapsed="false">
      <c r="A947" s="7" t="s">
        <v>1183</v>
      </c>
      <c r="B947" s="7" t="s">
        <v>46</v>
      </c>
      <c r="C947" s="7" t="s">
        <v>177</v>
      </c>
      <c r="D947" s="7" t="s">
        <v>91</v>
      </c>
      <c r="E947" s="7" t="s">
        <v>92</v>
      </c>
      <c r="F947" s="7" t="s">
        <v>123</v>
      </c>
      <c r="G947" s="7" t="s">
        <v>20</v>
      </c>
      <c r="H947" s="9" t="n">
        <v>45961</v>
      </c>
      <c r="I947" s="9" t="n">
        <v>45987</v>
      </c>
      <c r="J947" s="7" t="n">
        <v>8.1</v>
      </c>
      <c r="K947" s="7" t="s">
        <v>1184</v>
      </c>
      <c r="L947" s="7" t="s">
        <v>20</v>
      </c>
      <c r="M947" s="7" t="s">
        <v>1195</v>
      </c>
      <c r="N947" s="7" t="s">
        <v>53</v>
      </c>
      <c r="O947" s="10" t="n">
        <f aca="false">'Exec Summary'!$E$2-H947</f>
        <v>273</v>
      </c>
      <c r="P947" s="10" t="n">
        <f aca="false">IF(I947="","",I947-H947)</f>
        <v>26</v>
      </c>
      <c r="Q947" s="10" t="n">
        <f aca="false">VLOOKUP(G947,$AA$2:$AB$5,2,FALSE())</f>
        <v>30</v>
      </c>
      <c r="R947" s="7" t="n">
        <f aca="false">IF(OR(F947="Open",F947="Reopened"),1,0)</f>
        <v>1</v>
      </c>
      <c r="S947" s="7" t="n">
        <f aca="false">IF(AND(H947&gt;='Exec Summary'!$E$1,H947&lt;='Exec Summary'!$E$2),1,0)</f>
        <v>0</v>
      </c>
      <c r="T947" s="7" t="n">
        <f aca="false">IF(AND(F947="Closed",I947&lt;&gt;"",I947&gt;='Exec Summary'!$E$1,I947&lt;='Exec Summary'!$E$2),1,0)</f>
        <v>0</v>
      </c>
      <c r="U947" s="7" t="n">
        <f aca="false">IF(F947="Reopened",1,0)</f>
        <v>1</v>
      </c>
      <c r="V947" s="7" t="n">
        <f aca="false">IF(AND(R947=1,O947&gt;Q947),1,0)</f>
        <v>1</v>
      </c>
      <c r="W947" s="7" t="n">
        <f aca="false">IF(AND(T947=1,P947&lt;&gt;"",P947&lt;=Q947),1,0)</f>
        <v>0</v>
      </c>
    </row>
    <row r="948" customFormat="false" ht="15" hidden="false" customHeight="false" outlineLevel="0" collapsed="false">
      <c r="A948" s="7" t="s">
        <v>1196</v>
      </c>
      <c r="B948" s="7" t="s">
        <v>46</v>
      </c>
      <c r="C948" s="7" t="s">
        <v>47</v>
      </c>
      <c r="D948" s="7" t="s">
        <v>210</v>
      </c>
      <c r="E948" s="7" t="s">
        <v>211</v>
      </c>
      <c r="F948" s="7" t="s">
        <v>50</v>
      </c>
      <c r="G948" s="7" t="s">
        <v>19</v>
      </c>
      <c r="H948" s="9" t="n">
        <v>46224</v>
      </c>
      <c r="I948" s="9" t="n">
        <v>46234</v>
      </c>
      <c r="J948" s="7" t="n">
        <v>9.8</v>
      </c>
      <c r="K948" s="7" t="s">
        <v>1184</v>
      </c>
      <c r="L948" s="7" t="s">
        <v>20</v>
      </c>
      <c r="M948" s="7" t="s">
        <v>1197</v>
      </c>
      <c r="N948" s="7" t="s">
        <v>58</v>
      </c>
      <c r="O948" s="10" t="n">
        <f aca="false">'Exec Summary'!$E$2-H948</f>
        <v>10</v>
      </c>
      <c r="P948" s="10" t="n">
        <f aca="false">IF(I948="","",I948-H948)</f>
        <v>10</v>
      </c>
      <c r="Q948" s="10" t="n">
        <f aca="false">VLOOKUP(G948,$AA$2:$AB$5,2,FALSE())</f>
        <v>15</v>
      </c>
      <c r="R948" s="7" t="n">
        <f aca="false">IF(OR(F948="Open",F948="Reopened"),1,0)</f>
        <v>0</v>
      </c>
      <c r="S948" s="7" t="n">
        <f aca="false">IF(AND(H948&gt;='Exec Summary'!$E$1,H948&lt;='Exec Summary'!$E$2),1,0)</f>
        <v>1</v>
      </c>
      <c r="T948" s="7" t="n">
        <f aca="false">IF(AND(F948="Closed",I948&lt;&gt;"",I948&gt;='Exec Summary'!$E$1,I948&lt;='Exec Summary'!$E$2),1,0)</f>
        <v>1</v>
      </c>
      <c r="U948" s="7" t="n">
        <f aca="false">IF(F948="Reopened",1,0)</f>
        <v>0</v>
      </c>
      <c r="V948" s="7" t="n">
        <f aca="false">IF(AND(R948=1,O948&gt;Q948),1,0)</f>
        <v>0</v>
      </c>
      <c r="W948" s="7" t="n">
        <f aca="false">IF(AND(T948=1,P948&lt;&gt;"",P948&lt;=Q948),1,0)</f>
        <v>1</v>
      </c>
    </row>
    <row r="949" customFormat="false" ht="15" hidden="false" customHeight="false" outlineLevel="0" collapsed="false">
      <c r="A949" s="7" t="s">
        <v>1198</v>
      </c>
      <c r="B949" s="7" t="s">
        <v>46</v>
      </c>
      <c r="C949" s="7" t="s">
        <v>128</v>
      </c>
      <c r="D949" s="7" t="s">
        <v>166</v>
      </c>
      <c r="E949" s="7" t="s">
        <v>167</v>
      </c>
      <c r="F949" s="7" t="s">
        <v>56</v>
      </c>
      <c r="G949" s="7" t="s">
        <v>19</v>
      </c>
      <c r="H949" s="9" t="n">
        <v>46021</v>
      </c>
      <c r="I949" s="9"/>
      <c r="J949" s="7" t="n">
        <v>9.8</v>
      </c>
      <c r="K949" s="7" t="s">
        <v>1184</v>
      </c>
      <c r="L949" s="7" t="s">
        <v>20</v>
      </c>
      <c r="M949" s="7" t="s">
        <v>1199</v>
      </c>
      <c r="N949" s="7" t="s">
        <v>58</v>
      </c>
      <c r="O949" s="10" t="n">
        <f aca="false">'Exec Summary'!$E$2-H949</f>
        <v>213</v>
      </c>
      <c r="P949" s="10" t="str">
        <f aca="false">IF(I949="","",I949-H949)</f>
        <v/>
      </c>
      <c r="Q949" s="10" t="n">
        <f aca="false">VLOOKUP(G949,$AA$2:$AB$5,2,FALSE())</f>
        <v>15</v>
      </c>
      <c r="R949" s="7" t="n">
        <f aca="false">IF(OR(F949="Open",F949="Reopened"),1,0)</f>
        <v>1</v>
      </c>
      <c r="S949" s="7" t="n">
        <f aca="false">IF(AND(H949&gt;='Exec Summary'!$E$1,H949&lt;='Exec Summary'!$E$2),1,0)</f>
        <v>0</v>
      </c>
      <c r="T949" s="7" t="n">
        <f aca="false">IF(AND(F949="Closed",I949&lt;&gt;"",I949&gt;='Exec Summary'!$E$1,I949&lt;='Exec Summary'!$E$2),1,0)</f>
        <v>0</v>
      </c>
      <c r="U949" s="7" t="n">
        <f aca="false">IF(F949="Reopened",1,0)</f>
        <v>0</v>
      </c>
      <c r="V949" s="7" t="n">
        <f aca="false">IF(AND(R949=1,O949&gt;Q949),1,0)</f>
        <v>1</v>
      </c>
      <c r="W949" s="7" t="n">
        <f aca="false">IF(AND(T949=1,P949&lt;&gt;"",P949&lt;=Q949),1,0)</f>
        <v>0</v>
      </c>
    </row>
    <row r="950" customFormat="false" ht="15" hidden="false" customHeight="false" outlineLevel="0" collapsed="false">
      <c r="A950" s="7" t="s">
        <v>1198</v>
      </c>
      <c r="B950" s="7" t="s">
        <v>46</v>
      </c>
      <c r="C950" s="7" t="s">
        <v>128</v>
      </c>
      <c r="D950" s="7" t="s">
        <v>59</v>
      </c>
      <c r="E950" s="7" t="s">
        <v>60</v>
      </c>
      <c r="F950" s="7" t="s">
        <v>123</v>
      </c>
      <c r="G950" s="7" t="s">
        <v>19</v>
      </c>
      <c r="H950" s="9" t="n">
        <v>46038</v>
      </c>
      <c r="I950" s="9" t="n">
        <v>46061</v>
      </c>
      <c r="J950" s="7" t="n">
        <v>7.8</v>
      </c>
      <c r="K950" s="7" t="s">
        <v>1184</v>
      </c>
      <c r="L950" s="7" t="s">
        <v>20</v>
      </c>
      <c r="M950" s="7" t="s">
        <v>1200</v>
      </c>
      <c r="N950" s="7" t="s">
        <v>58</v>
      </c>
      <c r="O950" s="10" t="n">
        <f aca="false">'Exec Summary'!$E$2-H950</f>
        <v>196</v>
      </c>
      <c r="P950" s="10" t="n">
        <f aca="false">IF(I950="","",I950-H950)</f>
        <v>23</v>
      </c>
      <c r="Q950" s="10" t="n">
        <f aca="false">VLOOKUP(G950,$AA$2:$AB$5,2,FALSE())</f>
        <v>15</v>
      </c>
      <c r="R950" s="7" t="n">
        <f aca="false">IF(OR(F950="Open",F950="Reopened"),1,0)</f>
        <v>1</v>
      </c>
      <c r="S950" s="7" t="n">
        <f aca="false">IF(AND(H950&gt;='Exec Summary'!$E$1,H950&lt;='Exec Summary'!$E$2),1,0)</f>
        <v>0</v>
      </c>
      <c r="T950" s="7" t="n">
        <f aca="false">IF(AND(F950="Closed",I950&lt;&gt;"",I950&gt;='Exec Summary'!$E$1,I950&lt;='Exec Summary'!$E$2),1,0)</f>
        <v>0</v>
      </c>
      <c r="U950" s="7" t="n">
        <f aca="false">IF(F950="Reopened",1,0)</f>
        <v>1</v>
      </c>
      <c r="V950" s="7" t="n">
        <f aca="false">IF(AND(R950=1,O950&gt;Q950),1,0)</f>
        <v>1</v>
      </c>
      <c r="W950" s="7" t="n">
        <f aca="false">IF(AND(T950=1,P950&lt;&gt;"",P950&lt;=Q950),1,0)</f>
        <v>0</v>
      </c>
    </row>
    <row r="951" customFormat="false" ht="15" hidden="false" customHeight="false" outlineLevel="0" collapsed="false">
      <c r="A951" s="7" t="s">
        <v>1198</v>
      </c>
      <c r="B951" s="7" t="s">
        <v>46</v>
      </c>
      <c r="C951" s="7" t="s">
        <v>128</v>
      </c>
      <c r="D951" s="7" t="s">
        <v>54</v>
      </c>
      <c r="E951" s="7" t="s">
        <v>55</v>
      </c>
      <c r="F951" s="7" t="s">
        <v>50</v>
      </c>
      <c r="G951" s="7" t="s">
        <v>19</v>
      </c>
      <c r="H951" s="9" t="n">
        <v>45980</v>
      </c>
      <c r="I951" s="9" t="n">
        <v>45981</v>
      </c>
      <c r="J951" s="7" t="n">
        <v>9.8</v>
      </c>
      <c r="K951" s="7" t="s">
        <v>1184</v>
      </c>
      <c r="L951" s="7" t="s">
        <v>20</v>
      </c>
      <c r="M951" s="7" t="s">
        <v>1201</v>
      </c>
      <c r="N951" s="7" t="s">
        <v>58</v>
      </c>
      <c r="O951" s="10" t="n">
        <f aca="false">'Exec Summary'!$E$2-H951</f>
        <v>254</v>
      </c>
      <c r="P951" s="10" t="n">
        <f aca="false">IF(I951="","",I951-H951)</f>
        <v>1</v>
      </c>
      <c r="Q951" s="10" t="n">
        <f aca="false">VLOOKUP(G951,$AA$2:$AB$5,2,FALSE())</f>
        <v>15</v>
      </c>
      <c r="R951" s="7" t="n">
        <f aca="false">IF(OR(F951="Open",F951="Reopened"),1,0)</f>
        <v>0</v>
      </c>
      <c r="S951" s="7" t="n">
        <f aca="false">IF(AND(H951&gt;='Exec Summary'!$E$1,H951&lt;='Exec Summary'!$E$2),1,0)</f>
        <v>0</v>
      </c>
      <c r="T951" s="7" t="n">
        <f aca="false">IF(AND(F951="Closed",I951&lt;&gt;"",I951&gt;='Exec Summary'!$E$1,I951&lt;='Exec Summary'!$E$2),1,0)</f>
        <v>0</v>
      </c>
      <c r="U951" s="7" t="n">
        <f aca="false">IF(F951="Reopened",1,0)</f>
        <v>0</v>
      </c>
      <c r="V951" s="7" t="n">
        <f aca="false">IF(AND(R951=1,O951&gt;Q951),1,0)</f>
        <v>0</v>
      </c>
      <c r="W951" s="7" t="n">
        <f aca="false">IF(AND(T951=1,P951&lt;&gt;"",P951&lt;=Q951),1,0)</f>
        <v>0</v>
      </c>
    </row>
    <row r="952" customFormat="false" ht="15" hidden="false" customHeight="false" outlineLevel="0" collapsed="false">
      <c r="A952" s="7" t="s">
        <v>1198</v>
      </c>
      <c r="B952" s="7" t="s">
        <v>46</v>
      </c>
      <c r="C952" s="7" t="s">
        <v>128</v>
      </c>
      <c r="D952" s="7" t="s">
        <v>68</v>
      </c>
      <c r="E952" s="7" t="s">
        <v>69</v>
      </c>
      <c r="F952" s="7" t="s">
        <v>50</v>
      </c>
      <c r="G952" s="7" t="s">
        <v>19</v>
      </c>
      <c r="H952" s="9" t="n">
        <v>45982</v>
      </c>
      <c r="I952" s="9" t="n">
        <v>45983</v>
      </c>
      <c r="J952" s="7" t="n">
        <v>9.8</v>
      </c>
      <c r="K952" s="7" t="s">
        <v>1184</v>
      </c>
      <c r="L952" s="7" t="s">
        <v>20</v>
      </c>
      <c r="M952" s="7" t="s">
        <v>1202</v>
      </c>
      <c r="N952" s="7" t="s">
        <v>58</v>
      </c>
      <c r="O952" s="10" t="n">
        <f aca="false">'Exec Summary'!$E$2-H952</f>
        <v>252</v>
      </c>
      <c r="P952" s="10" t="n">
        <f aca="false">IF(I952="","",I952-H952)</f>
        <v>1</v>
      </c>
      <c r="Q952" s="10" t="n">
        <f aca="false">VLOOKUP(G952,$AA$2:$AB$5,2,FALSE())</f>
        <v>15</v>
      </c>
      <c r="R952" s="7" t="n">
        <f aca="false">IF(OR(F952="Open",F952="Reopened"),1,0)</f>
        <v>0</v>
      </c>
      <c r="S952" s="7" t="n">
        <f aca="false">IF(AND(H952&gt;='Exec Summary'!$E$1,H952&lt;='Exec Summary'!$E$2),1,0)</f>
        <v>0</v>
      </c>
      <c r="T952" s="7" t="n">
        <f aca="false">IF(AND(F952="Closed",I952&lt;&gt;"",I952&gt;='Exec Summary'!$E$1,I952&lt;='Exec Summary'!$E$2),1,0)</f>
        <v>0</v>
      </c>
      <c r="U952" s="7" t="n">
        <f aca="false">IF(F952="Reopened",1,0)</f>
        <v>0</v>
      </c>
      <c r="V952" s="7" t="n">
        <f aca="false">IF(AND(R952=1,O952&gt;Q952),1,0)</f>
        <v>0</v>
      </c>
      <c r="W952" s="7" t="n">
        <f aca="false">IF(AND(T952=1,P952&lt;&gt;"",P952&lt;=Q952),1,0)</f>
        <v>0</v>
      </c>
    </row>
    <row r="953" customFormat="false" ht="15" hidden="false" customHeight="false" outlineLevel="0" collapsed="false">
      <c r="A953" s="7" t="s">
        <v>1198</v>
      </c>
      <c r="B953" s="7" t="s">
        <v>46</v>
      </c>
      <c r="C953" s="7" t="s">
        <v>128</v>
      </c>
      <c r="D953" s="7" t="s">
        <v>101</v>
      </c>
      <c r="E953" s="7" t="s">
        <v>102</v>
      </c>
      <c r="F953" s="7" t="s">
        <v>56</v>
      </c>
      <c r="G953" s="7" t="s">
        <v>19</v>
      </c>
      <c r="H953" s="9" t="n">
        <v>46169</v>
      </c>
      <c r="I953" s="9"/>
      <c r="J953" s="7" t="n">
        <v>10</v>
      </c>
      <c r="K953" s="7" t="s">
        <v>1184</v>
      </c>
      <c r="L953" s="7" t="s">
        <v>20</v>
      </c>
      <c r="M953" s="7" t="s">
        <v>1203</v>
      </c>
      <c r="N953" s="7" t="s">
        <v>58</v>
      </c>
      <c r="O953" s="10" t="n">
        <f aca="false">'Exec Summary'!$E$2-H953</f>
        <v>65</v>
      </c>
      <c r="P953" s="10" t="str">
        <f aca="false">IF(I953="","",I953-H953)</f>
        <v/>
      </c>
      <c r="Q953" s="10" t="n">
        <f aca="false">VLOOKUP(G953,$AA$2:$AB$5,2,FALSE())</f>
        <v>15</v>
      </c>
      <c r="R953" s="7" t="n">
        <f aca="false">IF(OR(F953="Open",F953="Reopened"),1,0)</f>
        <v>1</v>
      </c>
      <c r="S953" s="7" t="n">
        <f aca="false">IF(AND(H953&gt;='Exec Summary'!$E$1,H953&lt;='Exec Summary'!$E$2),1,0)</f>
        <v>0</v>
      </c>
      <c r="T953" s="7" t="n">
        <f aca="false">IF(AND(F953="Closed",I953&lt;&gt;"",I953&gt;='Exec Summary'!$E$1,I953&lt;='Exec Summary'!$E$2),1,0)</f>
        <v>0</v>
      </c>
      <c r="U953" s="7" t="n">
        <f aca="false">IF(F953="Reopened",1,0)</f>
        <v>0</v>
      </c>
      <c r="V953" s="7" t="n">
        <f aca="false">IF(AND(R953=1,O953&gt;Q953),1,0)</f>
        <v>1</v>
      </c>
      <c r="W953" s="7" t="n">
        <f aca="false">IF(AND(T953=1,P953&lt;&gt;"",P953&lt;=Q953),1,0)</f>
        <v>0</v>
      </c>
    </row>
    <row r="954" customFormat="false" ht="15" hidden="false" customHeight="false" outlineLevel="0" collapsed="false">
      <c r="A954" s="7" t="s">
        <v>1198</v>
      </c>
      <c r="B954" s="7" t="s">
        <v>46</v>
      </c>
      <c r="C954" s="7" t="s">
        <v>128</v>
      </c>
      <c r="D954" s="7" t="s">
        <v>91</v>
      </c>
      <c r="E954" s="7" t="s">
        <v>92</v>
      </c>
      <c r="F954" s="7" t="s">
        <v>50</v>
      </c>
      <c r="G954" s="7" t="s">
        <v>20</v>
      </c>
      <c r="H954" s="9" t="n">
        <v>46046</v>
      </c>
      <c r="I954" s="9" t="n">
        <v>46088</v>
      </c>
      <c r="J954" s="7" t="n">
        <v>8.1</v>
      </c>
      <c r="K954" s="7" t="s">
        <v>1184</v>
      </c>
      <c r="L954" s="7" t="s">
        <v>20</v>
      </c>
      <c r="M954" s="7" t="s">
        <v>1204</v>
      </c>
      <c r="N954" s="7" t="s">
        <v>53</v>
      </c>
      <c r="O954" s="10" t="n">
        <f aca="false">'Exec Summary'!$E$2-H954</f>
        <v>188</v>
      </c>
      <c r="P954" s="10" t="n">
        <f aca="false">IF(I954="","",I954-H954)</f>
        <v>42</v>
      </c>
      <c r="Q954" s="10" t="n">
        <f aca="false">VLOOKUP(G954,$AA$2:$AB$5,2,FALSE())</f>
        <v>30</v>
      </c>
      <c r="R954" s="7" t="n">
        <f aca="false">IF(OR(F954="Open",F954="Reopened"),1,0)</f>
        <v>0</v>
      </c>
      <c r="S954" s="7" t="n">
        <f aca="false">IF(AND(H954&gt;='Exec Summary'!$E$1,H954&lt;='Exec Summary'!$E$2),1,0)</f>
        <v>0</v>
      </c>
      <c r="T954" s="7" t="n">
        <f aca="false">IF(AND(F954="Closed",I954&lt;&gt;"",I954&gt;='Exec Summary'!$E$1,I954&lt;='Exec Summary'!$E$2),1,0)</f>
        <v>0</v>
      </c>
      <c r="U954" s="7" t="n">
        <f aca="false">IF(F954="Reopened",1,0)</f>
        <v>0</v>
      </c>
      <c r="V954" s="7" t="n">
        <f aca="false">IF(AND(R954=1,O954&gt;Q954),1,0)</f>
        <v>0</v>
      </c>
      <c r="W954" s="7" t="n">
        <f aca="false">IF(AND(T954=1,P954&lt;&gt;"",P954&lt;=Q954),1,0)</f>
        <v>0</v>
      </c>
    </row>
    <row r="955" customFormat="false" ht="15" hidden="false" customHeight="false" outlineLevel="0" collapsed="false">
      <c r="A955" s="7" t="s">
        <v>1198</v>
      </c>
      <c r="B955" s="7" t="s">
        <v>46</v>
      </c>
      <c r="C955" s="7" t="s">
        <v>128</v>
      </c>
      <c r="D955" s="7" t="s">
        <v>71</v>
      </c>
      <c r="E955" s="7" t="s">
        <v>72</v>
      </c>
      <c r="F955" s="7" t="s">
        <v>50</v>
      </c>
      <c r="G955" s="7" t="s">
        <v>19</v>
      </c>
      <c r="H955" s="9" t="n">
        <v>46162</v>
      </c>
      <c r="I955" s="9" t="n">
        <v>46173</v>
      </c>
      <c r="J955" s="7" t="n">
        <v>9.8</v>
      </c>
      <c r="K955" s="7" t="s">
        <v>1184</v>
      </c>
      <c r="L955" s="7" t="s">
        <v>20</v>
      </c>
      <c r="M955" s="7" t="s">
        <v>1205</v>
      </c>
      <c r="N955" s="7" t="s">
        <v>58</v>
      </c>
      <c r="O955" s="10" t="n">
        <f aca="false">'Exec Summary'!$E$2-H955</f>
        <v>72</v>
      </c>
      <c r="P955" s="10" t="n">
        <f aca="false">IF(I955="","",I955-H955)</f>
        <v>11</v>
      </c>
      <c r="Q955" s="10" t="n">
        <f aca="false">VLOOKUP(G955,$AA$2:$AB$5,2,FALSE())</f>
        <v>15</v>
      </c>
      <c r="R955" s="7" t="n">
        <f aca="false">IF(OR(F955="Open",F955="Reopened"),1,0)</f>
        <v>0</v>
      </c>
      <c r="S955" s="7" t="n">
        <f aca="false">IF(AND(H955&gt;='Exec Summary'!$E$1,H955&lt;='Exec Summary'!$E$2),1,0)</f>
        <v>0</v>
      </c>
      <c r="T955" s="7" t="n">
        <f aca="false">IF(AND(F955="Closed",I955&lt;&gt;"",I955&gt;='Exec Summary'!$E$1,I955&lt;='Exec Summary'!$E$2),1,0)</f>
        <v>0</v>
      </c>
      <c r="U955" s="7" t="n">
        <f aca="false">IF(F955="Reopened",1,0)</f>
        <v>0</v>
      </c>
      <c r="V955" s="7" t="n">
        <f aca="false">IF(AND(R955=1,O955&gt;Q955),1,0)</f>
        <v>0</v>
      </c>
      <c r="W955" s="7" t="n">
        <f aca="false">IF(AND(T955=1,P955&lt;&gt;"",P955&lt;=Q955),1,0)</f>
        <v>0</v>
      </c>
    </row>
    <row r="956" customFormat="false" ht="15" hidden="false" customHeight="false" outlineLevel="0" collapsed="false">
      <c r="A956" s="7" t="s">
        <v>1198</v>
      </c>
      <c r="B956" s="7" t="s">
        <v>46</v>
      </c>
      <c r="C956" s="7" t="s">
        <v>128</v>
      </c>
      <c r="D956" s="7" t="s">
        <v>163</v>
      </c>
      <c r="E956" s="7" t="s">
        <v>164</v>
      </c>
      <c r="F956" s="7" t="s">
        <v>56</v>
      </c>
      <c r="G956" s="7" t="s">
        <v>19</v>
      </c>
      <c r="H956" s="9" t="n">
        <v>46143</v>
      </c>
      <c r="I956" s="9"/>
      <c r="J956" s="7" t="n">
        <v>9.1</v>
      </c>
      <c r="K956" s="7" t="s">
        <v>1184</v>
      </c>
      <c r="L956" s="7" t="s">
        <v>20</v>
      </c>
      <c r="M956" s="7" t="s">
        <v>1206</v>
      </c>
      <c r="N956" s="7" t="s">
        <v>58</v>
      </c>
      <c r="O956" s="10" t="n">
        <f aca="false">'Exec Summary'!$E$2-H956</f>
        <v>91</v>
      </c>
      <c r="P956" s="10" t="str">
        <f aca="false">IF(I956="","",I956-H956)</f>
        <v/>
      </c>
      <c r="Q956" s="10" t="n">
        <f aca="false">VLOOKUP(G956,$AA$2:$AB$5,2,FALSE())</f>
        <v>15</v>
      </c>
      <c r="R956" s="7" t="n">
        <f aca="false">IF(OR(F956="Open",F956="Reopened"),1,0)</f>
        <v>1</v>
      </c>
      <c r="S956" s="7" t="n">
        <f aca="false">IF(AND(H956&gt;='Exec Summary'!$E$1,H956&lt;='Exec Summary'!$E$2),1,0)</f>
        <v>0</v>
      </c>
      <c r="T956" s="7" t="n">
        <f aca="false">IF(AND(F956="Closed",I956&lt;&gt;"",I956&gt;='Exec Summary'!$E$1,I956&lt;='Exec Summary'!$E$2),1,0)</f>
        <v>0</v>
      </c>
      <c r="U956" s="7" t="n">
        <f aca="false">IF(F956="Reopened",1,0)</f>
        <v>0</v>
      </c>
      <c r="V956" s="7" t="n">
        <f aca="false">IF(AND(R956=1,O956&gt;Q956),1,0)</f>
        <v>1</v>
      </c>
      <c r="W956" s="7" t="n">
        <f aca="false">IF(AND(T956=1,P956&lt;&gt;"",P956&lt;=Q956),1,0)</f>
        <v>0</v>
      </c>
    </row>
    <row r="957" customFormat="false" ht="15" hidden="false" customHeight="false" outlineLevel="0" collapsed="false">
      <c r="A957" s="7" t="s">
        <v>1198</v>
      </c>
      <c r="B957" s="7" t="s">
        <v>46</v>
      </c>
      <c r="C957" s="7" t="s">
        <v>128</v>
      </c>
      <c r="D957" s="7" t="s">
        <v>81</v>
      </c>
      <c r="E957" s="7" t="s">
        <v>82</v>
      </c>
      <c r="F957" s="7" t="s">
        <v>56</v>
      </c>
      <c r="G957" s="7" t="s">
        <v>20</v>
      </c>
      <c r="H957" s="9" t="n">
        <v>46010</v>
      </c>
      <c r="I957" s="9"/>
      <c r="J957" s="7" t="n">
        <v>7.8</v>
      </c>
      <c r="K957" s="7" t="s">
        <v>1184</v>
      </c>
      <c r="L957" s="7" t="s">
        <v>20</v>
      </c>
      <c r="M957" s="7" t="s">
        <v>1207</v>
      </c>
      <c r="N957" s="7" t="s">
        <v>53</v>
      </c>
      <c r="O957" s="10" t="n">
        <f aca="false">'Exec Summary'!$E$2-H957</f>
        <v>224</v>
      </c>
      <c r="P957" s="10" t="str">
        <f aca="false">IF(I957="","",I957-H957)</f>
        <v/>
      </c>
      <c r="Q957" s="10" t="n">
        <f aca="false">VLOOKUP(G957,$AA$2:$AB$5,2,FALSE())</f>
        <v>30</v>
      </c>
      <c r="R957" s="7" t="n">
        <f aca="false">IF(OR(F957="Open",F957="Reopened"),1,0)</f>
        <v>1</v>
      </c>
      <c r="S957" s="7" t="n">
        <f aca="false">IF(AND(H957&gt;='Exec Summary'!$E$1,H957&lt;='Exec Summary'!$E$2),1,0)</f>
        <v>0</v>
      </c>
      <c r="T957" s="7" t="n">
        <f aca="false">IF(AND(F957="Closed",I957&lt;&gt;"",I957&gt;='Exec Summary'!$E$1,I957&lt;='Exec Summary'!$E$2),1,0)</f>
        <v>0</v>
      </c>
      <c r="U957" s="7" t="n">
        <f aca="false">IF(F957="Reopened",1,0)</f>
        <v>0</v>
      </c>
      <c r="V957" s="7" t="n">
        <f aca="false">IF(AND(R957=1,O957&gt;Q957),1,0)</f>
        <v>1</v>
      </c>
      <c r="W957" s="7" t="n">
        <f aca="false">IF(AND(T957=1,P957&lt;&gt;"",P957&lt;=Q957),1,0)</f>
        <v>0</v>
      </c>
    </row>
    <row r="958" customFormat="false" ht="15" hidden="false" customHeight="false" outlineLevel="0" collapsed="false">
      <c r="A958" s="7" t="s">
        <v>1208</v>
      </c>
      <c r="B958" s="7" t="s">
        <v>135</v>
      </c>
      <c r="C958" s="7" t="s">
        <v>136</v>
      </c>
      <c r="D958" s="7" t="s">
        <v>139</v>
      </c>
      <c r="E958" s="7" t="s">
        <v>140</v>
      </c>
      <c r="F958" s="7" t="s">
        <v>56</v>
      </c>
      <c r="G958" s="7" t="s">
        <v>19</v>
      </c>
      <c r="H958" s="9" t="n">
        <v>46160</v>
      </c>
      <c r="I958" s="9"/>
      <c r="J958" s="7" t="n">
        <v>9.8</v>
      </c>
      <c r="K958" s="7" t="s">
        <v>1184</v>
      </c>
      <c r="L958" s="7" t="s">
        <v>20</v>
      </c>
      <c r="M958" s="7" t="s">
        <v>1209</v>
      </c>
      <c r="N958" s="7" t="s">
        <v>58</v>
      </c>
      <c r="O958" s="10" t="n">
        <f aca="false">'Exec Summary'!$E$2-H958</f>
        <v>74</v>
      </c>
      <c r="P958" s="10" t="str">
        <f aca="false">IF(I958="","",I958-H958)</f>
        <v/>
      </c>
      <c r="Q958" s="10" t="n">
        <f aca="false">VLOOKUP(G958,$AA$2:$AB$5,2,FALSE())</f>
        <v>15</v>
      </c>
      <c r="R958" s="7" t="n">
        <f aca="false">IF(OR(F958="Open",F958="Reopened"),1,0)</f>
        <v>1</v>
      </c>
      <c r="S958" s="7" t="n">
        <f aca="false">IF(AND(H958&gt;='Exec Summary'!$E$1,H958&lt;='Exec Summary'!$E$2),1,0)</f>
        <v>0</v>
      </c>
      <c r="T958" s="7" t="n">
        <f aca="false">IF(AND(F958="Closed",I958&lt;&gt;"",I958&gt;='Exec Summary'!$E$1,I958&lt;='Exec Summary'!$E$2),1,0)</f>
        <v>0</v>
      </c>
      <c r="U958" s="7" t="n">
        <f aca="false">IF(F958="Reopened",1,0)</f>
        <v>0</v>
      </c>
      <c r="V958" s="7" t="n">
        <f aca="false">IF(AND(R958=1,O958&gt;Q958),1,0)</f>
        <v>1</v>
      </c>
      <c r="W958" s="7" t="n">
        <f aca="false">IF(AND(T958=1,P958&lt;&gt;"",P958&lt;=Q958),1,0)</f>
        <v>0</v>
      </c>
    </row>
    <row r="959" customFormat="false" ht="15" hidden="false" customHeight="false" outlineLevel="0" collapsed="false">
      <c r="A959" s="7" t="s">
        <v>1208</v>
      </c>
      <c r="B959" s="7" t="s">
        <v>135</v>
      </c>
      <c r="C959" s="7" t="s">
        <v>136</v>
      </c>
      <c r="D959" s="7" t="s">
        <v>62</v>
      </c>
      <c r="E959" s="7" t="s">
        <v>63</v>
      </c>
      <c r="F959" s="7" t="s">
        <v>56</v>
      </c>
      <c r="G959" s="7" t="s">
        <v>20</v>
      </c>
      <c r="H959" s="9" t="n">
        <v>46007</v>
      </c>
      <c r="I959" s="9"/>
      <c r="J959" s="7" t="n">
        <v>8.1</v>
      </c>
      <c r="K959" s="7" t="s">
        <v>1184</v>
      </c>
      <c r="L959" s="7" t="s">
        <v>20</v>
      </c>
      <c r="M959" s="7" t="s">
        <v>1210</v>
      </c>
      <c r="N959" s="7" t="s">
        <v>53</v>
      </c>
      <c r="O959" s="10" t="n">
        <f aca="false">'Exec Summary'!$E$2-H959</f>
        <v>227</v>
      </c>
      <c r="P959" s="10" t="str">
        <f aca="false">IF(I959="","",I959-H959)</f>
        <v/>
      </c>
      <c r="Q959" s="10" t="n">
        <f aca="false">VLOOKUP(G959,$AA$2:$AB$5,2,FALSE())</f>
        <v>30</v>
      </c>
      <c r="R959" s="7" t="n">
        <f aca="false">IF(OR(F959="Open",F959="Reopened"),1,0)</f>
        <v>1</v>
      </c>
      <c r="S959" s="7" t="n">
        <f aca="false">IF(AND(H959&gt;='Exec Summary'!$E$1,H959&lt;='Exec Summary'!$E$2),1,0)</f>
        <v>0</v>
      </c>
      <c r="T959" s="7" t="n">
        <f aca="false">IF(AND(F959="Closed",I959&lt;&gt;"",I959&gt;='Exec Summary'!$E$1,I959&lt;='Exec Summary'!$E$2),1,0)</f>
        <v>0</v>
      </c>
      <c r="U959" s="7" t="n">
        <f aca="false">IF(F959="Reopened",1,0)</f>
        <v>0</v>
      </c>
      <c r="V959" s="7" t="n">
        <f aca="false">IF(AND(R959=1,O959&gt;Q959),1,0)</f>
        <v>1</v>
      </c>
      <c r="W959" s="7" t="n">
        <f aca="false">IF(AND(T959=1,P959&lt;&gt;"",P959&lt;=Q959),1,0)</f>
        <v>0</v>
      </c>
    </row>
    <row r="960" customFormat="false" ht="15" hidden="false" customHeight="false" outlineLevel="0" collapsed="false">
      <c r="A960" s="7" t="s">
        <v>1208</v>
      </c>
      <c r="B960" s="7" t="s">
        <v>135</v>
      </c>
      <c r="C960" s="7" t="s">
        <v>136</v>
      </c>
      <c r="D960" s="7" t="s">
        <v>120</v>
      </c>
      <c r="E960" s="7" t="s">
        <v>121</v>
      </c>
      <c r="F960" s="7" t="s">
        <v>56</v>
      </c>
      <c r="G960" s="7" t="s">
        <v>19</v>
      </c>
      <c r="H960" s="9" t="n">
        <v>46020</v>
      </c>
      <c r="I960" s="9"/>
      <c r="J960" s="7" t="n">
        <v>8.8</v>
      </c>
      <c r="K960" s="7" t="s">
        <v>1184</v>
      </c>
      <c r="L960" s="7" t="s">
        <v>20</v>
      </c>
      <c r="M960" s="7" t="s">
        <v>1211</v>
      </c>
      <c r="N960" s="7" t="s">
        <v>58</v>
      </c>
      <c r="O960" s="10" t="n">
        <f aca="false">'Exec Summary'!$E$2-H960</f>
        <v>214</v>
      </c>
      <c r="P960" s="10" t="str">
        <f aca="false">IF(I960="","",I960-H960)</f>
        <v/>
      </c>
      <c r="Q960" s="10" t="n">
        <f aca="false">VLOOKUP(G960,$AA$2:$AB$5,2,FALSE())</f>
        <v>15</v>
      </c>
      <c r="R960" s="7" t="n">
        <f aca="false">IF(OR(F960="Open",F960="Reopened"),1,0)</f>
        <v>1</v>
      </c>
      <c r="S960" s="7" t="n">
        <f aca="false">IF(AND(H960&gt;='Exec Summary'!$E$1,H960&lt;='Exec Summary'!$E$2),1,0)</f>
        <v>0</v>
      </c>
      <c r="T960" s="7" t="n">
        <f aca="false">IF(AND(F960="Closed",I960&lt;&gt;"",I960&gt;='Exec Summary'!$E$1,I960&lt;='Exec Summary'!$E$2),1,0)</f>
        <v>0</v>
      </c>
      <c r="U960" s="7" t="n">
        <f aca="false">IF(F960="Reopened",1,0)</f>
        <v>0</v>
      </c>
      <c r="V960" s="7" t="n">
        <f aca="false">IF(AND(R960=1,O960&gt;Q960),1,0)</f>
        <v>1</v>
      </c>
      <c r="W960" s="7" t="n">
        <f aca="false">IF(AND(T960=1,P960&lt;&gt;"",P960&lt;=Q960),1,0)</f>
        <v>0</v>
      </c>
    </row>
    <row r="961" customFormat="false" ht="15" hidden="false" customHeight="false" outlineLevel="0" collapsed="false">
      <c r="A961" s="7" t="s">
        <v>1208</v>
      </c>
      <c r="B961" s="7" t="s">
        <v>135</v>
      </c>
      <c r="C961" s="7" t="s">
        <v>136</v>
      </c>
      <c r="D961" s="7" t="s">
        <v>108</v>
      </c>
      <c r="E961" s="7" t="s">
        <v>109</v>
      </c>
      <c r="F961" s="7" t="s">
        <v>50</v>
      </c>
      <c r="G961" s="7" t="s">
        <v>20</v>
      </c>
      <c r="H961" s="9" t="n">
        <v>46045</v>
      </c>
      <c r="I961" s="9" t="n">
        <v>46059</v>
      </c>
      <c r="J961" s="7" t="n">
        <v>8.6</v>
      </c>
      <c r="K961" s="7" t="s">
        <v>1184</v>
      </c>
      <c r="L961" s="7" t="s">
        <v>20</v>
      </c>
      <c r="M961" s="7" t="s">
        <v>1212</v>
      </c>
      <c r="N961" s="7" t="s">
        <v>53</v>
      </c>
      <c r="O961" s="10" t="n">
        <f aca="false">'Exec Summary'!$E$2-H961</f>
        <v>189</v>
      </c>
      <c r="P961" s="10" t="n">
        <f aca="false">IF(I961="","",I961-H961)</f>
        <v>14</v>
      </c>
      <c r="Q961" s="10" t="n">
        <f aca="false">VLOOKUP(G961,$AA$2:$AB$5,2,FALSE())</f>
        <v>30</v>
      </c>
      <c r="R961" s="7" t="n">
        <f aca="false">IF(OR(F961="Open",F961="Reopened"),1,0)</f>
        <v>0</v>
      </c>
      <c r="S961" s="7" t="n">
        <f aca="false">IF(AND(H961&gt;='Exec Summary'!$E$1,H961&lt;='Exec Summary'!$E$2),1,0)</f>
        <v>0</v>
      </c>
      <c r="T961" s="7" t="n">
        <f aca="false">IF(AND(F961="Closed",I961&lt;&gt;"",I961&gt;='Exec Summary'!$E$1,I961&lt;='Exec Summary'!$E$2),1,0)</f>
        <v>0</v>
      </c>
      <c r="U961" s="7" t="n">
        <f aca="false">IF(F961="Reopened",1,0)</f>
        <v>0</v>
      </c>
      <c r="V961" s="7" t="n">
        <f aca="false">IF(AND(R961=1,O961&gt;Q961),1,0)</f>
        <v>0</v>
      </c>
      <c r="W961" s="7" t="n">
        <f aca="false">IF(AND(T961=1,P961&lt;&gt;"",P961&lt;=Q961),1,0)</f>
        <v>0</v>
      </c>
    </row>
    <row r="962" customFormat="false" ht="15" hidden="false" customHeight="false" outlineLevel="0" collapsed="false">
      <c r="A962" s="7" t="s">
        <v>1208</v>
      </c>
      <c r="B962" s="7" t="s">
        <v>135</v>
      </c>
      <c r="C962" s="7" t="s">
        <v>136</v>
      </c>
      <c r="D962" s="7" t="s">
        <v>163</v>
      </c>
      <c r="E962" s="7" t="s">
        <v>164</v>
      </c>
      <c r="F962" s="7" t="s">
        <v>56</v>
      </c>
      <c r="G962" s="7" t="s">
        <v>19</v>
      </c>
      <c r="H962" s="9" t="n">
        <v>46128</v>
      </c>
      <c r="I962" s="9"/>
      <c r="J962" s="7" t="n">
        <v>9.1</v>
      </c>
      <c r="K962" s="7" t="s">
        <v>1184</v>
      </c>
      <c r="L962" s="7" t="s">
        <v>20</v>
      </c>
      <c r="M962" s="7" t="s">
        <v>1213</v>
      </c>
      <c r="N962" s="7" t="s">
        <v>58</v>
      </c>
      <c r="O962" s="10" t="n">
        <f aca="false">'Exec Summary'!$E$2-H962</f>
        <v>106</v>
      </c>
      <c r="P962" s="10" t="str">
        <f aca="false">IF(I962="","",I962-H962)</f>
        <v/>
      </c>
      <c r="Q962" s="10" t="n">
        <f aca="false">VLOOKUP(G962,$AA$2:$AB$5,2,FALSE())</f>
        <v>15</v>
      </c>
      <c r="R962" s="7" t="n">
        <f aca="false">IF(OR(F962="Open",F962="Reopened"),1,0)</f>
        <v>1</v>
      </c>
      <c r="S962" s="7" t="n">
        <f aca="false">IF(AND(H962&gt;='Exec Summary'!$E$1,H962&lt;='Exec Summary'!$E$2),1,0)</f>
        <v>0</v>
      </c>
      <c r="T962" s="7" t="n">
        <f aca="false">IF(AND(F962="Closed",I962&lt;&gt;"",I962&gt;='Exec Summary'!$E$1,I962&lt;='Exec Summary'!$E$2),1,0)</f>
        <v>0</v>
      </c>
      <c r="U962" s="7" t="n">
        <f aca="false">IF(F962="Reopened",1,0)</f>
        <v>0</v>
      </c>
      <c r="V962" s="7" t="n">
        <f aca="false">IF(AND(R962=1,O962&gt;Q962),1,0)</f>
        <v>1</v>
      </c>
      <c r="W962" s="7" t="n">
        <f aca="false">IF(AND(T962=1,P962&lt;&gt;"",P962&lt;=Q962),1,0)</f>
        <v>0</v>
      </c>
    </row>
    <row r="963" customFormat="false" ht="15" hidden="false" customHeight="false" outlineLevel="0" collapsed="false">
      <c r="A963" s="7" t="s">
        <v>1208</v>
      </c>
      <c r="B963" s="7" t="s">
        <v>135</v>
      </c>
      <c r="C963" s="7" t="s">
        <v>136</v>
      </c>
      <c r="D963" s="7" t="s">
        <v>81</v>
      </c>
      <c r="E963" s="7" t="s">
        <v>82</v>
      </c>
      <c r="F963" s="7" t="s">
        <v>56</v>
      </c>
      <c r="G963" s="7" t="s">
        <v>20</v>
      </c>
      <c r="H963" s="9" t="n">
        <v>45946</v>
      </c>
      <c r="I963" s="9"/>
      <c r="J963" s="7" t="n">
        <v>7.8</v>
      </c>
      <c r="K963" s="7" t="s">
        <v>1184</v>
      </c>
      <c r="L963" s="7" t="s">
        <v>20</v>
      </c>
      <c r="M963" s="7" t="s">
        <v>1214</v>
      </c>
      <c r="N963" s="7" t="s">
        <v>53</v>
      </c>
      <c r="O963" s="10" t="n">
        <f aca="false">'Exec Summary'!$E$2-H963</f>
        <v>288</v>
      </c>
      <c r="P963" s="10" t="str">
        <f aca="false">IF(I963="","",I963-H963)</f>
        <v/>
      </c>
      <c r="Q963" s="10" t="n">
        <f aca="false">VLOOKUP(G963,$AA$2:$AB$5,2,FALSE())</f>
        <v>30</v>
      </c>
      <c r="R963" s="7" t="n">
        <f aca="false">IF(OR(F963="Open",F963="Reopened"),1,0)</f>
        <v>1</v>
      </c>
      <c r="S963" s="7" t="n">
        <f aca="false">IF(AND(H963&gt;='Exec Summary'!$E$1,H963&lt;='Exec Summary'!$E$2),1,0)</f>
        <v>0</v>
      </c>
      <c r="T963" s="7" t="n">
        <f aca="false">IF(AND(F963="Closed",I963&lt;&gt;"",I963&gt;='Exec Summary'!$E$1,I963&lt;='Exec Summary'!$E$2),1,0)</f>
        <v>0</v>
      </c>
      <c r="U963" s="7" t="n">
        <f aca="false">IF(F963="Reopened",1,0)</f>
        <v>0</v>
      </c>
      <c r="V963" s="7" t="n">
        <f aca="false">IF(AND(R963=1,O963&gt;Q963),1,0)</f>
        <v>1</v>
      </c>
      <c r="W963" s="7" t="n">
        <f aca="false">IF(AND(T963=1,P963&lt;&gt;"",P963&lt;=Q963),1,0)</f>
        <v>0</v>
      </c>
    </row>
    <row r="964" customFormat="false" ht="15" hidden="false" customHeight="false" outlineLevel="0" collapsed="false">
      <c r="A964" s="7" t="s">
        <v>1208</v>
      </c>
      <c r="B964" s="7" t="s">
        <v>135</v>
      </c>
      <c r="C964" s="7" t="s">
        <v>136</v>
      </c>
      <c r="D964" s="7" t="s">
        <v>101</v>
      </c>
      <c r="E964" s="7" t="s">
        <v>102</v>
      </c>
      <c r="F964" s="7" t="s">
        <v>50</v>
      </c>
      <c r="G964" s="7" t="s">
        <v>19</v>
      </c>
      <c r="H964" s="9" t="n">
        <v>45967</v>
      </c>
      <c r="I964" s="9" t="n">
        <v>45981</v>
      </c>
      <c r="J964" s="7" t="n">
        <v>10</v>
      </c>
      <c r="K964" s="7" t="s">
        <v>1184</v>
      </c>
      <c r="L964" s="7" t="s">
        <v>20</v>
      </c>
      <c r="M964" s="7" t="s">
        <v>1215</v>
      </c>
      <c r="N964" s="7" t="s">
        <v>58</v>
      </c>
      <c r="O964" s="10" t="n">
        <f aca="false">'Exec Summary'!$E$2-H964</f>
        <v>267</v>
      </c>
      <c r="P964" s="10" t="n">
        <f aca="false">IF(I964="","",I964-H964)</f>
        <v>14</v>
      </c>
      <c r="Q964" s="10" t="n">
        <f aca="false">VLOOKUP(G964,$AA$2:$AB$5,2,FALSE())</f>
        <v>15</v>
      </c>
      <c r="R964" s="7" t="n">
        <f aca="false">IF(OR(F964="Open",F964="Reopened"),1,0)</f>
        <v>0</v>
      </c>
      <c r="S964" s="7" t="n">
        <f aca="false">IF(AND(H964&gt;='Exec Summary'!$E$1,H964&lt;='Exec Summary'!$E$2),1,0)</f>
        <v>0</v>
      </c>
      <c r="T964" s="7" t="n">
        <f aca="false">IF(AND(F964="Closed",I964&lt;&gt;"",I964&gt;='Exec Summary'!$E$1,I964&lt;='Exec Summary'!$E$2),1,0)</f>
        <v>0</v>
      </c>
      <c r="U964" s="7" t="n">
        <f aca="false">IF(F964="Reopened",1,0)</f>
        <v>0</v>
      </c>
      <c r="V964" s="7" t="n">
        <f aca="false">IF(AND(R964=1,O964&gt;Q964),1,0)</f>
        <v>0</v>
      </c>
      <c r="W964" s="7" t="n">
        <f aca="false">IF(AND(T964=1,P964&lt;&gt;"",P964&lt;=Q964),1,0)</f>
        <v>0</v>
      </c>
    </row>
    <row r="965" customFormat="false" ht="15" hidden="false" customHeight="false" outlineLevel="0" collapsed="false">
      <c r="A965" s="7" t="s">
        <v>1208</v>
      </c>
      <c r="B965" s="7" t="s">
        <v>135</v>
      </c>
      <c r="C965" s="7" t="s">
        <v>136</v>
      </c>
      <c r="D965" s="7" t="s">
        <v>74</v>
      </c>
      <c r="E965" s="7" t="s">
        <v>75</v>
      </c>
      <c r="F965" s="7" t="s">
        <v>50</v>
      </c>
      <c r="G965" s="7" t="s">
        <v>21</v>
      </c>
      <c r="H965" s="9" t="n">
        <v>46110</v>
      </c>
      <c r="I965" s="9" t="n">
        <v>46220</v>
      </c>
      <c r="J965" s="7" t="n">
        <v>6.5</v>
      </c>
      <c r="K965" s="7" t="s">
        <v>1184</v>
      </c>
      <c r="L965" s="7" t="s">
        <v>20</v>
      </c>
      <c r="M965" s="7" t="s">
        <v>1216</v>
      </c>
      <c r="N965" s="7" t="s">
        <v>77</v>
      </c>
      <c r="O965" s="10" t="n">
        <f aca="false">'Exec Summary'!$E$2-H965</f>
        <v>124</v>
      </c>
      <c r="P965" s="10" t="n">
        <f aca="false">IF(I965="","",I965-H965)</f>
        <v>110</v>
      </c>
      <c r="Q965" s="10" t="n">
        <f aca="false">VLOOKUP(G965,$AA$2:$AB$5,2,FALSE())</f>
        <v>90</v>
      </c>
      <c r="R965" s="7" t="n">
        <f aca="false">IF(OR(F965="Open",F965="Reopened"),1,0)</f>
        <v>0</v>
      </c>
      <c r="S965" s="7" t="n">
        <f aca="false">IF(AND(H965&gt;='Exec Summary'!$E$1,H965&lt;='Exec Summary'!$E$2),1,0)</f>
        <v>0</v>
      </c>
      <c r="T965" s="7" t="n">
        <f aca="false">IF(AND(F965="Closed",I965&lt;&gt;"",I965&gt;='Exec Summary'!$E$1,I965&lt;='Exec Summary'!$E$2),1,0)</f>
        <v>1</v>
      </c>
      <c r="U965" s="7" t="n">
        <f aca="false">IF(F965="Reopened",1,0)</f>
        <v>0</v>
      </c>
      <c r="V965" s="7" t="n">
        <f aca="false">IF(AND(R965=1,O965&gt;Q965),1,0)</f>
        <v>0</v>
      </c>
      <c r="W965" s="7" t="n">
        <f aca="false">IF(AND(T965=1,P965&lt;&gt;"",P965&lt;=Q965),1,0)</f>
        <v>0</v>
      </c>
    </row>
    <row r="966" customFormat="false" ht="15" hidden="false" customHeight="false" outlineLevel="0" collapsed="false">
      <c r="A966" s="7" t="s">
        <v>1208</v>
      </c>
      <c r="B966" s="7" t="s">
        <v>135</v>
      </c>
      <c r="C966" s="7" t="s">
        <v>136</v>
      </c>
      <c r="D966" s="7" t="s">
        <v>59</v>
      </c>
      <c r="E966" s="7" t="s">
        <v>60</v>
      </c>
      <c r="F966" s="7" t="s">
        <v>50</v>
      </c>
      <c r="G966" s="7" t="s">
        <v>19</v>
      </c>
      <c r="H966" s="9" t="n">
        <v>45979</v>
      </c>
      <c r="I966" s="9" t="n">
        <v>45991</v>
      </c>
      <c r="J966" s="7" t="n">
        <v>7.8</v>
      </c>
      <c r="K966" s="7" t="s">
        <v>1184</v>
      </c>
      <c r="L966" s="7" t="s">
        <v>20</v>
      </c>
      <c r="M966" s="7" t="s">
        <v>1217</v>
      </c>
      <c r="N966" s="7" t="s">
        <v>58</v>
      </c>
      <c r="O966" s="10" t="n">
        <f aca="false">'Exec Summary'!$E$2-H966</f>
        <v>255</v>
      </c>
      <c r="P966" s="10" t="n">
        <f aca="false">IF(I966="","",I966-H966)</f>
        <v>12</v>
      </c>
      <c r="Q966" s="10" t="n">
        <f aca="false">VLOOKUP(G966,$AA$2:$AB$5,2,FALSE())</f>
        <v>15</v>
      </c>
      <c r="R966" s="7" t="n">
        <f aca="false">IF(OR(F966="Open",F966="Reopened"),1,0)</f>
        <v>0</v>
      </c>
      <c r="S966" s="7" t="n">
        <f aca="false">IF(AND(H966&gt;='Exec Summary'!$E$1,H966&lt;='Exec Summary'!$E$2),1,0)</f>
        <v>0</v>
      </c>
      <c r="T966" s="7" t="n">
        <f aca="false">IF(AND(F966="Closed",I966&lt;&gt;"",I966&gt;='Exec Summary'!$E$1,I966&lt;='Exec Summary'!$E$2),1,0)</f>
        <v>0</v>
      </c>
      <c r="U966" s="7" t="n">
        <f aca="false">IF(F966="Reopened",1,0)</f>
        <v>0</v>
      </c>
      <c r="V966" s="7" t="n">
        <f aca="false">IF(AND(R966=1,O966&gt;Q966),1,0)</f>
        <v>0</v>
      </c>
      <c r="W966" s="7" t="n">
        <f aca="false">IF(AND(T966=1,P966&lt;&gt;"",P966&lt;=Q966),1,0)</f>
        <v>0</v>
      </c>
    </row>
    <row r="967" customFormat="false" ht="15" hidden="false" customHeight="false" outlineLevel="0" collapsed="false">
      <c r="A967" s="7" t="s">
        <v>1208</v>
      </c>
      <c r="B967" s="7" t="s">
        <v>135</v>
      </c>
      <c r="C967" s="7" t="s">
        <v>136</v>
      </c>
      <c r="D967" s="7" t="s">
        <v>65</v>
      </c>
      <c r="E967" s="7" t="s">
        <v>66</v>
      </c>
      <c r="F967" s="7" t="s">
        <v>56</v>
      </c>
      <c r="G967" s="7" t="s">
        <v>19</v>
      </c>
      <c r="H967" s="9" t="n">
        <v>46121</v>
      </c>
      <c r="I967" s="9"/>
      <c r="J967" s="7" t="n">
        <v>9.8</v>
      </c>
      <c r="K967" s="7" t="s">
        <v>1184</v>
      </c>
      <c r="L967" s="7" t="s">
        <v>20</v>
      </c>
      <c r="M967" s="7" t="s">
        <v>1218</v>
      </c>
      <c r="N967" s="7" t="s">
        <v>58</v>
      </c>
      <c r="O967" s="10" t="n">
        <f aca="false">'Exec Summary'!$E$2-H967</f>
        <v>113</v>
      </c>
      <c r="P967" s="10" t="str">
        <f aca="false">IF(I967="","",I967-H967)</f>
        <v/>
      </c>
      <c r="Q967" s="10" t="n">
        <f aca="false">VLOOKUP(G967,$AA$2:$AB$5,2,FALSE())</f>
        <v>15</v>
      </c>
      <c r="R967" s="7" t="n">
        <f aca="false">IF(OR(F967="Open",F967="Reopened"),1,0)</f>
        <v>1</v>
      </c>
      <c r="S967" s="7" t="n">
        <f aca="false">IF(AND(H967&gt;='Exec Summary'!$E$1,H967&lt;='Exec Summary'!$E$2),1,0)</f>
        <v>0</v>
      </c>
      <c r="T967" s="7" t="n">
        <f aca="false">IF(AND(F967="Closed",I967&lt;&gt;"",I967&gt;='Exec Summary'!$E$1,I967&lt;='Exec Summary'!$E$2),1,0)</f>
        <v>0</v>
      </c>
      <c r="U967" s="7" t="n">
        <f aca="false">IF(F967="Reopened",1,0)</f>
        <v>0</v>
      </c>
      <c r="V967" s="7" t="n">
        <f aca="false">IF(AND(R967=1,O967&gt;Q967),1,0)</f>
        <v>1</v>
      </c>
      <c r="W967" s="7" t="n">
        <f aca="false">IF(AND(T967=1,P967&lt;&gt;"",P967&lt;=Q967),1,0)</f>
        <v>0</v>
      </c>
    </row>
    <row r="968" customFormat="false" ht="15" hidden="false" customHeight="false" outlineLevel="0" collapsed="false">
      <c r="A968" s="7" t="s">
        <v>1208</v>
      </c>
      <c r="B968" s="7" t="s">
        <v>135</v>
      </c>
      <c r="C968" s="7" t="s">
        <v>136</v>
      </c>
      <c r="D968" s="7" t="s">
        <v>145</v>
      </c>
      <c r="E968" s="7" t="s">
        <v>146</v>
      </c>
      <c r="F968" s="7" t="s">
        <v>50</v>
      </c>
      <c r="G968" s="7" t="s">
        <v>19</v>
      </c>
      <c r="H968" s="9" t="n">
        <v>46179</v>
      </c>
      <c r="I968" s="9" t="n">
        <v>46191</v>
      </c>
      <c r="J968" s="7" t="n">
        <v>9.8</v>
      </c>
      <c r="K968" s="7" t="s">
        <v>1184</v>
      </c>
      <c r="L968" s="7" t="s">
        <v>20</v>
      </c>
      <c r="M968" s="7" t="s">
        <v>1219</v>
      </c>
      <c r="N968" s="7" t="s">
        <v>58</v>
      </c>
      <c r="O968" s="10" t="n">
        <f aca="false">'Exec Summary'!$E$2-H968</f>
        <v>55</v>
      </c>
      <c r="P968" s="10" t="n">
        <f aca="false">IF(I968="","",I968-H968)</f>
        <v>12</v>
      </c>
      <c r="Q968" s="10" t="n">
        <f aca="false">VLOOKUP(G968,$AA$2:$AB$5,2,FALSE())</f>
        <v>15</v>
      </c>
      <c r="R968" s="7" t="n">
        <f aca="false">IF(OR(F968="Open",F968="Reopened"),1,0)</f>
        <v>0</v>
      </c>
      <c r="S968" s="7" t="n">
        <f aca="false">IF(AND(H968&gt;='Exec Summary'!$E$1,H968&lt;='Exec Summary'!$E$2),1,0)</f>
        <v>0</v>
      </c>
      <c r="T968" s="7" t="n">
        <f aca="false">IF(AND(F968="Closed",I968&lt;&gt;"",I968&gt;='Exec Summary'!$E$1,I968&lt;='Exec Summary'!$E$2),1,0)</f>
        <v>0</v>
      </c>
      <c r="U968" s="7" t="n">
        <f aca="false">IF(F968="Reopened",1,0)</f>
        <v>0</v>
      </c>
      <c r="V968" s="7" t="n">
        <f aca="false">IF(AND(R968=1,O968&gt;Q968),1,0)</f>
        <v>0</v>
      </c>
      <c r="W968" s="7" t="n">
        <f aca="false">IF(AND(T968=1,P968&lt;&gt;"",P968&lt;=Q968),1,0)</f>
        <v>0</v>
      </c>
    </row>
    <row r="969" customFormat="false" ht="15" hidden="false" customHeight="false" outlineLevel="0" collapsed="false">
      <c r="A969" s="7" t="s">
        <v>1220</v>
      </c>
      <c r="B969" s="7" t="s">
        <v>135</v>
      </c>
      <c r="C969" s="7" t="s">
        <v>306</v>
      </c>
      <c r="D969" s="7" t="s">
        <v>74</v>
      </c>
      <c r="E969" s="7" t="s">
        <v>75</v>
      </c>
      <c r="F969" s="7" t="s">
        <v>50</v>
      </c>
      <c r="G969" s="7" t="s">
        <v>21</v>
      </c>
      <c r="H969" s="9" t="n">
        <v>46010</v>
      </c>
      <c r="I969" s="9" t="n">
        <v>46130</v>
      </c>
      <c r="J969" s="7" t="n">
        <v>6.5</v>
      </c>
      <c r="K969" s="7" t="s">
        <v>1184</v>
      </c>
      <c r="L969" s="7" t="s">
        <v>21</v>
      </c>
      <c r="M969" s="7" t="s">
        <v>1221</v>
      </c>
      <c r="N969" s="7" t="s">
        <v>77</v>
      </c>
      <c r="O969" s="10" t="n">
        <f aca="false">'Exec Summary'!$E$2-H969</f>
        <v>224</v>
      </c>
      <c r="P969" s="10" t="n">
        <f aca="false">IF(I969="","",I969-H969)</f>
        <v>120</v>
      </c>
      <c r="Q969" s="10" t="n">
        <f aca="false">VLOOKUP(G969,$AA$2:$AB$5,2,FALSE())</f>
        <v>90</v>
      </c>
      <c r="R969" s="7" t="n">
        <f aca="false">IF(OR(F969="Open",F969="Reopened"),1,0)</f>
        <v>0</v>
      </c>
      <c r="S969" s="7" t="n">
        <f aca="false">IF(AND(H969&gt;='Exec Summary'!$E$1,H969&lt;='Exec Summary'!$E$2),1,0)</f>
        <v>0</v>
      </c>
      <c r="T969" s="7" t="n">
        <f aca="false">IF(AND(F969="Closed",I969&lt;&gt;"",I969&gt;='Exec Summary'!$E$1,I969&lt;='Exec Summary'!$E$2),1,0)</f>
        <v>0</v>
      </c>
      <c r="U969" s="7" t="n">
        <f aca="false">IF(F969="Reopened",1,0)</f>
        <v>0</v>
      </c>
      <c r="V969" s="7" t="n">
        <f aca="false">IF(AND(R969=1,O969&gt;Q969),1,0)</f>
        <v>0</v>
      </c>
      <c r="W969" s="7" t="n">
        <f aca="false">IF(AND(T969=1,P969&lt;&gt;"",P969&lt;=Q969),1,0)</f>
        <v>0</v>
      </c>
    </row>
    <row r="970" customFormat="false" ht="15" hidden="false" customHeight="false" outlineLevel="0" collapsed="false">
      <c r="A970" s="7" t="s">
        <v>1220</v>
      </c>
      <c r="B970" s="7" t="s">
        <v>135</v>
      </c>
      <c r="C970" s="7" t="s">
        <v>306</v>
      </c>
      <c r="D970" s="7" t="s">
        <v>48</v>
      </c>
      <c r="E970" s="7" t="s">
        <v>49</v>
      </c>
      <c r="F970" s="7" t="s">
        <v>50</v>
      </c>
      <c r="G970" s="7" t="s">
        <v>20</v>
      </c>
      <c r="H970" s="9" t="n">
        <v>46029</v>
      </c>
      <c r="I970" s="9" t="n">
        <v>46045</v>
      </c>
      <c r="J970" s="7" t="n">
        <v>7.5</v>
      </c>
      <c r="K970" s="7" t="s">
        <v>1184</v>
      </c>
      <c r="L970" s="7" t="s">
        <v>21</v>
      </c>
      <c r="M970" s="7" t="s">
        <v>1222</v>
      </c>
      <c r="N970" s="7" t="s">
        <v>53</v>
      </c>
      <c r="O970" s="10" t="n">
        <f aca="false">'Exec Summary'!$E$2-H970</f>
        <v>205</v>
      </c>
      <c r="P970" s="10" t="n">
        <f aca="false">IF(I970="","",I970-H970)</f>
        <v>16</v>
      </c>
      <c r="Q970" s="10" t="n">
        <f aca="false">VLOOKUP(G970,$AA$2:$AB$5,2,FALSE())</f>
        <v>30</v>
      </c>
      <c r="R970" s="7" t="n">
        <f aca="false">IF(OR(F970="Open",F970="Reopened"),1,0)</f>
        <v>0</v>
      </c>
      <c r="S970" s="7" t="n">
        <f aca="false">IF(AND(H970&gt;='Exec Summary'!$E$1,H970&lt;='Exec Summary'!$E$2),1,0)</f>
        <v>0</v>
      </c>
      <c r="T970" s="7" t="n">
        <f aca="false">IF(AND(F970="Closed",I970&lt;&gt;"",I970&gt;='Exec Summary'!$E$1,I970&lt;='Exec Summary'!$E$2),1,0)</f>
        <v>0</v>
      </c>
      <c r="U970" s="7" t="n">
        <f aca="false">IF(F970="Reopened",1,0)</f>
        <v>0</v>
      </c>
      <c r="V970" s="7" t="n">
        <f aca="false">IF(AND(R970=1,O970&gt;Q970),1,0)</f>
        <v>0</v>
      </c>
      <c r="W970" s="7" t="n">
        <f aca="false">IF(AND(T970=1,P970&lt;&gt;"",P970&lt;=Q970),1,0)</f>
        <v>0</v>
      </c>
    </row>
    <row r="971" customFormat="false" ht="15" hidden="false" customHeight="false" outlineLevel="0" collapsed="false">
      <c r="A971" s="7" t="s">
        <v>1220</v>
      </c>
      <c r="B971" s="7" t="s">
        <v>135</v>
      </c>
      <c r="C971" s="7" t="s">
        <v>306</v>
      </c>
      <c r="D971" s="7" t="s">
        <v>84</v>
      </c>
      <c r="E971" s="7" t="s">
        <v>85</v>
      </c>
      <c r="F971" s="7" t="s">
        <v>50</v>
      </c>
      <c r="G971" s="7" t="s">
        <v>20</v>
      </c>
      <c r="H971" s="9" t="n">
        <v>45960</v>
      </c>
      <c r="I971" s="9" t="n">
        <v>45997</v>
      </c>
      <c r="J971" s="7" t="n">
        <v>7.5</v>
      </c>
      <c r="K971" s="7" t="s">
        <v>1184</v>
      </c>
      <c r="L971" s="7" t="s">
        <v>21</v>
      </c>
      <c r="M971" s="7" t="s">
        <v>1223</v>
      </c>
      <c r="N971" s="7" t="s">
        <v>53</v>
      </c>
      <c r="O971" s="10" t="n">
        <f aca="false">'Exec Summary'!$E$2-H971</f>
        <v>274</v>
      </c>
      <c r="P971" s="10" t="n">
        <f aca="false">IF(I971="","",I971-H971)</f>
        <v>37</v>
      </c>
      <c r="Q971" s="10" t="n">
        <f aca="false">VLOOKUP(G971,$AA$2:$AB$5,2,FALSE())</f>
        <v>30</v>
      </c>
      <c r="R971" s="7" t="n">
        <f aca="false">IF(OR(F971="Open",F971="Reopened"),1,0)</f>
        <v>0</v>
      </c>
      <c r="S971" s="7" t="n">
        <f aca="false">IF(AND(H971&gt;='Exec Summary'!$E$1,H971&lt;='Exec Summary'!$E$2),1,0)</f>
        <v>0</v>
      </c>
      <c r="T971" s="7" t="n">
        <f aca="false">IF(AND(F971="Closed",I971&lt;&gt;"",I971&gt;='Exec Summary'!$E$1,I971&lt;='Exec Summary'!$E$2),1,0)</f>
        <v>0</v>
      </c>
      <c r="U971" s="7" t="n">
        <f aca="false">IF(F971="Reopened",1,0)</f>
        <v>0</v>
      </c>
      <c r="V971" s="7" t="n">
        <f aca="false">IF(AND(R971=1,O971&gt;Q971),1,0)</f>
        <v>0</v>
      </c>
      <c r="W971" s="7" t="n">
        <f aca="false">IF(AND(T971=1,P971&lt;&gt;"",P971&lt;=Q971),1,0)</f>
        <v>0</v>
      </c>
    </row>
    <row r="972" customFormat="false" ht="15" hidden="false" customHeight="false" outlineLevel="0" collapsed="false">
      <c r="A972" s="7" t="s">
        <v>1220</v>
      </c>
      <c r="B972" s="7" t="s">
        <v>135</v>
      </c>
      <c r="C972" s="7" t="s">
        <v>306</v>
      </c>
      <c r="D972" s="7" t="s">
        <v>65</v>
      </c>
      <c r="E972" s="7" t="s">
        <v>66</v>
      </c>
      <c r="F972" s="7" t="s">
        <v>50</v>
      </c>
      <c r="G972" s="7" t="s">
        <v>19</v>
      </c>
      <c r="H972" s="9" t="n">
        <v>46081</v>
      </c>
      <c r="I972" s="9" t="n">
        <v>46105</v>
      </c>
      <c r="J972" s="7" t="n">
        <v>9.8</v>
      </c>
      <c r="K972" s="7" t="s">
        <v>1184</v>
      </c>
      <c r="L972" s="7" t="s">
        <v>21</v>
      </c>
      <c r="M972" s="7" t="s">
        <v>1224</v>
      </c>
      <c r="N972" s="7" t="s">
        <v>58</v>
      </c>
      <c r="O972" s="10" t="n">
        <f aca="false">'Exec Summary'!$E$2-H972</f>
        <v>153</v>
      </c>
      <c r="P972" s="10" t="n">
        <f aca="false">IF(I972="","",I972-H972)</f>
        <v>24</v>
      </c>
      <c r="Q972" s="10" t="n">
        <f aca="false">VLOOKUP(G972,$AA$2:$AB$5,2,FALSE())</f>
        <v>15</v>
      </c>
      <c r="R972" s="7" t="n">
        <f aca="false">IF(OR(F972="Open",F972="Reopened"),1,0)</f>
        <v>0</v>
      </c>
      <c r="S972" s="7" t="n">
        <f aca="false">IF(AND(H972&gt;='Exec Summary'!$E$1,H972&lt;='Exec Summary'!$E$2),1,0)</f>
        <v>0</v>
      </c>
      <c r="T972" s="7" t="n">
        <f aca="false">IF(AND(F972="Closed",I972&lt;&gt;"",I972&gt;='Exec Summary'!$E$1,I972&lt;='Exec Summary'!$E$2),1,0)</f>
        <v>0</v>
      </c>
      <c r="U972" s="7" t="n">
        <f aca="false">IF(F972="Reopened",1,0)</f>
        <v>0</v>
      </c>
      <c r="V972" s="7" t="n">
        <f aca="false">IF(AND(R972=1,O972&gt;Q972),1,0)</f>
        <v>0</v>
      </c>
      <c r="W972" s="7" t="n">
        <f aca="false">IF(AND(T972=1,P972&lt;&gt;"",P972&lt;=Q972),1,0)</f>
        <v>0</v>
      </c>
    </row>
    <row r="973" customFormat="false" ht="15" hidden="false" customHeight="false" outlineLevel="0" collapsed="false">
      <c r="A973" s="7" t="s">
        <v>1220</v>
      </c>
      <c r="B973" s="7" t="s">
        <v>135</v>
      </c>
      <c r="C973" s="7" t="s">
        <v>306</v>
      </c>
      <c r="D973" s="7" t="s">
        <v>173</v>
      </c>
      <c r="E973" s="7" t="s">
        <v>174</v>
      </c>
      <c r="F973" s="7" t="s">
        <v>50</v>
      </c>
      <c r="G973" s="7" t="s">
        <v>19</v>
      </c>
      <c r="H973" s="9" t="n">
        <v>45973</v>
      </c>
      <c r="I973" s="9" t="n">
        <v>45979</v>
      </c>
      <c r="J973" s="7" t="n">
        <v>9.8</v>
      </c>
      <c r="K973" s="7" t="s">
        <v>1184</v>
      </c>
      <c r="L973" s="7" t="s">
        <v>21</v>
      </c>
      <c r="M973" s="7" t="s">
        <v>1225</v>
      </c>
      <c r="N973" s="7" t="s">
        <v>58</v>
      </c>
      <c r="O973" s="10" t="n">
        <f aca="false">'Exec Summary'!$E$2-H973</f>
        <v>261</v>
      </c>
      <c r="P973" s="10" t="n">
        <f aca="false">IF(I973="","",I973-H973)</f>
        <v>6</v>
      </c>
      <c r="Q973" s="10" t="n">
        <f aca="false">VLOOKUP(G973,$AA$2:$AB$5,2,FALSE())</f>
        <v>15</v>
      </c>
      <c r="R973" s="7" t="n">
        <f aca="false">IF(OR(F973="Open",F973="Reopened"),1,0)</f>
        <v>0</v>
      </c>
      <c r="S973" s="7" t="n">
        <f aca="false">IF(AND(H973&gt;='Exec Summary'!$E$1,H973&lt;='Exec Summary'!$E$2),1,0)</f>
        <v>0</v>
      </c>
      <c r="T973" s="7" t="n">
        <f aca="false">IF(AND(F973="Closed",I973&lt;&gt;"",I973&gt;='Exec Summary'!$E$1,I973&lt;='Exec Summary'!$E$2),1,0)</f>
        <v>0</v>
      </c>
      <c r="U973" s="7" t="n">
        <f aca="false">IF(F973="Reopened",1,0)</f>
        <v>0</v>
      </c>
      <c r="V973" s="7" t="n">
        <f aca="false">IF(AND(R973=1,O973&gt;Q973),1,0)</f>
        <v>0</v>
      </c>
      <c r="W973" s="7" t="n">
        <f aca="false">IF(AND(T973=1,P973&lt;&gt;"",P973&lt;=Q973),1,0)</f>
        <v>0</v>
      </c>
    </row>
    <row r="974" customFormat="false" ht="15" hidden="false" customHeight="false" outlineLevel="0" collapsed="false">
      <c r="A974" s="7" t="s">
        <v>1220</v>
      </c>
      <c r="B974" s="7" t="s">
        <v>135</v>
      </c>
      <c r="C974" s="7" t="s">
        <v>306</v>
      </c>
      <c r="D974" s="7" t="s">
        <v>91</v>
      </c>
      <c r="E974" s="7" t="s">
        <v>92</v>
      </c>
      <c r="F974" s="7" t="s">
        <v>50</v>
      </c>
      <c r="G974" s="7" t="s">
        <v>20</v>
      </c>
      <c r="H974" s="9" t="n">
        <v>46207</v>
      </c>
      <c r="I974" s="9" t="n">
        <v>46208</v>
      </c>
      <c r="J974" s="7" t="n">
        <v>8.1</v>
      </c>
      <c r="K974" s="7" t="s">
        <v>1184</v>
      </c>
      <c r="L974" s="7" t="s">
        <v>21</v>
      </c>
      <c r="M974" s="7" t="s">
        <v>1226</v>
      </c>
      <c r="N974" s="7" t="s">
        <v>53</v>
      </c>
      <c r="O974" s="10" t="n">
        <f aca="false">'Exec Summary'!$E$2-H974</f>
        <v>27</v>
      </c>
      <c r="P974" s="10" t="n">
        <f aca="false">IF(I974="","",I974-H974)</f>
        <v>1</v>
      </c>
      <c r="Q974" s="10" t="n">
        <f aca="false">VLOOKUP(G974,$AA$2:$AB$5,2,FALSE())</f>
        <v>30</v>
      </c>
      <c r="R974" s="7" t="n">
        <f aca="false">IF(OR(F974="Open",F974="Reopened"),1,0)</f>
        <v>0</v>
      </c>
      <c r="S974" s="7" t="n">
        <f aca="false">IF(AND(H974&gt;='Exec Summary'!$E$1,H974&lt;='Exec Summary'!$E$2),1,0)</f>
        <v>1</v>
      </c>
      <c r="T974" s="7" t="n">
        <f aca="false">IF(AND(F974="Closed",I974&lt;&gt;"",I974&gt;='Exec Summary'!$E$1,I974&lt;='Exec Summary'!$E$2),1,0)</f>
        <v>1</v>
      </c>
      <c r="U974" s="7" t="n">
        <f aca="false">IF(F974="Reopened",1,0)</f>
        <v>0</v>
      </c>
      <c r="V974" s="7" t="n">
        <f aca="false">IF(AND(R974=1,O974&gt;Q974),1,0)</f>
        <v>0</v>
      </c>
      <c r="W974" s="7" t="n">
        <f aca="false">IF(AND(T974=1,P974&lt;&gt;"",P974&lt;=Q974),1,0)</f>
        <v>1</v>
      </c>
    </row>
    <row r="975" customFormat="false" ht="15" hidden="false" customHeight="false" outlineLevel="0" collapsed="false">
      <c r="A975" s="7" t="s">
        <v>1220</v>
      </c>
      <c r="B975" s="7" t="s">
        <v>135</v>
      </c>
      <c r="C975" s="7" t="s">
        <v>306</v>
      </c>
      <c r="D975" s="7" t="s">
        <v>192</v>
      </c>
      <c r="E975" s="7" t="s">
        <v>193</v>
      </c>
      <c r="F975" s="7" t="s">
        <v>56</v>
      </c>
      <c r="G975" s="7" t="s">
        <v>19</v>
      </c>
      <c r="H975" s="9" t="n">
        <v>46207</v>
      </c>
      <c r="I975" s="9"/>
      <c r="J975" s="7" t="n">
        <v>9.8</v>
      </c>
      <c r="K975" s="7" t="s">
        <v>1184</v>
      </c>
      <c r="L975" s="7" t="s">
        <v>21</v>
      </c>
      <c r="M975" s="7" t="s">
        <v>1227</v>
      </c>
      <c r="N975" s="7" t="s">
        <v>58</v>
      </c>
      <c r="O975" s="10" t="n">
        <f aca="false">'Exec Summary'!$E$2-H975</f>
        <v>27</v>
      </c>
      <c r="P975" s="10" t="str">
        <f aca="false">IF(I975="","",I975-H975)</f>
        <v/>
      </c>
      <c r="Q975" s="10" t="n">
        <f aca="false">VLOOKUP(G975,$AA$2:$AB$5,2,FALSE())</f>
        <v>15</v>
      </c>
      <c r="R975" s="7" t="n">
        <f aca="false">IF(OR(F975="Open",F975="Reopened"),1,0)</f>
        <v>1</v>
      </c>
      <c r="S975" s="7" t="n">
        <f aca="false">IF(AND(H975&gt;='Exec Summary'!$E$1,H975&lt;='Exec Summary'!$E$2),1,0)</f>
        <v>1</v>
      </c>
      <c r="T975" s="7" t="n">
        <f aca="false">IF(AND(F975="Closed",I975&lt;&gt;"",I975&gt;='Exec Summary'!$E$1,I975&lt;='Exec Summary'!$E$2),1,0)</f>
        <v>0</v>
      </c>
      <c r="U975" s="7" t="n">
        <f aca="false">IF(F975="Reopened",1,0)</f>
        <v>0</v>
      </c>
      <c r="V975" s="7" t="n">
        <f aca="false">IF(AND(R975=1,O975&gt;Q975),1,0)</f>
        <v>1</v>
      </c>
      <c r="W975" s="7" t="n">
        <f aca="false">IF(AND(T975=1,P975&lt;&gt;"",P975&lt;=Q975),1,0)</f>
        <v>0</v>
      </c>
    </row>
    <row r="976" customFormat="false" ht="15" hidden="false" customHeight="false" outlineLevel="0" collapsed="false">
      <c r="A976" s="7" t="s">
        <v>1220</v>
      </c>
      <c r="B976" s="7" t="s">
        <v>135</v>
      </c>
      <c r="C976" s="7" t="s">
        <v>306</v>
      </c>
      <c r="D976" s="7" t="s">
        <v>95</v>
      </c>
      <c r="E976" s="7" t="s">
        <v>96</v>
      </c>
      <c r="F976" s="7" t="s">
        <v>50</v>
      </c>
      <c r="G976" s="7" t="s">
        <v>20</v>
      </c>
      <c r="H976" s="9" t="n">
        <v>45938</v>
      </c>
      <c r="I976" s="9" t="n">
        <v>45965</v>
      </c>
      <c r="J976" s="7" t="n">
        <v>8.8</v>
      </c>
      <c r="K976" s="7" t="s">
        <v>1184</v>
      </c>
      <c r="L976" s="7" t="s">
        <v>21</v>
      </c>
      <c r="M976" s="7" t="s">
        <v>1228</v>
      </c>
      <c r="N976" s="7" t="s">
        <v>53</v>
      </c>
      <c r="O976" s="10" t="n">
        <f aca="false">'Exec Summary'!$E$2-H976</f>
        <v>296</v>
      </c>
      <c r="P976" s="10" t="n">
        <f aca="false">IF(I976="","",I976-H976)</f>
        <v>27</v>
      </c>
      <c r="Q976" s="10" t="n">
        <f aca="false">VLOOKUP(G976,$AA$2:$AB$5,2,FALSE())</f>
        <v>30</v>
      </c>
      <c r="R976" s="7" t="n">
        <f aca="false">IF(OR(F976="Open",F976="Reopened"),1,0)</f>
        <v>0</v>
      </c>
      <c r="S976" s="7" t="n">
        <f aca="false">IF(AND(H976&gt;='Exec Summary'!$E$1,H976&lt;='Exec Summary'!$E$2),1,0)</f>
        <v>0</v>
      </c>
      <c r="T976" s="7" t="n">
        <f aca="false">IF(AND(F976="Closed",I976&lt;&gt;"",I976&gt;='Exec Summary'!$E$1,I976&lt;='Exec Summary'!$E$2),1,0)</f>
        <v>0</v>
      </c>
      <c r="U976" s="7" t="n">
        <f aca="false">IF(F976="Reopened",1,0)</f>
        <v>0</v>
      </c>
      <c r="V976" s="7" t="n">
        <f aca="false">IF(AND(R976=1,O976&gt;Q976),1,0)</f>
        <v>0</v>
      </c>
      <c r="W976" s="7" t="n">
        <f aca="false">IF(AND(T976=1,P976&lt;&gt;"",P976&lt;=Q976),1,0)</f>
        <v>0</v>
      </c>
    </row>
    <row r="977" customFormat="false" ht="15" hidden="false" customHeight="false" outlineLevel="0" collapsed="false">
      <c r="A977" s="7" t="s">
        <v>1220</v>
      </c>
      <c r="B977" s="7" t="s">
        <v>135</v>
      </c>
      <c r="C977" s="7" t="s">
        <v>306</v>
      </c>
      <c r="D977" s="7" t="s">
        <v>81</v>
      </c>
      <c r="E977" s="7" t="s">
        <v>82</v>
      </c>
      <c r="F977" s="7" t="s">
        <v>56</v>
      </c>
      <c r="G977" s="7" t="s">
        <v>20</v>
      </c>
      <c r="H977" s="9" t="n">
        <v>46196</v>
      </c>
      <c r="I977" s="9"/>
      <c r="J977" s="7" t="n">
        <v>7.8</v>
      </c>
      <c r="K977" s="7" t="s">
        <v>1184</v>
      </c>
      <c r="L977" s="7" t="s">
        <v>21</v>
      </c>
      <c r="M977" s="7" t="s">
        <v>1229</v>
      </c>
      <c r="N977" s="7" t="s">
        <v>53</v>
      </c>
      <c r="O977" s="10" t="n">
        <f aca="false">'Exec Summary'!$E$2-H977</f>
        <v>38</v>
      </c>
      <c r="P977" s="10" t="str">
        <f aca="false">IF(I977="","",I977-H977)</f>
        <v/>
      </c>
      <c r="Q977" s="10" t="n">
        <f aca="false">VLOOKUP(G977,$AA$2:$AB$5,2,FALSE())</f>
        <v>30</v>
      </c>
      <c r="R977" s="7" t="n">
        <f aca="false">IF(OR(F977="Open",F977="Reopened"),1,0)</f>
        <v>1</v>
      </c>
      <c r="S977" s="7" t="n">
        <f aca="false">IF(AND(H977&gt;='Exec Summary'!$E$1,H977&lt;='Exec Summary'!$E$2),1,0)</f>
        <v>0</v>
      </c>
      <c r="T977" s="7" t="n">
        <f aca="false">IF(AND(F977="Closed",I977&lt;&gt;"",I977&gt;='Exec Summary'!$E$1,I977&lt;='Exec Summary'!$E$2),1,0)</f>
        <v>0</v>
      </c>
      <c r="U977" s="7" t="n">
        <f aca="false">IF(F977="Reopened",1,0)</f>
        <v>0</v>
      </c>
      <c r="V977" s="7" t="n">
        <f aca="false">IF(AND(R977=1,O977&gt;Q977),1,0)</f>
        <v>1</v>
      </c>
      <c r="W977" s="7" t="n">
        <f aca="false">IF(AND(T977=1,P977&lt;&gt;"",P977&lt;=Q977),1,0)</f>
        <v>0</v>
      </c>
    </row>
    <row r="978" customFormat="false" ht="15" hidden="false" customHeight="false" outlineLevel="0" collapsed="false">
      <c r="A978" s="7" t="s">
        <v>1220</v>
      </c>
      <c r="B978" s="7" t="s">
        <v>135</v>
      </c>
      <c r="C978" s="7" t="s">
        <v>306</v>
      </c>
      <c r="D978" s="7" t="s">
        <v>108</v>
      </c>
      <c r="E978" s="7" t="s">
        <v>109</v>
      </c>
      <c r="F978" s="7" t="s">
        <v>56</v>
      </c>
      <c r="G978" s="7" t="s">
        <v>20</v>
      </c>
      <c r="H978" s="9" t="n">
        <v>46192</v>
      </c>
      <c r="I978" s="9"/>
      <c r="J978" s="7" t="n">
        <v>8.6</v>
      </c>
      <c r="K978" s="7" t="s">
        <v>1184</v>
      </c>
      <c r="L978" s="7" t="s">
        <v>21</v>
      </c>
      <c r="M978" s="7" t="s">
        <v>1230</v>
      </c>
      <c r="N978" s="7" t="s">
        <v>53</v>
      </c>
      <c r="O978" s="10" t="n">
        <f aca="false">'Exec Summary'!$E$2-H978</f>
        <v>42</v>
      </c>
      <c r="P978" s="10" t="str">
        <f aca="false">IF(I978="","",I978-H978)</f>
        <v/>
      </c>
      <c r="Q978" s="10" t="n">
        <f aca="false">VLOOKUP(G978,$AA$2:$AB$5,2,FALSE())</f>
        <v>30</v>
      </c>
      <c r="R978" s="7" t="n">
        <f aca="false">IF(OR(F978="Open",F978="Reopened"),1,0)</f>
        <v>1</v>
      </c>
      <c r="S978" s="7" t="n">
        <f aca="false">IF(AND(H978&gt;='Exec Summary'!$E$1,H978&lt;='Exec Summary'!$E$2),1,0)</f>
        <v>0</v>
      </c>
      <c r="T978" s="7" t="n">
        <f aca="false">IF(AND(F978="Closed",I978&lt;&gt;"",I978&gt;='Exec Summary'!$E$1,I978&lt;='Exec Summary'!$E$2),1,0)</f>
        <v>0</v>
      </c>
      <c r="U978" s="7" t="n">
        <f aca="false">IF(F978="Reopened",1,0)</f>
        <v>0</v>
      </c>
      <c r="V978" s="7" t="n">
        <f aca="false">IF(AND(R978=1,O978&gt;Q978),1,0)</f>
        <v>1</v>
      </c>
      <c r="W978" s="7" t="n">
        <f aca="false">IF(AND(T978=1,P978&lt;&gt;"",P978&lt;=Q978),1,0)</f>
        <v>0</v>
      </c>
    </row>
    <row r="979" customFormat="false" ht="15" hidden="false" customHeight="false" outlineLevel="0" collapsed="false">
      <c r="A979" s="7" t="s">
        <v>1220</v>
      </c>
      <c r="B979" s="7" t="s">
        <v>135</v>
      </c>
      <c r="C979" s="7" t="s">
        <v>306</v>
      </c>
      <c r="D979" s="7" t="s">
        <v>120</v>
      </c>
      <c r="E979" s="7" t="s">
        <v>121</v>
      </c>
      <c r="F979" s="7" t="s">
        <v>50</v>
      </c>
      <c r="G979" s="7" t="s">
        <v>19</v>
      </c>
      <c r="H979" s="9" t="n">
        <v>46003</v>
      </c>
      <c r="I979" s="9" t="n">
        <v>46004</v>
      </c>
      <c r="J979" s="7" t="n">
        <v>8.8</v>
      </c>
      <c r="K979" s="7" t="s">
        <v>1184</v>
      </c>
      <c r="L979" s="7" t="s">
        <v>21</v>
      </c>
      <c r="M979" s="7" t="s">
        <v>1231</v>
      </c>
      <c r="N979" s="7" t="s">
        <v>58</v>
      </c>
      <c r="O979" s="10" t="n">
        <f aca="false">'Exec Summary'!$E$2-H979</f>
        <v>231</v>
      </c>
      <c r="P979" s="10" t="n">
        <f aca="false">IF(I979="","",I979-H979)</f>
        <v>1</v>
      </c>
      <c r="Q979" s="10" t="n">
        <f aca="false">VLOOKUP(G979,$AA$2:$AB$5,2,FALSE())</f>
        <v>15</v>
      </c>
      <c r="R979" s="7" t="n">
        <f aca="false">IF(OR(F979="Open",F979="Reopened"),1,0)</f>
        <v>0</v>
      </c>
      <c r="S979" s="7" t="n">
        <f aca="false">IF(AND(H979&gt;='Exec Summary'!$E$1,H979&lt;='Exec Summary'!$E$2),1,0)</f>
        <v>0</v>
      </c>
      <c r="T979" s="7" t="n">
        <f aca="false">IF(AND(F979="Closed",I979&lt;&gt;"",I979&gt;='Exec Summary'!$E$1,I979&lt;='Exec Summary'!$E$2),1,0)</f>
        <v>0</v>
      </c>
      <c r="U979" s="7" t="n">
        <f aca="false">IF(F979="Reopened",1,0)</f>
        <v>0</v>
      </c>
      <c r="V979" s="7" t="n">
        <f aca="false">IF(AND(R979=1,O979&gt;Q979),1,0)</f>
        <v>0</v>
      </c>
      <c r="W979" s="7" t="n">
        <f aca="false">IF(AND(T979=1,P979&lt;&gt;"",P979&lt;=Q979),1,0)</f>
        <v>0</v>
      </c>
    </row>
    <row r="980" customFormat="false" ht="15" hidden="false" customHeight="false" outlineLevel="0" collapsed="false">
      <c r="A980" s="7" t="s">
        <v>1220</v>
      </c>
      <c r="B980" s="7" t="s">
        <v>135</v>
      </c>
      <c r="C980" s="7" t="s">
        <v>306</v>
      </c>
      <c r="D980" s="7" t="s">
        <v>112</v>
      </c>
      <c r="E980" s="7" t="s">
        <v>113</v>
      </c>
      <c r="F980" s="7" t="s">
        <v>50</v>
      </c>
      <c r="G980" s="7" t="s">
        <v>20</v>
      </c>
      <c r="H980" s="9" t="n">
        <v>46076</v>
      </c>
      <c r="I980" s="9" t="n">
        <v>46103</v>
      </c>
      <c r="J980" s="7" t="n">
        <v>7.8</v>
      </c>
      <c r="K980" s="7" t="s">
        <v>1184</v>
      </c>
      <c r="L980" s="7" t="s">
        <v>21</v>
      </c>
      <c r="M980" s="7" t="s">
        <v>1232</v>
      </c>
      <c r="N980" s="7" t="s">
        <v>53</v>
      </c>
      <c r="O980" s="10" t="n">
        <f aca="false">'Exec Summary'!$E$2-H980</f>
        <v>158</v>
      </c>
      <c r="P980" s="10" t="n">
        <f aca="false">IF(I980="","",I980-H980)</f>
        <v>27</v>
      </c>
      <c r="Q980" s="10" t="n">
        <f aca="false">VLOOKUP(G980,$AA$2:$AB$5,2,FALSE())</f>
        <v>30</v>
      </c>
      <c r="R980" s="7" t="n">
        <f aca="false">IF(OR(F980="Open",F980="Reopened"),1,0)</f>
        <v>0</v>
      </c>
      <c r="S980" s="7" t="n">
        <f aca="false">IF(AND(H980&gt;='Exec Summary'!$E$1,H980&lt;='Exec Summary'!$E$2),1,0)</f>
        <v>0</v>
      </c>
      <c r="T980" s="7" t="n">
        <f aca="false">IF(AND(F980="Closed",I980&lt;&gt;"",I980&gt;='Exec Summary'!$E$1,I980&lt;='Exec Summary'!$E$2),1,0)</f>
        <v>0</v>
      </c>
      <c r="U980" s="7" t="n">
        <f aca="false">IF(F980="Reopened",1,0)</f>
        <v>0</v>
      </c>
      <c r="V980" s="7" t="n">
        <f aca="false">IF(AND(R980=1,O980&gt;Q980),1,0)</f>
        <v>0</v>
      </c>
      <c r="W980" s="7" t="n">
        <f aca="false">IF(AND(T980=1,P980&lt;&gt;"",P980&lt;=Q980),1,0)</f>
        <v>0</v>
      </c>
    </row>
    <row r="981" customFormat="false" ht="15" hidden="false" customHeight="false" outlineLevel="0" collapsed="false">
      <c r="A981" s="7" t="s">
        <v>1233</v>
      </c>
      <c r="B981" s="7" t="s">
        <v>46</v>
      </c>
      <c r="C981" s="7" t="s">
        <v>128</v>
      </c>
      <c r="D981" s="7" t="s">
        <v>68</v>
      </c>
      <c r="E981" s="7" t="s">
        <v>69</v>
      </c>
      <c r="F981" s="7" t="s">
        <v>50</v>
      </c>
      <c r="G981" s="7" t="s">
        <v>19</v>
      </c>
      <c r="H981" s="9" t="n">
        <v>46136</v>
      </c>
      <c r="I981" s="9" t="n">
        <v>46145</v>
      </c>
      <c r="J981" s="7" t="n">
        <v>9.8</v>
      </c>
      <c r="K981" s="7" t="s">
        <v>1184</v>
      </c>
      <c r="L981" s="7" t="s">
        <v>20</v>
      </c>
      <c r="M981" s="7" t="s">
        <v>1234</v>
      </c>
      <c r="N981" s="7" t="s">
        <v>58</v>
      </c>
      <c r="O981" s="10" t="n">
        <f aca="false">'Exec Summary'!$E$2-H981</f>
        <v>98</v>
      </c>
      <c r="P981" s="10" t="n">
        <f aca="false">IF(I981="","",I981-H981)</f>
        <v>9</v>
      </c>
      <c r="Q981" s="10" t="n">
        <f aca="false">VLOOKUP(G981,$AA$2:$AB$5,2,FALSE())</f>
        <v>15</v>
      </c>
      <c r="R981" s="7" t="n">
        <f aca="false">IF(OR(F981="Open",F981="Reopened"),1,0)</f>
        <v>0</v>
      </c>
      <c r="S981" s="7" t="n">
        <f aca="false">IF(AND(H981&gt;='Exec Summary'!$E$1,H981&lt;='Exec Summary'!$E$2),1,0)</f>
        <v>0</v>
      </c>
      <c r="T981" s="7" t="n">
        <f aca="false">IF(AND(F981="Closed",I981&lt;&gt;"",I981&gt;='Exec Summary'!$E$1,I981&lt;='Exec Summary'!$E$2),1,0)</f>
        <v>0</v>
      </c>
      <c r="U981" s="7" t="n">
        <f aca="false">IF(F981="Reopened",1,0)</f>
        <v>0</v>
      </c>
      <c r="V981" s="7" t="n">
        <f aca="false">IF(AND(R981=1,O981&gt;Q981),1,0)</f>
        <v>0</v>
      </c>
      <c r="W981" s="7" t="n">
        <f aca="false">IF(AND(T981=1,P981&lt;&gt;"",P981&lt;=Q981),1,0)</f>
        <v>0</v>
      </c>
    </row>
    <row r="982" customFormat="false" ht="15" hidden="false" customHeight="false" outlineLevel="0" collapsed="false">
      <c r="A982" s="7" t="s">
        <v>1233</v>
      </c>
      <c r="B982" s="7" t="s">
        <v>46</v>
      </c>
      <c r="C982" s="7" t="s">
        <v>128</v>
      </c>
      <c r="D982" s="7" t="s">
        <v>101</v>
      </c>
      <c r="E982" s="7" t="s">
        <v>102</v>
      </c>
      <c r="F982" s="7" t="s">
        <v>56</v>
      </c>
      <c r="G982" s="7" t="s">
        <v>19</v>
      </c>
      <c r="H982" s="9" t="n">
        <v>46115</v>
      </c>
      <c r="I982" s="9"/>
      <c r="J982" s="7" t="n">
        <v>10</v>
      </c>
      <c r="K982" s="7" t="s">
        <v>1184</v>
      </c>
      <c r="L982" s="7" t="s">
        <v>20</v>
      </c>
      <c r="M982" s="7" t="s">
        <v>1235</v>
      </c>
      <c r="N982" s="7" t="s">
        <v>58</v>
      </c>
      <c r="O982" s="10" t="n">
        <f aca="false">'Exec Summary'!$E$2-H982</f>
        <v>119</v>
      </c>
      <c r="P982" s="10" t="str">
        <f aca="false">IF(I982="","",I982-H982)</f>
        <v/>
      </c>
      <c r="Q982" s="10" t="n">
        <f aca="false">VLOOKUP(G982,$AA$2:$AB$5,2,FALSE())</f>
        <v>15</v>
      </c>
      <c r="R982" s="7" t="n">
        <f aca="false">IF(OR(F982="Open",F982="Reopened"),1,0)</f>
        <v>1</v>
      </c>
      <c r="S982" s="7" t="n">
        <f aca="false">IF(AND(H982&gt;='Exec Summary'!$E$1,H982&lt;='Exec Summary'!$E$2),1,0)</f>
        <v>0</v>
      </c>
      <c r="T982" s="7" t="n">
        <f aca="false">IF(AND(F982="Closed",I982&lt;&gt;"",I982&gt;='Exec Summary'!$E$1,I982&lt;='Exec Summary'!$E$2),1,0)</f>
        <v>0</v>
      </c>
      <c r="U982" s="7" t="n">
        <f aca="false">IF(F982="Reopened",1,0)</f>
        <v>0</v>
      </c>
      <c r="V982" s="7" t="n">
        <f aca="false">IF(AND(R982=1,O982&gt;Q982),1,0)</f>
        <v>1</v>
      </c>
      <c r="W982" s="7" t="n">
        <f aca="false">IF(AND(T982=1,P982&lt;&gt;"",P982&lt;=Q982),1,0)</f>
        <v>0</v>
      </c>
    </row>
    <row r="983" customFormat="false" ht="15" hidden="false" customHeight="false" outlineLevel="0" collapsed="false">
      <c r="A983" s="7" t="s">
        <v>1233</v>
      </c>
      <c r="B983" s="7" t="s">
        <v>46</v>
      </c>
      <c r="C983" s="7" t="s">
        <v>128</v>
      </c>
      <c r="D983" s="7" t="s">
        <v>87</v>
      </c>
      <c r="E983" s="7" t="s">
        <v>88</v>
      </c>
      <c r="F983" s="7" t="s">
        <v>50</v>
      </c>
      <c r="G983" s="7" t="s">
        <v>19</v>
      </c>
      <c r="H983" s="9" t="n">
        <v>46062</v>
      </c>
      <c r="I983" s="9" t="n">
        <v>46063</v>
      </c>
      <c r="J983" s="7" t="n">
        <v>10</v>
      </c>
      <c r="K983" s="7" t="s">
        <v>1184</v>
      </c>
      <c r="L983" s="7" t="s">
        <v>20</v>
      </c>
      <c r="M983" s="7" t="s">
        <v>1236</v>
      </c>
      <c r="N983" s="7" t="s">
        <v>58</v>
      </c>
      <c r="O983" s="10" t="n">
        <f aca="false">'Exec Summary'!$E$2-H983</f>
        <v>172</v>
      </c>
      <c r="P983" s="10" t="n">
        <f aca="false">IF(I983="","",I983-H983)</f>
        <v>1</v>
      </c>
      <c r="Q983" s="10" t="n">
        <f aca="false">VLOOKUP(G983,$AA$2:$AB$5,2,FALSE())</f>
        <v>15</v>
      </c>
      <c r="R983" s="7" t="n">
        <f aca="false">IF(OR(F983="Open",F983="Reopened"),1,0)</f>
        <v>0</v>
      </c>
      <c r="S983" s="7" t="n">
        <f aca="false">IF(AND(H983&gt;='Exec Summary'!$E$1,H983&lt;='Exec Summary'!$E$2),1,0)</f>
        <v>0</v>
      </c>
      <c r="T983" s="7" t="n">
        <f aca="false">IF(AND(F983="Closed",I983&lt;&gt;"",I983&gt;='Exec Summary'!$E$1,I983&lt;='Exec Summary'!$E$2),1,0)</f>
        <v>0</v>
      </c>
      <c r="U983" s="7" t="n">
        <f aca="false">IF(F983="Reopened",1,0)</f>
        <v>0</v>
      </c>
      <c r="V983" s="7" t="n">
        <f aca="false">IF(AND(R983=1,O983&gt;Q983),1,0)</f>
        <v>0</v>
      </c>
      <c r="W983" s="7" t="n">
        <f aca="false">IF(AND(T983=1,P983&lt;&gt;"",P983&lt;=Q983),1,0)</f>
        <v>0</v>
      </c>
    </row>
    <row r="984" customFormat="false" ht="15" hidden="false" customHeight="false" outlineLevel="0" collapsed="false">
      <c r="A984" s="7" t="s">
        <v>1233</v>
      </c>
      <c r="B984" s="7" t="s">
        <v>46</v>
      </c>
      <c r="C984" s="7" t="s">
        <v>128</v>
      </c>
      <c r="D984" s="7" t="s">
        <v>112</v>
      </c>
      <c r="E984" s="7" t="s">
        <v>113</v>
      </c>
      <c r="F984" s="7" t="s">
        <v>50</v>
      </c>
      <c r="G984" s="7" t="s">
        <v>20</v>
      </c>
      <c r="H984" s="9" t="n">
        <v>46189</v>
      </c>
      <c r="I984" s="9" t="n">
        <v>46216</v>
      </c>
      <c r="J984" s="7" t="n">
        <v>7.8</v>
      </c>
      <c r="K984" s="7" t="s">
        <v>1184</v>
      </c>
      <c r="L984" s="7" t="s">
        <v>20</v>
      </c>
      <c r="M984" s="7" t="s">
        <v>1237</v>
      </c>
      <c r="N984" s="7" t="s">
        <v>53</v>
      </c>
      <c r="O984" s="10" t="n">
        <f aca="false">'Exec Summary'!$E$2-H984</f>
        <v>45</v>
      </c>
      <c r="P984" s="10" t="n">
        <f aca="false">IF(I984="","",I984-H984)</f>
        <v>27</v>
      </c>
      <c r="Q984" s="10" t="n">
        <f aca="false">VLOOKUP(G984,$AA$2:$AB$5,2,FALSE())</f>
        <v>30</v>
      </c>
      <c r="R984" s="7" t="n">
        <f aca="false">IF(OR(F984="Open",F984="Reopened"),1,0)</f>
        <v>0</v>
      </c>
      <c r="S984" s="7" t="n">
        <f aca="false">IF(AND(H984&gt;='Exec Summary'!$E$1,H984&lt;='Exec Summary'!$E$2),1,0)</f>
        <v>0</v>
      </c>
      <c r="T984" s="7" t="n">
        <f aca="false">IF(AND(F984="Closed",I984&lt;&gt;"",I984&gt;='Exec Summary'!$E$1,I984&lt;='Exec Summary'!$E$2),1,0)</f>
        <v>1</v>
      </c>
      <c r="U984" s="7" t="n">
        <f aca="false">IF(F984="Reopened",1,0)</f>
        <v>0</v>
      </c>
      <c r="V984" s="7" t="n">
        <f aca="false">IF(AND(R984=1,O984&gt;Q984),1,0)</f>
        <v>0</v>
      </c>
      <c r="W984" s="7" t="n">
        <f aca="false">IF(AND(T984=1,P984&lt;&gt;"",P984&lt;=Q984),1,0)</f>
        <v>1</v>
      </c>
    </row>
    <row r="985" customFormat="false" ht="15" hidden="false" customHeight="false" outlineLevel="0" collapsed="false">
      <c r="A985" s="7" t="s">
        <v>1233</v>
      </c>
      <c r="B985" s="7" t="s">
        <v>46</v>
      </c>
      <c r="C985" s="7" t="s">
        <v>128</v>
      </c>
      <c r="D985" s="7" t="s">
        <v>108</v>
      </c>
      <c r="E985" s="7" t="s">
        <v>109</v>
      </c>
      <c r="F985" s="7" t="s">
        <v>56</v>
      </c>
      <c r="G985" s="7" t="s">
        <v>20</v>
      </c>
      <c r="H985" s="9" t="n">
        <v>45993</v>
      </c>
      <c r="I985" s="9"/>
      <c r="J985" s="7" t="n">
        <v>8.6</v>
      </c>
      <c r="K985" s="7" t="s">
        <v>1184</v>
      </c>
      <c r="L985" s="7" t="s">
        <v>20</v>
      </c>
      <c r="M985" s="7" t="s">
        <v>1238</v>
      </c>
      <c r="N985" s="7" t="s">
        <v>53</v>
      </c>
      <c r="O985" s="10" t="n">
        <f aca="false">'Exec Summary'!$E$2-H985</f>
        <v>241</v>
      </c>
      <c r="P985" s="10" t="str">
        <f aca="false">IF(I985="","",I985-H985)</f>
        <v/>
      </c>
      <c r="Q985" s="10" t="n">
        <f aca="false">VLOOKUP(G985,$AA$2:$AB$5,2,FALSE())</f>
        <v>30</v>
      </c>
      <c r="R985" s="7" t="n">
        <f aca="false">IF(OR(F985="Open",F985="Reopened"),1,0)</f>
        <v>1</v>
      </c>
      <c r="S985" s="7" t="n">
        <f aca="false">IF(AND(H985&gt;='Exec Summary'!$E$1,H985&lt;='Exec Summary'!$E$2),1,0)</f>
        <v>0</v>
      </c>
      <c r="T985" s="7" t="n">
        <f aca="false">IF(AND(F985="Closed",I985&lt;&gt;"",I985&gt;='Exec Summary'!$E$1,I985&lt;='Exec Summary'!$E$2),1,0)</f>
        <v>0</v>
      </c>
      <c r="U985" s="7" t="n">
        <f aca="false">IF(F985="Reopened",1,0)</f>
        <v>0</v>
      </c>
      <c r="V985" s="7" t="n">
        <f aca="false">IF(AND(R985=1,O985&gt;Q985),1,0)</f>
        <v>1</v>
      </c>
      <c r="W985" s="7" t="n">
        <f aca="false">IF(AND(T985=1,P985&lt;&gt;"",P985&lt;=Q985),1,0)</f>
        <v>0</v>
      </c>
    </row>
    <row r="986" customFormat="false" ht="15" hidden="false" customHeight="false" outlineLevel="0" collapsed="false">
      <c r="A986" s="7" t="s">
        <v>1233</v>
      </c>
      <c r="B986" s="7" t="s">
        <v>46</v>
      </c>
      <c r="C986" s="7" t="s">
        <v>128</v>
      </c>
      <c r="D986" s="7" t="s">
        <v>139</v>
      </c>
      <c r="E986" s="7" t="s">
        <v>140</v>
      </c>
      <c r="F986" s="7" t="s">
        <v>50</v>
      </c>
      <c r="G986" s="7" t="s">
        <v>19</v>
      </c>
      <c r="H986" s="9" t="n">
        <v>46129</v>
      </c>
      <c r="I986" s="9" t="n">
        <v>46140</v>
      </c>
      <c r="J986" s="7" t="n">
        <v>9.8</v>
      </c>
      <c r="K986" s="7" t="s">
        <v>1184</v>
      </c>
      <c r="L986" s="7" t="s">
        <v>20</v>
      </c>
      <c r="M986" s="7" t="s">
        <v>1239</v>
      </c>
      <c r="N986" s="7" t="s">
        <v>58</v>
      </c>
      <c r="O986" s="10" t="n">
        <f aca="false">'Exec Summary'!$E$2-H986</f>
        <v>105</v>
      </c>
      <c r="P986" s="10" t="n">
        <f aca="false">IF(I986="","",I986-H986)</f>
        <v>11</v>
      </c>
      <c r="Q986" s="10" t="n">
        <f aca="false">VLOOKUP(G986,$AA$2:$AB$5,2,FALSE())</f>
        <v>15</v>
      </c>
      <c r="R986" s="7" t="n">
        <f aca="false">IF(OR(F986="Open",F986="Reopened"),1,0)</f>
        <v>0</v>
      </c>
      <c r="S986" s="7" t="n">
        <f aca="false">IF(AND(H986&gt;='Exec Summary'!$E$1,H986&lt;='Exec Summary'!$E$2),1,0)</f>
        <v>0</v>
      </c>
      <c r="T986" s="7" t="n">
        <f aca="false">IF(AND(F986="Closed",I986&lt;&gt;"",I986&gt;='Exec Summary'!$E$1,I986&lt;='Exec Summary'!$E$2),1,0)</f>
        <v>0</v>
      </c>
      <c r="U986" s="7" t="n">
        <f aca="false">IF(F986="Reopened",1,0)</f>
        <v>0</v>
      </c>
      <c r="V986" s="7" t="n">
        <f aca="false">IF(AND(R986=1,O986&gt;Q986),1,0)</f>
        <v>0</v>
      </c>
      <c r="W986" s="7" t="n">
        <f aca="false">IF(AND(T986=1,P986&lt;&gt;"",P986&lt;=Q986),1,0)</f>
        <v>0</v>
      </c>
    </row>
    <row r="987" customFormat="false" ht="15" hidden="false" customHeight="false" outlineLevel="0" collapsed="false">
      <c r="A987" s="7" t="s">
        <v>1233</v>
      </c>
      <c r="B987" s="7" t="s">
        <v>46</v>
      </c>
      <c r="C987" s="7" t="s">
        <v>128</v>
      </c>
      <c r="D987" s="7" t="s">
        <v>117</v>
      </c>
      <c r="E987" s="7" t="s">
        <v>118</v>
      </c>
      <c r="F987" s="7" t="s">
        <v>50</v>
      </c>
      <c r="G987" s="7" t="s">
        <v>19</v>
      </c>
      <c r="H987" s="9" t="n">
        <v>46183</v>
      </c>
      <c r="I987" s="9" t="n">
        <v>46201</v>
      </c>
      <c r="J987" s="7" t="n">
        <v>10</v>
      </c>
      <c r="K987" s="7" t="s">
        <v>1184</v>
      </c>
      <c r="L987" s="7" t="s">
        <v>20</v>
      </c>
      <c r="M987" s="7" t="s">
        <v>1240</v>
      </c>
      <c r="N987" s="7" t="s">
        <v>58</v>
      </c>
      <c r="O987" s="10" t="n">
        <f aca="false">'Exec Summary'!$E$2-H987</f>
        <v>51</v>
      </c>
      <c r="P987" s="10" t="n">
        <f aca="false">IF(I987="","",I987-H987)</f>
        <v>18</v>
      </c>
      <c r="Q987" s="10" t="n">
        <f aca="false">VLOOKUP(G987,$AA$2:$AB$5,2,FALSE())</f>
        <v>15</v>
      </c>
      <c r="R987" s="7" t="n">
        <f aca="false">IF(OR(F987="Open",F987="Reopened"),1,0)</f>
        <v>0</v>
      </c>
      <c r="S987" s="7" t="n">
        <f aca="false">IF(AND(H987&gt;='Exec Summary'!$E$1,H987&lt;='Exec Summary'!$E$2),1,0)</f>
        <v>0</v>
      </c>
      <c r="T987" s="7" t="n">
        <f aca="false">IF(AND(F987="Closed",I987&lt;&gt;"",I987&gt;='Exec Summary'!$E$1,I987&lt;='Exec Summary'!$E$2),1,0)</f>
        <v>0</v>
      </c>
      <c r="U987" s="7" t="n">
        <f aca="false">IF(F987="Reopened",1,0)</f>
        <v>0</v>
      </c>
      <c r="V987" s="7" t="n">
        <f aca="false">IF(AND(R987=1,O987&gt;Q987),1,0)</f>
        <v>0</v>
      </c>
      <c r="W987" s="7" t="n">
        <f aca="false">IF(AND(T987=1,P987&lt;&gt;"",P987&lt;=Q987),1,0)</f>
        <v>0</v>
      </c>
    </row>
    <row r="988" customFormat="false" ht="15" hidden="false" customHeight="false" outlineLevel="0" collapsed="false">
      <c r="A988" s="7" t="s">
        <v>1241</v>
      </c>
      <c r="B988" s="7" t="s">
        <v>46</v>
      </c>
      <c r="C988" s="7" t="s">
        <v>79</v>
      </c>
      <c r="D988" s="7" t="s">
        <v>68</v>
      </c>
      <c r="E988" s="7" t="s">
        <v>69</v>
      </c>
      <c r="F988" s="7" t="s">
        <v>50</v>
      </c>
      <c r="G988" s="7" t="s">
        <v>19</v>
      </c>
      <c r="H988" s="9" t="n">
        <v>46158</v>
      </c>
      <c r="I988" s="9" t="n">
        <v>46169</v>
      </c>
      <c r="J988" s="7" t="n">
        <v>9.8</v>
      </c>
      <c r="K988" s="7" t="s">
        <v>1184</v>
      </c>
      <c r="L988" s="7" t="s">
        <v>20</v>
      </c>
      <c r="M988" s="7" t="s">
        <v>1242</v>
      </c>
      <c r="N988" s="7" t="s">
        <v>58</v>
      </c>
      <c r="O988" s="10" t="n">
        <f aca="false">'Exec Summary'!$E$2-H988</f>
        <v>76</v>
      </c>
      <c r="P988" s="10" t="n">
        <f aca="false">IF(I988="","",I988-H988)</f>
        <v>11</v>
      </c>
      <c r="Q988" s="10" t="n">
        <f aca="false">VLOOKUP(G988,$AA$2:$AB$5,2,FALSE())</f>
        <v>15</v>
      </c>
      <c r="R988" s="7" t="n">
        <f aca="false">IF(OR(F988="Open",F988="Reopened"),1,0)</f>
        <v>0</v>
      </c>
      <c r="S988" s="7" t="n">
        <f aca="false">IF(AND(H988&gt;='Exec Summary'!$E$1,H988&lt;='Exec Summary'!$E$2),1,0)</f>
        <v>0</v>
      </c>
      <c r="T988" s="7" t="n">
        <f aca="false">IF(AND(F988="Closed",I988&lt;&gt;"",I988&gt;='Exec Summary'!$E$1,I988&lt;='Exec Summary'!$E$2),1,0)</f>
        <v>0</v>
      </c>
      <c r="U988" s="7" t="n">
        <f aca="false">IF(F988="Reopened",1,0)</f>
        <v>0</v>
      </c>
      <c r="V988" s="7" t="n">
        <f aca="false">IF(AND(R988=1,O988&gt;Q988),1,0)</f>
        <v>0</v>
      </c>
      <c r="W988" s="7" t="n">
        <f aca="false">IF(AND(T988=1,P988&lt;&gt;"",P988&lt;=Q988),1,0)</f>
        <v>0</v>
      </c>
    </row>
    <row r="989" customFormat="false" ht="15" hidden="false" customHeight="false" outlineLevel="0" collapsed="false">
      <c r="A989" s="7" t="s">
        <v>1241</v>
      </c>
      <c r="B989" s="7" t="s">
        <v>46</v>
      </c>
      <c r="C989" s="7" t="s">
        <v>79</v>
      </c>
      <c r="D989" s="7" t="s">
        <v>101</v>
      </c>
      <c r="E989" s="7" t="s">
        <v>102</v>
      </c>
      <c r="F989" s="7" t="s">
        <v>56</v>
      </c>
      <c r="G989" s="7" t="s">
        <v>19</v>
      </c>
      <c r="H989" s="9" t="n">
        <v>46124</v>
      </c>
      <c r="I989" s="9"/>
      <c r="J989" s="7" t="n">
        <v>10</v>
      </c>
      <c r="K989" s="7" t="s">
        <v>1184</v>
      </c>
      <c r="L989" s="7" t="s">
        <v>20</v>
      </c>
      <c r="M989" s="7" t="s">
        <v>1243</v>
      </c>
      <c r="N989" s="7" t="s">
        <v>58</v>
      </c>
      <c r="O989" s="10" t="n">
        <f aca="false">'Exec Summary'!$E$2-H989</f>
        <v>110</v>
      </c>
      <c r="P989" s="10" t="str">
        <f aca="false">IF(I989="","",I989-H989)</f>
        <v/>
      </c>
      <c r="Q989" s="10" t="n">
        <f aca="false">VLOOKUP(G989,$AA$2:$AB$5,2,FALSE())</f>
        <v>15</v>
      </c>
      <c r="R989" s="7" t="n">
        <f aca="false">IF(OR(F989="Open",F989="Reopened"),1,0)</f>
        <v>1</v>
      </c>
      <c r="S989" s="7" t="n">
        <f aca="false">IF(AND(H989&gt;='Exec Summary'!$E$1,H989&lt;='Exec Summary'!$E$2),1,0)</f>
        <v>0</v>
      </c>
      <c r="T989" s="7" t="n">
        <f aca="false">IF(AND(F989="Closed",I989&lt;&gt;"",I989&gt;='Exec Summary'!$E$1,I989&lt;='Exec Summary'!$E$2),1,0)</f>
        <v>0</v>
      </c>
      <c r="U989" s="7" t="n">
        <f aca="false">IF(F989="Reopened",1,0)</f>
        <v>0</v>
      </c>
      <c r="V989" s="7" t="n">
        <f aca="false">IF(AND(R989=1,O989&gt;Q989),1,0)</f>
        <v>1</v>
      </c>
      <c r="W989" s="7" t="n">
        <f aca="false">IF(AND(T989=1,P989&lt;&gt;"",P989&lt;=Q989),1,0)</f>
        <v>0</v>
      </c>
    </row>
    <row r="990" customFormat="false" ht="15" hidden="false" customHeight="false" outlineLevel="0" collapsed="false">
      <c r="A990" s="7" t="s">
        <v>1241</v>
      </c>
      <c r="B990" s="7" t="s">
        <v>46</v>
      </c>
      <c r="C990" s="7" t="s">
        <v>79</v>
      </c>
      <c r="D990" s="7" t="s">
        <v>210</v>
      </c>
      <c r="E990" s="7" t="s">
        <v>211</v>
      </c>
      <c r="F990" s="7" t="s">
        <v>50</v>
      </c>
      <c r="G990" s="7" t="s">
        <v>19</v>
      </c>
      <c r="H990" s="9" t="n">
        <v>46000</v>
      </c>
      <c r="I990" s="9" t="n">
        <v>46026</v>
      </c>
      <c r="J990" s="7" t="n">
        <v>9.8</v>
      </c>
      <c r="K990" s="7" t="s">
        <v>1184</v>
      </c>
      <c r="L990" s="7" t="s">
        <v>20</v>
      </c>
      <c r="M990" s="7" t="s">
        <v>1244</v>
      </c>
      <c r="N990" s="7" t="s">
        <v>58</v>
      </c>
      <c r="O990" s="10" t="n">
        <f aca="false">'Exec Summary'!$E$2-H990</f>
        <v>234</v>
      </c>
      <c r="P990" s="10" t="n">
        <f aca="false">IF(I990="","",I990-H990)</f>
        <v>26</v>
      </c>
      <c r="Q990" s="10" t="n">
        <f aca="false">VLOOKUP(G990,$AA$2:$AB$5,2,FALSE())</f>
        <v>15</v>
      </c>
      <c r="R990" s="7" t="n">
        <f aca="false">IF(OR(F990="Open",F990="Reopened"),1,0)</f>
        <v>0</v>
      </c>
      <c r="S990" s="7" t="n">
        <f aca="false">IF(AND(H990&gt;='Exec Summary'!$E$1,H990&lt;='Exec Summary'!$E$2),1,0)</f>
        <v>0</v>
      </c>
      <c r="T990" s="7" t="n">
        <f aca="false">IF(AND(F990="Closed",I990&lt;&gt;"",I990&gt;='Exec Summary'!$E$1,I990&lt;='Exec Summary'!$E$2),1,0)</f>
        <v>0</v>
      </c>
      <c r="U990" s="7" t="n">
        <f aca="false">IF(F990="Reopened",1,0)</f>
        <v>0</v>
      </c>
      <c r="V990" s="7" t="n">
        <f aca="false">IF(AND(R990=1,O990&gt;Q990),1,0)</f>
        <v>0</v>
      </c>
      <c r="W990" s="7" t="n">
        <f aca="false">IF(AND(T990=1,P990&lt;&gt;"",P990&lt;=Q990),1,0)</f>
        <v>0</v>
      </c>
    </row>
    <row r="991" customFormat="false" ht="15" hidden="false" customHeight="false" outlineLevel="0" collapsed="false">
      <c r="A991" s="7" t="s">
        <v>1241</v>
      </c>
      <c r="B991" s="7" t="s">
        <v>46</v>
      </c>
      <c r="C991" s="7" t="s">
        <v>79</v>
      </c>
      <c r="D991" s="7" t="s">
        <v>54</v>
      </c>
      <c r="E991" s="7" t="s">
        <v>55</v>
      </c>
      <c r="F991" s="7" t="s">
        <v>50</v>
      </c>
      <c r="G991" s="7" t="s">
        <v>19</v>
      </c>
      <c r="H991" s="9" t="n">
        <v>46085</v>
      </c>
      <c r="I991" s="9" t="n">
        <v>46101</v>
      </c>
      <c r="J991" s="7" t="n">
        <v>9.8</v>
      </c>
      <c r="K991" s="7" t="s">
        <v>1184</v>
      </c>
      <c r="L991" s="7" t="s">
        <v>20</v>
      </c>
      <c r="M991" s="7" t="s">
        <v>1245</v>
      </c>
      <c r="N991" s="7" t="s">
        <v>58</v>
      </c>
      <c r="O991" s="10" t="n">
        <f aca="false">'Exec Summary'!$E$2-H991</f>
        <v>149</v>
      </c>
      <c r="P991" s="10" t="n">
        <f aca="false">IF(I991="","",I991-H991)</f>
        <v>16</v>
      </c>
      <c r="Q991" s="10" t="n">
        <f aca="false">VLOOKUP(G991,$AA$2:$AB$5,2,FALSE())</f>
        <v>15</v>
      </c>
      <c r="R991" s="7" t="n">
        <f aca="false">IF(OR(F991="Open",F991="Reopened"),1,0)</f>
        <v>0</v>
      </c>
      <c r="S991" s="7" t="n">
        <f aca="false">IF(AND(H991&gt;='Exec Summary'!$E$1,H991&lt;='Exec Summary'!$E$2),1,0)</f>
        <v>0</v>
      </c>
      <c r="T991" s="7" t="n">
        <f aca="false">IF(AND(F991="Closed",I991&lt;&gt;"",I991&gt;='Exec Summary'!$E$1,I991&lt;='Exec Summary'!$E$2),1,0)</f>
        <v>0</v>
      </c>
      <c r="U991" s="7" t="n">
        <f aca="false">IF(F991="Reopened",1,0)</f>
        <v>0</v>
      </c>
      <c r="V991" s="7" t="n">
        <f aca="false">IF(AND(R991=1,O991&gt;Q991),1,0)</f>
        <v>0</v>
      </c>
      <c r="W991" s="7" t="n">
        <f aca="false">IF(AND(T991=1,P991&lt;&gt;"",P991&lt;=Q991),1,0)</f>
        <v>0</v>
      </c>
    </row>
    <row r="992" customFormat="false" ht="15" hidden="false" customHeight="false" outlineLevel="0" collapsed="false">
      <c r="A992" s="7" t="s">
        <v>1246</v>
      </c>
      <c r="B992" s="7" t="s">
        <v>135</v>
      </c>
      <c r="C992" s="7" t="s">
        <v>136</v>
      </c>
      <c r="D992" s="7" t="s">
        <v>91</v>
      </c>
      <c r="E992" s="7" t="s">
        <v>92</v>
      </c>
      <c r="F992" s="7" t="s">
        <v>50</v>
      </c>
      <c r="G992" s="7" t="s">
        <v>20</v>
      </c>
      <c r="H992" s="9" t="n">
        <v>46193</v>
      </c>
      <c r="I992" s="9" t="n">
        <v>46223</v>
      </c>
      <c r="J992" s="7" t="n">
        <v>8.1</v>
      </c>
      <c r="K992" s="7" t="s">
        <v>1184</v>
      </c>
      <c r="L992" s="7" t="s">
        <v>20</v>
      </c>
      <c r="M992" s="7" t="s">
        <v>1247</v>
      </c>
      <c r="N992" s="7" t="s">
        <v>53</v>
      </c>
      <c r="O992" s="10" t="n">
        <f aca="false">'Exec Summary'!$E$2-H992</f>
        <v>41</v>
      </c>
      <c r="P992" s="10" t="n">
        <f aca="false">IF(I992="","",I992-H992)</f>
        <v>30</v>
      </c>
      <c r="Q992" s="10" t="n">
        <f aca="false">VLOOKUP(G992,$AA$2:$AB$5,2,FALSE())</f>
        <v>30</v>
      </c>
      <c r="R992" s="7" t="n">
        <f aca="false">IF(OR(F992="Open",F992="Reopened"),1,0)</f>
        <v>0</v>
      </c>
      <c r="S992" s="7" t="n">
        <f aca="false">IF(AND(H992&gt;='Exec Summary'!$E$1,H992&lt;='Exec Summary'!$E$2),1,0)</f>
        <v>0</v>
      </c>
      <c r="T992" s="7" t="n">
        <f aca="false">IF(AND(F992="Closed",I992&lt;&gt;"",I992&gt;='Exec Summary'!$E$1,I992&lt;='Exec Summary'!$E$2),1,0)</f>
        <v>1</v>
      </c>
      <c r="U992" s="7" t="n">
        <f aca="false">IF(F992="Reopened",1,0)</f>
        <v>0</v>
      </c>
      <c r="V992" s="7" t="n">
        <f aca="false">IF(AND(R992=1,O992&gt;Q992),1,0)</f>
        <v>0</v>
      </c>
      <c r="W992" s="7" t="n">
        <f aca="false">IF(AND(T992=1,P992&lt;&gt;"",P992&lt;=Q992),1,0)</f>
        <v>1</v>
      </c>
    </row>
    <row r="993" customFormat="false" ht="15" hidden="false" customHeight="false" outlineLevel="0" collapsed="false">
      <c r="A993" s="7" t="s">
        <v>1246</v>
      </c>
      <c r="B993" s="7" t="s">
        <v>135</v>
      </c>
      <c r="C993" s="7" t="s">
        <v>136</v>
      </c>
      <c r="D993" s="7" t="s">
        <v>139</v>
      </c>
      <c r="E993" s="7" t="s">
        <v>140</v>
      </c>
      <c r="F993" s="7" t="s">
        <v>50</v>
      </c>
      <c r="G993" s="7" t="s">
        <v>19</v>
      </c>
      <c r="H993" s="9" t="n">
        <v>45964</v>
      </c>
      <c r="I993" s="9" t="n">
        <v>45975</v>
      </c>
      <c r="J993" s="7" t="n">
        <v>9.8</v>
      </c>
      <c r="K993" s="7" t="s">
        <v>1184</v>
      </c>
      <c r="L993" s="7" t="s">
        <v>20</v>
      </c>
      <c r="M993" s="7" t="s">
        <v>1248</v>
      </c>
      <c r="N993" s="7" t="s">
        <v>58</v>
      </c>
      <c r="O993" s="10" t="n">
        <f aca="false">'Exec Summary'!$E$2-H993</f>
        <v>270</v>
      </c>
      <c r="P993" s="10" t="n">
        <f aca="false">IF(I993="","",I993-H993)</f>
        <v>11</v>
      </c>
      <c r="Q993" s="10" t="n">
        <f aca="false">VLOOKUP(G993,$AA$2:$AB$5,2,FALSE())</f>
        <v>15</v>
      </c>
      <c r="R993" s="7" t="n">
        <f aca="false">IF(OR(F993="Open",F993="Reopened"),1,0)</f>
        <v>0</v>
      </c>
      <c r="S993" s="7" t="n">
        <f aca="false">IF(AND(H993&gt;='Exec Summary'!$E$1,H993&lt;='Exec Summary'!$E$2),1,0)</f>
        <v>0</v>
      </c>
      <c r="T993" s="7" t="n">
        <f aca="false">IF(AND(F993="Closed",I993&lt;&gt;"",I993&gt;='Exec Summary'!$E$1,I993&lt;='Exec Summary'!$E$2),1,0)</f>
        <v>0</v>
      </c>
      <c r="U993" s="7" t="n">
        <f aca="false">IF(F993="Reopened",1,0)</f>
        <v>0</v>
      </c>
      <c r="V993" s="7" t="n">
        <f aca="false">IF(AND(R993=1,O993&gt;Q993),1,0)</f>
        <v>0</v>
      </c>
      <c r="W993" s="7" t="n">
        <f aca="false">IF(AND(T993=1,P993&lt;&gt;"",P993&lt;=Q993),1,0)</f>
        <v>0</v>
      </c>
    </row>
    <row r="994" customFormat="false" ht="15" hidden="false" customHeight="false" outlineLevel="0" collapsed="false">
      <c r="A994" s="7" t="s">
        <v>1246</v>
      </c>
      <c r="B994" s="7" t="s">
        <v>135</v>
      </c>
      <c r="C994" s="7" t="s">
        <v>136</v>
      </c>
      <c r="D994" s="7" t="s">
        <v>192</v>
      </c>
      <c r="E994" s="7" t="s">
        <v>193</v>
      </c>
      <c r="F994" s="7" t="s">
        <v>50</v>
      </c>
      <c r="G994" s="7" t="s">
        <v>19</v>
      </c>
      <c r="H994" s="9" t="n">
        <v>46124</v>
      </c>
      <c r="I994" s="9" t="n">
        <v>46125</v>
      </c>
      <c r="J994" s="7" t="n">
        <v>9.8</v>
      </c>
      <c r="K994" s="7" t="s">
        <v>1184</v>
      </c>
      <c r="L994" s="7" t="s">
        <v>20</v>
      </c>
      <c r="M994" s="7" t="s">
        <v>1249</v>
      </c>
      <c r="N994" s="7" t="s">
        <v>58</v>
      </c>
      <c r="O994" s="10" t="n">
        <f aca="false">'Exec Summary'!$E$2-H994</f>
        <v>110</v>
      </c>
      <c r="P994" s="10" t="n">
        <f aca="false">IF(I994="","",I994-H994)</f>
        <v>1</v>
      </c>
      <c r="Q994" s="10" t="n">
        <f aca="false">VLOOKUP(G994,$AA$2:$AB$5,2,FALSE())</f>
        <v>15</v>
      </c>
      <c r="R994" s="7" t="n">
        <f aca="false">IF(OR(F994="Open",F994="Reopened"),1,0)</f>
        <v>0</v>
      </c>
      <c r="S994" s="7" t="n">
        <f aca="false">IF(AND(H994&gt;='Exec Summary'!$E$1,H994&lt;='Exec Summary'!$E$2),1,0)</f>
        <v>0</v>
      </c>
      <c r="T994" s="7" t="n">
        <f aca="false">IF(AND(F994="Closed",I994&lt;&gt;"",I994&gt;='Exec Summary'!$E$1,I994&lt;='Exec Summary'!$E$2),1,0)</f>
        <v>0</v>
      </c>
      <c r="U994" s="7" t="n">
        <f aca="false">IF(F994="Reopened",1,0)</f>
        <v>0</v>
      </c>
      <c r="V994" s="7" t="n">
        <f aca="false">IF(AND(R994=1,O994&gt;Q994),1,0)</f>
        <v>0</v>
      </c>
      <c r="W994" s="7" t="n">
        <f aca="false">IF(AND(T994=1,P994&lt;&gt;"",P994&lt;=Q994),1,0)</f>
        <v>0</v>
      </c>
    </row>
    <row r="995" customFormat="false" ht="15" hidden="false" customHeight="false" outlineLevel="0" collapsed="false">
      <c r="A995" s="7" t="s">
        <v>1246</v>
      </c>
      <c r="B995" s="7" t="s">
        <v>135</v>
      </c>
      <c r="C995" s="7" t="s">
        <v>136</v>
      </c>
      <c r="D995" s="7" t="s">
        <v>210</v>
      </c>
      <c r="E995" s="7" t="s">
        <v>211</v>
      </c>
      <c r="F995" s="7" t="s">
        <v>50</v>
      </c>
      <c r="G995" s="7" t="s">
        <v>19</v>
      </c>
      <c r="H995" s="9" t="n">
        <v>46079</v>
      </c>
      <c r="I995" s="9" t="n">
        <v>46097</v>
      </c>
      <c r="J995" s="7" t="n">
        <v>9.8</v>
      </c>
      <c r="K995" s="7" t="s">
        <v>1184</v>
      </c>
      <c r="L995" s="7" t="s">
        <v>20</v>
      </c>
      <c r="M995" s="7" t="s">
        <v>1250</v>
      </c>
      <c r="N995" s="7" t="s">
        <v>58</v>
      </c>
      <c r="O995" s="10" t="n">
        <f aca="false">'Exec Summary'!$E$2-H995</f>
        <v>155</v>
      </c>
      <c r="P995" s="10" t="n">
        <f aca="false">IF(I995="","",I995-H995)</f>
        <v>18</v>
      </c>
      <c r="Q995" s="10" t="n">
        <f aca="false">VLOOKUP(G995,$AA$2:$AB$5,2,FALSE())</f>
        <v>15</v>
      </c>
      <c r="R995" s="7" t="n">
        <f aca="false">IF(OR(F995="Open",F995="Reopened"),1,0)</f>
        <v>0</v>
      </c>
      <c r="S995" s="7" t="n">
        <f aca="false">IF(AND(H995&gt;='Exec Summary'!$E$1,H995&lt;='Exec Summary'!$E$2),1,0)</f>
        <v>0</v>
      </c>
      <c r="T995" s="7" t="n">
        <f aca="false">IF(AND(F995="Closed",I995&lt;&gt;"",I995&gt;='Exec Summary'!$E$1,I995&lt;='Exec Summary'!$E$2),1,0)</f>
        <v>0</v>
      </c>
      <c r="U995" s="7" t="n">
        <f aca="false">IF(F995="Reopened",1,0)</f>
        <v>0</v>
      </c>
      <c r="V995" s="7" t="n">
        <f aca="false">IF(AND(R995=1,O995&gt;Q995),1,0)</f>
        <v>0</v>
      </c>
      <c r="W995" s="7" t="n">
        <f aca="false">IF(AND(T995=1,P995&lt;&gt;"",P995&lt;=Q995),1,0)</f>
        <v>0</v>
      </c>
    </row>
    <row r="996" customFormat="false" ht="15" hidden="false" customHeight="false" outlineLevel="0" collapsed="false">
      <c r="A996" s="7" t="s">
        <v>1246</v>
      </c>
      <c r="B996" s="7" t="s">
        <v>135</v>
      </c>
      <c r="C996" s="7" t="s">
        <v>136</v>
      </c>
      <c r="D996" s="7" t="s">
        <v>84</v>
      </c>
      <c r="E996" s="7" t="s">
        <v>85</v>
      </c>
      <c r="F996" s="7" t="s">
        <v>56</v>
      </c>
      <c r="G996" s="7" t="s">
        <v>20</v>
      </c>
      <c r="H996" s="9" t="n">
        <v>46158</v>
      </c>
      <c r="I996" s="9"/>
      <c r="J996" s="7" t="n">
        <v>7.5</v>
      </c>
      <c r="K996" s="7" t="s">
        <v>1184</v>
      </c>
      <c r="L996" s="7" t="s">
        <v>20</v>
      </c>
      <c r="M996" s="7" t="s">
        <v>1251</v>
      </c>
      <c r="N996" s="7" t="s">
        <v>53</v>
      </c>
      <c r="O996" s="10" t="n">
        <f aca="false">'Exec Summary'!$E$2-H996</f>
        <v>76</v>
      </c>
      <c r="P996" s="10" t="str">
        <f aca="false">IF(I996="","",I996-H996)</f>
        <v/>
      </c>
      <c r="Q996" s="10" t="n">
        <f aca="false">VLOOKUP(G996,$AA$2:$AB$5,2,FALSE())</f>
        <v>30</v>
      </c>
      <c r="R996" s="7" t="n">
        <f aca="false">IF(OR(F996="Open",F996="Reopened"),1,0)</f>
        <v>1</v>
      </c>
      <c r="S996" s="7" t="n">
        <f aca="false">IF(AND(H996&gt;='Exec Summary'!$E$1,H996&lt;='Exec Summary'!$E$2),1,0)</f>
        <v>0</v>
      </c>
      <c r="T996" s="7" t="n">
        <f aca="false">IF(AND(F996="Closed",I996&lt;&gt;"",I996&gt;='Exec Summary'!$E$1,I996&lt;='Exec Summary'!$E$2),1,0)</f>
        <v>0</v>
      </c>
      <c r="U996" s="7" t="n">
        <f aca="false">IF(F996="Reopened",1,0)</f>
        <v>0</v>
      </c>
      <c r="V996" s="7" t="n">
        <f aca="false">IF(AND(R996=1,O996&gt;Q996),1,0)</f>
        <v>1</v>
      </c>
      <c r="W996" s="7" t="n">
        <f aca="false">IF(AND(T996=1,P996&lt;&gt;"",P996&lt;=Q996),1,0)</f>
        <v>0</v>
      </c>
    </row>
    <row r="997" customFormat="false" ht="15" hidden="false" customHeight="false" outlineLevel="0" collapsed="false">
      <c r="A997" s="7" t="s">
        <v>1246</v>
      </c>
      <c r="B997" s="7" t="s">
        <v>135</v>
      </c>
      <c r="C997" s="7" t="s">
        <v>136</v>
      </c>
      <c r="D997" s="7" t="s">
        <v>166</v>
      </c>
      <c r="E997" s="7" t="s">
        <v>167</v>
      </c>
      <c r="F997" s="7" t="s">
        <v>50</v>
      </c>
      <c r="G997" s="7" t="s">
        <v>19</v>
      </c>
      <c r="H997" s="9" t="n">
        <v>46197</v>
      </c>
      <c r="I997" s="9" t="n">
        <v>46210</v>
      </c>
      <c r="J997" s="7" t="n">
        <v>9.8</v>
      </c>
      <c r="K997" s="7" t="s">
        <v>1184</v>
      </c>
      <c r="L997" s="7" t="s">
        <v>20</v>
      </c>
      <c r="M997" s="7" t="s">
        <v>1252</v>
      </c>
      <c r="N997" s="7" t="s">
        <v>58</v>
      </c>
      <c r="O997" s="10" t="n">
        <f aca="false">'Exec Summary'!$E$2-H997</f>
        <v>37</v>
      </c>
      <c r="P997" s="10" t="n">
        <f aca="false">IF(I997="","",I997-H997)</f>
        <v>13</v>
      </c>
      <c r="Q997" s="10" t="n">
        <f aca="false">VLOOKUP(G997,$AA$2:$AB$5,2,FALSE())</f>
        <v>15</v>
      </c>
      <c r="R997" s="7" t="n">
        <f aca="false">IF(OR(F997="Open",F997="Reopened"),1,0)</f>
        <v>0</v>
      </c>
      <c r="S997" s="7" t="n">
        <f aca="false">IF(AND(H997&gt;='Exec Summary'!$E$1,H997&lt;='Exec Summary'!$E$2),1,0)</f>
        <v>0</v>
      </c>
      <c r="T997" s="7" t="n">
        <f aca="false">IF(AND(F997="Closed",I997&lt;&gt;"",I997&gt;='Exec Summary'!$E$1,I997&lt;='Exec Summary'!$E$2),1,0)</f>
        <v>1</v>
      </c>
      <c r="U997" s="7" t="n">
        <f aca="false">IF(F997="Reopened",1,0)</f>
        <v>0</v>
      </c>
      <c r="V997" s="7" t="n">
        <f aca="false">IF(AND(R997=1,O997&gt;Q997),1,0)</f>
        <v>0</v>
      </c>
      <c r="W997" s="7" t="n">
        <f aca="false">IF(AND(T997=1,P997&lt;&gt;"",P997&lt;=Q997),1,0)</f>
        <v>1</v>
      </c>
    </row>
    <row r="998" customFormat="false" ht="15" hidden="false" customHeight="false" outlineLevel="0" collapsed="false">
      <c r="A998" s="7" t="s">
        <v>1246</v>
      </c>
      <c r="B998" s="7" t="s">
        <v>135</v>
      </c>
      <c r="C998" s="7" t="s">
        <v>136</v>
      </c>
      <c r="D998" s="7" t="s">
        <v>163</v>
      </c>
      <c r="E998" s="7" t="s">
        <v>164</v>
      </c>
      <c r="F998" s="7" t="s">
        <v>56</v>
      </c>
      <c r="G998" s="7" t="s">
        <v>19</v>
      </c>
      <c r="H998" s="9" t="n">
        <v>46012</v>
      </c>
      <c r="I998" s="9"/>
      <c r="J998" s="7" t="n">
        <v>9.1</v>
      </c>
      <c r="K998" s="7" t="s">
        <v>1184</v>
      </c>
      <c r="L998" s="7" t="s">
        <v>20</v>
      </c>
      <c r="M998" s="7" t="s">
        <v>1253</v>
      </c>
      <c r="N998" s="7" t="s">
        <v>58</v>
      </c>
      <c r="O998" s="10" t="n">
        <f aca="false">'Exec Summary'!$E$2-H998</f>
        <v>222</v>
      </c>
      <c r="P998" s="10" t="str">
        <f aca="false">IF(I998="","",I998-H998)</f>
        <v/>
      </c>
      <c r="Q998" s="10" t="n">
        <f aca="false">VLOOKUP(G998,$AA$2:$AB$5,2,FALSE())</f>
        <v>15</v>
      </c>
      <c r="R998" s="7" t="n">
        <f aca="false">IF(OR(F998="Open",F998="Reopened"),1,0)</f>
        <v>1</v>
      </c>
      <c r="S998" s="7" t="n">
        <f aca="false">IF(AND(H998&gt;='Exec Summary'!$E$1,H998&lt;='Exec Summary'!$E$2),1,0)</f>
        <v>0</v>
      </c>
      <c r="T998" s="7" t="n">
        <f aca="false">IF(AND(F998="Closed",I998&lt;&gt;"",I998&gt;='Exec Summary'!$E$1,I998&lt;='Exec Summary'!$E$2),1,0)</f>
        <v>0</v>
      </c>
      <c r="U998" s="7" t="n">
        <f aca="false">IF(F998="Reopened",1,0)</f>
        <v>0</v>
      </c>
      <c r="V998" s="7" t="n">
        <f aca="false">IF(AND(R998=1,O998&gt;Q998),1,0)</f>
        <v>1</v>
      </c>
      <c r="W998" s="7" t="n">
        <f aca="false">IF(AND(T998=1,P998&lt;&gt;"",P998&lt;=Q998),1,0)</f>
        <v>0</v>
      </c>
    </row>
    <row r="999" customFormat="false" ht="15" hidden="false" customHeight="false" outlineLevel="0" collapsed="false">
      <c r="A999" s="7" t="s">
        <v>1246</v>
      </c>
      <c r="B999" s="7" t="s">
        <v>135</v>
      </c>
      <c r="C999" s="7" t="s">
        <v>136</v>
      </c>
      <c r="D999" s="7" t="s">
        <v>98</v>
      </c>
      <c r="E999" s="7" t="s">
        <v>99</v>
      </c>
      <c r="F999" s="7" t="s">
        <v>56</v>
      </c>
      <c r="G999" s="7" t="s">
        <v>19</v>
      </c>
      <c r="H999" s="9" t="n">
        <v>46103</v>
      </c>
      <c r="I999" s="9"/>
      <c r="J999" s="7" t="n">
        <v>10</v>
      </c>
      <c r="K999" s="7" t="s">
        <v>1184</v>
      </c>
      <c r="L999" s="7" t="s">
        <v>20</v>
      </c>
      <c r="M999" s="7" t="s">
        <v>1254</v>
      </c>
      <c r="N999" s="7" t="s">
        <v>58</v>
      </c>
      <c r="O999" s="10" t="n">
        <f aca="false">'Exec Summary'!$E$2-H999</f>
        <v>131</v>
      </c>
      <c r="P999" s="10" t="str">
        <f aca="false">IF(I999="","",I999-H999)</f>
        <v/>
      </c>
      <c r="Q999" s="10" t="n">
        <f aca="false">VLOOKUP(G999,$AA$2:$AB$5,2,FALSE())</f>
        <v>15</v>
      </c>
      <c r="R999" s="7" t="n">
        <f aca="false">IF(OR(F999="Open",F999="Reopened"),1,0)</f>
        <v>1</v>
      </c>
      <c r="S999" s="7" t="n">
        <f aca="false">IF(AND(H999&gt;='Exec Summary'!$E$1,H999&lt;='Exec Summary'!$E$2),1,0)</f>
        <v>0</v>
      </c>
      <c r="T999" s="7" t="n">
        <f aca="false">IF(AND(F999="Closed",I999&lt;&gt;"",I999&gt;='Exec Summary'!$E$1,I999&lt;='Exec Summary'!$E$2),1,0)</f>
        <v>0</v>
      </c>
      <c r="U999" s="7" t="n">
        <f aca="false">IF(F999="Reopened",1,0)</f>
        <v>0</v>
      </c>
      <c r="V999" s="7" t="n">
        <f aca="false">IF(AND(R999=1,O999&gt;Q999),1,0)</f>
        <v>1</v>
      </c>
      <c r="W999" s="7" t="n">
        <f aca="false">IF(AND(T999=1,P999&lt;&gt;"",P999&lt;=Q999),1,0)</f>
        <v>0</v>
      </c>
    </row>
    <row r="1000" customFormat="false" ht="15" hidden="false" customHeight="false" outlineLevel="0" collapsed="false">
      <c r="A1000" s="7" t="s">
        <v>1246</v>
      </c>
      <c r="B1000" s="7" t="s">
        <v>135</v>
      </c>
      <c r="C1000" s="7" t="s">
        <v>136</v>
      </c>
      <c r="D1000" s="7" t="s">
        <v>87</v>
      </c>
      <c r="E1000" s="7" t="s">
        <v>88</v>
      </c>
      <c r="F1000" s="7" t="s">
        <v>50</v>
      </c>
      <c r="G1000" s="7" t="s">
        <v>19</v>
      </c>
      <c r="H1000" s="9" t="n">
        <v>46070</v>
      </c>
      <c r="I1000" s="9" t="n">
        <v>46071</v>
      </c>
      <c r="J1000" s="7" t="n">
        <v>10</v>
      </c>
      <c r="K1000" s="7" t="s">
        <v>1184</v>
      </c>
      <c r="L1000" s="7" t="s">
        <v>20</v>
      </c>
      <c r="M1000" s="7" t="s">
        <v>1255</v>
      </c>
      <c r="N1000" s="7" t="s">
        <v>58</v>
      </c>
      <c r="O1000" s="10" t="n">
        <f aca="false">'Exec Summary'!$E$2-H1000</f>
        <v>164</v>
      </c>
      <c r="P1000" s="10" t="n">
        <f aca="false">IF(I1000="","",I1000-H1000)</f>
        <v>1</v>
      </c>
      <c r="Q1000" s="10" t="n">
        <f aca="false">VLOOKUP(G1000,$AA$2:$AB$5,2,FALSE())</f>
        <v>15</v>
      </c>
      <c r="R1000" s="7" t="n">
        <f aca="false">IF(OR(F1000="Open",F1000="Reopened"),1,0)</f>
        <v>0</v>
      </c>
      <c r="S1000" s="7" t="n">
        <f aca="false">IF(AND(H1000&gt;='Exec Summary'!$E$1,H1000&lt;='Exec Summary'!$E$2),1,0)</f>
        <v>0</v>
      </c>
      <c r="T1000" s="7" t="n">
        <f aca="false">IF(AND(F1000="Closed",I1000&lt;&gt;"",I1000&gt;='Exec Summary'!$E$1,I1000&lt;='Exec Summary'!$E$2),1,0)</f>
        <v>0</v>
      </c>
      <c r="U1000" s="7" t="n">
        <f aca="false">IF(F1000="Reopened",1,0)</f>
        <v>0</v>
      </c>
      <c r="V1000" s="7" t="n">
        <f aca="false">IF(AND(R1000=1,O1000&gt;Q1000),1,0)</f>
        <v>0</v>
      </c>
      <c r="W1000" s="7" t="n">
        <f aca="false">IF(AND(T1000=1,P1000&lt;&gt;"",P1000&lt;=Q1000),1,0)</f>
        <v>0</v>
      </c>
    </row>
    <row r="1001" customFormat="false" ht="15" hidden="false" customHeight="false" outlineLevel="0" collapsed="false">
      <c r="A1001" s="7" t="s">
        <v>1256</v>
      </c>
      <c r="B1001" s="7" t="s">
        <v>46</v>
      </c>
      <c r="C1001" s="7" t="s">
        <v>177</v>
      </c>
      <c r="D1001" s="7" t="s">
        <v>101</v>
      </c>
      <c r="E1001" s="7" t="s">
        <v>102</v>
      </c>
      <c r="F1001" s="7" t="s">
        <v>50</v>
      </c>
      <c r="G1001" s="7" t="s">
        <v>19</v>
      </c>
      <c r="H1001" s="9" t="n">
        <v>46033</v>
      </c>
      <c r="I1001" s="9" t="n">
        <v>46046</v>
      </c>
      <c r="J1001" s="7" t="n">
        <v>10</v>
      </c>
      <c r="K1001" s="7" t="s">
        <v>1184</v>
      </c>
      <c r="L1001" s="7" t="s">
        <v>20</v>
      </c>
      <c r="M1001" s="7" t="s">
        <v>1257</v>
      </c>
      <c r="N1001" s="7" t="s">
        <v>58</v>
      </c>
      <c r="O1001" s="10" t="n">
        <f aca="false">'Exec Summary'!$E$2-H1001</f>
        <v>201</v>
      </c>
      <c r="P1001" s="10" t="n">
        <f aca="false">IF(I1001="","",I1001-H1001)</f>
        <v>13</v>
      </c>
      <c r="Q1001" s="10" t="n">
        <f aca="false">VLOOKUP(G1001,$AA$2:$AB$5,2,FALSE())</f>
        <v>15</v>
      </c>
      <c r="R1001" s="7" t="n">
        <f aca="false">IF(OR(F1001="Open",F1001="Reopened"),1,0)</f>
        <v>0</v>
      </c>
      <c r="S1001" s="7" t="n">
        <f aca="false">IF(AND(H1001&gt;='Exec Summary'!$E$1,H1001&lt;='Exec Summary'!$E$2),1,0)</f>
        <v>0</v>
      </c>
      <c r="T1001" s="7" t="n">
        <f aca="false">IF(AND(F1001="Closed",I1001&lt;&gt;"",I1001&gt;='Exec Summary'!$E$1,I1001&lt;='Exec Summary'!$E$2),1,0)</f>
        <v>0</v>
      </c>
      <c r="U1001" s="7" t="n">
        <f aca="false">IF(F1001="Reopened",1,0)</f>
        <v>0</v>
      </c>
      <c r="V1001" s="7" t="n">
        <f aca="false">IF(AND(R1001=1,O1001&gt;Q1001),1,0)</f>
        <v>0</v>
      </c>
      <c r="W1001" s="7" t="n">
        <f aca="false">IF(AND(T1001=1,P1001&lt;&gt;"",P1001&lt;=Q1001),1,0)</f>
        <v>0</v>
      </c>
    </row>
    <row r="1002" customFormat="false" ht="15" hidden="false" customHeight="false" outlineLevel="0" collapsed="false">
      <c r="A1002" s="7" t="s">
        <v>1256</v>
      </c>
      <c r="B1002" s="7" t="s">
        <v>46</v>
      </c>
      <c r="C1002" s="7" t="s">
        <v>177</v>
      </c>
      <c r="D1002" s="7" t="s">
        <v>68</v>
      </c>
      <c r="E1002" s="7" t="s">
        <v>69</v>
      </c>
      <c r="F1002" s="7" t="s">
        <v>123</v>
      </c>
      <c r="G1002" s="7" t="s">
        <v>19</v>
      </c>
      <c r="H1002" s="9" t="n">
        <v>46041</v>
      </c>
      <c r="I1002" s="9" t="n">
        <v>46048</v>
      </c>
      <c r="J1002" s="7" t="n">
        <v>9.8</v>
      </c>
      <c r="K1002" s="7" t="s">
        <v>1184</v>
      </c>
      <c r="L1002" s="7" t="s">
        <v>20</v>
      </c>
      <c r="M1002" s="7" t="s">
        <v>1258</v>
      </c>
      <c r="N1002" s="7" t="s">
        <v>58</v>
      </c>
      <c r="O1002" s="10" t="n">
        <f aca="false">'Exec Summary'!$E$2-H1002</f>
        <v>193</v>
      </c>
      <c r="P1002" s="10" t="n">
        <f aca="false">IF(I1002="","",I1002-H1002)</f>
        <v>7</v>
      </c>
      <c r="Q1002" s="10" t="n">
        <f aca="false">VLOOKUP(G1002,$AA$2:$AB$5,2,FALSE())</f>
        <v>15</v>
      </c>
      <c r="R1002" s="7" t="n">
        <f aca="false">IF(OR(F1002="Open",F1002="Reopened"),1,0)</f>
        <v>1</v>
      </c>
      <c r="S1002" s="7" t="n">
        <f aca="false">IF(AND(H1002&gt;='Exec Summary'!$E$1,H1002&lt;='Exec Summary'!$E$2),1,0)</f>
        <v>0</v>
      </c>
      <c r="T1002" s="7" t="n">
        <f aca="false">IF(AND(F1002="Closed",I1002&lt;&gt;"",I1002&gt;='Exec Summary'!$E$1,I1002&lt;='Exec Summary'!$E$2),1,0)</f>
        <v>0</v>
      </c>
      <c r="U1002" s="7" t="n">
        <f aca="false">IF(F1002="Reopened",1,0)</f>
        <v>1</v>
      </c>
      <c r="V1002" s="7" t="n">
        <f aca="false">IF(AND(R1002=1,O1002&gt;Q1002),1,0)</f>
        <v>1</v>
      </c>
      <c r="W1002" s="7" t="n">
        <f aca="false">IF(AND(T1002=1,P1002&lt;&gt;"",P1002&lt;=Q1002),1,0)</f>
        <v>0</v>
      </c>
    </row>
    <row r="1003" customFormat="false" ht="15" hidden="false" customHeight="false" outlineLevel="0" collapsed="false">
      <c r="A1003" s="7" t="s">
        <v>1256</v>
      </c>
      <c r="B1003" s="7" t="s">
        <v>46</v>
      </c>
      <c r="C1003" s="7" t="s">
        <v>177</v>
      </c>
      <c r="D1003" s="7" t="s">
        <v>98</v>
      </c>
      <c r="E1003" s="7" t="s">
        <v>99</v>
      </c>
      <c r="F1003" s="7" t="s">
        <v>56</v>
      </c>
      <c r="G1003" s="7" t="s">
        <v>19</v>
      </c>
      <c r="H1003" s="9" t="n">
        <v>46069</v>
      </c>
      <c r="I1003" s="9"/>
      <c r="J1003" s="7" t="n">
        <v>10</v>
      </c>
      <c r="K1003" s="7" t="s">
        <v>1184</v>
      </c>
      <c r="L1003" s="7" t="s">
        <v>20</v>
      </c>
      <c r="M1003" s="7" t="s">
        <v>1259</v>
      </c>
      <c r="N1003" s="7" t="s">
        <v>58</v>
      </c>
      <c r="O1003" s="10" t="n">
        <f aca="false">'Exec Summary'!$E$2-H1003</f>
        <v>165</v>
      </c>
      <c r="P1003" s="10" t="str">
        <f aca="false">IF(I1003="","",I1003-H1003)</f>
        <v/>
      </c>
      <c r="Q1003" s="10" t="n">
        <f aca="false">VLOOKUP(G1003,$AA$2:$AB$5,2,FALSE())</f>
        <v>15</v>
      </c>
      <c r="R1003" s="7" t="n">
        <f aca="false">IF(OR(F1003="Open",F1003="Reopened"),1,0)</f>
        <v>1</v>
      </c>
      <c r="S1003" s="7" t="n">
        <f aca="false">IF(AND(H1003&gt;='Exec Summary'!$E$1,H1003&lt;='Exec Summary'!$E$2),1,0)</f>
        <v>0</v>
      </c>
      <c r="T1003" s="7" t="n">
        <f aca="false">IF(AND(F1003="Closed",I1003&lt;&gt;"",I1003&gt;='Exec Summary'!$E$1,I1003&lt;='Exec Summary'!$E$2),1,0)</f>
        <v>0</v>
      </c>
      <c r="U1003" s="7" t="n">
        <f aca="false">IF(F1003="Reopened",1,0)</f>
        <v>0</v>
      </c>
      <c r="V1003" s="7" t="n">
        <f aca="false">IF(AND(R1003=1,O1003&gt;Q1003),1,0)</f>
        <v>1</v>
      </c>
      <c r="W1003" s="7" t="n">
        <f aca="false">IF(AND(T1003=1,P1003&lt;&gt;"",P1003&lt;=Q1003),1,0)</f>
        <v>0</v>
      </c>
    </row>
    <row r="1004" customFormat="false" ht="15" hidden="false" customHeight="false" outlineLevel="0" collapsed="false">
      <c r="A1004" s="7" t="s">
        <v>1256</v>
      </c>
      <c r="B1004" s="7" t="s">
        <v>46</v>
      </c>
      <c r="C1004" s="7" t="s">
        <v>177</v>
      </c>
      <c r="D1004" s="7" t="s">
        <v>62</v>
      </c>
      <c r="E1004" s="7" t="s">
        <v>63</v>
      </c>
      <c r="F1004" s="7" t="s">
        <v>50</v>
      </c>
      <c r="G1004" s="7" t="s">
        <v>20</v>
      </c>
      <c r="H1004" s="9" t="n">
        <v>46046</v>
      </c>
      <c r="I1004" s="9" t="n">
        <v>46098</v>
      </c>
      <c r="J1004" s="7" t="n">
        <v>8.1</v>
      </c>
      <c r="K1004" s="7" t="s">
        <v>1184</v>
      </c>
      <c r="L1004" s="7" t="s">
        <v>20</v>
      </c>
      <c r="M1004" s="7" t="s">
        <v>1260</v>
      </c>
      <c r="N1004" s="7" t="s">
        <v>53</v>
      </c>
      <c r="O1004" s="10" t="n">
        <f aca="false">'Exec Summary'!$E$2-H1004</f>
        <v>188</v>
      </c>
      <c r="P1004" s="10" t="n">
        <f aca="false">IF(I1004="","",I1004-H1004)</f>
        <v>52</v>
      </c>
      <c r="Q1004" s="10" t="n">
        <f aca="false">VLOOKUP(G1004,$AA$2:$AB$5,2,FALSE())</f>
        <v>30</v>
      </c>
      <c r="R1004" s="7" t="n">
        <f aca="false">IF(OR(F1004="Open",F1004="Reopened"),1,0)</f>
        <v>0</v>
      </c>
      <c r="S1004" s="7" t="n">
        <f aca="false">IF(AND(H1004&gt;='Exec Summary'!$E$1,H1004&lt;='Exec Summary'!$E$2),1,0)</f>
        <v>0</v>
      </c>
      <c r="T1004" s="7" t="n">
        <f aca="false">IF(AND(F1004="Closed",I1004&lt;&gt;"",I1004&gt;='Exec Summary'!$E$1,I1004&lt;='Exec Summary'!$E$2),1,0)</f>
        <v>0</v>
      </c>
      <c r="U1004" s="7" t="n">
        <f aca="false">IF(F1004="Reopened",1,0)</f>
        <v>0</v>
      </c>
      <c r="V1004" s="7" t="n">
        <f aca="false">IF(AND(R1004=1,O1004&gt;Q1004),1,0)</f>
        <v>0</v>
      </c>
      <c r="W1004" s="7" t="n">
        <f aca="false">IF(AND(T1004=1,P1004&lt;&gt;"",P1004&lt;=Q1004),1,0)</f>
        <v>0</v>
      </c>
    </row>
    <row r="1005" customFormat="false" ht="15" hidden="false" customHeight="false" outlineLevel="0" collapsed="false">
      <c r="A1005" s="7" t="s">
        <v>1256</v>
      </c>
      <c r="B1005" s="7" t="s">
        <v>46</v>
      </c>
      <c r="C1005" s="7" t="s">
        <v>177</v>
      </c>
      <c r="D1005" s="7" t="s">
        <v>71</v>
      </c>
      <c r="E1005" s="7" t="s">
        <v>72</v>
      </c>
      <c r="F1005" s="7" t="s">
        <v>56</v>
      </c>
      <c r="G1005" s="7" t="s">
        <v>19</v>
      </c>
      <c r="H1005" s="9" t="n">
        <v>46169</v>
      </c>
      <c r="I1005" s="9"/>
      <c r="J1005" s="7" t="n">
        <v>9.8</v>
      </c>
      <c r="K1005" s="7" t="s">
        <v>1184</v>
      </c>
      <c r="L1005" s="7" t="s">
        <v>20</v>
      </c>
      <c r="M1005" s="7" t="s">
        <v>1261</v>
      </c>
      <c r="N1005" s="7" t="s">
        <v>58</v>
      </c>
      <c r="O1005" s="10" t="n">
        <f aca="false">'Exec Summary'!$E$2-H1005</f>
        <v>65</v>
      </c>
      <c r="P1005" s="10" t="str">
        <f aca="false">IF(I1005="","",I1005-H1005)</f>
        <v/>
      </c>
      <c r="Q1005" s="10" t="n">
        <f aca="false">VLOOKUP(G1005,$AA$2:$AB$5,2,FALSE())</f>
        <v>15</v>
      </c>
      <c r="R1005" s="7" t="n">
        <f aca="false">IF(OR(F1005="Open",F1005="Reopened"),1,0)</f>
        <v>1</v>
      </c>
      <c r="S1005" s="7" t="n">
        <f aca="false">IF(AND(H1005&gt;='Exec Summary'!$E$1,H1005&lt;='Exec Summary'!$E$2),1,0)</f>
        <v>0</v>
      </c>
      <c r="T1005" s="7" t="n">
        <f aca="false">IF(AND(F1005="Closed",I1005&lt;&gt;"",I1005&gt;='Exec Summary'!$E$1,I1005&lt;='Exec Summary'!$E$2),1,0)</f>
        <v>0</v>
      </c>
      <c r="U1005" s="7" t="n">
        <f aca="false">IF(F1005="Reopened",1,0)</f>
        <v>0</v>
      </c>
      <c r="V1005" s="7" t="n">
        <f aca="false">IF(AND(R1005=1,O1005&gt;Q1005),1,0)</f>
        <v>1</v>
      </c>
      <c r="W1005" s="7" t="n">
        <f aca="false">IF(AND(T1005=1,P1005&lt;&gt;"",P1005&lt;=Q1005),1,0)</f>
        <v>0</v>
      </c>
    </row>
    <row r="1006" customFormat="false" ht="15" hidden="false" customHeight="false" outlineLevel="0" collapsed="false">
      <c r="A1006" s="7" t="s">
        <v>1262</v>
      </c>
      <c r="B1006" s="7" t="s">
        <v>46</v>
      </c>
      <c r="C1006" s="7" t="s">
        <v>47</v>
      </c>
      <c r="D1006" s="7" t="s">
        <v>163</v>
      </c>
      <c r="E1006" s="7" t="s">
        <v>164</v>
      </c>
      <c r="F1006" s="7" t="s">
        <v>123</v>
      </c>
      <c r="G1006" s="7" t="s">
        <v>19</v>
      </c>
      <c r="H1006" s="9" t="n">
        <v>46059</v>
      </c>
      <c r="I1006" s="9" t="n">
        <v>46068</v>
      </c>
      <c r="J1006" s="7" t="n">
        <v>9.1</v>
      </c>
      <c r="K1006" s="7" t="s">
        <v>1184</v>
      </c>
      <c r="L1006" s="7" t="s">
        <v>21</v>
      </c>
      <c r="M1006" s="7" t="s">
        <v>1263</v>
      </c>
      <c r="N1006" s="7" t="s">
        <v>58</v>
      </c>
      <c r="O1006" s="10" t="n">
        <f aca="false">'Exec Summary'!$E$2-H1006</f>
        <v>175</v>
      </c>
      <c r="P1006" s="10" t="n">
        <f aca="false">IF(I1006="","",I1006-H1006)</f>
        <v>9</v>
      </c>
      <c r="Q1006" s="10" t="n">
        <f aca="false">VLOOKUP(G1006,$AA$2:$AB$5,2,FALSE())</f>
        <v>15</v>
      </c>
      <c r="R1006" s="7" t="n">
        <f aca="false">IF(OR(F1006="Open",F1006="Reopened"),1,0)</f>
        <v>1</v>
      </c>
      <c r="S1006" s="7" t="n">
        <f aca="false">IF(AND(H1006&gt;='Exec Summary'!$E$1,H1006&lt;='Exec Summary'!$E$2),1,0)</f>
        <v>0</v>
      </c>
      <c r="T1006" s="7" t="n">
        <f aca="false">IF(AND(F1006="Closed",I1006&lt;&gt;"",I1006&gt;='Exec Summary'!$E$1,I1006&lt;='Exec Summary'!$E$2),1,0)</f>
        <v>0</v>
      </c>
      <c r="U1006" s="7" t="n">
        <f aca="false">IF(F1006="Reopened",1,0)</f>
        <v>1</v>
      </c>
      <c r="V1006" s="7" t="n">
        <f aca="false">IF(AND(R1006=1,O1006&gt;Q1006),1,0)</f>
        <v>1</v>
      </c>
      <c r="W1006" s="7" t="n">
        <f aca="false">IF(AND(T1006=1,P1006&lt;&gt;"",P1006&lt;=Q1006),1,0)</f>
        <v>0</v>
      </c>
    </row>
    <row r="1007" customFormat="false" ht="15" hidden="false" customHeight="false" outlineLevel="0" collapsed="false">
      <c r="A1007" s="7" t="s">
        <v>1262</v>
      </c>
      <c r="B1007" s="7" t="s">
        <v>46</v>
      </c>
      <c r="C1007" s="7" t="s">
        <v>47</v>
      </c>
      <c r="D1007" s="7" t="s">
        <v>108</v>
      </c>
      <c r="E1007" s="7" t="s">
        <v>109</v>
      </c>
      <c r="F1007" s="7" t="s">
        <v>50</v>
      </c>
      <c r="G1007" s="7" t="s">
        <v>20</v>
      </c>
      <c r="H1007" s="9" t="n">
        <v>46073</v>
      </c>
      <c r="I1007" s="9" t="n">
        <v>46079</v>
      </c>
      <c r="J1007" s="7" t="n">
        <v>8.6</v>
      </c>
      <c r="K1007" s="7" t="s">
        <v>1184</v>
      </c>
      <c r="L1007" s="7" t="s">
        <v>21</v>
      </c>
      <c r="M1007" s="7" t="s">
        <v>1264</v>
      </c>
      <c r="N1007" s="7" t="s">
        <v>53</v>
      </c>
      <c r="O1007" s="10" t="n">
        <f aca="false">'Exec Summary'!$E$2-H1007</f>
        <v>161</v>
      </c>
      <c r="P1007" s="10" t="n">
        <f aca="false">IF(I1007="","",I1007-H1007)</f>
        <v>6</v>
      </c>
      <c r="Q1007" s="10" t="n">
        <f aca="false">VLOOKUP(G1007,$AA$2:$AB$5,2,FALSE())</f>
        <v>30</v>
      </c>
      <c r="R1007" s="7" t="n">
        <f aca="false">IF(OR(F1007="Open",F1007="Reopened"),1,0)</f>
        <v>0</v>
      </c>
      <c r="S1007" s="7" t="n">
        <f aca="false">IF(AND(H1007&gt;='Exec Summary'!$E$1,H1007&lt;='Exec Summary'!$E$2),1,0)</f>
        <v>0</v>
      </c>
      <c r="T1007" s="7" t="n">
        <f aca="false">IF(AND(F1007="Closed",I1007&lt;&gt;"",I1007&gt;='Exec Summary'!$E$1,I1007&lt;='Exec Summary'!$E$2),1,0)</f>
        <v>0</v>
      </c>
      <c r="U1007" s="7" t="n">
        <f aca="false">IF(F1007="Reopened",1,0)</f>
        <v>0</v>
      </c>
      <c r="V1007" s="7" t="n">
        <f aca="false">IF(AND(R1007=1,O1007&gt;Q1007),1,0)</f>
        <v>0</v>
      </c>
      <c r="W1007" s="7" t="n">
        <f aca="false">IF(AND(T1007=1,P1007&lt;&gt;"",P1007&lt;=Q1007),1,0)</f>
        <v>0</v>
      </c>
    </row>
    <row r="1008" customFormat="false" ht="15" hidden="false" customHeight="false" outlineLevel="0" collapsed="false">
      <c r="A1008" s="7" t="s">
        <v>1262</v>
      </c>
      <c r="B1008" s="7" t="s">
        <v>46</v>
      </c>
      <c r="C1008" s="7" t="s">
        <v>47</v>
      </c>
      <c r="D1008" s="7" t="s">
        <v>68</v>
      </c>
      <c r="E1008" s="7" t="s">
        <v>69</v>
      </c>
      <c r="F1008" s="7" t="s">
        <v>56</v>
      </c>
      <c r="G1008" s="7" t="s">
        <v>19</v>
      </c>
      <c r="H1008" s="9" t="n">
        <v>45960</v>
      </c>
      <c r="I1008" s="9"/>
      <c r="J1008" s="7" t="n">
        <v>9.8</v>
      </c>
      <c r="K1008" s="7" t="s">
        <v>1184</v>
      </c>
      <c r="L1008" s="7" t="s">
        <v>21</v>
      </c>
      <c r="M1008" s="7" t="s">
        <v>1265</v>
      </c>
      <c r="N1008" s="7" t="s">
        <v>58</v>
      </c>
      <c r="O1008" s="10" t="n">
        <f aca="false">'Exec Summary'!$E$2-H1008</f>
        <v>274</v>
      </c>
      <c r="P1008" s="10" t="str">
        <f aca="false">IF(I1008="","",I1008-H1008)</f>
        <v/>
      </c>
      <c r="Q1008" s="10" t="n">
        <f aca="false">VLOOKUP(G1008,$AA$2:$AB$5,2,FALSE())</f>
        <v>15</v>
      </c>
      <c r="R1008" s="7" t="n">
        <f aca="false">IF(OR(F1008="Open",F1008="Reopened"),1,0)</f>
        <v>1</v>
      </c>
      <c r="S1008" s="7" t="n">
        <f aca="false">IF(AND(H1008&gt;='Exec Summary'!$E$1,H1008&lt;='Exec Summary'!$E$2),1,0)</f>
        <v>0</v>
      </c>
      <c r="T1008" s="7" t="n">
        <f aca="false">IF(AND(F1008="Closed",I1008&lt;&gt;"",I1008&gt;='Exec Summary'!$E$1,I1008&lt;='Exec Summary'!$E$2),1,0)</f>
        <v>0</v>
      </c>
      <c r="U1008" s="7" t="n">
        <f aca="false">IF(F1008="Reopened",1,0)</f>
        <v>0</v>
      </c>
      <c r="V1008" s="7" t="n">
        <f aca="false">IF(AND(R1008=1,O1008&gt;Q1008),1,0)</f>
        <v>1</v>
      </c>
      <c r="W1008" s="7" t="n">
        <f aca="false">IF(AND(T1008=1,P1008&lt;&gt;"",P1008&lt;=Q1008),1,0)</f>
        <v>0</v>
      </c>
    </row>
    <row r="1009" customFormat="false" ht="15" hidden="false" customHeight="false" outlineLevel="0" collapsed="false">
      <c r="A1009" s="7" t="s">
        <v>1262</v>
      </c>
      <c r="B1009" s="7" t="s">
        <v>46</v>
      </c>
      <c r="C1009" s="7" t="s">
        <v>47</v>
      </c>
      <c r="D1009" s="7" t="s">
        <v>117</v>
      </c>
      <c r="E1009" s="7" t="s">
        <v>118</v>
      </c>
      <c r="F1009" s="7" t="s">
        <v>50</v>
      </c>
      <c r="G1009" s="7" t="s">
        <v>19</v>
      </c>
      <c r="H1009" s="9" t="n">
        <v>46065</v>
      </c>
      <c r="I1009" s="9" t="n">
        <v>46075</v>
      </c>
      <c r="J1009" s="7" t="n">
        <v>10</v>
      </c>
      <c r="K1009" s="7" t="s">
        <v>1184</v>
      </c>
      <c r="L1009" s="7" t="s">
        <v>21</v>
      </c>
      <c r="M1009" s="7" t="s">
        <v>1266</v>
      </c>
      <c r="N1009" s="7" t="s">
        <v>58</v>
      </c>
      <c r="O1009" s="10" t="n">
        <f aca="false">'Exec Summary'!$E$2-H1009</f>
        <v>169</v>
      </c>
      <c r="P1009" s="10" t="n">
        <f aca="false">IF(I1009="","",I1009-H1009)</f>
        <v>10</v>
      </c>
      <c r="Q1009" s="10" t="n">
        <f aca="false">VLOOKUP(G1009,$AA$2:$AB$5,2,FALSE())</f>
        <v>15</v>
      </c>
      <c r="R1009" s="7" t="n">
        <f aca="false">IF(OR(F1009="Open",F1009="Reopened"),1,0)</f>
        <v>0</v>
      </c>
      <c r="S1009" s="7" t="n">
        <f aca="false">IF(AND(H1009&gt;='Exec Summary'!$E$1,H1009&lt;='Exec Summary'!$E$2),1,0)</f>
        <v>0</v>
      </c>
      <c r="T1009" s="7" t="n">
        <f aca="false">IF(AND(F1009="Closed",I1009&lt;&gt;"",I1009&gt;='Exec Summary'!$E$1,I1009&lt;='Exec Summary'!$E$2),1,0)</f>
        <v>0</v>
      </c>
      <c r="U1009" s="7" t="n">
        <f aca="false">IF(F1009="Reopened",1,0)</f>
        <v>0</v>
      </c>
      <c r="V1009" s="7" t="n">
        <f aca="false">IF(AND(R1009=1,O1009&gt;Q1009),1,0)</f>
        <v>0</v>
      </c>
      <c r="W1009" s="7" t="n">
        <f aca="false">IF(AND(T1009=1,P1009&lt;&gt;"",P1009&lt;=Q1009),1,0)</f>
        <v>0</v>
      </c>
    </row>
    <row r="1010" customFormat="false" ht="15" hidden="false" customHeight="false" outlineLevel="0" collapsed="false">
      <c r="A1010" s="7" t="s">
        <v>1262</v>
      </c>
      <c r="B1010" s="7" t="s">
        <v>46</v>
      </c>
      <c r="C1010" s="7" t="s">
        <v>47</v>
      </c>
      <c r="D1010" s="7" t="s">
        <v>59</v>
      </c>
      <c r="E1010" s="7" t="s">
        <v>60</v>
      </c>
      <c r="F1010" s="7" t="s">
        <v>56</v>
      </c>
      <c r="G1010" s="7" t="s">
        <v>19</v>
      </c>
      <c r="H1010" s="9" t="n">
        <v>46046</v>
      </c>
      <c r="I1010" s="9"/>
      <c r="J1010" s="7" t="n">
        <v>7.8</v>
      </c>
      <c r="K1010" s="7" t="s">
        <v>1184</v>
      </c>
      <c r="L1010" s="7" t="s">
        <v>21</v>
      </c>
      <c r="M1010" s="7" t="s">
        <v>1267</v>
      </c>
      <c r="N1010" s="7" t="s">
        <v>58</v>
      </c>
      <c r="O1010" s="10" t="n">
        <f aca="false">'Exec Summary'!$E$2-H1010</f>
        <v>188</v>
      </c>
      <c r="P1010" s="10" t="str">
        <f aca="false">IF(I1010="","",I1010-H1010)</f>
        <v/>
      </c>
      <c r="Q1010" s="10" t="n">
        <f aca="false">VLOOKUP(G1010,$AA$2:$AB$5,2,FALSE())</f>
        <v>15</v>
      </c>
      <c r="R1010" s="7" t="n">
        <f aca="false">IF(OR(F1010="Open",F1010="Reopened"),1,0)</f>
        <v>1</v>
      </c>
      <c r="S1010" s="7" t="n">
        <f aca="false">IF(AND(H1010&gt;='Exec Summary'!$E$1,H1010&lt;='Exec Summary'!$E$2),1,0)</f>
        <v>0</v>
      </c>
      <c r="T1010" s="7" t="n">
        <f aca="false">IF(AND(F1010="Closed",I1010&lt;&gt;"",I1010&gt;='Exec Summary'!$E$1,I1010&lt;='Exec Summary'!$E$2),1,0)</f>
        <v>0</v>
      </c>
      <c r="U1010" s="7" t="n">
        <f aca="false">IF(F1010="Reopened",1,0)</f>
        <v>0</v>
      </c>
      <c r="V1010" s="7" t="n">
        <f aca="false">IF(AND(R1010=1,O1010&gt;Q1010),1,0)</f>
        <v>1</v>
      </c>
      <c r="W1010" s="7" t="n">
        <f aca="false">IF(AND(T1010=1,P1010&lt;&gt;"",P1010&lt;=Q1010),1,0)</f>
        <v>0</v>
      </c>
    </row>
    <row r="1011" customFormat="false" ht="15" hidden="false" customHeight="false" outlineLevel="0" collapsed="false">
      <c r="A1011" s="7" t="s">
        <v>1262</v>
      </c>
      <c r="B1011" s="7" t="s">
        <v>46</v>
      </c>
      <c r="C1011" s="7" t="s">
        <v>47</v>
      </c>
      <c r="D1011" s="7" t="s">
        <v>173</v>
      </c>
      <c r="E1011" s="7" t="s">
        <v>174</v>
      </c>
      <c r="F1011" s="7" t="s">
        <v>56</v>
      </c>
      <c r="G1011" s="7" t="s">
        <v>19</v>
      </c>
      <c r="H1011" s="9" t="n">
        <v>46171</v>
      </c>
      <c r="I1011" s="9"/>
      <c r="J1011" s="7" t="n">
        <v>9.8</v>
      </c>
      <c r="K1011" s="7" t="s">
        <v>1184</v>
      </c>
      <c r="L1011" s="7" t="s">
        <v>21</v>
      </c>
      <c r="M1011" s="7" t="s">
        <v>1268</v>
      </c>
      <c r="N1011" s="7" t="s">
        <v>58</v>
      </c>
      <c r="O1011" s="10" t="n">
        <f aca="false">'Exec Summary'!$E$2-H1011</f>
        <v>63</v>
      </c>
      <c r="P1011" s="10" t="str">
        <f aca="false">IF(I1011="","",I1011-H1011)</f>
        <v/>
      </c>
      <c r="Q1011" s="10" t="n">
        <f aca="false">VLOOKUP(G1011,$AA$2:$AB$5,2,FALSE())</f>
        <v>15</v>
      </c>
      <c r="R1011" s="7" t="n">
        <f aca="false">IF(OR(F1011="Open",F1011="Reopened"),1,0)</f>
        <v>1</v>
      </c>
      <c r="S1011" s="7" t="n">
        <f aca="false">IF(AND(H1011&gt;='Exec Summary'!$E$1,H1011&lt;='Exec Summary'!$E$2),1,0)</f>
        <v>0</v>
      </c>
      <c r="T1011" s="7" t="n">
        <f aca="false">IF(AND(F1011="Closed",I1011&lt;&gt;"",I1011&gt;='Exec Summary'!$E$1,I1011&lt;='Exec Summary'!$E$2),1,0)</f>
        <v>0</v>
      </c>
      <c r="U1011" s="7" t="n">
        <f aca="false">IF(F1011="Reopened",1,0)</f>
        <v>0</v>
      </c>
      <c r="V1011" s="7" t="n">
        <f aca="false">IF(AND(R1011=1,O1011&gt;Q1011),1,0)</f>
        <v>1</v>
      </c>
      <c r="W1011" s="7" t="n">
        <f aca="false">IF(AND(T1011=1,P1011&lt;&gt;"",P1011&lt;=Q1011),1,0)</f>
        <v>0</v>
      </c>
    </row>
    <row r="1012" customFormat="false" ht="15" hidden="false" customHeight="false" outlineLevel="0" collapsed="false">
      <c r="A1012" s="7" t="s">
        <v>1262</v>
      </c>
      <c r="B1012" s="7" t="s">
        <v>46</v>
      </c>
      <c r="C1012" s="7" t="s">
        <v>47</v>
      </c>
      <c r="D1012" s="7" t="s">
        <v>71</v>
      </c>
      <c r="E1012" s="7" t="s">
        <v>72</v>
      </c>
      <c r="F1012" s="7" t="s">
        <v>50</v>
      </c>
      <c r="G1012" s="7" t="s">
        <v>19</v>
      </c>
      <c r="H1012" s="9" t="n">
        <v>46211</v>
      </c>
      <c r="I1012" s="9" t="n">
        <v>46216</v>
      </c>
      <c r="J1012" s="7" t="n">
        <v>9.8</v>
      </c>
      <c r="K1012" s="7" t="s">
        <v>1184</v>
      </c>
      <c r="L1012" s="7" t="s">
        <v>21</v>
      </c>
      <c r="M1012" s="7" t="s">
        <v>1269</v>
      </c>
      <c r="N1012" s="7" t="s">
        <v>58</v>
      </c>
      <c r="O1012" s="10" t="n">
        <f aca="false">'Exec Summary'!$E$2-H1012</f>
        <v>23</v>
      </c>
      <c r="P1012" s="10" t="n">
        <f aca="false">IF(I1012="","",I1012-H1012)</f>
        <v>5</v>
      </c>
      <c r="Q1012" s="10" t="n">
        <f aca="false">VLOOKUP(G1012,$AA$2:$AB$5,2,FALSE())</f>
        <v>15</v>
      </c>
      <c r="R1012" s="7" t="n">
        <f aca="false">IF(OR(F1012="Open",F1012="Reopened"),1,0)</f>
        <v>0</v>
      </c>
      <c r="S1012" s="7" t="n">
        <f aca="false">IF(AND(H1012&gt;='Exec Summary'!$E$1,H1012&lt;='Exec Summary'!$E$2),1,0)</f>
        <v>1</v>
      </c>
      <c r="T1012" s="7" t="n">
        <f aca="false">IF(AND(F1012="Closed",I1012&lt;&gt;"",I1012&gt;='Exec Summary'!$E$1,I1012&lt;='Exec Summary'!$E$2),1,0)</f>
        <v>1</v>
      </c>
      <c r="U1012" s="7" t="n">
        <f aca="false">IF(F1012="Reopened",1,0)</f>
        <v>0</v>
      </c>
      <c r="V1012" s="7" t="n">
        <f aca="false">IF(AND(R1012=1,O1012&gt;Q1012),1,0)</f>
        <v>0</v>
      </c>
      <c r="W1012" s="7" t="n">
        <f aca="false">IF(AND(T1012=1,P1012&lt;&gt;"",P1012&lt;=Q1012),1,0)</f>
        <v>1</v>
      </c>
    </row>
    <row r="1013" customFormat="false" ht="15" hidden="false" customHeight="false" outlineLevel="0" collapsed="false">
      <c r="A1013" s="7" t="s">
        <v>1262</v>
      </c>
      <c r="B1013" s="7" t="s">
        <v>46</v>
      </c>
      <c r="C1013" s="7" t="s">
        <v>47</v>
      </c>
      <c r="D1013" s="7" t="s">
        <v>210</v>
      </c>
      <c r="E1013" s="7" t="s">
        <v>211</v>
      </c>
      <c r="F1013" s="7" t="s">
        <v>50</v>
      </c>
      <c r="G1013" s="7" t="s">
        <v>19</v>
      </c>
      <c r="H1013" s="9" t="n">
        <v>45975</v>
      </c>
      <c r="I1013" s="9" t="n">
        <v>45989</v>
      </c>
      <c r="J1013" s="7" t="n">
        <v>9.8</v>
      </c>
      <c r="K1013" s="7" t="s">
        <v>1184</v>
      </c>
      <c r="L1013" s="7" t="s">
        <v>21</v>
      </c>
      <c r="M1013" s="7" t="s">
        <v>1270</v>
      </c>
      <c r="N1013" s="7" t="s">
        <v>58</v>
      </c>
      <c r="O1013" s="10" t="n">
        <f aca="false">'Exec Summary'!$E$2-H1013</f>
        <v>259</v>
      </c>
      <c r="P1013" s="10" t="n">
        <f aca="false">IF(I1013="","",I1013-H1013)</f>
        <v>14</v>
      </c>
      <c r="Q1013" s="10" t="n">
        <f aca="false">VLOOKUP(G1013,$AA$2:$AB$5,2,FALSE())</f>
        <v>15</v>
      </c>
      <c r="R1013" s="7" t="n">
        <f aca="false">IF(OR(F1013="Open",F1013="Reopened"),1,0)</f>
        <v>0</v>
      </c>
      <c r="S1013" s="7" t="n">
        <f aca="false">IF(AND(H1013&gt;='Exec Summary'!$E$1,H1013&lt;='Exec Summary'!$E$2),1,0)</f>
        <v>0</v>
      </c>
      <c r="T1013" s="7" t="n">
        <f aca="false">IF(AND(F1013="Closed",I1013&lt;&gt;"",I1013&gt;='Exec Summary'!$E$1,I1013&lt;='Exec Summary'!$E$2),1,0)</f>
        <v>0</v>
      </c>
      <c r="U1013" s="7" t="n">
        <f aca="false">IF(F1013="Reopened",1,0)</f>
        <v>0</v>
      </c>
      <c r="V1013" s="7" t="n">
        <f aca="false">IF(AND(R1013=1,O1013&gt;Q1013),1,0)</f>
        <v>0</v>
      </c>
      <c r="W1013" s="7" t="n">
        <f aca="false">IF(AND(T1013=1,P1013&lt;&gt;"",P1013&lt;=Q1013),1,0)</f>
        <v>0</v>
      </c>
    </row>
    <row r="1014" customFormat="false" ht="15" hidden="false" customHeight="false" outlineLevel="0" collapsed="false">
      <c r="A1014" s="7" t="s">
        <v>1262</v>
      </c>
      <c r="B1014" s="7" t="s">
        <v>46</v>
      </c>
      <c r="C1014" s="7" t="s">
        <v>47</v>
      </c>
      <c r="D1014" s="7" t="s">
        <v>120</v>
      </c>
      <c r="E1014" s="7" t="s">
        <v>121</v>
      </c>
      <c r="F1014" s="7" t="s">
        <v>56</v>
      </c>
      <c r="G1014" s="7" t="s">
        <v>19</v>
      </c>
      <c r="H1014" s="9" t="n">
        <v>46094</v>
      </c>
      <c r="I1014" s="9"/>
      <c r="J1014" s="7" t="n">
        <v>8.8</v>
      </c>
      <c r="K1014" s="7" t="s">
        <v>1184</v>
      </c>
      <c r="L1014" s="7" t="s">
        <v>21</v>
      </c>
      <c r="M1014" s="7" t="s">
        <v>1271</v>
      </c>
      <c r="N1014" s="7" t="s">
        <v>58</v>
      </c>
      <c r="O1014" s="10" t="n">
        <f aca="false">'Exec Summary'!$E$2-H1014</f>
        <v>140</v>
      </c>
      <c r="P1014" s="10" t="str">
        <f aca="false">IF(I1014="","",I1014-H1014)</f>
        <v/>
      </c>
      <c r="Q1014" s="10" t="n">
        <f aca="false">VLOOKUP(G1014,$AA$2:$AB$5,2,FALSE())</f>
        <v>15</v>
      </c>
      <c r="R1014" s="7" t="n">
        <f aca="false">IF(OR(F1014="Open",F1014="Reopened"),1,0)</f>
        <v>1</v>
      </c>
      <c r="S1014" s="7" t="n">
        <f aca="false">IF(AND(H1014&gt;='Exec Summary'!$E$1,H1014&lt;='Exec Summary'!$E$2),1,0)</f>
        <v>0</v>
      </c>
      <c r="T1014" s="7" t="n">
        <f aca="false">IF(AND(F1014="Closed",I1014&lt;&gt;"",I1014&gt;='Exec Summary'!$E$1,I1014&lt;='Exec Summary'!$E$2),1,0)</f>
        <v>0</v>
      </c>
      <c r="U1014" s="7" t="n">
        <f aca="false">IF(F1014="Reopened",1,0)</f>
        <v>0</v>
      </c>
      <c r="V1014" s="7" t="n">
        <f aca="false">IF(AND(R1014=1,O1014&gt;Q1014),1,0)</f>
        <v>1</v>
      </c>
      <c r="W1014" s="7" t="n">
        <f aca="false">IF(AND(T1014=1,P1014&lt;&gt;"",P1014&lt;=Q1014),1,0)</f>
        <v>0</v>
      </c>
    </row>
    <row r="1015" customFormat="false" ht="15" hidden="false" customHeight="false" outlineLevel="0" collapsed="false">
      <c r="A1015" s="7" t="s">
        <v>1262</v>
      </c>
      <c r="B1015" s="7" t="s">
        <v>46</v>
      </c>
      <c r="C1015" s="7" t="s">
        <v>47</v>
      </c>
      <c r="D1015" s="7" t="s">
        <v>95</v>
      </c>
      <c r="E1015" s="7" t="s">
        <v>96</v>
      </c>
      <c r="F1015" s="7" t="s">
        <v>50</v>
      </c>
      <c r="G1015" s="7" t="s">
        <v>20</v>
      </c>
      <c r="H1015" s="9" t="n">
        <v>46157</v>
      </c>
      <c r="I1015" s="9" t="n">
        <v>46166</v>
      </c>
      <c r="J1015" s="7" t="n">
        <v>8.8</v>
      </c>
      <c r="K1015" s="7" t="s">
        <v>1184</v>
      </c>
      <c r="L1015" s="7" t="s">
        <v>21</v>
      </c>
      <c r="M1015" s="7" t="s">
        <v>1272</v>
      </c>
      <c r="N1015" s="7" t="s">
        <v>53</v>
      </c>
      <c r="O1015" s="10" t="n">
        <f aca="false">'Exec Summary'!$E$2-H1015</f>
        <v>77</v>
      </c>
      <c r="P1015" s="10" t="n">
        <f aca="false">IF(I1015="","",I1015-H1015)</f>
        <v>9</v>
      </c>
      <c r="Q1015" s="10" t="n">
        <f aca="false">VLOOKUP(G1015,$AA$2:$AB$5,2,FALSE())</f>
        <v>30</v>
      </c>
      <c r="R1015" s="7" t="n">
        <f aca="false">IF(OR(F1015="Open",F1015="Reopened"),1,0)</f>
        <v>0</v>
      </c>
      <c r="S1015" s="7" t="n">
        <f aca="false">IF(AND(H1015&gt;='Exec Summary'!$E$1,H1015&lt;='Exec Summary'!$E$2),1,0)</f>
        <v>0</v>
      </c>
      <c r="T1015" s="7" t="n">
        <f aca="false">IF(AND(F1015="Closed",I1015&lt;&gt;"",I1015&gt;='Exec Summary'!$E$1,I1015&lt;='Exec Summary'!$E$2),1,0)</f>
        <v>0</v>
      </c>
      <c r="U1015" s="7" t="n">
        <f aca="false">IF(F1015="Reopened",1,0)</f>
        <v>0</v>
      </c>
      <c r="V1015" s="7" t="n">
        <f aca="false">IF(AND(R1015=1,O1015&gt;Q1015),1,0)</f>
        <v>0</v>
      </c>
      <c r="W1015" s="7" t="n">
        <f aca="false">IF(AND(T1015=1,P1015&lt;&gt;"",P1015&lt;=Q1015),1,0)</f>
        <v>0</v>
      </c>
    </row>
    <row r="1016" customFormat="false" ht="15" hidden="false" customHeight="false" outlineLevel="0" collapsed="false">
      <c r="A1016" s="7" t="s">
        <v>1262</v>
      </c>
      <c r="B1016" s="7" t="s">
        <v>46</v>
      </c>
      <c r="C1016" s="7" t="s">
        <v>47</v>
      </c>
      <c r="D1016" s="7" t="s">
        <v>65</v>
      </c>
      <c r="E1016" s="7" t="s">
        <v>66</v>
      </c>
      <c r="F1016" s="7" t="s">
        <v>50</v>
      </c>
      <c r="G1016" s="7" t="s">
        <v>19</v>
      </c>
      <c r="H1016" s="9" t="n">
        <v>46123</v>
      </c>
      <c r="I1016" s="9" t="n">
        <v>46137</v>
      </c>
      <c r="J1016" s="7" t="n">
        <v>9.8</v>
      </c>
      <c r="K1016" s="7" t="s">
        <v>1184</v>
      </c>
      <c r="L1016" s="7" t="s">
        <v>21</v>
      </c>
      <c r="M1016" s="7" t="s">
        <v>1273</v>
      </c>
      <c r="N1016" s="7" t="s">
        <v>58</v>
      </c>
      <c r="O1016" s="10" t="n">
        <f aca="false">'Exec Summary'!$E$2-H1016</f>
        <v>111</v>
      </c>
      <c r="P1016" s="10" t="n">
        <f aca="false">IF(I1016="","",I1016-H1016)</f>
        <v>14</v>
      </c>
      <c r="Q1016" s="10" t="n">
        <f aca="false">VLOOKUP(G1016,$AA$2:$AB$5,2,FALSE())</f>
        <v>15</v>
      </c>
      <c r="R1016" s="7" t="n">
        <f aca="false">IF(OR(F1016="Open",F1016="Reopened"),1,0)</f>
        <v>0</v>
      </c>
      <c r="S1016" s="7" t="n">
        <f aca="false">IF(AND(H1016&gt;='Exec Summary'!$E$1,H1016&lt;='Exec Summary'!$E$2),1,0)</f>
        <v>0</v>
      </c>
      <c r="T1016" s="7" t="n">
        <f aca="false">IF(AND(F1016="Closed",I1016&lt;&gt;"",I1016&gt;='Exec Summary'!$E$1,I1016&lt;='Exec Summary'!$E$2),1,0)</f>
        <v>0</v>
      </c>
      <c r="U1016" s="7" t="n">
        <f aca="false">IF(F1016="Reopened",1,0)</f>
        <v>0</v>
      </c>
      <c r="V1016" s="7" t="n">
        <f aca="false">IF(AND(R1016=1,O1016&gt;Q1016),1,0)</f>
        <v>0</v>
      </c>
      <c r="W1016" s="7" t="n">
        <f aca="false">IF(AND(T1016=1,P1016&lt;&gt;"",P1016&lt;=Q1016),1,0)</f>
        <v>0</v>
      </c>
    </row>
    <row r="1017" customFormat="false" ht="15" hidden="false" customHeight="false" outlineLevel="0" collapsed="false">
      <c r="A1017" s="7" t="s">
        <v>1274</v>
      </c>
      <c r="B1017" s="7" t="s">
        <v>135</v>
      </c>
      <c r="C1017" s="7" t="s">
        <v>136</v>
      </c>
      <c r="D1017" s="7" t="s">
        <v>87</v>
      </c>
      <c r="E1017" s="7" t="s">
        <v>88</v>
      </c>
      <c r="F1017" s="7" t="s">
        <v>50</v>
      </c>
      <c r="G1017" s="7" t="s">
        <v>19</v>
      </c>
      <c r="H1017" s="9" t="n">
        <v>46018</v>
      </c>
      <c r="I1017" s="9" t="n">
        <v>46021</v>
      </c>
      <c r="J1017" s="7" t="n">
        <v>10</v>
      </c>
      <c r="K1017" s="7" t="s">
        <v>1184</v>
      </c>
      <c r="L1017" s="7" t="s">
        <v>20</v>
      </c>
      <c r="M1017" s="7" t="s">
        <v>1275</v>
      </c>
      <c r="N1017" s="7" t="s">
        <v>58</v>
      </c>
      <c r="O1017" s="10" t="n">
        <f aca="false">'Exec Summary'!$E$2-H1017</f>
        <v>216</v>
      </c>
      <c r="P1017" s="10" t="n">
        <f aca="false">IF(I1017="","",I1017-H1017)</f>
        <v>3</v>
      </c>
      <c r="Q1017" s="10" t="n">
        <f aca="false">VLOOKUP(G1017,$AA$2:$AB$5,2,FALSE())</f>
        <v>15</v>
      </c>
      <c r="R1017" s="7" t="n">
        <f aca="false">IF(OR(F1017="Open",F1017="Reopened"),1,0)</f>
        <v>0</v>
      </c>
      <c r="S1017" s="7" t="n">
        <f aca="false">IF(AND(H1017&gt;='Exec Summary'!$E$1,H1017&lt;='Exec Summary'!$E$2),1,0)</f>
        <v>0</v>
      </c>
      <c r="T1017" s="7" t="n">
        <f aca="false">IF(AND(F1017="Closed",I1017&lt;&gt;"",I1017&gt;='Exec Summary'!$E$1,I1017&lt;='Exec Summary'!$E$2),1,0)</f>
        <v>0</v>
      </c>
      <c r="U1017" s="7" t="n">
        <f aca="false">IF(F1017="Reopened",1,0)</f>
        <v>0</v>
      </c>
      <c r="V1017" s="7" t="n">
        <f aca="false">IF(AND(R1017=1,O1017&gt;Q1017),1,0)</f>
        <v>0</v>
      </c>
      <c r="W1017" s="7" t="n">
        <f aca="false">IF(AND(T1017=1,P1017&lt;&gt;"",P1017&lt;=Q1017),1,0)</f>
        <v>0</v>
      </c>
    </row>
    <row r="1018" customFormat="false" ht="15" hidden="false" customHeight="false" outlineLevel="0" collapsed="false">
      <c r="A1018" s="7" t="s">
        <v>1274</v>
      </c>
      <c r="B1018" s="7" t="s">
        <v>135</v>
      </c>
      <c r="C1018" s="7" t="s">
        <v>136</v>
      </c>
      <c r="D1018" s="7" t="s">
        <v>54</v>
      </c>
      <c r="E1018" s="7" t="s">
        <v>55</v>
      </c>
      <c r="F1018" s="7" t="s">
        <v>50</v>
      </c>
      <c r="G1018" s="7" t="s">
        <v>19</v>
      </c>
      <c r="H1018" s="9" t="n">
        <v>45976</v>
      </c>
      <c r="I1018" s="9" t="n">
        <v>45982</v>
      </c>
      <c r="J1018" s="7" t="n">
        <v>9.8</v>
      </c>
      <c r="K1018" s="7" t="s">
        <v>1184</v>
      </c>
      <c r="L1018" s="7" t="s">
        <v>20</v>
      </c>
      <c r="M1018" s="7" t="s">
        <v>1276</v>
      </c>
      <c r="N1018" s="7" t="s">
        <v>58</v>
      </c>
      <c r="O1018" s="10" t="n">
        <f aca="false">'Exec Summary'!$E$2-H1018</f>
        <v>258</v>
      </c>
      <c r="P1018" s="10" t="n">
        <f aca="false">IF(I1018="","",I1018-H1018)</f>
        <v>6</v>
      </c>
      <c r="Q1018" s="10" t="n">
        <f aca="false">VLOOKUP(G1018,$AA$2:$AB$5,2,FALSE())</f>
        <v>15</v>
      </c>
      <c r="R1018" s="7" t="n">
        <f aca="false">IF(OR(F1018="Open",F1018="Reopened"),1,0)</f>
        <v>0</v>
      </c>
      <c r="S1018" s="7" t="n">
        <f aca="false">IF(AND(H1018&gt;='Exec Summary'!$E$1,H1018&lt;='Exec Summary'!$E$2),1,0)</f>
        <v>0</v>
      </c>
      <c r="T1018" s="7" t="n">
        <f aca="false">IF(AND(F1018="Closed",I1018&lt;&gt;"",I1018&gt;='Exec Summary'!$E$1,I1018&lt;='Exec Summary'!$E$2),1,0)</f>
        <v>0</v>
      </c>
      <c r="U1018" s="7" t="n">
        <f aca="false">IF(F1018="Reopened",1,0)</f>
        <v>0</v>
      </c>
      <c r="V1018" s="7" t="n">
        <f aca="false">IF(AND(R1018=1,O1018&gt;Q1018),1,0)</f>
        <v>0</v>
      </c>
      <c r="W1018" s="7" t="n">
        <f aca="false">IF(AND(T1018=1,P1018&lt;&gt;"",P1018&lt;=Q1018),1,0)</f>
        <v>0</v>
      </c>
    </row>
    <row r="1019" customFormat="false" ht="15" hidden="false" customHeight="false" outlineLevel="0" collapsed="false">
      <c r="A1019" s="7" t="s">
        <v>1274</v>
      </c>
      <c r="B1019" s="7" t="s">
        <v>135</v>
      </c>
      <c r="C1019" s="7" t="s">
        <v>136</v>
      </c>
      <c r="D1019" s="7" t="s">
        <v>65</v>
      </c>
      <c r="E1019" s="7" t="s">
        <v>66</v>
      </c>
      <c r="F1019" s="7" t="s">
        <v>50</v>
      </c>
      <c r="G1019" s="7" t="s">
        <v>19</v>
      </c>
      <c r="H1019" s="9" t="n">
        <v>46210</v>
      </c>
      <c r="I1019" s="9" t="n">
        <v>46233</v>
      </c>
      <c r="J1019" s="7" t="n">
        <v>9.8</v>
      </c>
      <c r="K1019" s="7" t="s">
        <v>1184</v>
      </c>
      <c r="L1019" s="7" t="s">
        <v>20</v>
      </c>
      <c r="M1019" s="7" t="s">
        <v>1277</v>
      </c>
      <c r="N1019" s="7" t="s">
        <v>58</v>
      </c>
      <c r="O1019" s="10" t="n">
        <f aca="false">'Exec Summary'!$E$2-H1019</f>
        <v>24</v>
      </c>
      <c r="P1019" s="10" t="n">
        <f aca="false">IF(I1019="","",I1019-H1019)</f>
        <v>23</v>
      </c>
      <c r="Q1019" s="10" t="n">
        <f aca="false">VLOOKUP(G1019,$AA$2:$AB$5,2,FALSE())</f>
        <v>15</v>
      </c>
      <c r="R1019" s="7" t="n">
        <f aca="false">IF(OR(F1019="Open",F1019="Reopened"),1,0)</f>
        <v>0</v>
      </c>
      <c r="S1019" s="7" t="n">
        <f aca="false">IF(AND(H1019&gt;='Exec Summary'!$E$1,H1019&lt;='Exec Summary'!$E$2),1,0)</f>
        <v>1</v>
      </c>
      <c r="T1019" s="7" t="n">
        <f aca="false">IF(AND(F1019="Closed",I1019&lt;&gt;"",I1019&gt;='Exec Summary'!$E$1,I1019&lt;='Exec Summary'!$E$2),1,0)</f>
        <v>1</v>
      </c>
      <c r="U1019" s="7" t="n">
        <f aca="false">IF(F1019="Reopened",1,0)</f>
        <v>0</v>
      </c>
      <c r="V1019" s="7" t="n">
        <f aca="false">IF(AND(R1019=1,O1019&gt;Q1019),1,0)</f>
        <v>0</v>
      </c>
      <c r="W1019" s="7" t="n">
        <f aca="false">IF(AND(T1019=1,P1019&lt;&gt;"",P1019&lt;=Q1019),1,0)</f>
        <v>0</v>
      </c>
    </row>
    <row r="1020" customFormat="false" ht="15" hidden="false" customHeight="false" outlineLevel="0" collapsed="false">
      <c r="A1020" s="7" t="s">
        <v>1274</v>
      </c>
      <c r="B1020" s="7" t="s">
        <v>135</v>
      </c>
      <c r="C1020" s="7" t="s">
        <v>136</v>
      </c>
      <c r="D1020" s="7" t="s">
        <v>120</v>
      </c>
      <c r="E1020" s="7" t="s">
        <v>121</v>
      </c>
      <c r="F1020" s="7" t="s">
        <v>50</v>
      </c>
      <c r="G1020" s="7" t="s">
        <v>19</v>
      </c>
      <c r="H1020" s="9" t="n">
        <v>45960</v>
      </c>
      <c r="I1020" s="9" t="n">
        <v>45961</v>
      </c>
      <c r="J1020" s="7" t="n">
        <v>8.8</v>
      </c>
      <c r="K1020" s="7" t="s">
        <v>1184</v>
      </c>
      <c r="L1020" s="7" t="s">
        <v>20</v>
      </c>
      <c r="M1020" s="7" t="s">
        <v>1278</v>
      </c>
      <c r="N1020" s="7" t="s">
        <v>58</v>
      </c>
      <c r="O1020" s="10" t="n">
        <f aca="false">'Exec Summary'!$E$2-H1020</f>
        <v>274</v>
      </c>
      <c r="P1020" s="10" t="n">
        <f aca="false">IF(I1020="","",I1020-H1020)</f>
        <v>1</v>
      </c>
      <c r="Q1020" s="10" t="n">
        <f aca="false">VLOOKUP(G1020,$AA$2:$AB$5,2,FALSE())</f>
        <v>15</v>
      </c>
      <c r="R1020" s="7" t="n">
        <f aca="false">IF(OR(F1020="Open",F1020="Reopened"),1,0)</f>
        <v>0</v>
      </c>
      <c r="S1020" s="7" t="n">
        <f aca="false">IF(AND(H1020&gt;='Exec Summary'!$E$1,H1020&lt;='Exec Summary'!$E$2),1,0)</f>
        <v>0</v>
      </c>
      <c r="T1020" s="7" t="n">
        <f aca="false">IF(AND(F1020="Closed",I1020&lt;&gt;"",I1020&gt;='Exec Summary'!$E$1,I1020&lt;='Exec Summary'!$E$2),1,0)</f>
        <v>0</v>
      </c>
      <c r="U1020" s="7" t="n">
        <f aca="false">IF(F1020="Reopened",1,0)</f>
        <v>0</v>
      </c>
      <c r="V1020" s="7" t="n">
        <f aca="false">IF(AND(R1020=1,O1020&gt;Q1020),1,0)</f>
        <v>0</v>
      </c>
      <c r="W1020" s="7" t="n">
        <f aca="false">IF(AND(T1020=1,P1020&lt;&gt;"",P1020&lt;=Q1020),1,0)</f>
        <v>0</v>
      </c>
    </row>
    <row r="1021" customFormat="false" ht="15" hidden="false" customHeight="false" outlineLevel="0" collapsed="false">
      <c r="A1021" s="7" t="s">
        <v>1279</v>
      </c>
      <c r="B1021" s="7" t="s">
        <v>46</v>
      </c>
      <c r="C1021" s="7" t="s">
        <v>47</v>
      </c>
      <c r="D1021" s="7" t="s">
        <v>210</v>
      </c>
      <c r="E1021" s="7" t="s">
        <v>211</v>
      </c>
      <c r="F1021" s="7" t="s">
        <v>50</v>
      </c>
      <c r="G1021" s="7" t="s">
        <v>19</v>
      </c>
      <c r="H1021" s="9" t="n">
        <v>45985</v>
      </c>
      <c r="I1021" s="9" t="n">
        <v>45986</v>
      </c>
      <c r="J1021" s="7" t="n">
        <v>9.8</v>
      </c>
      <c r="K1021" s="7" t="s">
        <v>1184</v>
      </c>
      <c r="L1021" s="7" t="s">
        <v>21</v>
      </c>
      <c r="M1021" s="7" t="s">
        <v>1280</v>
      </c>
      <c r="N1021" s="7" t="s">
        <v>58</v>
      </c>
      <c r="O1021" s="10" t="n">
        <f aca="false">'Exec Summary'!$E$2-H1021</f>
        <v>249</v>
      </c>
      <c r="P1021" s="10" t="n">
        <f aca="false">IF(I1021="","",I1021-H1021)</f>
        <v>1</v>
      </c>
      <c r="Q1021" s="10" t="n">
        <f aca="false">VLOOKUP(G1021,$AA$2:$AB$5,2,FALSE())</f>
        <v>15</v>
      </c>
      <c r="R1021" s="7" t="n">
        <f aca="false">IF(OR(F1021="Open",F1021="Reopened"),1,0)</f>
        <v>0</v>
      </c>
      <c r="S1021" s="7" t="n">
        <f aca="false">IF(AND(H1021&gt;='Exec Summary'!$E$1,H1021&lt;='Exec Summary'!$E$2),1,0)</f>
        <v>0</v>
      </c>
      <c r="T1021" s="7" t="n">
        <f aca="false">IF(AND(F1021="Closed",I1021&lt;&gt;"",I1021&gt;='Exec Summary'!$E$1,I1021&lt;='Exec Summary'!$E$2),1,0)</f>
        <v>0</v>
      </c>
      <c r="U1021" s="7" t="n">
        <f aca="false">IF(F1021="Reopened",1,0)</f>
        <v>0</v>
      </c>
      <c r="V1021" s="7" t="n">
        <f aca="false">IF(AND(R1021=1,O1021&gt;Q1021),1,0)</f>
        <v>0</v>
      </c>
      <c r="W1021" s="7" t="n">
        <f aca="false">IF(AND(T1021=1,P1021&lt;&gt;"",P1021&lt;=Q1021),1,0)</f>
        <v>0</v>
      </c>
    </row>
    <row r="1022" customFormat="false" ht="15" hidden="false" customHeight="false" outlineLevel="0" collapsed="false">
      <c r="A1022" s="7" t="s">
        <v>1279</v>
      </c>
      <c r="B1022" s="7" t="s">
        <v>46</v>
      </c>
      <c r="C1022" s="7" t="s">
        <v>47</v>
      </c>
      <c r="D1022" s="7" t="s">
        <v>87</v>
      </c>
      <c r="E1022" s="7" t="s">
        <v>88</v>
      </c>
      <c r="F1022" s="7" t="s">
        <v>56</v>
      </c>
      <c r="G1022" s="7" t="s">
        <v>19</v>
      </c>
      <c r="H1022" s="9" t="n">
        <v>46021</v>
      </c>
      <c r="I1022" s="9"/>
      <c r="J1022" s="7" t="n">
        <v>10</v>
      </c>
      <c r="K1022" s="7" t="s">
        <v>1184</v>
      </c>
      <c r="L1022" s="7" t="s">
        <v>21</v>
      </c>
      <c r="M1022" s="7" t="s">
        <v>1281</v>
      </c>
      <c r="N1022" s="7" t="s">
        <v>58</v>
      </c>
      <c r="O1022" s="10" t="n">
        <f aca="false">'Exec Summary'!$E$2-H1022</f>
        <v>213</v>
      </c>
      <c r="P1022" s="10" t="str">
        <f aca="false">IF(I1022="","",I1022-H1022)</f>
        <v/>
      </c>
      <c r="Q1022" s="10" t="n">
        <f aca="false">VLOOKUP(G1022,$AA$2:$AB$5,2,FALSE())</f>
        <v>15</v>
      </c>
      <c r="R1022" s="7" t="n">
        <f aca="false">IF(OR(F1022="Open",F1022="Reopened"),1,0)</f>
        <v>1</v>
      </c>
      <c r="S1022" s="7" t="n">
        <f aca="false">IF(AND(H1022&gt;='Exec Summary'!$E$1,H1022&lt;='Exec Summary'!$E$2),1,0)</f>
        <v>0</v>
      </c>
      <c r="T1022" s="7" t="n">
        <f aca="false">IF(AND(F1022="Closed",I1022&lt;&gt;"",I1022&gt;='Exec Summary'!$E$1,I1022&lt;='Exec Summary'!$E$2),1,0)</f>
        <v>0</v>
      </c>
      <c r="U1022" s="7" t="n">
        <f aca="false">IF(F1022="Reopened",1,0)</f>
        <v>0</v>
      </c>
      <c r="V1022" s="7" t="n">
        <f aca="false">IF(AND(R1022=1,O1022&gt;Q1022),1,0)</f>
        <v>1</v>
      </c>
      <c r="W1022" s="7" t="n">
        <f aca="false">IF(AND(T1022=1,P1022&lt;&gt;"",P1022&lt;=Q1022),1,0)</f>
        <v>0</v>
      </c>
    </row>
    <row r="1023" customFormat="false" ht="15" hidden="false" customHeight="false" outlineLevel="0" collapsed="false">
      <c r="A1023" s="7" t="s">
        <v>1279</v>
      </c>
      <c r="B1023" s="7" t="s">
        <v>46</v>
      </c>
      <c r="C1023" s="7" t="s">
        <v>47</v>
      </c>
      <c r="D1023" s="7" t="s">
        <v>163</v>
      </c>
      <c r="E1023" s="7" t="s">
        <v>164</v>
      </c>
      <c r="F1023" s="7" t="s">
        <v>50</v>
      </c>
      <c r="G1023" s="7" t="s">
        <v>19</v>
      </c>
      <c r="H1023" s="9" t="n">
        <v>45989</v>
      </c>
      <c r="I1023" s="9" t="n">
        <v>45990</v>
      </c>
      <c r="J1023" s="7" t="n">
        <v>9.1</v>
      </c>
      <c r="K1023" s="7" t="s">
        <v>1184</v>
      </c>
      <c r="L1023" s="7" t="s">
        <v>21</v>
      </c>
      <c r="M1023" s="7" t="s">
        <v>1282</v>
      </c>
      <c r="N1023" s="7" t="s">
        <v>58</v>
      </c>
      <c r="O1023" s="10" t="n">
        <f aca="false">'Exec Summary'!$E$2-H1023</f>
        <v>245</v>
      </c>
      <c r="P1023" s="10" t="n">
        <f aca="false">IF(I1023="","",I1023-H1023)</f>
        <v>1</v>
      </c>
      <c r="Q1023" s="10" t="n">
        <f aca="false">VLOOKUP(G1023,$AA$2:$AB$5,2,FALSE())</f>
        <v>15</v>
      </c>
      <c r="R1023" s="7" t="n">
        <f aca="false">IF(OR(F1023="Open",F1023="Reopened"),1,0)</f>
        <v>0</v>
      </c>
      <c r="S1023" s="7" t="n">
        <f aca="false">IF(AND(H1023&gt;='Exec Summary'!$E$1,H1023&lt;='Exec Summary'!$E$2),1,0)</f>
        <v>0</v>
      </c>
      <c r="T1023" s="7" t="n">
        <f aca="false">IF(AND(F1023="Closed",I1023&lt;&gt;"",I1023&gt;='Exec Summary'!$E$1,I1023&lt;='Exec Summary'!$E$2),1,0)</f>
        <v>0</v>
      </c>
      <c r="U1023" s="7" t="n">
        <f aca="false">IF(F1023="Reopened",1,0)</f>
        <v>0</v>
      </c>
      <c r="V1023" s="7" t="n">
        <f aca="false">IF(AND(R1023=1,O1023&gt;Q1023),1,0)</f>
        <v>0</v>
      </c>
      <c r="W1023" s="7" t="n">
        <f aca="false">IF(AND(T1023=1,P1023&lt;&gt;"",P1023&lt;=Q1023),1,0)</f>
        <v>0</v>
      </c>
    </row>
    <row r="1024" customFormat="false" ht="15" hidden="false" customHeight="false" outlineLevel="0" collapsed="false">
      <c r="A1024" s="7" t="s">
        <v>1283</v>
      </c>
      <c r="B1024" s="7" t="s">
        <v>46</v>
      </c>
      <c r="C1024" s="7" t="s">
        <v>79</v>
      </c>
      <c r="D1024" s="7" t="s">
        <v>95</v>
      </c>
      <c r="E1024" s="7" t="s">
        <v>96</v>
      </c>
      <c r="F1024" s="7" t="s">
        <v>56</v>
      </c>
      <c r="G1024" s="7" t="s">
        <v>20</v>
      </c>
      <c r="H1024" s="9" t="n">
        <v>46017</v>
      </c>
      <c r="I1024" s="9"/>
      <c r="J1024" s="7" t="n">
        <v>8.8</v>
      </c>
      <c r="K1024" s="7" t="s">
        <v>1184</v>
      </c>
      <c r="L1024" s="7" t="s">
        <v>20</v>
      </c>
      <c r="M1024" s="7" t="s">
        <v>1284</v>
      </c>
      <c r="N1024" s="7" t="s">
        <v>53</v>
      </c>
      <c r="O1024" s="10" t="n">
        <f aca="false">'Exec Summary'!$E$2-H1024</f>
        <v>217</v>
      </c>
      <c r="P1024" s="10" t="str">
        <f aca="false">IF(I1024="","",I1024-H1024)</f>
        <v/>
      </c>
      <c r="Q1024" s="10" t="n">
        <f aca="false">VLOOKUP(G1024,$AA$2:$AB$5,2,FALSE())</f>
        <v>30</v>
      </c>
      <c r="R1024" s="7" t="n">
        <f aca="false">IF(OR(F1024="Open",F1024="Reopened"),1,0)</f>
        <v>1</v>
      </c>
      <c r="S1024" s="7" t="n">
        <f aca="false">IF(AND(H1024&gt;='Exec Summary'!$E$1,H1024&lt;='Exec Summary'!$E$2),1,0)</f>
        <v>0</v>
      </c>
      <c r="T1024" s="7" t="n">
        <f aca="false">IF(AND(F1024="Closed",I1024&lt;&gt;"",I1024&gt;='Exec Summary'!$E$1,I1024&lt;='Exec Summary'!$E$2),1,0)</f>
        <v>0</v>
      </c>
      <c r="U1024" s="7" t="n">
        <f aca="false">IF(F1024="Reopened",1,0)</f>
        <v>0</v>
      </c>
      <c r="V1024" s="7" t="n">
        <f aca="false">IF(AND(R1024=1,O1024&gt;Q1024),1,0)</f>
        <v>1</v>
      </c>
      <c r="W1024" s="7" t="n">
        <f aca="false">IF(AND(T1024=1,P1024&lt;&gt;"",P1024&lt;=Q1024),1,0)</f>
        <v>0</v>
      </c>
    </row>
    <row r="1025" customFormat="false" ht="15" hidden="false" customHeight="false" outlineLevel="0" collapsed="false">
      <c r="A1025" s="7" t="s">
        <v>1283</v>
      </c>
      <c r="B1025" s="7" t="s">
        <v>46</v>
      </c>
      <c r="C1025" s="7" t="s">
        <v>79</v>
      </c>
      <c r="D1025" s="7" t="s">
        <v>48</v>
      </c>
      <c r="E1025" s="7" t="s">
        <v>49</v>
      </c>
      <c r="F1025" s="7" t="s">
        <v>56</v>
      </c>
      <c r="G1025" s="7" t="s">
        <v>20</v>
      </c>
      <c r="H1025" s="9" t="n">
        <v>46117</v>
      </c>
      <c r="I1025" s="9"/>
      <c r="J1025" s="7" t="n">
        <v>7.5</v>
      </c>
      <c r="K1025" s="7" t="s">
        <v>1184</v>
      </c>
      <c r="L1025" s="7" t="s">
        <v>20</v>
      </c>
      <c r="M1025" s="7" t="s">
        <v>1285</v>
      </c>
      <c r="N1025" s="7" t="s">
        <v>53</v>
      </c>
      <c r="O1025" s="10" t="n">
        <f aca="false">'Exec Summary'!$E$2-H1025</f>
        <v>117</v>
      </c>
      <c r="P1025" s="10" t="str">
        <f aca="false">IF(I1025="","",I1025-H1025)</f>
        <v/>
      </c>
      <c r="Q1025" s="10" t="n">
        <f aca="false">VLOOKUP(G1025,$AA$2:$AB$5,2,FALSE())</f>
        <v>30</v>
      </c>
      <c r="R1025" s="7" t="n">
        <f aca="false">IF(OR(F1025="Open",F1025="Reopened"),1,0)</f>
        <v>1</v>
      </c>
      <c r="S1025" s="7" t="n">
        <f aca="false">IF(AND(H1025&gt;='Exec Summary'!$E$1,H1025&lt;='Exec Summary'!$E$2),1,0)</f>
        <v>0</v>
      </c>
      <c r="T1025" s="7" t="n">
        <f aca="false">IF(AND(F1025="Closed",I1025&lt;&gt;"",I1025&gt;='Exec Summary'!$E$1,I1025&lt;='Exec Summary'!$E$2),1,0)</f>
        <v>0</v>
      </c>
      <c r="U1025" s="7" t="n">
        <f aca="false">IF(F1025="Reopened",1,0)</f>
        <v>0</v>
      </c>
      <c r="V1025" s="7" t="n">
        <f aca="false">IF(AND(R1025=1,O1025&gt;Q1025),1,0)</f>
        <v>1</v>
      </c>
      <c r="W1025" s="7" t="n">
        <f aca="false">IF(AND(T1025=1,P1025&lt;&gt;"",P1025&lt;=Q1025),1,0)</f>
        <v>0</v>
      </c>
    </row>
    <row r="1026" customFormat="false" ht="15" hidden="false" customHeight="false" outlineLevel="0" collapsed="false">
      <c r="A1026" s="7" t="s">
        <v>1283</v>
      </c>
      <c r="B1026" s="7" t="s">
        <v>46</v>
      </c>
      <c r="C1026" s="7" t="s">
        <v>79</v>
      </c>
      <c r="D1026" s="7" t="s">
        <v>104</v>
      </c>
      <c r="E1026" s="7" t="s">
        <v>105</v>
      </c>
      <c r="F1026" s="7" t="s">
        <v>56</v>
      </c>
      <c r="G1026" s="7" t="s">
        <v>19</v>
      </c>
      <c r="H1026" s="9" t="n">
        <v>46084</v>
      </c>
      <c r="I1026" s="9"/>
      <c r="J1026" s="7" t="n">
        <v>9.8</v>
      </c>
      <c r="K1026" s="7" t="s">
        <v>1184</v>
      </c>
      <c r="L1026" s="7" t="s">
        <v>20</v>
      </c>
      <c r="M1026" s="7" t="s">
        <v>1286</v>
      </c>
      <c r="N1026" s="7" t="s">
        <v>58</v>
      </c>
      <c r="O1026" s="10" t="n">
        <f aca="false">'Exec Summary'!$E$2-H1026</f>
        <v>150</v>
      </c>
      <c r="P1026" s="10" t="str">
        <f aca="false">IF(I1026="","",I1026-H1026)</f>
        <v/>
      </c>
      <c r="Q1026" s="10" t="n">
        <f aca="false">VLOOKUP(G1026,$AA$2:$AB$5,2,FALSE())</f>
        <v>15</v>
      </c>
      <c r="R1026" s="7" t="n">
        <f aca="false">IF(OR(F1026="Open",F1026="Reopened"),1,0)</f>
        <v>1</v>
      </c>
      <c r="S1026" s="7" t="n">
        <f aca="false">IF(AND(H1026&gt;='Exec Summary'!$E$1,H1026&lt;='Exec Summary'!$E$2),1,0)</f>
        <v>0</v>
      </c>
      <c r="T1026" s="7" t="n">
        <f aca="false">IF(AND(F1026="Closed",I1026&lt;&gt;"",I1026&gt;='Exec Summary'!$E$1,I1026&lt;='Exec Summary'!$E$2),1,0)</f>
        <v>0</v>
      </c>
      <c r="U1026" s="7" t="n">
        <f aca="false">IF(F1026="Reopened",1,0)</f>
        <v>0</v>
      </c>
      <c r="V1026" s="7" t="n">
        <f aca="false">IF(AND(R1026=1,O1026&gt;Q1026),1,0)</f>
        <v>1</v>
      </c>
      <c r="W1026" s="7" t="n">
        <f aca="false">IF(AND(T1026=1,P1026&lt;&gt;"",P1026&lt;=Q1026),1,0)</f>
        <v>0</v>
      </c>
    </row>
    <row r="1027" customFormat="false" ht="15" hidden="false" customHeight="false" outlineLevel="0" collapsed="false">
      <c r="A1027" s="7" t="s">
        <v>1283</v>
      </c>
      <c r="B1027" s="7" t="s">
        <v>46</v>
      </c>
      <c r="C1027" s="7" t="s">
        <v>79</v>
      </c>
      <c r="D1027" s="7" t="s">
        <v>152</v>
      </c>
      <c r="E1027" s="7" t="s">
        <v>153</v>
      </c>
      <c r="F1027" s="7" t="s">
        <v>56</v>
      </c>
      <c r="G1027" s="7" t="s">
        <v>20</v>
      </c>
      <c r="H1027" s="9" t="n">
        <v>46148</v>
      </c>
      <c r="I1027" s="9"/>
      <c r="J1027" s="7" t="n">
        <v>7.5</v>
      </c>
      <c r="K1027" s="7" t="s">
        <v>1184</v>
      </c>
      <c r="L1027" s="7" t="s">
        <v>20</v>
      </c>
      <c r="M1027" s="7" t="s">
        <v>1287</v>
      </c>
      <c r="N1027" s="7" t="s">
        <v>53</v>
      </c>
      <c r="O1027" s="10" t="n">
        <f aca="false">'Exec Summary'!$E$2-H1027</f>
        <v>86</v>
      </c>
      <c r="P1027" s="10" t="str">
        <f aca="false">IF(I1027="","",I1027-H1027)</f>
        <v/>
      </c>
      <c r="Q1027" s="10" t="n">
        <f aca="false">VLOOKUP(G1027,$AA$2:$AB$5,2,FALSE())</f>
        <v>30</v>
      </c>
      <c r="R1027" s="7" t="n">
        <f aca="false">IF(OR(F1027="Open",F1027="Reopened"),1,0)</f>
        <v>1</v>
      </c>
      <c r="S1027" s="7" t="n">
        <f aca="false">IF(AND(H1027&gt;='Exec Summary'!$E$1,H1027&lt;='Exec Summary'!$E$2),1,0)</f>
        <v>0</v>
      </c>
      <c r="T1027" s="7" t="n">
        <f aca="false">IF(AND(F1027="Closed",I1027&lt;&gt;"",I1027&gt;='Exec Summary'!$E$1,I1027&lt;='Exec Summary'!$E$2),1,0)</f>
        <v>0</v>
      </c>
      <c r="U1027" s="7" t="n">
        <f aca="false">IF(F1027="Reopened",1,0)</f>
        <v>0</v>
      </c>
      <c r="V1027" s="7" t="n">
        <f aca="false">IF(AND(R1027=1,O1027&gt;Q1027),1,0)</f>
        <v>1</v>
      </c>
      <c r="W1027" s="7" t="n">
        <f aca="false">IF(AND(T1027=1,P1027&lt;&gt;"",P1027&lt;=Q1027),1,0)</f>
        <v>0</v>
      </c>
    </row>
    <row r="1028" customFormat="false" ht="15" hidden="false" customHeight="false" outlineLevel="0" collapsed="false">
      <c r="A1028" s="7" t="s">
        <v>1283</v>
      </c>
      <c r="B1028" s="7" t="s">
        <v>46</v>
      </c>
      <c r="C1028" s="7" t="s">
        <v>79</v>
      </c>
      <c r="D1028" s="7" t="s">
        <v>173</v>
      </c>
      <c r="E1028" s="7" t="s">
        <v>174</v>
      </c>
      <c r="F1028" s="7" t="s">
        <v>56</v>
      </c>
      <c r="G1028" s="7" t="s">
        <v>19</v>
      </c>
      <c r="H1028" s="9" t="n">
        <v>46092</v>
      </c>
      <c r="I1028" s="9"/>
      <c r="J1028" s="7" t="n">
        <v>9.8</v>
      </c>
      <c r="K1028" s="7" t="s">
        <v>1184</v>
      </c>
      <c r="L1028" s="7" t="s">
        <v>20</v>
      </c>
      <c r="M1028" s="7" t="s">
        <v>1288</v>
      </c>
      <c r="N1028" s="7" t="s">
        <v>58</v>
      </c>
      <c r="O1028" s="10" t="n">
        <f aca="false">'Exec Summary'!$E$2-H1028</f>
        <v>142</v>
      </c>
      <c r="P1028" s="10" t="str">
        <f aca="false">IF(I1028="","",I1028-H1028)</f>
        <v/>
      </c>
      <c r="Q1028" s="10" t="n">
        <f aca="false">VLOOKUP(G1028,$AA$2:$AB$5,2,FALSE())</f>
        <v>15</v>
      </c>
      <c r="R1028" s="7" t="n">
        <f aca="false">IF(OR(F1028="Open",F1028="Reopened"),1,0)</f>
        <v>1</v>
      </c>
      <c r="S1028" s="7" t="n">
        <f aca="false">IF(AND(H1028&gt;='Exec Summary'!$E$1,H1028&lt;='Exec Summary'!$E$2),1,0)</f>
        <v>0</v>
      </c>
      <c r="T1028" s="7" t="n">
        <f aca="false">IF(AND(F1028="Closed",I1028&lt;&gt;"",I1028&gt;='Exec Summary'!$E$1,I1028&lt;='Exec Summary'!$E$2),1,0)</f>
        <v>0</v>
      </c>
      <c r="U1028" s="7" t="n">
        <f aca="false">IF(F1028="Reopened",1,0)</f>
        <v>0</v>
      </c>
      <c r="V1028" s="7" t="n">
        <f aca="false">IF(AND(R1028=1,O1028&gt;Q1028),1,0)</f>
        <v>1</v>
      </c>
      <c r="W1028" s="7" t="n">
        <f aca="false">IF(AND(T1028=1,P1028&lt;&gt;"",P1028&lt;=Q1028),1,0)</f>
        <v>0</v>
      </c>
    </row>
    <row r="1029" customFormat="false" ht="15" hidden="false" customHeight="false" outlineLevel="0" collapsed="false">
      <c r="A1029" s="7" t="s">
        <v>1283</v>
      </c>
      <c r="B1029" s="7" t="s">
        <v>46</v>
      </c>
      <c r="C1029" s="7" t="s">
        <v>79</v>
      </c>
      <c r="D1029" s="7" t="s">
        <v>108</v>
      </c>
      <c r="E1029" s="7" t="s">
        <v>109</v>
      </c>
      <c r="F1029" s="7" t="s">
        <v>123</v>
      </c>
      <c r="G1029" s="7" t="s">
        <v>20</v>
      </c>
      <c r="H1029" s="9" t="n">
        <v>46057</v>
      </c>
      <c r="I1029" s="9" t="n">
        <v>46078</v>
      </c>
      <c r="J1029" s="7" t="n">
        <v>8.6</v>
      </c>
      <c r="K1029" s="7" t="s">
        <v>1184</v>
      </c>
      <c r="L1029" s="7" t="s">
        <v>20</v>
      </c>
      <c r="M1029" s="7" t="s">
        <v>1289</v>
      </c>
      <c r="N1029" s="7" t="s">
        <v>53</v>
      </c>
      <c r="O1029" s="10" t="n">
        <f aca="false">'Exec Summary'!$E$2-H1029</f>
        <v>177</v>
      </c>
      <c r="P1029" s="10" t="n">
        <f aca="false">IF(I1029="","",I1029-H1029)</f>
        <v>21</v>
      </c>
      <c r="Q1029" s="10" t="n">
        <f aca="false">VLOOKUP(G1029,$AA$2:$AB$5,2,FALSE())</f>
        <v>30</v>
      </c>
      <c r="R1029" s="7" t="n">
        <f aca="false">IF(OR(F1029="Open",F1029="Reopened"),1,0)</f>
        <v>1</v>
      </c>
      <c r="S1029" s="7" t="n">
        <f aca="false">IF(AND(H1029&gt;='Exec Summary'!$E$1,H1029&lt;='Exec Summary'!$E$2),1,0)</f>
        <v>0</v>
      </c>
      <c r="T1029" s="7" t="n">
        <f aca="false">IF(AND(F1029="Closed",I1029&lt;&gt;"",I1029&gt;='Exec Summary'!$E$1,I1029&lt;='Exec Summary'!$E$2),1,0)</f>
        <v>0</v>
      </c>
      <c r="U1029" s="7" t="n">
        <f aca="false">IF(F1029="Reopened",1,0)</f>
        <v>1</v>
      </c>
      <c r="V1029" s="7" t="n">
        <f aca="false">IF(AND(R1029=1,O1029&gt;Q1029),1,0)</f>
        <v>1</v>
      </c>
      <c r="W1029" s="7" t="n">
        <f aca="false">IF(AND(T1029=1,P1029&lt;&gt;"",P1029&lt;=Q1029),1,0)</f>
        <v>0</v>
      </c>
    </row>
    <row r="1030" customFormat="false" ht="15" hidden="false" customHeight="false" outlineLevel="0" collapsed="false">
      <c r="A1030" s="7" t="s">
        <v>1283</v>
      </c>
      <c r="B1030" s="7" t="s">
        <v>46</v>
      </c>
      <c r="C1030" s="7" t="s">
        <v>79</v>
      </c>
      <c r="D1030" s="7" t="s">
        <v>131</v>
      </c>
      <c r="E1030" s="7" t="s">
        <v>132</v>
      </c>
      <c r="F1030" s="7" t="s">
        <v>50</v>
      </c>
      <c r="G1030" s="7" t="s">
        <v>19</v>
      </c>
      <c r="H1030" s="9" t="n">
        <v>46009</v>
      </c>
      <c r="I1030" s="9" t="n">
        <v>46018</v>
      </c>
      <c r="J1030" s="7" t="n">
        <v>9.8</v>
      </c>
      <c r="K1030" s="7" t="s">
        <v>1184</v>
      </c>
      <c r="L1030" s="7" t="s">
        <v>20</v>
      </c>
      <c r="M1030" s="7" t="s">
        <v>1290</v>
      </c>
      <c r="N1030" s="7" t="s">
        <v>58</v>
      </c>
      <c r="O1030" s="10" t="n">
        <f aca="false">'Exec Summary'!$E$2-H1030</f>
        <v>225</v>
      </c>
      <c r="P1030" s="10" t="n">
        <f aca="false">IF(I1030="","",I1030-H1030)</f>
        <v>9</v>
      </c>
      <c r="Q1030" s="10" t="n">
        <f aca="false">VLOOKUP(G1030,$AA$2:$AB$5,2,FALSE())</f>
        <v>15</v>
      </c>
      <c r="R1030" s="7" t="n">
        <f aca="false">IF(OR(F1030="Open",F1030="Reopened"),1,0)</f>
        <v>0</v>
      </c>
      <c r="S1030" s="7" t="n">
        <f aca="false">IF(AND(H1030&gt;='Exec Summary'!$E$1,H1030&lt;='Exec Summary'!$E$2),1,0)</f>
        <v>0</v>
      </c>
      <c r="T1030" s="7" t="n">
        <f aca="false">IF(AND(F1030="Closed",I1030&lt;&gt;"",I1030&gt;='Exec Summary'!$E$1,I1030&lt;='Exec Summary'!$E$2),1,0)</f>
        <v>0</v>
      </c>
      <c r="U1030" s="7" t="n">
        <f aca="false">IF(F1030="Reopened",1,0)</f>
        <v>0</v>
      </c>
      <c r="V1030" s="7" t="n">
        <f aca="false">IF(AND(R1030=1,O1030&gt;Q1030),1,0)</f>
        <v>0</v>
      </c>
      <c r="W1030" s="7" t="n">
        <f aca="false">IF(AND(T1030=1,P1030&lt;&gt;"",P1030&lt;=Q1030),1,0)</f>
        <v>0</v>
      </c>
    </row>
    <row r="1031" customFormat="false" ht="15" hidden="false" customHeight="false" outlineLevel="0" collapsed="false">
      <c r="A1031" s="7" t="s">
        <v>1283</v>
      </c>
      <c r="B1031" s="7" t="s">
        <v>46</v>
      </c>
      <c r="C1031" s="7" t="s">
        <v>79</v>
      </c>
      <c r="D1031" s="7" t="s">
        <v>139</v>
      </c>
      <c r="E1031" s="7" t="s">
        <v>140</v>
      </c>
      <c r="F1031" s="7" t="s">
        <v>50</v>
      </c>
      <c r="G1031" s="7" t="s">
        <v>19</v>
      </c>
      <c r="H1031" s="9" t="n">
        <v>45971</v>
      </c>
      <c r="I1031" s="9" t="n">
        <v>45979</v>
      </c>
      <c r="J1031" s="7" t="n">
        <v>9.8</v>
      </c>
      <c r="K1031" s="7" t="s">
        <v>1184</v>
      </c>
      <c r="L1031" s="7" t="s">
        <v>20</v>
      </c>
      <c r="M1031" s="7" t="s">
        <v>1291</v>
      </c>
      <c r="N1031" s="7" t="s">
        <v>58</v>
      </c>
      <c r="O1031" s="10" t="n">
        <f aca="false">'Exec Summary'!$E$2-H1031</f>
        <v>263</v>
      </c>
      <c r="P1031" s="10" t="n">
        <f aca="false">IF(I1031="","",I1031-H1031)</f>
        <v>8</v>
      </c>
      <c r="Q1031" s="10" t="n">
        <f aca="false">VLOOKUP(G1031,$AA$2:$AB$5,2,FALSE())</f>
        <v>15</v>
      </c>
      <c r="R1031" s="7" t="n">
        <f aca="false">IF(OR(F1031="Open",F1031="Reopened"),1,0)</f>
        <v>0</v>
      </c>
      <c r="S1031" s="7" t="n">
        <f aca="false">IF(AND(H1031&gt;='Exec Summary'!$E$1,H1031&lt;='Exec Summary'!$E$2),1,0)</f>
        <v>0</v>
      </c>
      <c r="T1031" s="7" t="n">
        <f aca="false">IF(AND(F1031="Closed",I1031&lt;&gt;"",I1031&gt;='Exec Summary'!$E$1,I1031&lt;='Exec Summary'!$E$2),1,0)</f>
        <v>0</v>
      </c>
      <c r="U1031" s="7" t="n">
        <f aca="false">IF(F1031="Reopened",1,0)</f>
        <v>0</v>
      </c>
      <c r="V1031" s="7" t="n">
        <f aca="false">IF(AND(R1031=1,O1031&gt;Q1031),1,0)</f>
        <v>0</v>
      </c>
      <c r="W1031" s="7" t="n">
        <f aca="false">IF(AND(T1031=1,P1031&lt;&gt;"",P1031&lt;=Q1031),1,0)</f>
        <v>0</v>
      </c>
    </row>
    <row r="1032" customFormat="false" ht="15" hidden="false" customHeight="false" outlineLevel="0" collapsed="false">
      <c r="A1032" s="7" t="s">
        <v>1283</v>
      </c>
      <c r="B1032" s="7" t="s">
        <v>46</v>
      </c>
      <c r="C1032" s="7" t="s">
        <v>79</v>
      </c>
      <c r="D1032" s="7" t="s">
        <v>65</v>
      </c>
      <c r="E1032" s="7" t="s">
        <v>66</v>
      </c>
      <c r="F1032" s="7" t="s">
        <v>50</v>
      </c>
      <c r="G1032" s="7" t="s">
        <v>19</v>
      </c>
      <c r="H1032" s="9" t="n">
        <v>46156</v>
      </c>
      <c r="I1032" s="9" t="n">
        <v>46172</v>
      </c>
      <c r="J1032" s="7" t="n">
        <v>9.8</v>
      </c>
      <c r="K1032" s="7" t="s">
        <v>1184</v>
      </c>
      <c r="L1032" s="7" t="s">
        <v>20</v>
      </c>
      <c r="M1032" s="7" t="s">
        <v>1292</v>
      </c>
      <c r="N1032" s="7" t="s">
        <v>58</v>
      </c>
      <c r="O1032" s="10" t="n">
        <f aca="false">'Exec Summary'!$E$2-H1032</f>
        <v>78</v>
      </c>
      <c r="P1032" s="10" t="n">
        <f aca="false">IF(I1032="","",I1032-H1032)</f>
        <v>16</v>
      </c>
      <c r="Q1032" s="10" t="n">
        <f aca="false">VLOOKUP(G1032,$AA$2:$AB$5,2,FALSE())</f>
        <v>15</v>
      </c>
      <c r="R1032" s="7" t="n">
        <f aca="false">IF(OR(F1032="Open",F1032="Reopened"),1,0)</f>
        <v>0</v>
      </c>
      <c r="S1032" s="7" t="n">
        <f aca="false">IF(AND(H1032&gt;='Exec Summary'!$E$1,H1032&lt;='Exec Summary'!$E$2),1,0)</f>
        <v>0</v>
      </c>
      <c r="T1032" s="7" t="n">
        <f aca="false">IF(AND(F1032="Closed",I1032&lt;&gt;"",I1032&gt;='Exec Summary'!$E$1,I1032&lt;='Exec Summary'!$E$2),1,0)</f>
        <v>0</v>
      </c>
      <c r="U1032" s="7" t="n">
        <f aca="false">IF(F1032="Reopened",1,0)</f>
        <v>0</v>
      </c>
      <c r="V1032" s="7" t="n">
        <f aca="false">IF(AND(R1032=1,O1032&gt;Q1032),1,0)</f>
        <v>0</v>
      </c>
      <c r="W1032" s="7" t="n">
        <f aca="false">IF(AND(T1032=1,P1032&lt;&gt;"",P1032&lt;=Q1032),1,0)</f>
        <v>0</v>
      </c>
    </row>
    <row r="1033" customFormat="false" ht="15" hidden="false" customHeight="false" outlineLevel="0" collapsed="false">
      <c r="A1033" s="7" t="s">
        <v>1283</v>
      </c>
      <c r="B1033" s="7" t="s">
        <v>46</v>
      </c>
      <c r="C1033" s="7" t="s">
        <v>79</v>
      </c>
      <c r="D1033" s="7" t="s">
        <v>54</v>
      </c>
      <c r="E1033" s="7" t="s">
        <v>55</v>
      </c>
      <c r="F1033" s="7" t="s">
        <v>56</v>
      </c>
      <c r="G1033" s="7" t="s">
        <v>19</v>
      </c>
      <c r="H1033" s="9" t="n">
        <v>46041</v>
      </c>
      <c r="I1033" s="9"/>
      <c r="J1033" s="7" t="n">
        <v>9.8</v>
      </c>
      <c r="K1033" s="7" t="s">
        <v>1184</v>
      </c>
      <c r="L1033" s="7" t="s">
        <v>20</v>
      </c>
      <c r="M1033" s="7" t="s">
        <v>1293</v>
      </c>
      <c r="N1033" s="7" t="s">
        <v>58</v>
      </c>
      <c r="O1033" s="10" t="n">
        <f aca="false">'Exec Summary'!$E$2-H1033</f>
        <v>193</v>
      </c>
      <c r="P1033" s="10" t="str">
        <f aca="false">IF(I1033="","",I1033-H1033)</f>
        <v/>
      </c>
      <c r="Q1033" s="10" t="n">
        <f aca="false">VLOOKUP(G1033,$AA$2:$AB$5,2,FALSE())</f>
        <v>15</v>
      </c>
      <c r="R1033" s="7" t="n">
        <f aca="false">IF(OR(F1033="Open",F1033="Reopened"),1,0)</f>
        <v>1</v>
      </c>
      <c r="S1033" s="7" t="n">
        <f aca="false">IF(AND(H1033&gt;='Exec Summary'!$E$1,H1033&lt;='Exec Summary'!$E$2),1,0)</f>
        <v>0</v>
      </c>
      <c r="T1033" s="7" t="n">
        <f aca="false">IF(AND(F1033="Closed",I1033&lt;&gt;"",I1033&gt;='Exec Summary'!$E$1,I1033&lt;='Exec Summary'!$E$2),1,0)</f>
        <v>0</v>
      </c>
      <c r="U1033" s="7" t="n">
        <f aca="false">IF(F1033="Reopened",1,0)</f>
        <v>0</v>
      </c>
      <c r="V1033" s="7" t="n">
        <f aca="false">IF(AND(R1033=1,O1033&gt;Q1033),1,0)</f>
        <v>1</v>
      </c>
      <c r="W1033" s="7" t="n">
        <f aca="false">IF(AND(T1033=1,P1033&lt;&gt;"",P1033&lt;=Q1033),1,0)</f>
        <v>0</v>
      </c>
    </row>
    <row r="1034" customFormat="false" ht="15" hidden="false" customHeight="false" outlineLevel="0" collapsed="false">
      <c r="A1034" s="7" t="s">
        <v>1283</v>
      </c>
      <c r="B1034" s="7" t="s">
        <v>46</v>
      </c>
      <c r="C1034" s="7" t="s">
        <v>79</v>
      </c>
      <c r="D1034" s="7" t="s">
        <v>87</v>
      </c>
      <c r="E1034" s="7" t="s">
        <v>88</v>
      </c>
      <c r="F1034" s="7" t="s">
        <v>123</v>
      </c>
      <c r="G1034" s="7" t="s">
        <v>19</v>
      </c>
      <c r="H1034" s="9" t="n">
        <v>46120</v>
      </c>
      <c r="I1034" s="9" t="n">
        <v>46132</v>
      </c>
      <c r="J1034" s="7" t="n">
        <v>10</v>
      </c>
      <c r="K1034" s="7" t="s">
        <v>1184</v>
      </c>
      <c r="L1034" s="7" t="s">
        <v>20</v>
      </c>
      <c r="M1034" s="7" t="s">
        <v>1294</v>
      </c>
      <c r="N1034" s="7" t="s">
        <v>58</v>
      </c>
      <c r="O1034" s="10" t="n">
        <f aca="false">'Exec Summary'!$E$2-H1034</f>
        <v>114</v>
      </c>
      <c r="P1034" s="10" t="n">
        <f aca="false">IF(I1034="","",I1034-H1034)</f>
        <v>12</v>
      </c>
      <c r="Q1034" s="10" t="n">
        <f aca="false">VLOOKUP(G1034,$AA$2:$AB$5,2,FALSE())</f>
        <v>15</v>
      </c>
      <c r="R1034" s="7" t="n">
        <f aca="false">IF(OR(F1034="Open",F1034="Reopened"),1,0)</f>
        <v>1</v>
      </c>
      <c r="S1034" s="7" t="n">
        <f aca="false">IF(AND(H1034&gt;='Exec Summary'!$E$1,H1034&lt;='Exec Summary'!$E$2),1,0)</f>
        <v>0</v>
      </c>
      <c r="T1034" s="7" t="n">
        <f aca="false">IF(AND(F1034="Closed",I1034&lt;&gt;"",I1034&gt;='Exec Summary'!$E$1,I1034&lt;='Exec Summary'!$E$2),1,0)</f>
        <v>0</v>
      </c>
      <c r="U1034" s="7" t="n">
        <f aca="false">IF(F1034="Reopened",1,0)</f>
        <v>1</v>
      </c>
      <c r="V1034" s="7" t="n">
        <f aca="false">IF(AND(R1034=1,O1034&gt;Q1034),1,0)</f>
        <v>1</v>
      </c>
      <c r="W1034" s="7" t="n">
        <f aca="false">IF(AND(T1034=1,P1034&lt;&gt;"",P1034&lt;=Q1034),1,0)</f>
        <v>0</v>
      </c>
    </row>
    <row r="1035" customFormat="false" ht="15" hidden="false" customHeight="false" outlineLevel="0" collapsed="false">
      <c r="A1035" s="7" t="s">
        <v>1283</v>
      </c>
      <c r="B1035" s="7" t="s">
        <v>46</v>
      </c>
      <c r="C1035" s="7" t="s">
        <v>79</v>
      </c>
      <c r="D1035" s="7" t="s">
        <v>192</v>
      </c>
      <c r="E1035" s="7" t="s">
        <v>193</v>
      </c>
      <c r="F1035" s="7" t="s">
        <v>50</v>
      </c>
      <c r="G1035" s="7" t="s">
        <v>19</v>
      </c>
      <c r="H1035" s="9" t="n">
        <v>46133</v>
      </c>
      <c r="I1035" s="9" t="n">
        <v>46146</v>
      </c>
      <c r="J1035" s="7" t="n">
        <v>9.8</v>
      </c>
      <c r="K1035" s="7" t="s">
        <v>1184</v>
      </c>
      <c r="L1035" s="7" t="s">
        <v>20</v>
      </c>
      <c r="M1035" s="7" t="s">
        <v>1295</v>
      </c>
      <c r="N1035" s="7" t="s">
        <v>58</v>
      </c>
      <c r="O1035" s="10" t="n">
        <f aca="false">'Exec Summary'!$E$2-H1035</f>
        <v>101</v>
      </c>
      <c r="P1035" s="10" t="n">
        <f aca="false">IF(I1035="","",I1035-H1035)</f>
        <v>13</v>
      </c>
      <c r="Q1035" s="10" t="n">
        <f aca="false">VLOOKUP(G1035,$AA$2:$AB$5,2,FALSE())</f>
        <v>15</v>
      </c>
      <c r="R1035" s="7" t="n">
        <f aca="false">IF(OR(F1035="Open",F1035="Reopened"),1,0)</f>
        <v>0</v>
      </c>
      <c r="S1035" s="7" t="n">
        <f aca="false">IF(AND(H1035&gt;='Exec Summary'!$E$1,H1035&lt;='Exec Summary'!$E$2),1,0)</f>
        <v>0</v>
      </c>
      <c r="T1035" s="7" t="n">
        <f aca="false">IF(AND(F1035="Closed",I1035&lt;&gt;"",I1035&gt;='Exec Summary'!$E$1,I1035&lt;='Exec Summary'!$E$2),1,0)</f>
        <v>0</v>
      </c>
      <c r="U1035" s="7" t="n">
        <f aca="false">IF(F1035="Reopened",1,0)</f>
        <v>0</v>
      </c>
      <c r="V1035" s="7" t="n">
        <f aca="false">IF(AND(R1035=1,O1035&gt;Q1035),1,0)</f>
        <v>0</v>
      </c>
      <c r="W1035" s="7" t="n">
        <f aca="false">IF(AND(T1035=1,P1035&lt;&gt;"",P1035&lt;=Q1035),1,0)</f>
        <v>0</v>
      </c>
    </row>
    <row r="1036" customFormat="false" ht="15" hidden="false" customHeight="false" outlineLevel="0" collapsed="false">
      <c r="A1036" s="7" t="s">
        <v>1283</v>
      </c>
      <c r="B1036" s="7" t="s">
        <v>46</v>
      </c>
      <c r="C1036" s="7" t="s">
        <v>79</v>
      </c>
      <c r="D1036" s="7" t="s">
        <v>145</v>
      </c>
      <c r="E1036" s="7" t="s">
        <v>146</v>
      </c>
      <c r="F1036" s="7" t="s">
        <v>50</v>
      </c>
      <c r="G1036" s="7" t="s">
        <v>19</v>
      </c>
      <c r="H1036" s="9" t="n">
        <v>46099</v>
      </c>
      <c r="I1036" s="9" t="n">
        <v>46114</v>
      </c>
      <c r="J1036" s="7" t="n">
        <v>9.8</v>
      </c>
      <c r="K1036" s="7" t="s">
        <v>1184</v>
      </c>
      <c r="L1036" s="7" t="s">
        <v>20</v>
      </c>
      <c r="M1036" s="7" t="s">
        <v>1296</v>
      </c>
      <c r="N1036" s="7" t="s">
        <v>58</v>
      </c>
      <c r="O1036" s="10" t="n">
        <f aca="false">'Exec Summary'!$E$2-H1036</f>
        <v>135</v>
      </c>
      <c r="P1036" s="10" t="n">
        <f aca="false">IF(I1036="","",I1036-H1036)</f>
        <v>15</v>
      </c>
      <c r="Q1036" s="10" t="n">
        <f aca="false">VLOOKUP(G1036,$AA$2:$AB$5,2,FALSE())</f>
        <v>15</v>
      </c>
      <c r="R1036" s="7" t="n">
        <f aca="false">IF(OR(F1036="Open",F1036="Reopened"),1,0)</f>
        <v>0</v>
      </c>
      <c r="S1036" s="7" t="n">
        <f aca="false">IF(AND(H1036&gt;='Exec Summary'!$E$1,H1036&lt;='Exec Summary'!$E$2),1,0)</f>
        <v>0</v>
      </c>
      <c r="T1036" s="7" t="n">
        <f aca="false">IF(AND(F1036="Closed",I1036&lt;&gt;"",I1036&gt;='Exec Summary'!$E$1,I1036&lt;='Exec Summary'!$E$2),1,0)</f>
        <v>0</v>
      </c>
      <c r="U1036" s="7" t="n">
        <f aca="false">IF(F1036="Reopened",1,0)</f>
        <v>0</v>
      </c>
      <c r="V1036" s="7" t="n">
        <f aca="false">IF(AND(R1036=1,O1036&gt;Q1036),1,0)</f>
        <v>0</v>
      </c>
      <c r="W1036" s="7" t="n">
        <f aca="false">IF(AND(T1036=1,P1036&lt;&gt;"",P1036&lt;=Q1036),1,0)</f>
        <v>0</v>
      </c>
    </row>
    <row r="1037" customFormat="false" ht="15" hidden="false" customHeight="false" outlineLevel="0" collapsed="false">
      <c r="A1037" s="7" t="s">
        <v>1283</v>
      </c>
      <c r="B1037" s="7" t="s">
        <v>46</v>
      </c>
      <c r="C1037" s="7" t="s">
        <v>79</v>
      </c>
      <c r="D1037" s="7" t="s">
        <v>163</v>
      </c>
      <c r="E1037" s="7" t="s">
        <v>164</v>
      </c>
      <c r="F1037" s="7" t="s">
        <v>56</v>
      </c>
      <c r="G1037" s="7" t="s">
        <v>19</v>
      </c>
      <c r="H1037" s="9" t="n">
        <v>46224</v>
      </c>
      <c r="I1037" s="9"/>
      <c r="J1037" s="7" t="n">
        <v>9.1</v>
      </c>
      <c r="K1037" s="7" t="s">
        <v>1184</v>
      </c>
      <c r="L1037" s="7" t="s">
        <v>20</v>
      </c>
      <c r="M1037" s="7" t="s">
        <v>1297</v>
      </c>
      <c r="N1037" s="7" t="s">
        <v>58</v>
      </c>
      <c r="O1037" s="10" t="n">
        <f aca="false">'Exec Summary'!$E$2-H1037</f>
        <v>10</v>
      </c>
      <c r="P1037" s="10" t="str">
        <f aca="false">IF(I1037="","",I1037-H1037)</f>
        <v/>
      </c>
      <c r="Q1037" s="10" t="n">
        <f aca="false">VLOOKUP(G1037,$AA$2:$AB$5,2,FALSE())</f>
        <v>15</v>
      </c>
      <c r="R1037" s="7" t="n">
        <f aca="false">IF(OR(F1037="Open",F1037="Reopened"),1,0)</f>
        <v>1</v>
      </c>
      <c r="S1037" s="7" t="n">
        <f aca="false">IF(AND(H1037&gt;='Exec Summary'!$E$1,H1037&lt;='Exec Summary'!$E$2),1,0)</f>
        <v>1</v>
      </c>
      <c r="T1037" s="7" t="n">
        <f aca="false">IF(AND(F1037="Closed",I1037&lt;&gt;"",I1037&gt;='Exec Summary'!$E$1,I1037&lt;='Exec Summary'!$E$2),1,0)</f>
        <v>0</v>
      </c>
      <c r="U1037" s="7" t="n">
        <f aca="false">IF(F1037="Reopened",1,0)</f>
        <v>0</v>
      </c>
      <c r="V1037" s="7" t="n">
        <f aca="false">IF(AND(R1037=1,O1037&gt;Q1037),1,0)</f>
        <v>0</v>
      </c>
      <c r="W1037" s="7" t="n">
        <f aca="false">IF(AND(T1037=1,P1037&lt;&gt;"",P1037&lt;=Q1037),1,0)</f>
        <v>0</v>
      </c>
    </row>
    <row r="1038" customFormat="false" ht="15" hidden="false" customHeight="false" outlineLevel="0" collapsed="false">
      <c r="A1038" s="7" t="s">
        <v>1298</v>
      </c>
      <c r="B1038" s="7" t="s">
        <v>46</v>
      </c>
      <c r="C1038" s="7" t="s">
        <v>128</v>
      </c>
      <c r="D1038" s="7" t="s">
        <v>68</v>
      </c>
      <c r="E1038" s="7" t="s">
        <v>69</v>
      </c>
      <c r="F1038" s="7" t="s">
        <v>56</v>
      </c>
      <c r="G1038" s="7" t="s">
        <v>19</v>
      </c>
      <c r="H1038" s="9" t="n">
        <v>46187</v>
      </c>
      <c r="I1038" s="9"/>
      <c r="J1038" s="7" t="n">
        <v>9.8</v>
      </c>
      <c r="K1038" s="7" t="s">
        <v>1184</v>
      </c>
      <c r="L1038" s="7" t="s">
        <v>22</v>
      </c>
      <c r="M1038" s="7" t="s">
        <v>1299</v>
      </c>
      <c r="N1038" s="7" t="s">
        <v>58</v>
      </c>
      <c r="O1038" s="10" t="n">
        <f aca="false">'Exec Summary'!$E$2-H1038</f>
        <v>47</v>
      </c>
      <c r="P1038" s="10" t="str">
        <f aca="false">IF(I1038="","",I1038-H1038)</f>
        <v/>
      </c>
      <c r="Q1038" s="10" t="n">
        <f aca="false">VLOOKUP(G1038,$AA$2:$AB$5,2,FALSE())</f>
        <v>15</v>
      </c>
      <c r="R1038" s="7" t="n">
        <f aca="false">IF(OR(F1038="Open",F1038="Reopened"),1,0)</f>
        <v>1</v>
      </c>
      <c r="S1038" s="7" t="n">
        <f aca="false">IF(AND(H1038&gt;='Exec Summary'!$E$1,H1038&lt;='Exec Summary'!$E$2),1,0)</f>
        <v>0</v>
      </c>
      <c r="T1038" s="7" t="n">
        <f aca="false">IF(AND(F1038="Closed",I1038&lt;&gt;"",I1038&gt;='Exec Summary'!$E$1,I1038&lt;='Exec Summary'!$E$2),1,0)</f>
        <v>0</v>
      </c>
      <c r="U1038" s="7" t="n">
        <f aca="false">IF(F1038="Reopened",1,0)</f>
        <v>0</v>
      </c>
      <c r="V1038" s="7" t="n">
        <f aca="false">IF(AND(R1038=1,O1038&gt;Q1038),1,0)</f>
        <v>1</v>
      </c>
      <c r="W1038" s="7" t="n">
        <f aca="false">IF(AND(T1038=1,P1038&lt;&gt;"",P1038&lt;=Q1038),1,0)</f>
        <v>0</v>
      </c>
    </row>
    <row r="1039" customFormat="false" ht="15" hidden="false" customHeight="false" outlineLevel="0" collapsed="false">
      <c r="A1039" s="7" t="s">
        <v>1298</v>
      </c>
      <c r="B1039" s="7" t="s">
        <v>46</v>
      </c>
      <c r="C1039" s="7" t="s">
        <v>128</v>
      </c>
      <c r="D1039" s="7" t="s">
        <v>192</v>
      </c>
      <c r="E1039" s="7" t="s">
        <v>193</v>
      </c>
      <c r="F1039" s="7" t="s">
        <v>50</v>
      </c>
      <c r="G1039" s="7" t="s">
        <v>19</v>
      </c>
      <c r="H1039" s="9" t="n">
        <v>46026</v>
      </c>
      <c r="I1039" s="9" t="n">
        <v>46027</v>
      </c>
      <c r="J1039" s="7" t="n">
        <v>9.8</v>
      </c>
      <c r="K1039" s="7" t="s">
        <v>1184</v>
      </c>
      <c r="L1039" s="7" t="s">
        <v>22</v>
      </c>
      <c r="M1039" s="7" t="s">
        <v>1300</v>
      </c>
      <c r="N1039" s="7" t="s">
        <v>58</v>
      </c>
      <c r="O1039" s="10" t="n">
        <f aca="false">'Exec Summary'!$E$2-H1039</f>
        <v>208</v>
      </c>
      <c r="P1039" s="10" t="n">
        <f aca="false">IF(I1039="","",I1039-H1039)</f>
        <v>1</v>
      </c>
      <c r="Q1039" s="10" t="n">
        <f aca="false">VLOOKUP(G1039,$AA$2:$AB$5,2,FALSE())</f>
        <v>15</v>
      </c>
      <c r="R1039" s="7" t="n">
        <f aca="false">IF(OR(F1039="Open",F1039="Reopened"),1,0)</f>
        <v>0</v>
      </c>
      <c r="S1039" s="7" t="n">
        <f aca="false">IF(AND(H1039&gt;='Exec Summary'!$E$1,H1039&lt;='Exec Summary'!$E$2),1,0)</f>
        <v>0</v>
      </c>
      <c r="T1039" s="7" t="n">
        <f aca="false">IF(AND(F1039="Closed",I1039&lt;&gt;"",I1039&gt;='Exec Summary'!$E$1,I1039&lt;='Exec Summary'!$E$2),1,0)</f>
        <v>0</v>
      </c>
      <c r="U1039" s="7" t="n">
        <f aca="false">IF(F1039="Reopened",1,0)</f>
        <v>0</v>
      </c>
      <c r="V1039" s="7" t="n">
        <f aca="false">IF(AND(R1039=1,O1039&gt;Q1039),1,0)</f>
        <v>0</v>
      </c>
      <c r="W1039" s="7" t="n">
        <f aca="false">IF(AND(T1039=1,P1039&lt;&gt;"",P1039&lt;=Q1039),1,0)</f>
        <v>0</v>
      </c>
    </row>
    <row r="1040" customFormat="false" ht="15" hidden="false" customHeight="false" outlineLevel="0" collapsed="false">
      <c r="A1040" s="7" t="s">
        <v>1298</v>
      </c>
      <c r="B1040" s="7" t="s">
        <v>46</v>
      </c>
      <c r="C1040" s="7" t="s">
        <v>128</v>
      </c>
      <c r="D1040" s="7" t="s">
        <v>74</v>
      </c>
      <c r="E1040" s="7" t="s">
        <v>75</v>
      </c>
      <c r="F1040" s="7" t="s">
        <v>56</v>
      </c>
      <c r="G1040" s="7" t="s">
        <v>21</v>
      </c>
      <c r="H1040" s="9" t="n">
        <v>46109</v>
      </c>
      <c r="I1040" s="9"/>
      <c r="J1040" s="7" t="n">
        <v>6.5</v>
      </c>
      <c r="K1040" s="7" t="s">
        <v>1184</v>
      </c>
      <c r="L1040" s="7" t="s">
        <v>22</v>
      </c>
      <c r="M1040" s="7" t="s">
        <v>1301</v>
      </c>
      <c r="N1040" s="7" t="s">
        <v>77</v>
      </c>
      <c r="O1040" s="10" t="n">
        <f aca="false">'Exec Summary'!$E$2-H1040</f>
        <v>125</v>
      </c>
      <c r="P1040" s="10" t="str">
        <f aca="false">IF(I1040="","",I1040-H1040)</f>
        <v/>
      </c>
      <c r="Q1040" s="10" t="n">
        <f aca="false">VLOOKUP(G1040,$AA$2:$AB$5,2,FALSE())</f>
        <v>90</v>
      </c>
      <c r="R1040" s="7" t="n">
        <f aca="false">IF(OR(F1040="Open",F1040="Reopened"),1,0)</f>
        <v>1</v>
      </c>
      <c r="S1040" s="7" t="n">
        <f aca="false">IF(AND(H1040&gt;='Exec Summary'!$E$1,H1040&lt;='Exec Summary'!$E$2),1,0)</f>
        <v>0</v>
      </c>
      <c r="T1040" s="7" t="n">
        <f aca="false">IF(AND(F1040="Closed",I1040&lt;&gt;"",I1040&gt;='Exec Summary'!$E$1,I1040&lt;='Exec Summary'!$E$2),1,0)</f>
        <v>0</v>
      </c>
      <c r="U1040" s="7" t="n">
        <f aca="false">IF(F1040="Reopened",1,0)</f>
        <v>0</v>
      </c>
      <c r="V1040" s="7" t="n">
        <f aca="false">IF(AND(R1040=1,O1040&gt;Q1040),1,0)</f>
        <v>1</v>
      </c>
      <c r="W1040" s="7" t="n">
        <f aca="false">IF(AND(T1040=1,P1040&lt;&gt;"",P1040&lt;=Q1040),1,0)</f>
        <v>0</v>
      </c>
    </row>
    <row r="1041" customFormat="false" ht="15" hidden="false" customHeight="false" outlineLevel="0" collapsed="false">
      <c r="A1041" s="7" t="s">
        <v>1298</v>
      </c>
      <c r="B1041" s="7" t="s">
        <v>46</v>
      </c>
      <c r="C1041" s="7" t="s">
        <v>128</v>
      </c>
      <c r="D1041" s="7" t="s">
        <v>54</v>
      </c>
      <c r="E1041" s="7" t="s">
        <v>55</v>
      </c>
      <c r="F1041" s="7" t="s">
        <v>50</v>
      </c>
      <c r="G1041" s="7" t="s">
        <v>19</v>
      </c>
      <c r="H1041" s="9" t="n">
        <v>46106</v>
      </c>
      <c r="I1041" s="9" t="n">
        <v>46107</v>
      </c>
      <c r="J1041" s="7" t="n">
        <v>9.8</v>
      </c>
      <c r="K1041" s="7" t="s">
        <v>1184</v>
      </c>
      <c r="L1041" s="7" t="s">
        <v>22</v>
      </c>
      <c r="M1041" s="7" t="s">
        <v>1302</v>
      </c>
      <c r="N1041" s="7" t="s">
        <v>58</v>
      </c>
      <c r="O1041" s="10" t="n">
        <f aca="false">'Exec Summary'!$E$2-H1041</f>
        <v>128</v>
      </c>
      <c r="P1041" s="10" t="n">
        <f aca="false">IF(I1041="","",I1041-H1041)</f>
        <v>1</v>
      </c>
      <c r="Q1041" s="10" t="n">
        <f aca="false">VLOOKUP(G1041,$AA$2:$AB$5,2,FALSE())</f>
        <v>15</v>
      </c>
      <c r="R1041" s="7" t="n">
        <f aca="false">IF(OR(F1041="Open",F1041="Reopened"),1,0)</f>
        <v>0</v>
      </c>
      <c r="S1041" s="7" t="n">
        <f aca="false">IF(AND(H1041&gt;='Exec Summary'!$E$1,H1041&lt;='Exec Summary'!$E$2),1,0)</f>
        <v>0</v>
      </c>
      <c r="T1041" s="7" t="n">
        <f aca="false">IF(AND(F1041="Closed",I1041&lt;&gt;"",I1041&gt;='Exec Summary'!$E$1,I1041&lt;='Exec Summary'!$E$2),1,0)</f>
        <v>0</v>
      </c>
      <c r="U1041" s="7" t="n">
        <f aca="false">IF(F1041="Reopened",1,0)</f>
        <v>0</v>
      </c>
      <c r="V1041" s="7" t="n">
        <f aca="false">IF(AND(R1041=1,O1041&gt;Q1041),1,0)</f>
        <v>0</v>
      </c>
      <c r="W1041" s="7" t="n">
        <f aca="false">IF(AND(T1041=1,P1041&lt;&gt;"",P1041&lt;=Q1041),1,0)</f>
        <v>0</v>
      </c>
    </row>
    <row r="1042" customFormat="false" ht="15" hidden="false" customHeight="false" outlineLevel="0" collapsed="false">
      <c r="A1042" s="7" t="s">
        <v>1298</v>
      </c>
      <c r="B1042" s="7" t="s">
        <v>46</v>
      </c>
      <c r="C1042" s="7" t="s">
        <v>128</v>
      </c>
      <c r="D1042" s="7" t="s">
        <v>108</v>
      </c>
      <c r="E1042" s="7" t="s">
        <v>109</v>
      </c>
      <c r="F1042" s="7" t="s">
        <v>50</v>
      </c>
      <c r="G1042" s="7" t="s">
        <v>20</v>
      </c>
      <c r="H1042" s="9" t="n">
        <v>46009</v>
      </c>
      <c r="I1042" s="9" t="n">
        <v>46034</v>
      </c>
      <c r="J1042" s="7" t="n">
        <v>8.6</v>
      </c>
      <c r="K1042" s="7" t="s">
        <v>1184</v>
      </c>
      <c r="L1042" s="7" t="s">
        <v>22</v>
      </c>
      <c r="M1042" s="7" t="s">
        <v>1303</v>
      </c>
      <c r="N1042" s="7" t="s">
        <v>53</v>
      </c>
      <c r="O1042" s="10" t="n">
        <f aca="false">'Exec Summary'!$E$2-H1042</f>
        <v>225</v>
      </c>
      <c r="P1042" s="10" t="n">
        <f aca="false">IF(I1042="","",I1042-H1042)</f>
        <v>25</v>
      </c>
      <c r="Q1042" s="10" t="n">
        <f aca="false">VLOOKUP(G1042,$AA$2:$AB$5,2,FALSE())</f>
        <v>30</v>
      </c>
      <c r="R1042" s="7" t="n">
        <f aca="false">IF(OR(F1042="Open",F1042="Reopened"),1,0)</f>
        <v>0</v>
      </c>
      <c r="S1042" s="7" t="n">
        <f aca="false">IF(AND(H1042&gt;='Exec Summary'!$E$1,H1042&lt;='Exec Summary'!$E$2),1,0)</f>
        <v>0</v>
      </c>
      <c r="T1042" s="7" t="n">
        <f aca="false">IF(AND(F1042="Closed",I1042&lt;&gt;"",I1042&gt;='Exec Summary'!$E$1,I1042&lt;='Exec Summary'!$E$2),1,0)</f>
        <v>0</v>
      </c>
      <c r="U1042" s="7" t="n">
        <f aca="false">IF(F1042="Reopened",1,0)</f>
        <v>0</v>
      </c>
      <c r="V1042" s="7" t="n">
        <f aca="false">IF(AND(R1042=1,O1042&gt;Q1042),1,0)</f>
        <v>0</v>
      </c>
      <c r="W1042" s="7" t="n">
        <f aca="false">IF(AND(T1042=1,P1042&lt;&gt;"",P1042&lt;=Q1042),1,0)</f>
        <v>0</v>
      </c>
    </row>
    <row r="1043" customFormat="false" ht="15" hidden="false" customHeight="false" outlineLevel="0" collapsed="false">
      <c r="A1043" s="7" t="s">
        <v>1298</v>
      </c>
      <c r="B1043" s="7" t="s">
        <v>46</v>
      </c>
      <c r="C1043" s="7" t="s">
        <v>128</v>
      </c>
      <c r="D1043" s="7" t="s">
        <v>65</v>
      </c>
      <c r="E1043" s="7" t="s">
        <v>66</v>
      </c>
      <c r="F1043" s="7" t="s">
        <v>50</v>
      </c>
      <c r="G1043" s="7" t="s">
        <v>19</v>
      </c>
      <c r="H1043" s="9" t="n">
        <v>46074</v>
      </c>
      <c r="I1043" s="9" t="n">
        <v>46101</v>
      </c>
      <c r="J1043" s="7" t="n">
        <v>9.8</v>
      </c>
      <c r="K1043" s="7" t="s">
        <v>1184</v>
      </c>
      <c r="L1043" s="7" t="s">
        <v>22</v>
      </c>
      <c r="M1043" s="7" t="s">
        <v>1304</v>
      </c>
      <c r="N1043" s="7" t="s">
        <v>58</v>
      </c>
      <c r="O1043" s="10" t="n">
        <f aca="false">'Exec Summary'!$E$2-H1043</f>
        <v>160</v>
      </c>
      <c r="P1043" s="10" t="n">
        <f aca="false">IF(I1043="","",I1043-H1043)</f>
        <v>27</v>
      </c>
      <c r="Q1043" s="10" t="n">
        <f aca="false">VLOOKUP(G1043,$AA$2:$AB$5,2,FALSE())</f>
        <v>15</v>
      </c>
      <c r="R1043" s="7" t="n">
        <f aca="false">IF(OR(F1043="Open",F1043="Reopened"),1,0)</f>
        <v>0</v>
      </c>
      <c r="S1043" s="7" t="n">
        <f aca="false">IF(AND(H1043&gt;='Exec Summary'!$E$1,H1043&lt;='Exec Summary'!$E$2),1,0)</f>
        <v>0</v>
      </c>
      <c r="T1043" s="7" t="n">
        <f aca="false">IF(AND(F1043="Closed",I1043&lt;&gt;"",I1043&gt;='Exec Summary'!$E$1,I1043&lt;='Exec Summary'!$E$2),1,0)</f>
        <v>0</v>
      </c>
      <c r="U1043" s="7" t="n">
        <f aca="false">IF(F1043="Reopened",1,0)</f>
        <v>0</v>
      </c>
      <c r="V1043" s="7" t="n">
        <f aca="false">IF(AND(R1043=1,O1043&gt;Q1043),1,0)</f>
        <v>0</v>
      </c>
      <c r="W1043" s="7" t="n">
        <f aca="false">IF(AND(T1043=1,P1043&lt;&gt;"",P1043&lt;=Q1043),1,0)</f>
        <v>0</v>
      </c>
    </row>
    <row r="1044" customFormat="false" ht="15" hidden="false" customHeight="false" outlineLevel="0" collapsed="false">
      <c r="A1044" s="7" t="s">
        <v>1305</v>
      </c>
      <c r="B1044" s="7" t="s">
        <v>46</v>
      </c>
      <c r="C1044" s="7" t="s">
        <v>158</v>
      </c>
      <c r="D1044" s="7" t="s">
        <v>112</v>
      </c>
      <c r="E1044" s="7" t="s">
        <v>113</v>
      </c>
      <c r="F1044" s="7" t="s">
        <v>56</v>
      </c>
      <c r="G1044" s="7" t="s">
        <v>20</v>
      </c>
      <c r="H1044" s="9" t="n">
        <v>46095</v>
      </c>
      <c r="I1044" s="9"/>
      <c r="J1044" s="7" t="n">
        <v>7.8</v>
      </c>
      <c r="K1044" s="7" t="s">
        <v>1184</v>
      </c>
      <c r="L1044" s="7" t="s">
        <v>20</v>
      </c>
      <c r="M1044" s="7" t="s">
        <v>1306</v>
      </c>
      <c r="N1044" s="7" t="s">
        <v>53</v>
      </c>
      <c r="O1044" s="10" t="n">
        <f aca="false">'Exec Summary'!$E$2-H1044</f>
        <v>139</v>
      </c>
      <c r="P1044" s="10" t="str">
        <f aca="false">IF(I1044="","",I1044-H1044)</f>
        <v/>
      </c>
      <c r="Q1044" s="10" t="n">
        <f aca="false">VLOOKUP(G1044,$AA$2:$AB$5,2,FALSE())</f>
        <v>30</v>
      </c>
      <c r="R1044" s="7" t="n">
        <f aca="false">IF(OR(F1044="Open",F1044="Reopened"),1,0)</f>
        <v>1</v>
      </c>
      <c r="S1044" s="7" t="n">
        <f aca="false">IF(AND(H1044&gt;='Exec Summary'!$E$1,H1044&lt;='Exec Summary'!$E$2),1,0)</f>
        <v>0</v>
      </c>
      <c r="T1044" s="7" t="n">
        <f aca="false">IF(AND(F1044="Closed",I1044&lt;&gt;"",I1044&gt;='Exec Summary'!$E$1,I1044&lt;='Exec Summary'!$E$2),1,0)</f>
        <v>0</v>
      </c>
      <c r="U1044" s="7" t="n">
        <f aca="false">IF(F1044="Reopened",1,0)</f>
        <v>0</v>
      </c>
      <c r="V1044" s="7" t="n">
        <f aca="false">IF(AND(R1044=1,O1044&gt;Q1044),1,0)</f>
        <v>1</v>
      </c>
      <c r="W1044" s="7" t="n">
        <f aca="false">IF(AND(T1044=1,P1044&lt;&gt;"",P1044&lt;=Q1044),1,0)</f>
        <v>0</v>
      </c>
    </row>
    <row r="1045" customFormat="false" ht="15" hidden="false" customHeight="false" outlineLevel="0" collapsed="false">
      <c r="A1045" s="7" t="s">
        <v>1305</v>
      </c>
      <c r="B1045" s="7" t="s">
        <v>46</v>
      </c>
      <c r="C1045" s="7" t="s">
        <v>158</v>
      </c>
      <c r="D1045" s="7" t="s">
        <v>192</v>
      </c>
      <c r="E1045" s="7" t="s">
        <v>193</v>
      </c>
      <c r="F1045" s="7" t="s">
        <v>50</v>
      </c>
      <c r="G1045" s="7" t="s">
        <v>19</v>
      </c>
      <c r="H1045" s="9" t="n">
        <v>46164</v>
      </c>
      <c r="I1045" s="9" t="n">
        <v>46165</v>
      </c>
      <c r="J1045" s="7" t="n">
        <v>9.8</v>
      </c>
      <c r="K1045" s="7" t="s">
        <v>1184</v>
      </c>
      <c r="L1045" s="7" t="s">
        <v>20</v>
      </c>
      <c r="M1045" s="7" t="s">
        <v>1307</v>
      </c>
      <c r="N1045" s="7" t="s">
        <v>58</v>
      </c>
      <c r="O1045" s="10" t="n">
        <f aca="false">'Exec Summary'!$E$2-H1045</f>
        <v>70</v>
      </c>
      <c r="P1045" s="10" t="n">
        <f aca="false">IF(I1045="","",I1045-H1045)</f>
        <v>1</v>
      </c>
      <c r="Q1045" s="10" t="n">
        <f aca="false">VLOOKUP(G1045,$AA$2:$AB$5,2,FALSE())</f>
        <v>15</v>
      </c>
      <c r="R1045" s="7" t="n">
        <f aca="false">IF(OR(F1045="Open",F1045="Reopened"),1,0)</f>
        <v>0</v>
      </c>
      <c r="S1045" s="7" t="n">
        <f aca="false">IF(AND(H1045&gt;='Exec Summary'!$E$1,H1045&lt;='Exec Summary'!$E$2),1,0)</f>
        <v>0</v>
      </c>
      <c r="T1045" s="7" t="n">
        <f aca="false">IF(AND(F1045="Closed",I1045&lt;&gt;"",I1045&gt;='Exec Summary'!$E$1,I1045&lt;='Exec Summary'!$E$2),1,0)</f>
        <v>0</v>
      </c>
      <c r="U1045" s="7" t="n">
        <f aca="false">IF(F1045="Reopened",1,0)</f>
        <v>0</v>
      </c>
      <c r="V1045" s="7" t="n">
        <f aca="false">IF(AND(R1045=1,O1045&gt;Q1045),1,0)</f>
        <v>0</v>
      </c>
      <c r="W1045" s="7" t="n">
        <f aca="false">IF(AND(T1045=1,P1045&lt;&gt;"",P1045&lt;=Q1045),1,0)</f>
        <v>0</v>
      </c>
    </row>
    <row r="1046" customFormat="false" ht="15" hidden="false" customHeight="false" outlineLevel="0" collapsed="false">
      <c r="A1046" s="7" t="s">
        <v>1305</v>
      </c>
      <c r="B1046" s="7" t="s">
        <v>46</v>
      </c>
      <c r="C1046" s="7" t="s">
        <v>158</v>
      </c>
      <c r="D1046" s="7" t="s">
        <v>87</v>
      </c>
      <c r="E1046" s="7" t="s">
        <v>88</v>
      </c>
      <c r="F1046" s="7" t="s">
        <v>56</v>
      </c>
      <c r="G1046" s="7" t="s">
        <v>19</v>
      </c>
      <c r="H1046" s="9" t="n">
        <v>46051</v>
      </c>
      <c r="I1046" s="9"/>
      <c r="J1046" s="7" t="n">
        <v>10</v>
      </c>
      <c r="K1046" s="7" t="s">
        <v>1184</v>
      </c>
      <c r="L1046" s="7" t="s">
        <v>20</v>
      </c>
      <c r="M1046" s="7" t="s">
        <v>1308</v>
      </c>
      <c r="N1046" s="7" t="s">
        <v>58</v>
      </c>
      <c r="O1046" s="10" t="n">
        <f aca="false">'Exec Summary'!$E$2-H1046</f>
        <v>183</v>
      </c>
      <c r="P1046" s="10" t="str">
        <f aca="false">IF(I1046="","",I1046-H1046)</f>
        <v/>
      </c>
      <c r="Q1046" s="10" t="n">
        <f aca="false">VLOOKUP(G1046,$AA$2:$AB$5,2,FALSE())</f>
        <v>15</v>
      </c>
      <c r="R1046" s="7" t="n">
        <f aca="false">IF(OR(F1046="Open",F1046="Reopened"),1,0)</f>
        <v>1</v>
      </c>
      <c r="S1046" s="7" t="n">
        <f aca="false">IF(AND(H1046&gt;='Exec Summary'!$E$1,H1046&lt;='Exec Summary'!$E$2),1,0)</f>
        <v>0</v>
      </c>
      <c r="T1046" s="7" t="n">
        <f aca="false">IF(AND(F1046="Closed",I1046&lt;&gt;"",I1046&gt;='Exec Summary'!$E$1,I1046&lt;='Exec Summary'!$E$2),1,0)</f>
        <v>0</v>
      </c>
      <c r="U1046" s="7" t="n">
        <f aca="false">IF(F1046="Reopened",1,0)</f>
        <v>0</v>
      </c>
      <c r="V1046" s="7" t="n">
        <f aca="false">IF(AND(R1046=1,O1046&gt;Q1046),1,0)</f>
        <v>1</v>
      </c>
      <c r="W1046" s="7" t="n">
        <f aca="false">IF(AND(T1046=1,P1046&lt;&gt;"",P1046&lt;=Q1046),1,0)</f>
        <v>0</v>
      </c>
    </row>
    <row r="1047" customFormat="false" ht="15" hidden="false" customHeight="false" outlineLevel="0" collapsed="false">
      <c r="A1047" s="7" t="s">
        <v>1305</v>
      </c>
      <c r="B1047" s="7" t="s">
        <v>46</v>
      </c>
      <c r="C1047" s="7" t="s">
        <v>158</v>
      </c>
      <c r="D1047" s="7" t="s">
        <v>163</v>
      </c>
      <c r="E1047" s="7" t="s">
        <v>164</v>
      </c>
      <c r="F1047" s="7" t="s">
        <v>50</v>
      </c>
      <c r="G1047" s="7" t="s">
        <v>19</v>
      </c>
      <c r="H1047" s="9" t="n">
        <v>46136</v>
      </c>
      <c r="I1047" s="9" t="n">
        <v>46145</v>
      </c>
      <c r="J1047" s="7" t="n">
        <v>9.1</v>
      </c>
      <c r="K1047" s="7" t="s">
        <v>1184</v>
      </c>
      <c r="L1047" s="7" t="s">
        <v>20</v>
      </c>
      <c r="M1047" s="7" t="s">
        <v>1309</v>
      </c>
      <c r="N1047" s="7" t="s">
        <v>58</v>
      </c>
      <c r="O1047" s="10" t="n">
        <f aca="false">'Exec Summary'!$E$2-H1047</f>
        <v>98</v>
      </c>
      <c r="P1047" s="10" t="n">
        <f aca="false">IF(I1047="","",I1047-H1047)</f>
        <v>9</v>
      </c>
      <c r="Q1047" s="10" t="n">
        <f aca="false">VLOOKUP(G1047,$AA$2:$AB$5,2,FALSE())</f>
        <v>15</v>
      </c>
      <c r="R1047" s="7" t="n">
        <f aca="false">IF(OR(F1047="Open",F1047="Reopened"),1,0)</f>
        <v>0</v>
      </c>
      <c r="S1047" s="7" t="n">
        <f aca="false">IF(AND(H1047&gt;='Exec Summary'!$E$1,H1047&lt;='Exec Summary'!$E$2),1,0)</f>
        <v>0</v>
      </c>
      <c r="T1047" s="7" t="n">
        <f aca="false">IF(AND(F1047="Closed",I1047&lt;&gt;"",I1047&gt;='Exec Summary'!$E$1,I1047&lt;='Exec Summary'!$E$2),1,0)</f>
        <v>0</v>
      </c>
      <c r="U1047" s="7" t="n">
        <f aca="false">IF(F1047="Reopened",1,0)</f>
        <v>0</v>
      </c>
      <c r="V1047" s="7" t="n">
        <f aca="false">IF(AND(R1047=1,O1047&gt;Q1047),1,0)</f>
        <v>0</v>
      </c>
      <c r="W1047" s="7" t="n">
        <f aca="false">IF(AND(T1047=1,P1047&lt;&gt;"",P1047&lt;=Q1047),1,0)</f>
        <v>0</v>
      </c>
    </row>
    <row r="1048" customFormat="false" ht="15" hidden="false" customHeight="false" outlineLevel="0" collapsed="false">
      <c r="A1048" s="7" t="s">
        <v>1305</v>
      </c>
      <c r="B1048" s="7" t="s">
        <v>46</v>
      </c>
      <c r="C1048" s="7" t="s">
        <v>158</v>
      </c>
      <c r="D1048" s="7" t="s">
        <v>101</v>
      </c>
      <c r="E1048" s="7" t="s">
        <v>102</v>
      </c>
      <c r="F1048" s="7" t="s">
        <v>50</v>
      </c>
      <c r="G1048" s="7" t="s">
        <v>19</v>
      </c>
      <c r="H1048" s="9" t="n">
        <v>46056</v>
      </c>
      <c r="I1048" s="9" t="n">
        <v>46066</v>
      </c>
      <c r="J1048" s="7" t="n">
        <v>10</v>
      </c>
      <c r="K1048" s="7" t="s">
        <v>1184</v>
      </c>
      <c r="L1048" s="7" t="s">
        <v>20</v>
      </c>
      <c r="M1048" s="7" t="s">
        <v>1310</v>
      </c>
      <c r="N1048" s="7" t="s">
        <v>58</v>
      </c>
      <c r="O1048" s="10" t="n">
        <f aca="false">'Exec Summary'!$E$2-H1048</f>
        <v>178</v>
      </c>
      <c r="P1048" s="10" t="n">
        <f aca="false">IF(I1048="","",I1048-H1048)</f>
        <v>10</v>
      </c>
      <c r="Q1048" s="10" t="n">
        <f aca="false">VLOOKUP(G1048,$AA$2:$AB$5,2,FALSE())</f>
        <v>15</v>
      </c>
      <c r="R1048" s="7" t="n">
        <f aca="false">IF(OR(F1048="Open",F1048="Reopened"),1,0)</f>
        <v>0</v>
      </c>
      <c r="S1048" s="7" t="n">
        <f aca="false">IF(AND(H1048&gt;='Exec Summary'!$E$1,H1048&lt;='Exec Summary'!$E$2),1,0)</f>
        <v>0</v>
      </c>
      <c r="T1048" s="7" t="n">
        <f aca="false">IF(AND(F1048="Closed",I1048&lt;&gt;"",I1048&gt;='Exec Summary'!$E$1,I1048&lt;='Exec Summary'!$E$2),1,0)</f>
        <v>0</v>
      </c>
      <c r="U1048" s="7" t="n">
        <f aca="false">IF(F1048="Reopened",1,0)</f>
        <v>0</v>
      </c>
      <c r="V1048" s="7" t="n">
        <f aca="false">IF(AND(R1048=1,O1048&gt;Q1048),1,0)</f>
        <v>0</v>
      </c>
      <c r="W1048" s="7" t="n">
        <f aca="false">IF(AND(T1048=1,P1048&lt;&gt;"",P1048&lt;=Q1048),1,0)</f>
        <v>0</v>
      </c>
    </row>
    <row r="1049" customFormat="false" ht="15" hidden="false" customHeight="false" outlineLevel="0" collapsed="false">
      <c r="A1049" s="7" t="s">
        <v>1305</v>
      </c>
      <c r="B1049" s="7" t="s">
        <v>46</v>
      </c>
      <c r="C1049" s="7" t="s">
        <v>158</v>
      </c>
      <c r="D1049" s="7" t="s">
        <v>62</v>
      </c>
      <c r="E1049" s="7" t="s">
        <v>63</v>
      </c>
      <c r="F1049" s="7" t="s">
        <v>123</v>
      </c>
      <c r="G1049" s="7" t="s">
        <v>20</v>
      </c>
      <c r="H1049" s="9" t="n">
        <v>46074</v>
      </c>
      <c r="I1049" s="9" t="n">
        <v>46122</v>
      </c>
      <c r="J1049" s="7" t="n">
        <v>8.1</v>
      </c>
      <c r="K1049" s="7" t="s">
        <v>1184</v>
      </c>
      <c r="L1049" s="7" t="s">
        <v>20</v>
      </c>
      <c r="M1049" s="7" t="s">
        <v>1311</v>
      </c>
      <c r="N1049" s="7" t="s">
        <v>53</v>
      </c>
      <c r="O1049" s="10" t="n">
        <f aca="false">'Exec Summary'!$E$2-H1049</f>
        <v>160</v>
      </c>
      <c r="P1049" s="10" t="n">
        <f aca="false">IF(I1049="","",I1049-H1049)</f>
        <v>48</v>
      </c>
      <c r="Q1049" s="10" t="n">
        <f aca="false">VLOOKUP(G1049,$AA$2:$AB$5,2,FALSE())</f>
        <v>30</v>
      </c>
      <c r="R1049" s="7" t="n">
        <f aca="false">IF(OR(F1049="Open",F1049="Reopened"),1,0)</f>
        <v>1</v>
      </c>
      <c r="S1049" s="7" t="n">
        <f aca="false">IF(AND(H1049&gt;='Exec Summary'!$E$1,H1049&lt;='Exec Summary'!$E$2),1,0)</f>
        <v>0</v>
      </c>
      <c r="T1049" s="7" t="n">
        <f aca="false">IF(AND(F1049="Closed",I1049&lt;&gt;"",I1049&gt;='Exec Summary'!$E$1,I1049&lt;='Exec Summary'!$E$2),1,0)</f>
        <v>0</v>
      </c>
      <c r="U1049" s="7" t="n">
        <f aca="false">IF(F1049="Reopened",1,0)</f>
        <v>1</v>
      </c>
      <c r="V1049" s="7" t="n">
        <f aca="false">IF(AND(R1049=1,O1049&gt;Q1049),1,0)</f>
        <v>1</v>
      </c>
      <c r="W1049" s="7" t="n">
        <f aca="false">IF(AND(T1049=1,P1049&lt;&gt;"",P1049&lt;=Q1049),1,0)</f>
        <v>0</v>
      </c>
    </row>
    <row r="1050" customFormat="false" ht="15" hidden="false" customHeight="false" outlineLevel="0" collapsed="false">
      <c r="A1050" s="7" t="s">
        <v>1305</v>
      </c>
      <c r="B1050" s="7" t="s">
        <v>46</v>
      </c>
      <c r="C1050" s="7" t="s">
        <v>158</v>
      </c>
      <c r="D1050" s="7" t="s">
        <v>71</v>
      </c>
      <c r="E1050" s="7" t="s">
        <v>72</v>
      </c>
      <c r="F1050" s="7" t="s">
        <v>50</v>
      </c>
      <c r="G1050" s="7" t="s">
        <v>19</v>
      </c>
      <c r="H1050" s="9" t="n">
        <v>45960</v>
      </c>
      <c r="I1050" s="9" t="n">
        <v>45961</v>
      </c>
      <c r="J1050" s="7" t="n">
        <v>9.8</v>
      </c>
      <c r="K1050" s="7" t="s">
        <v>1184</v>
      </c>
      <c r="L1050" s="7" t="s">
        <v>20</v>
      </c>
      <c r="M1050" s="7" t="s">
        <v>1312</v>
      </c>
      <c r="N1050" s="7" t="s">
        <v>58</v>
      </c>
      <c r="O1050" s="10" t="n">
        <f aca="false">'Exec Summary'!$E$2-H1050</f>
        <v>274</v>
      </c>
      <c r="P1050" s="10" t="n">
        <f aca="false">IF(I1050="","",I1050-H1050)</f>
        <v>1</v>
      </c>
      <c r="Q1050" s="10" t="n">
        <f aca="false">VLOOKUP(G1050,$AA$2:$AB$5,2,FALSE())</f>
        <v>15</v>
      </c>
      <c r="R1050" s="7" t="n">
        <f aca="false">IF(OR(F1050="Open",F1050="Reopened"),1,0)</f>
        <v>0</v>
      </c>
      <c r="S1050" s="7" t="n">
        <f aca="false">IF(AND(H1050&gt;='Exec Summary'!$E$1,H1050&lt;='Exec Summary'!$E$2),1,0)</f>
        <v>0</v>
      </c>
      <c r="T1050" s="7" t="n">
        <f aca="false">IF(AND(F1050="Closed",I1050&lt;&gt;"",I1050&gt;='Exec Summary'!$E$1,I1050&lt;='Exec Summary'!$E$2),1,0)</f>
        <v>0</v>
      </c>
      <c r="U1050" s="7" t="n">
        <f aca="false">IF(F1050="Reopened",1,0)</f>
        <v>0</v>
      </c>
      <c r="V1050" s="7" t="n">
        <f aca="false">IF(AND(R1050=1,O1050&gt;Q1050),1,0)</f>
        <v>0</v>
      </c>
      <c r="W1050" s="7" t="n">
        <f aca="false">IF(AND(T1050=1,P1050&lt;&gt;"",P1050&lt;=Q1050),1,0)</f>
        <v>0</v>
      </c>
    </row>
    <row r="1051" customFormat="false" ht="15" hidden="false" customHeight="false" outlineLevel="0" collapsed="false">
      <c r="A1051" s="7" t="s">
        <v>1305</v>
      </c>
      <c r="B1051" s="7" t="s">
        <v>46</v>
      </c>
      <c r="C1051" s="7" t="s">
        <v>158</v>
      </c>
      <c r="D1051" s="7" t="s">
        <v>104</v>
      </c>
      <c r="E1051" s="7" t="s">
        <v>105</v>
      </c>
      <c r="F1051" s="7" t="s">
        <v>50</v>
      </c>
      <c r="G1051" s="7" t="s">
        <v>19</v>
      </c>
      <c r="H1051" s="9" t="n">
        <v>46216</v>
      </c>
      <c r="I1051" s="9" t="n">
        <v>46230</v>
      </c>
      <c r="J1051" s="7" t="n">
        <v>9.8</v>
      </c>
      <c r="K1051" s="7" t="s">
        <v>1184</v>
      </c>
      <c r="L1051" s="7" t="s">
        <v>20</v>
      </c>
      <c r="M1051" s="7" t="s">
        <v>1313</v>
      </c>
      <c r="N1051" s="7" t="s">
        <v>58</v>
      </c>
      <c r="O1051" s="10" t="n">
        <f aca="false">'Exec Summary'!$E$2-H1051</f>
        <v>18</v>
      </c>
      <c r="P1051" s="10" t="n">
        <f aca="false">IF(I1051="","",I1051-H1051)</f>
        <v>14</v>
      </c>
      <c r="Q1051" s="10" t="n">
        <f aca="false">VLOOKUP(G1051,$AA$2:$AB$5,2,FALSE())</f>
        <v>15</v>
      </c>
      <c r="R1051" s="7" t="n">
        <f aca="false">IF(OR(F1051="Open",F1051="Reopened"),1,0)</f>
        <v>0</v>
      </c>
      <c r="S1051" s="7" t="n">
        <f aca="false">IF(AND(H1051&gt;='Exec Summary'!$E$1,H1051&lt;='Exec Summary'!$E$2),1,0)</f>
        <v>1</v>
      </c>
      <c r="T1051" s="7" t="n">
        <f aca="false">IF(AND(F1051="Closed",I1051&lt;&gt;"",I1051&gt;='Exec Summary'!$E$1,I1051&lt;='Exec Summary'!$E$2),1,0)</f>
        <v>1</v>
      </c>
      <c r="U1051" s="7" t="n">
        <f aca="false">IF(F1051="Reopened",1,0)</f>
        <v>0</v>
      </c>
      <c r="V1051" s="7" t="n">
        <f aca="false">IF(AND(R1051=1,O1051&gt;Q1051),1,0)</f>
        <v>0</v>
      </c>
      <c r="W1051" s="7" t="n">
        <f aca="false">IF(AND(T1051=1,P1051&lt;&gt;"",P1051&lt;=Q1051),1,0)</f>
        <v>1</v>
      </c>
    </row>
    <row r="1052" customFormat="false" ht="15" hidden="false" customHeight="false" outlineLevel="0" collapsed="false">
      <c r="A1052" s="7" t="s">
        <v>1305</v>
      </c>
      <c r="B1052" s="7" t="s">
        <v>46</v>
      </c>
      <c r="C1052" s="7" t="s">
        <v>158</v>
      </c>
      <c r="D1052" s="7" t="s">
        <v>84</v>
      </c>
      <c r="E1052" s="7" t="s">
        <v>85</v>
      </c>
      <c r="F1052" s="7" t="s">
        <v>50</v>
      </c>
      <c r="G1052" s="7" t="s">
        <v>20</v>
      </c>
      <c r="H1052" s="9" t="n">
        <v>46024</v>
      </c>
      <c r="I1052" s="9" t="n">
        <v>46053</v>
      </c>
      <c r="J1052" s="7" t="n">
        <v>7.5</v>
      </c>
      <c r="K1052" s="7" t="s">
        <v>1184</v>
      </c>
      <c r="L1052" s="7" t="s">
        <v>20</v>
      </c>
      <c r="M1052" s="7" t="s">
        <v>1314</v>
      </c>
      <c r="N1052" s="7" t="s">
        <v>53</v>
      </c>
      <c r="O1052" s="10" t="n">
        <f aca="false">'Exec Summary'!$E$2-H1052</f>
        <v>210</v>
      </c>
      <c r="P1052" s="10" t="n">
        <f aca="false">IF(I1052="","",I1052-H1052)</f>
        <v>29</v>
      </c>
      <c r="Q1052" s="10" t="n">
        <f aca="false">VLOOKUP(G1052,$AA$2:$AB$5,2,FALSE())</f>
        <v>30</v>
      </c>
      <c r="R1052" s="7" t="n">
        <f aca="false">IF(OR(F1052="Open",F1052="Reopened"),1,0)</f>
        <v>0</v>
      </c>
      <c r="S1052" s="7" t="n">
        <f aca="false">IF(AND(H1052&gt;='Exec Summary'!$E$1,H1052&lt;='Exec Summary'!$E$2),1,0)</f>
        <v>0</v>
      </c>
      <c r="T1052" s="7" t="n">
        <f aca="false">IF(AND(F1052="Closed",I1052&lt;&gt;"",I1052&gt;='Exec Summary'!$E$1,I1052&lt;='Exec Summary'!$E$2),1,0)</f>
        <v>0</v>
      </c>
      <c r="U1052" s="7" t="n">
        <f aca="false">IF(F1052="Reopened",1,0)</f>
        <v>0</v>
      </c>
      <c r="V1052" s="7" t="n">
        <f aca="false">IF(AND(R1052=1,O1052&gt;Q1052),1,0)</f>
        <v>0</v>
      </c>
      <c r="W1052" s="7" t="n">
        <f aca="false">IF(AND(T1052=1,P1052&lt;&gt;"",P1052&lt;=Q1052),1,0)</f>
        <v>0</v>
      </c>
    </row>
    <row r="1053" customFormat="false" ht="15" hidden="false" customHeight="false" outlineLevel="0" collapsed="false">
      <c r="A1053" s="7" t="s">
        <v>1305</v>
      </c>
      <c r="B1053" s="7" t="s">
        <v>46</v>
      </c>
      <c r="C1053" s="7" t="s">
        <v>158</v>
      </c>
      <c r="D1053" s="7" t="s">
        <v>139</v>
      </c>
      <c r="E1053" s="7" t="s">
        <v>140</v>
      </c>
      <c r="F1053" s="7" t="s">
        <v>123</v>
      </c>
      <c r="G1053" s="7" t="s">
        <v>19</v>
      </c>
      <c r="H1053" s="9" t="n">
        <v>45974</v>
      </c>
      <c r="I1053" s="9" t="n">
        <v>45985</v>
      </c>
      <c r="J1053" s="7" t="n">
        <v>9.8</v>
      </c>
      <c r="K1053" s="7" t="s">
        <v>1184</v>
      </c>
      <c r="L1053" s="7" t="s">
        <v>20</v>
      </c>
      <c r="M1053" s="7" t="s">
        <v>1315</v>
      </c>
      <c r="N1053" s="7" t="s">
        <v>58</v>
      </c>
      <c r="O1053" s="10" t="n">
        <f aca="false">'Exec Summary'!$E$2-H1053</f>
        <v>260</v>
      </c>
      <c r="P1053" s="10" t="n">
        <f aca="false">IF(I1053="","",I1053-H1053)</f>
        <v>11</v>
      </c>
      <c r="Q1053" s="10" t="n">
        <f aca="false">VLOOKUP(G1053,$AA$2:$AB$5,2,FALSE())</f>
        <v>15</v>
      </c>
      <c r="R1053" s="7" t="n">
        <f aca="false">IF(OR(F1053="Open",F1053="Reopened"),1,0)</f>
        <v>1</v>
      </c>
      <c r="S1053" s="7" t="n">
        <f aca="false">IF(AND(H1053&gt;='Exec Summary'!$E$1,H1053&lt;='Exec Summary'!$E$2),1,0)</f>
        <v>0</v>
      </c>
      <c r="T1053" s="7" t="n">
        <f aca="false">IF(AND(F1053="Closed",I1053&lt;&gt;"",I1053&gt;='Exec Summary'!$E$1,I1053&lt;='Exec Summary'!$E$2),1,0)</f>
        <v>0</v>
      </c>
      <c r="U1053" s="7" t="n">
        <f aca="false">IF(F1053="Reopened",1,0)</f>
        <v>1</v>
      </c>
      <c r="V1053" s="7" t="n">
        <f aca="false">IF(AND(R1053=1,O1053&gt;Q1053),1,0)</f>
        <v>1</v>
      </c>
      <c r="W1053" s="7" t="n">
        <f aca="false">IF(AND(T1053=1,P1053&lt;&gt;"",P1053&lt;=Q1053),1,0)</f>
        <v>0</v>
      </c>
    </row>
    <row r="1054" customFormat="false" ht="15" hidden="false" customHeight="false" outlineLevel="0" collapsed="false">
      <c r="A1054" s="7" t="s">
        <v>1305</v>
      </c>
      <c r="B1054" s="7" t="s">
        <v>46</v>
      </c>
      <c r="C1054" s="7" t="s">
        <v>158</v>
      </c>
      <c r="D1054" s="7" t="s">
        <v>152</v>
      </c>
      <c r="E1054" s="7" t="s">
        <v>153</v>
      </c>
      <c r="F1054" s="7" t="s">
        <v>56</v>
      </c>
      <c r="G1054" s="7" t="s">
        <v>20</v>
      </c>
      <c r="H1054" s="9" t="n">
        <v>46020</v>
      </c>
      <c r="I1054" s="9"/>
      <c r="J1054" s="7" t="n">
        <v>7.5</v>
      </c>
      <c r="K1054" s="7" t="s">
        <v>1184</v>
      </c>
      <c r="L1054" s="7" t="s">
        <v>20</v>
      </c>
      <c r="M1054" s="7" t="s">
        <v>1316</v>
      </c>
      <c r="N1054" s="7" t="s">
        <v>53</v>
      </c>
      <c r="O1054" s="10" t="n">
        <f aca="false">'Exec Summary'!$E$2-H1054</f>
        <v>214</v>
      </c>
      <c r="P1054" s="10" t="str">
        <f aca="false">IF(I1054="","",I1054-H1054)</f>
        <v/>
      </c>
      <c r="Q1054" s="10" t="n">
        <f aca="false">VLOOKUP(G1054,$AA$2:$AB$5,2,FALSE())</f>
        <v>30</v>
      </c>
      <c r="R1054" s="7" t="n">
        <f aca="false">IF(OR(F1054="Open",F1054="Reopened"),1,0)</f>
        <v>1</v>
      </c>
      <c r="S1054" s="7" t="n">
        <f aca="false">IF(AND(H1054&gt;='Exec Summary'!$E$1,H1054&lt;='Exec Summary'!$E$2),1,0)</f>
        <v>0</v>
      </c>
      <c r="T1054" s="7" t="n">
        <f aca="false">IF(AND(F1054="Closed",I1054&lt;&gt;"",I1054&gt;='Exec Summary'!$E$1,I1054&lt;='Exec Summary'!$E$2),1,0)</f>
        <v>0</v>
      </c>
      <c r="U1054" s="7" t="n">
        <f aca="false">IF(F1054="Reopened",1,0)</f>
        <v>0</v>
      </c>
      <c r="V1054" s="7" t="n">
        <f aca="false">IF(AND(R1054=1,O1054&gt;Q1054),1,0)</f>
        <v>1</v>
      </c>
      <c r="W1054" s="7" t="n">
        <f aca="false">IF(AND(T1054=1,P1054&lt;&gt;"",P1054&lt;=Q1054),1,0)</f>
        <v>0</v>
      </c>
    </row>
    <row r="1055" customFormat="false" ht="15" hidden="false" customHeight="false" outlineLevel="0" collapsed="false">
      <c r="A1055" s="7" t="s">
        <v>1305</v>
      </c>
      <c r="B1055" s="7" t="s">
        <v>46</v>
      </c>
      <c r="C1055" s="7" t="s">
        <v>158</v>
      </c>
      <c r="D1055" s="7" t="s">
        <v>74</v>
      </c>
      <c r="E1055" s="7" t="s">
        <v>75</v>
      </c>
      <c r="F1055" s="7" t="s">
        <v>50</v>
      </c>
      <c r="G1055" s="7" t="s">
        <v>21</v>
      </c>
      <c r="H1055" s="9" t="n">
        <v>46146</v>
      </c>
      <c r="I1055" s="9" t="n">
        <v>46234</v>
      </c>
      <c r="J1055" s="7" t="n">
        <v>6.5</v>
      </c>
      <c r="K1055" s="7" t="s">
        <v>1184</v>
      </c>
      <c r="L1055" s="7" t="s">
        <v>20</v>
      </c>
      <c r="M1055" s="7" t="s">
        <v>1317</v>
      </c>
      <c r="N1055" s="7" t="s">
        <v>77</v>
      </c>
      <c r="O1055" s="10" t="n">
        <f aca="false">'Exec Summary'!$E$2-H1055</f>
        <v>88</v>
      </c>
      <c r="P1055" s="10" t="n">
        <f aca="false">IF(I1055="","",I1055-H1055)</f>
        <v>88</v>
      </c>
      <c r="Q1055" s="10" t="n">
        <f aca="false">VLOOKUP(G1055,$AA$2:$AB$5,2,FALSE())</f>
        <v>90</v>
      </c>
      <c r="R1055" s="7" t="n">
        <f aca="false">IF(OR(F1055="Open",F1055="Reopened"),1,0)</f>
        <v>0</v>
      </c>
      <c r="S1055" s="7" t="n">
        <f aca="false">IF(AND(H1055&gt;='Exec Summary'!$E$1,H1055&lt;='Exec Summary'!$E$2),1,0)</f>
        <v>0</v>
      </c>
      <c r="T1055" s="7" t="n">
        <f aca="false">IF(AND(F1055="Closed",I1055&lt;&gt;"",I1055&gt;='Exec Summary'!$E$1,I1055&lt;='Exec Summary'!$E$2),1,0)</f>
        <v>1</v>
      </c>
      <c r="U1055" s="7" t="n">
        <f aca="false">IF(F1055="Reopened",1,0)</f>
        <v>0</v>
      </c>
      <c r="V1055" s="7" t="n">
        <f aca="false">IF(AND(R1055=1,O1055&gt;Q1055),1,0)</f>
        <v>0</v>
      </c>
      <c r="W1055" s="7" t="n">
        <f aca="false">IF(AND(T1055=1,P1055&lt;&gt;"",P1055&lt;=Q1055),1,0)</f>
        <v>1</v>
      </c>
    </row>
    <row r="1056" customFormat="false" ht="15" hidden="false" customHeight="false" outlineLevel="0" collapsed="false">
      <c r="A1056" s="7" t="s">
        <v>1305</v>
      </c>
      <c r="B1056" s="7" t="s">
        <v>46</v>
      </c>
      <c r="C1056" s="7" t="s">
        <v>158</v>
      </c>
      <c r="D1056" s="7" t="s">
        <v>54</v>
      </c>
      <c r="E1056" s="7" t="s">
        <v>55</v>
      </c>
      <c r="F1056" s="7" t="s">
        <v>50</v>
      </c>
      <c r="G1056" s="7" t="s">
        <v>19</v>
      </c>
      <c r="H1056" s="9" t="n">
        <v>46119</v>
      </c>
      <c r="I1056" s="9" t="n">
        <v>46135</v>
      </c>
      <c r="J1056" s="7" t="n">
        <v>9.8</v>
      </c>
      <c r="K1056" s="7" t="s">
        <v>1184</v>
      </c>
      <c r="L1056" s="7" t="s">
        <v>20</v>
      </c>
      <c r="M1056" s="7" t="s">
        <v>1318</v>
      </c>
      <c r="N1056" s="7" t="s">
        <v>58</v>
      </c>
      <c r="O1056" s="10" t="n">
        <f aca="false">'Exec Summary'!$E$2-H1056</f>
        <v>115</v>
      </c>
      <c r="P1056" s="10" t="n">
        <f aca="false">IF(I1056="","",I1056-H1056)</f>
        <v>16</v>
      </c>
      <c r="Q1056" s="10" t="n">
        <f aca="false">VLOOKUP(G1056,$AA$2:$AB$5,2,FALSE())</f>
        <v>15</v>
      </c>
      <c r="R1056" s="7" t="n">
        <f aca="false">IF(OR(F1056="Open",F1056="Reopened"),1,0)</f>
        <v>0</v>
      </c>
      <c r="S1056" s="7" t="n">
        <f aca="false">IF(AND(H1056&gt;='Exec Summary'!$E$1,H1056&lt;='Exec Summary'!$E$2),1,0)</f>
        <v>0</v>
      </c>
      <c r="T1056" s="7" t="n">
        <f aca="false">IF(AND(F1056="Closed",I1056&lt;&gt;"",I1056&gt;='Exec Summary'!$E$1,I1056&lt;='Exec Summary'!$E$2),1,0)</f>
        <v>0</v>
      </c>
      <c r="U1056" s="7" t="n">
        <f aca="false">IF(F1056="Reopened",1,0)</f>
        <v>0</v>
      </c>
      <c r="V1056" s="7" t="n">
        <f aca="false">IF(AND(R1056=1,O1056&gt;Q1056),1,0)</f>
        <v>0</v>
      </c>
      <c r="W1056" s="7" t="n">
        <f aca="false">IF(AND(T1056=1,P1056&lt;&gt;"",P1056&lt;=Q1056),1,0)</f>
        <v>0</v>
      </c>
    </row>
    <row r="1057" customFormat="false" ht="15" hidden="false" customHeight="false" outlineLevel="0" collapsed="false">
      <c r="A1057" s="7" t="s">
        <v>1319</v>
      </c>
      <c r="B1057" s="7" t="s">
        <v>46</v>
      </c>
      <c r="C1057" s="7" t="s">
        <v>128</v>
      </c>
      <c r="D1057" s="7" t="s">
        <v>152</v>
      </c>
      <c r="E1057" s="7" t="s">
        <v>153</v>
      </c>
      <c r="F1057" s="7" t="s">
        <v>50</v>
      </c>
      <c r="G1057" s="7" t="s">
        <v>20</v>
      </c>
      <c r="H1057" s="9" t="n">
        <v>45996</v>
      </c>
      <c r="I1057" s="9" t="n">
        <v>46013</v>
      </c>
      <c r="J1057" s="7" t="n">
        <v>7.5</v>
      </c>
      <c r="K1057" s="7" t="s">
        <v>1184</v>
      </c>
      <c r="L1057" s="7" t="s">
        <v>19</v>
      </c>
      <c r="M1057" s="7" t="s">
        <v>1320</v>
      </c>
      <c r="N1057" s="7" t="s">
        <v>53</v>
      </c>
      <c r="O1057" s="10" t="n">
        <f aca="false">'Exec Summary'!$E$2-H1057</f>
        <v>238</v>
      </c>
      <c r="P1057" s="10" t="n">
        <f aca="false">IF(I1057="","",I1057-H1057)</f>
        <v>17</v>
      </c>
      <c r="Q1057" s="10" t="n">
        <f aca="false">VLOOKUP(G1057,$AA$2:$AB$5,2,FALSE())</f>
        <v>30</v>
      </c>
      <c r="R1057" s="7" t="n">
        <f aca="false">IF(OR(F1057="Open",F1057="Reopened"),1,0)</f>
        <v>0</v>
      </c>
      <c r="S1057" s="7" t="n">
        <f aca="false">IF(AND(H1057&gt;='Exec Summary'!$E$1,H1057&lt;='Exec Summary'!$E$2),1,0)</f>
        <v>0</v>
      </c>
      <c r="T1057" s="7" t="n">
        <f aca="false">IF(AND(F1057="Closed",I1057&lt;&gt;"",I1057&gt;='Exec Summary'!$E$1,I1057&lt;='Exec Summary'!$E$2),1,0)</f>
        <v>0</v>
      </c>
      <c r="U1057" s="7" t="n">
        <f aca="false">IF(F1057="Reopened",1,0)</f>
        <v>0</v>
      </c>
      <c r="V1057" s="7" t="n">
        <f aca="false">IF(AND(R1057=1,O1057&gt;Q1057),1,0)</f>
        <v>0</v>
      </c>
      <c r="W1057" s="7" t="n">
        <f aca="false">IF(AND(T1057=1,P1057&lt;&gt;"",P1057&lt;=Q1057),1,0)</f>
        <v>0</v>
      </c>
    </row>
    <row r="1058" customFormat="false" ht="15" hidden="false" customHeight="false" outlineLevel="0" collapsed="false">
      <c r="A1058" s="7" t="s">
        <v>1319</v>
      </c>
      <c r="B1058" s="7" t="s">
        <v>46</v>
      </c>
      <c r="C1058" s="7" t="s">
        <v>128</v>
      </c>
      <c r="D1058" s="7" t="s">
        <v>120</v>
      </c>
      <c r="E1058" s="7" t="s">
        <v>121</v>
      </c>
      <c r="F1058" s="7" t="s">
        <v>56</v>
      </c>
      <c r="G1058" s="7" t="s">
        <v>19</v>
      </c>
      <c r="H1058" s="9" t="n">
        <v>46116</v>
      </c>
      <c r="I1058" s="9"/>
      <c r="J1058" s="7" t="n">
        <v>8.8</v>
      </c>
      <c r="K1058" s="7" t="s">
        <v>1184</v>
      </c>
      <c r="L1058" s="7" t="s">
        <v>19</v>
      </c>
      <c r="M1058" s="7" t="s">
        <v>1321</v>
      </c>
      <c r="N1058" s="7" t="s">
        <v>58</v>
      </c>
      <c r="O1058" s="10" t="n">
        <f aca="false">'Exec Summary'!$E$2-H1058</f>
        <v>118</v>
      </c>
      <c r="P1058" s="10" t="str">
        <f aca="false">IF(I1058="","",I1058-H1058)</f>
        <v/>
      </c>
      <c r="Q1058" s="10" t="n">
        <f aca="false">VLOOKUP(G1058,$AA$2:$AB$5,2,FALSE())</f>
        <v>15</v>
      </c>
      <c r="R1058" s="7" t="n">
        <f aca="false">IF(OR(F1058="Open",F1058="Reopened"),1,0)</f>
        <v>1</v>
      </c>
      <c r="S1058" s="7" t="n">
        <f aca="false">IF(AND(H1058&gt;='Exec Summary'!$E$1,H1058&lt;='Exec Summary'!$E$2),1,0)</f>
        <v>0</v>
      </c>
      <c r="T1058" s="7" t="n">
        <f aca="false">IF(AND(F1058="Closed",I1058&lt;&gt;"",I1058&gt;='Exec Summary'!$E$1,I1058&lt;='Exec Summary'!$E$2),1,0)</f>
        <v>0</v>
      </c>
      <c r="U1058" s="7" t="n">
        <f aca="false">IF(F1058="Reopened",1,0)</f>
        <v>0</v>
      </c>
      <c r="V1058" s="7" t="n">
        <f aca="false">IF(AND(R1058=1,O1058&gt;Q1058),1,0)</f>
        <v>1</v>
      </c>
      <c r="W1058" s="7" t="n">
        <f aca="false">IF(AND(T1058=1,P1058&lt;&gt;"",P1058&lt;=Q1058),1,0)</f>
        <v>0</v>
      </c>
    </row>
    <row r="1059" customFormat="false" ht="15" hidden="false" customHeight="false" outlineLevel="0" collapsed="false">
      <c r="A1059" s="7" t="s">
        <v>1319</v>
      </c>
      <c r="B1059" s="7" t="s">
        <v>46</v>
      </c>
      <c r="C1059" s="7" t="s">
        <v>128</v>
      </c>
      <c r="D1059" s="7" t="s">
        <v>74</v>
      </c>
      <c r="E1059" s="7" t="s">
        <v>75</v>
      </c>
      <c r="F1059" s="7" t="s">
        <v>50</v>
      </c>
      <c r="G1059" s="7" t="s">
        <v>21</v>
      </c>
      <c r="H1059" s="9" t="n">
        <v>46024</v>
      </c>
      <c r="I1059" s="9" t="n">
        <v>46127</v>
      </c>
      <c r="J1059" s="7" t="n">
        <v>6.5</v>
      </c>
      <c r="K1059" s="7" t="s">
        <v>1184</v>
      </c>
      <c r="L1059" s="7" t="s">
        <v>19</v>
      </c>
      <c r="M1059" s="7" t="s">
        <v>1322</v>
      </c>
      <c r="N1059" s="7" t="s">
        <v>77</v>
      </c>
      <c r="O1059" s="10" t="n">
        <f aca="false">'Exec Summary'!$E$2-H1059</f>
        <v>210</v>
      </c>
      <c r="P1059" s="10" t="n">
        <f aca="false">IF(I1059="","",I1059-H1059)</f>
        <v>103</v>
      </c>
      <c r="Q1059" s="10" t="n">
        <f aca="false">VLOOKUP(G1059,$AA$2:$AB$5,2,FALSE())</f>
        <v>90</v>
      </c>
      <c r="R1059" s="7" t="n">
        <f aca="false">IF(OR(F1059="Open",F1059="Reopened"),1,0)</f>
        <v>0</v>
      </c>
      <c r="S1059" s="7" t="n">
        <f aca="false">IF(AND(H1059&gt;='Exec Summary'!$E$1,H1059&lt;='Exec Summary'!$E$2),1,0)</f>
        <v>0</v>
      </c>
      <c r="T1059" s="7" t="n">
        <f aca="false">IF(AND(F1059="Closed",I1059&lt;&gt;"",I1059&gt;='Exec Summary'!$E$1,I1059&lt;='Exec Summary'!$E$2),1,0)</f>
        <v>0</v>
      </c>
      <c r="U1059" s="7" t="n">
        <f aca="false">IF(F1059="Reopened",1,0)</f>
        <v>0</v>
      </c>
      <c r="V1059" s="7" t="n">
        <f aca="false">IF(AND(R1059=1,O1059&gt;Q1059),1,0)</f>
        <v>0</v>
      </c>
      <c r="W1059" s="7" t="n">
        <f aca="false">IF(AND(T1059=1,P1059&lt;&gt;"",P1059&lt;=Q1059),1,0)</f>
        <v>0</v>
      </c>
    </row>
    <row r="1060" customFormat="false" ht="15" hidden="false" customHeight="false" outlineLevel="0" collapsed="false">
      <c r="A1060" s="7" t="s">
        <v>1319</v>
      </c>
      <c r="B1060" s="7" t="s">
        <v>46</v>
      </c>
      <c r="C1060" s="7" t="s">
        <v>128</v>
      </c>
      <c r="D1060" s="7" t="s">
        <v>95</v>
      </c>
      <c r="E1060" s="7" t="s">
        <v>96</v>
      </c>
      <c r="F1060" s="7" t="s">
        <v>50</v>
      </c>
      <c r="G1060" s="7" t="s">
        <v>20</v>
      </c>
      <c r="H1060" s="9" t="n">
        <v>45966</v>
      </c>
      <c r="I1060" s="9" t="n">
        <v>46018</v>
      </c>
      <c r="J1060" s="7" t="n">
        <v>8.8</v>
      </c>
      <c r="K1060" s="7" t="s">
        <v>1184</v>
      </c>
      <c r="L1060" s="7" t="s">
        <v>19</v>
      </c>
      <c r="M1060" s="7" t="s">
        <v>1323</v>
      </c>
      <c r="N1060" s="7" t="s">
        <v>53</v>
      </c>
      <c r="O1060" s="10" t="n">
        <f aca="false">'Exec Summary'!$E$2-H1060</f>
        <v>268</v>
      </c>
      <c r="P1060" s="10" t="n">
        <f aca="false">IF(I1060="","",I1060-H1060)</f>
        <v>52</v>
      </c>
      <c r="Q1060" s="10" t="n">
        <f aca="false">VLOOKUP(G1060,$AA$2:$AB$5,2,FALSE())</f>
        <v>30</v>
      </c>
      <c r="R1060" s="7" t="n">
        <f aca="false">IF(OR(F1060="Open",F1060="Reopened"),1,0)</f>
        <v>0</v>
      </c>
      <c r="S1060" s="7" t="n">
        <f aca="false">IF(AND(H1060&gt;='Exec Summary'!$E$1,H1060&lt;='Exec Summary'!$E$2),1,0)</f>
        <v>0</v>
      </c>
      <c r="T1060" s="7" t="n">
        <f aca="false">IF(AND(F1060="Closed",I1060&lt;&gt;"",I1060&gt;='Exec Summary'!$E$1,I1060&lt;='Exec Summary'!$E$2),1,0)</f>
        <v>0</v>
      </c>
      <c r="U1060" s="7" t="n">
        <f aca="false">IF(F1060="Reopened",1,0)</f>
        <v>0</v>
      </c>
      <c r="V1060" s="7" t="n">
        <f aca="false">IF(AND(R1060=1,O1060&gt;Q1060),1,0)</f>
        <v>0</v>
      </c>
      <c r="W1060" s="7" t="n">
        <f aca="false">IF(AND(T1060=1,P1060&lt;&gt;"",P1060&lt;=Q1060),1,0)</f>
        <v>0</v>
      </c>
    </row>
    <row r="1061" customFormat="false" ht="15" hidden="false" customHeight="false" outlineLevel="0" collapsed="false">
      <c r="A1061" s="7" t="s">
        <v>1319</v>
      </c>
      <c r="B1061" s="7" t="s">
        <v>46</v>
      </c>
      <c r="C1061" s="7" t="s">
        <v>128</v>
      </c>
      <c r="D1061" s="7" t="s">
        <v>48</v>
      </c>
      <c r="E1061" s="7" t="s">
        <v>49</v>
      </c>
      <c r="F1061" s="7" t="s">
        <v>50</v>
      </c>
      <c r="G1061" s="7" t="s">
        <v>20</v>
      </c>
      <c r="H1061" s="9" t="n">
        <v>46207</v>
      </c>
      <c r="I1061" s="9" t="n">
        <v>46234</v>
      </c>
      <c r="J1061" s="7" t="n">
        <v>7.5</v>
      </c>
      <c r="K1061" s="7" t="s">
        <v>1184</v>
      </c>
      <c r="L1061" s="7" t="s">
        <v>19</v>
      </c>
      <c r="M1061" s="7" t="s">
        <v>1324</v>
      </c>
      <c r="N1061" s="7" t="s">
        <v>53</v>
      </c>
      <c r="O1061" s="10" t="n">
        <f aca="false">'Exec Summary'!$E$2-H1061</f>
        <v>27</v>
      </c>
      <c r="P1061" s="10" t="n">
        <f aca="false">IF(I1061="","",I1061-H1061)</f>
        <v>27</v>
      </c>
      <c r="Q1061" s="10" t="n">
        <f aca="false">VLOOKUP(G1061,$AA$2:$AB$5,2,FALSE())</f>
        <v>30</v>
      </c>
      <c r="R1061" s="7" t="n">
        <f aca="false">IF(OR(F1061="Open",F1061="Reopened"),1,0)</f>
        <v>0</v>
      </c>
      <c r="S1061" s="7" t="n">
        <f aca="false">IF(AND(H1061&gt;='Exec Summary'!$E$1,H1061&lt;='Exec Summary'!$E$2),1,0)</f>
        <v>1</v>
      </c>
      <c r="T1061" s="7" t="n">
        <f aca="false">IF(AND(F1061="Closed",I1061&lt;&gt;"",I1061&gt;='Exec Summary'!$E$1,I1061&lt;='Exec Summary'!$E$2),1,0)</f>
        <v>1</v>
      </c>
      <c r="U1061" s="7" t="n">
        <f aca="false">IF(F1061="Reopened",1,0)</f>
        <v>0</v>
      </c>
      <c r="V1061" s="7" t="n">
        <f aca="false">IF(AND(R1061=1,O1061&gt;Q1061),1,0)</f>
        <v>0</v>
      </c>
      <c r="W1061" s="7" t="n">
        <f aca="false">IF(AND(T1061=1,P1061&lt;&gt;"",P1061&lt;=Q1061),1,0)</f>
        <v>1</v>
      </c>
    </row>
    <row r="1062" customFormat="false" ht="15" hidden="false" customHeight="false" outlineLevel="0" collapsed="false">
      <c r="A1062" s="7" t="s">
        <v>1319</v>
      </c>
      <c r="B1062" s="7" t="s">
        <v>46</v>
      </c>
      <c r="C1062" s="7" t="s">
        <v>128</v>
      </c>
      <c r="D1062" s="7" t="s">
        <v>131</v>
      </c>
      <c r="E1062" s="7" t="s">
        <v>132</v>
      </c>
      <c r="F1062" s="7" t="s">
        <v>56</v>
      </c>
      <c r="G1062" s="7" t="s">
        <v>19</v>
      </c>
      <c r="H1062" s="9" t="n">
        <v>46133</v>
      </c>
      <c r="I1062" s="9"/>
      <c r="J1062" s="7" t="n">
        <v>9.8</v>
      </c>
      <c r="K1062" s="7" t="s">
        <v>1184</v>
      </c>
      <c r="L1062" s="7" t="s">
        <v>19</v>
      </c>
      <c r="M1062" s="7" t="s">
        <v>1325</v>
      </c>
      <c r="N1062" s="7" t="s">
        <v>58</v>
      </c>
      <c r="O1062" s="10" t="n">
        <f aca="false">'Exec Summary'!$E$2-H1062</f>
        <v>101</v>
      </c>
      <c r="P1062" s="10" t="str">
        <f aca="false">IF(I1062="","",I1062-H1062)</f>
        <v/>
      </c>
      <c r="Q1062" s="10" t="n">
        <f aca="false">VLOOKUP(G1062,$AA$2:$AB$5,2,FALSE())</f>
        <v>15</v>
      </c>
      <c r="R1062" s="7" t="n">
        <f aca="false">IF(OR(F1062="Open",F1062="Reopened"),1,0)</f>
        <v>1</v>
      </c>
      <c r="S1062" s="7" t="n">
        <f aca="false">IF(AND(H1062&gt;='Exec Summary'!$E$1,H1062&lt;='Exec Summary'!$E$2),1,0)</f>
        <v>0</v>
      </c>
      <c r="T1062" s="7" t="n">
        <f aca="false">IF(AND(F1062="Closed",I1062&lt;&gt;"",I1062&gt;='Exec Summary'!$E$1,I1062&lt;='Exec Summary'!$E$2),1,0)</f>
        <v>0</v>
      </c>
      <c r="U1062" s="7" t="n">
        <f aca="false">IF(F1062="Reopened",1,0)</f>
        <v>0</v>
      </c>
      <c r="V1062" s="7" t="n">
        <f aca="false">IF(AND(R1062=1,O1062&gt;Q1062),1,0)</f>
        <v>1</v>
      </c>
      <c r="W1062" s="7" t="n">
        <f aca="false">IF(AND(T1062=1,P1062&lt;&gt;"",P1062&lt;=Q1062),1,0)</f>
        <v>0</v>
      </c>
    </row>
    <row r="1063" customFormat="false" ht="15" hidden="false" customHeight="false" outlineLevel="0" collapsed="false">
      <c r="A1063" s="7" t="s">
        <v>1319</v>
      </c>
      <c r="B1063" s="7" t="s">
        <v>46</v>
      </c>
      <c r="C1063" s="7" t="s">
        <v>128</v>
      </c>
      <c r="D1063" s="7" t="s">
        <v>112</v>
      </c>
      <c r="E1063" s="7" t="s">
        <v>113</v>
      </c>
      <c r="F1063" s="7" t="s">
        <v>56</v>
      </c>
      <c r="G1063" s="7" t="s">
        <v>20</v>
      </c>
      <c r="H1063" s="9" t="n">
        <v>45987</v>
      </c>
      <c r="I1063" s="9"/>
      <c r="J1063" s="7" t="n">
        <v>7.8</v>
      </c>
      <c r="K1063" s="7" t="s">
        <v>1184</v>
      </c>
      <c r="L1063" s="7" t="s">
        <v>19</v>
      </c>
      <c r="M1063" s="7" t="s">
        <v>1326</v>
      </c>
      <c r="N1063" s="7" t="s">
        <v>53</v>
      </c>
      <c r="O1063" s="10" t="n">
        <f aca="false">'Exec Summary'!$E$2-H1063</f>
        <v>247</v>
      </c>
      <c r="P1063" s="10" t="str">
        <f aca="false">IF(I1063="","",I1063-H1063)</f>
        <v/>
      </c>
      <c r="Q1063" s="10" t="n">
        <f aca="false">VLOOKUP(G1063,$AA$2:$AB$5,2,FALSE())</f>
        <v>30</v>
      </c>
      <c r="R1063" s="7" t="n">
        <f aca="false">IF(OR(F1063="Open",F1063="Reopened"),1,0)</f>
        <v>1</v>
      </c>
      <c r="S1063" s="7" t="n">
        <f aca="false">IF(AND(H1063&gt;='Exec Summary'!$E$1,H1063&lt;='Exec Summary'!$E$2),1,0)</f>
        <v>0</v>
      </c>
      <c r="T1063" s="7" t="n">
        <f aca="false">IF(AND(F1063="Closed",I1063&lt;&gt;"",I1063&gt;='Exec Summary'!$E$1,I1063&lt;='Exec Summary'!$E$2),1,0)</f>
        <v>0</v>
      </c>
      <c r="U1063" s="7" t="n">
        <f aca="false">IF(F1063="Reopened",1,0)</f>
        <v>0</v>
      </c>
      <c r="V1063" s="7" t="n">
        <f aca="false">IF(AND(R1063=1,O1063&gt;Q1063),1,0)</f>
        <v>1</v>
      </c>
      <c r="W1063" s="7" t="n">
        <f aca="false">IF(AND(T1063=1,P1063&lt;&gt;"",P1063&lt;=Q1063),1,0)</f>
        <v>0</v>
      </c>
    </row>
    <row r="1064" customFormat="false" ht="15" hidden="false" customHeight="false" outlineLevel="0" collapsed="false">
      <c r="A1064" s="7" t="s">
        <v>1319</v>
      </c>
      <c r="B1064" s="7" t="s">
        <v>46</v>
      </c>
      <c r="C1064" s="7" t="s">
        <v>128</v>
      </c>
      <c r="D1064" s="7" t="s">
        <v>163</v>
      </c>
      <c r="E1064" s="7" t="s">
        <v>164</v>
      </c>
      <c r="F1064" s="7" t="s">
        <v>50</v>
      </c>
      <c r="G1064" s="7" t="s">
        <v>19</v>
      </c>
      <c r="H1064" s="9" t="n">
        <v>46042</v>
      </c>
      <c r="I1064" s="9" t="n">
        <v>46052</v>
      </c>
      <c r="J1064" s="7" t="n">
        <v>9.1</v>
      </c>
      <c r="K1064" s="7" t="s">
        <v>1184</v>
      </c>
      <c r="L1064" s="7" t="s">
        <v>19</v>
      </c>
      <c r="M1064" s="7" t="s">
        <v>1327</v>
      </c>
      <c r="N1064" s="7" t="s">
        <v>58</v>
      </c>
      <c r="O1064" s="10" t="n">
        <f aca="false">'Exec Summary'!$E$2-H1064</f>
        <v>192</v>
      </c>
      <c r="P1064" s="10" t="n">
        <f aca="false">IF(I1064="","",I1064-H1064)</f>
        <v>10</v>
      </c>
      <c r="Q1064" s="10" t="n">
        <f aca="false">VLOOKUP(G1064,$AA$2:$AB$5,2,FALSE())</f>
        <v>15</v>
      </c>
      <c r="R1064" s="7" t="n">
        <f aca="false">IF(OR(F1064="Open",F1064="Reopened"),1,0)</f>
        <v>0</v>
      </c>
      <c r="S1064" s="7" t="n">
        <f aca="false">IF(AND(H1064&gt;='Exec Summary'!$E$1,H1064&lt;='Exec Summary'!$E$2),1,0)</f>
        <v>0</v>
      </c>
      <c r="T1064" s="7" t="n">
        <f aca="false">IF(AND(F1064="Closed",I1064&lt;&gt;"",I1064&gt;='Exec Summary'!$E$1,I1064&lt;='Exec Summary'!$E$2),1,0)</f>
        <v>0</v>
      </c>
      <c r="U1064" s="7" t="n">
        <f aca="false">IF(F1064="Reopened",1,0)</f>
        <v>0</v>
      </c>
      <c r="V1064" s="7" t="n">
        <f aca="false">IF(AND(R1064=1,O1064&gt;Q1064),1,0)</f>
        <v>0</v>
      </c>
      <c r="W1064" s="7" t="n">
        <f aca="false">IF(AND(T1064=1,P1064&lt;&gt;"",P1064&lt;=Q1064),1,0)</f>
        <v>0</v>
      </c>
    </row>
    <row r="1065" customFormat="false" ht="15" hidden="false" customHeight="false" outlineLevel="0" collapsed="false">
      <c r="A1065" s="7" t="s">
        <v>1319</v>
      </c>
      <c r="B1065" s="7" t="s">
        <v>46</v>
      </c>
      <c r="C1065" s="7" t="s">
        <v>128</v>
      </c>
      <c r="D1065" s="7" t="s">
        <v>81</v>
      </c>
      <c r="E1065" s="7" t="s">
        <v>82</v>
      </c>
      <c r="F1065" s="7" t="s">
        <v>56</v>
      </c>
      <c r="G1065" s="7" t="s">
        <v>20</v>
      </c>
      <c r="H1065" s="9" t="n">
        <v>45968</v>
      </c>
      <c r="I1065" s="9"/>
      <c r="J1065" s="7" t="n">
        <v>7.8</v>
      </c>
      <c r="K1065" s="7" t="s">
        <v>1184</v>
      </c>
      <c r="L1065" s="7" t="s">
        <v>19</v>
      </c>
      <c r="M1065" s="7" t="s">
        <v>1328</v>
      </c>
      <c r="N1065" s="7" t="s">
        <v>53</v>
      </c>
      <c r="O1065" s="10" t="n">
        <f aca="false">'Exec Summary'!$E$2-H1065</f>
        <v>266</v>
      </c>
      <c r="P1065" s="10" t="str">
        <f aca="false">IF(I1065="","",I1065-H1065)</f>
        <v/>
      </c>
      <c r="Q1065" s="10" t="n">
        <f aca="false">VLOOKUP(G1065,$AA$2:$AB$5,2,FALSE())</f>
        <v>30</v>
      </c>
      <c r="R1065" s="7" t="n">
        <f aca="false">IF(OR(F1065="Open",F1065="Reopened"),1,0)</f>
        <v>1</v>
      </c>
      <c r="S1065" s="7" t="n">
        <f aca="false">IF(AND(H1065&gt;='Exec Summary'!$E$1,H1065&lt;='Exec Summary'!$E$2),1,0)</f>
        <v>0</v>
      </c>
      <c r="T1065" s="7" t="n">
        <f aca="false">IF(AND(F1065="Closed",I1065&lt;&gt;"",I1065&gt;='Exec Summary'!$E$1,I1065&lt;='Exec Summary'!$E$2),1,0)</f>
        <v>0</v>
      </c>
      <c r="U1065" s="7" t="n">
        <f aca="false">IF(F1065="Reopened",1,0)</f>
        <v>0</v>
      </c>
      <c r="V1065" s="7" t="n">
        <f aca="false">IF(AND(R1065=1,O1065&gt;Q1065),1,0)</f>
        <v>1</v>
      </c>
      <c r="W1065" s="7" t="n">
        <f aca="false">IF(AND(T1065=1,P1065&lt;&gt;"",P1065&lt;=Q1065),1,0)</f>
        <v>0</v>
      </c>
    </row>
    <row r="1066" customFormat="false" ht="15" hidden="false" customHeight="false" outlineLevel="0" collapsed="false">
      <c r="A1066" s="7" t="s">
        <v>1319</v>
      </c>
      <c r="B1066" s="7" t="s">
        <v>46</v>
      </c>
      <c r="C1066" s="7" t="s">
        <v>128</v>
      </c>
      <c r="D1066" s="7" t="s">
        <v>108</v>
      </c>
      <c r="E1066" s="7" t="s">
        <v>109</v>
      </c>
      <c r="F1066" s="7" t="s">
        <v>50</v>
      </c>
      <c r="G1066" s="7" t="s">
        <v>20</v>
      </c>
      <c r="H1066" s="9" t="n">
        <v>46187</v>
      </c>
      <c r="I1066" s="9" t="n">
        <v>46198</v>
      </c>
      <c r="J1066" s="7" t="n">
        <v>8.6</v>
      </c>
      <c r="K1066" s="7" t="s">
        <v>1184</v>
      </c>
      <c r="L1066" s="7" t="s">
        <v>19</v>
      </c>
      <c r="M1066" s="7" t="s">
        <v>1329</v>
      </c>
      <c r="N1066" s="7" t="s">
        <v>53</v>
      </c>
      <c r="O1066" s="10" t="n">
        <f aca="false">'Exec Summary'!$E$2-H1066</f>
        <v>47</v>
      </c>
      <c r="P1066" s="10" t="n">
        <f aca="false">IF(I1066="","",I1066-H1066)</f>
        <v>11</v>
      </c>
      <c r="Q1066" s="10" t="n">
        <f aca="false">VLOOKUP(G1066,$AA$2:$AB$5,2,FALSE())</f>
        <v>30</v>
      </c>
      <c r="R1066" s="7" t="n">
        <f aca="false">IF(OR(F1066="Open",F1066="Reopened"),1,0)</f>
        <v>0</v>
      </c>
      <c r="S1066" s="7" t="n">
        <f aca="false">IF(AND(H1066&gt;='Exec Summary'!$E$1,H1066&lt;='Exec Summary'!$E$2),1,0)</f>
        <v>0</v>
      </c>
      <c r="T1066" s="7" t="n">
        <f aca="false">IF(AND(F1066="Closed",I1066&lt;&gt;"",I1066&gt;='Exec Summary'!$E$1,I1066&lt;='Exec Summary'!$E$2),1,0)</f>
        <v>0</v>
      </c>
      <c r="U1066" s="7" t="n">
        <f aca="false">IF(F1066="Reopened",1,0)</f>
        <v>0</v>
      </c>
      <c r="V1066" s="7" t="n">
        <f aca="false">IF(AND(R1066=1,O1066&gt;Q1066),1,0)</f>
        <v>0</v>
      </c>
      <c r="W1066" s="7" t="n">
        <f aca="false">IF(AND(T1066=1,P1066&lt;&gt;"",P1066&lt;=Q1066),1,0)</f>
        <v>0</v>
      </c>
    </row>
    <row r="1067" customFormat="false" ht="15" hidden="false" customHeight="false" outlineLevel="0" collapsed="false">
      <c r="A1067" s="7" t="s">
        <v>1319</v>
      </c>
      <c r="B1067" s="7" t="s">
        <v>46</v>
      </c>
      <c r="C1067" s="7" t="s">
        <v>128</v>
      </c>
      <c r="D1067" s="7" t="s">
        <v>91</v>
      </c>
      <c r="E1067" s="7" t="s">
        <v>92</v>
      </c>
      <c r="F1067" s="7" t="s">
        <v>123</v>
      </c>
      <c r="G1067" s="7" t="s">
        <v>20</v>
      </c>
      <c r="H1067" s="9" t="n">
        <v>45952</v>
      </c>
      <c r="I1067" s="9" t="n">
        <v>45977</v>
      </c>
      <c r="J1067" s="7" t="n">
        <v>8.1</v>
      </c>
      <c r="K1067" s="7" t="s">
        <v>1184</v>
      </c>
      <c r="L1067" s="7" t="s">
        <v>19</v>
      </c>
      <c r="M1067" s="7" t="s">
        <v>1330</v>
      </c>
      <c r="N1067" s="7" t="s">
        <v>53</v>
      </c>
      <c r="O1067" s="10" t="n">
        <f aca="false">'Exec Summary'!$E$2-H1067</f>
        <v>282</v>
      </c>
      <c r="P1067" s="10" t="n">
        <f aca="false">IF(I1067="","",I1067-H1067)</f>
        <v>25</v>
      </c>
      <c r="Q1067" s="10" t="n">
        <f aca="false">VLOOKUP(G1067,$AA$2:$AB$5,2,FALSE())</f>
        <v>30</v>
      </c>
      <c r="R1067" s="7" t="n">
        <f aca="false">IF(OR(F1067="Open",F1067="Reopened"),1,0)</f>
        <v>1</v>
      </c>
      <c r="S1067" s="7" t="n">
        <f aca="false">IF(AND(H1067&gt;='Exec Summary'!$E$1,H1067&lt;='Exec Summary'!$E$2),1,0)</f>
        <v>0</v>
      </c>
      <c r="T1067" s="7" t="n">
        <f aca="false">IF(AND(F1067="Closed",I1067&lt;&gt;"",I1067&gt;='Exec Summary'!$E$1,I1067&lt;='Exec Summary'!$E$2),1,0)</f>
        <v>0</v>
      </c>
      <c r="U1067" s="7" t="n">
        <f aca="false">IF(F1067="Reopened",1,0)</f>
        <v>1</v>
      </c>
      <c r="V1067" s="7" t="n">
        <f aca="false">IF(AND(R1067=1,O1067&gt;Q1067),1,0)</f>
        <v>1</v>
      </c>
      <c r="W1067" s="7" t="n">
        <f aca="false">IF(AND(T1067=1,P1067&lt;&gt;"",P1067&lt;=Q1067),1,0)</f>
        <v>0</v>
      </c>
    </row>
    <row r="1068" customFormat="false" ht="15" hidden="false" customHeight="false" outlineLevel="0" collapsed="false">
      <c r="A1068" s="7" t="s">
        <v>1319</v>
      </c>
      <c r="B1068" s="7" t="s">
        <v>46</v>
      </c>
      <c r="C1068" s="7" t="s">
        <v>128</v>
      </c>
      <c r="D1068" s="7" t="s">
        <v>206</v>
      </c>
      <c r="E1068" s="7" t="s">
        <v>207</v>
      </c>
      <c r="F1068" s="7" t="s">
        <v>56</v>
      </c>
      <c r="G1068" s="7" t="s">
        <v>20</v>
      </c>
      <c r="H1068" s="9" t="n">
        <v>45942</v>
      </c>
      <c r="I1068" s="9"/>
      <c r="J1068" s="7" t="n">
        <v>8.8</v>
      </c>
      <c r="K1068" s="7" t="s">
        <v>1184</v>
      </c>
      <c r="L1068" s="7" t="s">
        <v>19</v>
      </c>
      <c r="M1068" s="7" t="s">
        <v>1331</v>
      </c>
      <c r="N1068" s="7" t="s">
        <v>53</v>
      </c>
      <c r="O1068" s="10" t="n">
        <f aca="false">'Exec Summary'!$E$2-H1068</f>
        <v>292</v>
      </c>
      <c r="P1068" s="10" t="str">
        <f aca="false">IF(I1068="","",I1068-H1068)</f>
        <v/>
      </c>
      <c r="Q1068" s="10" t="n">
        <f aca="false">VLOOKUP(G1068,$AA$2:$AB$5,2,FALSE())</f>
        <v>30</v>
      </c>
      <c r="R1068" s="7" t="n">
        <f aca="false">IF(OR(F1068="Open",F1068="Reopened"),1,0)</f>
        <v>1</v>
      </c>
      <c r="S1068" s="7" t="n">
        <f aca="false">IF(AND(H1068&gt;='Exec Summary'!$E$1,H1068&lt;='Exec Summary'!$E$2),1,0)</f>
        <v>0</v>
      </c>
      <c r="T1068" s="7" t="n">
        <f aca="false">IF(AND(F1068="Closed",I1068&lt;&gt;"",I1068&gt;='Exec Summary'!$E$1,I1068&lt;='Exec Summary'!$E$2),1,0)</f>
        <v>0</v>
      </c>
      <c r="U1068" s="7" t="n">
        <f aca="false">IF(F1068="Reopened",1,0)</f>
        <v>0</v>
      </c>
      <c r="V1068" s="7" t="n">
        <f aca="false">IF(AND(R1068=1,O1068&gt;Q1068),1,0)</f>
        <v>1</v>
      </c>
      <c r="W1068" s="7" t="n">
        <f aca="false">IF(AND(T1068=1,P1068&lt;&gt;"",P1068&lt;=Q1068),1,0)</f>
        <v>0</v>
      </c>
    </row>
    <row r="1069" customFormat="false" ht="15" hidden="false" customHeight="false" outlineLevel="0" collapsed="false">
      <c r="A1069" s="7" t="s">
        <v>1319</v>
      </c>
      <c r="B1069" s="7" t="s">
        <v>46</v>
      </c>
      <c r="C1069" s="7" t="s">
        <v>128</v>
      </c>
      <c r="D1069" s="7" t="s">
        <v>104</v>
      </c>
      <c r="E1069" s="7" t="s">
        <v>105</v>
      </c>
      <c r="F1069" s="7" t="s">
        <v>50</v>
      </c>
      <c r="G1069" s="7" t="s">
        <v>19</v>
      </c>
      <c r="H1069" s="9" t="n">
        <v>46107</v>
      </c>
      <c r="I1069" s="9" t="n">
        <v>46127</v>
      </c>
      <c r="J1069" s="7" t="n">
        <v>9.8</v>
      </c>
      <c r="K1069" s="7" t="s">
        <v>1184</v>
      </c>
      <c r="L1069" s="7" t="s">
        <v>19</v>
      </c>
      <c r="M1069" s="7" t="s">
        <v>1332</v>
      </c>
      <c r="N1069" s="7" t="s">
        <v>58</v>
      </c>
      <c r="O1069" s="10" t="n">
        <f aca="false">'Exec Summary'!$E$2-H1069</f>
        <v>127</v>
      </c>
      <c r="P1069" s="10" t="n">
        <f aca="false">IF(I1069="","",I1069-H1069)</f>
        <v>20</v>
      </c>
      <c r="Q1069" s="10" t="n">
        <f aca="false">VLOOKUP(G1069,$AA$2:$AB$5,2,FALSE())</f>
        <v>15</v>
      </c>
      <c r="R1069" s="7" t="n">
        <f aca="false">IF(OR(F1069="Open",F1069="Reopened"),1,0)</f>
        <v>0</v>
      </c>
      <c r="S1069" s="7" t="n">
        <f aca="false">IF(AND(H1069&gt;='Exec Summary'!$E$1,H1069&lt;='Exec Summary'!$E$2),1,0)</f>
        <v>0</v>
      </c>
      <c r="T1069" s="7" t="n">
        <f aca="false">IF(AND(F1069="Closed",I1069&lt;&gt;"",I1069&gt;='Exec Summary'!$E$1,I1069&lt;='Exec Summary'!$E$2),1,0)</f>
        <v>0</v>
      </c>
      <c r="U1069" s="7" t="n">
        <f aca="false">IF(F1069="Reopened",1,0)</f>
        <v>0</v>
      </c>
      <c r="V1069" s="7" t="n">
        <f aca="false">IF(AND(R1069=1,O1069&gt;Q1069),1,0)</f>
        <v>0</v>
      </c>
      <c r="W1069" s="7" t="n">
        <f aca="false">IF(AND(T1069=1,P1069&lt;&gt;"",P1069&lt;=Q1069),1,0)</f>
        <v>0</v>
      </c>
    </row>
    <row r="1070" customFormat="false" ht="15" hidden="false" customHeight="false" outlineLevel="0" collapsed="false">
      <c r="A1070" s="7" t="s">
        <v>1333</v>
      </c>
      <c r="B1070" s="7" t="s">
        <v>46</v>
      </c>
      <c r="C1070" s="7" t="s">
        <v>158</v>
      </c>
      <c r="D1070" s="7" t="s">
        <v>139</v>
      </c>
      <c r="E1070" s="7" t="s">
        <v>140</v>
      </c>
      <c r="F1070" s="7" t="s">
        <v>50</v>
      </c>
      <c r="G1070" s="7" t="s">
        <v>19</v>
      </c>
      <c r="H1070" s="9" t="n">
        <v>46108</v>
      </c>
      <c r="I1070" s="9" t="n">
        <v>46109</v>
      </c>
      <c r="J1070" s="7" t="n">
        <v>9.8</v>
      </c>
      <c r="K1070" s="7" t="s">
        <v>1184</v>
      </c>
      <c r="L1070" s="7" t="s">
        <v>20</v>
      </c>
      <c r="M1070" s="7" t="s">
        <v>1334</v>
      </c>
      <c r="N1070" s="7" t="s">
        <v>58</v>
      </c>
      <c r="O1070" s="10" t="n">
        <f aca="false">'Exec Summary'!$E$2-H1070</f>
        <v>126</v>
      </c>
      <c r="P1070" s="10" t="n">
        <f aca="false">IF(I1070="","",I1070-H1070)</f>
        <v>1</v>
      </c>
      <c r="Q1070" s="10" t="n">
        <f aca="false">VLOOKUP(G1070,$AA$2:$AB$5,2,FALSE())</f>
        <v>15</v>
      </c>
      <c r="R1070" s="7" t="n">
        <f aca="false">IF(OR(F1070="Open",F1070="Reopened"),1,0)</f>
        <v>0</v>
      </c>
      <c r="S1070" s="7" t="n">
        <f aca="false">IF(AND(H1070&gt;='Exec Summary'!$E$1,H1070&lt;='Exec Summary'!$E$2),1,0)</f>
        <v>0</v>
      </c>
      <c r="T1070" s="7" t="n">
        <f aca="false">IF(AND(F1070="Closed",I1070&lt;&gt;"",I1070&gt;='Exec Summary'!$E$1,I1070&lt;='Exec Summary'!$E$2),1,0)</f>
        <v>0</v>
      </c>
      <c r="U1070" s="7" t="n">
        <f aca="false">IF(F1070="Reopened",1,0)</f>
        <v>0</v>
      </c>
      <c r="V1070" s="7" t="n">
        <f aca="false">IF(AND(R1070=1,O1070&gt;Q1070),1,0)</f>
        <v>0</v>
      </c>
      <c r="W1070" s="7" t="n">
        <f aca="false">IF(AND(T1070=1,P1070&lt;&gt;"",P1070&lt;=Q1070),1,0)</f>
        <v>0</v>
      </c>
    </row>
    <row r="1071" customFormat="false" ht="15" hidden="false" customHeight="false" outlineLevel="0" collapsed="false">
      <c r="A1071" s="7" t="s">
        <v>1333</v>
      </c>
      <c r="B1071" s="7" t="s">
        <v>46</v>
      </c>
      <c r="C1071" s="7" t="s">
        <v>158</v>
      </c>
      <c r="D1071" s="7" t="s">
        <v>91</v>
      </c>
      <c r="E1071" s="7" t="s">
        <v>92</v>
      </c>
      <c r="F1071" s="7" t="s">
        <v>50</v>
      </c>
      <c r="G1071" s="7" t="s">
        <v>20</v>
      </c>
      <c r="H1071" s="9" t="n">
        <v>46059</v>
      </c>
      <c r="I1071" s="9" t="n">
        <v>46086</v>
      </c>
      <c r="J1071" s="7" t="n">
        <v>8.1</v>
      </c>
      <c r="K1071" s="7" t="s">
        <v>1184</v>
      </c>
      <c r="L1071" s="7" t="s">
        <v>20</v>
      </c>
      <c r="M1071" s="7" t="s">
        <v>1335</v>
      </c>
      <c r="N1071" s="7" t="s">
        <v>53</v>
      </c>
      <c r="O1071" s="10" t="n">
        <f aca="false">'Exec Summary'!$E$2-H1071</f>
        <v>175</v>
      </c>
      <c r="P1071" s="10" t="n">
        <f aca="false">IF(I1071="","",I1071-H1071)</f>
        <v>27</v>
      </c>
      <c r="Q1071" s="10" t="n">
        <f aca="false">VLOOKUP(G1071,$AA$2:$AB$5,2,FALSE())</f>
        <v>30</v>
      </c>
      <c r="R1071" s="7" t="n">
        <f aca="false">IF(OR(F1071="Open",F1071="Reopened"),1,0)</f>
        <v>0</v>
      </c>
      <c r="S1071" s="7" t="n">
        <f aca="false">IF(AND(H1071&gt;='Exec Summary'!$E$1,H1071&lt;='Exec Summary'!$E$2),1,0)</f>
        <v>0</v>
      </c>
      <c r="T1071" s="7" t="n">
        <f aca="false">IF(AND(F1071="Closed",I1071&lt;&gt;"",I1071&gt;='Exec Summary'!$E$1,I1071&lt;='Exec Summary'!$E$2),1,0)</f>
        <v>0</v>
      </c>
      <c r="U1071" s="7" t="n">
        <f aca="false">IF(F1071="Reopened",1,0)</f>
        <v>0</v>
      </c>
      <c r="V1071" s="7" t="n">
        <f aca="false">IF(AND(R1071=1,O1071&gt;Q1071),1,0)</f>
        <v>0</v>
      </c>
      <c r="W1071" s="7" t="n">
        <f aca="false">IF(AND(T1071=1,P1071&lt;&gt;"",P1071&lt;=Q1071),1,0)</f>
        <v>0</v>
      </c>
    </row>
    <row r="1072" customFormat="false" ht="15" hidden="false" customHeight="false" outlineLevel="0" collapsed="false">
      <c r="A1072" s="7" t="s">
        <v>1333</v>
      </c>
      <c r="B1072" s="7" t="s">
        <v>46</v>
      </c>
      <c r="C1072" s="7" t="s">
        <v>158</v>
      </c>
      <c r="D1072" s="7" t="s">
        <v>206</v>
      </c>
      <c r="E1072" s="7" t="s">
        <v>207</v>
      </c>
      <c r="F1072" s="7" t="s">
        <v>56</v>
      </c>
      <c r="G1072" s="7" t="s">
        <v>20</v>
      </c>
      <c r="H1072" s="9" t="n">
        <v>46087</v>
      </c>
      <c r="I1072" s="9"/>
      <c r="J1072" s="7" t="n">
        <v>8.8</v>
      </c>
      <c r="K1072" s="7" t="s">
        <v>1184</v>
      </c>
      <c r="L1072" s="7" t="s">
        <v>20</v>
      </c>
      <c r="M1072" s="7" t="s">
        <v>1336</v>
      </c>
      <c r="N1072" s="7" t="s">
        <v>53</v>
      </c>
      <c r="O1072" s="10" t="n">
        <f aca="false">'Exec Summary'!$E$2-H1072</f>
        <v>147</v>
      </c>
      <c r="P1072" s="10" t="str">
        <f aca="false">IF(I1072="","",I1072-H1072)</f>
        <v/>
      </c>
      <c r="Q1072" s="10" t="n">
        <f aca="false">VLOOKUP(G1072,$AA$2:$AB$5,2,FALSE())</f>
        <v>30</v>
      </c>
      <c r="R1072" s="7" t="n">
        <f aca="false">IF(OR(F1072="Open",F1072="Reopened"),1,0)</f>
        <v>1</v>
      </c>
      <c r="S1072" s="7" t="n">
        <f aca="false">IF(AND(H1072&gt;='Exec Summary'!$E$1,H1072&lt;='Exec Summary'!$E$2),1,0)</f>
        <v>0</v>
      </c>
      <c r="T1072" s="7" t="n">
        <f aca="false">IF(AND(F1072="Closed",I1072&lt;&gt;"",I1072&gt;='Exec Summary'!$E$1,I1072&lt;='Exec Summary'!$E$2),1,0)</f>
        <v>0</v>
      </c>
      <c r="U1072" s="7" t="n">
        <f aca="false">IF(F1072="Reopened",1,0)</f>
        <v>0</v>
      </c>
      <c r="V1072" s="7" t="n">
        <f aca="false">IF(AND(R1072=1,O1072&gt;Q1072),1,0)</f>
        <v>1</v>
      </c>
      <c r="W1072" s="7" t="n">
        <f aca="false">IF(AND(T1072=1,P1072&lt;&gt;"",P1072&lt;=Q1072),1,0)</f>
        <v>0</v>
      </c>
    </row>
    <row r="1073" customFormat="false" ht="15" hidden="false" customHeight="false" outlineLevel="0" collapsed="false">
      <c r="A1073" s="7" t="s">
        <v>1337</v>
      </c>
      <c r="B1073" s="7" t="s">
        <v>46</v>
      </c>
      <c r="C1073" s="7" t="s">
        <v>177</v>
      </c>
      <c r="D1073" s="7" t="s">
        <v>108</v>
      </c>
      <c r="E1073" s="7" t="s">
        <v>109</v>
      </c>
      <c r="F1073" s="7" t="s">
        <v>50</v>
      </c>
      <c r="G1073" s="7" t="s">
        <v>20</v>
      </c>
      <c r="H1073" s="9" t="n">
        <v>45972</v>
      </c>
      <c r="I1073" s="9" t="n">
        <v>45984</v>
      </c>
      <c r="J1073" s="7" t="n">
        <v>8.6</v>
      </c>
      <c r="K1073" s="7" t="s">
        <v>1184</v>
      </c>
      <c r="L1073" s="7" t="s">
        <v>21</v>
      </c>
      <c r="M1073" s="7" t="s">
        <v>1338</v>
      </c>
      <c r="N1073" s="7" t="s">
        <v>53</v>
      </c>
      <c r="O1073" s="10" t="n">
        <f aca="false">'Exec Summary'!$E$2-H1073</f>
        <v>262</v>
      </c>
      <c r="P1073" s="10" t="n">
        <f aca="false">IF(I1073="","",I1073-H1073)</f>
        <v>12</v>
      </c>
      <c r="Q1073" s="10" t="n">
        <f aca="false">VLOOKUP(G1073,$AA$2:$AB$5,2,FALSE())</f>
        <v>30</v>
      </c>
      <c r="R1073" s="7" t="n">
        <f aca="false">IF(OR(F1073="Open",F1073="Reopened"),1,0)</f>
        <v>0</v>
      </c>
      <c r="S1073" s="7" t="n">
        <f aca="false">IF(AND(H1073&gt;='Exec Summary'!$E$1,H1073&lt;='Exec Summary'!$E$2),1,0)</f>
        <v>0</v>
      </c>
      <c r="T1073" s="7" t="n">
        <f aca="false">IF(AND(F1073="Closed",I1073&lt;&gt;"",I1073&gt;='Exec Summary'!$E$1,I1073&lt;='Exec Summary'!$E$2),1,0)</f>
        <v>0</v>
      </c>
      <c r="U1073" s="7" t="n">
        <f aca="false">IF(F1073="Reopened",1,0)</f>
        <v>0</v>
      </c>
      <c r="V1073" s="7" t="n">
        <f aca="false">IF(AND(R1073=1,O1073&gt;Q1073),1,0)</f>
        <v>0</v>
      </c>
      <c r="W1073" s="7" t="n">
        <f aca="false">IF(AND(T1073=1,P1073&lt;&gt;"",P1073&lt;=Q1073),1,0)</f>
        <v>0</v>
      </c>
    </row>
    <row r="1074" customFormat="false" ht="15" hidden="false" customHeight="false" outlineLevel="0" collapsed="false">
      <c r="A1074" s="7" t="s">
        <v>1337</v>
      </c>
      <c r="B1074" s="7" t="s">
        <v>46</v>
      </c>
      <c r="C1074" s="7" t="s">
        <v>177</v>
      </c>
      <c r="D1074" s="7" t="s">
        <v>166</v>
      </c>
      <c r="E1074" s="7" t="s">
        <v>167</v>
      </c>
      <c r="F1074" s="7" t="s">
        <v>123</v>
      </c>
      <c r="G1074" s="7" t="s">
        <v>19</v>
      </c>
      <c r="H1074" s="9" t="n">
        <v>45945</v>
      </c>
      <c r="I1074" s="9" t="n">
        <v>45955</v>
      </c>
      <c r="J1074" s="7" t="n">
        <v>9.8</v>
      </c>
      <c r="K1074" s="7" t="s">
        <v>1184</v>
      </c>
      <c r="L1074" s="7" t="s">
        <v>21</v>
      </c>
      <c r="M1074" s="7" t="s">
        <v>1339</v>
      </c>
      <c r="N1074" s="7" t="s">
        <v>58</v>
      </c>
      <c r="O1074" s="10" t="n">
        <f aca="false">'Exec Summary'!$E$2-H1074</f>
        <v>289</v>
      </c>
      <c r="P1074" s="10" t="n">
        <f aca="false">IF(I1074="","",I1074-H1074)</f>
        <v>10</v>
      </c>
      <c r="Q1074" s="10" t="n">
        <f aca="false">VLOOKUP(G1074,$AA$2:$AB$5,2,FALSE())</f>
        <v>15</v>
      </c>
      <c r="R1074" s="7" t="n">
        <f aca="false">IF(OR(F1074="Open",F1074="Reopened"),1,0)</f>
        <v>1</v>
      </c>
      <c r="S1074" s="7" t="n">
        <f aca="false">IF(AND(H1074&gt;='Exec Summary'!$E$1,H1074&lt;='Exec Summary'!$E$2),1,0)</f>
        <v>0</v>
      </c>
      <c r="T1074" s="7" t="n">
        <f aca="false">IF(AND(F1074="Closed",I1074&lt;&gt;"",I1074&gt;='Exec Summary'!$E$1,I1074&lt;='Exec Summary'!$E$2),1,0)</f>
        <v>0</v>
      </c>
      <c r="U1074" s="7" t="n">
        <f aca="false">IF(F1074="Reopened",1,0)</f>
        <v>1</v>
      </c>
      <c r="V1074" s="7" t="n">
        <f aca="false">IF(AND(R1074=1,O1074&gt;Q1074),1,0)</f>
        <v>1</v>
      </c>
      <c r="W1074" s="7" t="n">
        <f aca="false">IF(AND(T1074=1,P1074&lt;&gt;"",P1074&lt;=Q1074),1,0)</f>
        <v>0</v>
      </c>
    </row>
    <row r="1075" customFormat="false" ht="15" hidden="false" customHeight="false" outlineLevel="0" collapsed="false">
      <c r="A1075" s="7" t="s">
        <v>1340</v>
      </c>
      <c r="B1075" s="7" t="s">
        <v>135</v>
      </c>
      <c r="C1075" s="7" t="s">
        <v>247</v>
      </c>
      <c r="D1075" s="7" t="s">
        <v>95</v>
      </c>
      <c r="E1075" s="7" t="s">
        <v>96</v>
      </c>
      <c r="F1075" s="7" t="s">
        <v>50</v>
      </c>
      <c r="G1075" s="7" t="s">
        <v>20</v>
      </c>
      <c r="H1075" s="9" t="n">
        <v>46104</v>
      </c>
      <c r="I1075" s="9" t="n">
        <v>46134</v>
      </c>
      <c r="J1075" s="7" t="n">
        <v>8.8</v>
      </c>
      <c r="K1075" s="7" t="s">
        <v>1184</v>
      </c>
      <c r="L1075" s="7" t="s">
        <v>20</v>
      </c>
      <c r="M1075" s="7" t="s">
        <v>1341</v>
      </c>
      <c r="N1075" s="7" t="s">
        <v>53</v>
      </c>
      <c r="O1075" s="10" t="n">
        <f aca="false">'Exec Summary'!$E$2-H1075</f>
        <v>130</v>
      </c>
      <c r="P1075" s="10" t="n">
        <f aca="false">IF(I1075="","",I1075-H1075)</f>
        <v>30</v>
      </c>
      <c r="Q1075" s="10" t="n">
        <f aca="false">VLOOKUP(G1075,$AA$2:$AB$5,2,FALSE())</f>
        <v>30</v>
      </c>
      <c r="R1075" s="7" t="n">
        <f aca="false">IF(OR(F1075="Open",F1075="Reopened"),1,0)</f>
        <v>0</v>
      </c>
      <c r="S1075" s="7" t="n">
        <f aca="false">IF(AND(H1075&gt;='Exec Summary'!$E$1,H1075&lt;='Exec Summary'!$E$2),1,0)</f>
        <v>0</v>
      </c>
      <c r="T1075" s="7" t="n">
        <f aca="false">IF(AND(F1075="Closed",I1075&lt;&gt;"",I1075&gt;='Exec Summary'!$E$1,I1075&lt;='Exec Summary'!$E$2),1,0)</f>
        <v>0</v>
      </c>
      <c r="U1075" s="7" t="n">
        <f aca="false">IF(F1075="Reopened",1,0)</f>
        <v>0</v>
      </c>
      <c r="V1075" s="7" t="n">
        <f aca="false">IF(AND(R1075=1,O1075&gt;Q1075),1,0)</f>
        <v>0</v>
      </c>
      <c r="W1075" s="7" t="n">
        <f aca="false">IF(AND(T1075=1,P1075&lt;&gt;"",P1075&lt;=Q1075),1,0)</f>
        <v>0</v>
      </c>
    </row>
    <row r="1076" customFormat="false" ht="15" hidden="false" customHeight="false" outlineLevel="0" collapsed="false">
      <c r="A1076" s="7" t="s">
        <v>1340</v>
      </c>
      <c r="B1076" s="7" t="s">
        <v>135</v>
      </c>
      <c r="C1076" s="7" t="s">
        <v>247</v>
      </c>
      <c r="D1076" s="7" t="s">
        <v>152</v>
      </c>
      <c r="E1076" s="7" t="s">
        <v>153</v>
      </c>
      <c r="F1076" s="7" t="s">
        <v>50</v>
      </c>
      <c r="G1076" s="7" t="s">
        <v>20</v>
      </c>
      <c r="H1076" s="9" t="n">
        <v>45974</v>
      </c>
      <c r="I1076" s="9" t="n">
        <v>45992</v>
      </c>
      <c r="J1076" s="7" t="n">
        <v>7.5</v>
      </c>
      <c r="K1076" s="7" t="s">
        <v>1184</v>
      </c>
      <c r="L1076" s="7" t="s">
        <v>20</v>
      </c>
      <c r="M1076" s="7" t="s">
        <v>1342</v>
      </c>
      <c r="N1076" s="7" t="s">
        <v>53</v>
      </c>
      <c r="O1076" s="10" t="n">
        <f aca="false">'Exec Summary'!$E$2-H1076</f>
        <v>260</v>
      </c>
      <c r="P1076" s="10" t="n">
        <f aca="false">IF(I1076="","",I1076-H1076)</f>
        <v>18</v>
      </c>
      <c r="Q1076" s="10" t="n">
        <f aca="false">VLOOKUP(G1076,$AA$2:$AB$5,2,FALSE())</f>
        <v>30</v>
      </c>
      <c r="R1076" s="7" t="n">
        <f aca="false">IF(OR(F1076="Open",F1076="Reopened"),1,0)</f>
        <v>0</v>
      </c>
      <c r="S1076" s="7" t="n">
        <f aca="false">IF(AND(H1076&gt;='Exec Summary'!$E$1,H1076&lt;='Exec Summary'!$E$2),1,0)</f>
        <v>0</v>
      </c>
      <c r="T1076" s="7" t="n">
        <f aca="false">IF(AND(F1076="Closed",I1076&lt;&gt;"",I1076&gt;='Exec Summary'!$E$1,I1076&lt;='Exec Summary'!$E$2),1,0)</f>
        <v>0</v>
      </c>
      <c r="U1076" s="7" t="n">
        <f aca="false">IF(F1076="Reopened",1,0)</f>
        <v>0</v>
      </c>
      <c r="V1076" s="7" t="n">
        <f aca="false">IF(AND(R1076=1,O1076&gt;Q1076),1,0)</f>
        <v>0</v>
      </c>
      <c r="W1076" s="7" t="n">
        <f aca="false">IF(AND(T1076=1,P1076&lt;&gt;"",P1076&lt;=Q1076),1,0)</f>
        <v>0</v>
      </c>
    </row>
    <row r="1077" customFormat="false" ht="15" hidden="false" customHeight="false" outlineLevel="0" collapsed="false">
      <c r="A1077" s="7" t="s">
        <v>1343</v>
      </c>
      <c r="B1077" s="7" t="s">
        <v>135</v>
      </c>
      <c r="C1077" s="7" t="s">
        <v>247</v>
      </c>
      <c r="D1077" s="7" t="s">
        <v>152</v>
      </c>
      <c r="E1077" s="7" t="s">
        <v>153</v>
      </c>
      <c r="F1077" s="7" t="s">
        <v>56</v>
      </c>
      <c r="G1077" s="7" t="s">
        <v>20</v>
      </c>
      <c r="H1077" s="9" t="n">
        <v>46071</v>
      </c>
      <c r="I1077" s="9"/>
      <c r="J1077" s="7" t="n">
        <v>7.5</v>
      </c>
      <c r="K1077" s="7" t="s">
        <v>1184</v>
      </c>
      <c r="L1077" s="7" t="s">
        <v>21</v>
      </c>
      <c r="M1077" s="7" t="s">
        <v>1344</v>
      </c>
      <c r="N1077" s="7" t="s">
        <v>53</v>
      </c>
      <c r="O1077" s="10" t="n">
        <f aca="false">'Exec Summary'!$E$2-H1077</f>
        <v>163</v>
      </c>
      <c r="P1077" s="10" t="str">
        <f aca="false">IF(I1077="","",I1077-H1077)</f>
        <v/>
      </c>
      <c r="Q1077" s="10" t="n">
        <f aca="false">VLOOKUP(G1077,$AA$2:$AB$5,2,FALSE())</f>
        <v>30</v>
      </c>
      <c r="R1077" s="7" t="n">
        <f aca="false">IF(OR(F1077="Open",F1077="Reopened"),1,0)</f>
        <v>1</v>
      </c>
      <c r="S1077" s="7" t="n">
        <f aca="false">IF(AND(H1077&gt;='Exec Summary'!$E$1,H1077&lt;='Exec Summary'!$E$2),1,0)</f>
        <v>0</v>
      </c>
      <c r="T1077" s="7" t="n">
        <f aca="false">IF(AND(F1077="Closed",I1077&lt;&gt;"",I1077&gt;='Exec Summary'!$E$1,I1077&lt;='Exec Summary'!$E$2),1,0)</f>
        <v>0</v>
      </c>
      <c r="U1077" s="7" t="n">
        <f aca="false">IF(F1077="Reopened",1,0)</f>
        <v>0</v>
      </c>
      <c r="V1077" s="7" t="n">
        <f aca="false">IF(AND(R1077=1,O1077&gt;Q1077),1,0)</f>
        <v>1</v>
      </c>
      <c r="W1077" s="7" t="n">
        <f aca="false">IF(AND(T1077=1,P1077&lt;&gt;"",P1077&lt;=Q1077),1,0)</f>
        <v>0</v>
      </c>
    </row>
    <row r="1078" customFormat="false" ht="15" hidden="false" customHeight="false" outlineLevel="0" collapsed="false">
      <c r="A1078" s="7" t="s">
        <v>1343</v>
      </c>
      <c r="B1078" s="7" t="s">
        <v>135</v>
      </c>
      <c r="C1078" s="7" t="s">
        <v>247</v>
      </c>
      <c r="D1078" s="7" t="s">
        <v>192</v>
      </c>
      <c r="E1078" s="7" t="s">
        <v>193</v>
      </c>
      <c r="F1078" s="7" t="s">
        <v>50</v>
      </c>
      <c r="G1078" s="7" t="s">
        <v>19</v>
      </c>
      <c r="H1078" s="9" t="n">
        <v>45969</v>
      </c>
      <c r="I1078" s="9" t="n">
        <v>45993</v>
      </c>
      <c r="J1078" s="7" t="n">
        <v>9.8</v>
      </c>
      <c r="K1078" s="7" t="s">
        <v>1184</v>
      </c>
      <c r="L1078" s="7" t="s">
        <v>21</v>
      </c>
      <c r="M1078" s="7" t="s">
        <v>1345</v>
      </c>
      <c r="N1078" s="7" t="s">
        <v>58</v>
      </c>
      <c r="O1078" s="10" t="n">
        <f aca="false">'Exec Summary'!$E$2-H1078</f>
        <v>265</v>
      </c>
      <c r="P1078" s="10" t="n">
        <f aca="false">IF(I1078="","",I1078-H1078)</f>
        <v>24</v>
      </c>
      <c r="Q1078" s="10" t="n">
        <f aca="false">VLOOKUP(G1078,$AA$2:$AB$5,2,FALSE())</f>
        <v>15</v>
      </c>
      <c r="R1078" s="7" t="n">
        <f aca="false">IF(OR(F1078="Open",F1078="Reopened"),1,0)</f>
        <v>0</v>
      </c>
      <c r="S1078" s="7" t="n">
        <f aca="false">IF(AND(H1078&gt;='Exec Summary'!$E$1,H1078&lt;='Exec Summary'!$E$2),1,0)</f>
        <v>0</v>
      </c>
      <c r="T1078" s="7" t="n">
        <f aca="false">IF(AND(F1078="Closed",I1078&lt;&gt;"",I1078&gt;='Exec Summary'!$E$1,I1078&lt;='Exec Summary'!$E$2),1,0)</f>
        <v>0</v>
      </c>
      <c r="U1078" s="7" t="n">
        <f aca="false">IF(F1078="Reopened",1,0)</f>
        <v>0</v>
      </c>
      <c r="V1078" s="7" t="n">
        <f aca="false">IF(AND(R1078=1,O1078&gt;Q1078),1,0)</f>
        <v>0</v>
      </c>
      <c r="W1078" s="7" t="n">
        <f aca="false">IF(AND(T1078=1,P1078&lt;&gt;"",P1078&lt;=Q1078),1,0)</f>
        <v>0</v>
      </c>
    </row>
    <row r="1079" customFormat="false" ht="15" hidden="false" customHeight="false" outlineLevel="0" collapsed="false">
      <c r="A1079" s="7" t="s">
        <v>1343</v>
      </c>
      <c r="B1079" s="7" t="s">
        <v>135</v>
      </c>
      <c r="C1079" s="7" t="s">
        <v>247</v>
      </c>
      <c r="D1079" s="7" t="s">
        <v>87</v>
      </c>
      <c r="E1079" s="7" t="s">
        <v>88</v>
      </c>
      <c r="F1079" s="7" t="s">
        <v>56</v>
      </c>
      <c r="G1079" s="7" t="s">
        <v>19</v>
      </c>
      <c r="H1079" s="9" t="n">
        <v>45988</v>
      </c>
      <c r="I1079" s="9"/>
      <c r="J1079" s="7" t="n">
        <v>10</v>
      </c>
      <c r="K1079" s="7" t="s">
        <v>1184</v>
      </c>
      <c r="L1079" s="7" t="s">
        <v>21</v>
      </c>
      <c r="M1079" s="7" t="s">
        <v>1346</v>
      </c>
      <c r="N1079" s="7" t="s">
        <v>58</v>
      </c>
      <c r="O1079" s="10" t="n">
        <f aca="false">'Exec Summary'!$E$2-H1079</f>
        <v>246</v>
      </c>
      <c r="P1079" s="10" t="str">
        <f aca="false">IF(I1079="","",I1079-H1079)</f>
        <v/>
      </c>
      <c r="Q1079" s="10" t="n">
        <f aca="false">VLOOKUP(G1079,$AA$2:$AB$5,2,FALSE())</f>
        <v>15</v>
      </c>
      <c r="R1079" s="7" t="n">
        <f aca="false">IF(OR(F1079="Open",F1079="Reopened"),1,0)</f>
        <v>1</v>
      </c>
      <c r="S1079" s="7" t="n">
        <f aca="false">IF(AND(H1079&gt;='Exec Summary'!$E$1,H1079&lt;='Exec Summary'!$E$2),1,0)</f>
        <v>0</v>
      </c>
      <c r="T1079" s="7" t="n">
        <f aca="false">IF(AND(F1079="Closed",I1079&lt;&gt;"",I1079&gt;='Exec Summary'!$E$1,I1079&lt;='Exec Summary'!$E$2),1,0)</f>
        <v>0</v>
      </c>
      <c r="U1079" s="7" t="n">
        <f aca="false">IF(F1079="Reopened",1,0)</f>
        <v>0</v>
      </c>
      <c r="V1079" s="7" t="n">
        <f aca="false">IF(AND(R1079=1,O1079&gt;Q1079),1,0)</f>
        <v>1</v>
      </c>
      <c r="W1079" s="7" t="n">
        <f aca="false">IF(AND(T1079=1,P1079&lt;&gt;"",P1079&lt;=Q1079),1,0)</f>
        <v>0</v>
      </c>
    </row>
    <row r="1080" customFormat="false" ht="15" hidden="false" customHeight="false" outlineLevel="0" collapsed="false">
      <c r="A1080" s="7" t="s">
        <v>1343</v>
      </c>
      <c r="B1080" s="7" t="s">
        <v>135</v>
      </c>
      <c r="C1080" s="7" t="s">
        <v>247</v>
      </c>
      <c r="D1080" s="7" t="s">
        <v>62</v>
      </c>
      <c r="E1080" s="7" t="s">
        <v>63</v>
      </c>
      <c r="F1080" s="7" t="s">
        <v>56</v>
      </c>
      <c r="G1080" s="7" t="s">
        <v>20</v>
      </c>
      <c r="H1080" s="9" t="n">
        <v>46174</v>
      </c>
      <c r="I1080" s="9"/>
      <c r="J1080" s="7" t="n">
        <v>8.1</v>
      </c>
      <c r="K1080" s="7" t="s">
        <v>1184</v>
      </c>
      <c r="L1080" s="7" t="s">
        <v>21</v>
      </c>
      <c r="M1080" s="7" t="s">
        <v>1347</v>
      </c>
      <c r="N1080" s="7" t="s">
        <v>53</v>
      </c>
      <c r="O1080" s="10" t="n">
        <f aca="false">'Exec Summary'!$E$2-H1080</f>
        <v>60</v>
      </c>
      <c r="P1080" s="10" t="str">
        <f aca="false">IF(I1080="","",I1080-H1080)</f>
        <v/>
      </c>
      <c r="Q1080" s="10" t="n">
        <f aca="false">VLOOKUP(G1080,$AA$2:$AB$5,2,FALSE())</f>
        <v>30</v>
      </c>
      <c r="R1080" s="7" t="n">
        <f aca="false">IF(OR(F1080="Open",F1080="Reopened"),1,0)</f>
        <v>1</v>
      </c>
      <c r="S1080" s="7" t="n">
        <f aca="false">IF(AND(H1080&gt;='Exec Summary'!$E$1,H1080&lt;='Exec Summary'!$E$2),1,0)</f>
        <v>0</v>
      </c>
      <c r="T1080" s="7" t="n">
        <f aca="false">IF(AND(F1080="Closed",I1080&lt;&gt;"",I1080&gt;='Exec Summary'!$E$1,I1080&lt;='Exec Summary'!$E$2),1,0)</f>
        <v>0</v>
      </c>
      <c r="U1080" s="7" t="n">
        <f aca="false">IF(F1080="Reopened",1,0)</f>
        <v>0</v>
      </c>
      <c r="V1080" s="7" t="n">
        <f aca="false">IF(AND(R1080=1,O1080&gt;Q1080),1,0)</f>
        <v>1</v>
      </c>
      <c r="W1080" s="7" t="n">
        <f aca="false">IF(AND(T1080=1,P1080&lt;&gt;"",P1080&lt;=Q1080),1,0)</f>
        <v>0</v>
      </c>
    </row>
    <row r="1081" customFormat="false" ht="15" hidden="false" customHeight="false" outlineLevel="0" collapsed="false">
      <c r="A1081" s="7" t="s">
        <v>1343</v>
      </c>
      <c r="B1081" s="7" t="s">
        <v>135</v>
      </c>
      <c r="C1081" s="7" t="s">
        <v>247</v>
      </c>
      <c r="D1081" s="7" t="s">
        <v>84</v>
      </c>
      <c r="E1081" s="7" t="s">
        <v>85</v>
      </c>
      <c r="F1081" s="7" t="s">
        <v>50</v>
      </c>
      <c r="G1081" s="7" t="s">
        <v>20</v>
      </c>
      <c r="H1081" s="9" t="n">
        <v>46211</v>
      </c>
      <c r="I1081" s="9" t="n">
        <v>46234</v>
      </c>
      <c r="J1081" s="7" t="n">
        <v>7.5</v>
      </c>
      <c r="K1081" s="7" t="s">
        <v>1184</v>
      </c>
      <c r="L1081" s="7" t="s">
        <v>21</v>
      </c>
      <c r="M1081" s="7" t="s">
        <v>1348</v>
      </c>
      <c r="N1081" s="7" t="s">
        <v>53</v>
      </c>
      <c r="O1081" s="10" t="n">
        <f aca="false">'Exec Summary'!$E$2-H1081</f>
        <v>23</v>
      </c>
      <c r="P1081" s="10" t="n">
        <f aca="false">IF(I1081="","",I1081-H1081)</f>
        <v>23</v>
      </c>
      <c r="Q1081" s="10" t="n">
        <f aca="false">VLOOKUP(G1081,$AA$2:$AB$5,2,FALSE())</f>
        <v>30</v>
      </c>
      <c r="R1081" s="7" t="n">
        <f aca="false">IF(OR(F1081="Open",F1081="Reopened"),1,0)</f>
        <v>0</v>
      </c>
      <c r="S1081" s="7" t="n">
        <f aca="false">IF(AND(H1081&gt;='Exec Summary'!$E$1,H1081&lt;='Exec Summary'!$E$2),1,0)</f>
        <v>1</v>
      </c>
      <c r="T1081" s="7" t="n">
        <f aca="false">IF(AND(F1081="Closed",I1081&lt;&gt;"",I1081&gt;='Exec Summary'!$E$1,I1081&lt;='Exec Summary'!$E$2),1,0)</f>
        <v>1</v>
      </c>
      <c r="U1081" s="7" t="n">
        <f aca="false">IF(F1081="Reopened",1,0)</f>
        <v>0</v>
      </c>
      <c r="V1081" s="7" t="n">
        <f aca="false">IF(AND(R1081=1,O1081&gt;Q1081),1,0)</f>
        <v>0</v>
      </c>
      <c r="W1081" s="7" t="n">
        <f aca="false">IF(AND(T1081=1,P1081&lt;&gt;"",P1081&lt;=Q1081),1,0)</f>
        <v>1</v>
      </c>
    </row>
    <row r="1082" customFormat="false" ht="15" hidden="false" customHeight="false" outlineLevel="0" collapsed="false">
      <c r="A1082" s="7" t="s">
        <v>1343</v>
      </c>
      <c r="B1082" s="7" t="s">
        <v>135</v>
      </c>
      <c r="C1082" s="7" t="s">
        <v>247</v>
      </c>
      <c r="D1082" s="7" t="s">
        <v>117</v>
      </c>
      <c r="E1082" s="7" t="s">
        <v>118</v>
      </c>
      <c r="F1082" s="7" t="s">
        <v>50</v>
      </c>
      <c r="G1082" s="7" t="s">
        <v>19</v>
      </c>
      <c r="H1082" s="9" t="n">
        <v>45975</v>
      </c>
      <c r="I1082" s="9" t="n">
        <v>45999</v>
      </c>
      <c r="J1082" s="7" t="n">
        <v>10</v>
      </c>
      <c r="K1082" s="7" t="s">
        <v>1184</v>
      </c>
      <c r="L1082" s="7" t="s">
        <v>21</v>
      </c>
      <c r="M1082" s="7" t="s">
        <v>1349</v>
      </c>
      <c r="N1082" s="7" t="s">
        <v>58</v>
      </c>
      <c r="O1082" s="10" t="n">
        <f aca="false">'Exec Summary'!$E$2-H1082</f>
        <v>259</v>
      </c>
      <c r="P1082" s="10" t="n">
        <f aca="false">IF(I1082="","",I1082-H1082)</f>
        <v>24</v>
      </c>
      <c r="Q1082" s="10" t="n">
        <f aca="false">VLOOKUP(G1082,$AA$2:$AB$5,2,FALSE())</f>
        <v>15</v>
      </c>
      <c r="R1082" s="7" t="n">
        <f aca="false">IF(OR(F1082="Open",F1082="Reopened"),1,0)</f>
        <v>0</v>
      </c>
      <c r="S1082" s="7" t="n">
        <f aca="false">IF(AND(H1082&gt;='Exec Summary'!$E$1,H1082&lt;='Exec Summary'!$E$2),1,0)</f>
        <v>0</v>
      </c>
      <c r="T1082" s="7" t="n">
        <f aca="false">IF(AND(F1082="Closed",I1082&lt;&gt;"",I1082&gt;='Exec Summary'!$E$1,I1082&lt;='Exec Summary'!$E$2),1,0)</f>
        <v>0</v>
      </c>
      <c r="U1082" s="7" t="n">
        <f aca="false">IF(F1082="Reopened",1,0)</f>
        <v>0</v>
      </c>
      <c r="V1082" s="7" t="n">
        <f aca="false">IF(AND(R1082=1,O1082&gt;Q1082),1,0)</f>
        <v>0</v>
      </c>
      <c r="W1082" s="7" t="n">
        <f aca="false">IF(AND(T1082=1,P1082&lt;&gt;"",P1082&lt;=Q1082),1,0)</f>
        <v>0</v>
      </c>
    </row>
    <row r="1083" customFormat="false" ht="15" hidden="false" customHeight="false" outlineLevel="0" collapsed="false">
      <c r="A1083" s="7" t="s">
        <v>1343</v>
      </c>
      <c r="B1083" s="7" t="s">
        <v>135</v>
      </c>
      <c r="C1083" s="7" t="s">
        <v>247</v>
      </c>
      <c r="D1083" s="7" t="s">
        <v>163</v>
      </c>
      <c r="E1083" s="7" t="s">
        <v>164</v>
      </c>
      <c r="F1083" s="7" t="s">
        <v>50</v>
      </c>
      <c r="G1083" s="7" t="s">
        <v>19</v>
      </c>
      <c r="H1083" s="9" t="n">
        <v>45942</v>
      </c>
      <c r="I1083" s="9" t="n">
        <v>45952</v>
      </c>
      <c r="J1083" s="7" t="n">
        <v>9.1</v>
      </c>
      <c r="K1083" s="7" t="s">
        <v>1184</v>
      </c>
      <c r="L1083" s="7" t="s">
        <v>21</v>
      </c>
      <c r="M1083" s="7" t="s">
        <v>1350</v>
      </c>
      <c r="N1083" s="7" t="s">
        <v>58</v>
      </c>
      <c r="O1083" s="10" t="n">
        <f aca="false">'Exec Summary'!$E$2-H1083</f>
        <v>292</v>
      </c>
      <c r="P1083" s="10" t="n">
        <f aca="false">IF(I1083="","",I1083-H1083)</f>
        <v>10</v>
      </c>
      <c r="Q1083" s="10" t="n">
        <f aca="false">VLOOKUP(G1083,$AA$2:$AB$5,2,FALSE())</f>
        <v>15</v>
      </c>
      <c r="R1083" s="7" t="n">
        <f aca="false">IF(OR(F1083="Open",F1083="Reopened"),1,0)</f>
        <v>0</v>
      </c>
      <c r="S1083" s="7" t="n">
        <f aca="false">IF(AND(H1083&gt;='Exec Summary'!$E$1,H1083&lt;='Exec Summary'!$E$2),1,0)</f>
        <v>0</v>
      </c>
      <c r="T1083" s="7" t="n">
        <f aca="false">IF(AND(F1083="Closed",I1083&lt;&gt;"",I1083&gt;='Exec Summary'!$E$1,I1083&lt;='Exec Summary'!$E$2),1,0)</f>
        <v>0</v>
      </c>
      <c r="U1083" s="7" t="n">
        <f aca="false">IF(F1083="Reopened",1,0)</f>
        <v>0</v>
      </c>
      <c r="V1083" s="7" t="n">
        <f aca="false">IF(AND(R1083=1,O1083&gt;Q1083),1,0)</f>
        <v>0</v>
      </c>
      <c r="W1083" s="7" t="n">
        <f aca="false">IF(AND(T1083=1,P1083&lt;&gt;"",P1083&lt;=Q1083),1,0)</f>
        <v>0</v>
      </c>
    </row>
    <row r="1084" customFormat="false" ht="15" hidden="false" customHeight="false" outlineLevel="0" collapsed="false">
      <c r="A1084" s="7" t="s">
        <v>1351</v>
      </c>
      <c r="B1084" s="7" t="s">
        <v>46</v>
      </c>
      <c r="C1084" s="7" t="s">
        <v>177</v>
      </c>
      <c r="D1084" s="7" t="s">
        <v>206</v>
      </c>
      <c r="E1084" s="7" t="s">
        <v>207</v>
      </c>
      <c r="F1084" s="7" t="s">
        <v>50</v>
      </c>
      <c r="G1084" s="7" t="s">
        <v>20</v>
      </c>
      <c r="H1084" s="9" t="n">
        <v>46204</v>
      </c>
      <c r="I1084" s="9" t="n">
        <v>46219</v>
      </c>
      <c r="J1084" s="7" t="n">
        <v>8.8</v>
      </c>
      <c r="K1084" s="7" t="s">
        <v>1184</v>
      </c>
      <c r="L1084" s="7" t="s">
        <v>20</v>
      </c>
      <c r="M1084" s="7" t="s">
        <v>1352</v>
      </c>
      <c r="N1084" s="7" t="s">
        <v>53</v>
      </c>
      <c r="O1084" s="10" t="n">
        <f aca="false">'Exec Summary'!$E$2-H1084</f>
        <v>30</v>
      </c>
      <c r="P1084" s="10" t="n">
        <f aca="false">IF(I1084="","",I1084-H1084)</f>
        <v>15</v>
      </c>
      <c r="Q1084" s="10" t="n">
        <f aca="false">VLOOKUP(G1084,$AA$2:$AB$5,2,FALSE())</f>
        <v>30</v>
      </c>
      <c r="R1084" s="7" t="n">
        <f aca="false">IF(OR(F1084="Open",F1084="Reopened"),1,0)</f>
        <v>0</v>
      </c>
      <c r="S1084" s="7" t="n">
        <f aca="false">IF(AND(H1084&gt;='Exec Summary'!$E$1,H1084&lt;='Exec Summary'!$E$2),1,0)</f>
        <v>1</v>
      </c>
      <c r="T1084" s="7" t="n">
        <f aca="false">IF(AND(F1084="Closed",I1084&lt;&gt;"",I1084&gt;='Exec Summary'!$E$1,I1084&lt;='Exec Summary'!$E$2),1,0)</f>
        <v>1</v>
      </c>
      <c r="U1084" s="7" t="n">
        <f aca="false">IF(F1084="Reopened",1,0)</f>
        <v>0</v>
      </c>
      <c r="V1084" s="7" t="n">
        <f aca="false">IF(AND(R1084=1,O1084&gt;Q1084),1,0)</f>
        <v>0</v>
      </c>
      <c r="W1084" s="7" t="n">
        <f aca="false">IF(AND(T1084=1,P1084&lt;&gt;"",P1084&lt;=Q1084),1,0)</f>
        <v>1</v>
      </c>
    </row>
    <row r="1085" customFormat="false" ht="15" hidden="false" customHeight="false" outlineLevel="0" collapsed="false">
      <c r="A1085" s="7" t="s">
        <v>1351</v>
      </c>
      <c r="B1085" s="7" t="s">
        <v>46</v>
      </c>
      <c r="C1085" s="7" t="s">
        <v>177</v>
      </c>
      <c r="D1085" s="7" t="s">
        <v>152</v>
      </c>
      <c r="E1085" s="7" t="s">
        <v>153</v>
      </c>
      <c r="F1085" s="7" t="s">
        <v>50</v>
      </c>
      <c r="G1085" s="7" t="s">
        <v>20</v>
      </c>
      <c r="H1085" s="9" t="n">
        <v>46081</v>
      </c>
      <c r="I1085" s="9" t="n">
        <v>46082</v>
      </c>
      <c r="J1085" s="7" t="n">
        <v>7.5</v>
      </c>
      <c r="K1085" s="7" t="s">
        <v>1184</v>
      </c>
      <c r="L1085" s="7" t="s">
        <v>20</v>
      </c>
      <c r="M1085" s="7" t="s">
        <v>1353</v>
      </c>
      <c r="N1085" s="7" t="s">
        <v>53</v>
      </c>
      <c r="O1085" s="10" t="n">
        <f aca="false">'Exec Summary'!$E$2-H1085</f>
        <v>153</v>
      </c>
      <c r="P1085" s="10" t="n">
        <f aca="false">IF(I1085="","",I1085-H1085)</f>
        <v>1</v>
      </c>
      <c r="Q1085" s="10" t="n">
        <f aca="false">VLOOKUP(G1085,$AA$2:$AB$5,2,FALSE())</f>
        <v>30</v>
      </c>
      <c r="R1085" s="7" t="n">
        <f aca="false">IF(OR(F1085="Open",F1085="Reopened"),1,0)</f>
        <v>0</v>
      </c>
      <c r="S1085" s="7" t="n">
        <f aca="false">IF(AND(H1085&gt;='Exec Summary'!$E$1,H1085&lt;='Exec Summary'!$E$2),1,0)</f>
        <v>0</v>
      </c>
      <c r="T1085" s="7" t="n">
        <f aca="false">IF(AND(F1085="Closed",I1085&lt;&gt;"",I1085&gt;='Exec Summary'!$E$1,I1085&lt;='Exec Summary'!$E$2),1,0)</f>
        <v>0</v>
      </c>
      <c r="U1085" s="7" t="n">
        <f aca="false">IF(F1085="Reopened",1,0)</f>
        <v>0</v>
      </c>
      <c r="V1085" s="7" t="n">
        <f aca="false">IF(AND(R1085=1,O1085&gt;Q1085),1,0)</f>
        <v>0</v>
      </c>
      <c r="W1085" s="7" t="n">
        <f aca="false">IF(AND(T1085=1,P1085&lt;&gt;"",P1085&lt;=Q1085),1,0)</f>
        <v>0</v>
      </c>
    </row>
    <row r="1086" customFormat="false" ht="15" hidden="false" customHeight="false" outlineLevel="0" collapsed="false">
      <c r="A1086" s="7" t="s">
        <v>1351</v>
      </c>
      <c r="B1086" s="7" t="s">
        <v>46</v>
      </c>
      <c r="C1086" s="7" t="s">
        <v>177</v>
      </c>
      <c r="D1086" s="7" t="s">
        <v>59</v>
      </c>
      <c r="E1086" s="7" t="s">
        <v>60</v>
      </c>
      <c r="F1086" s="7" t="s">
        <v>50</v>
      </c>
      <c r="G1086" s="7" t="s">
        <v>19</v>
      </c>
      <c r="H1086" s="9" t="n">
        <v>46188</v>
      </c>
      <c r="I1086" s="9" t="n">
        <v>46189</v>
      </c>
      <c r="J1086" s="7" t="n">
        <v>7.8</v>
      </c>
      <c r="K1086" s="7" t="s">
        <v>1184</v>
      </c>
      <c r="L1086" s="7" t="s">
        <v>20</v>
      </c>
      <c r="M1086" s="7" t="s">
        <v>1354</v>
      </c>
      <c r="N1086" s="7" t="s">
        <v>58</v>
      </c>
      <c r="O1086" s="10" t="n">
        <f aca="false">'Exec Summary'!$E$2-H1086</f>
        <v>46</v>
      </c>
      <c r="P1086" s="10" t="n">
        <f aca="false">IF(I1086="","",I1086-H1086)</f>
        <v>1</v>
      </c>
      <c r="Q1086" s="10" t="n">
        <f aca="false">VLOOKUP(G1086,$AA$2:$AB$5,2,FALSE())</f>
        <v>15</v>
      </c>
      <c r="R1086" s="7" t="n">
        <f aca="false">IF(OR(F1086="Open",F1086="Reopened"),1,0)</f>
        <v>0</v>
      </c>
      <c r="S1086" s="7" t="n">
        <f aca="false">IF(AND(H1086&gt;='Exec Summary'!$E$1,H1086&lt;='Exec Summary'!$E$2),1,0)</f>
        <v>0</v>
      </c>
      <c r="T1086" s="7" t="n">
        <f aca="false">IF(AND(F1086="Closed",I1086&lt;&gt;"",I1086&gt;='Exec Summary'!$E$1,I1086&lt;='Exec Summary'!$E$2),1,0)</f>
        <v>0</v>
      </c>
      <c r="U1086" s="7" t="n">
        <f aca="false">IF(F1086="Reopened",1,0)</f>
        <v>0</v>
      </c>
      <c r="V1086" s="7" t="n">
        <f aca="false">IF(AND(R1086=1,O1086&gt;Q1086),1,0)</f>
        <v>0</v>
      </c>
      <c r="W1086" s="7" t="n">
        <f aca="false">IF(AND(T1086=1,P1086&lt;&gt;"",P1086&lt;=Q1086),1,0)</f>
        <v>0</v>
      </c>
    </row>
    <row r="1087" customFormat="false" ht="15" hidden="false" customHeight="false" outlineLevel="0" collapsed="false">
      <c r="A1087" s="7" t="s">
        <v>1351</v>
      </c>
      <c r="B1087" s="7" t="s">
        <v>46</v>
      </c>
      <c r="C1087" s="7" t="s">
        <v>177</v>
      </c>
      <c r="D1087" s="7" t="s">
        <v>98</v>
      </c>
      <c r="E1087" s="7" t="s">
        <v>99</v>
      </c>
      <c r="F1087" s="7" t="s">
        <v>56</v>
      </c>
      <c r="G1087" s="7" t="s">
        <v>19</v>
      </c>
      <c r="H1087" s="9" t="n">
        <v>46063</v>
      </c>
      <c r="I1087" s="9"/>
      <c r="J1087" s="7" t="n">
        <v>10</v>
      </c>
      <c r="K1087" s="7" t="s">
        <v>1184</v>
      </c>
      <c r="L1087" s="7" t="s">
        <v>20</v>
      </c>
      <c r="M1087" s="7" t="s">
        <v>1355</v>
      </c>
      <c r="N1087" s="7" t="s">
        <v>58</v>
      </c>
      <c r="O1087" s="10" t="n">
        <f aca="false">'Exec Summary'!$E$2-H1087</f>
        <v>171</v>
      </c>
      <c r="P1087" s="10" t="str">
        <f aca="false">IF(I1087="","",I1087-H1087)</f>
        <v/>
      </c>
      <c r="Q1087" s="10" t="n">
        <f aca="false">VLOOKUP(G1087,$AA$2:$AB$5,2,FALSE())</f>
        <v>15</v>
      </c>
      <c r="R1087" s="7" t="n">
        <f aca="false">IF(OR(F1087="Open",F1087="Reopened"),1,0)</f>
        <v>1</v>
      </c>
      <c r="S1087" s="7" t="n">
        <f aca="false">IF(AND(H1087&gt;='Exec Summary'!$E$1,H1087&lt;='Exec Summary'!$E$2),1,0)</f>
        <v>0</v>
      </c>
      <c r="T1087" s="7" t="n">
        <f aca="false">IF(AND(F1087="Closed",I1087&lt;&gt;"",I1087&gt;='Exec Summary'!$E$1,I1087&lt;='Exec Summary'!$E$2),1,0)</f>
        <v>0</v>
      </c>
      <c r="U1087" s="7" t="n">
        <f aca="false">IF(F1087="Reopened",1,0)</f>
        <v>0</v>
      </c>
      <c r="V1087" s="7" t="n">
        <f aca="false">IF(AND(R1087=1,O1087&gt;Q1087),1,0)</f>
        <v>1</v>
      </c>
      <c r="W1087" s="7" t="n">
        <f aca="false">IF(AND(T1087=1,P1087&lt;&gt;"",P1087&lt;=Q1087),1,0)</f>
        <v>0</v>
      </c>
    </row>
    <row r="1088" customFormat="false" ht="15" hidden="false" customHeight="false" outlineLevel="0" collapsed="false">
      <c r="A1088" s="7" t="s">
        <v>1351</v>
      </c>
      <c r="B1088" s="7" t="s">
        <v>46</v>
      </c>
      <c r="C1088" s="7" t="s">
        <v>177</v>
      </c>
      <c r="D1088" s="7" t="s">
        <v>139</v>
      </c>
      <c r="E1088" s="7" t="s">
        <v>140</v>
      </c>
      <c r="F1088" s="7" t="s">
        <v>56</v>
      </c>
      <c r="G1088" s="7" t="s">
        <v>19</v>
      </c>
      <c r="H1088" s="9" t="n">
        <v>45995</v>
      </c>
      <c r="I1088" s="9"/>
      <c r="J1088" s="7" t="n">
        <v>9.8</v>
      </c>
      <c r="K1088" s="7" t="s">
        <v>1184</v>
      </c>
      <c r="L1088" s="7" t="s">
        <v>20</v>
      </c>
      <c r="M1088" s="7" t="s">
        <v>1356</v>
      </c>
      <c r="N1088" s="7" t="s">
        <v>58</v>
      </c>
      <c r="O1088" s="10" t="n">
        <f aca="false">'Exec Summary'!$E$2-H1088</f>
        <v>239</v>
      </c>
      <c r="P1088" s="10" t="str">
        <f aca="false">IF(I1088="","",I1088-H1088)</f>
        <v/>
      </c>
      <c r="Q1088" s="10" t="n">
        <f aca="false">VLOOKUP(G1088,$AA$2:$AB$5,2,FALSE())</f>
        <v>15</v>
      </c>
      <c r="R1088" s="7" t="n">
        <f aca="false">IF(OR(F1088="Open",F1088="Reopened"),1,0)</f>
        <v>1</v>
      </c>
      <c r="S1088" s="7" t="n">
        <f aca="false">IF(AND(H1088&gt;='Exec Summary'!$E$1,H1088&lt;='Exec Summary'!$E$2),1,0)</f>
        <v>0</v>
      </c>
      <c r="T1088" s="7" t="n">
        <f aca="false">IF(AND(F1088="Closed",I1088&lt;&gt;"",I1088&gt;='Exec Summary'!$E$1,I1088&lt;='Exec Summary'!$E$2),1,0)</f>
        <v>0</v>
      </c>
      <c r="U1088" s="7" t="n">
        <f aca="false">IF(F1088="Reopened",1,0)</f>
        <v>0</v>
      </c>
      <c r="V1088" s="7" t="n">
        <f aca="false">IF(AND(R1088=1,O1088&gt;Q1088),1,0)</f>
        <v>1</v>
      </c>
      <c r="W1088" s="7" t="n">
        <f aca="false">IF(AND(T1088=1,P1088&lt;&gt;"",P1088&lt;=Q1088),1,0)</f>
        <v>0</v>
      </c>
    </row>
    <row r="1089" customFormat="false" ht="15" hidden="false" customHeight="false" outlineLevel="0" collapsed="false">
      <c r="A1089" s="7" t="s">
        <v>1351</v>
      </c>
      <c r="B1089" s="7" t="s">
        <v>46</v>
      </c>
      <c r="C1089" s="7" t="s">
        <v>177</v>
      </c>
      <c r="D1089" s="7" t="s">
        <v>91</v>
      </c>
      <c r="E1089" s="7" t="s">
        <v>92</v>
      </c>
      <c r="F1089" s="7" t="s">
        <v>56</v>
      </c>
      <c r="G1089" s="7" t="s">
        <v>20</v>
      </c>
      <c r="H1089" s="9" t="n">
        <v>46001</v>
      </c>
      <c r="I1089" s="9"/>
      <c r="J1089" s="7" t="n">
        <v>8.1</v>
      </c>
      <c r="K1089" s="7" t="s">
        <v>1184</v>
      </c>
      <c r="L1089" s="7" t="s">
        <v>20</v>
      </c>
      <c r="M1089" s="7" t="s">
        <v>1357</v>
      </c>
      <c r="N1089" s="7" t="s">
        <v>53</v>
      </c>
      <c r="O1089" s="10" t="n">
        <f aca="false">'Exec Summary'!$E$2-H1089</f>
        <v>233</v>
      </c>
      <c r="P1089" s="10" t="str">
        <f aca="false">IF(I1089="","",I1089-H1089)</f>
        <v/>
      </c>
      <c r="Q1089" s="10" t="n">
        <f aca="false">VLOOKUP(G1089,$AA$2:$AB$5,2,FALSE())</f>
        <v>30</v>
      </c>
      <c r="R1089" s="7" t="n">
        <f aca="false">IF(OR(F1089="Open",F1089="Reopened"),1,0)</f>
        <v>1</v>
      </c>
      <c r="S1089" s="7" t="n">
        <f aca="false">IF(AND(H1089&gt;='Exec Summary'!$E$1,H1089&lt;='Exec Summary'!$E$2),1,0)</f>
        <v>0</v>
      </c>
      <c r="T1089" s="7" t="n">
        <f aca="false">IF(AND(F1089="Closed",I1089&lt;&gt;"",I1089&gt;='Exec Summary'!$E$1,I1089&lt;='Exec Summary'!$E$2),1,0)</f>
        <v>0</v>
      </c>
      <c r="U1089" s="7" t="n">
        <f aca="false">IF(F1089="Reopened",1,0)</f>
        <v>0</v>
      </c>
      <c r="V1089" s="7" t="n">
        <f aca="false">IF(AND(R1089=1,O1089&gt;Q1089),1,0)</f>
        <v>1</v>
      </c>
      <c r="W1089" s="7" t="n">
        <f aca="false">IF(AND(T1089=1,P1089&lt;&gt;"",P1089&lt;=Q1089),1,0)</f>
        <v>0</v>
      </c>
    </row>
    <row r="1090" customFormat="false" ht="15" hidden="false" customHeight="false" outlineLevel="0" collapsed="false">
      <c r="A1090" s="7" t="s">
        <v>1351</v>
      </c>
      <c r="B1090" s="7" t="s">
        <v>46</v>
      </c>
      <c r="C1090" s="7" t="s">
        <v>177</v>
      </c>
      <c r="D1090" s="7" t="s">
        <v>54</v>
      </c>
      <c r="E1090" s="7" t="s">
        <v>55</v>
      </c>
      <c r="F1090" s="7" t="s">
        <v>56</v>
      </c>
      <c r="G1090" s="7" t="s">
        <v>19</v>
      </c>
      <c r="H1090" s="9" t="n">
        <v>46061</v>
      </c>
      <c r="I1090" s="9"/>
      <c r="J1090" s="7" t="n">
        <v>9.8</v>
      </c>
      <c r="K1090" s="7" t="s">
        <v>1184</v>
      </c>
      <c r="L1090" s="7" t="s">
        <v>20</v>
      </c>
      <c r="M1090" s="7" t="s">
        <v>1358</v>
      </c>
      <c r="N1090" s="7" t="s">
        <v>58</v>
      </c>
      <c r="O1090" s="10" t="n">
        <f aca="false">'Exec Summary'!$E$2-H1090</f>
        <v>173</v>
      </c>
      <c r="P1090" s="10" t="str">
        <f aca="false">IF(I1090="","",I1090-H1090)</f>
        <v/>
      </c>
      <c r="Q1090" s="10" t="n">
        <f aca="false">VLOOKUP(G1090,$AA$2:$AB$5,2,FALSE())</f>
        <v>15</v>
      </c>
      <c r="R1090" s="7" t="n">
        <f aca="false">IF(OR(F1090="Open",F1090="Reopened"),1,0)</f>
        <v>1</v>
      </c>
      <c r="S1090" s="7" t="n">
        <f aca="false">IF(AND(H1090&gt;='Exec Summary'!$E$1,H1090&lt;='Exec Summary'!$E$2),1,0)</f>
        <v>0</v>
      </c>
      <c r="T1090" s="7" t="n">
        <f aca="false">IF(AND(F1090="Closed",I1090&lt;&gt;"",I1090&gt;='Exec Summary'!$E$1,I1090&lt;='Exec Summary'!$E$2),1,0)</f>
        <v>0</v>
      </c>
      <c r="U1090" s="7" t="n">
        <f aca="false">IF(F1090="Reopened",1,0)</f>
        <v>0</v>
      </c>
      <c r="V1090" s="7" t="n">
        <f aca="false">IF(AND(R1090=1,O1090&gt;Q1090),1,0)</f>
        <v>1</v>
      </c>
      <c r="W1090" s="7" t="n">
        <f aca="false">IF(AND(T1090=1,P1090&lt;&gt;"",P1090&lt;=Q1090),1,0)</f>
        <v>0</v>
      </c>
    </row>
    <row r="1091" customFormat="false" ht="15" hidden="false" customHeight="false" outlineLevel="0" collapsed="false">
      <c r="A1091" s="7" t="s">
        <v>1351</v>
      </c>
      <c r="B1091" s="7" t="s">
        <v>46</v>
      </c>
      <c r="C1091" s="7" t="s">
        <v>177</v>
      </c>
      <c r="D1091" s="7" t="s">
        <v>192</v>
      </c>
      <c r="E1091" s="7" t="s">
        <v>193</v>
      </c>
      <c r="F1091" s="7" t="s">
        <v>50</v>
      </c>
      <c r="G1091" s="7" t="s">
        <v>19</v>
      </c>
      <c r="H1091" s="9" t="n">
        <v>46136</v>
      </c>
      <c r="I1091" s="9" t="n">
        <v>46150</v>
      </c>
      <c r="J1091" s="7" t="n">
        <v>9.8</v>
      </c>
      <c r="K1091" s="7" t="s">
        <v>1184</v>
      </c>
      <c r="L1091" s="7" t="s">
        <v>20</v>
      </c>
      <c r="M1091" s="7" t="s">
        <v>1359</v>
      </c>
      <c r="N1091" s="7" t="s">
        <v>58</v>
      </c>
      <c r="O1091" s="10" t="n">
        <f aca="false">'Exec Summary'!$E$2-H1091</f>
        <v>98</v>
      </c>
      <c r="P1091" s="10" t="n">
        <f aca="false">IF(I1091="","",I1091-H1091)</f>
        <v>14</v>
      </c>
      <c r="Q1091" s="10" t="n">
        <f aca="false">VLOOKUP(G1091,$AA$2:$AB$5,2,FALSE())</f>
        <v>15</v>
      </c>
      <c r="R1091" s="7" t="n">
        <f aca="false">IF(OR(F1091="Open",F1091="Reopened"),1,0)</f>
        <v>0</v>
      </c>
      <c r="S1091" s="7" t="n">
        <f aca="false">IF(AND(H1091&gt;='Exec Summary'!$E$1,H1091&lt;='Exec Summary'!$E$2),1,0)</f>
        <v>0</v>
      </c>
      <c r="T1091" s="7" t="n">
        <f aca="false">IF(AND(F1091="Closed",I1091&lt;&gt;"",I1091&gt;='Exec Summary'!$E$1,I1091&lt;='Exec Summary'!$E$2),1,0)</f>
        <v>0</v>
      </c>
      <c r="U1091" s="7" t="n">
        <f aca="false">IF(F1091="Reopened",1,0)</f>
        <v>0</v>
      </c>
      <c r="V1091" s="7" t="n">
        <f aca="false">IF(AND(R1091=1,O1091&gt;Q1091),1,0)</f>
        <v>0</v>
      </c>
      <c r="W1091" s="7" t="n">
        <f aca="false">IF(AND(T1091=1,P1091&lt;&gt;"",P1091&lt;=Q1091),1,0)</f>
        <v>0</v>
      </c>
    </row>
    <row r="1092" customFormat="false" ht="15" hidden="false" customHeight="false" outlineLevel="0" collapsed="false">
      <c r="A1092" s="7" t="s">
        <v>1351</v>
      </c>
      <c r="B1092" s="7" t="s">
        <v>46</v>
      </c>
      <c r="C1092" s="7" t="s">
        <v>177</v>
      </c>
      <c r="D1092" s="7" t="s">
        <v>62</v>
      </c>
      <c r="E1092" s="7" t="s">
        <v>63</v>
      </c>
      <c r="F1092" s="7" t="s">
        <v>56</v>
      </c>
      <c r="G1092" s="7" t="s">
        <v>20</v>
      </c>
      <c r="H1092" s="9" t="n">
        <v>45990</v>
      </c>
      <c r="I1092" s="9"/>
      <c r="J1092" s="7" t="n">
        <v>8.1</v>
      </c>
      <c r="K1092" s="7" t="s">
        <v>1184</v>
      </c>
      <c r="L1092" s="7" t="s">
        <v>20</v>
      </c>
      <c r="M1092" s="7" t="s">
        <v>1360</v>
      </c>
      <c r="N1092" s="7" t="s">
        <v>53</v>
      </c>
      <c r="O1092" s="10" t="n">
        <f aca="false">'Exec Summary'!$E$2-H1092</f>
        <v>244</v>
      </c>
      <c r="P1092" s="10" t="str">
        <f aca="false">IF(I1092="","",I1092-H1092)</f>
        <v/>
      </c>
      <c r="Q1092" s="10" t="n">
        <f aca="false">VLOOKUP(G1092,$AA$2:$AB$5,2,FALSE())</f>
        <v>30</v>
      </c>
      <c r="R1092" s="7" t="n">
        <f aca="false">IF(OR(F1092="Open",F1092="Reopened"),1,0)</f>
        <v>1</v>
      </c>
      <c r="S1092" s="7" t="n">
        <f aca="false">IF(AND(H1092&gt;='Exec Summary'!$E$1,H1092&lt;='Exec Summary'!$E$2),1,0)</f>
        <v>0</v>
      </c>
      <c r="T1092" s="7" t="n">
        <f aca="false">IF(AND(F1092="Closed",I1092&lt;&gt;"",I1092&gt;='Exec Summary'!$E$1,I1092&lt;='Exec Summary'!$E$2),1,0)</f>
        <v>0</v>
      </c>
      <c r="U1092" s="7" t="n">
        <f aca="false">IF(F1092="Reopened",1,0)</f>
        <v>0</v>
      </c>
      <c r="V1092" s="7" t="n">
        <f aca="false">IF(AND(R1092=1,O1092&gt;Q1092),1,0)</f>
        <v>1</v>
      </c>
      <c r="W1092" s="7" t="n">
        <f aca="false">IF(AND(T1092=1,P1092&lt;&gt;"",P1092&lt;=Q1092),1,0)</f>
        <v>0</v>
      </c>
    </row>
    <row r="1093" customFormat="false" ht="15" hidden="false" customHeight="false" outlineLevel="0" collapsed="false">
      <c r="A1093" s="7" t="s">
        <v>1351</v>
      </c>
      <c r="B1093" s="7" t="s">
        <v>46</v>
      </c>
      <c r="C1093" s="7" t="s">
        <v>177</v>
      </c>
      <c r="D1093" s="7" t="s">
        <v>81</v>
      </c>
      <c r="E1093" s="7" t="s">
        <v>82</v>
      </c>
      <c r="F1093" s="7" t="s">
        <v>50</v>
      </c>
      <c r="G1093" s="7" t="s">
        <v>20</v>
      </c>
      <c r="H1093" s="9" t="n">
        <v>46145</v>
      </c>
      <c r="I1093" s="9" t="n">
        <v>46200</v>
      </c>
      <c r="J1093" s="7" t="n">
        <v>7.8</v>
      </c>
      <c r="K1093" s="7" t="s">
        <v>1184</v>
      </c>
      <c r="L1093" s="7" t="s">
        <v>20</v>
      </c>
      <c r="M1093" s="7" t="s">
        <v>1361</v>
      </c>
      <c r="N1093" s="7" t="s">
        <v>53</v>
      </c>
      <c r="O1093" s="10" t="n">
        <f aca="false">'Exec Summary'!$E$2-H1093</f>
        <v>89</v>
      </c>
      <c r="P1093" s="10" t="n">
        <f aca="false">IF(I1093="","",I1093-H1093)</f>
        <v>55</v>
      </c>
      <c r="Q1093" s="10" t="n">
        <f aca="false">VLOOKUP(G1093,$AA$2:$AB$5,2,FALSE())</f>
        <v>30</v>
      </c>
      <c r="R1093" s="7" t="n">
        <f aca="false">IF(OR(F1093="Open",F1093="Reopened"),1,0)</f>
        <v>0</v>
      </c>
      <c r="S1093" s="7" t="n">
        <f aca="false">IF(AND(H1093&gt;='Exec Summary'!$E$1,H1093&lt;='Exec Summary'!$E$2),1,0)</f>
        <v>0</v>
      </c>
      <c r="T1093" s="7" t="n">
        <f aca="false">IF(AND(F1093="Closed",I1093&lt;&gt;"",I1093&gt;='Exec Summary'!$E$1,I1093&lt;='Exec Summary'!$E$2),1,0)</f>
        <v>0</v>
      </c>
      <c r="U1093" s="7" t="n">
        <f aca="false">IF(F1093="Reopened",1,0)</f>
        <v>0</v>
      </c>
      <c r="V1093" s="7" t="n">
        <f aca="false">IF(AND(R1093=1,O1093&gt;Q1093),1,0)</f>
        <v>0</v>
      </c>
      <c r="W1093" s="7" t="n">
        <f aca="false">IF(AND(T1093=1,P1093&lt;&gt;"",P1093&lt;=Q1093),1,0)</f>
        <v>0</v>
      </c>
    </row>
    <row r="1094" customFormat="false" ht="15" hidden="false" customHeight="false" outlineLevel="0" collapsed="false">
      <c r="A1094" s="7" t="s">
        <v>1351</v>
      </c>
      <c r="B1094" s="7" t="s">
        <v>46</v>
      </c>
      <c r="C1094" s="7" t="s">
        <v>177</v>
      </c>
      <c r="D1094" s="7" t="s">
        <v>65</v>
      </c>
      <c r="E1094" s="7" t="s">
        <v>66</v>
      </c>
      <c r="F1094" s="7" t="s">
        <v>56</v>
      </c>
      <c r="G1094" s="7" t="s">
        <v>19</v>
      </c>
      <c r="H1094" s="9" t="n">
        <v>46009</v>
      </c>
      <c r="I1094" s="9"/>
      <c r="J1094" s="7" t="n">
        <v>9.8</v>
      </c>
      <c r="K1094" s="7" t="s">
        <v>1184</v>
      </c>
      <c r="L1094" s="7" t="s">
        <v>20</v>
      </c>
      <c r="M1094" s="7" t="s">
        <v>1362</v>
      </c>
      <c r="N1094" s="7" t="s">
        <v>58</v>
      </c>
      <c r="O1094" s="10" t="n">
        <f aca="false">'Exec Summary'!$E$2-H1094</f>
        <v>225</v>
      </c>
      <c r="P1094" s="10" t="str">
        <f aca="false">IF(I1094="","",I1094-H1094)</f>
        <v/>
      </c>
      <c r="Q1094" s="10" t="n">
        <f aca="false">VLOOKUP(G1094,$AA$2:$AB$5,2,FALSE())</f>
        <v>15</v>
      </c>
      <c r="R1094" s="7" t="n">
        <f aca="false">IF(OR(F1094="Open",F1094="Reopened"),1,0)</f>
        <v>1</v>
      </c>
      <c r="S1094" s="7" t="n">
        <f aca="false">IF(AND(H1094&gt;='Exec Summary'!$E$1,H1094&lt;='Exec Summary'!$E$2),1,0)</f>
        <v>0</v>
      </c>
      <c r="T1094" s="7" t="n">
        <f aca="false">IF(AND(F1094="Closed",I1094&lt;&gt;"",I1094&gt;='Exec Summary'!$E$1,I1094&lt;='Exec Summary'!$E$2),1,0)</f>
        <v>0</v>
      </c>
      <c r="U1094" s="7" t="n">
        <f aca="false">IF(F1094="Reopened",1,0)</f>
        <v>0</v>
      </c>
      <c r="V1094" s="7" t="n">
        <f aca="false">IF(AND(R1094=1,O1094&gt;Q1094),1,0)</f>
        <v>1</v>
      </c>
      <c r="W1094" s="7" t="n">
        <f aca="false">IF(AND(T1094=1,P1094&lt;&gt;"",P1094&lt;=Q1094),1,0)</f>
        <v>0</v>
      </c>
    </row>
    <row r="1095" customFormat="false" ht="15" hidden="false" customHeight="false" outlineLevel="0" collapsed="false">
      <c r="A1095" s="7" t="s">
        <v>1351</v>
      </c>
      <c r="B1095" s="7" t="s">
        <v>46</v>
      </c>
      <c r="C1095" s="7" t="s">
        <v>177</v>
      </c>
      <c r="D1095" s="7" t="s">
        <v>145</v>
      </c>
      <c r="E1095" s="7" t="s">
        <v>146</v>
      </c>
      <c r="F1095" s="7" t="s">
        <v>50</v>
      </c>
      <c r="G1095" s="7" t="s">
        <v>19</v>
      </c>
      <c r="H1095" s="9" t="n">
        <v>46122</v>
      </c>
      <c r="I1095" s="9" t="n">
        <v>46124</v>
      </c>
      <c r="J1095" s="7" t="n">
        <v>9.8</v>
      </c>
      <c r="K1095" s="7" t="s">
        <v>1184</v>
      </c>
      <c r="L1095" s="7" t="s">
        <v>20</v>
      </c>
      <c r="M1095" s="7" t="s">
        <v>1363</v>
      </c>
      <c r="N1095" s="7" t="s">
        <v>58</v>
      </c>
      <c r="O1095" s="10" t="n">
        <f aca="false">'Exec Summary'!$E$2-H1095</f>
        <v>112</v>
      </c>
      <c r="P1095" s="10" t="n">
        <f aca="false">IF(I1095="","",I1095-H1095)</f>
        <v>2</v>
      </c>
      <c r="Q1095" s="10" t="n">
        <f aca="false">VLOOKUP(G1095,$AA$2:$AB$5,2,FALSE())</f>
        <v>15</v>
      </c>
      <c r="R1095" s="7" t="n">
        <f aca="false">IF(OR(F1095="Open",F1095="Reopened"),1,0)</f>
        <v>0</v>
      </c>
      <c r="S1095" s="7" t="n">
        <f aca="false">IF(AND(H1095&gt;='Exec Summary'!$E$1,H1095&lt;='Exec Summary'!$E$2),1,0)</f>
        <v>0</v>
      </c>
      <c r="T1095" s="7" t="n">
        <f aca="false">IF(AND(F1095="Closed",I1095&lt;&gt;"",I1095&gt;='Exec Summary'!$E$1,I1095&lt;='Exec Summary'!$E$2),1,0)</f>
        <v>0</v>
      </c>
      <c r="U1095" s="7" t="n">
        <f aca="false">IF(F1095="Reopened",1,0)</f>
        <v>0</v>
      </c>
      <c r="V1095" s="7" t="n">
        <f aca="false">IF(AND(R1095=1,O1095&gt;Q1095),1,0)</f>
        <v>0</v>
      </c>
      <c r="W1095" s="7" t="n">
        <f aca="false">IF(AND(T1095=1,P1095&lt;&gt;"",P1095&lt;=Q1095),1,0)</f>
        <v>0</v>
      </c>
    </row>
    <row r="1096" customFormat="false" ht="15" hidden="false" customHeight="false" outlineLevel="0" collapsed="false">
      <c r="A1096" s="7" t="s">
        <v>1351</v>
      </c>
      <c r="B1096" s="7" t="s">
        <v>46</v>
      </c>
      <c r="C1096" s="7" t="s">
        <v>177</v>
      </c>
      <c r="D1096" s="7" t="s">
        <v>104</v>
      </c>
      <c r="E1096" s="7" t="s">
        <v>105</v>
      </c>
      <c r="F1096" s="7" t="s">
        <v>56</v>
      </c>
      <c r="G1096" s="7" t="s">
        <v>19</v>
      </c>
      <c r="H1096" s="9" t="n">
        <v>46037</v>
      </c>
      <c r="I1096" s="9"/>
      <c r="J1096" s="7" t="n">
        <v>9.8</v>
      </c>
      <c r="K1096" s="7" t="s">
        <v>1184</v>
      </c>
      <c r="L1096" s="7" t="s">
        <v>20</v>
      </c>
      <c r="M1096" s="7" t="s">
        <v>1364</v>
      </c>
      <c r="N1096" s="7" t="s">
        <v>58</v>
      </c>
      <c r="O1096" s="10" t="n">
        <f aca="false">'Exec Summary'!$E$2-H1096</f>
        <v>197</v>
      </c>
      <c r="P1096" s="10" t="str">
        <f aca="false">IF(I1096="","",I1096-H1096)</f>
        <v/>
      </c>
      <c r="Q1096" s="10" t="n">
        <f aca="false">VLOOKUP(G1096,$AA$2:$AB$5,2,FALSE())</f>
        <v>15</v>
      </c>
      <c r="R1096" s="7" t="n">
        <f aca="false">IF(OR(F1096="Open",F1096="Reopened"),1,0)</f>
        <v>1</v>
      </c>
      <c r="S1096" s="7" t="n">
        <f aca="false">IF(AND(H1096&gt;='Exec Summary'!$E$1,H1096&lt;='Exec Summary'!$E$2),1,0)</f>
        <v>0</v>
      </c>
      <c r="T1096" s="7" t="n">
        <f aca="false">IF(AND(F1096="Closed",I1096&lt;&gt;"",I1096&gt;='Exec Summary'!$E$1,I1096&lt;='Exec Summary'!$E$2),1,0)</f>
        <v>0</v>
      </c>
      <c r="U1096" s="7" t="n">
        <f aca="false">IF(F1096="Reopened",1,0)</f>
        <v>0</v>
      </c>
      <c r="V1096" s="7" t="n">
        <f aca="false">IF(AND(R1096=1,O1096&gt;Q1096),1,0)</f>
        <v>1</v>
      </c>
      <c r="W1096" s="7" t="n">
        <f aca="false">IF(AND(T1096=1,P1096&lt;&gt;"",P1096&lt;=Q1096),1,0)</f>
        <v>0</v>
      </c>
    </row>
    <row r="1097" customFormat="false" ht="15" hidden="false" customHeight="false" outlineLevel="0" collapsed="false">
      <c r="A1097" s="7" t="s">
        <v>1365</v>
      </c>
      <c r="B1097" s="7" t="s">
        <v>46</v>
      </c>
      <c r="C1097" s="7" t="s">
        <v>47</v>
      </c>
      <c r="D1097" s="7" t="s">
        <v>95</v>
      </c>
      <c r="E1097" s="7" t="s">
        <v>96</v>
      </c>
      <c r="F1097" s="7" t="s">
        <v>56</v>
      </c>
      <c r="G1097" s="7" t="s">
        <v>20</v>
      </c>
      <c r="H1097" s="9" t="n">
        <v>45965</v>
      </c>
      <c r="I1097" s="9"/>
      <c r="J1097" s="7" t="n">
        <v>8.8</v>
      </c>
      <c r="K1097" s="7" t="s">
        <v>1184</v>
      </c>
      <c r="L1097" s="7" t="s">
        <v>20</v>
      </c>
      <c r="M1097" s="7" t="s">
        <v>1366</v>
      </c>
      <c r="N1097" s="7" t="s">
        <v>53</v>
      </c>
      <c r="O1097" s="10" t="n">
        <f aca="false">'Exec Summary'!$E$2-H1097</f>
        <v>269</v>
      </c>
      <c r="P1097" s="10" t="str">
        <f aca="false">IF(I1097="","",I1097-H1097)</f>
        <v/>
      </c>
      <c r="Q1097" s="10" t="n">
        <f aca="false">VLOOKUP(G1097,$AA$2:$AB$5,2,FALSE())</f>
        <v>30</v>
      </c>
      <c r="R1097" s="7" t="n">
        <f aca="false">IF(OR(F1097="Open",F1097="Reopened"),1,0)</f>
        <v>1</v>
      </c>
      <c r="S1097" s="7" t="n">
        <f aca="false">IF(AND(H1097&gt;='Exec Summary'!$E$1,H1097&lt;='Exec Summary'!$E$2),1,0)</f>
        <v>0</v>
      </c>
      <c r="T1097" s="7" t="n">
        <f aca="false">IF(AND(F1097="Closed",I1097&lt;&gt;"",I1097&gt;='Exec Summary'!$E$1,I1097&lt;='Exec Summary'!$E$2),1,0)</f>
        <v>0</v>
      </c>
      <c r="U1097" s="7" t="n">
        <f aca="false">IF(F1097="Reopened",1,0)</f>
        <v>0</v>
      </c>
      <c r="V1097" s="7" t="n">
        <f aca="false">IF(AND(R1097=1,O1097&gt;Q1097),1,0)</f>
        <v>1</v>
      </c>
      <c r="W1097" s="7" t="n">
        <f aca="false">IF(AND(T1097=1,P1097&lt;&gt;"",P1097&lt;=Q1097),1,0)</f>
        <v>0</v>
      </c>
    </row>
    <row r="1098" customFormat="false" ht="15" hidden="false" customHeight="false" outlineLevel="0" collapsed="false">
      <c r="A1098" s="7" t="s">
        <v>1365</v>
      </c>
      <c r="B1098" s="7" t="s">
        <v>46</v>
      </c>
      <c r="C1098" s="7" t="s">
        <v>47</v>
      </c>
      <c r="D1098" s="7" t="s">
        <v>62</v>
      </c>
      <c r="E1098" s="7" t="s">
        <v>63</v>
      </c>
      <c r="F1098" s="7" t="s">
        <v>50</v>
      </c>
      <c r="G1098" s="7" t="s">
        <v>20</v>
      </c>
      <c r="H1098" s="9" t="n">
        <v>46168</v>
      </c>
      <c r="I1098" s="9" t="n">
        <v>46200</v>
      </c>
      <c r="J1098" s="7" t="n">
        <v>8.1</v>
      </c>
      <c r="K1098" s="7" t="s">
        <v>1184</v>
      </c>
      <c r="L1098" s="7" t="s">
        <v>20</v>
      </c>
      <c r="M1098" s="7" t="s">
        <v>1367</v>
      </c>
      <c r="N1098" s="7" t="s">
        <v>53</v>
      </c>
      <c r="O1098" s="10" t="n">
        <f aca="false">'Exec Summary'!$E$2-H1098</f>
        <v>66</v>
      </c>
      <c r="P1098" s="10" t="n">
        <f aca="false">IF(I1098="","",I1098-H1098)</f>
        <v>32</v>
      </c>
      <c r="Q1098" s="10" t="n">
        <f aca="false">VLOOKUP(G1098,$AA$2:$AB$5,2,FALSE())</f>
        <v>30</v>
      </c>
      <c r="R1098" s="7" t="n">
        <f aca="false">IF(OR(F1098="Open",F1098="Reopened"),1,0)</f>
        <v>0</v>
      </c>
      <c r="S1098" s="7" t="n">
        <f aca="false">IF(AND(H1098&gt;='Exec Summary'!$E$1,H1098&lt;='Exec Summary'!$E$2),1,0)</f>
        <v>0</v>
      </c>
      <c r="T1098" s="7" t="n">
        <f aca="false">IF(AND(F1098="Closed",I1098&lt;&gt;"",I1098&gt;='Exec Summary'!$E$1,I1098&lt;='Exec Summary'!$E$2),1,0)</f>
        <v>0</v>
      </c>
      <c r="U1098" s="7" t="n">
        <f aca="false">IF(F1098="Reopened",1,0)</f>
        <v>0</v>
      </c>
      <c r="V1098" s="7" t="n">
        <f aca="false">IF(AND(R1098=1,O1098&gt;Q1098),1,0)</f>
        <v>0</v>
      </c>
      <c r="W1098" s="7" t="n">
        <f aca="false">IF(AND(T1098=1,P1098&lt;&gt;"",P1098&lt;=Q1098),1,0)</f>
        <v>0</v>
      </c>
    </row>
    <row r="1099" customFormat="false" ht="15" hidden="false" customHeight="false" outlineLevel="0" collapsed="false">
      <c r="A1099" s="7" t="s">
        <v>1365</v>
      </c>
      <c r="B1099" s="7" t="s">
        <v>46</v>
      </c>
      <c r="C1099" s="7" t="s">
        <v>47</v>
      </c>
      <c r="D1099" s="7" t="s">
        <v>192</v>
      </c>
      <c r="E1099" s="7" t="s">
        <v>193</v>
      </c>
      <c r="F1099" s="7" t="s">
        <v>123</v>
      </c>
      <c r="G1099" s="7" t="s">
        <v>19</v>
      </c>
      <c r="H1099" s="9" t="n">
        <v>46081</v>
      </c>
      <c r="I1099" s="9" t="n">
        <v>46090</v>
      </c>
      <c r="J1099" s="7" t="n">
        <v>9.8</v>
      </c>
      <c r="K1099" s="7" t="s">
        <v>1184</v>
      </c>
      <c r="L1099" s="7" t="s">
        <v>20</v>
      </c>
      <c r="M1099" s="7" t="s">
        <v>1368</v>
      </c>
      <c r="N1099" s="7" t="s">
        <v>58</v>
      </c>
      <c r="O1099" s="10" t="n">
        <f aca="false">'Exec Summary'!$E$2-H1099</f>
        <v>153</v>
      </c>
      <c r="P1099" s="10" t="n">
        <f aca="false">IF(I1099="","",I1099-H1099)</f>
        <v>9</v>
      </c>
      <c r="Q1099" s="10" t="n">
        <f aca="false">VLOOKUP(G1099,$AA$2:$AB$5,2,FALSE())</f>
        <v>15</v>
      </c>
      <c r="R1099" s="7" t="n">
        <f aca="false">IF(OR(F1099="Open",F1099="Reopened"),1,0)</f>
        <v>1</v>
      </c>
      <c r="S1099" s="7" t="n">
        <f aca="false">IF(AND(H1099&gt;='Exec Summary'!$E$1,H1099&lt;='Exec Summary'!$E$2),1,0)</f>
        <v>0</v>
      </c>
      <c r="T1099" s="7" t="n">
        <f aca="false">IF(AND(F1099="Closed",I1099&lt;&gt;"",I1099&gt;='Exec Summary'!$E$1,I1099&lt;='Exec Summary'!$E$2),1,0)</f>
        <v>0</v>
      </c>
      <c r="U1099" s="7" t="n">
        <f aca="false">IF(F1099="Reopened",1,0)</f>
        <v>1</v>
      </c>
      <c r="V1099" s="7" t="n">
        <f aca="false">IF(AND(R1099=1,O1099&gt;Q1099),1,0)</f>
        <v>1</v>
      </c>
      <c r="W1099" s="7" t="n">
        <f aca="false">IF(AND(T1099=1,P1099&lt;&gt;"",P1099&lt;=Q1099),1,0)</f>
        <v>0</v>
      </c>
    </row>
    <row r="1100" customFormat="false" ht="15" hidden="false" customHeight="false" outlineLevel="0" collapsed="false">
      <c r="A1100" s="7" t="s">
        <v>1365</v>
      </c>
      <c r="B1100" s="7" t="s">
        <v>46</v>
      </c>
      <c r="C1100" s="7" t="s">
        <v>47</v>
      </c>
      <c r="D1100" s="7" t="s">
        <v>74</v>
      </c>
      <c r="E1100" s="7" t="s">
        <v>75</v>
      </c>
      <c r="F1100" s="7" t="s">
        <v>56</v>
      </c>
      <c r="G1100" s="7" t="s">
        <v>21</v>
      </c>
      <c r="H1100" s="9" t="n">
        <v>45967</v>
      </c>
      <c r="I1100" s="9"/>
      <c r="J1100" s="7" t="n">
        <v>6.5</v>
      </c>
      <c r="K1100" s="7" t="s">
        <v>1184</v>
      </c>
      <c r="L1100" s="7" t="s">
        <v>20</v>
      </c>
      <c r="M1100" s="7" t="s">
        <v>1369</v>
      </c>
      <c r="N1100" s="7" t="s">
        <v>77</v>
      </c>
      <c r="O1100" s="10" t="n">
        <f aca="false">'Exec Summary'!$E$2-H1100</f>
        <v>267</v>
      </c>
      <c r="P1100" s="10" t="str">
        <f aca="false">IF(I1100="","",I1100-H1100)</f>
        <v/>
      </c>
      <c r="Q1100" s="10" t="n">
        <f aca="false">VLOOKUP(G1100,$AA$2:$AB$5,2,FALSE())</f>
        <v>90</v>
      </c>
      <c r="R1100" s="7" t="n">
        <f aca="false">IF(OR(F1100="Open",F1100="Reopened"),1,0)</f>
        <v>1</v>
      </c>
      <c r="S1100" s="7" t="n">
        <f aca="false">IF(AND(H1100&gt;='Exec Summary'!$E$1,H1100&lt;='Exec Summary'!$E$2),1,0)</f>
        <v>0</v>
      </c>
      <c r="T1100" s="7" t="n">
        <f aca="false">IF(AND(F1100="Closed",I1100&lt;&gt;"",I1100&gt;='Exec Summary'!$E$1,I1100&lt;='Exec Summary'!$E$2),1,0)</f>
        <v>0</v>
      </c>
      <c r="U1100" s="7" t="n">
        <f aca="false">IF(F1100="Reopened",1,0)</f>
        <v>0</v>
      </c>
      <c r="V1100" s="7" t="n">
        <f aca="false">IF(AND(R1100=1,O1100&gt;Q1100),1,0)</f>
        <v>1</v>
      </c>
      <c r="W1100" s="7" t="n">
        <f aca="false">IF(AND(T1100=1,P1100&lt;&gt;"",P1100&lt;=Q1100),1,0)</f>
        <v>0</v>
      </c>
    </row>
    <row r="1101" customFormat="false" ht="15" hidden="false" customHeight="false" outlineLevel="0" collapsed="false">
      <c r="A1101" s="7" t="s">
        <v>1365</v>
      </c>
      <c r="B1101" s="7" t="s">
        <v>46</v>
      </c>
      <c r="C1101" s="7" t="s">
        <v>47</v>
      </c>
      <c r="D1101" s="7" t="s">
        <v>101</v>
      </c>
      <c r="E1101" s="7" t="s">
        <v>102</v>
      </c>
      <c r="F1101" s="7" t="s">
        <v>56</v>
      </c>
      <c r="G1101" s="7" t="s">
        <v>19</v>
      </c>
      <c r="H1101" s="9" t="n">
        <v>46089</v>
      </c>
      <c r="I1101" s="9"/>
      <c r="J1101" s="7" t="n">
        <v>10</v>
      </c>
      <c r="K1101" s="7" t="s">
        <v>1184</v>
      </c>
      <c r="L1101" s="7" t="s">
        <v>20</v>
      </c>
      <c r="M1101" s="7" t="s">
        <v>1370</v>
      </c>
      <c r="N1101" s="7" t="s">
        <v>58</v>
      </c>
      <c r="O1101" s="10" t="n">
        <f aca="false">'Exec Summary'!$E$2-H1101</f>
        <v>145</v>
      </c>
      <c r="P1101" s="10" t="str">
        <f aca="false">IF(I1101="","",I1101-H1101)</f>
        <v/>
      </c>
      <c r="Q1101" s="10" t="n">
        <f aca="false">VLOOKUP(G1101,$AA$2:$AB$5,2,FALSE())</f>
        <v>15</v>
      </c>
      <c r="R1101" s="7" t="n">
        <f aca="false">IF(OR(F1101="Open",F1101="Reopened"),1,0)</f>
        <v>1</v>
      </c>
      <c r="S1101" s="7" t="n">
        <f aca="false">IF(AND(H1101&gt;='Exec Summary'!$E$1,H1101&lt;='Exec Summary'!$E$2),1,0)</f>
        <v>0</v>
      </c>
      <c r="T1101" s="7" t="n">
        <f aca="false">IF(AND(F1101="Closed",I1101&lt;&gt;"",I1101&gt;='Exec Summary'!$E$1,I1101&lt;='Exec Summary'!$E$2),1,0)</f>
        <v>0</v>
      </c>
      <c r="U1101" s="7" t="n">
        <f aca="false">IF(F1101="Reopened",1,0)</f>
        <v>0</v>
      </c>
      <c r="V1101" s="7" t="n">
        <f aca="false">IF(AND(R1101=1,O1101&gt;Q1101),1,0)</f>
        <v>1</v>
      </c>
      <c r="W1101" s="7" t="n">
        <f aca="false">IF(AND(T1101=1,P1101&lt;&gt;"",P1101&lt;=Q1101),1,0)</f>
        <v>0</v>
      </c>
    </row>
    <row r="1102" customFormat="false" ht="15" hidden="false" customHeight="false" outlineLevel="0" collapsed="false">
      <c r="A1102" s="7" t="s">
        <v>1365</v>
      </c>
      <c r="B1102" s="7" t="s">
        <v>46</v>
      </c>
      <c r="C1102" s="7" t="s">
        <v>47</v>
      </c>
      <c r="D1102" s="7" t="s">
        <v>210</v>
      </c>
      <c r="E1102" s="7" t="s">
        <v>211</v>
      </c>
      <c r="F1102" s="7" t="s">
        <v>56</v>
      </c>
      <c r="G1102" s="7" t="s">
        <v>19</v>
      </c>
      <c r="H1102" s="9" t="n">
        <v>46036</v>
      </c>
      <c r="I1102" s="9"/>
      <c r="J1102" s="7" t="n">
        <v>9.8</v>
      </c>
      <c r="K1102" s="7" t="s">
        <v>1184</v>
      </c>
      <c r="L1102" s="7" t="s">
        <v>20</v>
      </c>
      <c r="M1102" s="7" t="s">
        <v>1371</v>
      </c>
      <c r="N1102" s="7" t="s">
        <v>58</v>
      </c>
      <c r="O1102" s="10" t="n">
        <f aca="false">'Exec Summary'!$E$2-H1102</f>
        <v>198</v>
      </c>
      <c r="P1102" s="10" t="str">
        <f aca="false">IF(I1102="","",I1102-H1102)</f>
        <v/>
      </c>
      <c r="Q1102" s="10" t="n">
        <f aca="false">VLOOKUP(G1102,$AA$2:$AB$5,2,FALSE())</f>
        <v>15</v>
      </c>
      <c r="R1102" s="7" t="n">
        <f aca="false">IF(OR(F1102="Open",F1102="Reopened"),1,0)</f>
        <v>1</v>
      </c>
      <c r="S1102" s="7" t="n">
        <f aca="false">IF(AND(H1102&gt;='Exec Summary'!$E$1,H1102&lt;='Exec Summary'!$E$2),1,0)</f>
        <v>0</v>
      </c>
      <c r="T1102" s="7" t="n">
        <f aca="false">IF(AND(F1102="Closed",I1102&lt;&gt;"",I1102&gt;='Exec Summary'!$E$1,I1102&lt;='Exec Summary'!$E$2),1,0)</f>
        <v>0</v>
      </c>
      <c r="U1102" s="7" t="n">
        <f aca="false">IF(F1102="Reopened",1,0)</f>
        <v>0</v>
      </c>
      <c r="V1102" s="7" t="n">
        <f aca="false">IF(AND(R1102=1,O1102&gt;Q1102),1,0)</f>
        <v>1</v>
      </c>
      <c r="W1102" s="7" t="n">
        <f aca="false">IF(AND(T1102=1,P1102&lt;&gt;"",P1102&lt;=Q1102),1,0)</f>
        <v>0</v>
      </c>
    </row>
    <row r="1103" customFormat="false" ht="15" hidden="false" customHeight="false" outlineLevel="0" collapsed="false">
      <c r="A1103" s="7" t="s">
        <v>1365</v>
      </c>
      <c r="B1103" s="7" t="s">
        <v>46</v>
      </c>
      <c r="C1103" s="7" t="s">
        <v>47</v>
      </c>
      <c r="D1103" s="7" t="s">
        <v>112</v>
      </c>
      <c r="E1103" s="7" t="s">
        <v>113</v>
      </c>
      <c r="F1103" s="7" t="s">
        <v>56</v>
      </c>
      <c r="G1103" s="7" t="s">
        <v>20</v>
      </c>
      <c r="H1103" s="9" t="n">
        <v>46178</v>
      </c>
      <c r="I1103" s="9"/>
      <c r="J1103" s="7" t="n">
        <v>7.8</v>
      </c>
      <c r="K1103" s="7" t="s">
        <v>1184</v>
      </c>
      <c r="L1103" s="7" t="s">
        <v>20</v>
      </c>
      <c r="M1103" s="7" t="s">
        <v>1372</v>
      </c>
      <c r="N1103" s="7" t="s">
        <v>53</v>
      </c>
      <c r="O1103" s="10" t="n">
        <f aca="false">'Exec Summary'!$E$2-H1103</f>
        <v>56</v>
      </c>
      <c r="P1103" s="10" t="str">
        <f aca="false">IF(I1103="","",I1103-H1103)</f>
        <v/>
      </c>
      <c r="Q1103" s="10" t="n">
        <f aca="false">VLOOKUP(G1103,$AA$2:$AB$5,2,FALSE())</f>
        <v>30</v>
      </c>
      <c r="R1103" s="7" t="n">
        <f aca="false">IF(OR(F1103="Open",F1103="Reopened"),1,0)</f>
        <v>1</v>
      </c>
      <c r="S1103" s="7" t="n">
        <f aca="false">IF(AND(H1103&gt;='Exec Summary'!$E$1,H1103&lt;='Exec Summary'!$E$2),1,0)</f>
        <v>0</v>
      </c>
      <c r="T1103" s="7" t="n">
        <f aca="false">IF(AND(F1103="Closed",I1103&lt;&gt;"",I1103&gt;='Exec Summary'!$E$1,I1103&lt;='Exec Summary'!$E$2),1,0)</f>
        <v>0</v>
      </c>
      <c r="U1103" s="7" t="n">
        <f aca="false">IF(F1103="Reopened",1,0)</f>
        <v>0</v>
      </c>
      <c r="V1103" s="7" t="n">
        <f aca="false">IF(AND(R1103=1,O1103&gt;Q1103),1,0)</f>
        <v>1</v>
      </c>
      <c r="W1103" s="7" t="n">
        <f aca="false">IF(AND(T1103=1,P1103&lt;&gt;"",P1103&lt;=Q1103),1,0)</f>
        <v>0</v>
      </c>
    </row>
    <row r="1104" customFormat="false" ht="15" hidden="false" customHeight="false" outlineLevel="0" collapsed="false">
      <c r="A1104" s="7" t="s">
        <v>1365</v>
      </c>
      <c r="B1104" s="7" t="s">
        <v>46</v>
      </c>
      <c r="C1104" s="7" t="s">
        <v>47</v>
      </c>
      <c r="D1104" s="7" t="s">
        <v>48</v>
      </c>
      <c r="E1104" s="7" t="s">
        <v>49</v>
      </c>
      <c r="F1104" s="7" t="s">
        <v>50</v>
      </c>
      <c r="G1104" s="7" t="s">
        <v>20</v>
      </c>
      <c r="H1104" s="9" t="n">
        <v>46016</v>
      </c>
      <c r="I1104" s="9" t="n">
        <v>46052</v>
      </c>
      <c r="J1104" s="7" t="n">
        <v>7.5</v>
      </c>
      <c r="K1104" s="7" t="s">
        <v>1184</v>
      </c>
      <c r="L1104" s="7" t="s">
        <v>20</v>
      </c>
      <c r="M1104" s="7" t="s">
        <v>1373</v>
      </c>
      <c r="N1104" s="7" t="s">
        <v>53</v>
      </c>
      <c r="O1104" s="10" t="n">
        <f aca="false">'Exec Summary'!$E$2-H1104</f>
        <v>218</v>
      </c>
      <c r="P1104" s="10" t="n">
        <f aca="false">IF(I1104="","",I1104-H1104)</f>
        <v>36</v>
      </c>
      <c r="Q1104" s="10" t="n">
        <f aca="false">VLOOKUP(G1104,$AA$2:$AB$5,2,FALSE())</f>
        <v>30</v>
      </c>
      <c r="R1104" s="7" t="n">
        <f aca="false">IF(OR(F1104="Open",F1104="Reopened"),1,0)</f>
        <v>0</v>
      </c>
      <c r="S1104" s="7" t="n">
        <f aca="false">IF(AND(H1104&gt;='Exec Summary'!$E$1,H1104&lt;='Exec Summary'!$E$2),1,0)</f>
        <v>0</v>
      </c>
      <c r="T1104" s="7" t="n">
        <f aca="false">IF(AND(F1104="Closed",I1104&lt;&gt;"",I1104&gt;='Exec Summary'!$E$1,I1104&lt;='Exec Summary'!$E$2),1,0)</f>
        <v>0</v>
      </c>
      <c r="U1104" s="7" t="n">
        <f aca="false">IF(F1104="Reopened",1,0)</f>
        <v>0</v>
      </c>
      <c r="V1104" s="7" t="n">
        <f aca="false">IF(AND(R1104=1,O1104&gt;Q1104),1,0)</f>
        <v>0</v>
      </c>
      <c r="W1104" s="7" t="n">
        <f aca="false">IF(AND(T1104=1,P1104&lt;&gt;"",P1104&lt;=Q1104),1,0)</f>
        <v>0</v>
      </c>
    </row>
    <row r="1105" customFormat="false" ht="15" hidden="false" customHeight="false" outlineLevel="0" collapsed="false">
      <c r="A1105" s="7" t="s">
        <v>1374</v>
      </c>
      <c r="B1105" s="7" t="s">
        <v>46</v>
      </c>
      <c r="C1105" s="7" t="s">
        <v>128</v>
      </c>
      <c r="D1105" s="7" t="s">
        <v>108</v>
      </c>
      <c r="E1105" s="7" t="s">
        <v>109</v>
      </c>
      <c r="F1105" s="7" t="s">
        <v>50</v>
      </c>
      <c r="G1105" s="7" t="s">
        <v>20</v>
      </c>
      <c r="H1105" s="9" t="n">
        <v>45984</v>
      </c>
      <c r="I1105" s="9" t="n">
        <v>45993</v>
      </c>
      <c r="J1105" s="7" t="n">
        <v>8.6</v>
      </c>
      <c r="K1105" s="7" t="s">
        <v>1184</v>
      </c>
      <c r="L1105" s="7" t="s">
        <v>20</v>
      </c>
      <c r="M1105" s="7" t="s">
        <v>1375</v>
      </c>
      <c r="N1105" s="7" t="s">
        <v>53</v>
      </c>
      <c r="O1105" s="10" t="n">
        <f aca="false">'Exec Summary'!$E$2-H1105</f>
        <v>250</v>
      </c>
      <c r="P1105" s="10" t="n">
        <f aca="false">IF(I1105="","",I1105-H1105)</f>
        <v>9</v>
      </c>
      <c r="Q1105" s="10" t="n">
        <f aca="false">VLOOKUP(G1105,$AA$2:$AB$5,2,FALSE())</f>
        <v>30</v>
      </c>
      <c r="R1105" s="7" t="n">
        <f aca="false">IF(OR(F1105="Open",F1105="Reopened"),1,0)</f>
        <v>0</v>
      </c>
      <c r="S1105" s="7" t="n">
        <f aca="false">IF(AND(H1105&gt;='Exec Summary'!$E$1,H1105&lt;='Exec Summary'!$E$2),1,0)</f>
        <v>0</v>
      </c>
      <c r="T1105" s="7" t="n">
        <f aca="false">IF(AND(F1105="Closed",I1105&lt;&gt;"",I1105&gt;='Exec Summary'!$E$1,I1105&lt;='Exec Summary'!$E$2),1,0)</f>
        <v>0</v>
      </c>
      <c r="U1105" s="7" t="n">
        <f aca="false">IF(F1105="Reopened",1,0)</f>
        <v>0</v>
      </c>
      <c r="V1105" s="7" t="n">
        <f aca="false">IF(AND(R1105=1,O1105&gt;Q1105),1,0)</f>
        <v>0</v>
      </c>
      <c r="W1105" s="7" t="n">
        <f aca="false">IF(AND(T1105=1,P1105&lt;&gt;"",P1105&lt;=Q1105),1,0)</f>
        <v>0</v>
      </c>
    </row>
    <row r="1106" customFormat="false" ht="15" hidden="false" customHeight="false" outlineLevel="0" collapsed="false">
      <c r="A1106" s="7" t="s">
        <v>1374</v>
      </c>
      <c r="B1106" s="7" t="s">
        <v>46</v>
      </c>
      <c r="C1106" s="7" t="s">
        <v>128</v>
      </c>
      <c r="D1106" s="7" t="s">
        <v>104</v>
      </c>
      <c r="E1106" s="7" t="s">
        <v>105</v>
      </c>
      <c r="F1106" s="7" t="s">
        <v>50</v>
      </c>
      <c r="G1106" s="7" t="s">
        <v>19</v>
      </c>
      <c r="H1106" s="9" t="n">
        <v>45966</v>
      </c>
      <c r="I1106" s="9" t="n">
        <v>45967</v>
      </c>
      <c r="J1106" s="7" t="n">
        <v>9.8</v>
      </c>
      <c r="K1106" s="7" t="s">
        <v>1184</v>
      </c>
      <c r="L1106" s="7" t="s">
        <v>20</v>
      </c>
      <c r="M1106" s="7" t="s">
        <v>1376</v>
      </c>
      <c r="N1106" s="7" t="s">
        <v>58</v>
      </c>
      <c r="O1106" s="10" t="n">
        <f aca="false">'Exec Summary'!$E$2-H1106</f>
        <v>268</v>
      </c>
      <c r="P1106" s="10" t="n">
        <f aca="false">IF(I1106="","",I1106-H1106)</f>
        <v>1</v>
      </c>
      <c r="Q1106" s="10" t="n">
        <f aca="false">VLOOKUP(G1106,$AA$2:$AB$5,2,FALSE())</f>
        <v>15</v>
      </c>
      <c r="R1106" s="7" t="n">
        <f aca="false">IF(OR(F1106="Open",F1106="Reopened"),1,0)</f>
        <v>0</v>
      </c>
      <c r="S1106" s="7" t="n">
        <f aca="false">IF(AND(H1106&gt;='Exec Summary'!$E$1,H1106&lt;='Exec Summary'!$E$2),1,0)</f>
        <v>0</v>
      </c>
      <c r="T1106" s="7" t="n">
        <f aca="false">IF(AND(F1106="Closed",I1106&lt;&gt;"",I1106&gt;='Exec Summary'!$E$1,I1106&lt;='Exec Summary'!$E$2),1,0)</f>
        <v>0</v>
      </c>
      <c r="U1106" s="7" t="n">
        <f aca="false">IF(F1106="Reopened",1,0)</f>
        <v>0</v>
      </c>
      <c r="V1106" s="7" t="n">
        <f aca="false">IF(AND(R1106=1,O1106&gt;Q1106),1,0)</f>
        <v>0</v>
      </c>
      <c r="W1106" s="7" t="n">
        <f aca="false">IF(AND(T1106=1,P1106&lt;&gt;"",P1106&lt;=Q1106),1,0)</f>
        <v>0</v>
      </c>
    </row>
    <row r="1107" customFormat="false" ht="15" hidden="false" customHeight="false" outlineLevel="0" collapsed="false">
      <c r="A1107" s="7" t="s">
        <v>1374</v>
      </c>
      <c r="B1107" s="7" t="s">
        <v>46</v>
      </c>
      <c r="C1107" s="7" t="s">
        <v>128</v>
      </c>
      <c r="D1107" s="7" t="s">
        <v>68</v>
      </c>
      <c r="E1107" s="7" t="s">
        <v>69</v>
      </c>
      <c r="F1107" s="7" t="s">
        <v>50</v>
      </c>
      <c r="G1107" s="7" t="s">
        <v>19</v>
      </c>
      <c r="H1107" s="9" t="n">
        <v>46078</v>
      </c>
      <c r="I1107" s="9" t="n">
        <v>46089</v>
      </c>
      <c r="J1107" s="7" t="n">
        <v>9.8</v>
      </c>
      <c r="K1107" s="7" t="s">
        <v>1184</v>
      </c>
      <c r="L1107" s="7" t="s">
        <v>20</v>
      </c>
      <c r="M1107" s="7" t="s">
        <v>1377</v>
      </c>
      <c r="N1107" s="7" t="s">
        <v>58</v>
      </c>
      <c r="O1107" s="10" t="n">
        <f aca="false">'Exec Summary'!$E$2-H1107</f>
        <v>156</v>
      </c>
      <c r="P1107" s="10" t="n">
        <f aca="false">IF(I1107="","",I1107-H1107)</f>
        <v>11</v>
      </c>
      <c r="Q1107" s="10" t="n">
        <f aca="false">VLOOKUP(G1107,$AA$2:$AB$5,2,FALSE())</f>
        <v>15</v>
      </c>
      <c r="R1107" s="7" t="n">
        <f aca="false">IF(OR(F1107="Open",F1107="Reopened"),1,0)</f>
        <v>0</v>
      </c>
      <c r="S1107" s="7" t="n">
        <f aca="false">IF(AND(H1107&gt;='Exec Summary'!$E$1,H1107&lt;='Exec Summary'!$E$2),1,0)</f>
        <v>0</v>
      </c>
      <c r="T1107" s="7" t="n">
        <f aca="false">IF(AND(F1107="Closed",I1107&lt;&gt;"",I1107&gt;='Exec Summary'!$E$1,I1107&lt;='Exec Summary'!$E$2),1,0)</f>
        <v>0</v>
      </c>
      <c r="U1107" s="7" t="n">
        <f aca="false">IF(F1107="Reopened",1,0)</f>
        <v>0</v>
      </c>
      <c r="V1107" s="7" t="n">
        <f aca="false">IF(AND(R1107=1,O1107&gt;Q1107),1,0)</f>
        <v>0</v>
      </c>
      <c r="W1107" s="7" t="n">
        <f aca="false">IF(AND(T1107=1,P1107&lt;&gt;"",P1107&lt;=Q1107),1,0)</f>
        <v>0</v>
      </c>
    </row>
    <row r="1108" customFormat="false" ht="15" hidden="false" customHeight="false" outlineLevel="0" collapsed="false">
      <c r="A1108" s="7" t="s">
        <v>1374</v>
      </c>
      <c r="B1108" s="7" t="s">
        <v>46</v>
      </c>
      <c r="C1108" s="7" t="s">
        <v>128</v>
      </c>
      <c r="D1108" s="7" t="s">
        <v>131</v>
      </c>
      <c r="E1108" s="7" t="s">
        <v>132</v>
      </c>
      <c r="F1108" s="7" t="s">
        <v>56</v>
      </c>
      <c r="G1108" s="7" t="s">
        <v>19</v>
      </c>
      <c r="H1108" s="9" t="n">
        <v>46027</v>
      </c>
      <c r="I1108" s="9"/>
      <c r="J1108" s="7" t="n">
        <v>9.8</v>
      </c>
      <c r="K1108" s="7" t="s">
        <v>1184</v>
      </c>
      <c r="L1108" s="7" t="s">
        <v>20</v>
      </c>
      <c r="M1108" s="7" t="s">
        <v>1378</v>
      </c>
      <c r="N1108" s="7" t="s">
        <v>58</v>
      </c>
      <c r="O1108" s="10" t="n">
        <f aca="false">'Exec Summary'!$E$2-H1108</f>
        <v>207</v>
      </c>
      <c r="P1108" s="10" t="str">
        <f aca="false">IF(I1108="","",I1108-H1108)</f>
        <v/>
      </c>
      <c r="Q1108" s="10" t="n">
        <f aca="false">VLOOKUP(G1108,$AA$2:$AB$5,2,FALSE())</f>
        <v>15</v>
      </c>
      <c r="R1108" s="7" t="n">
        <f aca="false">IF(OR(F1108="Open",F1108="Reopened"),1,0)</f>
        <v>1</v>
      </c>
      <c r="S1108" s="7" t="n">
        <f aca="false">IF(AND(H1108&gt;='Exec Summary'!$E$1,H1108&lt;='Exec Summary'!$E$2),1,0)</f>
        <v>0</v>
      </c>
      <c r="T1108" s="7" t="n">
        <f aca="false">IF(AND(F1108="Closed",I1108&lt;&gt;"",I1108&gt;='Exec Summary'!$E$1,I1108&lt;='Exec Summary'!$E$2),1,0)</f>
        <v>0</v>
      </c>
      <c r="U1108" s="7" t="n">
        <f aca="false">IF(F1108="Reopened",1,0)</f>
        <v>0</v>
      </c>
      <c r="V1108" s="7" t="n">
        <f aca="false">IF(AND(R1108=1,O1108&gt;Q1108),1,0)</f>
        <v>1</v>
      </c>
      <c r="W1108" s="7" t="n">
        <f aca="false">IF(AND(T1108=1,P1108&lt;&gt;"",P1108&lt;=Q1108),1,0)</f>
        <v>0</v>
      </c>
    </row>
    <row r="1109" customFormat="false" ht="15" hidden="false" customHeight="false" outlineLevel="0" collapsed="false">
      <c r="A1109" s="7" t="s">
        <v>1374</v>
      </c>
      <c r="B1109" s="7" t="s">
        <v>46</v>
      </c>
      <c r="C1109" s="7" t="s">
        <v>128</v>
      </c>
      <c r="D1109" s="7" t="s">
        <v>95</v>
      </c>
      <c r="E1109" s="7" t="s">
        <v>96</v>
      </c>
      <c r="F1109" s="7" t="s">
        <v>123</v>
      </c>
      <c r="G1109" s="7" t="s">
        <v>20</v>
      </c>
      <c r="H1109" s="9" t="n">
        <v>45935</v>
      </c>
      <c r="I1109" s="9" t="n">
        <v>45991</v>
      </c>
      <c r="J1109" s="7" t="n">
        <v>8.8</v>
      </c>
      <c r="K1109" s="7" t="s">
        <v>1184</v>
      </c>
      <c r="L1109" s="7" t="s">
        <v>20</v>
      </c>
      <c r="M1109" s="7" t="s">
        <v>1379</v>
      </c>
      <c r="N1109" s="7" t="s">
        <v>53</v>
      </c>
      <c r="O1109" s="10" t="n">
        <f aca="false">'Exec Summary'!$E$2-H1109</f>
        <v>299</v>
      </c>
      <c r="P1109" s="10" t="n">
        <f aca="false">IF(I1109="","",I1109-H1109)</f>
        <v>56</v>
      </c>
      <c r="Q1109" s="10" t="n">
        <f aca="false">VLOOKUP(G1109,$AA$2:$AB$5,2,FALSE())</f>
        <v>30</v>
      </c>
      <c r="R1109" s="7" t="n">
        <f aca="false">IF(OR(F1109="Open",F1109="Reopened"),1,0)</f>
        <v>1</v>
      </c>
      <c r="S1109" s="7" t="n">
        <f aca="false">IF(AND(H1109&gt;='Exec Summary'!$E$1,H1109&lt;='Exec Summary'!$E$2),1,0)</f>
        <v>0</v>
      </c>
      <c r="T1109" s="7" t="n">
        <f aca="false">IF(AND(F1109="Closed",I1109&lt;&gt;"",I1109&gt;='Exec Summary'!$E$1,I1109&lt;='Exec Summary'!$E$2),1,0)</f>
        <v>0</v>
      </c>
      <c r="U1109" s="7" t="n">
        <f aca="false">IF(F1109="Reopened",1,0)</f>
        <v>1</v>
      </c>
      <c r="V1109" s="7" t="n">
        <f aca="false">IF(AND(R1109=1,O1109&gt;Q1109),1,0)</f>
        <v>1</v>
      </c>
      <c r="W1109" s="7" t="n">
        <f aca="false">IF(AND(T1109=1,P1109&lt;&gt;"",P1109&lt;=Q1109),1,0)</f>
        <v>0</v>
      </c>
    </row>
    <row r="1110" customFormat="false" ht="15" hidden="false" customHeight="false" outlineLevel="0" collapsed="false">
      <c r="A1110" s="7" t="s">
        <v>1374</v>
      </c>
      <c r="B1110" s="7" t="s">
        <v>46</v>
      </c>
      <c r="C1110" s="7" t="s">
        <v>128</v>
      </c>
      <c r="D1110" s="7" t="s">
        <v>206</v>
      </c>
      <c r="E1110" s="7" t="s">
        <v>207</v>
      </c>
      <c r="F1110" s="7" t="s">
        <v>50</v>
      </c>
      <c r="G1110" s="7" t="s">
        <v>20</v>
      </c>
      <c r="H1110" s="9" t="n">
        <v>46224</v>
      </c>
      <c r="I1110" s="9" t="n">
        <v>46234</v>
      </c>
      <c r="J1110" s="7" t="n">
        <v>8.8</v>
      </c>
      <c r="K1110" s="7" t="s">
        <v>1184</v>
      </c>
      <c r="L1110" s="7" t="s">
        <v>20</v>
      </c>
      <c r="M1110" s="7" t="s">
        <v>1380</v>
      </c>
      <c r="N1110" s="7" t="s">
        <v>53</v>
      </c>
      <c r="O1110" s="10" t="n">
        <f aca="false">'Exec Summary'!$E$2-H1110</f>
        <v>10</v>
      </c>
      <c r="P1110" s="10" t="n">
        <f aca="false">IF(I1110="","",I1110-H1110)</f>
        <v>10</v>
      </c>
      <c r="Q1110" s="10" t="n">
        <f aca="false">VLOOKUP(G1110,$AA$2:$AB$5,2,FALSE())</f>
        <v>30</v>
      </c>
      <c r="R1110" s="7" t="n">
        <f aca="false">IF(OR(F1110="Open",F1110="Reopened"),1,0)</f>
        <v>0</v>
      </c>
      <c r="S1110" s="7" t="n">
        <f aca="false">IF(AND(H1110&gt;='Exec Summary'!$E$1,H1110&lt;='Exec Summary'!$E$2),1,0)</f>
        <v>1</v>
      </c>
      <c r="T1110" s="7" t="n">
        <f aca="false">IF(AND(F1110="Closed",I1110&lt;&gt;"",I1110&gt;='Exec Summary'!$E$1,I1110&lt;='Exec Summary'!$E$2),1,0)</f>
        <v>1</v>
      </c>
      <c r="U1110" s="7" t="n">
        <f aca="false">IF(F1110="Reopened",1,0)</f>
        <v>0</v>
      </c>
      <c r="V1110" s="7" t="n">
        <f aca="false">IF(AND(R1110=1,O1110&gt;Q1110),1,0)</f>
        <v>0</v>
      </c>
      <c r="W1110" s="7" t="n">
        <f aca="false">IF(AND(T1110=1,P1110&lt;&gt;"",P1110&lt;=Q1110),1,0)</f>
        <v>1</v>
      </c>
    </row>
    <row r="1111" customFormat="false" ht="15" hidden="false" customHeight="false" outlineLevel="0" collapsed="false">
      <c r="A1111" s="7" t="s">
        <v>1374</v>
      </c>
      <c r="B1111" s="7" t="s">
        <v>46</v>
      </c>
      <c r="C1111" s="7" t="s">
        <v>128</v>
      </c>
      <c r="D1111" s="7" t="s">
        <v>166</v>
      </c>
      <c r="E1111" s="7" t="s">
        <v>167</v>
      </c>
      <c r="F1111" s="7" t="s">
        <v>56</v>
      </c>
      <c r="G1111" s="7" t="s">
        <v>19</v>
      </c>
      <c r="H1111" s="9" t="n">
        <v>46062</v>
      </c>
      <c r="I1111" s="9"/>
      <c r="J1111" s="7" t="n">
        <v>9.8</v>
      </c>
      <c r="K1111" s="7" t="s">
        <v>1184</v>
      </c>
      <c r="L1111" s="7" t="s">
        <v>20</v>
      </c>
      <c r="M1111" s="7" t="s">
        <v>1381</v>
      </c>
      <c r="N1111" s="7" t="s">
        <v>58</v>
      </c>
      <c r="O1111" s="10" t="n">
        <f aca="false">'Exec Summary'!$E$2-H1111</f>
        <v>172</v>
      </c>
      <c r="P1111" s="10" t="str">
        <f aca="false">IF(I1111="","",I1111-H1111)</f>
        <v/>
      </c>
      <c r="Q1111" s="10" t="n">
        <f aca="false">VLOOKUP(G1111,$AA$2:$AB$5,2,FALSE())</f>
        <v>15</v>
      </c>
      <c r="R1111" s="7" t="n">
        <f aca="false">IF(OR(F1111="Open",F1111="Reopened"),1,0)</f>
        <v>1</v>
      </c>
      <c r="S1111" s="7" t="n">
        <f aca="false">IF(AND(H1111&gt;='Exec Summary'!$E$1,H1111&lt;='Exec Summary'!$E$2),1,0)</f>
        <v>0</v>
      </c>
      <c r="T1111" s="7" t="n">
        <f aca="false">IF(AND(F1111="Closed",I1111&lt;&gt;"",I1111&gt;='Exec Summary'!$E$1,I1111&lt;='Exec Summary'!$E$2),1,0)</f>
        <v>0</v>
      </c>
      <c r="U1111" s="7" t="n">
        <f aca="false">IF(F1111="Reopened",1,0)</f>
        <v>0</v>
      </c>
      <c r="V1111" s="7" t="n">
        <f aca="false">IF(AND(R1111=1,O1111&gt;Q1111),1,0)</f>
        <v>1</v>
      </c>
      <c r="W1111" s="7" t="n">
        <f aca="false">IF(AND(T1111=1,P1111&lt;&gt;"",P1111&lt;=Q1111),1,0)</f>
        <v>0</v>
      </c>
    </row>
    <row r="1112" customFormat="false" ht="15" hidden="false" customHeight="false" outlineLevel="0" collapsed="false">
      <c r="A1112" s="7" t="s">
        <v>1374</v>
      </c>
      <c r="B1112" s="7" t="s">
        <v>46</v>
      </c>
      <c r="C1112" s="7" t="s">
        <v>128</v>
      </c>
      <c r="D1112" s="7" t="s">
        <v>74</v>
      </c>
      <c r="E1112" s="7" t="s">
        <v>75</v>
      </c>
      <c r="F1112" s="7" t="s">
        <v>56</v>
      </c>
      <c r="G1112" s="7" t="s">
        <v>21</v>
      </c>
      <c r="H1112" s="9" t="n">
        <v>46036</v>
      </c>
      <c r="I1112" s="9"/>
      <c r="J1112" s="7" t="n">
        <v>6.5</v>
      </c>
      <c r="K1112" s="7" t="s">
        <v>1184</v>
      </c>
      <c r="L1112" s="7" t="s">
        <v>20</v>
      </c>
      <c r="M1112" s="7" t="s">
        <v>1382</v>
      </c>
      <c r="N1112" s="7" t="s">
        <v>77</v>
      </c>
      <c r="O1112" s="10" t="n">
        <f aca="false">'Exec Summary'!$E$2-H1112</f>
        <v>198</v>
      </c>
      <c r="P1112" s="10" t="str">
        <f aca="false">IF(I1112="","",I1112-H1112)</f>
        <v/>
      </c>
      <c r="Q1112" s="10" t="n">
        <f aca="false">VLOOKUP(G1112,$AA$2:$AB$5,2,FALSE())</f>
        <v>90</v>
      </c>
      <c r="R1112" s="7" t="n">
        <f aca="false">IF(OR(F1112="Open",F1112="Reopened"),1,0)</f>
        <v>1</v>
      </c>
      <c r="S1112" s="7" t="n">
        <f aca="false">IF(AND(H1112&gt;='Exec Summary'!$E$1,H1112&lt;='Exec Summary'!$E$2),1,0)</f>
        <v>0</v>
      </c>
      <c r="T1112" s="7" t="n">
        <f aca="false">IF(AND(F1112="Closed",I1112&lt;&gt;"",I1112&gt;='Exec Summary'!$E$1,I1112&lt;='Exec Summary'!$E$2),1,0)</f>
        <v>0</v>
      </c>
      <c r="U1112" s="7" t="n">
        <f aca="false">IF(F1112="Reopened",1,0)</f>
        <v>0</v>
      </c>
      <c r="V1112" s="7" t="n">
        <f aca="false">IF(AND(R1112=1,O1112&gt;Q1112),1,0)</f>
        <v>1</v>
      </c>
      <c r="W1112" s="7" t="n">
        <f aca="false">IF(AND(T1112=1,P1112&lt;&gt;"",P1112&lt;=Q1112),1,0)</f>
        <v>0</v>
      </c>
    </row>
    <row r="1113" customFormat="false" ht="15" hidden="false" customHeight="false" outlineLevel="0" collapsed="false">
      <c r="A1113" s="7" t="s">
        <v>1374</v>
      </c>
      <c r="B1113" s="7" t="s">
        <v>46</v>
      </c>
      <c r="C1113" s="7" t="s">
        <v>128</v>
      </c>
      <c r="D1113" s="7" t="s">
        <v>120</v>
      </c>
      <c r="E1113" s="7" t="s">
        <v>121</v>
      </c>
      <c r="F1113" s="7" t="s">
        <v>50</v>
      </c>
      <c r="G1113" s="7" t="s">
        <v>19</v>
      </c>
      <c r="H1113" s="9" t="n">
        <v>45983</v>
      </c>
      <c r="I1113" s="9" t="n">
        <v>45994</v>
      </c>
      <c r="J1113" s="7" t="n">
        <v>8.8</v>
      </c>
      <c r="K1113" s="7" t="s">
        <v>1184</v>
      </c>
      <c r="L1113" s="7" t="s">
        <v>20</v>
      </c>
      <c r="M1113" s="7" t="s">
        <v>1383</v>
      </c>
      <c r="N1113" s="7" t="s">
        <v>58</v>
      </c>
      <c r="O1113" s="10" t="n">
        <f aca="false">'Exec Summary'!$E$2-H1113</f>
        <v>251</v>
      </c>
      <c r="P1113" s="10" t="n">
        <f aca="false">IF(I1113="","",I1113-H1113)</f>
        <v>11</v>
      </c>
      <c r="Q1113" s="10" t="n">
        <f aca="false">VLOOKUP(G1113,$AA$2:$AB$5,2,FALSE())</f>
        <v>15</v>
      </c>
      <c r="R1113" s="7" t="n">
        <f aca="false">IF(OR(F1113="Open",F1113="Reopened"),1,0)</f>
        <v>0</v>
      </c>
      <c r="S1113" s="7" t="n">
        <f aca="false">IF(AND(H1113&gt;='Exec Summary'!$E$1,H1113&lt;='Exec Summary'!$E$2),1,0)</f>
        <v>0</v>
      </c>
      <c r="T1113" s="7" t="n">
        <f aca="false">IF(AND(F1113="Closed",I1113&lt;&gt;"",I1113&gt;='Exec Summary'!$E$1,I1113&lt;='Exec Summary'!$E$2),1,0)</f>
        <v>0</v>
      </c>
      <c r="U1113" s="7" t="n">
        <f aca="false">IF(F1113="Reopened",1,0)</f>
        <v>0</v>
      </c>
      <c r="V1113" s="7" t="n">
        <f aca="false">IF(AND(R1113=1,O1113&gt;Q1113),1,0)</f>
        <v>0</v>
      </c>
      <c r="W1113" s="7" t="n">
        <f aca="false">IF(AND(T1113=1,P1113&lt;&gt;"",P1113&lt;=Q1113),1,0)</f>
        <v>0</v>
      </c>
    </row>
    <row r="1114" customFormat="false" ht="15" hidden="false" customHeight="false" outlineLevel="0" collapsed="false">
      <c r="A1114" s="7" t="s">
        <v>1384</v>
      </c>
      <c r="B1114" s="7" t="s">
        <v>46</v>
      </c>
      <c r="C1114" s="7" t="s">
        <v>47</v>
      </c>
      <c r="D1114" s="7" t="s">
        <v>139</v>
      </c>
      <c r="E1114" s="7" t="s">
        <v>140</v>
      </c>
      <c r="F1114" s="7" t="s">
        <v>50</v>
      </c>
      <c r="G1114" s="7" t="s">
        <v>19</v>
      </c>
      <c r="H1114" s="9" t="n">
        <v>45973</v>
      </c>
      <c r="I1114" s="9" t="n">
        <v>45988</v>
      </c>
      <c r="J1114" s="7" t="n">
        <v>9.8</v>
      </c>
      <c r="K1114" s="7" t="s">
        <v>1184</v>
      </c>
      <c r="L1114" s="7" t="s">
        <v>20</v>
      </c>
      <c r="M1114" s="7" t="s">
        <v>1385</v>
      </c>
      <c r="N1114" s="7" t="s">
        <v>58</v>
      </c>
      <c r="O1114" s="10" t="n">
        <f aca="false">'Exec Summary'!$E$2-H1114</f>
        <v>261</v>
      </c>
      <c r="P1114" s="10" t="n">
        <f aca="false">IF(I1114="","",I1114-H1114)</f>
        <v>15</v>
      </c>
      <c r="Q1114" s="10" t="n">
        <f aca="false">VLOOKUP(G1114,$AA$2:$AB$5,2,FALSE())</f>
        <v>15</v>
      </c>
      <c r="R1114" s="7" t="n">
        <f aca="false">IF(OR(F1114="Open",F1114="Reopened"),1,0)</f>
        <v>0</v>
      </c>
      <c r="S1114" s="7" t="n">
        <f aca="false">IF(AND(H1114&gt;='Exec Summary'!$E$1,H1114&lt;='Exec Summary'!$E$2),1,0)</f>
        <v>0</v>
      </c>
      <c r="T1114" s="7" t="n">
        <f aca="false">IF(AND(F1114="Closed",I1114&lt;&gt;"",I1114&gt;='Exec Summary'!$E$1,I1114&lt;='Exec Summary'!$E$2),1,0)</f>
        <v>0</v>
      </c>
      <c r="U1114" s="7" t="n">
        <f aca="false">IF(F1114="Reopened",1,0)</f>
        <v>0</v>
      </c>
      <c r="V1114" s="7" t="n">
        <f aca="false">IF(AND(R1114=1,O1114&gt;Q1114),1,0)</f>
        <v>0</v>
      </c>
      <c r="W1114" s="7" t="n">
        <f aca="false">IF(AND(T1114=1,P1114&lt;&gt;"",P1114&lt;=Q1114),1,0)</f>
        <v>0</v>
      </c>
    </row>
    <row r="1115" customFormat="false" ht="15" hidden="false" customHeight="false" outlineLevel="0" collapsed="false">
      <c r="A1115" s="7" t="s">
        <v>1384</v>
      </c>
      <c r="B1115" s="7" t="s">
        <v>46</v>
      </c>
      <c r="C1115" s="7" t="s">
        <v>47</v>
      </c>
      <c r="D1115" s="7" t="s">
        <v>54</v>
      </c>
      <c r="E1115" s="7" t="s">
        <v>55</v>
      </c>
      <c r="F1115" s="7" t="s">
        <v>50</v>
      </c>
      <c r="G1115" s="7" t="s">
        <v>19</v>
      </c>
      <c r="H1115" s="9" t="n">
        <v>46173</v>
      </c>
      <c r="I1115" s="9" t="n">
        <v>46181</v>
      </c>
      <c r="J1115" s="7" t="n">
        <v>9.8</v>
      </c>
      <c r="K1115" s="7" t="s">
        <v>1184</v>
      </c>
      <c r="L1115" s="7" t="s">
        <v>20</v>
      </c>
      <c r="M1115" s="7" t="s">
        <v>1386</v>
      </c>
      <c r="N1115" s="7" t="s">
        <v>58</v>
      </c>
      <c r="O1115" s="10" t="n">
        <f aca="false">'Exec Summary'!$E$2-H1115</f>
        <v>61</v>
      </c>
      <c r="P1115" s="10" t="n">
        <f aca="false">IF(I1115="","",I1115-H1115)</f>
        <v>8</v>
      </c>
      <c r="Q1115" s="10" t="n">
        <f aca="false">VLOOKUP(G1115,$AA$2:$AB$5,2,FALSE())</f>
        <v>15</v>
      </c>
      <c r="R1115" s="7" t="n">
        <f aca="false">IF(OR(F1115="Open",F1115="Reopened"),1,0)</f>
        <v>0</v>
      </c>
      <c r="S1115" s="7" t="n">
        <f aca="false">IF(AND(H1115&gt;='Exec Summary'!$E$1,H1115&lt;='Exec Summary'!$E$2),1,0)</f>
        <v>0</v>
      </c>
      <c r="T1115" s="7" t="n">
        <f aca="false">IF(AND(F1115="Closed",I1115&lt;&gt;"",I1115&gt;='Exec Summary'!$E$1,I1115&lt;='Exec Summary'!$E$2),1,0)</f>
        <v>0</v>
      </c>
      <c r="U1115" s="7" t="n">
        <f aca="false">IF(F1115="Reopened",1,0)</f>
        <v>0</v>
      </c>
      <c r="V1115" s="7" t="n">
        <f aca="false">IF(AND(R1115=1,O1115&gt;Q1115),1,0)</f>
        <v>0</v>
      </c>
      <c r="W1115" s="7" t="n">
        <f aca="false">IF(AND(T1115=1,P1115&lt;&gt;"",P1115&lt;=Q1115),1,0)</f>
        <v>0</v>
      </c>
    </row>
    <row r="1116" customFormat="false" ht="15" hidden="false" customHeight="false" outlineLevel="0" collapsed="false">
      <c r="A1116" s="7" t="s">
        <v>1384</v>
      </c>
      <c r="B1116" s="7" t="s">
        <v>46</v>
      </c>
      <c r="C1116" s="7" t="s">
        <v>47</v>
      </c>
      <c r="D1116" s="7" t="s">
        <v>62</v>
      </c>
      <c r="E1116" s="7" t="s">
        <v>63</v>
      </c>
      <c r="F1116" s="7" t="s">
        <v>56</v>
      </c>
      <c r="G1116" s="7" t="s">
        <v>20</v>
      </c>
      <c r="H1116" s="9" t="n">
        <v>45986</v>
      </c>
      <c r="I1116" s="9"/>
      <c r="J1116" s="7" t="n">
        <v>8.1</v>
      </c>
      <c r="K1116" s="7" t="s">
        <v>1184</v>
      </c>
      <c r="L1116" s="7" t="s">
        <v>20</v>
      </c>
      <c r="M1116" s="7" t="s">
        <v>1387</v>
      </c>
      <c r="N1116" s="7" t="s">
        <v>53</v>
      </c>
      <c r="O1116" s="10" t="n">
        <f aca="false">'Exec Summary'!$E$2-H1116</f>
        <v>248</v>
      </c>
      <c r="P1116" s="10" t="str">
        <f aca="false">IF(I1116="","",I1116-H1116)</f>
        <v/>
      </c>
      <c r="Q1116" s="10" t="n">
        <f aca="false">VLOOKUP(G1116,$AA$2:$AB$5,2,FALSE())</f>
        <v>30</v>
      </c>
      <c r="R1116" s="7" t="n">
        <f aca="false">IF(OR(F1116="Open",F1116="Reopened"),1,0)</f>
        <v>1</v>
      </c>
      <c r="S1116" s="7" t="n">
        <f aca="false">IF(AND(H1116&gt;='Exec Summary'!$E$1,H1116&lt;='Exec Summary'!$E$2),1,0)</f>
        <v>0</v>
      </c>
      <c r="T1116" s="7" t="n">
        <f aca="false">IF(AND(F1116="Closed",I1116&lt;&gt;"",I1116&gt;='Exec Summary'!$E$1,I1116&lt;='Exec Summary'!$E$2),1,0)</f>
        <v>0</v>
      </c>
      <c r="U1116" s="7" t="n">
        <f aca="false">IF(F1116="Reopened",1,0)</f>
        <v>0</v>
      </c>
      <c r="V1116" s="7" t="n">
        <f aca="false">IF(AND(R1116=1,O1116&gt;Q1116),1,0)</f>
        <v>1</v>
      </c>
      <c r="W1116" s="7" t="n">
        <f aca="false">IF(AND(T1116=1,P1116&lt;&gt;"",P1116&lt;=Q1116),1,0)</f>
        <v>0</v>
      </c>
    </row>
    <row r="1117" customFormat="false" ht="15" hidden="false" customHeight="false" outlineLevel="0" collapsed="false">
      <c r="A1117" s="7" t="s">
        <v>1384</v>
      </c>
      <c r="B1117" s="7" t="s">
        <v>46</v>
      </c>
      <c r="C1117" s="7" t="s">
        <v>47</v>
      </c>
      <c r="D1117" s="7" t="s">
        <v>91</v>
      </c>
      <c r="E1117" s="7" t="s">
        <v>92</v>
      </c>
      <c r="F1117" s="7" t="s">
        <v>123</v>
      </c>
      <c r="G1117" s="7" t="s">
        <v>20</v>
      </c>
      <c r="H1117" s="9" t="n">
        <v>46003</v>
      </c>
      <c r="I1117" s="9" t="n">
        <v>46028</v>
      </c>
      <c r="J1117" s="7" t="n">
        <v>8.1</v>
      </c>
      <c r="K1117" s="7" t="s">
        <v>1184</v>
      </c>
      <c r="L1117" s="7" t="s">
        <v>20</v>
      </c>
      <c r="M1117" s="7" t="s">
        <v>1388</v>
      </c>
      <c r="N1117" s="7" t="s">
        <v>53</v>
      </c>
      <c r="O1117" s="10" t="n">
        <f aca="false">'Exec Summary'!$E$2-H1117</f>
        <v>231</v>
      </c>
      <c r="P1117" s="10" t="n">
        <f aca="false">IF(I1117="","",I1117-H1117)</f>
        <v>25</v>
      </c>
      <c r="Q1117" s="10" t="n">
        <f aca="false">VLOOKUP(G1117,$AA$2:$AB$5,2,FALSE())</f>
        <v>30</v>
      </c>
      <c r="R1117" s="7" t="n">
        <f aca="false">IF(OR(F1117="Open",F1117="Reopened"),1,0)</f>
        <v>1</v>
      </c>
      <c r="S1117" s="7" t="n">
        <f aca="false">IF(AND(H1117&gt;='Exec Summary'!$E$1,H1117&lt;='Exec Summary'!$E$2),1,0)</f>
        <v>0</v>
      </c>
      <c r="T1117" s="7" t="n">
        <f aca="false">IF(AND(F1117="Closed",I1117&lt;&gt;"",I1117&gt;='Exec Summary'!$E$1,I1117&lt;='Exec Summary'!$E$2),1,0)</f>
        <v>0</v>
      </c>
      <c r="U1117" s="7" t="n">
        <f aca="false">IF(F1117="Reopened",1,0)</f>
        <v>1</v>
      </c>
      <c r="V1117" s="7" t="n">
        <f aca="false">IF(AND(R1117=1,O1117&gt;Q1117),1,0)</f>
        <v>1</v>
      </c>
      <c r="W1117" s="7" t="n">
        <f aca="false">IF(AND(T1117=1,P1117&lt;&gt;"",P1117&lt;=Q1117),1,0)</f>
        <v>0</v>
      </c>
    </row>
    <row r="1118" customFormat="false" ht="15" hidden="false" customHeight="false" outlineLevel="0" collapsed="false">
      <c r="A1118" s="7" t="s">
        <v>1384</v>
      </c>
      <c r="B1118" s="7" t="s">
        <v>46</v>
      </c>
      <c r="C1118" s="7" t="s">
        <v>47</v>
      </c>
      <c r="D1118" s="7" t="s">
        <v>101</v>
      </c>
      <c r="E1118" s="7" t="s">
        <v>102</v>
      </c>
      <c r="F1118" s="7" t="s">
        <v>50</v>
      </c>
      <c r="G1118" s="7" t="s">
        <v>19</v>
      </c>
      <c r="H1118" s="9" t="n">
        <v>46143</v>
      </c>
      <c r="I1118" s="9" t="n">
        <v>46160</v>
      </c>
      <c r="J1118" s="7" t="n">
        <v>10</v>
      </c>
      <c r="K1118" s="7" t="s">
        <v>1184</v>
      </c>
      <c r="L1118" s="7" t="s">
        <v>20</v>
      </c>
      <c r="M1118" s="7" t="s">
        <v>1389</v>
      </c>
      <c r="N1118" s="7" t="s">
        <v>58</v>
      </c>
      <c r="O1118" s="10" t="n">
        <f aca="false">'Exec Summary'!$E$2-H1118</f>
        <v>91</v>
      </c>
      <c r="P1118" s="10" t="n">
        <f aca="false">IF(I1118="","",I1118-H1118)</f>
        <v>17</v>
      </c>
      <c r="Q1118" s="10" t="n">
        <f aca="false">VLOOKUP(G1118,$AA$2:$AB$5,2,FALSE())</f>
        <v>15</v>
      </c>
      <c r="R1118" s="7" t="n">
        <f aca="false">IF(OR(F1118="Open",F1118="Reopened"),1,0)</f>
        <v>0</v>
      </c>
      <c r="S1118" s="7" t="n">
        <f aca="false">IF(AND(H1118&gt;='Exec Summary'!$E$1,H1118&lt;='Exec Summary'!$E$2),1,0)</f>
        <v>0</v>
      </c>
      <c r="T1118" s="7" t="n">
        <f aca="false">IF(AND(F1118="Closed",I1118&lt;&gt;"",I1118&gt;='Exec Summary'!$E$1,I1118&lt;='Exec Summary'!$E$2),1,0)</f>
        <v>0</v>
      </c>
      <c r="U1118" s="7" t="n">
        <f aca="false">IF(F1118="Reopened",1,0)</f>
        <v>0</v>
      </c>
      <c r="V1118" s="7" t="n">
        <f aca="false">IF(AND(R1118=1,O1118&gt;Q1118),1,0)</f>
        <v>0</v>
      </c>
      <c r="W1118" s="7" t="n">
        <f aca="false">IF(AND(T1118=1,P1118&lt;&gt;"",P1118&lt;=Q1118),1,0)</f>
        <v>0</v>
      </c>
    </row>
    <row r="1119" customFormat="false" ht="15" hidden="false" customHeight="false" outlineLevel="0" collapsed="false">
      <c r="A1119" s="7" t="s">
        <v>1384</v>
      </c>
      <c r="B1119" s="7" t="s">
        <v>46</v>
      </c>
      <c r="C1119" s="7" t="s">
        <v>47</v>
      </c>
      <c r="D1119" s="7" t="s">
        <v>173</v>
      </c>
      <c r="E1119" s="7" t="s">
        <v>174</v>
      </c>
      <c r="F1119" s="7" t="s">
        <v>123</v>
      </c>
      <c r="G1119" s="7" t="s">
        <v>19</v>
      </c>
      <c r="H1119" s="9" t="n">
        <v>46041</v>
      </c>
      <c r="I1119" s="9" t="n">
        <v>46060</v>
      </c>
      <c r="J1119" s="7" t="n">
        <v>9.8</v>
      </c>
      <c r="K1119" s="7" t="s">
        <v>1184</v>
      </c>
      <c r="L1119" s="7" t="s">
        <v>20</v>
      </c>
      <c r="M1119" s="7" t="s">
        <v>1390</v>
      </c>
      <c r="N1119" s="7" t="s">
        <v>58</v>
      </c>
      <c r="O1119" s="10" t="n">
        <f aca="false">'Exec Summary'!$E$2-H1119</f>
        <v>193</v>
      </c>
      <c r="P1119" s="10" t="n">
        <f aca="false">IF(I1119="","",I1119-H1119)</f>
        <v>19</v>
      </c>
      <c r="Q1119" s="10" t="n">
        <f aca="false">VLOOKUP(G1119,$AA$2:$AB$5,2,FALSE())</f>
        <v>15</v>
      </c>
      <c r="R1119" s="7" t="n">
        <f aca="false">IF(OR(F1119="Open",F1119="Reopened"),1,0)</f>
        <v>1</v>
      </c>
      <c r="S1119" s="7" t="n">
        <f aca="false">IF(AND(H1119&gt;='Exec Summary'!$E$1,H1119&lt;='Exec Summary'!$E$2),1,0)</f>
        <v>0</v>
      </c>
      <c r="T1119" s="7" t="n">
        <f aca="false">IF(AND(F1119="Closed",I1119&lt;&gt;"",I1119&gt;='Exec Summary'!$E$1,I1119&lt;='Exec Summary'!$E$2),1,0)</f>
        <v>0</v>
      </c>
      <c r="U1119" s="7" t="n">
        <f aca="false">IF(F1119="Reopened",1,0)</f>
        <v>1</v>
      </c>
      <c r="V1119" s="7" t="n">
        <f aca="false">IF(AND(R1119=1,O1119&gt;Q1119),1,0)</f>
        <v>1</v>
      </c>
      <c r="W1119" s="7" t="n">
        <f aca="false">IF(AND(T1119=1,P1119&lt;&gt;"",P1119&lt;=Q1119),1,0)</f>
        <v>0</v>
      </c>
    </row>
    <row r="1120" customFormat="false" ht="15" hidden="false" customHeight="false" outlineLevel="0" collapsed="false">
      <c r="A1120" s="7" t="s">
        <v>1391</v>
      </c>
      <c r="B1120" s="7" t="s">
        <v>46</v>
      </c>
      <c r="C1120" s="7" t="s">
        <v>128</v>
      </c>
      <c r="D1120" s="7" t="s">
        <v>117</v>
      </c>
      <c r="E1120" s="7" t="s">
        <v>118</v>
      </c>
      <c r="F1120" s="7" t="s">
        <v>56</v>
      </c>
      <c r="G1120" s="7" t="s">
        <v>19</v>
      </c>
      <c r="H1120" s="9" t="n">
        <v>45937</v>
      </c>
      <c r="I1120" s="9"/>
      <c r="J1120" s="7" t="n">
        <v>10</v>
      </c>
      <c r="K1120" s="7" t="s">
        <v>1392</v>
      </c>
      <c r="L1120" s="7" t="s">
        <v>21</v>
      </c>
      <c r="M1120" s="7" t="s">
        <v>1393</v>
      </c>
      <c r="N1120" s="7" t="s">
        <v>58</v>
      </c>
      <c r="O1120" s="10" t="n">
        <f aca="false">'Exec Summary'!$E$2-H1120</f>
        <v>297</v>
      </c>
      <c r="P1120" s="10" t="str">
        <f aca="false">IF(I1120="","",I1120-H1120)</f>
        <v/>
      </c>
      <c r="Q1120" s="10" t="n">
        <f aca="false">VLOOKUP(G1120,$AA$2:$AB$5,2,FALSE())</f>
        <v>15</v>
      </c>
      <c r="R1120" s="7" t="n">
        <f aca="false">IF(OR(F1120="Open",F1120="Reopened"),1,0)</f>
        <v>1</v>
      </c>
      <c r="S1120" s="7" t="n">
        <f aca="false">IF(AND(H1120&gt;='Exec Summary'!$E$1,H1120&lt;='Exec Summary'!$E$2),1,0)</f>
        <v>0</v>
      </c>
      <c r="T1120" s="7" t="n">
        <f aca="false">IF(AND(F1120="Closed",I1120&lt;&gt;"",I1120&gt;='Exec Summary'!$E$1,I1120&lt;='Exec Summary'!$E$2),1,0)</f>
        <v>0</v>
      </c>
      <c r="U1120" s="7" t="n">
        <f aca="false">IF(F1120="Reopened",1,0)</f>
        <v>0</v>
      </c>
      <c r="V1120" s="7" t="n">
        <f aca="false">IF(AND(R1120=1,O1120&gt;Q1120),1,0)</f>
        <v>1</v>
      </c>
      <c r="W1120" s="7" t="n">
        <f aca="false">IF(AND(T1120=1,P1120&lt;&gt;"",P1120&lt;=Q1120),1,0)</f>
        <v>0</v>
      </c>
    </row>
    <row r="1121" customFormat="false" ht="15" hidden="false" customHeight="false" outlineLevel="0" collapsed="false">
      <c r="A1121" s="7" t="s">
        <v>1391</v>
      </c>
      <c r="B1121" s="7" t="s">
        <v>46</v>
      </c>
      <c r="C1121" s="7" t="s">
        <v>128</v>
      </c>
      <c r="D1121" s="7" t="s">
        <v>152</v>
      </c>
      <c r="E1121" s="7" t="s">
        <v>153</v>
      </c>
      <c r="F1121" s="7" t="s">
        <v>56</v>
      </c>
      <c r="G1121" s="7" t="s">
        <v>20</v>
      </c>
      <c r="H1121" s="9" t="n">
        <v>46044</v>
      </c>
      <c r="I1121" s="9"/>
      <c r="J1121" s="7" t="n">
        <v>7.5</v>
      </c>
      <c r="K1121" s="7" t="s">
        <v>1392</v>
      </c>
      <c r="L1121" s="7" t="s">
        <v>21</v>
      </c>
      <c r="M1121" s="7" t="s">
        <v>1394</v>
      </c>
      <c r="N1121" s="7" t="s">
        <v>53</v>
      </c>
      <c r="O1121" s="10" t="n">
        <f aca="false">'Exec Summary'!$E$2-H1121</f>
        <v>190</v>
      </c>
      <c r="P1121" s="10" t="str">
        <f aca="false">IF(I1121="","",I1121-H1121)</f>
        <v/>
      </c>
      <c r="Q1121" s="10" t="n">
        <f aca="false">VLOOKUP(G1121,$AA$2:$AB$5,2,FALSE())</f>
        <v>30</v>
      </c>
      <c r="R1121" s="7" t="n">
        <f aca="false">IF(OR(F1121="Open",F1121="Reopened"),1,0)</f>
        <v>1</v>
      </c>
      <c r="S1121" s="7" t="n">
        <f aca="false">IF(AND(H1121&gt;='Exec Summary'!$E$1,H1121&lt;='Exec Summary'!$E$2),1,0)</f>
        <v>0</v>
      </c>
      <c r="T1121" s="7" t="n">
        <f aca="false">IF(AND(F1121="Closed",I1121&lt;&gt;"",I1121&gt;='Exec Summary'!$E$1,I1121&lt;='Exec Summary'!$E$2),1,0)</f>
        <v>0</v>
      </c>
      <c r="U1121" s="7" t="n">
        <f aca="false">IF(F1121="Reopened",1,0)</f>
        <v>0</v>
      </c>
      <c r="V1121" s="7" t="n">
        <f aca="false">IF(AND(R1121=1,O1121&gt;Q1121),1,0)</f>
        <v>1</v>
      </c>
      <c r="W1121" s="7" t="n">
        <f aca="false">IF(AND(T1121=1,P1121&lt;&gt;"",P1121&lt;=Q1121),1,0)</f>
        <v>0</v>
      </c>
    </row>
    <row r="1122" customFormat="false" ht="15" hidden="false" customHeight="false" outlineLevel="0" collapsed="false">
      <c r="A1122" s="7" t="s">
        <v>1391</v>
      </c>
      <c r="B1122" s="7" t="s">
        <v>46</v>
      </c>
      <c r="C1122" s="7" t="s">
        <v>128</v>
      </c>
      <c r="D1122" s="7" t="s">
        <v>173</v>
      </c>
      <c r="E1122" s="7" t="s">
        <v>174</v>
      </c>
      <c r="F1122" s="7" t="s">
        <v>50</v>
      </c>
      <c r="G1122" s="7" t="s">
        <v>19</v>
      </c>
      <c r="H1122" s="9" t="n">
        <v>45985</v>
      </c>
      <c r="I1122" s="9" t="n">
        <v>45991</v>
      </c>
      <c r="J1122" s="7" t="n">
        <v>9.8</v>
      </c>
      <c r="K1122" s="7" t="s">
        <v>1392</v>
      </c>
      <c r="L1122" s="7" t="s">
        <v>21</v>
      </c>
      <c r="M1122" s="7" t="s">
        <v>1395</v>
      </c>
      <c r="N1122" s="7" t="s">
        <v>58</v>
      </c>
      <c r="O1122" s="10" t="n">
        <f aca="false">'Exec Summary'!$E$2-H1122</f>
        <v>249</v>
      </c>
      <c r="P1122" s="10" t="n">
        <f aca="false">IF(I1122="","",I1122-H1122)</f>
        <v>6</v>
      </c>
      <c r="Q1122" s="10" t="n">
        <f aca="false">VLOOKUP(G1122,$AA$2:$AB$5,2,FALSE())</f>
        <v>15</v>
      </c>
      <c r="R1122" s="7" t="n">
        <f aca="false">IF(OR(F1122="Open",F1122="Reopened"),1,0)</f>
        <v>0</v>
      </c>
      <c r="S1122" s="7" t="n">
        <f aca="false">IF(AND(H1122&gt;='Exec Summary'!$E$1,H1122&lt;='Exec Summary'!$E$2),1,0)</f>
        <v>0</v>
      </c>
      <c r="T1122" s="7" t="n">
        <f aca="false">IF(AND(F1122="Closed",I1122&lt;&gt;"",I1122&gt;='Exec Summary'!$E$1,I1122&lt;='Exec Summary'!$E$2),1,0)</f>
        <v>0</v>
      </c>
      <c r="U1122" s="7" t="n">
        <f aca="false">IF(F1122="Reopened",1,0)</f>
        <v>0</v>
      </c>
      <c r="V1122" s="7" t="n">
        <f aca="false">IF(AND(R1122=1,O1122&gt;Q1122),1,0)</f>
        <v>0</v>
      </c>
      <c r="W1122" s="7" t="n">
        <f aca="false">IF(AND(T1122=1,P1122&lt;&gt;"",P1122&lt;=Q1122),1,0)</f>
        <v>0</v>
      </c>
    </row>
    <row r="1123" customFormat="false" ht="15" hidden="false" customHeight="false" outlineLevel="0" collapsed="false">
      <c r="A1123" s="7" t="s">
        <v>1396</v>
      </c>
      <c r="B1123" s="7" t="s">
        <v>46</v>
      </c>
      <c r="C1123" s="7" t="s">
        <v>47</v>
      </c>
      <c r="D1123" s="7" t="s">
        <v>131</v>
      </c>
      <c r="E1123" s="7" t="s">
        <v>132</v>
      </c>
      <c r="F1123" s="7" t="s">
        <v>56</v>
      </c>
      <c r="G1123" s="7" t="s">
        <v>19</v>
      </c>
      <c r="H1123" s="9" t="n">
        <v>46034</v>
      </c>
      <c r="I1123" s="9"/>
      <c r="J1123" s="7" t="n">
        <v>9.8</v>
      </c>
      <c r="K1123" s="7" t="s">
        <v>1392</v>
      </c>
      <c r="L1123" s="7" t="s">
        <v>22</v>
      </c>
      <c r="M1123" s="7" t="s">
        <v>1397</v>
      </c>
      <c r="N1123" s="7" t="s">
        <v>58</v>
      </c>
      <c r="O1123" s="10" t="n">
        <f aca="false">'Exec Summary'!$E$2-H1123</f>
        <v>200</v>
      </c>
      <c r="P1123" s="10" t="str">
        <f aca="false">IF(I1123="","",I1123-H1123)</f>
        <v/>
      </c>
      <c r="Q1123" s="10" t="n">
        <f aca="false">VLOOKUP(G1123,$AA$2:$AB$5,2,FALSE())</f>
        <v>15</v>
      </c>
      <c r="R1123" s="7" t="n">
        <f aca="false">IF(OR(F1123="Open",F1123="Reopened"),1,0)</f>
        <v>1</v>
      </c>
      <c r="S1123" s="7" t="n">
        <f aca="false">IF(AND(H1123&gt;='Exec Summary'!$E$1,H1123&lt;='Exec Summary'!$E$2),1,0)</f>
        <v>0</v>
      </c>
      <c r="T1123" s="7" t="n">
        <f aca="false">IF(AND(F1123="Closed",I1123&lt;&gt;"",I1123&gt;='Exec Summary'!$E$1,I1123&lt;='Exec Summary'!$E$2),1,0)</f>
        <v>0</v>
      </c>
      <c r="U1123" s="7" t="n">
        <f aca="false">IF(F1123="Reopened",1,0)</f>
        <v>0</v>
      </c>
      <c r="V1123" s="7" t="n">
        <f aca="false">IF(AND(R1123=1,O1123&gt;Q1123),1,0)</f>
        <v>1</v>
      </c>
      <c r="W1123" s="7" t="n">
        <f aca="false">IF(AND(T1123=1,P1123&lt;&gt;"",P1123&lt;=Q1123),1,0)</f>
        <v>0</v>
      </c>
    </row>
    <row r="1124" customFormat="false" ht="15" hidden="false" customHeight="false" outlineLevel="0" collapsed="false">
      <c r="A1124" s="7" t="s">
        <v>1396</v>
      </c>
      <c r="B1124" s="7" t="s">
        <v>46</v>
      </c>
      <c r="C1124" s="7" t="s">
        <v>47</v>
      </c>
      <c r="D1124" s="7" t="s">
        <v>104</v>
      </c>
      <c r="E1124" s="7" t="s">
        <v>105</v>
      </c>
      <c r="F1124" s="7" t="s">
        <v>50</v>
      </c>
      <c r="G1124" s="7" t="s">
        <v>19</v>
      </c>
      <c r="H1124" s="9" t="n">
        <v>46001</v>
      </c>
      <c r="I1124" s="9" t="n">
        <v>46019</v>
      </c>
      <c r="J1124" s="7" t="n">
        <v>9.8</v>
      </c>
      <c r="K1124" s="7" t="s">
        <v>1392</v>
      </c>
      <c r="L1124" s="7" t="s">
        <v>22</v>
      </c>
      <c r="M1124" s="7" t="s">
        <v>1398</v>
      </c>
      <c r="N1124" s="7" t="s">
        <v>58</v>
      </c>
      <c r="O1124" s="10" t="n">
        <f aca="false">'Exec Summary'!$E$2-H1124</f>
        <v>233</v>
      </c>
      <c r="P1124" s="10" t="n">
        <f aca="false">IF(I1124="","",I1124-H1124)</f>
        <v>18</v>
      </c>
      <c r="Q1124" s="10" t="n">
        <f aca="false">VLOOKUP(G1124,$AA$2:$AB$5,2,FALSE())</f>
        <v>15</v>
      </c>
      <c r="R1124" s="7" t="n">
        <f aca="false">IF(OR(F1124="Open",F1124="Reopened"),1,0)</f>
        <v>0</v>
      </c>
      <c r="S1124" s="7" t="n">
        <f aca="false">IF(AND(H1124&gt;='Exec Summary'!$E$1,H1124&lt;='Exec Summary'!$E$2),1,0)</f>
        <v>0</v>
      </c>
      <c r="T1124" s="7" t="n">
        <f aca="false">IF(AND(F1124="Closed",I1124&lt;&gt;"",I1124&gt;='Exec Summary'!$E$1,I1124&lt;='Exec Summary'!$E$2),1,0)</f>
        <v>0</v>
      </c>
      <c r="U1124" s="7" t="n">
        <f aca="false">IF(F1124="Reopened",1,0)</f>
        <v>0</v>
      </c>
      <c r="V1124" s="7" t="n">
        <f aca="false">IF(AND(R1124=1,O1124&gt;Q1124),1,0)</f>
        <v>0</v>
      </c>
      <c r="W1124" s="7" t="n">
        <f aca="false">IF(AND(T1124=1,P1124&lt;&gt;"",P1124&lt;=Q1124),1,0)</f>
        <v>0</v>
      </c>
    </row>
    <row r="1125" customFormat="false" ht="15" hidden="false" customHeight="false" outlineLevel="0" collapsed="false">
      <c r="A1125" s="7" t="s">
        <v>1396</v>
      </c>
      <c r="B1125" s="7" t="s">
        <v>46</v>
      </c>
      <c r="C1125" s="7" t="s">
        <v>47</v>
      </c>
      <c r="D1125" s="7" t="s">
        <v>71</v>
      </c>
      <c r="E1125" s="7" t="s">
        <v>72</v>
      </c>
      <c r="F1125" s="7" t="s">
        <v>56</v>
      </c>
      <c r="G1125" s="7" t="s">
        <v>19</v>
      </c>
      <c r="H1125" s="9" t="n">
        <v>45994</v>
      </c>
      <c r="I1125" s="9"/>
      <c r="J1125" s="7" t="n">
        <v>9.8</v>
      </c>
      <c r="K1125" s="7" t="s">
        <v>1392</v>
      </c>
      <c r="L1125" s="7" t="s">
        <v>22</v>
      </c>
      <c r="M1125" s="7" t="s">
        <v>1399</v>
      </c>
      <c r="N1125" s="7" t="s">
        <v>58</v>
      </c>
      <c r="O1125" s="10" t="n">
        <f aca="false">'Exec Summary'!$E$2-H1125</f>
        <v>240</v>
      </c>
      <c r="P1125" s="10" t="str">
        <f aca="false">IF(I1125="","",I1125-H1125)</f>
        <v/>
      </c>
      <c r="Q1125" s="10" t="n">
        <f aca="false">VLOOKUP(G1125,$AA$2:$AB$5,2,FALSE())</f>
        <v>15</v>
      </c>
      <c r="R1125" s="7" t="n">
        <f aca="false">IF(OR(F1125="Open",F1125="Reopened"),1,0)</f>
        <v>1</v>
      </c>
      <c r="S1125" s="7" t="n">
        <f aca="false">IF(AND(H1125&gt;='Exec Summary'!$E$1,H1125&lt;='Exec Summary'!$E$2),1,0)</f>
        <v>0</v>
      </c>
      <c r="T1125" s="7" t="n">
        <f aca="false">IF(AND(F1125="Closed",I1125&lt;&gt;"",I1125&gt;='Exec Summary'!$E$1,I1125&lt;='Exec Summary'!$E$2),1,0)</f>
        <v>0</v>
      </c>
      <c r="U1125" s="7" t="n">
        <f aca="false">IF(F1125="Reopened",1,0)</f>
        <v>0</v>
      </c>
      <c r="V1125" s="7" t="n">
        <f aca="false">IF(AND(R1125=1,O1125&gt;Q1125),1,0)</f>
        <v>1</v>
      </c>
      <c r="W1125" s="7" t="n">
        <f aca="false">IF(AND(T1125=1,P1125&lt;&gt;"",P1125&lt;=Q1125),1,0)</f>
        <v>0</v>
      </c>
    </row>
    <row r="1126" customFormat="false" ht="15" hidden="false" customHeight="false" outlineLevel="0" collapsed="false">
      <c r="A1126" s="7" t="s">
        <v>1396</v>
      </c>
      <c r="B1126" s="7" t="s">
        <v>46</v>
      </c>
      <c r="C1126" s="7" t="s">
        <v>47</v>
      </c>
      <c r="D1126" s="7" t="s">
        <v>101</v>
      </c>
      <c r="E1126" s="7" t="s">
        <v>102</v>
      </c>
      <c r="F1126" s="7" t="s">
        <v>56</v>
      </c>
      <c r="G1126" s="7" t="s">
        <v>19</v>
      </c>
      <c r="H1126" s="9" t="n">
        <v>46121</v>
      </c>
      <c r="I1126" s="9"/>
      <c r="J1126" s="7" t="n">
        <v>10</v>
      </c>
      <c r="K1126" s="7" t="s">
        <v>1392</v>
      </c>
      <c r="L1126" s="7" t="s">
        <v>22</v>
      </c>
      <c r="M1126" s="7" t="s">
        <v>1400</v>
      </c>
      <c r="N1126" s="7" t="s">
        <v>58</v>
      </c>
      <c r="O1126" s="10" t="n">
        <f aca="false">'Exec Summary'!$E$2-H1126</f>
        <v>113</v>
      </c>
      <c r="P1126" s="10" t="str">
        <f aca="false">IF(I1126="","",I1126-H1126)</f>
        <v/>
      </c>
      <c r="Q1126" s="10" t="n">
        <f aca="false">VLOOKUP(G1126,$AA$2:$AB$5,2,FALSE())</f>
        <v>15</v>
      </c>
      <c r="R1126" s="7" t="n">
        <f aca="false">IF(OR(F1126="Open",F1126="Reopened"),1,0)</f>
        <v>1</v>
      </c>
      <c r="S1126" s="7" t="n">
        <f aca="false">IF(AND(H1126&gt;='Exec Summary'!$E$1,H1126&lt;='Exec Summary'!$E$2),1,0)</f>
        <v>0</v>
      </c>
      <c r="T1126" s="7" t="n">
        <f aca="false">IF(AND(F1126="Closed",I1126&lt;&gt;"",I1126&gt;='Exec Summary'!$E$1,I1126&lt;='Exec Summary'!$E$2),1,0)</f>
        <v>0</v>
      </c>
      <c r="U1126" s="7" t="n">
        <f aca="false">IF(F1126="Reopened",1,0)</f>
        <v>0</v>
      </c>
      <c r="V1126" s="7" t="n">
        <f aca="false">IF(AND(R1126=1,O1126&gt;Q1126),1,0)</f>
        <v>1</v>
      </c>
      <c r="W1126" s="7" t="n">
        <f aca="false">IF(AND(T1126=1,P1126&lt;&gt;"",P1126&lt;=Q1126),1,0)</f>
        <v>0</v>
      </c>
    </row>
    <row r="1127" customFormat="false" ht="15" hidden="false" customHeight="false" outlineLevel="0" collapsed="false">
      <c r="A1127" s="7" t="s">
        <v>1396</v>
      </c>
      <c r="B1127" s="7" t="s">
        <v>46</v>
      </c>
      <c r="C1127" s="7" t="s">
        <v>47</v>
      </c>
      <c r="D1127" s="7" t="s">
        <v>117</v>
      </c>
      <c r="E1127" s="7" t="s">
        <v>118</v>
      </c>
      <c r="F1127" s="7" t="s">
        <v>123</v>
      </c>
      <c r="G1127" s="7" t="s">
        <v>19</v>
      </c>
      <c r="H1127" s="9" t="n">
        <v>46155</v>
      </c>
      <c r="I1127" s="9" t="n">
        <v>46169</v>
      </c>
      <c r="J1127" s="7" t="n">
        <v>10</v>
      </c>
      <c r="K1127" s="7" t="s">
        <v>1392</v>
      </c>
      <c r="L1127" s="7" t="s">
        <v>22</v>
      </c>
      <c r="M1127" s="7" t="s">
        <v>1401</v>
      </c>
      <c r="N1127" s="7" t="s">
        <v>58</v>
      </c>
      <c r="O1127" s="10" t="n">
        <f aca="false">'Exec Summary'!$E$2-H1127</f>
        <v>79</v>
      </c>
      <c r="P1127" s="10" t="n">
        <f aca="false">IF(I1127="","",I1127-H1127)</f>
        <v>14</v>
      </c>
      <c r="Q1127" s="10" t="n">
        <f aca="false">VLOOKUP(G1127,$AA$2:$AB$5,2,FALSE())</f>
        <v>15</v>
      </c>
      <c r="R1127" s="7" t="n">
        <f aca="false">IF(OR(F1127="Open",F1127="Reopened"),1,0)</f>
        <v>1</v>
      </c>
      <c r="S1127" s="7" t="n">
        <f aca="false">IF(AND(H1127&gt;='Exec Summary'!$E$1,H1127&lt;='Exec Summary'!$E$2),1,0)</f>
        <v>0</v>
      </c>
      <c r="T1127" s="7" t="n">
        <f aca="false">IF(AND(F1127="Closed",I1127&lt;&gt;"",I1127&gt;='Exec Summary'!$E$1,I1127&lt;='Exec Summary'!$E$2),1,0)</f>
        <v>0</v>
      </c>
      <c r="U1127" s="7" t="n">
        <f aca="false">IF(F1127="Reopened",1,0)</f>
        <v>1</v>
      </c>
      <c r="V1127" s="7" t="n">
        <f aca="false">IF(AND(R1127=1,O1127&gt;Q1127),1,0)</f>
        <v>1</v>
      </c>
      <c r="W1127" s="7" t="n">
        <f aca="false">IF(AND(T1127=1,P1127&lt;&gt;"",P1127&lt;=Q1127),1,0)</f>
        <v>0</v>
      </c>
    </row>
    <row r="1128" customFormat="false" ht="15" hidden="false" customHeight="false" outlineLevel="0" collapsed="false">
      <c r="A1128" s="7" t="s">
        <v>1396</v>
      </c>
      <c r="B1128" s="7" t="s">
        <v>46</v>
      </c>
      <c r="C1128" s="7" t="s">
        <v>47</v>
      </c>
      <c r="D1128" s="7" t="s">
        <v>95</v>
      </c>
      <c r="E1128" s="7" t="s">
        <v>96</v>
      </c>
      <c r="F1128" s="7" t="s">
        <v>50</v>
      </c>
      <c r="G1128" s="7" t="s">
        <v>20</v>
      </c>
      <c r="H1128" s="9" t="n">
        <v>46176</v>
      </c>
      <c r="I1128" s="9" t="n">
        <v>46200</v>
      </c>
      <c r="J1128" s="7" t="n">
        <v>8.8</v>
      </c>
      <c r="K1128" s="7" t="s">
        <v>1392</v>
      </c>
      <c r="L1128" s="7" t="s">
        <v>22</v>
      </c>
      <c r="M1128" s="7" t="s">
        <v>1402</v>
      </c>
      <c r="N1128" s="7" t="s">
        <v>53</v>
      </c>
      <c r="O1128" s="10" t="n">
        <f aca="false">'Exec Summary'!$E$2-H1128</f>
        <v>58</v>
      </c>
      <c r="P1128" s="10" t="n">
        <f aca="false">IF(I1128="","",I1128-H1128)</f>
        <v>24</v>
      </c>
      <c r="Q1128" s="10" t="n">
        <f aca="false">VLOOKUP(G1128,$AA$2:$AB$5,2,FALSE())</f>
        <v>30</v>
      </c>
      <c r="R1128" s="7" t="n">
        <f aca="false">IF(OR(F1128="Open",F1128="Reopened"),1,0)</f>
        <v>0</v>
      </c>
      <c r="S1128" s="7" t="n">
        <f aca="false">IF(AND(H1128&gt;='Exec Summary'!$E$1,H1128&lt;='Exec Summary'!$E$2),1,0)</f>
        <v>0</v>
      </c>
      <c r="T1128" s="7" t="n">
        <f aca="false">IF(AND(F1128="Closed",I1128&lt;&gt;"",I1128&gt;='Exec Summary'!$E$1,I1128&lt;='Exec Summary'!$E$2),1,0)</f>
        <v>0</v>
      </c>
      <c r="U1128" s="7" t="n">
        <f aca="false">IF(F1128="Reopened",1,0)</f>
        <v>0</v>
      </c>
      <c r="V1128" s="7" t="n">
        <f aca="false">IF(AND(R1128=1,O1128&gt;Q1128),1,0)</f>
        <v>0</v>
      </c>
      <c r="W1128" s="7" t="n">
        <f aca="false">IF(AND(T1128=1,P1128&lt;&gt;"",P1128&lt;=Q1128),1,0)</f>
        <v>0</v>
      </c>
    </row>
    <row r="1129" customFormat="false" ht="15" hidden="false" customHeight="false" outlineLevel="0" collapsed="false">
      <c r="A1129" s="7" t="s">
        <v>1396</v>
      </c>
      <c r="B1129" s="7" t="s">
        <v>46</v>
      </c>
      <c r="C1129" s="7" t="s">
        <v>47</v>
      </c>
      <c r="D1129" s="7" t="s">
        <v>98</v>
      </c>
      <c r="E1129" s="7" t="s">
        <v>99</v>
      </c>
      <c r="F1129" s="7" t="s">
        <v>50</v>
      </c>
      <c r="G1129" s="7" t="s">
        <v>19</v>
      </c>
      <c r="H1129" s="9" t="n">
        <v>45989</v>
      </c>
      <c r="I1129" s="9" t="n">
        <v>46001</v>
      </c>
      <c r="J1129" s="7" t="n">
        <v>10</v>
      </c>
      <c r="K1129" s="7" t="s">
        <v>1392</v>
      </c>
      <c r="L1129" s="7" t="s">
        <v>22</v>
      </c>
      <c r="M1129" s="7" t="s">
        <v>1403</v>
      </c>
      <c r="N1129" s="7" t="s">
        <v>58</v>
      </c>
      <c r="O1129" s="10" t="n">
        <f aca="false">'Exec Summary'!$E$2-H1129</f>
        <v>245</v>
      </c>
      <c r="P1129" s="10" t="n">
        <f aca="false">IF(I1129="","",I1129-H1129)</f>
        <v>12</v>
      </c>
      <c r="Q1129" s="10" t="n">
        <f aca="false">VLOOKUP(G1129,$AA$2:$AB$5,2,FALSE())</f>
        <v>15</v>
      </c>
      <c r="R1129" s="7" t="n">
        <f aca="false">IF(OR(F1129="Open",F1129="Reopened"),1,0)</f>
        <v>0</v>
      </c>
      <c r="S1129" s="7" t="n">
        <f aca="false">IF(AND(H1129&gt;='Exec Summary'!$E$1,H1129&lt;='Exec Summary'!$E$2),1,0)</f>
        <v>0</v>
      </c>
      <c r="T1129" s="7" t="n">
        <f aca="false">IF(AND(F1129="Closed",I1129&lt;&gt;"",I1129&gt;='Exec Summary'!$E$1,I1129&lt;='Exec Summary'!$E$2),1,0)</f>
        <v>0</v>
      </c>
      <c r="U1129" s="7" t="n">
        <f aca="false">IF(F1129="Reopened",1,0)</f>
        <v>0</v>
      </c>
      <c r="V1129" s="7" t="n">
        <f aca="false">IF(AND(R1129=1,O1129&gt;Q1129),1,0)</f>
        <v>0</v>
      </c>
      <c r="W1129" s="7" t="n">
        <f aca="false">IF(AND(T1129=1,P1129&lt;&gt;"",P1129&lt;=Q1129),1,0)</f>
        <v>0</v>
      </c>
    </row>
    <row r="1130" customFormat="false" ht="15" hidden="false" customHeight="false" outlineLevel="0" collapsed="false">
      <c r="A1130" s="7" t="s">
        <v>1396</v>
      </c>
      <c r="B1130" s="7" t="s">
        <v>46</v>
      </c>
      <c r="C1130" s="7" t="s">
        <v>47</v>
      </c>
      <c r="D1130" s="7" t="s">
        <v>48</v>
      </c>
      <c r="E1130" s="7" t="s">
        <v>49</v>
      </c>
      <c r="F1130" s="7" t="s">
        <v>50</v>
      </c>
      <c r="G1130" s="7" t="s">
        <v>20</v>
      </c>
      <c r="H1130" s="9" t="n">
        <v>46012</v>
      </c>
      <c r="I1130" s="9" t="n">
        <v>46015</v>
      </c>
      <c r="J1130" s="7" t="n">
        <v>7.5</v>
      </c>
      <c r="K1130" s="7" t="s">
        <v>1392</v>
      </c>
      <c r="L1130" s="7" t="s">
        <v>22</v>
      </c>
      <c r="M1130" s="7" t="s">
        <v>1404</v>
      </c>
      <c r="N1130" s="7" t="s">
        <v>53</v>
      </c>
      <c r="O1130" s="10" t="n">
        <f aca="false">'Exec Summary'!$E$2-H1130</f>
        <v>222</v>
      </c>
      <c r="P1130" s="10" t="n">
        <f aca="false">IF(I1130="","",I1130-H1130)</f>
        <v>3</v>
      </c>
      <c r="Q1130" s="10" t="n">
        <f aca="false">VLOOKUP(G1130,$AA$2:$AB$5,2,FALSE())</f>
        <v>30</v>
      </c>
      <c r="R1130" s="7" t="n">
        <f aca="false">IF(OR(F1130="Open",F1130="Reopened"),1,0)</f>
        <v>0</v>
      </c>
      <c r="S1130" s="7" t="n">
        <f aca="false">IF(AND(H1130&gt;='Exec Summary'!$E$1,H1130&lt;='Exec Summary'!$E$2),1,0)</f>
        <v>0</v>
      </c>
      <c r="T1130" s="7" t="n">
        <f aca="false">IF(AND(F1130="Closed",I1130&lt;&gt;"",I1130&gt;='Exec Summary'!$E$1,I1130&lt;='Exec Summary'!$E$2),1,0)</f>
        <v>0</v>
      </c>
      <c r="U1130" s="7" t="n">
        <f aca="false">IF(F1130="Reopened",1,0)</f>
        <v>0</v>
      </c>
      <c r="V1130" s="7" t="n">
        <f aca="false">IF(AND(R1130=1,O1130&gt;Q1130),1,0)</f>
        <v>0</v>
      </c>
      <c r="W1130" s="7" t="n">
        <f aca="false">IF(AND(T1130=1,P1130&lt;&gt;"",P1130&lt;=Q1130),1,0)</f>
        <v>0</v>
      </c>
    </row>
    <row r="1131" customFormat="false" ht="15" hidden="false" customHeight="false" outlineLevel="0" collapsed="false">
      <c r="A1131" s="7" t="s">
        <v>1396</v>
      </c>
      <c r="B1131" s="7" t="s">
        <v>46</v>
      </c>
      <c r="C1131" s="7" t="s">
        <v>47</v>
      </c>
      <c r="D1131" s="7" t="s">
        <v>173</v>
      </c>
      <c r="E1131" s="7" t="s">
        <v>174</v>
      </c>
      <c r="F1131" s="7" t="s">
        <v>56</v>
      </c>
      <c r="G1131" s="7" t="s">
        <v>19</v>
      </c>
      <c r="H1131" s="9" t="n">
        <v>46218</v>
      </c>
      <c r="I1131" s="9"/>
      <c r="J1131" s="7" t="n">
        <v>9.8</v>
      </c>
      <c r="K1131" s="7" t="s">
        <v>1392</v>
      </c>
      <c r="L1131" s="7" t="s">
        <v>22</v>
      </c>
      <c r="M1131" s="7" t="s">
        <v>1405</v>
      </c>
      <c r="N1131" s="7" t="s">
        <v>58</v>
      </c>
      <c r="O1131" s="10" t="n">
        <f aca="false">'Exec Summary'!$E$2-H1131</f>
        <v>16</v>
      </c>
      <c r="P1131" s="10" t="str">
        <f aca="false">IF(I1131="","",I1131-H1131)</f>
        <v/>
      </c>
      <c r="Q1131" s="10" t="n">
        <f aca="false">VLOOKUP(G1131,$AA$2:$AB$5,2,FALSE())</f>
        <v>15</v>
      </c>
      <c r="R1131" s="7" t="n">
        <f aca="false">IF(OR(F1131="Open",F1131="Reopened"),1,0)</f>
        <v>1</v>
      </c>
      <c r="S1131" s="7" t="n">
        <f aca="false">IF(AND(H1131&gt;='Exec Summary'!$E$1,H1131&lt;='Exec Summary'!$E$2),1,0)</f>
        <v>1</v>
      </c>
      <c r="T1131" s="7" t="n">
        <f aca="false">IF(AND(F1131="Closed",I1131&lt;&gt;"",I1131&gt;='Exec Summary'!$E$1,I1131&lt;='Exec Summary'!$E$2),1,0)</f>
        <v>0</v>
      </c>
      <c r="U1131" s="7" t="n">
        <f aca="false">IF(F1131="Reopened",1,0)</f>
        <v>0</v>
      </c>
      <c r="V1131" s="7" t="n">
        <f aca="false">IF(AND(R1131=1,O1131&gt;Q1131),1,0)</f>
        <v>1</v>
      </c>
      <c r="W1131" s="7" t="n">
        <f aca="false">IF(AND(T1131=1,P1131&lt;&gt;"",P1131&lt;=Q1131),1,0)</f>
        <v>0</v>
      </c>
    </row>
    <row r="1132" customFormat="false" ht="15" hidden="false" customHeight="false" outlineLevel="0" collapsed="false">
      <c r="A1132" s="7" t="s">
        <v>1396</v>
      </c>
      <c r="B1132" s="7" t="s">
        <v>46</v>
      </c>
      <c r="C1132" s="7" t="s">
        <v>47</v>
      </c>
      <c r="D1132" s="7" t="s">
        <v>54</v>
      </c>
      <c r="E1132" s="7" t="s">
        <v>55</v>
      </c>
      <c r="F1132" s="7" t="s">
        <v>56</v>
      </c>
      <c r="G1132" s="7" t="s">
        <v>19</v>
      </c>
      <c r="H1132" s="9" t="n">
        <v>46102</v>
      </c>
      <c r="I1132" s="9"/>
      <c r="J1132" s="7" t="n">
        <v>9.8</v>
      </c>
      <c r="K1132" s="7" t="s">
        <v>1392</v>
      </c>
      <c r="L1132" s="7" t="s">
        <v>22</v>
      </c>
      <c r="M1132" s="7" t="s">
        <v>1406</v>
      </c>
      <c r="N1132" s="7" t="s">
        <v>58</v>
      </c>
      <c r="O1132" s="10" t="n">
        <f aca="false">'Exec Summary'!$E$2-H1132</f>
        <v>132</v>
      </c>
      <c r="P1132" s="10" t="str">
        <f aca="false">IF(I1132="","",I1132-H1132)</f>
        <v/>
      </c>
      <c r="Q1132" s="10" t="n">
        <f aca="false">VLOOKUP(G1132,$AA$2:$AB$5,2,FALSE())</f>
        <v>15</v>
      </c>
      <c r="R1132" s="7" t="n">
        <f aca="false">IF(OR(F1132="Open",F1132="Reopened"),1,0)</f>
        <v>1</v>
      </c>
      <c r="S1132" s="7" t="n">
        <f aca="false">IF(AND(H1132&gt;='Exec Summary'!$E$1,H1132&lt;='Exec Summary'!$E$2),1,0)</f>
        <v>0</v>
      </c>
      <c r="T1132" s="7" t="n">
        <f aca="false">IF(AND(F1132="Closed",I1132&lt;&gt;"",I1132&gt;='Exec Summary'!$E$1,I1132&lt;='Exec Summary'!$E$2),1,0)</f>
        <v>0</v>
      </c>
      <c r="U1132" s="7" t="n">
        <f aca="false">IF(F1132="Reopened",1,0)</f>
        <v>0</v>
      </c>
      <c r="V1132" s="7" t="n">
        <f aca="false">IF(AND(R1132=1,O1132&gt;Q1132),1,0)</f>
        <v>1</v>
      </c>
      <c r="W1132" s="7" t="n">
        <f aca="false">IF(AND(T1132=1,P1132&lt;&gt;"",P1132&lt;=Q1132),1,0)</f>
        <v>0</v>
      </c>
    </row>
    <row r="1133" customFormat="false" ht="15" hidden="false" customHeight="false" outlineLevel="0" collapsed="false">
      <c r="A1133" s="7" t="s">
        <v>1396</v>
      </c>
      <c r="B1133" s="7" t="s">
        <v>46</v>
      </c>
      <c r="C1133" s="7" t="s">
        <v>47</v>
      </c>
      <c r="D1133" s="7" t="s">
        <v>192</v>
      </c>
      <c r="E1133" s="7" t="s">
        <v>193</v>
      </c>
      <c r="F1133" s="7" t="s">
        <v>56</v>
      </c>
      <c r="G1133" s="7" t="s">
        <v>19</v>
      </c>
      <c r="H1133" s="9" t="n">
        <v>46206</v>
      </c>
      <c r="I1133" s="9"/>
      <c r="J1133" s="7" t="n">
        <v>9.8</v>
      </c>
      <c r="K1133" s="7" t="s">
        <v>1392</v>
      </c>
      <c r="L1133" s="7" t="s">
        <v>22</v>
      </c>
      <c r="M1133" s="7" t="s">
        <v>1407</v>
      </c>
      <c r="N1133" s="7" t="s">
        <v>58</v>
      </c>
      <c r="O1133" s="10" t="n">
        <f aca="false">'Exec Summary'!$E$2-H1133</f>
        <v>28</v>
      </c>
      <c r="P1133" s="10" t="str">
        <f aca="false">IF(I1133="","",I1133-H1133)</f>
        <v/>
      </c>
      <c r="Q1133" s="10" t="n">
        <f aca="false">VLOOKUP(G1133,$AA$2:$AB$5,2,FALSE())</f>
        <v>15</v>
      </c>
      <c r="R1133" s="7" t="n">
        <f aca="false">IF(OR(F1133="Open",F1133="Reopened"),1,0)</f>
        <v>1</v>
      </c>
      <c r="S1133" s="7" t="n">
        <f aca="false">IF(AND(H1133&gt;='Exec Summary'!$E$1,H1133&lt;='Exec Summary'!$E$2),1,0)</f>
        <v>1</v>
      </c>
      <c r="T1133" s="7" t="n">
        <f aca="false">IF(AND(F1133="Closed",I1133&lt;&gt;"",I1133&gt;='Exec Summary'!$E$1,I1133&lt;='Exec Summary'!$E$2),1,0)</f>
        <v>0</v>
      </c>
      <c r="U1133" s="7" t="n">
        <f aca="false">IF(F1133="Reopened",1,0)</f>
        <v>0</v>
      </c>
      <c r="V1133" s="7" t="n">
        <f aca="false">IF(AND(R1133=1,O1133&gt;Q1133),1,0)</f>
        <v>1</v>
      </c>
      <c r="W1133" s="7" t="n">
        <f aca="false">IF(AND(T1133=1,P1133&lt;&gt;"",P1133&lt;=Q1133),1,0)</f>
        <v>0</v>
      </c>
    </row>
    <row r="1134" customFormat="false" ht="15" hidden="false" customHeight="false" outlineLevel="0" collapsed="false">
      <c r="A1134" s="7" t="s">
        <v>1396</v>
      </c>
      <c r="B1134" s="7" t="s">
        <v>46</v>
      </c>
      <c r="C1134" s="7" t="s">
        <v>47</v>
      </c>
      <c r="D1134" s="7" t="s">
        <v>120</v>
      </c>
      <c r="E1134" s="7" t="s">
        <v>121</v>
      </c>
      <c r="F1134" s="7" t="s">
        <v>50</v>
      </c>
      <c r="G1134" s="7" t="s">
        <v>19</v>
      </c>
      <c r="H1134" s="9" t="n">
        <v>46163</v>
      </c>
      <c r="I1134" s="9" t="n">
        <v>46178</v>
      </c>
      <c r="J1134" s="7" t="n">
        <v>8.8</v>
      </c>
      <c r="K1134" s="7" t="s">
        <v>1392</v>
      </c>
      <c r="L1134" s="7" t="s">
        <v>22</v>
      </c>
      <c r="M1134" s="7" t="s">
        <v>1408</v>
      </c>
      <c r="N1134" s="7" t="s">
        <v>58</v>
      </c>
      <c r="O1134" s="10" t="n">
        <f aca="false">'Exec Summary'!$E$2-H1134</f>
        <v>71</v>
      </c>
      <c r="P1134" s="10" t="n">
        <f aca="false">IF(I1134="","",I1134-H1134)</f>
        <v>15</v>
      </c>
      <c r="Q1134" s="10" t="n">
        <f aca="false">VLOOKUP(G1134,$AA$2:$AB$5,2,FALSE())</f>
        <v>15</v>
      </c>
      <c r="R1134" s="7" t="n">
        <f aca="false">IF(OR(F1134="Open",F1134="Reopened"),1,0)</f>
        <v>0</v>
      </c>
      <c r="S1134" s="7" t="n">
        <f aca="false">IF(AND(H1134&gt;='Exec Summary'!$E$1,H1134&lt;='Exec Summary'!$E$2),1,0)</f>
        <v>0</v>
      </c>
      <c r="T1134" s="7" t="n">
        <f aca="false">IF(AND(F1134="Closed",I1134&lt;&gt;"",I1134&gt;='Exec Summary'!$E$1,I1134&lt;='Exec Summary'!$E$2),1,0)</f>
        <v>0</v>
      </c>
      <c r="U1134" s="7" t="n">
        <f aca="false">IF(F1134="Reopened",1,0)</f>
        <v>0</v>
      </c>
      <c r="V1134" s="7" t="n">
        <f aca="false">IF(AND(R1134=1,O1134&gt;Q1134),1,0)</f>
        <v>0</v>
      </c>
      <c r="W1134" s="7" t="n">
        <f aca="false">IF(AND(T1134=1,P1134&lt;&gt;"",P1134&lt;=Q1134),1,0)</f>
        <v>0</v>
      </c>
    </row>
    <row r="1135" customFormat="false" ht="15" hidden="false" customHeight="false" outlineLevel="0" collapsed="false">
      <c r="A1135" s="7" t="s">
        <v>1409</v>
      </c>
      <c r="B1135" s="7" t="s">
        <v>46</v>
      </c>
      <c r="C1135" s="7" t="s">
        <v>47</v>
      </c>
      <c r="D1135" s="7" t="s">
        <v>87</v>
      </c>
      <c r="E1135" s="7" t="s">
        <v>88</v>
      </c>
      <c r="F1135" s="7" t="s">
        <v>56</v>
      </c>
      <c r="G1135" s="7" t="s">
        <v>19</v>
      </c>
      <c r="H1135" s="9" t="n">
        <v>45993</v>
      </c>
      <c r="I1135" s="9"/>
      <c r="J1135" s="7" t="n">
        <v>10</v>
      </c>
      <c r="K1135" s="7" t="s">
        <v>1392</v>
      </c>
      <c r="L1135" s="7" t="s">
        <v>21</v>
      </c>
      <c r="M1135" s="7" t="s">
        <v>1410</v>
      </c>
      <c r="N1135" s="7" t="s">
        <v>58</v>
      </c>
      <c r="O1135" s="10" t="n">
        <f aca="false">'Exec Summary'!$E$2-H1135</f>
        <v>241</v>
      </c>
      <c r="P1135" s="10" t="str">
        <f aca="false">IF(I1135="","",I1135-H1135)</f>
        <v/>
      </c>
      <c r="Q1135" s="10" t="n">
        <f aca="false">VLOOKUP(G1135,$AA$2:$AB$5,2,FALSE())</f>
        <v>15</v>
      </c>
      <c r="R1135" s="7" t="n">
        <f aca="false">IF(OR(F1135="Open",F1135="Reopened"),1,0)</f>
        <v>1</v>
      </c>
      <c r="S1135" s="7" t="n">
        <f aca="false">IF(AND(H1135&gt;='Exec Summary'!$E$1,H1135&lt;='Exec Summary'!$E$2),1,0)</f>
        <v>0</v>
      </c>
      <c r="T1135" s="7" t="n">
        <f aca="false">IF(AND(F1135="Closed",I1135&lt;&gt;"",I1135&gt;='Exec Summary'!$E$1,I1135&lt;='Exec Summary'!$E$2),1,0)</f>
        <v>0</v>
      </c>
      <c r="U1135" s="7" t="n">
        <f aca="false">IF(F1135="Reopened",1,0)</f>
        <v>0</v>
      </c>
      <c r="V1135" s="7" t="n">
        <f aca="false">IF(AND(R1135=1,O1135&gt;Q1135),1,0)</f>
        <v>1</v>
      </c>
      <c r="W1135" s="7" t="n">
        <f aca="false">IF(AND(T1135=1,P1135&lt;&gt;"",P1135&lt;=Q1135),1,0)</f>
        <v>0</v>
      </c>
    </row>
    <row r="1136" customFormat="false" ht="15" hidden="false" customHeight="false" outlineLevel="0" collapsed="false">
      <c r="A1136" s="7" t="s">
        <v>1409</v>
      </c>
      <c r="B1136" s="7" t="s">
        <v>46</v>
      </c>
      <c r="C1136" s="7" t="s">
        <v>47</v>
      </c>
      <c r="D1136" s="7" t="s">
        <v>145</v>
      </c>
      <c r="E1136" s="7" t="s">
        <v>146</v>
      </c>
      <c r="F1136" s="7" t="s">
        <v>50</v>
      </c>
      <c r="G1136" s="7" t="s">
        <v>19</v>
      </c>
      <c r="H1136" s="9" t="n">
        <v>45961</v>
      </c>
      <c r="I1136" s="9" t="n">
        <v>45967</v>
      </c>
      <c r="J1136" s="7" t="n">
        <v>9.8</v>
      </c>
      <c r="K1136" s="7" t="s">
        <v>1392</v>
      </c>
      <c r="L1136" s="7" t="s">
        <v>21</v>
      </c>
      <c r="M1136" s="7" t="s">
        <v>1411</v>
      </c>
      <c r="N1136" s="7" t="s">
        <v>58</v>
      </c>
      <c r="O1136" s="10" t="n">
        <f aca="false">'Exec Summary'!$E$2-H1136</f>
        <v>273</v>
      </c>
      <c r="P1136" s="10" t="n">
        <f aca="false">IF(I1136="","",I1136-H1136)</f>
        <v>6</v>
      </c>
      <c r="Q1136" s="10" t="n">
        <f aca="false">VLOOKUP(G1136,$AA$2:$AB$5,2,FALSE())</f>
        <v>15</v>
      </c>
      <c r="R1136" s="7" t="n">
        <f aca="false">IF(OR(F1136="Open",F1136="Reopened"),1,0)</f>
        <v>0</v>
      </c>
      <c r="S1136" s="7" t="n">
        <f aca="false">IF(AND(H1136&gt;='Exec Summary'!$E$1,H1136&lt;='Exec Summary'!$E$2),1,0)</f>
        <v>0</v>
      </c>
      <c r="T1136" s="7" t="n">
        <f aca="false">IF(AND(F1136="Closed",I1136&lt;&gt;"",I1136&gt;='Exec Summary'!$E$1,I1136&lt;='Exec Summary'!$E$2),1,0)</f>
        <v>0</v>
      </c>
      <c r="U1136" s="7" t="n">
        <f aca="false">IF(F1136="Reopened",1,0)</f>
        <v>0</v>
      </c>
      <c r="V1136" s="7" t="n">
        <f aca="false">IF(AND(R1136=1,O1136&gt;Q1136),1,0)</f>
        <v>0</v>
      </c>
      <c r="W1136" s="7" t="n">
        <f aca="false">IF(AND(T1136=1,P1136&lt;&gt;"",P1136&lt;=Q1136),1,0)</f>
        <v>0</v>
      </c>
    </row>
    <row r="1137" customFormat="false" ht="15" hidden="false" customHeight="false" outlineLevel="0" collapsed="false">
      <c r="A1137" s="7" t="s">
        <v>1409</v>
      </c>
      <c r="B1137" s="7" t="s">
        <v>46</v>
      </c>
      <c r="C1137" s="7" t="s">
        <v>47</v>
      </c>
      <c r="D1137" s="7" t="s">
        <v>152</v>
      </c>
      <c r="E1137" s="7" t="s">
        <v>153</v>
      </c>
      <c r="F1137" s="7" t="s">
        <v>56</v>
      </c>
      <c r="G1137" s="7" t="s">
        <v>20</v>
      </c>
      <c r="H1137" s="9" t="n">
        <v>46136</v>
      </c>
      <c r="I1137" s="9"/>
      <c r="J1137" s="7" t="n">
        <v>7.5</v>
      </c>
      <c r="K1137" s="7" t="s">
        <v>1392</v>
      </c>
      <c r="L1137" s="7" t="s">
        <v>21</v>
      </c>
      <c r="M1137" s="7" t="s">
        <v>1412</v>
      </c>
      <c r="N1137" s="7" t="s">
        <v>53</v>
      </c>
      <c r="O1137" s="10" t="n">
        <f aca="false">'Exec Summary'!$E$2-H1137</f>
        <v>98</v>
      </c>
      <c r="P1137" s="10" t="str">
        <f aca="false">IF(I1137="","",I1137-H1137)</f>
        <v/>
      </c>
      <c r="Q1137" s="10" t="n">
        <f aca="false">VLOOKUP(G1137,$AA$2:$AB$5,2,FALSE())</f>
        <v>30</v>
      </c>
      <c r="R1137" s="7" t="n">
        <f aca="false">IF(OR(F1137="Open",F1137="Reopened"),1,0)</f>
        <v>1</v>
      </c>
      <c r="S1137" s="7" t="n">
        <f aca="false">IF(AND(H1137&gt;='Exec Summary'!$E$1,H1137&lt;='Exec Summary'!$E$2),1,0)</f>
        <v>0</v>
      </c>
      <c r="T1137" s="7" t="n">
        <f aca="false">IF(AND(F1137="Closed",I1137&lt;&gt;"",I1137&gt;='Exec Summary'!$E$1,I1137&lt;='Exec Summary'!$E$2),1,0)</f>
        <v>0</v>
      </c>
      <c r="U1137" s="7" t="n">
        <f aca="false">IF(F1137="Reopened",1,0)</f>
        <v>0</v>
      </c>
      <c r="V1137" s="7" t="n">
        <f aca="false">IF(AND(R1137=1,O1137&gt;Q1137),1,0)</f>
        <v>1</v>
      </c>
      <c r="W1137" s="7" t="n">
        <f aca="false">IF(AND(T1137=1,P1137&lt;&gt;"",P1137&lt;=Q1137),1,0)</f>
        <v>0</v>
      </c>
    </row>
    <row r="1138" customFormat="false" ht="15" hidden="false" customHeight="false" outlineLevel="0" collapsed="false">
      <c r="A1138" s="7" t="s">
        <v>1409</v>
      </c>
      <c r="B1138" s="7" t="s">
        <v>46</v>
      </c>
      <c r="C1138" s="7" t="s">
        <v>47</v>
      </c>
      <c r="D1138" s="7" t="s">
        <v>91</v>
      </c>
      <c r="E1138" s="7" t="s">
        <v>92</v>
      </c>
      <c r="F1138" s="7" t="s">
        <v>50</v>
      </c>
      <c r="G1138" s="7" t="s">
        <v>20</v>
      </c>
      <c r="H1138" s="9" t="n">
        <v>45961</v>
      </c>
      <c r="I1138" s="9" t="n">
        <v>45962</v>
      </c>
      <c r="J1138" s="7" t="n">
        <v>8.1</v>
      </c>
      <c r="K1138" s="7" t="s">
        <v>1392</v>
      </c>
      <c r="L1138" s="7" t="s">
        <v>21</v>
      </c>
      <c r="M1138" s="7" t="s">
        <v>1413</v>
      </c>
      <c r="N1138" s="7" t="s">
        <v>53</v>
      </c>
      <c r="O1138" s="10" t="n">
        <f aca="false">'Exec Summary'!$E$2-H1138</f>
        <v>273</v>
      </c>
      <c r="P1138" s="10" t="n">
        <f aca="false">IF(I1138="","",I1138-H1138)</f>
        <v>1</v>
      </c>
      <c r="Q1138" s="10" t="n">
        <f aca="false">VLOOKUP(G1138,$AA$2:$AB$5,2,FALSE())</f>
        <v>30</v>
      </c>
      <c r="R1138" s="7" t="n">
        <f aca="false">IF(OR(F1138="Open",F1138="Reopened"),1,0)</f>
        <v>0</v>
      </c>
      <c r="S1138" s="7" t="n">
        <f aca="false">IF(AND(H1138&gt;='Exec Summary'!$E$1,H1138&lt;='Exec Summary'!$E$2),1,0)</f>
        <v>0</v>
      </c>
      <c r="T1138" s="7" t="n">
        <f aca="false">IF(AND(F1138="Closed",I1138&lt;&gt;"",I1138&gt;='Exec Summary'!$E$1,I1138&lt;='Exec Summary'!$E$2),1,0)</f>
        <v>0</v>
      </c>
      <c r="U1138" s="7" t="n">
        <f aca="false">IF(F1138="Reopened",1,0)</f>
        <v>0</v>
      </c>
      <c r="V1138" s="7" t="n">
        <f aca="false">IF(AND(R1138=1,O1138&gt;Q1138),1,0)</f>
        <v>0</v>
      </c>
      <c r="W1138" s="7" t="n">
        <f aca="false">IF(AND(T1138=1,P1138&lt;&gt;"",P1138&lt;=Q1138),1,0)</f>
        <v>0</v>
      </c>
    </row>
    <row r="1139" customFormat="false" ht="15" hidden="false" customHeight="false" outlineLevel="0" collapsed="false">
      <c r="A1139" s="7" t="s">
        <v>1409</v>
      </c>
      <c r="B1139" s="7" t="s">
        <v>46</v>
      </c>
      <c r="C1139" s="7" t="s">
        <v>47</v>
      </c>
      <c r="D1139" s="7" t="s">
        <v>112</v>
      </c>
      <c r="E1139" s="7" t="s">
        <v>113</v>
      </c>
      <c r="F1139" s="7" t="s">
        <v>50</v>
      </c>
      <c r="G1139" s="7" t="s">
        <v>20</v>
      </c>
      <c r="H1139" s="9" t="n">
        <v>45998</v>
      </c>
      <c r="I1139" s="9" t="n">
        <v>46045</v>
      </c>
      <c r="J1139" s="7" t="n">
        <v>7.8</v>
      </c>
      <c r="K1139" s="7" t="s">
        <v>1392</v>
      </c>
      <c r="L1139" s="7" t="s">
        <v>21</v>
      </c>
      <c r="M1139" s="7" t="s">
        <v>1414</v>
      </c>
      <c r="N1139" s="7" t="s">
        <v>53</v>
      </c>
      <c r="O1139" s="10" t="n">
        <f aca="false">'Exec Summary'!$E$2-H1139</f>
        <v>236</v>
      </c>
      <c r="P1139" s="10" t="n">
        <f aca="false">IF(I1139="","",I1139-H1139)</f>
        <v>47</v>
      </c>
      <c r="Q1139" s="10" t="n">
        <f aca="false">VLOOKUP(G1139,$AA$2:$AB$5,2,FALSE())</f>
        <v>30</v>
      </c>
      <c r="R1139" s="7" t="n">
        <f aca="false">IF(OR(F1139="Open",F1139="Reopened"),1,0)</f>
        <v>0</v>
      </c>
      <c r="S1139" s="7" t="n">
        <f aca="false">IF(AND(H1139&gt;='Exec Summary'!$E$1,H1139&lt;='Exec Summary'!$E$2),1,0)</f>
        <v>0</v>
      </c>
      <c r="T1139" s="7" t="n">
        <f aca="false">IF(AND(F1139="Closed",I1139&lt;&gt;"",I1139&gt;='Exec Summary'!$E$1,I1139&lt;='Exec Summary'!$E$2),1,0)</f>
        <v>0</v>
      </c>
      <c r="U1139" s="7" t="n">
        <f aca="false">IF(F1139="Reopened",1,0)</f>
        <v>0</v>
      </c>
      <c r="V1139" s="7" t="n">
        <f aca="false">IF(AND(R1139=1,O1139&gt;Q1139),1,0)</f>
        <v>0</v>
      </c>
      <c r="W1139" s="7" t="n">
        <f aca="false">IF(AND(T1139=1,P1139&lt;&gt;"",P1139&lt;=Q1139),1,0)</f>
        <v>0</v>
      </c>
    </row>
    <row r="1140" customFormat="false" ht="15" hidden="false" customHeight="false" outlineLevel="0" collapsed="false">
      <c r="A1140" s="7" t="s">
        <v>1409</v>
      </c>
      <c r="B1140" s="7" t="s">
        <v>46</v>
      </c>
      <c r="C1140" s="7" t="s">
        <v>47</v>
      </c>
      <c r="D1140" s="7" t="s">
        <v>84</v>
      </c>
      <c r="E1140" s="7" t="s">
        <v>85</v>
      </c>
      <c r="F1140" s="7" t="s">
        <v>123</v>
      </c>
      <c r="G1140" s="7" t="s">
        <v>20</v>
      </c>
      <c r="H1140" s="9" t="n">
        <v>46057</v>
      </c>
      <c r="I1140" s="9" t="n">
        <v>46087</v>
      </c>
      <c r="J1140" s="7" t="n">
        <v>7.5</v>
      </c>
      <c r="K1140" s="7" t="s">
        <v>1392</v>
      </c>
      <c r="L1140" s="7" t="s">
        <v>21</v>
      </c>
      <c r="M1140" s="7" t="s">
        <v>1415</v>
      </c>
      <c r="N1140" s="7" t="s">
        <v>53</v>
      </c>
      <c r="O1140" s="10" t="n">
        <f aca="false">'Exec Summary'!$E$2-H1140</f>
        <v>177</v>
      </c>
      <c r="P1140" s="10" t="n">
        <f aca="false">IF(I1140="","",I1140-H1140)</f>
        <v>30</v>
      </c>
      <c r="Q1140" s="10" t="n">
        <f aca="false">VLOOKUP(G1140,$AA$2:$AB$5,2,FALSE())</f>
        <v>30</v>
      </c>
      <c r="R1140" s="7" t="n">
        <f aca="false">IF(OR(F1140="Open",F1140="Reopened"),1,0)</f>
        <v>1</v>
      </c>
      <c r="S1140" s="7" t="n">
        <f aca="false">IF(AND(H1140&gt;='Exec Summary'!$E$1,H1140&lt;='Exec Summary'!$E$2),1,0)</f>
        <v>0</v>
      </c>
      <c r="T1140" s="7" t="n">
        <f aca="false">IF(AND(F1140="Closed",I1140&lt;&gt;"",I1140&gt;='Exec Summary'!$E$1,I1140&lt;='Exec Summary'!$E$2),1,0)</f>
        <v>0</v>
      </c>
      <c r="U1140" s="7" t="n">
        <f aca="false">IF(F1140="Reopened",1,0)</f>
        <v>1</v>
      </c>
      <c r="V1140" s="7" t="n">
        <f aca="false">IF(AND(R1140=1,O1140&gt;Q1140),1,0)</f>
        <v>1</v>
      </c>
      <c r="W1140" s="7" t="n">
        <f aca="false">IF(AND(T1140=1,P1140&lt;&gt;"",P1140&lt;=Q1140),1,0)</f>
        <v>0</v>
      </c>
    </row>
    <row r="1141" customFormat="false" ht="15" hidden="false" customHeight="false" outlineLevel="0" collapsed="false">
      <c r="A1141" s="7" t="s">
        <v>1409</v>
      </c>
      <c r="B1141" s="7" t="s">
        <v>46</v>
      </c>
      <c r="C1141" s="7" t="s">
        <v>47</v>
      </c>
      <c r="D1141" s="7" t="s">
        <v>71</v>
      </c>
      <c r="E1141" s="7" t="s">
        <v>72</v>
      </c>
      <c r="F1141" s="7" t="s">
        <v>50</v>
      </c>
      <c r="G1141" s="7" t="s">
        <v>19</v>
      </c>
      <c r="H1141" s="9" t="n">
        <v>46209</v>
      </c>
      <c r="I1141" s="9" t="n">
        <v>46219</v>
      </c>
      <c r="J1141" s="7" t="n">
        <v>9.8</v>
      </c>
      <c r="K1141" s="7" t="s">
        <v>1392</v>
      </c>
      <c r="L1141" s="7" t="s">
        <v>21</v>
      </c>
      <c r="M1141" s="7" t="s">
        <v>1416</v>
      </c>
      <c r="N1141" s="7" t="s">
        <v>58</v>
      </c>
      <c r="O1141" s="10" t="n">
        <f aca="false">'Exec Summary'!$E$2-H1141</f>
        <v>25</v>
      </c>
      <c r="P1141" s="10" t="n">
        <f aca="false">IF(I1141="","",I1141-H1141)</f>
        <v>10</v>
      </c>
      <c r="Q1141" s="10" t="n">
        <f aca="false">VLOOKUP(G1141,$AA$2:$AB$5,2,FALSE())</f>
        <v>15</v>
      </c>
      <c r="R1141" s="7" t="n">
        <f aca="false">IF(OR(F1141="Open",F1141="Reopened"),1,0)</f>
        <v>0</v>
      </c>
      <c r="S1141" s="7" t="n">
        <f aca="false">IF(AND(H1141&gt;='Exec Summary'!$E$1,H1141&lt;='Exec Summary'!$E$2),1,0)</f>
        <v>1</v>
      </c>
      <c r="T1141" s="7" t="n">
        <f aca="false">IF(AND(F1141="Closed",I1141&lt;&gt;"",I1141&gt;='Exec Summary'!$E$1,I1141&lt;='Exec Summary'!$E$2),1,0)</f>
        <v>1</v>
      </c>
      <c r="U1141" s="7" t="n">
        <f aca="false">IF(F1141="Reopened",1,0)</f>
        <v>0</v>
      </c>
      <c r="V1141" s="7" t="n">
        <f aca="false">IF(AND(R1141=1,O1141&gt;Q1141),1,0)</f>
        <v>0</v>
      </c>
      <c r="W1141" s="7" t="n">
        <f aca="false">IF(AND(T1141=1,P1141&lt;&gt;"",P1141&lt;=Q1141),1,0)</f>
        <v>1</v>
      </c>
    </row>
    <row r="1142" customFormat="false" ht="15" hidden="false" customHeight="false" outlineLevel="0" collapsed="false">
      <c r="A1142" s="7" t="s">
        <v>1417</v>
      </c>
      <c r="B1142" s="7" t="s">
        <v>46</v>
      </c>
      <c r="C1142" s="7" t="s">
        <v>128</v>
      </c>
      <c r="D1142" s="7" t="s">
        <v>84</v>
      </c>
      <c r="E1142" s="7" t="s">
        <v>85</v>
      </c>
      <c r="F1142" s="7" t="s">
        <v>50</v>
      </c>
      <c r="G1142" s="7" t="s">
        <v>20</v>
      </c>
      <c r="H1142" s="9" t="n">
        <v>46169</v>
      </c>
      <c r="I1142" s="9" t="n">
        <v>46208</v>
      </c>
      <c r="J1142" s="7" t="n">
        <v>7.5</v>
      </c>
      <c r="K1142" s="7" t="s">
        <v>1392</v>
      </c>
      <c r="L1142" s="7" t="s">
        <v>21</v>
      </c>
      <c r="M1142" s="7" t="s">
        <v>1418</v>
      </c>
      <c r="N1142" s="7" t="s">
        <v>53</v>
      </c>
      <c r="O1142" s="10" t="n">
        <f aca="false">'Exec Summary'!$E$2-H1142</f>
        <v>65</v>
      </c>
      <c r="P1142" s="10" t="n">
        <f aca="false">IF(I1142="","",I1142-H1142)</f>
        <v>39</v>
      </c>
      <c r="Q1142" s="10" t="n">
        <f aca="false">VLOOKUP(G1142,$AA$2:$AB$5,2,FALSE())</f>
        <v>30</v>
      </c>
      <c r="R1142" s="7" t="n">
        <f aca="false">IF(OR(F1142="Open",F1142="Reopened"),1,0)</f>
        <v>0</v>
      </c>
      <c r="S1142" s="7" t="n">
        <f aca="false">IF(AND(H1142&gt;='Exec Summary'!$E$1,H1142&lt;='Exec Summary'!$E$2),1,0)</f>
        <v>0</v>
      </c>
      <c r="T1142" s="7" t="n">
        <f aca="false">IF(AND(F1142="Closed",I1142&lt;&gt;"",I1142&gt;='Exec Summary'!$E$1,I1142&lt;='Exec Summary'!$E$2),1,0)</f>
        <v>1</v>
      </c>
      <c r="U1142" s="7" t="n">
        <f aca="false">IF(F1142="Reopened",1,0)</f>
        <v>0</v>
      </c>
      <c r="V1142" s="7" t="n">
        <f aca="false">IF(AND(R1142=1,O1142&gt;Q1142),1,0)</f>
        <v>0</v>
      </c>
      <c r="W1142" s="7" t="n">
        <f aca="false">IF(AND(T1142=1,P1142&lt;&gt;"",P1142&lt;=Q1142),1,0)</f>
        <v>0</v>
      </c>
    </row>
    <row r="1143" customFormat="false" ht="15" hidden="false" customHeight="false" outlineLevel="0" collapsed="false">
      <c r="A1143" s="7" t="s">
        <v>1417</v>
      </c>
      <c r="B1143" s="7" t="s">
        <v>46</v>
      </c>
      <c r="C1143" s="7" t="s">
        <v>128</v>
      </c>
      <c r="D1143" s="7" t="s">
        <v>108</v>
      </c>
      <c r="E1143" s="7" t="s">
        <v>109</v>
      </c>
      <c r="F1143" s="7" t="s">
        <v>50</v>
      </c>
      <c r="G1143" s="7" t="s">
        <v>20</v>
      </c>
      <c r="H1143" s="9" t="n">
        <v>45949</v>
      </c>
      <c r="I1143" s="9" t="n">
        <v>45974</v>
      </c>
      <c r="J1143" s="7" t="n">
        <v>8.6</v>
      </c>
      <c r="K1143" s="7" t="s">
        <v>1392</v>
      </c>
      <c r="L1143" s="7" t="s">
        <v>21</v>
      </c>
      <c r="M1143" s="7" t="s">
        <v>1419</v>
      </c>
      <c r="N1143" s="7" t="s">
        <v>53</v>
      </c>
      <c r="O1143" s="10" t="n">
        <f aca="false">'Exec Summary'!$E$2-H1143</f>
        <v>285</v>
      </c>
      <c r="P1143" s="10" t="n">
        <f aca="false">IF(I1143="","",I1143-H1143)</f>
        <v>25</v>
      </c>
      <c r="Q1143" s="10" t="n">
        <f aca="false">VLOOKUP(G1143,$AA$2:$AB$5,2,FALSE())</f>
        <v>30</v>
      </c>
      <c r="R1143" s="7" t="n">
        <f aca="false">IF(OR(F1143="Open",F1143="Reopened"),1,0)</f>
        <v>0</v>
      </c>
      <c r="S1143" s="7" t="n">
        <f aca="false">IF(AND(H1143&gt;='Exec Summary'!$E$1,H1143&lt;='Exec Summary'!$E$2),1,0)</f>
        <v>0</v>
      </c>
      <c r="T1143" s="7" t="n">
        <f aca="false">IF(AND(F1143="Closed",I1143&lt;&gt;"",I1143&gt;='Exec Summary'!$E$1,I1143&lt;='Exec Summary'!$E$2),1,0)</f>
        <v>0</v>
      </c>
      <c r="U1143" s="7" t="n">
        <f aca="false">IF(F1143="Reopened",1,0)</f>
        <v>0</v>
      </c>
      <c r="V1143" s="7" t="n">
        <f aca="false">IF(AND(R1143=1,O1143&gt;Q1143),1,0)</f>
        <v>0</v>
      </c>
      <c r="W1143" s="7" t="n">
        <f aca="false">IF(AND(T1143=1,P1143&lt;&gt;"",P1143&lt;=Q1143),1,0)</f>
        <v>0</v>
      </c>
    </row>
    <row r="1144" customFormat="false" ht="15" hidden="false" customHeight="false" outlineLevel="0" collapsed="false">
      <c r="A1144" s="7" t="s">
        <v>1417</v>
      </c>
      <c r="B1144" s="7" t="s">
        <v>46</v>
      </c>
      <c r="C1144" s="7" t="s">
        <v>128</v>
      </c>
      <c r="D1144" s="7" t="s">
        <v>68</v>
      </c>
      <c r="E1144" s="7" t="s">
        <v>69</v>
      </c>
      <c r="F1144" s="7" t="s">
        <v>50</v>
      </c>
      <c r="G1144" s="7" t="s">
        <v>19</v>
      </c>
      <c r="H1144" s="9" t="n">
        <v>45949</v>
      </c>
      <c r="I1144" s="9" t="n">
        <v>45960</v>
      </c>
      <c r="J1144" s="7" t="n">
        <v>9.8</v>
      </c>
      <c r="K1144" s="7" t="s">
        <v>1392</v>
      </c>
      <c r="L1144" s="7" t="s">
        <v>21</v>
      </c>
      <c r="M1144" s="7" t="s">
        <v>1420</v>
      </c>
      <c r="N1144" s="7" t="s">
        <v>58</v>
      </c>
      <c r="O1144" s="10" t="n">
        <f aca="false">'Exec Summary'!$E$2-H1144</f>
        <v>285</v>
      </c>
      <c r="P1144" s="10" t="n">
        <f aca="false">IF(I1144="","",I1144-H1144)</f>
        <v>11</v>
      </c>
      <c r="Q1144" s="10" t="n">
        <f aca="false">VLOOKUP(G1144,$AA$2:$AB$5,2,FALSE())</f>
        <v>15</v>
      </c>
      <c r="R1144" s="7" t="n">
        <f aca="false">IF(OR(F1144="Open",F1144="Reopened"),1,0)</f>
        <v>0</v>
      </c>
      <c r="S1144" s="7" t="n">
        <f aca="false">IF(AND(H1144&gt;='Exec Summary'!$E$1,H1144&lt;='Exec Summary'!$E$2),1,0)</f>
        <v>0</v>
      </c>
      <c r="T1144" s="7" t="n">
        <f aca="false">IF(AND(F1144="Closed",I1144&lt;&gt;"",I1144&gt;='Exec Summary'!$E$1,I1144&lt;='Exec Summary'!$E$2),1,0)</f>
        <v>0</v>
      </c>
      <c r="U1144" s="7" t="n">
        <f aca="false">IF(F1144="Reopened",1,0)</f>
        <v>0</v>
      </c>
      <c r="V1144" s="7" t="n">
        <f aca="false">IF(AND(R1144=1,O1144&gt;Q1144),1,0)</f>
        <v>0</v>
      </c>
      <c r="W1144" s="7" t="n">
        <f aca="false">IF(AND(T1144=1,P1144&lt;&gt;"",P1144&lt;=Q1144),1,0)</f>
        <v>0</v>
      </c>
    </row>
    <row r="1145" customFormat="false" ht="15" hidden="false" customHeight="false" outlineLevel="0" collapsed="false">
      <c r="A1145" s="7" t="s">
        <v>1417</v>
      </c>
      <c r="B1145" s="7" t="s">
        <v>46</v>
      </c>
      <c r="C1145" s="7" t="s">
        <v>128</v>
      </c>
      <c r="D1145" s="7" t="s">
        <v>65</v>
      </c>
      <c r="E1145" s="7" t="s">
        <v>66</v>
      </c>
      <c r="F1145" s="7" t="s">
        <v>56</v>
      </c>
      <c r="G1145" s="7" t="s">
        <v>19</v>
      </c>
      <c r="H1145" s="9" t="n">
        <v>45976</v>
      </c>
      <c r="I1145" s="9"/>
      <c r="J1145" s="7" t="n">
        <v>9.8</v>
      </c>
      <c r="K1145" s="7" t="s">
        <v>1392</v>
      </c>
      <c r="L1145" s="7" t="s">
        <v>21</v>
      </c>
      <c r="M1145" s="7" t="s">
        <v>1421</v>
      </c>
      <c r="N1145" s="7" t="s">
        <v>58</v>
      </c>
      <c r="O1145" s="10" t="n">
        <f aca="false">'Exec Summary'!$E$2-H1145</f>
        <v>258</v>
      </c>
      <c r="P1145" s="10" t="str">
        <f aca="false">IF(I1145="","",I1145-H1145)</f>
        <v/>
      </c>
      <c r="Q1145" s="10" t="n">
        <f aca="false">VLOOKUP(G1145,$AA$2:$AB$5,2,FALSE())</f>
        <v>15</v>
      </c>
      <c r="R1145" s="7" t="n">
        <f aca="false">IF(OR(F1145="Open",F1145="Reopened"),1,0)</f>
        <v>1</v>
      </c>
      <c r="S1145" s="7" t="n">
        <f aca="false">IF(AND(H1145&gt;='Exec Summary'!$E$1,H1145&lt;='Exec Summary'!$E$2),1,0)</f>
        <v>0</v>
      </c>
      <c r="T1145" s="7" t="n">
        <f aca="false">IF(AND(F1145="Closed",I1145&lt;&gt;"",I1145&gt;='Exec Summary'!$E$1,I1145&lt;='Exec Summary'!$E$2),1,0)</f>
        <v>0</v>
      </c>
      <c r="U1145" s="7" t="n">
        <f aca="false">IF(F1145="Reopened",1,0)</f>
        <v>0</v>
      </c>
      <c r="V1145" s="7" t="n">
        <f aca="false">IF(AND(R1145=1,O1145&gt;Q1145),1,0)</f>
        <v>1</v>
      </c>
      <c r="W1145" s="7" t="n">
        <f aca="false">IF(AND(T1145=1,P1145&lt;&gt;"",P1145&lt;=Q1145),1,0)</f>
        <v>0</v>
      </c>
    </row>
    <row r="1146" customFormat="false" ht="15" hidden="false" customHeight="false" outlineLevel="0" collapsed="false">
      <c r="A1146" s="7" t="s">
        <v>1417</v>
      </c>
      <c r="B1146" s="7" t="s">
        <v>46</v>
      </c>
      <c r="C1146" s="7" t="s">
        <v>128</v>
      </c>
      <c r="D1146" s="7" t="s">
        <v>112</v>
      </c>
      <c r="E1146" s="7" t="s">
        <v>113</v>
      </c>
      <c r="F1146" s="7" t="s">
        <v>123</v>
      </c>
      <c r="G1146" s="7" t="s">
        <v>20</v>
      </c>
      <c r="H1146" s="9" t="n">
        <v>45984</v>
      </c>
      <c r="I1146" s="9" t="n">
        <v>46021</v>
      </c>
      <c r="J1146" s="7" t="n">
        <v>7.8</v>
      </c>
      <c r="K1146" s="7" t="s">
        <v>1392</v>
      </c>
      <c r="L1146" s="7" t="s">
        <v>21</v>
      </c>
      <c r="M1146" s="7" t="s">
        <v>1422</v>
      </c>
      <c r="N1146" s="7" t="s">
        <v>53</v>
      </c>
      <c r="O1146" s="10" t="n">
        <f aca="false">'Exec Summary'!$E$2-H1146</f>
        <v>250</v>
      </c>
      <c r="P1146" s="10" t="n">
        <f aca="false">IF(I1146="","",I1146-H1146)</f>
        <v>37</v>
      </c>
      <c r="Q1146" s="10" t="n">
        <f aca="false">VLOOKUP(G1146,$AA$2:$AB$5,2,FALSE())</f>
        <v>30</v>
      </c>
      <c r="R1146" s="7" t="n">
        <f aca="false">IF(OR(F1146="Open",F1146="Reopened"),1,0)</f>
        <v>1</v>
      </c>
      <c r="S1146" s="7" t="n">
        <f aca="false">IF(AND(H1146&gt;='Exec Summary'!$E$1,H1146&lt;='Exec Summary'!$E$2),1,0)</f>
        <v>0</v>
      </c>
      <c r="T1146" s="7" t="n">
        <f aca="false">IF(AND(F1146="Closed",I1146&lt;&gt;"",I1146&gt;='Exec Summary'!$E$1,I1146&lt;='Exec Summary'!$E$2),1,0)</f>
        <v>0</v>
      </c>
      <c r="U1146" s="7" t="n">
        <f aca="false">IF(F1146="Reopened",1,0)</f>
        <v>1</v>
      </c>
      <c r="V1146" s="7" t="n">
        <f aca="false">IF(AND(R1146=1,O1146&gt;Q1146),1,0)</f>
        <v>1</v>
      </c>
      <c r="W1146" s="7" t="n">
        <f aca="false">IF(AND(T1146=1,P1146&lt;&gt;"",P1146&lt;=Q1146),1,0)</f>
        <v>0</v>
      </c>
    </row>
    <row r="1147" customFormat="false" ht="15" hidden="false" customHeight="false" outlineLevel="0" collapsed="false">
      <c r="A1147" s="7" t="s">
        <v>1417</v>
      </c>
      <c r="B1147" s="7" t="s">
        <v>46</v>
      </c>
      <c r="C1147" s="7" t="s">
        <v>128</v>
      </c>
      <c r="D1147" s="7" t="s">
        <v>74</v>
      </c>
      <c r="E1147" s="7" t="s">
        <v>75</v>
      </c>
      <c r="F1147" s="7" t="s">
        <v>56</v>
      </c>
      <c r="G1147" s="7" t="s">
        <v>21</v>
      </c>
      <c r="H1147" s="9" t="n">
        <v>46010</v>
      </c>
      <c r="I1147" s="9"/>
      <c r="J1147" s="7" t="n">
        <v>6.5</v>
      </c>
      <c r="K1147" s="7" t="s">
        <v>1392</v>
      </c>
      <c r="L1147" s="7" t="s">
        <v>21</v>
      </c>
      <c r="M1147" s="7" t="s">
        <v>1423</v>
      </c>
      <c r="N1147" s="7" t="s">
        <v>77</v>
      </c>
      <c r="O1147" s="10" t="n">
        <f aca="false">'Exec Summary'!$E$2-H1147</f>
        <v>224</v>
      </c>
      <c r="P1147" s="10" t="str">
        <f aca="false">IF(I1147="","",I1147-H1147)</f>
        <v/>
      </c>
      <c r="Q1147" s="10" t="n">
        <f aca="false">VLOOKUP(G1147,$AA$2:$AB$5,2,FALSE())</f>
        <v>90</v>
      </c>
      <c r="R1147" s="7" t="n">
        <f aca="false">IF(OR(F1147="Open",F1147="Reopened"),1,0)</f>
        <v>1</v>
      </c>
      <c r="S1147" s="7" t="n">
        <f aca="false">IF(AND(H1147&gt;='Exec Summary'!$E$1,H1147&lt;='Exec Summary'!$E$2),1,0)</f>
        <v>0</v>
      </c>
      <c r="T1147" s="7" t="n">
        <f aca="false">IF(AND(F1147="Closed",I1147&lt;&gt;"",I1147&gt;='Exec Summary'!$E$1,I1147&lt;='Exec Summary'!$E$2),1,0)</f>
        <v>0</v>
      </c>
      <c r="U1147" s="7" t="n">
        <f aca="false">IF(F1147="Reopened",1,0)</f>
        <v>0</v>
      </c>
      <c r="V1147" s="7" t="n">
        <f aca="false">IF(AND(R1147=1,O1147&gt;Q1147),1,0)</f>
        <v>1</v>
      </c>
      <c r="W1147" s="7" t="n">
        <f aca="false">IF(AND(T1147=1,P1147&lt;&gt;"",P1147&lt;=Q1147),1,0)</f>
        <v>0</v>
      </c>
    </row>
    <row r="1148" customFormat="false" ht="15" hidden="false" customHeight="false" outlineLevel="0" collapsed="false">
      <c r="A1148" s="7" t="s">
        <v>1417</v>
      </c>
      <c r="B1148" s="7" t="s">
        <v>46</v>
      </c>
      <c r="C1148" s="7" t="s">
        <v>128</v>
      </c>
      <c r="D1148" s="7" t="s">
        <v>62</v>
      </c>
      <c r="E1148" s="7" t="s">
        <v>63</v>
      </c>
      <c r="F1148" s="7" t="s">
        <v>56</v>
      </c>
      <c r="G1148" s="7" t="s">
        <v>20</v>
      </c>
      <c r="H1148" s="9" t="n">
        <v>46128</v>
      </c>
      <c r="I1148" s="9"/>
      <c r="J1148" s="7" t="n">
        <v>8.1</v>
      </c>
      <c r="K1148" s="7" t="s">
        <v>1392</v>
      </c>
      <c r="L1148" s="7" t="s">
        <v>21</v>
      </c>
      <c r="M1148" s="7" t="s">
        <v>1424</v>
      </c>
      <c r="N1148" s="7" t="s">
        <v>53</v>
      </c>
      <c r="O1148" s="10" t="n">
        <f aca="false">'Exec Summary'!$E$2-H1148</f>
        <v>106</v>
      </c>
      <c r="P1148" s="10" t="str">
        <f aca="false">IF(I1148="","",I1148-H1148)</f>
        <v/>
      </c>
      <c r="Q1148" s="10" t="n">
        <f aca="false">VLOOKUP(G1148,$AA$2:$AB$5,2,FALSE())</f>
        <v>30</v>
      </c>
      <c r="R1148" s="7" t="n">
        <f aca="false">IF(OR(F1148="Open",F1148="Reopened"),1,0)</f>
        <v>1</v>
      </c>
      <c r="S1148" s="7" t="n">
        <f aca="false">IF(AND(H1148&gt;='Exec Summary'!$E$1,H1148&lt;='Exec Summary'!$E$2),1,0)</f>
        <v>0</v>
      </c>
      <c r="T1148" s="7" t="n">
        <f aca="false">IF(AND(F1148="Closed",I1148&lt;&gt;"",I1148&gt;='Exec Summary'!$E$1,I1148&lt;='Exec Summary'!$E$2),1,0)</f>
        <v>0</v>
      </c>
      <c r="U1148" s="7" t="n">
        <f aca="false">IF(F1148="Reopened",1,0)</f>
        <v>0</v>
      </c>
      <c r="V1148" s="7" t="n">
        <f aca="false">IF(AND(R1148=1,O1148&gt;Q1148),1,0)</f>
        <v>1</v>
      </c>
      <c r="W1148" s="7" t="n">
        <f aca="false">IF(AND(T1148=1,P1148&lt;&gt;"",P1148&lt;=Q1148),1,0)</f>
        <v>0</v>
      </c>
    </row>
    <row r="1149" customFormat="false" ht="15" hidden="false" customHeight="false" outlineLevel="0" collapsed="false">
      <c r="A1149" s="7" t="s">
        <v>1417</v>
      </c>
      <c r="B1149" s="7" t="s">
        <v>46</v>
      </c>
      <c r="C1149" s="7" t="s">
        <v>128</v>
      </c>
      <c r="D1149" s="7" t="s">
        <v>104</v>
      </c>
      <c r="E1149" s="7" t="s">
        <v>105</v>
      </c>
      <c r="F1149" s="7" t="s">
        <v>56</v>
      </c>
      <c r="G1149" s="7" t="s">
        <v>19</v>
      </c>
      <c r="H1149" s="9" t="n">
        <v>46082</v>
      </c>
      <c r="I1149" s="9"/>
      <c r="J1149" s="7" t="n">
        <v>9.8</v>
      </c>
      <c r="K1149" s="7" t="s">
        <v>1392</v>
      </c>
      <c r="L1149" s="7" t="s">
        <v>21</v>
      </c>
      <c r="M1149" s="7" t="s">
        <v>1425</v>
      </c>
      <c r="N1149" s="7" t="s">
        <v>58</v>
      </c>
      <c r="O1149" s="10" t="n">
        <f aca="false">'Exec Summary'!$E$2-H1149</f>
        <v>152</v>
      </c>
      <c r="P1149" s="10" t="str">
        <f aca="false">IF(I1149="","",I1149-H1149)</f>
        <v/>
      </c>
      <c r="Q1149" s="10" t="n">
        <f aca="false">VLOOKUP(G1149,$AA$2:$AB$5,2,FALSE())</f>
        <v>15</v>
      </c>
      <c r="R1149" s="7" t="n">
        <f aca="false">IF(OR(F1149="Open",F1149="Reopened"),1,0)</f>
        <v>1</v>
      </c>
      <c r="S1149" s="7" t="n">
        <f aca="false">IF(AND(H1149&gt;='Exec Summary'!$E$1,H1149&lt;='Exec Summary'!$E$2),1,0)</f>
        <v>0</v>
      </c>
      <c r="T1149" s="7" t="n">
        <f aca="false">IF(AND(F1149="Closed",I1149&lt;&gt;"",I1149&gt;='Exec Summary'!$E$1,I1149&lt;='Exec Summary'!$E$2),1,0)</f>
        <v>0</v>
      </c>
      <c r="U1149" s="7" t="n">
        <f aca="false">IF(F1149="Reopened",1,0)</f>
        <v>0</v>
      </c>
      <c r="V1149" s="7" t="n">
        <f aca="false">IF(AND(R1149=1,O1149&gt;Q1149),1,0)</f>
        <v>1</v>
      </c>
      <c r="W1149" s="7" t="n">
        <f aca="false">IF(AND(T1149=1,P1149&lt;&gt;"",P1149&lt;=Q1149),1,0)</f>
        <v>0</v>
      </c>
    </row>
    <row r="1150" customFormat="false" ht="15" hidden="false" customHeight="false" outlineLevel="0" collapsed="false">
      <c r="A1150" s="7" t="s">
        <v>1417</v>
      </c>
      <c r="B1150" s="7" t="s">
        <v>46</v>
      </c>
      <c r="C1150" s="7" t="s">
        <v>128</v>
      </c>
      <c r="D1150" s="7" t="s">
        <v>91</v>
      </c>
      <c r="E1150" s="7" t="s">
        <v>92</v>
      </c>
      <c r="F1150" s="7" t="s">
        <v>50</v>
      </c>
      <c r="G1150" s="7" t="s">
        <v>20</v>
      </c>
      <c r="H1150" s="9" t="n">
        <v>46015</v>
      </c>
      <c r="I1150" s="9" t="n">
        <v>46025</v>
      </c>
      <c r="J1150" s="7" t="n">
        <v>8.1</v>
      </c>
      <c r="K1150" s="7" t="s">
        <v>1392</v>
      </c>
      <c r="L1150" s="7" t="s">
        <v>21</v>
      </c>
      <c r="M1150" s="7" t="s">
        <v>1426</v>
      </c>
      <c r="N1150" s="7" t="s">
        <v>53</v>
      </c>
      <c r="O1150" s="10" t="n">
        <f aca="false">'Exec Summary'!$E$2-H1150</f>
        <v>219</v>
      </c>
      <c r="P1150" s="10" t="n">
        <f aca="false">IF(I1150="","",I1150-H1150)</f>
        <v>10</v>
      </c>
      <c r="Q1150" s="10" t="n">
        <f aca="false">VLOOKUP(G1150,$AA$2:$AB$5,2,FALSE())</f>
        <v>30</v>
      </c>
      <c r="R1150" s="7" t="n">
        <f aca="false">IF(OR(F1150="Open",F1150="Reopened"),1,0)</f>
        <v>0</v>
      </c>
      <c r="S1150" s="7" t="n">
        <f aca="false">IF(AND(H1150&gt;='Exec Summary'!$E$1,H1150&lt;='Exec Summary'!$E$2),1,0)</f>
        <v>0</v>
      </c>
      <c r="T1150" s="7" t="n">
        <f aca="false">IF(AND(F1150="Closed",I1150&lt;&gt;"",I1150&gt;='Exec Summary'!$E$1,I1150&lt;='Exec Summary'!$E$2),1,0)</f>
        <v>0</v>
      </c>
      <c r="U1150" s="7" t="n">
        <f aca="false">IF(F1150="Reopened",1,0)</f>
        <v>0</v>
      </c>
      <c r="V1150" s="7" t="n">
        <f aca="false">IF(AND(R1150=1,O1150&gt;Q1150),1,0)</f>
        <v>0</v>
      </c>
      <c r="W1150" s="7" t="n">
        <f aca="false">IF(AND(T1150=1,P1150&lt;&gt;"",P1150&lt;=Q1150),1,0)</f>
        <v>0</v>
      </c>
    </row>
    <row r="1151" customFormat="false" ht="15" hidden="false" customHeight="false" outlineLevel="0" collapsed="false">
      <c r="A1151" s="7" t="s">
        <v>1417</v>
      </c>
      <c r="B1151" s="7" t="s">
        <v>46</v>
      </c>
      <c r="C1151" s="7" t="s">
        <v>128</v>
      </c>
      <c r="D1151" s="7" t="s">
        <v>152</v>
      </c>
      <c r="E1151" s="7" t="s">
        <v>153</v>
      </c>
      <c r="F1151" s="7" t="s">
        <v>50</v>
      </c>
      <c r="G1151" s="7" t="s">
        <v>20</v>
      </c>
      <c r="H1151" s="9" t="n">
        <v>46081</v>
      </c>
      <c r="I1151" s="9" t="n">
        <v>46108</v>
      </c>
      <c r="J1151" s="7" t="n">
        <v>7.5</v>
      </c>
      <c r="K1151" s="7" t="s">
        <v>1392</v>
      </c>
      <c r="L1151" s="7" t="s">
        <v>21</v>
      </c>
      <c r="M1151" s="7" t="s">
        <v>1427</v>
      </c>
      <c r="N1151" s="7" t="s">
        <v>53</v>
      </c>
      <c r="O1151" s="10" t="n">
        <f aca="false">'Exec Summary'!$E$2-H1151</f>
        <v>153</v>
      </c>
      <c r="P1151" s="10" t="n">
        <f aca="false">IF(I1151="","",I1151-H1151)</f>
        <v>27</v>
      </c>
      <c r="Q1151" s="10" t="n">
        <f aca="false">VLOOKUP(G1151,$AA$2:$AB$5,2,FALSE())</f>
        <v>30</v>
      </c>
      <c r="R1151" s="7" t="n">
        <f aca="false">IF(OR(F1151="Open",F1151="Reopened"),1,0)</f>
        <v>0</v>
      </c>
      <c r="S1151" s="7" t="n">
        <f aca="false">IF(AND(H1151&gt;='Exec Summary'!$E$1,H1151&lt;='Exec Summary'!$E$2),1,0)</f>
        <v>0</v>
      </c>
      <c r="T1151" s="7" t="n">
        <f aca="false">IF(AND(F1151="Closed",I1151&lt;&gt;"",I1151&gt;='Exec Summary'!$E$1,I1151&lt;='Exec Summary'!$E$2),1,0)</f>
        <v>0</v>
      </c>
      <c r="U1151" s="7" t="n">
        <f aca="false">IF(F1151="Reopened",1,0)</f>
        <v>0</v>
      </c>
      <c r="V1151" s="7" t="n">
        <f aca="false">IF(AND(R1151=1,O1151&gt;Q1151),1,0)</f>
        <v>0</v>
      </c>
      <c r="W1151" s="7" t="n">
        <f aca="false">IF(AND(T1151=1,P1151&lt;&gt;"",P1151&lt;=Q1151),1,0)</f>
        <v>0</v>
      </c>
    </row>
    <row r="1152" customFormat="false" ht="15" hidden="false" customHeight="false" outlineLevel="0" collapsed="false">
      <c r="A1152" s="7" t="s">
        <v>1417</v>
      </c>
      <c r="B1152" s="7" t="s">
        <v>46</v>
      </c>
      <c r="C1152" s="7" t="s">
        <v>128</v>
      </c>
      <c r="D1152" s="7" t="s">
        <v>163</v>
      </c>
      <c r="E1152" s="7" t="s">
        <v>164</v>
      </c>
      <c r="F1152" s="7" t="s">
        <v>56</v>
      </c>
      <c r="G1152" s="7" t="s">
        <v>19</v>
      </c>
      <c r="H1152" s="9" t="n">
        <v>46190</v>
      </c>
      <c r="I1152" s="9"/>
      <c r="J1152" s="7" t="n">
        <v>9.1</v>
      </c>
      <c r="K1152" s="7" t="s">
        <v>1392</v>
      </c>
      <c r="L1152" s="7" t="s">
        <v>21</v>
      </c>
      <c r="M1152" s="7" t="s">
        <v>1428</v>
      </c>
      <c r="N1152" s="7" t="s">
        <v>58</v>
      </c>
      <c r="O1152" s="10" t="n">
        <f aca="false">'Exec Summary'!$E$2-H1152</f>
        <v>44</v>
      </c>
      <c r="P1152" s="10" t="str">
        <f aca="false">IF(I1152="","",I1152-H1152)</f>
        <v/>
      </c>
      <c r="Q1152" s="10" t="n">
        <f aca="false">VLOOKUP(G1152,$AA$2:$AB$5,2,FALSE())</f>
        <v>15</v>
      </c>
      <c r="R1152" s="7" t="n">
        <f aca="false">IF(OR(F1152="Open",F1152="Reopened"),1,0)</f>
        <v>1</v>
      </c>
      <c r="S1152" s="7" t="n">
        <f aca="false">IF(AND(H1152&gt;='Exec Summary'!$E$1,H1152&lt;='Exec Summary'!$E$2),1,0)</f>
        <v>0</v>
      </c>
      <c r="T1152" s="7" t="n">
        <f aca="false">IF(AND(F1152="Closed",I1152&lt;&gt;"",I1152&gt;='Exec Summary'!$E$1,I1152&lt;='Exec Summary'!$E$2),1,0)</f>
        <v>0</v>
      </c>
      <c r="U1152" s="7" t="n">
        <f aca="false">IF(F1152="Reopened",1,0)</f>
        <v>0</v>
      </c>
      <c r="V1152" s="7" t="n">
        <f aca="false">IF(AND(R1152=1,O1152&gt;Q1152),1,0)</f>
        <v>1</v>
      </c>
      <c r="W1152" s="7" t="n">
        <f aca="false">IF(AND(T1152=1,P1152&lt;&gt;"",P1152&lt;=Q1152),1,0)</f>
        <v>0</v>
      </c>
    </row>
    <row r="1153" customFormat="false" ht="15" hidden="false" customHeight="false" outlineLevel="0" collapsed="false">
      <c r="A1153" s="7" t="s">
        <v>1429</v>
      </c>
      <c r="B1153" s="7" t="s">
        <v>46</v>
      </c>
      <c r="C1153" s="7" t="s">
        <v>177</v>
      </c>
      <c r="D1153" s="7" t="s">
        <v>65</v>
      </c>
      <c r="E1153" s="7" t="s">
        <v>66</v>
      </c>
      <c r="F1153" s="7" t="s">
        <v>50</v>
      </c>
      <c r="G1153" s="7" t="s">
        <v>19</v>
      </c>
      <c r="H1153" s="9" t="n">
        <v>45959</v>
      </c>
      <c r="I1153" s="9" t="n">
        <v>45968</v>
      </c>
      <c r="J1153" s="7" t="n">
        <v>9.8</v>
      </c>
      <c r="K1153" s="7" t="s">
        <v>1392</v>
      </c>
      <c r="L1153" s="7" t="s">
        <v>21</v>
      </c>
      <c r="M1153" s="7" t="s">
        <v>1430</v>
      </c>
      <c r="N1153" s="7" t="s">
        <v>58</v>
      </c>
      <c r="O1153" s="10" t="n">
        <f aca="false">'Exec Summary'!$E$2-H1153</f>
        <v>275</v>
      </c>
      <c r="P1153" s="10" t="n">
        <f aca="false">IF(I1153="","",I1153-H1153)</f>
        <v>9</v>
      </c>
      <c r="Q1153" s="10" t="n">
        <f aca="false">VLOOKUP(G1153,$AA$2:$AB$5,2,FALSE())</f>
        <v>15</v>
      </c>
      <c r="R1153" s="7" t="n">
        <f aca="false">IF(OR(F1153="Open",F1153="Reopened"),1,0)</f>
        <v>0</v>
      </c>
      <c r="S1153" s="7" t="n">
        <f aca="false">IF(AND(H1153&gt;='Exec Summary'!$E$1,H1153&lt;='Exec Summary'!$E$2),1,0)</f>
        <v>0</v>
      </c>
      <c r="T1153" s="7" t="n">
        <f aca="false">IF(AND(F1153="Closed",I1153&lt;&gt;"",I1153&gt;='Exec Summary'!$E$1,I1153&lt;='Exec Summary'!$E$2),1,0)</f>
        <v>0</v>
      </c>
      <c r="U1153" s="7" t="n">
        <f aca="false">IF(F1153="Reopened",1,0)</f>
        <v>0</v>
      </c>
      <c r="V1153" s="7" t="n">
        <f aca="false">IF(AND(R1153=1,O1153&gt;Q1153),1,0)</f>
        <v>0</v>
      </c>
      <c r="W1153" s="7" t="n">
        <f aca="false">IF(AND(T1153=1,P1153&lt;&gt;"",P1153&lt;=Q1153),1,0)</f>
        <v>0</v>
      </c>
    </row>
    <row r="1154" customFormat="false" ht="15" hidden="false" customHeight="false" outlineLevel="0" collapsed="false">
      <c r="A1154" s="7" t="s">
        <v>1431</v>
      </c>
      <c r="B1154" s="7" t="s">
        <v>46</v>
      </c>
      <c r="C1154" s="7" t="s">
        <v>47</v>
      </c>
      <c r="D1154" s="7" t="s">
        <v>145</v>
      </c>
      <c r="E1154" s="7" t="s">
        <v>146</v>
      </c>
      <c r="F1154" s="7" t="s">
        <v>50</v>
      </c>
      <c r="G1154" s="7" t="s">
        <v>19</v>
      </c>
      <c r="H1154" s="9" t="n">
        <v>46054</v>
      </c>
      <c r="I1154" s="9" t="n">
        <v>46067</v>
      </c>
      <c r="J1154" s="7" t="n">
        <v>9.8</v>
      </c>
      <c r="K1154" s="7" t="s">
        <v>1392</v>
      </c>
      <c r="L1154" s="7" t="s">
        <v>21</v>
      </c>
      <c r="M1154" s="7" t="s">
        <v>1432</v>
      </c>
      <c r="N1154" s="7" t="s">
        <v>58</v>
      </c>
      <c r="O1154" s="10" t="n">
        <f aca="false">'Exec Summary'!$E$2-H1154</f>
        <v>180</v>
      </c>
      <c r="P1154" s="10" t="n">
        <f aca="false">IF(I1154="","",I1154-H1154)</f>
        <v>13</v>
      </c>
      <c r="Q1154" s="10" t="n">
        <f aca="false">VLOOKUP(G1154,$AA$2:$AB$5,2,FALSE())</f>
        <v>15</v>
      </c>
      <c r="R1154" s="7" t="n">
        <f aca="false">IF(OR(F1154="Open",F1154="Reopened"),1,0)</f>
        <v>0</v>
      </c>
      <c r="S1154" s="7" t="n">
        <f aca="false">IF(AND(H1154&gt;='Exec Summary'!$E$1,H1154&lt;='Exec Summary'!$E$2),1,0)</f>
        <v>0</v>
      </c>
      <c r="T1154" s="7" t="n">
        <f aca="false">IF(AND(F1154="Closed",I1154&lt;&gt;"",I1154&gt;='Exec Summary'!$E$1,I1154&lt;='Exec Summary'!$E$2),1,0)</f>
        <v>0</v>
      </c>
      <c r="U1154" s="7" t="n">
        <f aca="false">IF(F1154="Reopened",1,0)</f>
        <v>0</v>
      </c>
      <c r="V1154" s="7" t="n">
        <f aca="false">IF(AND(R1154=1,O1154&gt;Q1154),1,0)</f>
        <v>0</v>
      </c>
      <c r="W1154" s="7" t="n">
        <f aca="false">IF(AND(T1154=1,P1154&lt;&gt;"",P1154&lt;=Q1154),1,0)</f>
        <v>0</v>
      </c>
    </row>
    <row r="1155" customFormat="false" ht="15" hidden="false" customHeight="false" outlineLevel="0" collapsed="false">
      <c r="A1155" s="7" t="s">
        <v>1431</v>
      </c>
      <c r="B1155" s="7" t="s">
        <v>46</v>
      </c>
      <c r="C1155" s="7" t="s">
        <v>47</v>
      </c>
      <c r="D1155" s="7" t="s">
        <v>71</v>
      </c>
      <c r="E1155" s="7" t="s">
        <v>72</v>
      </c>
      <c r="F1155" s="7" t="s">
        <v>50</v>
      </c>
      <c r="G1155" s="7" t="s">
        <v>19</v>
      </c>
      <c r="H1155" s="9" t="n">
        <v>45959</v>
      </c>
      <c r="I1155" s="9" t="n">
        <v>45962</v>
      </c>
      <c r="J1155" s="7" t="n">
        <v>9.8</v>
      </c>
      <c r="K1155" s="7" t="s">
        <v>1392</v>
      </c>
      <c r="L1155" s="7" t="s">
        <v>21</v>
      </c>
      <c r="M1155" s="7" t="s">
        <v>1433</v>
      </c>
      <c r="N1155" s="7" t="s">
        <v>58</v>
      </c>
      <c r="O1155" s="10" t="n">
        <f aca="false">'Exec Summary'!$E$2-H1155</f>
        <v>275</v>
      </c>
      <c r="P1155" s="10" t="n">
        <f aca="false">IF(I1155="","",I1155-H1155)</f>
        <v>3</v>
      </c>
      <c r="Q1155" s="10" t="n">
        <f aca="false">VLOOKUP(G1155,$AA$2:$AB$5,2,FALSE())</f>
        <v>15</v>
      </c>
      <c r="R1155" s="7" t="n">
        <f aca="false">IF(OR(F1155="Open",F1155="Reopened"),1,0)</f>
        <v>0</v>
      </c>
      <c r="S1155" s="7" t="n">
        <f aca="false">IF(AND(H1155&gt;='Exec Summary'!$E$1,H1155&lt;='Exec Summary'!$E$2),1,0)</f>
        <v>0</v>
      </c>
      <c r="T1155" s="7" t="n">
        <f aca="false">IF(AND(F1155="Closed",I1155&lt;&gt;"",I1155&gt;='Exec Summary'!$E$1,I1155&lt;='Exec Summary'!$E$2),1,0)</f>
        <v>0</v>
      </c>
      <c r="U1155" s="7" t="n">
        <f aca="false">IF(F1155="Reopened",1,0)</f>
        <v>0</v>
      </c>
      <c r="V1155" s="7" t="n">
        <f aca="false">IF(AND(R1155=1,O1155&gt;Q1155),1,0)</f>
        <v>0</v>
      </c>
      <c r="W1155" s="7" t="n">
        <f aca="false">IF(AND(T1155=1,P1155&lt;&gt;"",P1155&lt;=Q1155),1,0)</f>
        <v>0</v>
      </c>
    </row>
    <row r="1156" customFormat="false" ht="15" hidden="false" customHeight="false" outlineLevel="0" collapsed="false">
      <c r="A1156" s="7" t="s">
        <v>1431</v>
      </c>
      <c r="B1156" s="7" t="s">
        <v>46</v>
      </c>
      <c r="C1156" s="7" t="s">
        <v>47</v>
      </c>
      <c r="D1156" s="7" t="s">
        <v>131</v>
      </c>
      <c r="E1156" s="7" t="s">
        <v>132</v>
      </c>
      <c r="F1156" s="7" t="s">
        <v>50</v>
      </c>
      <c r="G1156" s="7" t="s">
        <v>19</v>
      </c>
      <c r="H1156" s="9" t="n">
        <v>45955</v>
      </c>
      <c r="I1156" s="9" t="n">
        <v>45973</v>
      </c>
      <c r="J1156" s="7" t="n">
        <v>9.8</v>
      </c>
      <c r="K1156" s="7" t="s">
        <v>1392</v>
      </c>
      <c r="L1156" s="7" t="s">
        <v>21</v>
      </c>
      <c r="M1156" s="7" t="s">
        <v>1434</v>
      </c>
      <c r="N1156" s="7" t="s">
        <v>58</v>
      </c>
      <c r="O1156" s="10" t="n">
        <f aca="false">'Exec Summary'!$E$2-H1156</f>
        <v>279</v>
      </c>
      <c r="P1156" s="10" t="n">
        <f aca="false">IF(I1156="","",I1156-H1156)</f>
        <v>18</v>
      </c>
      <c r="Q1156" s="10" t="n">
        <f aca="false">VLOOKUP(G1156,$AA$2:$AB$5,2,FALSE())</f>
        <v>15</v>
      </c>
      <c r="R1156" s="7" t="n">
        <f aca="false">IF(OR(F1156="Open",F1156="Reopened"),1,0)</f>
        <v>0</v>
      </c>
      <c r="S1156" s="7" t="n">
        <f aca="false">IF(AND(H1156&gt;='Exec Summary'!$E$1,H1156&lt;='Exec Summary'!$E$2),1,0)</f>
        <v>0</v>
      </c>
      <c r="T1156" s="7" t="n">
        <f aca="false">IF(AND(F1156="Closed",I1156&lt;&gt;"",I1156&gt;='Exec Summary'!$E$1,I1156&lt;='Exec Summary'!$E$2),1,0)</f>
        <v>0</v>
      </c>
      <c r="U1156" s="7" t="n">
        <f aca="false">IF(F1156="Reopened",1,0)</f>
        <v>0</v>
      </c>
      <c r="V1156" s="7" t="n">
        <f aca="false">IF(AND(R1156=1,O1156&gt;Q1156),1,0)</f>
        <v>0</v>
      </c>
      <c r="W1156" s="7" t="n">
        <f aca="false">IF(AND(T1156=1,P1156&lt;&gt;"",P1156&lt;=Q1156),1,0)</f>
        <v>0</v>
      </c>
    </row>
    <row r="1157" customFormat="false" ht="15" hidden="false" customHeight="false" outlineLevel="0" collapsed="false">
      <c r="A1157" s="7" t="s">
        <v>1435</v>
      </c>
      <c r="B1157" s="7" t="s">
        <v>46</v>
      </c>
      <c r="C1157" s="7" t="s">
        <v>79</v>
      </c>
      <c r="D1157" s="7" t="s">
        <v>152</v>
      </c>
      <c r="E1157" s="7" t="s">
        <v>153</v>
      </c>
      <c r="F1157" s="7" t="s">
        <v>123</v>
      </c>
      <c r="G1157" s="7" t="s">
        <v>20</v>
      </c>
      <c r="H1157" s="9" t="n">
        <v>46203</v>
      </c>
      <c r="I1157" s="9" t="n">
        <v>46229</v>
      </c>
      <c r="J1157" s="7" t="n">
        <v>7.5</v>
      </c>
      <c r="K1157" s="7" t="s">
        <v>1392</v>
      </c>
      <c r="L1157" s="7" t="s">
        <v>21</v>
      </c>
      <c r="M1157" s="7" t="s">
        <v>1436</v>
      </c>
      <c r="N1157" s="7" t="s">
        <v>53</v>
      </c>
      <c r="O1157" s="10" t="n">
        <f aca="false">'Exec Summary'!$E$2-H1157</f>
        <v>31</v>
      </c>
      <c r="P1157" s="10" t="n">
        <f aca="false">IF(I1157="","",I1157-H1157)</f>
        <v>26</v>
      </c>
      <c r="Q1157" s="10" t="n">
        <f aca="false">VLOOKUP(G1157,$AA$2:$AB$5,2,FALSE())</f>
        <v>30</v>
      </c>
      <c r="R1157" s="7" t="n">
        <f aca="false">IF(OR(F1157="Open",F1157="Reopened"),1,0)</f>
        <v>1</v>
      </c>
      <c r="S1157" s="7" t="n">
        <f aca="false">IF(AND(H1157&gt;='Exec Summary'!$E$1,H1157&lt;='Exec Summary'!$E$2),1,0)</f>
        <v>0</v>
      </c>
      <c r="T1157" s="7" t="n">
        <f aca="false">IF(AND(F1157="Closed",I1157&lt;&gt;"",I1157&gt;='Exec Summary'!$E$1,I1157&lt;='Exec Summary'!$E$2),1,0)</f>
        <v>0</v>
      </c>
      <c r="U1157" s="7" t="n">
        <f aca="false">IF(F1157="Reopened",1,0)</f>
        <v>1</v>
      </c>
      <c r="V1157" s="7" t="n">
        <f aca="false">IF(AND(R1157=1,O1157&gt;Q1157),1,0)</f>
        <v>1</v>
      </c>
      <c r="W1157" s="7" t="n">
        <f aca="false">IF(AND(T1157=1,P1157&lt;&gt;"",P1157&lt;=Q1157),1,0)</f>
        <v>0</v>
      </c>
    </row>
    <row r="1158" customFormat="false" ht="15" hidden="false" customHeight="false" outlineLevel="0" collapsed="false">
      <c r="A1158" s="7" t="s">
        <v>1437</v>
      </c>
      <c r="B1158" s="7" t="s">
        <v>135</v>
      </c>
      <c r="C1158" s="7" t="s">
        <v>306</v>
      </c>
      <c r="D1158" s="7" t="s">
        <v>74</v>
      </c>
      <c r="E1158" s="7" t="s">
        <v>75</v>
      </c>
      <c r="F1158" s="7" t="s">
        <v>50</v>
      </c>
      <c r="G1158" s="7" t="s">
        <v>21</v>
      </c>
      <c r="H1158" s="9" t="n">
        <v>46024</v>
      </c>
      <c r="I1158" s="9" t="n">
        <v>46025</v>
      </c>
      <c r="J1158" s="7" t="n">
        <v>6.5</v>
      </c>
      <c r="K1158" s="7" t="s">
        <v>1392</v>
      </c>
      <c r="L1158" s="7" t="s">
        <v>21</v>
      </c>
      <c r="M1158" s="7" t="s">
        <v>1438</v>
      </c>
      <c r="N1158" s="7" t="s">
        <v>77</v>
      </c>
      <c r="O1158" s="10" t="n">
        <f aca="false">'Exec Summary'!$E$2-H1158</f>
        <v>210</v>
      </c>
      <c r="P1158" s="10" t="n">
        <f aca="false">IF(I1158="","",I1158-H1158)</f>
        <v>1</v>
      </c>
      <c r="Q1158" s="10" t="n">
        <f aca="false">VLOOKUP(G1158,$AA$2:$AB$5,2,FALSE())</f>
        <v>90</v>
      </c>
      <c r="R1158" s="7" t="n">
        <f aca="false">IF(OR(F1158="Open",F1158="Reopened"),1,0)</f>
        <v>0</v>
      </c>
      <c r="S1158" s="7" t="n">
        <f aca="false">IF(AND(H1158&gt;='Exec Summary'!$E$1,H1158&lt;='Exec Summary'!$E$2),1,0)</f>
        <v>0</v>
      </c>
      <c r="T1158" s="7" t="n">
        <f aca="false">IF(AND(F1158="Closed",I1158&lt;&gt;"",I1158&gt;='Exec Summary'!$E$1,I1158&lt;='Exec Summary'!$E$2),1,0)</f>
        <v>0</v>
      </c>
      <c r="U1158" s="7" t="n">
        <f aca="false">IF(F1158="Reopened",1,0)</f>
        <v>0</v>
      </c>
      <c r="V1158" s="7" t="n">
        <f aca="false">IF(AND(R1158=1,O1158&gt;Q1158),1,0)</f>
        <v>0</v>
      </c>
      <c r="W1158" s="7" t="n">
        <f aca="false">IF(AND(T1158=1,P1158&lt;&gt;"",P1158&lt;=Q1158),1,0)</f>
        <v>0</v>
      </c>
    </row>
    <row r="1159" customFormat="false" ht="15" hidden="false" customHeight="false" outlineLevel="0" collapsed="false">
      <c r="A1159" s="7" t="s">
        <v>1437</v>
      </c>
      <c r="B1159" s="7" t="s">
        <v>135</v>
      </c>
      <c r="C1159" s="7" t="s">
        <v>306</v>
      </c>
      <c r="D1159" s="7" t="s">
        <v>108</v>
      </c>
      <c r="E1159" s="7" t="s">
        <v>109</v>
      </c>
      <c r="F1159" s="7" t="s">
        <v>56</v>
      </c>
      <c r="G1159" s="7" t="s">
        <v>20</v>
      </c>
      <c r="H1159" s="9" t="n">
        <v>46127</v>
      </c>
      <c r="I1159" s="9"/>
      <c r="J1159" s="7" t="n">
        <v>8.6</v>
      </c>
      <c r="K1159" s="7" t="s">
        <v>1392</v>
      </c>
      <c r="L1159" s="7" t="s">
        <v>21</v>
      </c>
      <c r="M1159" s="7" t="s">
        <v>1439</v>
      </c>
      <c r="N1159" s="7" t="s">
        <v>53</v>
      </c>
      <c r="O1159" s="10" t="n">
        <f aca="false">'Exec Summary'!$E$2-H1159</f>
        <v>107</v>
      </c>
      <c r="P1159" s="10" t="str">
        <f aca="false">IF(I1159="","",I1159-H1159)</f>
        <v/>
      </c>
      <c r="Q1159" s="10" t="n">
        <f aca="false">VLOOKUP(G1159,$AA$2:$AB$5,2,FALSE())</f>
        <v>30</v>
      </c>
      <c r="R1159" s="7" t="n">
        <f aca="false">IF(OR(F1159="Open",F1159="Reopened"),1,0)</f>
        <v>1</v>
      </c>
      <c r="S1159" s="7" t="n">
        <f aca="false">IF(AND(H1159&gt;='Exec Summary'!$E$1,H1159&lt;='Exec Summary'!$E$2),1,0)</f>
        <v>0</v>
      </c>
      <c r="T1159" s="7" t="n">
        <f aca="false">IF(AND(F1159="Closed",I1159&lt;&gt;"",I1159&gt;='Exec Summary'!$E$1,I1159&lt;='Exec Summary'!$E$2),1,0)</f>
        <v>0</v>
      </c>
      <c r="U1159" s="7" t="n">
        <f aca="false">IF(F1159="Reopened",1,0)</f>
        <v>0</v>
      </c>
      <c r="V1159" s="7" t="n">
        <f aca="false">IF(AND(R1159=1,O1159&gt;Q1159),1,0)</f>
        <v>1</v>
      </c>
      <c r="W1159" s="7" t="n">
        <f aca="false">IF(AND(T1159=1,P1159&lt;&gt;"",P1159&lt;=Q1159),1,0)</f>
        <v>0</v>
      </c>
    </row>
    <row r="1160" customFormat="false" ht="15" hidden="false" customHeight="false" outlineLevel="0" collapsed="false">
      <c r="A1160" s="7" t="s">
        <v>1437</v>
      </c>
      <c r="B1160" s="7" t="s">
        <v>135</v>
      </c>
      <c r="C1160" s="7" t="s">
        <v>306</v>
      </c>
      <c r="D1160" s="7" t="s">
        <v>206</v>
      </c>
      <c r="E1160" s="7" t="s">
        <v>207</v>
      </c>
      <c r="F1160" s="7" t="s">
        <v>56</v>
      </c>
      <c r="G1160" s="7" t="s">
        <v>20</v>
      </c>
      <c r="H1160" s="9" t="n">
        <v>46204</v>
      </c>
      <c r="I1160" s="9"/>
      <c r="J1160" s="7" t="n">
        <v>8.8</v>
      </c>
      <c r="K1160" s="7" t="s">
        <v>1392</v>
      </c>
      <c r="L1160" s="7" t="s">
        <v>21</v>
      </c>
      <c r="M1160" s="7" t="s">
        <v>1440</v>
      </c>
      <c r="N1160" s="7" t="s">
        <v>53</v>
      </c>
      <c r="O1160" s="10" t="n">
        <f aca="false">'Exec Summary'!$E$2-H1160</f>
        <v>30</v>
      </c>
      <c r="P1160" s="10" t="str">
        <f aca="false">IF(I1160="","",I1160-H1160)</f>
        <v/>
      </c>
      <c r="Q1160" s="10" t="n">
        <f aca="false">VLOOKUP(G1160,$AA$2:$AB$5,2,FALSE())</f>
        <v>30</v>
      </c>
      <c r="R1160" s="7" t="n">
        <f aca="false">IF(OR(F1160="Open",F1160="Reopened"),1,0)</f>
        <v>1</v>
      </c>
      <c r="S1160" s="7" t="n">
        <f aca="false">IF(AND(H1160&gt;='Exec Summary'!$E$1,H1160&lt;='Exec Summary'!$E$2),1,0)</f>
        <v>1</v>
      </c>
      <c r="T1160" s="7" t="n">
        <f aca="false">IF(AND(F1160="Closed",I1160&lt;&gt;"",I1160&gt;='Exec Summary'!$E$1,I1160&lt;='Exec Summary'!$E$2),1,0)</f>
        <v>0</v>
      </c>
      <c r="U1160" s="7" t="n">
        <f aca="false">IF(F1160="Reopened",1,0)</f>
        <v>0</v>
      </c>
      <c r="V1160" s="7" t="n">
        <f aca="false">IF(AND(R1160=1,O1160&gt;Q1160),1,0)</f>
        <v>0</v>
      </c>
      <c r="W1160" s="7" t="n">
        <f aca="false">IF(AND(T1160=1,P1160&lt;&gt;"",P1160&lt;=Q1160),1,0)</f>
        <v>0</v>
      </c>
    </row>
    <row r="1161" customFormat="false" ht="15" hidden="false" customHeight="false" outlineLevel="0" collapsed="false">
      <c r="A1161" s="7" t="s">
        <v>1437</v>
      </c>
      <c r="B1161" s="7" t="s">
        <v>135</v>
      </c>
      <c r="C1161" s="7" t="s">
        <v>306</v>
      </c>
      <c r="D1161" s="7" t="s">
        <v>101</v>
      </c>
      <c r="E1161" s="7" t="s">
        <v>102</v>
      </c>
      <c r="F1161" s="7" t="s">
        <v>50</v>
      </c>
      <c r="G1161" s="7" t="s">
        <v>19</v>
      </c>
      <c r="H1161" s="9" t="n">
        <v>46071</v>
      </c>
      <c r="I1161" s="9" t="n">
        <v>46084</v>
      </c>
      <c r="J1161" s="7" t="n">
        <v>10</v>
      </c>
      <c r="K1161" s="7" t="s">
        <v>1392</v>
      </c>
      <c r="L1161" s="7" t="s">
        <v>21</v>
      </c>
      <c r="M1161" s="7" t="s">
        <v>1441</v>
      </c>
      <c r="N1161" s="7" t="s">
        <v>58</v>
      </c>
      <c r="O1161" s="10" t="n">
        <f aca="false">'Exec Summary'!$E$2-H1161</f>
        <v>163</v>
      </c>
      <c r="P1161" s="10" t="n">
        <f aca="false">IF(I1161="","",I1161-H1161)</f>
        <v>13</v>
      </c>
      <c r="Q1161" s="10" t="n">
        <f aca="false">VLOOKUP(G1161,$AA$2:$AB$5,2,FALSE())</f>
        <v>15</v>
      </c>
      <c r="R1161" s="7" t="n">
        <f aca="false">IF(OR(F1161="Open",F1161="Reopened"),1,0)</f>
        <v>0</v>
      </c>
      <c r="S1161" s="7" t="n">
        <f aca="false">IF(AND(H1161&gt;='Exec Summary'!$E$1,H1161&lt;='Exec Summary'!$E$2),1,0)</f>
        <v>0</v>
      </c>
      <c r="T1161" s="7" t="n">
        <f aca="false">IF(AND(F1161="Closed",I1161&lt;&gt;"",I1161&gt;='Exec Summary'!$E$1,I1161&lt;='Exec Summary'!$E$2),1,0)</f>
        <v>0</v>
      </c>
      <c r="U1161" s="7" t="n">
        <f aca="false">IF(F1161="Reopened",1,0)</f>
        <v>0</v>
      </c>
      <c r="V1161" s="7" t="n">
        <f aca="false">IF(AND(R1161=1,O1161&gt;Q1161),1,0)</f>
        <v>0</v>
      </c>
      <c r="W1161" s="7" t="n">
        <f aca="false">IF(AND(T1161=1,P1161&lt;&gt;"",P1161&lt;=Q1161),1,0)</f>
        <v>0</v>
      </c>
    </row>
    <row r="1162" customFormat="false" ht="15" hidden="false" customHeight="false" outlineLevel="0" collapsed="false">
      <c r="A1162" s="7" t="s">
        <v>1437</v>
      </c>
      <c r="B1162" s="7" t="s">
        <v>135</v>
      </c>
      <c r="C1162" s="7" t="s">
        <v>306</v>
      </c>
      <c r="D1162" s="7" t="s">
        <v>95</v>
      </c>
      <c r="E1162" s="7" t="s">
        <v>96</v>
      </c>
      <c r="F1162" s="7" t="s">
        <v>56</v>
      </c>
      <c r="G1162" s="7" t="s">
        <v>20</v>
      </c>
      <c r="H1162" s="9" t="n">
        <v>46138</v>
      </c>
      <c r="I1162" s="9"/>
      <c r="J1162" s="7" t="n">
        <v>8.8</v>
      </c>
      <c r="K1162" s="7" t="s">
        <v>1392</v>
      </c>
      <c r="L1162" s="7" t="s">
        <v>21</v>
      </c>
      <c r="M1162" s="7" t="s">
        <v>1442</v>
      </c>
      <c r="N1162" s="7" t="s">
        <v>53</v>
      </c>
      <c r="O1162" s="10" t="n">
        <f aca="false">'Exec Summary'!$E$2-H1162</f>
        <v>96</v>
      </c>
      <c r="P1162" s="10" t="str">
        <f aca="false">IF(I1162="","",I1162-H1162)</f>
        <v/>
      </c>
      <c r="Q1162" s="10" t="n">
        <f aca="false">VLOOKUP(G1162,$AA$2:$AB$5,2,FALSE())</f>
        <v>30</v>
      </c>
      <c r="R1162" s="7" t="n">
        <f aca="false">IF(OR(F1162="Open",F1162="Reopened"),1,0)</f>
        <v>1</v>
      </c>
      <c r="S1162" s="7" t="n">
        <f aca="false">IF(AND(H1162&gt;='Exec Summary'!$E$1,H1162&lt;='Exec Summary'!$E$2),1,0)</f>
        <v>0</v>
      </c>
      <c r="T1162" s="7" t="n">
        <f aca="false">IF(AND(F1162="Closed",I1162&lt;&gt;"",I1162&gt;='Exec Summary'!$E$1,I1162&lt;='Exec Summary'!$E$2),1,0)</f>
        <v>0</v>
      </c>
      <c r="U1162" s="7" t="n">
        <f aca="false">IF(F1162="Reopened",1,0)</f>
        <v>0</v>
      </c>
      <c r="V1162" s="7" t="n">
        <f aca="false">IF(AND(R1162=1,O1162&gt;Q1162),1,0)</f>
        <v>1</v>
      </c>
      <c r="W1162" s="7" t="n">
        <f aca="false">IF(AND(T1162=1,P1162&lt;&gt;"",P1162&lt;=Q1162),1,0)</f>
        <v>0</v>
      </c>
    </row>
    <row r="1163" customFormat="false" ht="15" hidden="false" customHeight="false" outlineLevel="0" collapsed="false">
      <c r="A1163" s="7" t="s">
        <v>1437</v>
      </c>
      <c r="B1163" s="7" t="s">
        <v>135</v>
      </c>
      <c r="C1163" s="7" t="s">
        <v>306</v>
      </c>
      <c r="D1163" s="7" t="s">
        <v>104</v>
      </c>
      <c r="E1163" s="7" t="s">
        <v>105</v>
      </c>
      <c r="F1163" s="7" t="s">
        <v>50</v>
      </c>
      <c r="G1163" s="7" t="s">
        <v>19</v>
      </c>
      <c r="H1163" s="9" t="n">
        <v>46021</v>
      </c>
      <c r="I1163" s="9" t="n">
        <v>46026</v>
      </c>
      <c r="J1163" s="7" t="n">
        <v>9.8</v>
      </c>
      <c r="K1163" s="7" t="s">
        <v>1392</v>
      </c>
      <c r="L1163" s="7" t="s">
        <v>21</v>
      </c>
      <c r="M1163" s="7" t="s">
        <v>1443</v>
      </c>
      <c r="N1163" s="7" t="s">
        <v>58</v>
      </c>
      <c r="O1163" s="10" t="n">
        <f aca="false">'Exec Summary'!$E$2-H1163</f>
        <v>213</v>
      </c>
      <c r="P1163" s="10" t="n">
        <f aca="false">IF(I1163="","",I1163-H1163)</f>
        <v>5</v>
      </c>
      <c r="Q1163" s="10" t="n">
        <f aca="false">VLOOKUP(G1163,$AA$2:$AB$5,2,FALSE())</f>
        <v>15</v>
      </c>
      <c r="R1163" s="7" t="n">
        <f aca="false">IF(OR(F1163="Open",F1163="Reopened"),1,0)</f>
        <v>0</v>
      </c>
      <c r="S1163" s="7" t="n">
        <f aca="false">IF(AND(H1163&gt;='Exec Summary'!$E$1,H1163&lt;='Exec Summary'!$E$2),1,0)</f>
        <v>0</v>
      </c>
      <c r="T1163" s="7" t="n">
        <f aca="false">IF(AND(F1163="Closed",I1163&lt;&gt;"",I1163&gt;='Exec Summary'!$E$1,I1163&lt;='Exec Summary'!$E$2),1,0)</f>
        <v>0</v>
      </c>
      <c r="U1163" s="7" t="n">
        <f aca="false">IF(F1163="Reopened",1,0)</f>
        <v>0</v>
      </c>
      <c r="V1163" s="7" t="n">
        <f aca="false">IF(AND(R1163=1,O1163&gt;Q1163),1,0)</f>
        <v>0</v>
      </c>
      <c r="W1163" s="7" t="n">
        <f aca="false">IF(AND(T1163=1,P1163&lt;&gt;"",P1163&lt;=Q1163),1,0)</f>
        <v>0</v>
      </c>
    </row>
    <row r="1164" customFormat="false" ht="15" hidden="false" customHeight="false" outlineLevel="0" collapsed="false">
      <c r="A1164" s="7" t="s">
        <v>1437</v>
      </c>
      <c r="B1164" s="7" t="s">
        <v>135</v>
      </c>
      <c r="C1164" s="7" t="s">
        <v>306</v>
      </c>
      <c r="D1164" s="7" t="s">
        <v>81</v>
      </c>
      <c r="E1164" s="7" t="s">
        <v>82</v>
      </c>
      <c r="F1164" s="7" t="s">
        <v>50</v>
      </c>
      <c r="G1164" s="7" t="s">
        <v>20</v>
      </c>
      <c r="H1164" s="9" t="n">
        <v>46015</v>
      </c>
      <c r="I1164" s="9" t="n">
        <v>46021</v>
      </c>
      <c r="J1164" s="7" t="n">
        <v>7.8</v>
      </c>
      <c r="K1164" s="7" t="s">
        <v>1392</v>
      </c>
      <c r="L1164" s="7" t="s">
        <v>21</v>
      </c>
      <c r="M1164" s="7" t="s">
        <v>1444</v>
      </c>
      <c r="N1164" s="7" t="s">
        <v>53</v>
      </c>
      <c r="O1164" s="10" t="n">
        <f aca="false">'Exec Summary'!$E$2-H1164</f>
        <v>219</v>
      </c>
      <c r="P1164" s="10" t="n">
        <f aca="false">IF(I1164="","",I1164-H1164)</f>
        <v>6</v>
      </c>
      <c r="Q1164" s="10" t="n">
        <f aca="false">VLOOKUP(G1164,$AA$2:$AB$5,2,FALSE())</f>
        <v>30</v>
      </c>
      <c r="R1164" s="7" t="n">
        <f aca="false">IF(OR(F1164="Open",F1164="Reopened"),1,0)</f>
        <v>0</v>
      </c>
      <c r="S1164" s="7" t="n">
        <f aca="false">IF(AND(H1164&gt;='Exec Summary'!$E$1,H1164&lt;='Exec Summary'!$E$2),1,0)</f>
        <v>0</v>
      </c>
      <c r="T1164" s="7" t="n">
        <f aca="false">IF(AND(F1164="Closed",I1164&lt;&gt;"",I1164&gt;='Exec Summary'!$E$1,I1164&lt;='Exec Summary'!$E$2),1,0)</f>
        <v>0</v>
      </c>
      <c r="U1164" s="7" t="n">
        <f aca="false">IF(F1164="Reopened",1,0)</f>
        <v>0</v>
      </c>
      <c r="V1164" s="7" t="n">
        <f aca="false">IF(AND(R1164=1,O1164&gt;Q1164),1,0)</f>
        <v>0</v>
      </c>
      <c r="W1164" s="7" t="n">
        <f aca="false">IF(AND(T1164=1,P1164&lt;&gt;"",P1164&lt;=Q1164),1,0)</f>
        <v>0</v>
      </c>
    </row>
    <row r="1165" customFormat="false" ht="15" hidden="false" customHeight="false" outlineLevel="0" collapsed="false">
      <c r="A1165" s="7" t="s">
        <v>1437</v>
      </c>
      <c r="B1165" s="7" t="s">
        <v>135</v>
      </c>
      <c r="C1165" s="7" t="s">
        <v>306</v>
      </c>
      <c r="D1165" s="7" t="s">
        <v>120</v>
      </c>
      <c r="E1165" s="7" t="s">
        <v>121</v>
      </c>
      <c r="F1165" s="7" t="s">
        <v>56</v>
      </c>
      <c r="G1165" s="7" t="s">
        <v>19</v>
      </c>
      <c r="H1165" s="9" t="n">
        <v>46122</v>
      </c>
      <c r="I1165" s="9"/>
      <c r="J1165" s="7" t="n">
        <v>8.8</v>
      </c>
      <c r="K1165" s="7" t="s">
        <v>1392</v>
      </c>
      <c r="L1165" s="7" t="s">
        <v>21</v>
      </c>
      <c r="M1165" s="7" t="s">
        <v>1445</v>
      </c>
      <c r="N1165" s="7" t="s">
        <v>58</v>
      </c>
      <c r="O1165" s="10" t="n">
        <f aca="false">'Exec Summary'!$E$2-H1165</f>
        <v>112</v>
      </c>
      <c r="P1165" s="10" t="str">
        <f aca="false">IF(I1165="","",I1165-H1165)</f>
        <v/>
      </c>
      <c r="Q1165" s="10" t="n">
        <f aca="false">VLOOKUP(G1165,$AA$2:$AB$5,2,FALSE())</f>
        <v>15</v>
      </c>
      <c r="R1165" s="7" t="n">
        <f aca="false">IF(OR(F1165="Open",F1165="Reopened"),1,0)</f>
        <v>1</v>
      </c>
      <c r="S1165" s="7" t="n">
        <f aca="false">IF(AND(H1165&gt;='Exec Summary'!$E$1,H1165&lt;='Exec Summary'!$E$2),1,0)</f>
        <v>0</v>
      </c>
      <c r="T1165" s="7" t="n">
        <f aca="false">IF(AND(F1165="Closed",I1165&lt;&gt;"",I1165&gt;='Exec Summary'!$E$1,I1165&lt;='Exec Summary'!$E$2),1,0)</f>
        <v>0</v>
      </c>
      <c r="U1165" s="7" t="n">
        <f aca="false">IF(F1165="Reopened",1,0)</f>
        <v>0</v>
      </c>
      <c r="V1165" s="7" t="n">
        <f aca="false">IF(AND(R1165=1,O1165&gt;Q1165),1,0)</f>
        <v>1</v>
      </c>
      <c r="W1165" s="7" t="n">
        <f aca="false">IF(AND(T1165=1,P1165&lt;&gt;"",P1165&lt;=Q1165),1,0)</f>
        <v>0</v>
      </c>
    </row>
    <row r="1166" customFormat="false" ht="15" hidden="false" customHeight="false" outlineLevel="0" collapsed="false">
      <c r="A1166" s="7" t="s">
        <v>1437</v>
      </c>
      <c r="B1166" s="7" t="s">
        <v>135</v>
      </c>
      <c r="C1166" s="7" t="s">
        <v>306</v>
      </c>
      <c r="D1166" s="7" t="s">
        <v>152</v>
      </c>
      <c r="E1166" s="7" t="s">
        <v>153</v>
      </c>
      <c r="F1166" s="7" t="s">
        <v>123</v>
      </c>
      <c r="G1166" s="7" t="s">
        <v>20</v>
      </c>
      <c r="H1166" s="9" t="n">
        <v>46154</v>
      </c>
      <c r="I1166" s="9" t="n">
        <v>46167</v>
      </c>
      <c r="J1166" s="7" t="n">
        <v>7.5</v>
      </c>
      <c r="K1166" s="7" t="s">
        <v>1392</v>
      </c>
      <c r="L1166" s="7" t="s">
        <v>21</v>
      </c>
      <c r="M1166" s="7" t="s">
        <v>1446</v>
      </c>
      <c r="N1166" s="7" t="s">
        <v>53</v>
      </c>
      <c r="O1166" s="10" t="n">
        <f aca="false">'Exec Summary'!$E$2-H1166</f>
        <v>80</v>
      </c>
      <c r="P1166" s="10" t="n">
        <f aca="false">IF(I1166="","",I1166-H1166)</f>
        <v>13</v>
      </c>
      <c r="Q1166" s="10" t="n">
        <f aca="false">VLOOKUP(G1166,$AA$2:$AB$5,2,FALSE())</f>
        <v>30</v>
      </c>
      <c r="R1166" s="7" t="n">
        <f aca="false">IF(OR(F1166="Open",F1166="Reopened"),1,0)</f>
        <v>1</v>
      </c>
      <c r="S1166" s="7" t="n">
        <f aca="false">IF(AND(H1166&gt;='Exec Summary'!$E$1,H1166&lt;='Exec Summary'!$E$2),1,0)</f>
        <v>0</v>
      </c>
      <c r="T1166" s="7" t="n">
        <f aca="false">IF(AND(F1166="Closed",I1166&lt;&gt;"",I1166&gt;='Exec Summary'!$E$1,I1166&lt;='Exec Summary'!$E$2),1,0)</f>
        <v>0</v>
      </c>
      <c r="U1166" s="7" t="n">
        <f aca="false">IF(F1166="Reopened",1,0)</f>
        <v>1</v>
      </c>
      <c r="V1166" s="7" t="n">
        <f aca="false">IF(AND(R1166=1,O1166&gt;Q1166),1,0)</f>
        <v>1</v>
      </c>
      <c r="W1166" s="7" t="n">
        <f aca="false">IF(AND(T1166=1,P1166&lt;&gt;"",P1166&lt;=Q1166),1,0)</f>
        <v>0</v>
      </c>
    </row>
    <row r="1167" customFormat="false" ht="15" hidden="false" customHeight="false" outlineLevel="0" collapsed="false">
      <c r="A1167" s="7" t="s">
        <v>1447</v>
      </c>
      <c r="B1167" s="7" t="s">
        <v>135</v>
      </c>
      <c r="C1167" s="7" t="s">
        <v>136</v>
      </c>
      <c r="D1167" s="7" t="s">
        <v>166</v>
      </c>
      <c r="E1167" s="7" t="s">
        <v>167</v>
      </c>
      <c r="F1167" s="7" t="s">
        <v>56</v>
      </c>
      <c r="G1167" s="7" t="s">
        <v>19</v>
      </c>
      <c r="H1167" s="9" t="n">
        <v>46032</v>
      </c>
      <c r="I1167" s="9"/>
      <c r="J1167" s="7" t="n">
        <v>9.8</v>
      </c>
      <c r="K1167" s="7" t="s">
        <v>1392</v>
      </c>
      <c r="L1167" s="7" t="s">
        <v>22</v>
      </c>
      <c r="M1167" s="7" t="s">
        <v>1448</v>
      </c>
      <c r="N1167" s="7" t="s">
        <v>58</v>
      </c>
      <c r="O1167" s="10" t="n">
        <f aca="false">'Exec Summary'!$E$2-H1167</f>
        <v>202</v>
      </c>
      <c r="P1167" s="10" t="str">
        <f aca="false">IF(I1167="","",I1167-H1167)</f>
        <v/>
      </c>
      <c r="Q1167" s="10" t="n">
        <f aca="false">VLOOKUP(G1167,$AA$2:$AB$5,2,FALSE())</f>
        <v>15</v>
      </c>
      <c r="R1167" s="7" t="n">
        <f aca="false">IF(OR(F1167="Open",F1167="Reopened"),1,0)</f>
        <v>1</v>
      </c>
      <c r="S1167" s="7" t="n">
        <f aca="false">IF(AND(H1167&gt;='Exec Summary'!$E$1,H1167&lt;='Exec Summary'!$E$2),1,0)</f>
        <v>0</v>
      </c>
      <c r="T1167" s="7" t="n">
        <f aca="false">IF(AND(F1167="Closed",I1167&lt;&gt;"",I1167&gt;='Exec Summary'!$E$1,I1167&lt;='Exec Summary'!$E$2),1,0)</f>
        <v>0</v>
      </c>
      <c r="U1167" s="7" t="n">
        <f aca="false">IF(F1167="Reopened",1,0)</f>
        <v>0</v>
      </c>
      <c r="V1167" s="7" t="n">
        <f aca="false">IF(AND(R1167=1,O1167&gt;Q1167),1,0)</f>
        <v>1</v>
      </c>
      <c r="W1167" s="7" t="n">
        <f aca="false">IF(AND(T1167=1,P1167&lt;&gt;"",P1167&lt;=Q1167),1,0)</f>
        <v>0</v>
      </c>
    </row>
    <row r="1168" customFormat="false" ht="15" hidden="false" customHeight="false" outlineLevel="0" collapsed="false">
      <c r="A1168" s="7" t="s">
        <v>1447</v>
      </c>
      <c r="B1168" s="7" t="s">
        <v>135</v>
      </c>
      <c r="C1168" s="7" t="s">
        <v>136</v>
      </c>
      <c r="D1168" s="7" t="s">
        <v>152</v>
      </c>
      <c r="E1168" s="7" t="s">
        <v>153</v>
      </c>
      <c r="F1168" s="7" t="s">
        <v>50</v>
      </c>
      <c r="G1168" s="7" t="s">
        <v>20</v>
      </c>
      <c r="H1168" s="9" t="n">
        <v>45977</v>
      </c>
      <c r="I1168" s="9" t="n">
        <v>46021</v>
      </c>
      <c r="J1168" s="7" t="n">
        <v>7.5</v>
      </c>
      <c r="K1168" s="7" t="s">
        <v>1392</v>
      </c>
      <c r="L1168" s="7" t="s">
        <v>22</v>
      </c>
      <c r="M1168" s="7" t="s">
        <v>1449</v>
      </c>
      <c r="N1168" s="7" t="s">
        <v>53</v>
      </c>
      <c r="O1168" s="10" t="n">
        <f aca="false">'Exec Summary'!$E$2-H1168</f>
        <v>257</v>
      </c>
      <c r="P1168" s="10" t="n">
        <f aca="false">IF(I1168="","",I1168-H1168)</f>
        <v>44</v>
      </c>
      <c r="Q1168" s="10" t="n">
        <f aca="false">VLOOKUP(G1168,$AA$2:$AB$5,2,FALSE())</f>
        <v>30</v>
      </c>
      <c r="R1168" s="7" t="n">
        <f aca="false">IF(OR(F1168="Open",F1168="Reopened"),1,0)</f>
        <v>0</v>
      </c>
      <c r="S1168" s="7" t="n">
        <f aca="false">IF(AND(H1168&gt;='Exec Summary'!$E$1,H1168&lt;='Exec Summary'!$E$2),1,0)</f>
        <v>0</v>
      </c>
      <c r="T1168" s="7" t="n">
        <f aca="false">IF(AND(F1168="Closed",I1168&lt;&gt;"",I1168&gt;='Exec Summary'!$E$1,I1168&lt;='Exec Summary'!$E$2),1,0)</f>
        <v>0</v>
      </c>
      <c r="U1168" s="7" t="n">
        <f aca="false">IF(F1168="Reopened",1,0)</f>
        <v>0</v>
      </c>
      <c r="V1168" s="7" t="n">
        <f aca="false">IF(AND(R1168=1,O1168&gt;Q1168),1,0)</f>
        <v>0</v>
      </c>
      <c r="W1168" s="7" t="n">
        <f aca="false">IF(AND(T1168=1,P1168&lt;&gt;"",P1168&lt;=Q1168),1,0)</f>
        <v>0</v>
      </c>
    </row>
    <row r="1169" customFormat="false" ht="15" hidden="false" customHeight="false" outlineLevel="0" collapsed="false">
      <c r="A1169" s="7" t="s">
        <v>1447</v>
      </c>
      <c r="B1169" s="7" t="s">
        <v>135</v>
      </c>
      <c r="C1169" s="7" t="s">
        <v>136</v>
      </c>
      <c r="D1169" s="7" t="s">
        <v>87</v>
      </c>
      <c r="E1169" s="7" t="s">
        <v>88</v>
      </c>
      <c r="F1169" s="7" t="s">
        <v>50</v>
      </c>
      <c r="G1169" s="7" t="s">
        <v>19</v>
      </c>
      <c r="H1169" s="9" t="n">
        <v>46082</v>
      </c>
      <c r="I1169" s="9" t="n">
        <v>46101</v>
      </c>
      <c r="J1169" s="7" t="n">
        <v>10</v>
      </c>
      <c r="K1169" s="7" t="s">
        <v>1392</v>
      </c>
      <c r="L1169" s="7" t="s">
        <v>22</v>
      </c>
      <c r="M1169" s="7" t="s">
        <v>1450</v>
      </c>
      <c r="N1169" s="7" t="s">
        <v>58</v>
      </c>
      <c r="O1169" s="10" t="n">
        <f aca="false">'Exec Summary'!$E$2-H1169</f>
        <v>152</v>
      </c>
      <c r="P1169" s="10" t="n">
        <f aca="false">IF(I1169="","",I1169-H1169)</f>
        <v>19</v>
      </c>
      <c r="Q1169" s="10" t="n">
        <f aca="false">VLOOKUP(G1169,$AA$2:$AB$5,2,FALSE())</f>
        <v>15</v>
      </c>
      <c r="R1169" s="7" t="n">
        <f aca="false">IF(OR(F1169="Open",F1169="Reopened"),1,0)</f>
        <v>0</v>
      </c>
      <c r="S1169" s="7" t="n">
        <f aca="false">IF(AND(H1169&gt;='Exec Summary'!$E$1,H1169&lt;='Exec Summary'!$E$2),1,0)</f>
        <v>0</v>
      </c>
      <c r="T1169" s="7" t="n">
        <f aca="false">IF(AND(F1169="Closed",I1169&lt;&gt;"",I1169&gt;='Exec Summary'!$E$1,I1169&lt;='Exec Summary'!$E$2),1,0)</f>
        <v>0</v>
      </c>
      <c r="U1169" s="7" t="n">
        <f aca="false">IF(F1169="Reopened",1,0)</f>
        <v>0</v>
      </c>
      <c r="V1169" s="7" t="n">
        <f aca="false">IF(AND(R1169=1,O1169&gt;Q1169),1,0)</f>
        <v>0</v>
      </c>
      <c r="W1169" s="7" t="n">
        <f aca="false">IF(AND(T1169=1,P1169&lt;&gt;"",P1169&lt;=Q1169),1,0)</f>
        <v>0</v>
      </c>
    </row>
    <row r="1170" customFormat="false" ht="15" hidden="false" customHeight="false" outlineLevel="0" collapsed="false">
      <c r="A1170" s="7" t="s">
        <v>1447</v>
      </c>
      <c r="B1170" s="7" t="s">
        <v>135</v>
      </c>
      <c r="C1170" s="7" t="s">
        <v>136</v>
      </c>
      <c r="D1170" s="7" t="s">
        <v>192</v>
      </c>
      <c r="E1170" s="7" t="s">
        <v>193</v>
      </c>
      <c r="F1170" s="7" t="s">
        <v>56</v>
      </c>
      <c r="G1170" s="7" t="s">
        <v>19</v>
      </c>
      <c r="H1170" s="9" t="n">
        <v>46049</v>
      </c>
      <c r="I1170" s="9"/>
      <c r="J1170" s="7" t="n">
        <v>9.8</v>
      </c>
      <c r="K1170" s="7" t="s">
        <v>1392</v>
      </c>
      <c r="L1170" s="7" t="s">
        <v>22</v>
      </c>
      <c r="M1170" s="7" t="s">
        <v>1451</v>
      </c>
      <c r="N1170" s="7" t="s">
        <v>58</v>
      </c>
      <c r="O1170" s="10" t="n">
        <f aca="false">'Exec Summary'!$E$2-H1170</f>
        <v>185</v>
      </c>
      <c r="P1170" s="10" t="str">
        <f aca="false">IF(I1170="","",I1170-H1170)</f>
        <v/>
      </c>
      <c r="Q1170" s="10" t="n">
        <f aca="false">VLOOKUP(G1170,$AA$2:$AB$5,2,FALSE())</f>
        <v>15</v>
      </c>
      <c r="R1170" s="7" t="n">
        <f aca="false">IF(OR(F1170="Open",F1170="Reopened"),1,0)</f>
        <v>1</v>
      </c>
      <c r="S1170" s="7" t="n">
        <f aca="false">IF(AND(H1170&gt;='Exec Summary'!$E$1,H1170&lt;='Exec Summary'!$E$2),1,0)</f>
        <v>0</v>
      </c>
      <c r="T1170" s="7" t="n">
        <f aca="false">IF(AND(F1170="Closed",I1170&lt;&gt;"",I1170&gt;='Exec Summary'!$E$1,I1170&lt;='Exec Summary'!$E$2),1,0)</f>
        <v>0</v>
      </c>
      <c r="U1170" s="7" t="n">
        <f aca="false">IF(F1170="Reopened",1,0)</f>
        <v>0</v>
      </c>
      <c r="V1170" s="7" t="n">
        <f aca="false">IF(AND(R1170=1,O1170&gt;Q1170),1,0)</f>
        <v>1</v>
      </c>
      <c r="W1170" s="7" t="n">
        <f aca="false">IF(AND(T1170=1,P1170&lt;&gt;"",P1170&lt;=Q1170),1,0)</f>
        <v>0</v>
      </c>
    </row>
    <row r="1171" customFormat="false" ht="15" hidden="false" customHeight="false" outlineLevel="0" collapsed="false">
      <c r="A1171" s="7" t="s">
        <v>1447</v>
      </c>
      <c r="B1171" s="7" t="s">
        <v>135</v>
      </c>
      <c r="C1171" s="7" t="s">
        <v>136</v>
      </c>
      <c r="D1171" s="7" t="s">
        <v>48</v>
      </c>
      <c r="E1171" s="7" t="s">
        <v>49</v>
      </c>
      <c r="F1171" s="7" t="s">
        <v>50</v>
      </c>
      <c r="G1171" s="7" t="s">
        <v>20</v>
      </c>
      <c r="H1171" s="9" t="n">
        <v>46057</v>
      </c>
      <c r="I1171" s="9" t="n">
        <v>46075</v>
      </c>
      <c r="J1171" s="7" t="n">
        <v>7.5</v>
      </c>
      <c r="K1171" s="7" t="s">
        <v>1392</v>
      </c>
      <c r="L1171" s="7" t="s">
        <v>22</v>
      </c>
      <c r="M1171" s="7" t="s">
        <v>1452</v>
      </c>
      <c r="N1171" s="7" t="s">
        <v>53</v>
      </c>
      <c r="O1171" s="10" t="n">
        <f aca="false">'Exec Summary'!$E$2-H1171</f>
        <v>177</v>
      </c>
      <c r="P1171" s="10" t="n">
        <f aca="false">IF(I1171="","",I1171-H1171)</f>
        <v>18</v>
      </c>
      <c r="Q1171" s="10" t="n">
        <f aca="false">VLOOKUP(G1171,$AA$2:$AB$5,2,FALSE())</f>
        <v>30</v>
      </c>
      <c r="R1171" s="7" t="n">
        <f aca="false">IF(OR(F1171="Open",F1171="Reopened"),1,0)</f>
        <v>0</v>
      </c>
      <c r="S1171" s="7" t="n">
        <f aca="false">IF(AND(H1171&gt;='Exec Summary'!$E$1,H1171&lt;='Exec Summary'!$E$2),1,0)</f>
        <v>0</v>
      </c>
      <c r="T1171" s="7" t="n">
        <f aca="false">IF(AND(F1171="Closed",I1171&lt;&gt;"",I1171&gt;='Exec Summary'!$E$1,I1171&lt;='Exec Summary'!$E$2),1,0)</f>
        <v>0</v>
      </c>
      <c r="U1171" s="7" t="n">
        <f aca="false">IF(F1171="Reopened",1,0)</f>
        <v>0</v>
      </c>
      <c r="V1171" s="7" t="n">
        <f aca="false">IF(AND(R1171=1,O1171&gt;Q1171),1,0)</f>
        <v>0</v>
      </c>
      <c r="W1171" s="7" t="n">
        <f aca="false">IF(AND(T1171=1,P1171&lt;&gt;"",P1171&lt;=Q1171),1,0)</f>
        <v>0</v>
      </c>
    </row>
    <row r="1172" customFormat="false" ht="15" hidden="false" customHeight="false" outlineLevel="0" collapsed="false">
      <c r="A1172" s="7" t="s">
        <v>1447</v>
      </c>
      <c r="B1172" s="7" t="s">
        <v>135</v>
      </c>
      <c r="C1172" s="7" t="s">
        <v>136</v>
      </c>
      <c r="D1172" s="7" t="s">
        <v>145</v>
      </c>
      <c r="E1172" s="7" t="s">
        <v>146</v>
      </c>
      <c r="F1172" s="7" t="s">
        <v>50</v>
      </c>
      <c r="G1172" s="7" t="s">
        <v>19</v>
      </c>
      <c r="H1172" s="9" t="n">
        <v>46075</v>
      </c>
      <c r="I1172" s="9" t="n">
        <v>46093</v>
      </c>
      <c r="J1172" s="7" t="n">
        <v>9.8</v>
      </c>
      <c r="K1172" s="7" t="s">
        <v>1392</v>
      </c>
      <c r="L1172" s="7" t="s">
        <v>22</v>
      </c>
      <c r="M1172" s="7" t="s">
        <v>1453</v>
      </c>
      <c r="N1172" s="7" t="s">
        <v>58</v>
      </c>
      <c r="O1172" s="10" t="n">
        <f aca="false">'Exec Summary'!$E$2-H1172</f>
        <v>159</v>
      </c>
      <c r="P1172" s="10" t="n">
        <f aca="false">IF(I1172="","",I1172-H1172)</f>
        <v>18</v>
      </c>
      <c r="Q1172" s="10" t="n">
        <f aca="false">VLOOKUP(G1172,$AA$2:$AB$5,2,FALSE())</f>
        <v>15</v>
      </c>
      <c r="R1172" s="7" t="n">
        <f aca="false">IF(OR(F1172="Open",F1172="Reopened"),1,0)</f>
        <v>0</v>
      </c>
      <c r="S1172" s="7" t="n">
        <f aca="false">IF(AND(H1172&gt;='Exec Summary'!$E$1,H1172&lt;='Exec Summary'!$E$2),1,0)</f>
        <v>0</v>
      </c>
      <c r="T1172" s="7" t="n">
        <f aca="false">IF(AND(F1172="Closed",I1172&lt;&gt;"",I1172&gt;='Exec Summary'!$E$1,I1172&lt;='Exec Summary'!$E$2),1,0)</f>
        <v>0</v>
      </c>
      <c r="U1172" s="7" t="n">
        <f aca="false">IF(F1172="Reopened",1,0)</f>
        <v>0</v>
      </c>
      <c r="V1172" s="7" t="n">
        <f aca="false">IF(AND(R1172=1,O1172&gt;Q1172),1,0)</f>
        <v>0</v>
      </c>
      <c r="W1172" s="7" t="n">
        <f aca="false">IF(AND(T1172=1,P1172&lt;&gt;"",P1172&lt;=Q1172),1,0)</f>
        <v>0</v>
      </c>
    </row>
    <row r="1173" customFormat="false" ht="15" hidden="false" customHeight="false" outlineLevel="0" collapsed="false">
      <c r="A1173" s="7" t="s">
        <v>1447</v>
      </c>
      <c r="B1173" s="7" t="s">
        <v>135</v>
      </c>
      <c r="C1173" s="7" t="s">
        <v>136</v>
      </c>
      <c r="D1173" s="7" t="s">
        <v>54</v>
      </c>
      <c r="E1173" s="7" t="s">
        <v>55</v>
      </c>
      <c r="F1173" s="7" t="s">
        <v>50</v>
      </c>
      <c r="G1173" s="7" t="s">
        <v>19</v>
      </c>
      <c r="H1173" s="9" t="n">
        <v>46108</v>
      </c>
      <c r="I1173" s="9" t="n">
        <v>46117</v>
      </c>
      <c r="J1173" s="7" t="n">
        <v>9.8</v>
      </c>
      <c r="K1173" s="7" t="s">
        <v>1392</v>
      </c>
      <c r="L1173" s="7" t="s">
        <v>22</v>
      </c>
      <c r="M1173" s="7" t="s">
        <v>1454</v>
      </c>
      <c r="N1173" s="7" t="s">
        <v>58</v>
      </c>
      <c r="O1173" s="10" t="n">
        <f aca="false">'Exec Summary'!$E$2-H1173</f>
        <v>126</v>
      </c>
      <c r="P1173" s="10" t="n">
        <f aca="false">IF(I1173="","",I1173-H1173)</f>
        <v>9</v>
      </c>
      <c r="Q1173" s="10" t="n">
        <f aca="false">VLOOKUP(G1173,$AA$2:$AB$5,2,FALSE())</f>
        <v>15</v>
      </c>
      <c r="R1173" s="7" t="n">
        <f aca="false">IF(OR(F1173="Open",F1173="Reopened"),1,0)</f>
        <v>0</v>
      </c>
      <c r="S1173" s="7" t="n">
        <f aca="false">IF(AND(H1173&gt;='Exec Summary'!$E$1,H1173&lt;='Exec Summary'!$E$2),1,0)</f>
        <v>0</v>
      </c>
      <c r="T1173" s="7" t="n">
        <f aca="false">IF(AND(F1173="Closed",I1173&lt;&gt;"",I1173&gt;='Exec Summary'!$E$1,I1173&lt;='Exec Summary'!$E$2),1,0)</f>
        <v>0</v>
      </c>
      <c r="U1173" s="7" t="n">
        <f aca="false">IF(F1173="Reopened",1,0)</f>
        <v>0</v>
      </c>
      <c r="V1173" s="7" t="n">
        <f aca="false">IF(AND(R1173=1,O1173&gt;Q1173),1,0)</f>
        <v>0</v>
      </c>
      <c r="W1173" s="7" t="n">
        <f aca="false">IF(AND(T1173=1,P1173&lt;&gt;"",P1173&lt;=Q1173),1,0)</f>
        <v>0</v>
      </c>
    </row>
    <row r="1174" customFormat="false" ht="15" hidden="false" customHeight="false" outlineLevel="0" collapsed="false">
      <c r="A1174" s="7" t="s">
        <v>1447</v>
      </c>
      <c r="B1174" s="7" t="s">
        <v>135</v>
      </c>
      <c r="C1174" s="7" t="s">
        <v>136</v>
      </c>
      <c r="D1174" s="7" t="s">
        <v>117</v>
      </c>
      <c r="E1174" s="7" t="s">
        <v>118</v>
      </c>
      <c r="F1174" s="7" t="s">
        <v>50</v>
      </c>
      <c r="G1174" s="7" t="s">
        <v>19</v>
      </c>
      <c r="H1174" s="9" t="n">
        <v>46083</v>
      </c>
      <c r="I1174" s="9" t="n">
        <v>46098</v>
      </c>
      <c r="J1174" s="7" t="n">
        <v>10</v>
      </c>
      <c r="K1174" s="7" t="s">
        <v>1392</v>
      </c>
      <c r="L1174" s="7" t="s">
        <v>22</v>
      </c>
      <c r="M1174" s="7" t="s">
        <v>1455</v>
      </c>
      <c r="N1174" s="7" t="s">
        <v>58</v>
      </c>
      <c r="O1174" s="10" t="n">
        <f aca="false">'Exec Summary'!$E$2-H1174</f>
        <v>151</v>
      </c>
      <c r="P1174" s="10" t="n">
        <f aca="false">IF(I1174="","",I1174-H1174)</f>
        <v>15</v>
      </c>
      <c r="Q1174" s="10" t="n">
        <f aca="false">VLOOKUP(G1174,$AA$2:$AB$5,2,FALSE())</f>
        <v>15</v>
      </c>
      <c r="R1174" s="7" t="n">
        <f aca="false">IF(OR(F1174="Open",F1174="Reopened"),1,0)</f>
        <v>0</v>
      </c>
      <c r="S1174" s="7" t="n">
        <f aca="false">IF(AND(H1174&gt;='Exec Summary'!$E$1,H1174&lt;='Exec Summary'!$E$2),1,0)</f>
        <v>0</v>
      </c>
      <c r="T1174" s="7" t="n">
        <f aca="false">IF(AND(F1174="Closed",I1174&lt;&gt;"",I1174&gt;='Exec Summary'!$E$1,I1174&lt;='Exec Summary'!$E$2),1,0)</f>
        <v>0</v>
      </c>
      <c r="U1174" s="7" t="n">
        <f aca="false">IF(F1174="Reopened",1,0)</f>
        <v>0</v>
      </c>
      <c r="V1174" s="7" t="n">
        <f aca="false">IF(AND(R1174=1,O1174&gt;Q1174),1,0)</f>
        <v>0</v>
      </c>
      <c r="W1174" s="7" t="n">
        <f aca="false">IF(AND(T1174=1,P1174&lt;&gt;"",P1174&lt;=Q1174),1,0)</f>
        <v>0</v>
      </c>
    </row>
    <row r="1175" customFormat="false" ht="15" hidden="false" customHeight="false" outlineLevel="0" collapsed="false">
      <c r="A1175" s="7" t="s">
        <v>1447</v>
      </c>
      <c r="B1175" s="7" t="s">
        <v>135</v>
      </c>
      <c r="C1175" s="7" t="s">
        <v>136</v>
      </c>
      <c r="D1175" s="7" t="s">
        <v>74</v>
      </c>
      <c r="E1175" s="7" t="s">
        <v>75</v>
      </c>
      <c r="F1175" s="7" t="s">
        <v>56</v>
      </c>
      <c r="G1175" s="7" t="s">
        <v>21</v>
      </c>
      <c r="H1175" s="9" t="n">
        <v>46033</v>
      </c>
      <c r="I1175" s="9"/>
      <c r="J1175" s="7" t="n">
        <v>6.5</v>
      </c>
      <c r="K1175" s="7" t="s">
        <v>1392</v>
      </c>
      <c r="L1175" s="7" t="s">
        <v>22</v>
      </c>
      <c r="M1175" s="7" t="s">
        <v>1456</v>
      </c>
      <c r="N1175" s="7" t="s">
        <v>77</v>
      </c>
      <c r="O1175" s="10" t="n">
        <f aca="false">'Exec Summary'!$E$2-H1175</f>
        <v>201</v>
      </c>
      <c r="P1175" s="10" t="str">
        <f aca="false">IF(I1175="","",I1175-H1175)</f>
        <v/>
      </c>
      <c r="Q1175" s="10" t="n">
        <f aca="false">VLOOKUP(G1175,$AA$2:$AB$5,2,FALSE())</f>
        <v>90</v>
      </c>
      <c r="R1175" s="7" t="n">
        <f aca="false">IF(OR(F1175="Open",F1175="Reopened"),1,0)</f>
        <v>1</v>
      </c>
      <c r="S1175" s="7" t="n">
        <f aca="false">IF(AND(H1175&gt;='Exec Summary'!$E$1,H1175&lt;='Exec Summary'!$E$2),1,0)</f>
        <v>0</v>
      </c>
      <c r="T1175" s="7" t="n">
        <f aca="false">IF(AND(F1175="Closed",I1175&lt;&gt;"",I1175&gt;='Exec Summary'!$E$1,I1175&lt;='Exec Summary'!$E$2),1,0)</f>
        <v>0</v>
      </c>
      <c r="U1175" s="7" t="n">
        <f aca="false">IF(F1175="Reopened",1,0)</f>
        <v>0</v>
      </c>
      <c r="V1175" s="7" t="n">
        <f aca="false">IF(AND(R1175=1,O1175&gt;Q1175),1,0)</f>
        <v>1</v>
      </c>
      <c r="W1175" s="7" t="n">
        <f aca="false">IF(AND(T1175=1,P1175&lt;&gt;"",P1175&lt;=Q1175),1,0)</f>
        <v>0</v>
      </c>
    </row>
    <row r="1176" customFormat="false" ht="15" hidden="false" customHeight="false" outlineLevel="0" collapsed="false">
      <c r="A1176" s="7" t="s">
        <v>1447</v>
      </c>
      <c r="B1176" s="7" t="s">
        <v>135</v>
      </c>
      <c r="C1176" s="7" t="s">
        <v>136</v>
      </c>
      <c r="D1176" s="7" t="s">
        <v>163</v>
      </c>
      <c r="E1176" s="7" t="s">
        <v>164</v>
      </c>
      <c r="F1176" s="7" t="s">
        <v>56</v>
      </c>
      <c r="G1176" s="7" t="s">
        <v>19</v>
      </c>
      <c r="H1176" s="9" t="n">
        <v>46095</v>
      </c>
      <c r="I1176" s="9"/>
      <c r="J1176" s="7" t="n">
        <v>9.1</v>
      </c>
      <c r="K1176" s="7" t="s">
        <v>1392</v>
      </c>
      <c r="L1176" s="7" t="s">
        <v>22</v>
      </c>
      <c r="M1176" s="7" t="s">
        <v>1457</v>
      </c>
      <c r="N1176" s="7" t="s">
        <v>58</v>
      </c>
      <c r="O1176" s="10" t="n">
        <f aca="false">'Exec Summary'!$E$2-H1176</f>
        <v>139</v>
      </c>
      <c r="P1176" s="10" t="str">
        <f aca="false">IF(I1176="","",I1176-H1176)</f>
        <v/>
      </c>
      <c r="Q1176" s="10" t="n">
        <f aca="false">VLOOKUP(G1176,$AA$2:$AB$5,2,FALSE())</f>
        <v>15</v>
      </c>
      <c r="R1176" s="7" t="n">
        <f aca="false">IF(OR(F1176="Open",F1176="Reopened"),1,0)</f>
        <v>1</v>
      </c>
      <c r="S1176" s="7" t="n">
        <f aca="false">IF(AND(H1176&gt;='Exec Summary'!$E$1,H1176&lt;='Exec Summary'!$E$2),1,0)</f>
        <v>0</v>
      </c>
      <c r="T1176" s="7" t="n">
        <f aca="false">IF(AND(F1176="Closed",I1176&lt;&gt;"",I1176&gt;='Exec Summary'!$E$1,I1176&lt;='Exec Summary'!$E$2),1,0)</f>
        <v>0</v>
      </c>
      <c r="U1176" s="7" t="n">
        <f aca="false">IF(F1176="Reopened",1,0)</f>
        <v>0</v>
      </c>
      <c r="V1176" s="7" t="n">
        <f aca="false">IF(AND(R1176=1,O1176&gt;Q1176),1,0)</f>
        <v>1</v>
      </c>
      <c r="W1176" s="7" t="n">
        <f aca="false">IF(AND(T1176=1,P1176&lt;&gt;"",P1176&lt;=Q1176),1,0)</f>
        <v>0</v>
      </c>
    </row>
    <row r="1177" customFormat="false" ht="15" hidden="false" customHeight="false" outlineLevel="0" collapsed="false">
      <c r="A1177" s="7" t="s">
        <v>1447</v>
      </c>
      <c r="B1177" s="7" t="s">
        <v>135</v>
      </c>
      <c r="C1177" s="7" t="s">
        <v>136</v>
      </c>
      <c r="D1177" s="7" t="s">
        <v>91</v>
      </c>
      <c r="E1177" s="7" t="s">
        <v>92</v>
      </c>
      <c r="F1177" s="7" t="s">
        <v>56</v>
      </c>
      <c r="G1177" s="7" t="s">
        <v>20</v>
      </c>
      <c r="H1177" s="9" t="n">
        <v>46136</v>
      </c>
      <c r="I1177" s="9"/>
      <c r="J1177" s="7" t="n">
        <v>8.1</v>
      </c>
      <c r="K1177" s="7" t="s">
        <v>1392</v>
      </c>
      <c r="L1177" s="7" t="s">
        <v>22</v>
      </c>
      <c r="M1177" s="7" t="s">
        <v>1458</v>
      </c>
      <c r="N1177" s="7" t="s">
        <v>53</v>
      </c>
      <c r="O1177" s="10" t="n">
        <f aca="false">'Exec Summary'!$E$2-H1177</f>
        <v>98</v>
      </c>
      <c r="P1177" s="10" t="str">
        <f aca="false">IF(I1177="","",I1177-H1177)</f>
        <v/>
      </c>
      <c r="Q1177" s="10" t="n">
        <f aca="false">VLOOKUP(G1177,$AA$2:$AB$5,2,FALSE())</f>
        <v>30</v>
      </c>
      <c r="R1177" s="7" t="n">
        <f aca="false">IF(OR(F1177="Open",F1177="Reopened"),1,0)</f>
        <v>1</v>
      </c>
      <c r="S1177" s="7" t="n">
        <f aca="false">IF(AND(H1177&gt;='Exec Summary'!$E$1,H1177&lt;='Exec Summary'!$E$2),1,0)</f>
        <v>0</v>
      </c>
      <c r="T1177" s="7" t="n">
        <f aca="false">IF(AND(F1177="Closed",I1177&lt;&gt;"",I1177&gt;='Exec Summary'!$E$1,I1177&lt;='Exec Summary'!$E$2),1,0)</f>
        <v>0</v>
      </c>
      <c r="U1177" s="7" t="n">
        <f aca="false">IF(F1177="Reopened",1,0)</f>
        <v>0</v>
      </c>
      <c r="V1177" s="7" t="n">
        <f aca="false">IF(AND(R1177=1,O1177&gt;Q1177),1,0)</f>
        <v>1</v>
      </c>
      <c r="W1177" s="7" t="n">
        <f aca="false">IF(AND(T1177=1,P1177&lt;&gt;"",P1177&lt;=Q1177),1,0)</f>
        <v>0</v>
      </c>
    </row>
    <row r="1178" customFormat="false" ht="15" hidden="false" customHeight="false" outlineLevel="0" collapsed="false">
      <c r="A1178" s="7" t="s">
        <v>1447</v>
      </c>
      <c r="B1178" s="7" t="s">
        <v>135</v>
      </c>
      <c r="C1178" s="7" t="s">
        <v>136</v>
      </c>
      <c r="D1178" s="7" t="s">
        <v>120</v>
      </c>
      <c r="E1178" s="7" t="s">
        <v>121</v>
      </c>
      <c r="F1178" s="7" t="s">
        <v>50</v>
      </c>
      <c r="G1178" s="7" t="s">
        <v>19</v>
      </c>
      <c r="H1178" s="9" t="n">
        <v>45986</v>
      </c>
      <c r="I1178" s="9" t="n">
        <v>45994</v>
      </c>
      <c r="J1178" s="7" t="n">
        <v>8.8</v>
      </c>
      <c r="K1178" s="7" t="s">
        <v>1392</v>
      </c>
      <c r="L1178" s="7" t="s">
        <v>22</v>
      </c>
      <c r="M1178" s="7" t="s">
        <v>1459</v>
      </c>
      <c r="N1178" s="7" t="s">
        <v>58</v>
      </c>
      <c r="O1178" s="10" t="n">
        <f aca="false">'Exec Summary'!$E$2-H1178</f>
        <v>248</v>
      </c>
      <c r="P1178" s="10" t="n">
        <f aca="false">IF(I1178="","",I1178-H1178)</f>
        <v>8</v>
      </c>
      <c r="Q1178" s="10" t="n">
        <f aca="false">VLOOKUP(G1178,$AA$2:$AB$5,2,FALSE())</f>
        <v>15</v>
      </c>
      <c r="R1178" s="7" t="n">
        <f aca="false">IF(OR(F1178="Open",F1178="Reopened"),1,0)</f>
        <v>0</v>
      </c>
      <c r="S1178" s="7" t="n">
        <f aca="false">IF(AND(H1178&gt;='Exec Summary'!$E$1,H1178&lt;='Exec Summary'!$E$2),1,0)</f>
        <v>0</v>
      </c>
      <c r="T1178" s="7" t="n">
        <f aca="false">IF(AND(F1178="Closed",I1178&lt;&gt;"",I1178&gt;='Exec Summary'!$E$1,I1178&lt;='Exec Summary'!$E$2),1,0)</f>
        <v>0</v>
      </c>
      <c r="U1178" s="7" t="n">
        <f aca="false">IF(F1178="Reopened",1,0)</f>
        <v>0</v>
      </c>
      <c r="V1178" s="7" t="n">
        <f aca="false">IF(AND(R1178=1,O1178&gt;Q1178),1,0)</f>
        <v>0</v>
      </c>
      <c r="W1178" s="7" t="n">
        <f aca="false">IF(AND(T1178=1,P1178&lt;&gt;"",P1178&lt;=Q1178),1,0)</f>
        <v>0</v>
      </c>
    </row>
    <row r="1179" customFormat="false" ht="15" hidden="false" customHeight="false" outlineLevel="0" collapsed="false">
      <c r="A1179" s="7" t="s">
        <v>1447</v>
      </c>
      <c r="B1179" s="7" t="s">
        <v>135</v>
      </c>
      <c r="C1179" s="7" t="s">
        <v>136</v>
      </c>
      <c r="D1179" s="7" t="s">
        <v>81</v>
      </c>
      <c r="E1179" s="7" t="s">
        <v>82</v>
      </c>
      <c r="F1179" s="7" t="s">
        <v>123</v>
      </c>
      <c r="G1179" s="7" t="s">
        <v>20</v>
      </c>
      <c r="H1179" s="9" t="n">
        <v>46203</v>
      </c>
      <c r="I1179" s="9" t="n">
        <v>46230</v>
      </c>
      <c r="J1179" s="7" t="n">
        <v>7.8</v>
      </c>
      <c r="K1179" s="7" t="s">
        <v>1392</v>
      </c>
      <c r="L1179" s="7" t="s">
        <v>22</v>
      </c>
      <c r="M1179" s="7" t="s">
        <v>1460</v>
      </c>
      <c r="N1179" s="7" t="s">
        <v>53</v>
      </c>
      <c r="O1179" s="10" t="n">
        <f aca="false">'Exec Summary'!$E$2-H1179</f>
        <v>31</v>
      </c>
      <c r="P1179" s="10" t="n">
        <f aca="false">IF(I1179="","",I1179-H1179)</f>
        <v>27</v>
      </c>
      <c r="Q1179" s="10" t="n">
        <f aca="false">VLOOKUP(G1179,$AA$2:$AB$5,2,FALSE())</f>
        <v>30</v>
      </c>
      <c r="R1179" s="7" t="n">
        <f aca="false">IF(OR(F1179="Open",F1179="Reopened"),1,0)</f>
        <v>1</v>
      </c>
      <c r="S1179" s="7" t="n">
        <f aca="false">IF(AND(H1179&gt;='Exec Summary'!$E$1,H1179&lt;='Exec Summary'!$E$2),1,0)</f>
        <v>0</v>
      </c>
      <c r="T1179" s="7" t="n">
        <f aca="false">IF(AND(F1179="Closed",I1179&lt;&gt;"",I1179&gt;='Exec Summary'!$E$1,I1179&lt;='Exec Summary'!$E$2),1,0)</f>
        <v>0</v>
      </c>
      <c r="U1179" s="7" t="n">
        <f aca="false">IF(F1179="Reopened",1,0)</f>
        <v>1</v>
      </c>
      <c r="V1179" s="7" t="n">
        <f aca="false">IF(AND(R1179=1,O1179&gt;Q1179),1,0)</f>
        <v>1</v>
      </c>
      <c r="W1179" s="7" t="n">
        <f aca="false">IF(AND(T1179=1,P1179&lt;&gt;"",P1179&lt;=Q1179),1,0)</f>
        <v>0</v>
      </c>
    </row>
    <row r="1180" customFormat="false" ht="15" hidden="false" customHeight="false" outlineLevel="0" collapsed="false">
      <c r="A1180" s="7" t="s">
        <v>1461</v>
      </c>
      <c r="B1180" s="7" t="s">
        <v>46</v>
      </c>
      <c r="C1180" s="7" t="s">
        <v>158</v>
      </c>
      <c r="D1180" s="7" t="s">
        <v>145</v>
      </c>
      <c r="E1180" s="7" t="s">
        <v>146</v>
      </c>
      <c r="F1180" s="7" t="s">
        <v>50</v>
      </c>
      <c r="G1180" s="7" t="s">
        <v>19</v>
      </c>
      <c r="H1180" s="9" t="n">
        <v>46049</v>
      </c>
      <c r="I1180" s="9" t="n">
        <v>46057</v>
      </c>
      <c r="J1180" s="7" t="n">
        <v>9.8</v>
      </c>
      <c r="K1180" s="7" t="s">
        <v>1392</v>
      </c>
      <c r="L1180" s="7" t="s">
        <v>21</v>
      </c>
      <c r="M1180" s="7" t="s">
        <v>1462</v>
      </c>
      <c r="N1180" s="7" t="s">
        <v>58</v>
      </c>
      <c r="O1180" s="10" t="n">
        <f aca="false">'Exec Summary'!$E$2-H1180</f>
        <v>185</v>
      </c>
      <c r="P1180" s="10" t="n">
        <f aca="false">IF(I1180="","",I1180-H1180)</f>
        <v>8</v>
      </c>
      <c r="Q1180" s="10" t="n">
        <f aca="false">VLOOKUP(G1180,$AA$2:$AB$5,2,FALSE())</f>
        <v>15</v>
      </c>
      <c r="R1180" s="7" t="n">
        <f aca="false">IF(OR(F1180="Open",F1180="Reopened"),1,0)</f>
        <v>0</v>
      </c>
      <c r="S1180" s="7" t="n">
        <f aca="false">IF(AND(H1180&gt;='Exec Summary'!$E$1,H1180&lt;='Exec Summary'!$E$2),1,0)</f>
        <v>0</v>
      </c>
      <c r="T1180" s="7" t="n">
        <f aca="false">IF(AND(F1180="Closed",I1180&lt;&gt;"",I1180&gt;='Exec Summary'!$E$1,I1180&lt;='Exec Summary'!$E$2),1,0)</f>
        <v>0</v>
      </c>
      <c r="U1180" s="7" t="n">
        <f aca="false">IF(F1180="Reopened",1,0)</f>
        <v>0</v>
      </c>
      <c r="V1180" s="7" t="n">
        <f aca="false">IF(AND(R1180=1,O1180&gt;Q1180),1,0)</f>
        <v>0</v>
      </c>
      <c r="W1180" s="7" t="n">
        <f aca="false">IF(AND(T1180=1,P1180&lt;&gt;"",P1180&lt;=Q1180),1,0)</f>
        <v>0</v>
      </c>
    </row>
    <row r="1181" customFormat="false" ht="15" hidden="false" customHeight="false" outlineLevel="0" collapsed="false">
      <c r="A1181" s="7" t="s">
        <v>1461</v>
      </c>
      <c r="B1181" s="7" t="s">
        <v>46</v>
      </c>
      <c r="C1181" s="7" t="s">
        <v>158</v>
      </c>
      <c r="D1181" s="7" t="s">
        <v>104</v>
      </c>
      <c r="E1181" s="7" t="s">
        <v>105</v>
      </c>
      <c r="F1181" s="7" t="s">
        <v>56</v>
      </c>
      <c r="G1181" s="7" t="s">
        <v>19</v>
      </c>
      <c r="H1181" s="9" t="n">
        <v>45973</v>
      </c>
      <c r="I1181" s="9"/>
      <c r="J1181" s="7" t="n">
        <v>9.8</v>
      </c>
      <c r="K1181" s="7" t="s">
        <v>1392</v>
      </c>
      <c r="L1181" s="7" t="s">
        <v>21</v>
      </c>
      <c r="M1181" s="7" t="s">
        <v>1463</v>
      </c>
      <c r="N1181" s="7" t="s">
        <v>58</v>
      </c>
      <c r="O1181" s="10" t="n">
        <f aca="false">'Exec Summary'!$E$2-H1181</f>
        <v>261</v>
      </c>
      <c r="P1181" s="10" t="str">
        <f aca="false">IF(I1181="","",I1181-H1181)</f>
        <v/>
      </c>
      <c r="Q1181" s="10" t="n">
        <f aca="false">VLOOKUP(G1181,$AA$2:$AB$5,2,FALSE())</f>
        <v>15</v>
      </c>
      <c r="R1181" s="7" t="n">
        <f aca="false">IF(OR(F1181="Open",F1181="Reopened"),1,0)</f>
        <v>1</v>
      </c>
      <c r="S1181" s="7" t="n">
        <f aca="false">IF(AND(H1181&gt;='Exec Summary'!$E$1,H1181&lt;='Exec Summary'!$E$2),1,0)</f>
        <v>0</v>
      </c>
      <c r="T1181" s="7" t="n">
        <f aca="false">IF(AND(F1181="Closed",I1181&lt;&gt;"",I1181&gt;='Exec Summary'!$E$1,I1181&lt;='Exec Summary'!$E$2),1,0)</f>
        <v>0</v>
      </c>
      <c r="U1181" s="7" t="n">
        <f aca="false">IF(F1181="Reopened",1,0)</f>
        <v>0</v>
      </c>
      <c r="V1181" s="7" t="n">
        <f aca="false">IF(AND(R1181=1,O1181&gt;Q1181),1,0)</f>
        <v>1</v>
      </c>
      <c r="W1181" s="7" t="n">
        <f aca="false">IF(AND(T1181=1,P1181&lt;&gt;"",P1181&lt;=Q1181),1,0)</f>
        <v>0</v>
      </c>
    </row>
    <row r="1182" customFormat="false" ht="15" hidden="false" customHeight="false" outlineLevel="0" collapsed="false">
      <c r="A1182" s="7" t="s">
        <v>1461</v>
      </c>
      <c r="B1182" s="7" t="s">
        <v>46</v>
      </c>
      <c r="C1182" s="7" t="s">
        <v>158</v>
      </c>
      <c r="D1182" s="7" t="s">
        <v>163</v>
      </c>
      <c r="E1182" s="7" t="s">
        <v>164</v>
      </c>
      <c r="F1182" s="7" t="s">
        <v>56</v>
      </c>
      <c r="G1182" s="7" t="s">
        <v>19</v>
      </c>
      <c r="H1182" s="9" t="n">
        <v>46188</v>
      </c>
      <c r="I1182" s="9"/>
      <c r="J1182" s="7" t="n">
        <v>9.1</v>
      </c>
      <c r="K1182" s="7" t="s">
        <v>1392</v>
      </c>
      <c r="L1182" s="7" t="s">
        <v>21</v>
      </c>
      <c r="M1182" s="7" t="s">
        <v>1464</v>
      </c>
      <c r="N1182" s="7" t="s">
        <v>58</v>
      </c>
      <c r="O1182" s="10" t="n">
        <f aca="false">'Exec Summary'!$E$2-H1182</f>
        <v>46</v>
      </c>
      <c r="P1182" s="10" t="str">
        <f aca="false">IF(I1182="","",I1182-H1182)</f>
        <v/>
      </c>
      <c r="Q1182" s="10" t="n">
        <f aca="false">VLOOKUP(G1182,$AA$2:$AB$5,2,FALSE())</f>
        <v>15</v>
      </c>
      <c r="R1182" s="7" t="n">
        <f aca="false">IF(OR(F1182="Open",F1182="Reopened"),1,0)</f>
        <v>1</v>
      </c>
      <c r="S1182" s="7" t="n">
        <f aca="false">IF(AND(H1182&gt;='Exec Summary'!$E$1,H1182&lt;='Exec Summary'!$E$2),1,0)</f>
        <v>0</v>
      </c>
      <c r="T1182" s="7" t="n">
        <f aca="false">IF(AND(F1182="Closed",I1182&lt;&gt;"",I1182&gt;='Exec Summary'!$E$1,I1182&lt;='Exec Summary'!$E$2),1,0)</f>
        <v>0</v>
      </c>
      <c r="U1182" s="7" t="n">
        <f aca="false">IF(F1182="Reopened",1,0)</f>
        <v>0</v>
      </c>
      <c r="V1182" s="7" t="n">
        <f aca="false">IF(AND(R1182=1,O1182&gt;Q1182),1,0)</f>
        <v>1</v>
      </c>
      <c r="W1182" s="7" t="n">
        <f aca="false">IF(AND(T1182=1,P1182&lt;&gt;"",P1182&lt;=Q1182),1,0)</f>
        <v>0</v>
      </c>
    </row>
    <row r="1183" customFormat="false" ht="15" hidden="false" customHeight="false" outlineLevel="0" collapsed="false">
      <c r="A1183" s="7" t="s">
        <v>1465</v>
      </c>
      <c r="B1183" s="7" t="s">
        <v>135</v>
      </c>
      <c r="C1183" s="7" t="s">
        <v>306</v>
      </c>
      <c r="D1183" s="7" t="s">
        <v>206</v>
      </c>
      <c r="E1183" s="7" t="s">
        <v>207</v>
      </c>
      <c r="F1183" s="7" t="s">
        <v>50</v>
      </c>
      <c r="G1183" s="7" t="s">
        <v>20</v>
      </c>
      <c r="H1183" s="9" t="n">
        <v>45988</v>
      </c>
      <c r="I1183" s="9" t="n">
        <v>45995</v>
      </c>
      <c r="J1183" s="7" t="n">
        <v>8.8</v>
      </c>
      <c r="K1183" s="7" t="s">
        <v>1392</v>
      </c>
      <c r="L1183" s="7" t="s">
        <v>21</v>
      </c>
      <c r="M1183" s="7" t="s">
        <v>1466</v>
      </c>
      <c r="N1183" s="7" t="s">
        <v>53</v>
      </c>
      <c r="O1183" s="10" t="n">
        <f aca="false">'Exec Summary'!$E$2-H1183</f>
        <v>246</v>
      </c>
      <c r="P1183" s="10" t="n">
        <f aca="false">IF(I1183="","",I1183-H1183)</f>
        <v>7</v>
      </c>
      <c r="Q1183" s="10" t="n">
        <f aca="false">VLOOKUP(G1183,$AA$2:$AB$5,2,FALSE())</f>
        <v>30</v>
      </c>
      <c r="R1183" s="7" t="n">
        <f aca="false">IF(OR(F1183="Open",F1183="Reopened"),1,0)</f>
        <v>0</v>
      </c>
      <c r="S1183" s="7" t="n">
        <f aca="false">IF(AND(H1183&gt;='Exec Summary'!$E$1,H1183&lt;='Exec Summary'!$E$2),1,0)</f>
        <v>0</v>
      </c>
      <c r="T1183" s="7" t="n">
        <f aca="false">IF(AND(F1183="Closed",I1183&lt;&gt;"",I1183&gt;='Exec Summary'!$E$1,I1183&lt;='Exec Summary'!$E$2),1,0)</f>
        <v>0</v>
      </c>
      <c r="U1183" s="7" t="n">
        <f aca="false">IF(F1183="Reopened",1,0)</f>
        <v>0</v>
      </c>
      <c r="V1183" s="7" t="n">
        <f aca="false">IF(AND(R1183=1,O1183&gt;Q1183),1,0)</f>
        <v>0</v>
      </c>
      <c r="W1183" s="7" t="n">
        <f aca="false">IF(AND(T1183=1,P1183&lt;&gt;"",P1183&lt;=Q1183),1,0)</f>
        <v>0</v>
      </c>
    </row>
    <row r="1184" customFormat="false" ht="15" hidden="false" customHeight="false" outlineLevel="0" collapsed="false">
      <c r="A1184" s="7" t="s">
        <v>1465</v>
      </c>
      <c r="B1184" s="7" t="s">
        <v>135</v>
      </c>
      <c r="C1184" s="7" t="s">
        <v>306</v>
      </c>
      <c r="D1184" s="7" t="s">
        <v>81</v>
      </c>
      <c r="E1184" s="7" t="s">
        <v>82</v>
      </c>
      <c r="F1184" s="7" t="s">
        <v>50</v>
      </c>
      <c r="G1184" s="7" t="s">
        <v>20</v>
      </c>
      <c r="H1184" s="9" t="n">
        <v>45940</v>
      </c>
      <c r="I1184" s="9" t="n">
        <v>45971</v>
      </c>
      <c r="J1184" s="7" t="n">
        <v>7.8</v>
      </c>
      <c r="K1184" s="7" t="s">
        <v>1392</v>
      </c>
      <c r="L1184" s="7" t="s">
        <v>21</v>
      </c>
      <c r="M1184" s="7" t="s">
        <v>1467</v>
      </c>
      <c r="N1184" s="7" t="s">
        <v>53</v>
      </c>
      <c r="O1184" s="10" t="n">
        <f aca="false">'Exec Summary'!$E$2-H1184</f>
        <v>294</v>
      </c>
      <c r="P1184" s="10" t="n">
        <f aca="false">IF(I1184="","",I1184-H1184)</f>
        <v>31</v>
      </c>
      <c r="Q1184" s="10" t="n">
        <f aca="false">VLOOKUP(G1184,$AA$2:$AB$5,2,FALSE())</f>
        <v>30</v>
      </c>
      <c r="R1184" s="7" t="n">
        <f aca="false">IF(OR(F1184="Open",F1184="Reopened"),1,0)</f>
        <v>0</v>
      </c>
      <c r="S1184" s="7" t="n">
        <f aca="false">IF(AND(H1184&gt;='Exec Summary'!$E$1,H1184&lt;='Exec Summary'!$E$2),1,0)</f>
        <v>0</v>
      </c>
      <c r="T1184" s="7" t="n">
        <f aca="false">IF(AND(F1184="Closed",I1184&lt;&gt;"",I1184&gt;='Exec Summary'!$E$1,I1184&lt;='Exec Summary'!$E$2),1,0)</f>
        <v>0</v>
      </c>
      <c r="U1184" s="7" t="n">
        <f aca="false">IF(F1184="Reopened",1,0)</f>
        <v>0</v>
      </c>
      <c r="V1184" s="7" t="n">
        <f aca="false">IF(AND(R1184=1,O1184&gt;Q1184),1,0)</f>
        <v>0</v>
      </c>
      <c r="W1184" s="7" t="n">
        <f aca="false">IF(AND(T1184=1,P1184&lt;&gt;"",P1184&lt;=Q1184),1,0)</f>
        <v>0</v>
      </c>
    </row>
    <row r="1185" customFormat="false" ht="15" hidden="false" customHeight="false" outlineLevel="0" collapsed="false">
      <c r="A1185" s="7" t="s">
        <v>1465</v>
      </c>
      <c r="B1185" s="7" t="s">
        <v>135</v>
      </c>
      <c r="C1185" s="7" t="s">
        <v>306</v>
      </c>
      <c r="D1185" s="7" t="s">
        <v>108</v>
      </c>
      <c r="E1185" s="7" t="s">
        <v>109</v>
      </c>
      <c r="F1185" s="7" t="s">
        <v>50</v>
      </c>
      <c r="G1185" s="7" t="s">
        <v>20</v>
      </c>
      <c r="H1185" s="9" t="n">
        <v>46188</v>
      </c>
      <c r="I1185" s="9" t="n">
        <v>46202</v>
      </c>
      <c r="J1185" s="7" t="n">
        <v>8.6</v>
      </c>
      <c r="K1185" s="7" t="s">
        <v>1392</v>
      </c>
      <c r="L1185" s="7" t="s">
        <v>21</v>
      </c>
      <c r="M1185" s="7" t="s">
        <v>1468</v>
      </c>
      <c r="N1185" s="7" t="s">
        <v>53</v>
      </c>
      <c r="O1185" s="10" t="n">
        <f aca="false">'Exec Summary'!$E$2-H1185</f>
        <v>46</v>
      </c>
      <c r="P1185" s="10" t="n">
        <f aca="false">IF(I1185="","",I1185-H1185)</f>
        <v>14</v>
      </c>
      <c r="Q1185" s="10" t="n">
        <f aca="false">VLOOKUP(G1185,$AA$2:$AB$5,2,FALSE())</f>
        <v>30</v>
      </c>
      <c r="R1185" s="7" t="n">
        <f aca="false">IF(OR(F1185="Open",F1185="Reopened"),1,0)</f>
        <v>0</v>
      </c>
      <c r="S1185" s="7" t="n">
        <f aca="false">IF(AND(H1185&gt;='Exec Summary'!$E$1,H1185&lt;='Exec Summary'!$E$2),1,0)</f>
        <v>0</v>
      </c>
      <c r="T1185" s="7" t="n">
        <f aca="false">IF(AND(F1185="Closed",I1185&lt;&gt;"",I1185&gt;='Exec Summary'!$E$1,I1185&lt;='Exec Summary'!$E$2),1,0)</f>
        <v>0</v>
      </c>
      <c r="U1185" s="7" t="n">
        <f aca="false">IF(F1185="Reopened",1,0)</f>
        <v>0</v>
      </c>
      <c r="V1185" s="7" t="n">
        <f aca="false">IF(AND(R1185=1,O1185&gt;Q1185),1,0)</f>
        <v>0</v>
      </c>
      <c r="W1185" s="7" t="n">
        <f aca="false">IF(AND(T1185=1,P1185&lt;&gt;"",P1185&lt;=Q1185),1,0)</f>
        <v>0</v>
      </c>
    </row>
    <row r="1186" customFormat="false" ht="15" hidden="false" customHeight="false" outlineLevel="0" collapsed="false">
      <c r="A1186" s="7" t="s">
        <v>1465</v>
      </c>
      <c r="B1186" s="7" t="s">
        <v>135</v>
      </c>
      <c r="C1186" s="7" t="s">
        <v>306</v>
      </c>
      <c r="D1186" s="7" t="s">
        <v>101</v>
      </c>
      <c r="E1186" s="7" t="s">
        <v>102</v>
      </c>
      <c r="F1186" s="7" t="s">
        <v>56</v>
      </c>
      <c r="G1186" s="7" t="s">
        <v>19</v>
      </c>
      <c r="H1186" s="9" t="n">
        <v>45935</v>
      </c>
      <c r="I1186" s="9"/>
      <c r="J1186" s="7" t="n">
        <v>10</v>
      </c>
      <c r="K1186" s="7" t="s">
        <v>1392</v>
      </c>
      <c r="L1186" s="7" t="s">
        <v>21</v>
      </c>
      <c r="M1186" s="7" t="s">
        <v>1469</v>
      </c>
      <c r="N1186" s="7" t="s">
        <v>58</v>
      </c>
      <c r="O1186" s="10" t="n">
        <f aca="false">'Exec Summary'!$E$2-H1186</f>
        <v>299</v>
      </c>
      <c r="P1186" s="10" t="str">
        <f aca="false">IF(I1186="","",I1186-H1186)</f>
        <v/>
      </c>
      <c r="Q1186" s="10" t="n">
        <f aca="false">VLOOKUP(G1186,$AA$2:$AB$5,2,FALSE())</f>
        <v>15</v>
      </c>
      <c r="R1186" s="7" t="n">
        <f aca="false">IF(OR(F1186="Open",F1186="Reopened"),1,0)</f>
        <v>1</v>
      </c>
      <c r="S1186" s="7" t="n">
        <f aca="false">IF(AND(H1186&gt;='Exec Summary'!$E$1,H1186&lt;='Exec Summary'!$E$2),1,0)</f>
        <v>0</v>
      </c>
      <c r="T1186" s="7" t="n">
        <f aca="false">IF(AND(F1186="Closed",I1186&lt;&gt;"",I1186&gt;='Exec Summary'!$E$1,I1186&lt;='Exec Summary'!$E$2),1,0)</f>
        <v>0</v>
      </c>
      <c r="U1186" s="7" t="n">
        <f aca="false">IF(F1186="Reopened",1,0)</f>
        <v>0</v>
      </c>
      <c r="V1186" s="7" t="n">
        <f aca="false">IF(AND(R1186=1,O1186&gt;Q1186),1,0)</f>
        <v>1</v>
      </c>
      <c r="W1186" s="7" t="n">
        <f aca="false">IF(AND(T1186=1,P1186&lt;&gt;"",P1186&lt;=Q1186),1,0)</f>
        <v>0</v>
      </c>
    </row>
    <row r="1187" customFormat="false" ht="15" hidden="false" customHeight="false" outlineLevel="0" collapsed="false">
      <c r="A1187" s="7" t="s">
        <v>1465</v>
      </c>
      <c r="B1187" s="7" t="s">
        <v>135</v>
      </c>
      <c r="C1187" s="7" t="s">
        <v>306</v>
      </c>
      <c r="D1187" s="7" t="s">
        <v>59</v>
      </c>
      <c r="E1187" s="7" t="s">
        <v>60</v>
      </c>
      <c r="F1187" s="7" t="s">
        <v>50</v>
      </c>
      <c r="G1187" s="7" t="s">
        <v>19</v>
      </c>
      <c r="H1187" s="9" t="n">
        <v>46134</v>
      </c>
      <c r="I1187" s="9" t="n">
        <v>46163</v>
      </c>
      <c r="J1187" s="7" t="n">
        <v>7.8</v>
      </c>
      <c r="K1187" s="7" t="s">
        <v>1392</v>
      </c>
      <c r="L1187" s="7" t="s">
        <v>21</v>
      </c>
      <c r="M1187" s="7" t="s">
        <v>1470</v>
      </c>
      <c r="N1187" s="7" t="s">
        <v>58</v>
      </c>
      <c r="O1187" s="10" t="n">
        <f aca="false">'Exec Summary'!$E$2-H1187</f>
        <v>100</v>
      </c>
      <c r="P1187" s="10" t="n">
        <f aca="false">IF(I1187="","",I1187-H1187)</f>
        <v>29</v>
      </c>
      <c r="Q1187" s="10" t="n">
        <f aca="false">VLOOKUP(G1187,$AA$2:$AB$5,2,FALSE())</f>
        <v>15</v>
      </c>
      <c r="R1187" s="7" t="n">
        <f aca="false">IF(OR(F1187="Open",F1187="Reopened"),1,0)</f>
        <v>0</v>
      </c>
      <c r="S1187" s="7" t="n">
        <f aca="false">IF(AND(H1187&gt;='Exec Summary'!$E$1,H1187&lt;='Exec Summary'!$E$2),1,0)</f>
        <v>0</v>
      </c>
      <c r="T1187" s="7" t="n">
        <f aca="false">IF(AND(F1187="Closed",I1187&lt;&gt;"",I1187&gt;='Exec Summary'!$E$1,I1187&lt;='Exec Summary'!$E$2),1,0)</f>
        <v>0</v>
      </c>
      <c r="U1187" s="7" t="n">
        <f aca="false">IF(F1187="Reopened",1,0)</f>
        <v>0</v>
      </c>
      <c r="V1187" s="7" t="n">
        <f aca="false">IF(AND(R1187=1,O1187&gt;Q1187),1,0)</f>
        <v>0</v>
      </c>
      <c r="W1187" s="7" t="n">
        <f aca="false">IF(AND(T1187=1,P1187&lt;&gt;"",P1187&lt;=Q1187),1,0)</f>
        <v>0</v>
      </c>
    </row>
    <row r="1188" customFormat="false" ht="15" hidden="false" customHeight="false" outlineLevel="0" collapsed="false">
      <c r="A1188" s="7" t="s">
        <v>1465</v>
      </c>
      <c r="B1188" s="7" t="s">
        <v>135</v>
      </c>
      <c r="C1188" s="7" t="s">
        <v>306</v>
      </c>
      <c r="D1188" s="7" t="s">
        <v>48</v>
      </c>
      <c r="E1188" s="7" t="s">
        <v>49</v>
      </c>
      <c r="F1188" s="7" t="s">
        <v>50</v>
      </c>
      <c r="G1188" s="7" t="s">
        <v>20</v>
      </c>
      <c r="H1188" s="9" t="n">
        <v>45963</v>
      </c>
      <c r="I1188" s="9" t="n">
        <v>45965</v>
      </c>
      <c r="J1188" s="7" t="n">
        <v>7.5</v>
      </c>
      <c r="K1188" s="7" t="s">
        <v>1392</v>
      </c>
      <c r="L1188" s="7" t="s">
        <v>21</v>
      </c>
      <c r="M1188" s="7" t="s">
        <v>1471</v>
      </c>
      <c r="N1188" s="7" t="s">
        <v>53</v>
      </c>
      <c r="O1188" s="10" t="n">
        <f aca="false">'Exec Summary'!$E$2-H1188</f>
        <v>271</v>
      </c>
      <c r="P1188" s="10" t="n">
        <f aca="false">IF(I1188="","",I1188-H1188)</f>
        <v>2</v>
      </c>
      <c r="Q1188" s="10" t="n">
        <f aca="false">VLOOKUP(G1188,$AA$2:$AB$5,2,FALSE())</f>
        <v>30</v>
      </c>
      <c r="R1188" s="7" t="n">
        <f aca="false">IF(OR(F1188="Open",F1188="Reopened"),1,0)</f>
        <v>0</v>
      </c>
      <c r="S1188" s="7" t="n">
        <f aca="false">IF(AND(H1188&gt;='Exec Summary'!$E$1,H1188&lt;='Exec Summary'!$E$2),1,0)</f>
        <v>0</v>
      </c>
      <c r="T1188" s="7" t="n">
        <f aca="false">IF(AND(F1188="Closed",I1188&lt;&gt;"",I1188&gt;='Exec Summary'!$E$1,I1188&lt;='Exec Summary'!$E$2),1,0)</f>
        <v>0</v>
      </c>
      <c r="U1188" s="7" t="n">
        <f aca="false">IF(F1188="Reopened",1,0)</f>
        <v>0</v>
      </c>
      <c r="V1188" s="7" t="n">
        <f aca="false">IF(AND(R1188=1,O1188&gt;Q1188),1,0)</f>
        <v>0</v>
      </c>
      <c r="W1188" s="7" t="n">
        <f aca="false">IF(AND(T1188=1,P1188&lt;&gt;"",P1188&lt;=Q1188),1,0)</f>
        <v>0</v>
      </c>
    </row>
    <row r="1189" customFormat="false" ht="15" hidden="false" customHeight="false" outlineLevel="0" collapsed="false">
      <c r="A1189" s="7" t="s">
        <v>1465</v>
      </c>
      <c r="B1189" s="7" t="s">
        <v>135</v>
      </c>
      <c r="C1189" s="7" t="s">
        <v>306</v>
      </c>
      <c r="D1189" s="7" t="s">
        <v>98</v>
      </c>
      <c r="E1189" s="7" t="s">
        <v>99</v>
      </c>
      <c r="F1189" s="7" t="s">
        <v>50</v>
      </c>
      <c r="G1189" s="7" t="s">
        <v>19</v>
      </c>
      <c r="H1189" s="9" t="n">
        <v>45989</v>
      </c>
      <c r="I1189" s="9" t="n">
        <v>45992</v>
      </c>
      <c r="J1189" s="7" t="n">
        <v>10</v>
      </c>
      <c r="K1189" s="7" t="s">
        <v>1392</v>
      </c>
      <c r="L1189" s="7" t="s">
        <v>21</v>
      </c>
      <c r="M1189" s="7" t="s">
        <v>1472</v>
      </c>
      <c r="N1189" s="7" t="s">
        <v>58</v>
      </c>
      <c r="O1189" s="10" t="n">
        <f aca="false">'Exec Summary'!$E$2-H1189</f>
        <v>245</v>
      </c>
      <c r="P1189" s="10" t="n">
        <f aca="false">IF(I1189="","",I1189-H1189)</f>
        <v>3</v>
      </c>
      <c r="Q1189" s="10" t="n">
        <f aca="false">VLOOKUP(G1189,$AA$2:$AB$5,2,FALSE())</f>
        <v>15</v>
      </c>
      <c r="R1189" s="7" t="n">
        <f aca="false">IF(OR(F1189="Open",F1189="Reopened"),1,0)</f>
        <v>0</v>
      </c>
      <c r="S1189" s="7" t="n">
        <f aca="false">IF(AND(H1189&gt;='Exec Summary'!$E$1,H1189&lt;='Exec Summary'!$E$2),1,0)</f>
        <v>0</v>
      </c>
      <c r="T1189" s="7" t="n">
        <f aca="false">IF(AND(F1189="Closed",I1189&lt;&gt;"",I1189&gt;='Exec Summary'!$E$1,I1189&lt;='Exec Summary'!$E$2),1,0)</f>
        <v>0</v>
      </c>
      <c r="U1189" s="7" t="n">
        <f aca="false">IF(F1189="Reopened",1,0)</f>
        <v>0</v>
      </c>
      <c r="V1189" s="7" t="n">
        <f aca="false">IF(AND(R1189=1,O1189&gt;Q1189),1,0)</f>
        <v>0</v>
      </c>
      <c r="W1189" s="7" t="n">
        <f aca="false">IF(AND(T1189=1,P1189&lt;&gt;"",P1189&lt;=Q1189),1,0)</f>
        <v>0</v>
      </c>
    </row>
    <row r="1190" customFormat="false" ht="15" hidden="false" customHeight="false" outlineLevel="0" collapsed="false">
      <c r="A1190" s="7" t="s">
        <v>1465</v>
      </c>
      <c r="B1190" s="7" t="s">
        <v>135</v>
      </c>
      <c r="C1190" s="7" t="s">
        <v>306</v>
      </c>
      <c r="D1190" s="7" t="s">
        <v>120</v>
      </c>
      <c r="E1190" s="7" t="s">
        <v>121</v>
      </c>
      <c r="F1190" s="7" t="s">
        <v>50</v>
      </c>
      <c r="G1190" s="7" t="s">
        <v>19</v>
      </c>
      <c r="H1190" s="9" t="n">
        <v>46205</v>
      </c>
      <c r="I1190" s="9" t="n">
        <v>46220</v>
      </c>
      <c r="J1190" s="7" t="n">
        <v>8.8</v>
      </c>
      <c r="K1190" s="7" t="s">
        <v>1392</v>
      </c>
      <c r="L1190" s="7" t="s">
        <v>21</v>
      </c>
      <c r="M1190" s="7" t="s">
        <v>1473</v>
      </c>
      <c r="N1190" s="7" t="s">
        <v>58</v>
      </c>
      <c r="O1190" s="10" t="n">
        <f aca="false">'Exec Summary'!$E$2-H1190</f>
        <v>29</v>
      </c>
      <c r="P1190" s="10" t="n">
        <f aca="false">IF(I1190="","",I1190-H1190)</f>
        <v>15</v>
      </c>
      <c r="Q1190" s="10" t="n">
        <f aca="false">VLOOKUP(G1190,$AA$2:$AB$5,2,FALSE())</f>
        <v>15</v>
      </c>
      <c r="R1190" s="7" t="n">
        <f aca="false">IF(OR(F1190="Open",F1190="Reopened"),1,0)</f>
        <v>0</v>
      </c>
      <c r="S1190" s="7" t="n">
        <f aca="false">IF(AND(H1190&gt;='Exec Summary'!$E$1,H1190&lt;='Exec Summary'!$E$2),1,0)</f>
        <v>1</v>
      </c>
      <c r="T1190" s="7" t="n">
        <f aca="false">IF(AND(F1190="Closed",I1190&lt;&gt;"",I1190&gt;='Exec Summary'!$E$1,I1190&lt;='Exec Summary'!$E$2),1,0)</f>
        <v>1</v>
      </c>
      <c r="U1190" s="7" t="n">
        <f aca="false">IF(F1190="Reopened",1,0)</f>
        <v>0</v>
      </c>
      <c r="V1190" s="7" t="n">
        <f aca="false">IF(AND(R1190=1,O1190&gt;Q1190),1,0)</f>
        <v>0</v>
      </c>
      <c r="W1190" s="7" t="n">
        <f aca="false">IF(AND(T1190=1,P1190&lt;&gt;"",P1190&lt;=Q1190),1,0)</f>
        <v>1</v>
      </c>
    </row>
    <row r="1191" customFormat="false" ht="15" hidden="false" customHeight="false" outlineLevel="0" collapsed="false">
      <c r="A1191" s="7" t="s">
        <v>1465</v>
      </c>
      <c r="B1191" s="7" t="s">
        <v>135</v>
      </c>
      <c r="C1191" s="7" t="s">
        <v>306</v>
      </c>
      <c r="D1191" s="7" t="s">
        <v>173</v>
      </c>
      <c r="E1191" s="7" t="s">
        <v>174</v>
      </c>
      <c r="F1191" s="7" t="s">
        <v>50</v>
      </c>
      <c r="G1191" s="7" t="s">
        <v>19</v>
      </c>
      <c r="H1191" s="9" t="n">
        <v>46033</v>
      </c>
      <c r="I1191" s="9" t="n">
        <v>46036</v>
      </c>
      <c r="J1191" s="7" t="n">
        <v>9.8</v>
      </c>
      <c r="K1191" s="7" t="s">
        <v>1392</v>
      </c>
      <c r="L1191" s="7" t="s">
        <v>21</v>
      </c>
      <c r="M1191" s="7" t="s">
        <v>1474</v>
      </c>
      <c r="N1191" s="7" t="s">
        <v>58</v>
      </c>
      <c r="O1191" s="10" t="n">
        <f aca="false">'Exec Summary'!$E$2-H1191</f>
        <v>201</v>
      </c>
      <c r="P1191" s="10" t="n">
        <f aca="false">IF(I1191="","",I1191-H1191)</f>
        <v>3</v>
      </c>
      <c r="Q1191" s="10" t="n">
        <f aca="false">VLOOKUP(G1191,$AA$2:$AB$5,2,FALSE())</f>
        <v>15</v>
      </c>
      <c r="R1191" s="7" t="n">
        <f aca="false">IF(OR(F1191="Open",F1191="Reopened"),1,0)</f>
        <v>0</v>
      </c>
      <c r="S1191" s="7" t="n">
        <f aca="false">IF(AND(H1191&gt;='Exec Summary'!$E$1,H1191&lt;='Exec Summary'!$E$2),1,0)</f>
        <v>0</v>
      </c>
      <c r="T1191" s="7" t="n">
        <f aca="false">IF(AND(F1191="Closed",I1191&lt;&gt;"",I1191&gt;='Exec Summary'!$E$1,I1191&lt;='Exec Summary'!$E$2),1,0)</f>
        <v>0</v>
      </c>
      <c r="U1191" s="7" t="n">
        <f aca="false">IF(F1191="Reopened",1,0)</f>
        <v>0</v>
      </c>
      <c r="V1191" s="7" t="n">
        <f aca="false">IF(AND(R1191=1,O1191&gt;Q1191),1,0)</f>
        <v>0</v>
      </c>
      <c r="W1191" s="7" t="n">
        <f aca="false">IF(AND(T1191=1,P1191&lt;&gt;"",P1191&lt;=Q1191),1,0)</f>
        <v>0</v>
      </c>
    </row>
    <row r="1192" customFormat="false" ht="15" hidden="false" customHeight="false" outlineLevel="0" collapsed="false">
      <c r="A1192" s="7" t="s">
        <v>1475</v>
      </c>
      <c r="B1192" s="7" t="s">
        <v>46</v>
      </c>
      <c r="C1192" s="7" t="s">
        <v>79</v>
      </c>
      <c r="D1192" s="7" t="s">
        <v>163</v>
      </c>
      <c r="E1192" s="7" t="s">
        <v>164</v>
      </c>
      <c r="F1192" s="7" t="s">
        <v>123</v>
      </c>
      <c r="G1192" s="7" t="s">
        <v>19</v>
      </c>
      <c r="H1192" s="9" t="n">
        <v>46084</v>
      </c>
      <c r="I1192" s="9" t="n">
        <v>46085</v>
      </c>
      <c r="J1192" s="7" t="n">
        <v>9.1</v>
      </c>
      <c r="K1192" s="7" t="s">
        <v>1392</v>
      </c>
      <c r="L1192" s="7" t="s">
        <v>21</v>
      </c>
      <c r="M1192" s="7" t="s">
        <v>1476</v>
      </c>
      <c r="N1192" s="7" t="s">
        <v>58</v>
      </c>
      <c r="O1192" s="10" t="n">
        <f aca="false">'Exec Summary'!$E$2-H1192</f>
        <v>150</v>
      </c>
      <c r="P1192" s="10" t="n">
        <f aca="false">IF(I1192="","",I1192-H1192)</f>
        <v>1</v>
      </c>
      <c r="Q1192" s="10" t="n">
        <f aca="false">VLOOKUP(G1192,$AA$2:$AB$5,2,FALSE())</f>
        <v>15</v>
      </c>
      <c r="R1192" s="7" t="n">
        <f aca="false">IF(OR(F1192="Open",F1192="Reopened"),1,0)</f>
        <v>1</v>
      </c>
      <c r="S1192" s="7" t="n">
        <f aca="false">IF(AND(H1192&gt;='Exec Summary'!$E$1,H1192&lt;='Exec Summary'!$E$2),1,0)</f>
        <v>0</v>
      </c>
      <c r="T1192" s="7" t="n">
        <f aca="false">IF(AND(F1192="Closed",I1192&lt;&gt;"",I1192&gt;='Exec Summary'!$E$1,I1192&lt;='Exec Summary'!$E$2),1,0)</f>
        <v>0</v>
      </c>
      <c r="U1192" s="7" t="n">
        <f aca="false">IF(F1192="Reopened",1,0)</f>
        <v>1</v>
      </c>
      <c r="V1192" s="7" t="n">
        <f aca="false">IF(AND(R1192=1,O1192&gt;Q1192),1,0)</f>
        <v>1</v>
      </c>
      <c r="W1192" s="7" t="n">
        <f aca="false">IF(AND(T1192=1,P1192&lt;&gt;"",P1192&lt;=Q1192),1,0)</f>
        <v>0</v>
      </c>
    </row>
    <row r="1193" customFormat="false" ht="15" hidden="false" customHeight="false" outlineLevel="0" collapsed="false">
      <c r="A1193" s="7" t="s">
        <v>1475</v>
      </c>
      <c r="B1193" s="7" t="s">
        <v>46</v>
      </c>
      <c r="C1193" s="7" t="s">
        <v>79</v>
      </c>
      <c r="D1193" s="7" t="s">
        <v>62</v>
      </c>
      <c r="E1193" s="7" t="s">
        <v>63</v>
      </c>
      <c r="F1193" s="7" t="s">
        <v>56</v>
      </c>
      <c r="G1193" s="7" t="s">
        <v>20</v>
      </c>
      <c r="H1193" s="9" t="n">
        <v>45944</v>
      </c>
      <c r="I1193" s="9"/>
      <c r="J1193" s="7" t="n">
        <v>8.1</v>
      </c>
      <c r="K1193" s="7" t="s">
        <v>1392</v>
      </c>
      <c r="L1193" s="7" t="s">
        <v>21</v>
      </c>
      <c r="M1193" s="7" t="s">
        <v>1477</v>
      </c>
      <c r="N1193" s="7" t="s">
        <v>53</v>
      </c>
      <c r="O1193" s="10" t="n">
        <f aca="false">'Exec Summary'!$E$2-H1193</f>
        <v>290</v>
      </c>
      <c r="P1193" s="10" t="str">
        <f aca="false">IF(I1193="","",I1193-H1193)</f>
        <v/>
      </c>
      <c r="Q1193" s="10" t="n">
        <f aca="false">VLOOKUP(G1193,$AA$2:$AB$5,2,FALSE())</f>
        <v>30</v>
      </c>
      <c r="R1193" s="7" t="n">
        <f aca="false">IF(OR(F1193="Open",F1193="Reopened"),1,0)</f>
        <v>1</v>
      </c>
      <c r="S1193" s="7" t="n">
        <f aca="false">IF(AND(H1193&gt;='Exec Summary'!$E$1,H1193&lt;='Exec Summary'!$E$2),1,0)</f>
        <v>0</v>
      </c>
      <c r="T1193" s="7" t="n">
        <f aca="false">IF(AND(F1193="Closed",I1193&lt;&gt;"",I1193&gt;='Exec Summary'!$E$1,I1193&lt;='Exec Summary'!$E$2),1,0)</f>
        <v>0</v>
      </c>
      <c r="U1193" s="7" t="n">
        <f aca="false">IF(F1193="Reopened",1,0)</f>
        <v>0</v>
      </c>
      <c r="V1193" s="7" t="n">
        <f aca="false">IF(AND(R1193=1,O1193&gt;Q1193),1,0)</f>
        <v>1</v>
      </c>
      <c r="W1193" s="7" t="n">
        <f aca="false">IF(AND(T1193=1,P1193&lt;&gt;"",P1193&lt;=Q1193),1,0)</f>
        <v>0</v>
      </c>
    </row>
    <row r="1194" customFormat="false" ht="15" hidden="false" customHeight="false" outlineLevel="0" collapsed="false">
      <c r="A1194" s="7" t="s">
        <v>1475</v>
      </c>
      <c r="B1194" s="7" t="s">
        <v>46</v>
      </c>
      <c r="C1194" s="7" t="s">
        <v>79</v>
      </c>
      <c r="D1194" s="7" t="s">
        <v>84</v>
      </c>
      <c r="E1194" s="7" t="s">
        <v>85</v>
      </c>
      <c r="F1194" s="7" t="s">
        <v>50</v>
      </c>
      <c r="G1194" s="7" t="s">
        <v>20</v>
      </c>
      <c r="H1194" s="9" t="n">
        <v>46055</v>
      </c>
      <c r="I1194" s="9" t="n">
        <v>46070</v>
      </c>
      <c r="J1194" s="7" t="n">
        <v>7.5</v>
      </c>
      <c r="K1194" s="7" t="s">
        <v>1392</v>
      </c>
      <c r="L1194" s="7" t="s">
        <v>21</v>
      </c>
      <c r="M1194" s="7" t="s">
        <v>1478</v>
      </c>
      <c r="N1194" s="7" t="s">
        <v>53</v>
      </c>
      <c r="O1194" s="10" t="n">
        <f aca="false">'Exec Summary'!$E$2-H1194</f>
        <v>179</v>
      </c>
      <c r="P1194" s="10" t="n">
        <f aca="false">IF(I1194="","",I1194-H1194)</f>
        <v>15</v>
      </c>
      <c r="Q1194" s="10" t="n">
        <f aca="false">VLOOKUP(G1194,$AA$2:$AB$5,2,FALSE())</f>
        <v>30</v>
      </c>
      <c r="R1194" s="7" t="n">
        <f aca="false">IF(OR(F1194="Open",F1194="Reopened"),1,0)</f>
        <v>0</v>
      </c>
      <c r="S1194" s="7" t="n">
        <f aca="false">IF(AND(H1194&gt;='Exec Summary'!$E$1,H1194&lt;='Exec Summary'!$E$2),1,0)</f>
        <v>0</v>
      </c>
      <c r="T1194" s="7" t="n">
        <f aca="false">IF(AND(F1194="Closed",I1194&lt;&gt;"",I1194&gt;='Exec Summary'!$E$1,I1194&lt;='Exec Summary'!$E$2),1,0)</f>
        <v>0</v>
      </c>
      <c r="U1194" s="7" t="n">
        <f aca="false">IF(F1194="Reopened",1,0)</f>
        <v>0</v>
      </c>
      <c r="V1194" s="7" t="n">
        <f aca="false">IF(AND(R1194=1,O1194&gt;Q1194),1,0)</f>
        <v>0</v>
      </c>
      <c r="W1194" s="7" t="n">
        <f aca="false">IF(AND(T1194=1,P1194&lt;&gt;"",P1194&lt;=Q1194),1,0)</f>
        <v>0</v>
      </c>
    </row>
    <row r="1195" customFormat="false" ht="15" hidden="false" customHeight="false" outlineLevel="0" collapsed="false">
      <c r="A1195" s="7" t="s">
        <v>1475</v>
      </c>
      <c r="B1195" s="7" t="s">
        <v>46</v>
      </c>
      <c r="C1195" s="7" t="s">
        <v>79</v>
      </c>
      <c r="D1195" s="7" t="s">
        <v>81</v>
      </c>
      <c r="E1195" s="7" t="s">
        <v>82</v>
      </c>
      <c r="F1195" s="7" t="s">
        <v>50</v>
      </c>
      <c r="G1195" s="7" t="s">
        <v>20</v>
      </c>
      <c r="H1195" s="9" t="n">
        <v>45957</v>
      </c>
      <c r="I1195" s="9" t="n">
        <v>45997</v>
      </c>
      <c r="J1195" s="7" t="n">
        <v>7.8</v>
      </c>
      <c r="K1195" s="7" t="s">
        <v>1392</v>
      </c>
      <c r="L1195" s="7" t="s">
        <v>21</v>
      </c>
      <c r="M1195" s="7" t="s">
        <v>1479</v>
      </c>
      <c r="N1195" s="7" t="s">
        <v>53</v>
      </c>
      <c r="O1195" s="10" t="n">
        <f aca="false">'Exec Summary'!$E$2-H1195</f>
        <v>277</v>
      </c>
      <c r="P1195" s="10" t="n">
        <f aca="false">IF(I1195="","",I1195-H1195)</f>
        <v>40</v>
      </c>
      <c r="Q1195" s="10" t="n">
        <f aca="false">VLOOKUP(G1195,$AA$2:$AB$5,2,FALSE())</f>
        <v>30</v>
      </c>
      <c r="R1195" s="7" t="n">
        <f aca="false">IF(OR(F1195="Open",F1195="Reopened"),1,0)</f>
        <v>0</v>
      </c>
      <c r="S1195" s="7" t="n">
        <f aca="false">IF(AND(H1195&gt;='Exec Summary'!$E$1,H1195&lt;='Exec Summary'!$E$2),1,0)</f>
        <v>0</v>
      </c>
      <c r="T1195" s="7" t="n">
        <f aca="false">IF(AND(F1195="Closed",I1195&lt;&gt;"",I1195&gt;='Exec Summary'!$E$1,I1195&lt;='Exec Summary'!$E$2),1,0)</f>
        <v>0</v>
      </c>
      <c r="U1195" s="7" t="n">
        <f aca="false">IF(F1195="Reopened",1,0)</f>
        <v>0</v>
      </c>
      <c r="V1195" s="7" t="n">
        <f aca="false">IF(AND(R1195=1,O1195&gt;Q1195),1,0)</f>
        <v>0</v>
      </c>
      <c r="W1195" s="7" t="n">
        <f aca="false">IF(AND(T1195=1,P1195&lt;&gt;"",P1195&lt;=Q1195),1,0)</f>
        <v>0</v>
      </c>
    </row>
    <row r="1196" customFormat="false" ht="15" hidden="false" customHeight="false" outlineLevel="0" collapsed="false">
      <c r="A1196" s="7" t="s">
        <v>1475</v>
      </c>
      <c r="B1196" s="7" t="s">
        <v>46</v>
      </c>
      <c r="C1196" s="7" t="s">
        <v>79</v>
      </c>
      <c r="D1196" s="7" t="s">
        <v>95</v>
      </c>
      <c r="E1196" s="7" t="s">
        <v>96</v>
      </c>
      <c r="F1196" s="7" t="s">
        <v>56</v>
      </c>
      <c r="G1196" s="7" t="s">
        <v>20</v>
      </c>
      <c r="H1196" s="9" t="n">
        <v>45955</v>
      </c>
      <c r="I1196" s="9"/>
      <c r="J1196" s="7" t="n">
        <v>8.8</v>
      </c>
      <c r="K1196" s="7" t="s">
        <v>1392</v>
      </c>
      <c r="L1196" s="7" t="s">
        <v>21</v>
      </c>
      <c r="M1196" s="7" t="s">
        <v>1480</v>
      </c>
      <c r="N1196" s="7" t="s">
        <v>53</v>
      </c>
      <c r="O1196" s="10" t="n">
        <f aca="false">'Exec Summary'!$E$2-H1196</f>
        <v>279</v>
      </c>
      <c r="P1196" s="10" t="str">
        <f aca="false">IF(I1196="","",I1196-H1196)</f>
        <v/>
      </c>
      <c r="Q1196" s="10" t="n">
        <f aca="false">VLOOKUP(G1196,$AA$2:$AB$5,2,FALSE())</f>
        <v>30</v>
      </c>
      <c r="R1196" s="7" t="n">
        <f aca="false">IF(OR(F1196="Open",F1196="Reopened"),1,0)</f>
        <v>1</v>
      </c>
      <c r="S1196" s="7" t="n">
        <f aca="false">IF(AND(H1196&gt;='Exec Summary'!$E$1,H1196&lt;='Exec Summary'!$E$2),1,0)</f>
        <v>0</v>
      </c>
      <c r="T1196" s="7" t="n">
        <f aca="false">IF(AND(F1196="Closed",I1196&lt;&gt;"",I1196&gt;='Exec Summary'!$E$1,I1196&lt;='Exec Summary'!$E$2),1,0)</f>
        <v>0</v>
      </c>
      <c r="U1196" s="7" t="n">
        <f aca="false">IF(F1196="Reopened",1,0)</f>
        <v>0</v>
      </c>
      <c r="V1196" s="7" t="n">
        <f aca="false">IF(AND(R1196=1,O1196&gt;Q1196),1,0)</f>
        <v>1</v>
      </c>
      <c r="W1196" s="7" t="n">
        <f aca="false">IF(AND(T1196=1,P1196&lt;&gt;"",P1196&lt;=Q1196),1,0)</f>
        <v>0</v>
      </c>
    </row>
    <row r="1197" customFormat="false" ht="15" hidden="false" customHeight="false" outlineLevel="0" collapsed="false">
      <c r="A1197" s="7" t="s">
        <v>1475</v>
      </c>
      <c r="B1197" s="7" t="s">
        <v>46</v>
      </c>
      <c r="C1197" s="7" t="s">
        <v>79</v>
      </c>
      <c r="D1197" s="7" t="s">
        <v>192</v>
      </c>
      <c r="E1197" s="7" t="s">
        <v>193</v>
      </c>
      <c r="F1197" s="7" t="s">
        <v>56</v>
      </c>
      <c r="G1197" s="7" t="s">
        <v>19</v>
      </c>
      <c r="H1197" s="9" t="n">
        <v>46200</v>
      </c>
      <c r="I1197" s="9"/>
      <c r="J1197" s="7" t="n">
        <v>9.8</v>
      </c>
      <c r="K1197" s="7" t="s">
        <v>1392</v>
      </c>
      <c r="L1197" s="7" t="s">
        <v>21</v>
      </c>
      <c r="M1197" s="7" t="s">
        <v>1481</v>
      </c>
      <c r="N1197" s="7" t="s">
        <v>58</v>
      </c>
      <c r="O1197" s="10" t="n">
        <f aca="false">'Exec Summary'!$E$2-H1197</f>
        <v>34</v>
      </c>
      <c r="P1197" s="10" t="str">
        <f aca="false">IF(I1197="","",I1197-H1197)</f>
        <v/>
      </c>
      <c r="Q1197" s="10" t="n">
        <f aca="false">VLOOKUP(G1197,$AA$2:$AB$5,2,FALSE())</f>
        <v>15</v>
      </c>
      <c r="R1197" s="7" t="n">
        <f aca="false">IF(OR(F1197="Open",F1197="Reopened"),1,0)</f>
        <v>1</v>
      </c>
      <c r="S1197" s="7" t="n">
        <f aca="false">IF(AND(H1197&gt;='Exec Summary'!$E$1,H1197&lt;='Exec Summary'!$E$2),1,0)</f>
        <v>0</v>
      </c>
      <c r="T1197" s="7" t="n">
        <f aca="false">IF(AND(F1197="Closed",I1197&lt;&gt;"",I1197&gt;='Exec Summary'!$E$1,I1197&lt;='Exec Summary'!$E$2),1,0)</f>
        <v>0</v>
      </c>
      <c r="U1197" s="7" t="n">
        <f aca="false">IF(F1197="Reopened",1,0)</f>
        <v>0</v>
      </c>
      <c r="V1197" s="7" t="n">
        <f aca="false">IF(AND(R1197=1,O1197&gt;Q1197),1,0)</f>
        <v>1</v>
      </c>
      <c r="W1197" s="7" t="n">
        <f aca="false">IF(AND(T1197=1,P1197&lt;&gt;"",P1197&lt;=Q1197),1,0)</f>
        <v>0</v>
      </c>
    </row>
    <row r="1198" customFormat="false" ht="15" hidden="false" customHeight="false" outlineLevel="0" collapsed="false">
      <c r="A1198" s="7" t="s">
        <v>1482</v>
      </c>
      <c r="B1198" s="7" t="s">
        <v>46</v>
      </c>
      <c r="C1198" s="7" t="s">
        <v>79</v>
      </c>
      <c r="D1198" s="7" t="s">
        <v>117</v>
      </c>
      <c r="E1198" s="7" t="s">
        <v>118</v>
      </c>
      <c r="F1198" s="7" t="s">
        <v>56</v>
      </c>
      <c r="G1198" s="7" t="s">
        <v>19</v>
      </c>
      <c r="H1198" s="9" t="n">
        <v>46098</v>
      </c>
      <c r="I1198" s="9"/>
      <c r="J1198" s="7" t="n">
        <v>10</v>
      </c>
      <c r="K1198" s="7" t="s">
        <v>1392</v>
      </c>
      <c r="L1198" s="7" t="s">
        <v>21</v>
      </c>
      <c r="M1198" s="7" t="s">
        <v>1483</v>
      </c>
      <c r="N1198" s="7" t="s">
        <v>58</v>
      </c>
      <c r="O1198" s="10" t="n">
        <f aca="false">'Exec Summary'!$E$2-H1198</f>
        <v>136</v>
      </c>
      <c r="P1198" s="10" t="str">
        <f aca="false">IF(I1198="","",I1198-H1198)</f>
        <v/>
      </c>
      <c r="Q1198" s="10" t="n">
        <f aca="false">VLOOKUP(G1198,$AA$2:$AB$5,2,FALSE())</f>
        <v>15</v>
      </c>
      <c r="R1198" s="7" t="n">
        <f aca="false">IF(OR(F1198="Open",F1198="Reopened"),1,0)</f>
        <v>1</v>
      </c>
      <c r="S1198" s="7" t="n">
        <f aca="false">IF(AND(H1198&gt;='Exec Summary'!$E$1,H1198&lt;='Exec Summary'!$E$2),1,0)</f>
        <v>0</v>
      </c>
      <c r="T1198" s="7" t="n">
        <f aca="false">IF(AND(F1198="Closed",I1198&lt;&gt;"",I1198&gt;='Exec Summary'!$E$1,I1198&lt;='Exec Summary'!$E$2),1,0)</f>
        <v>0</v>
      </c>
      <c r="U1198" s="7" t="n">
        <f aca="false">IF(F1198="Reopened",1,0)</f>
        <v>0</v>
      </c>
      <c r="V1198" s="7" t="n">
        <f aca="false">IF(AND(R1198=1,O1198&gt;Q1198),1,0)</f>
        <v>1</v>
      </c>
      <c r="W1198" s="7" t="n">
        <f aca="false">IF(AND(T1198=1,P1198&lt;&gt;"",P1198&lt;=Q1198),1,0)</f>
        <v>0</v>
      </c>
    </row>
    <row r="1199" customFormat="false" ht="15" hidden="false" customHeight="false" outlineLevel="0" collapsed="false">
      <c r="A1199" s="7" t="s">
        <v>1482</v>
      </c>
      <c r="B1199" s="7" t="s">
        <v>46</v>
      </c>
      <c r="C1199" s="7" t="s">
        <v>79</v>
      </c>
      <c r="D1199" s="7" t="s">
        <v>112</v>
      </c>
      <c r="E1199" s="7" t="s">
        <v>113</v>
      </c>
      <c r="F1199" s="7" t="s">
        <v>56</v>
      </c>
      <c r="G1199" s="7" t="s">
        <v>20</v>
      </c>
      <c r="H1199" s="9" t="n">
        <v>45985</v>
      </c>
      <c r="I1199" s="9"/>
      <c r="J1199" s="7" t="n">
        <v>7.8</v>
      </c>
      <c r="K1199" s="7" t="s">
        <v>1392</v>
      </c>
      <c r="L1199" s="7" t="s">
        <v>21</v>
      </c>
      <c r="M1199" s="7" t="s">
        <v>1484</v>
      </c>
      <c r="N1199" s="7" t="s">
        <v>53</v>
      </c>
      <c r="O1199" s="10" t="n">
        <f aca="false">'Exec Summary'!$E$2-H1199</f>
        <v>249</v>
      </c>
      <c r="P1199" s="10" t="str">
        <f aca="false">IF(I1199="","",I1199-H1199)</f>
        <v/>
      </c>
      <c r="Q1199" s="10" t="n">
        <f aca="false">VLOOKUP(G1199,$AA$2:$AB$5,2,FALSE())</f>
        <v>30</v>
      </c>
      <c r="R1199" s="7" t="n">
        <f aca="false">IF(OR(F1199="Open",F1199="Reopened"),1,0)</f>
        <v>1</v>
      </c>
      <c r="S1199" s="7" t="n">
        <f aca="false">IF(AND(H1199&gt;='Exec Summary'!$E$1,H1199&lt;='Exec Summary'!$E$2),1,0)</f>
        <v>0</v>
      </c>
      <c r="T1199" s="7" t="n">
        <f aca="false">IF(AND(F1199="Closed",I1199&lt;&gt;"",I1199&gt;='Exec Summary'!$E$1,I1199&lt;='Exec Summary'!$E$2),1,0)</f>
        <v>0</v>
      </c>
      <c r="U1199" s="7" t="n">
        <f aca="false">IF(F1199="Reopened",1,0)</f>
        <v>0</v>
      </c>
      <c r="V1199" s="7" t="n">
        <f aca="false">IF(AND(R1199=1,O1199&gt;Q1199),1,0)</f>
        <v>1</v>
      </c>
      <c r="W1199" s="7" t="n">
        <f aca="false">IF(AND(T1199=1,P1199&lt;&gt;"",P1199&lt;=Q1199),1,0)</f>
        <v>0</v>
      </c>
    </row>
    <row r="1200" customFormat="false" ht="15" hidden="false" customHeight="false" outlineLevel="0" collapsed="false">
      <c r="A1200" s="7" t="s">
        <v>1482</v>
      </c>
      <c r="B1200" s="7" t="s">
        <v>46</v>
      </c>
      <c r="C1200" s="7" t="s">
        <v>79</v>
      </c>
      <c r="D1200" s="7" t="s">
        <v>84</v>
      </c>
      <c r="E1200" s="7" t="s">
        <v>85</v>
      </c>
      <c r="F1200" s="7" t="s">
        <v>56</v>
      </c>
      <c r="G1200" s="7" t="s">
        <v>20</v>
      </c>
      <c r="H1200" s="9" t="n">
        <v>46064</v>
      </c>
      <c r="I1200" s="9"/>
      <c r="J1200" s="7" t="n">
        <v>7.5</v>
      </c>
      <c r="K1200" s="7" t="s">
        <v>1392</v>
      </c>
      <c r="L1200" s="7" t="s">
        <v>21</v>
      </c>
      <c r="M1200" s="7" t="s">
        <v>1485</v>
      </c>
      <c r="N1200" s="7" t="s">
        <v>53</v>
      </c>
      <c r="O1200" s="10" t="n">
        <f aca="false">'Exec Summary'!$E$2-H1200</f>
        <v>170</v>
      </c>
      <c r="P1200" s="10" t="str">
        <f aca="false">IF(I1200="","",I1200-H1200)</f>
        <v/>
      </c>
      <c r="Q1200" s="10" t="n">
        <f aca="false">VLOOKUP(G1200,$AA$2:$AB$5,2,FALSE())</f>
        <v>30</v>
      </c>
      <c r="R1200" s="7" t="n">
        <f aca="false">IF(OR(F1200="Open",F1200="Reopened"),1,0)</f>
        <v>1</v>
      </c>
      <c r="S1200" s="7" t="n">
        <f aca="false">IF(AND(H1200&gt;='Exec Summary'!$E$1,H1200&lt;='Exec Summary'!$E$2),1,0)</f>
        <v>0</v>
      </c>
      <c r="T1200" s="7" t="n">
        <f aca="false">IF(AND(F1200="Closed",I1200&lt;&gt;"",I1200&gt;='Exec Summary'!$E$1,I1200&lt;='Exec Summary'!$E$2),1,0)</f>
        <v>0</v>
      </c>
      <c r="U1200" s="7" t="n">
        <f aca="false">IF(F1200="Reopened",1,0)</f>
        <v>0</v>
      </c>
      <c r="V1200" s="7" t="n">
        <f aca="false">IF(AND(R1200=1,O1200&gt;Q1200),1,0)</f>
        <v>1</v>
      </c>
      <c r="W1200" s="7" t="n">
        <f aca="false">IF(AND(T1200=1,P1200&lt;&gt;"",P1200&lt;=Q1200),1,0)</f>
        <v>0</v>
      </c>
    </row>
    <row r="1201" customFormat="false" ht="15" hidden="false" customHeight="false" outlineLevel="0" collapsed="false">
      <c r="A1201" s="7" t="s">
        <v>1486</v>
      </c>
      <c r="B1201" s="7" t="s">
        <v>46</v>
      </c>
      <c r="C1201" s="7" t="s">
        <v>177</v>
      </c>
      <c r="D1201" s="7" t="s">
        <v>139</v>
      </c>
      <c r="E1201" s="7" t="s">
        <v>140</v>
      </c>
      <c r="F1201" s="7" t="s">
        <v>50</v>
      </c>
      <c r="G1201" s="7" t="s">
        <v>19</v>
      </c>
      <c r="H1201" s="9" t="n">
        <v>46182</v>
      </c>
      <c r="I1201" s="9" t="n">
        <v>46199</v>
      </c>
      <c r="J1201" s="7" t="n">
        <v>9.8</v>
      </c>
      <c r="K1201" s="7" t="s">
        <v>1392</v>
      </c>
      <c r="L1201" s="7" t="s">
        <v>21</v>
      </c>
      <c r="M1201" s="7" t="s">
        <v>1487</v>
      </c>
      <c r="N1201" s="7" t="s">
        <v>58</v>
      </c>
      <c r="O1201" s="10" t="n">
        <f aca="false">'Exec Summary'!$E$2-H1201</f>
        <v>52</v>
      </c>
      <c r="P1201" s="10" t="n">
        <f aca="false">IF(I1201="","",I1201-H1201)</f>
        <v>17</v>
      </c>
      <c r="Q1201" s="10" t="n">
        <f aca="false">VLOOKUP(G1201,$AA$2:$AB$5,2,FALSE())</f>
        <v>15</v>
      </c>
      <c r="R1201" s="7" t="n">
        <f aca="false">IF(OR(F1201="Open",F1201="Reopened"),1,0)</f>
        <v>0</v>
      </c>
      <c r="S1201" s="7" t="n">
        <f aca="false">IF(AND(H1201&gt;='Exec Summary'!$E$1,H1201&lt;='Exec Summary'!$E$2),1,0)</f>
        <v>0</v>
      </c>
      <c r="T1201" s="7" t="n">
        <f aca="false">IF(AND(F1201="Closed",I1201&lt;&gt;"",I1201&gt;='Exec Summary'!$E$1,I1201&lt;='Exec Summary'!$E$2),1,0)</f>
        <v>0</v>
      </c>
      <c r="U1201" s="7" t="n">
        <f aca="false">IF(F1201="Reopened",1,0)</f>
        <v>0</v>
      </c>
      <c r="V1201" s="7" t="n">
        <f aca="false">IF(AND(R1201=1,O1201&gt;Q1201),1,0)</f>
        <v>0</v>
      </c>
      <c r="W1201" s="7" t="n">
        <f aca="false">IF(AND(T1201=1,P1201&lt;&gt;"",P1201&lt;=Q1201),1,0)</f>
        <v>0</v>
      </c>
    </row>
    <row r="1202" customFormat="false" ht="15" hidden="false" customHeight="false" outlineLevel="0" collapsed="false">
      <c r="A1202" s="7" t="s">
        <v>1486</v>
      </c>
      <c r="B1202" s="7" t="s">
        <v>46</v>
      </c>
      <c r="C1202" s="7" t="s">
        <v>177</v>
      </c>
      <c r="D1202" s="7" t="s">
        <v>104</v>
      </c>
      <c r="E1202" s="7" t="s">
        <v>105</v>
      </c>
      <c r="F1202" s="7" t="s">
        <v>56</v>
      </c>
      <c r="G1202" s="7" t="s">
        <v>19</v>
      </c>
      <c r="H1202" s="9" t="n">
        <v>46041</v>
      </c>
      <c r="I1202" s="9"/>
      <c r="J1202" s="7" t="n">
        <v>9.8</v>
      </c>
      <c r="K1202" s="7" t="s">
        <v>1392</v>
      </c>
      <c r="L1202" s="7" t="s">
        <v>21</v>
      </c>
      <c r="M1202" s="7" t="s">
        <v>1488</v>
      </c>
      <c r="N1202" s="7" t="s">
        <v>58</v>
      </c>
      <c r="O1202" s="10" t="n">
        <f aca="false">'Exec Summary'!$E$2-H1202</f>
        <v>193</v>
      </c>
      <c r="P1202" s="10" t="str">
        <f aca="false">IF(I1202="","",I1202-H1202)</f>
        <v/>
      </c>
      <c r="Q1202" s="10" t="n">
        <f aca="false">VLOOKUP(G1202,$AA$2:$AB$5,2,FALSE())</f>
        <v>15</v>
      </c>
      <c r="R1202" s="7" t="n">
        <f aca="false">IF(OR(F1202="Open",F1202="Reopened"),1,0)</f>
        <v>1</v>
      </c>
      <c r="S1202" s="7" t="n">
        <f aca="false">IF(AND(H1202&gt;='Exec Summary'!$E$1,H1202&lt;='Exec Summary'!$E$2),1,0)</f>
        <v>0</v>
      </c>
      <c r="T1202" s="7" t="n">
        <f aca="false">IF(AND(F1202="Closed",I1202&lt;&gt;"",I1202&gt;='Exec Summary'!$E$1,I1202&lt;='Exec Summary'!$E$2),1,0)</f>
        <v>0</v>
      </c>
      <c r="U1202" s="7" t="n">
        <f aca="false">IF(F1202="Reopened",1,0)</f>
        <v>0</v>
      </c>
      <c r="V1202" s="7" t="n">
        <f aca="false">IF(AND(R1202=1,O1202&gt;Q1202),1,0)</f>
        <v>1</v>
      </c>
      <c r="W1202" s="7" t="n">
        <f aca="false">IF(AND(T1202=1,P1202&lt;&gt;"",P1202&lt;=Q1202),1,0)</f>
        <v>0</v>
      </c>
    </row>
    <row r="1203" customFormat="false" ht="15" hidden="false" customHeight="false" outlineLevel="0" collapsed="false">
      <c r="A1203" s="7" t="s">
        <v>1489</v>
      </c>
      <c r="B1203" s="7" t="s">
        <v>46</v>
      </c>
      <c r="C1203" s="7" t="s">
        <v>158</v>
      </c>
      <c r="D1203" s="7" t="s">
        <v>112</v>
      </c>
      <c r="E1203" s="7" t="s">
        <v>113</v>
      </c>
      <c r="F1203" s="7" t="s">
        <v>50</v>
      </c>
      <c r="G1203" s="7" t="s">
        <v>20</v>
      </c>
      <c r="H1203" s="9" t="n">
        <v>46204</v>
      </c>
      <c r="I1203" s="9" t="n">
        <v>46234</v>
      </c>
      <c r="J1203" s="7" t="n">
        <v>7.8</v>
      </c>
      <c r="K1203" s="7" t="s">
        <v>1392</v>
      </c>
      <c r="L1203" s="7" t="s">
        <v>21</v>
      </c>
      <c r="M1203" s="7" t="s">
        <v>1490</v>
      </c>
      <c r="N1203" s="7" t="s">
        <v>53</v>
      </c>
      <c r="O1203" s="10" t="n">
        <f aca="false">'Exec Summary'!$E$2-H1203</f>
        <v>30</v>
      </c>
      <c r="P1203" s="10" t="n">
        <f aca="false">IF(I1203="","",I1203-H1203)</f>
        <v>30</v>
      </c>
      <c r="Q1203" s="10" t="n">
        <f aca="false">VLOOKUP(G1203,$AA$2:$AB$5,2,FALSE())</f>
        <v>30</v>
      </c>
      <c r="R1203" s="7" t="n">
        <f aca="false">IF(OR(F1203="Open",F1203="Reopened"),1,0)</f>
        <v>0</v>
      </c>
      <c r="S1203" s="7" t="n">
        <f aca="false">IF(AND(H1203&gt;='Exec Summary'!$E$1,H1203&lt;='Exec Summary'!$E$2),1,0)</f>
        <v>1</v>
      </c>
      <c r="T1203" s="7" t="n">
        <f aca="false">IF(AND(F1203="Closed",I1203&lt;&gt;"",I1203&gt;='Exec Summary'!$E$1,I1203&lt;='Exec Summary'!$E$2),1,0)</f>
        <v>1</v>
      </c>
      <c r="U1203" s="7" t="n">
        <f aca="false">IF(F1203="Reopened",1,0)</f>
        <v>0</v>
      </c>
      <c r="V1203" s="7" t="n">
        <f aca="false">IF(AND(R1203=1,O1203&gt;Q1203),1,0)</f>
        <v>0</v>
      </c>
      <c r="W1203" s="7" t="n">
        <f aca="false">IF(AND(T1203=1,P1203&lt;&gt;"",P1203&lt;=Q1203),1,0)</f>
        <v>1</v>
      </c>
    </row>
    <row r="1204" customFormat="false" ht="15" hidden="false" customHeight="false" outlineLevel="0" collapsed="false">
      <c r="A1204" s="7" t="s">
        <v>1489</v>
      </c>
      <c r="B1204" s="7" t="s">
        <v>46</v>
      </c>
      <c r="C1204" s="7" t="s">
        <v>158</v>
      </c>
      <c r="D1204" s="7" t="s">
        <v>152</v>
      </c>
      <c r="E1204" s="7" t="s">
        <v>153</v>
      </c>
      <c r="F1204" s="7" t="s">
        <v>50</v>
      </c>
      <c r="G1204" s="7" t="s">
        <v>20</v>
      </c>
      <c r="H1204" s="9" t="n">
        <v>45961</v>
      </c>
      <c r="I1204" s="9" t="n">
        <v>45986</v>
      </c>
      <c r="J1204" s="7" t="n">
        <v>7.5</v>
      </c>
      <c r="K1204" s="7" t="s">
        <v>1392</v>
      </c>
      <c r="L1204" s="7" t="s">
        <v>21</v>
      </c>
      <c r="M1204" s="7" t="s">
        <v>1491</v>
      </c>
      <c r="N1204" s="7" t="s">
        <v>53</v>
      </c>
      <c r="O1204" s="10" t="n">
        <f aca="false">'Exec Summary'!$E$2-H1204</f>
        <v>273</v>
      </c>
      <c r="P1204" s="10" t="n">
        <f aca="false">IF(I1204="","",I1204-H1204)</f>
        <v>25</v>
      </c>
      <c r="Q1204" s="10" t="n">
        <f aca="false">VLOOKUP(G1204,$AA$2:$AB$5,2,FALSE())</f>
        <v>30</v>
      </c>
      <c r="R1204" s="7" t="n">
        <f aca="false">IF(OR(F1204="Open",F1204="Reopened"),1,0)</f>
        <v>0</v>
      </c>
      <c r="S1204" s="7" t="n">
        <f aca="false">IF(AND(H1204&gt;='Exec Summary'!$E$1,H1204&lt;='Exec Summary'!$E$2),1,0)</f>
        <v>0</v>
      </c>
      <c r="T1204" s="7" t="n">
        <f aca="false">IF(AND(F1204="Closed",I1204&lt;&gt;"",I1204&gt;='Exec Summary'!$E$1,I1204&lt;='Exec Summary'!$E$2),1,0)</f>
        <v>0</v>
      </c>
      <c r="U1204" s="7" t="n">
        <f aca="false">IF(F1204="Reopened",1,0)</f>
        <v>0</v>
      </c>
      <c r="V1204" s="7" t="n">
        <f aca="false">IF(AND(R1204=1,O1204&gt;Q1204),1,0)</f>
        <v>0</v>
      </c>
      <c r="W1204" s="7" t="n">
        <f aca="false">IF(AND(T1204=1,P1204&lt;&gt;"",P1204&lt;=Q1204),1,0)</f>
        <v>0</v>
      </c>
    </row>
    <row r="1205" customFormat="false" ht="15" hidden="false" customHeight="false" outlineLevel="0" collapsed="false">
      <c r="A1205" s="7" t="s">
        <v>1489</v>
      </c>
      <c r="B1205" s="7" t="s">
        <v>46</v>
      </c>
      <c r="C1205" s="7" t="s">
        <v>158</v>
      </c>
      <c r="D1205" s="7" t="s">
        <v>98</v>
      </c>
      <c r="E1205" s="7" t="s">
        <v>99</v>
      </c>
      <c r="F1205" s="7" t="s">
        <v>123</v>
      </c>
      <c r="G1205" s="7" t="s">
        <v>19</v>
      </c>
      <c r="H1205" s="9" t="n">
        <v>45958</v>
      </c>
      <c r="I1205" s="9" t="n">
        <v>45978</v>
      </c>
      <c r="J1205" s="7" t="n">
        <v>10</v>
      </c>
      <c r="K1205" s="7" t="s">
        <v>1392</v>
      </c>
      <c r="L1205" s="7" t="s">
        <v>21</v>
      </c>
      <c r="M1205" s="7" t="s">
        <v>1492</v>
      </c>
      <c r="N1205" s="7" t="s">
        <v>58</v>
      </c>
      <c r="O1205" s="10" t="n">
        <f aca="false">'Exec Summary'!$E$2-H1205</f>
        <v>276</v>
      </c>
      <c r="P1205" s="10" t="n">
        <f aca="false">IF(I1205="","",I1205-H1205)</f>
        <v>20</v>
      </c>
      <c r="Q1205" s="10" t="n">
        <f aca="false">VLOOKUP(G1205,$AA$2:$AB$5,2,FALSE())</f>
        <v>15</v>
      </c>
      <c r="R1205" s="7" t="n">
        <f aca="false">IF(OR(F1205="Open",F1205="Reopened"),1,0)</f>
        <v>1</v>
      </c>
      <c r="S1205" s="7" t="n">
        <f aca="false">IF(AND(H1205&gt;='Exec Summary'!$E$1,H1205&lt;='Exec Summary'!$E$2),1,0)</f>
        <v>0</v>
      </c>
      <c r="T1205" s="7" t="n">
        <f aca="false">IF(AND(F1205="Closed",I1205&lt;&gt;"",I1205&gt;='Exec Summary'!$E$1,I1205&lt;='Exec Summary'!$E$2),1,0)</f>
        <v>0</v>
      </c>
      <c r="U1205" s="7" t="n">
        <f aca="false">IF(F1205="Reopened",1,0)</f>
        <v>1</v>
      </c>
      <c r="V1205" s="7" t="n">
        <f aca="false">IF(AND(R1205=1,O1205&gt;Q1205),1,0)</f>
        <v>1</v>
      </c>
      <c r="W1205" s="7" t="n">
        <f aca="false">IF(AND(T1205=1,P1205&lt;&gt;"",P1205&lt;=Q1205),1,0)</f>
        <v>0</v>
      </c>
    </row>
    <row r="1206" customFormat="false" ht="15" hidden="false" customHeight="false" outlineLevel="0" collapsed="false">
      <c r="A1206" s="7" t="s">
        <v>1489</v>
      </c>
      <c r="B1206" s="7" t="s">
        <v>46</v>
      </c>
      <c r="C1206" s="7" t="s">
        <v>158</v>
      </c>
      <c r="D1206" s="7" t="s">
        <v>163</v>
      </c>
      <c r="E1206" s="7" t="s">
        <v>164</v>
      </c>
      <c r="F1206" s="7" t="s">
        <v>50</v>
      </c>
      <c r="G1206" s="7" t="s">
        <v>19</v>
      </c>
      <c r="H1206" s="9" t="n">
        <v>46080</v>
      </c>
      <c r="I1206" s="9" t="n">
        <v>46090</v>
      </c>
      <c r="J1206" s="7" t="n">
        <v>9.1</v>
      </c>
      <c r="K1206" s="7" t="s">
        <v>1392</v>
      </c>
      <c r="L1206" s="7" t="s">
        <v>21</v>
      </c>
      <c r="M1206" s="7" t="s">
        <v>1493</v>
      </c>
      <c r="N1206" s="7" t="s">
        <v>58</v>
      </c>
      <c r="O1206" s="10" t="n">
        <f aca="false">'Exec Summary'!$E$2-H1206</f>
        <v>154</v>
      </c>
      <c r="P1206" s="10" t="n">
        <f aca="false">IF(I1206="","",I1206-H1206)</f>
        <v>10</v>
      </c>
      <c r="Q1206" s="10" t="n">
        <f aca="false">VLOOKUP(G1206,$AA$2:$AB$5,2,FALSE())</f>
        <v>15</v>
      </c>
      <c r="R1206" s="7" t="n">
        <f aca="false">IF(OR(F1206="Open",F1206="Reopened"),1,0)</f>
        <v>0</v>
      </c>
      <c r="S1206" s="7" t="n">
        <f aca="false">IF(AND(H1206&gt;='Exec Summary'!$E$1,H1206&lt;='Exec Summary'!$E$2),1,0)</f>
        <v>0</v>
      </c>
      <c r="T1206" s="7" t="n">
        <f aca="false">IF(AND(F1206="Closed",I1206&lt;&gt;"",I1206&gt;='Exec Summary'!$E$1,I1206&lt;='Exec Summary'!$E$2),1,0)</f>
        <v>0</v>
      </c>
      <c r="U1206" s="7" t="n">
        <f aca="false">IF(F1206="Reopened",1,0)</f>
        <v>0</v>
      </c>
      <c r="V1206" s="7" t="n">
        <f aca="false">IF(AND(R1206=1,O1206&gt;Q1206),1,0)</f>
        <v>0</v>
      </c>
      <c r="W1206" s="7" t="n">
        <f aca="false">IF(AND(T1206=1,P1206&lt;&gt;"",P1206&lt;=Q1206),1,0)</f>
        <v>0</v>
      </c>
    </row>
    <row r="1207" customFormat="false" ht="15" hidden="false" customHeight="false" outlineLevel="0" collapsed="false">
      <c r="A1207" s="7" t="s">
        <v>1489</v>
      </c>
      <c r="B1207" s="7" t="s">
        <v>46</v>
      </c>
      <c r="C1207" s="7" t="s">
        <v>158</v>
      </c>
      <c r="D1207" s="7" t="s">
        <v>87</v>
      </c>
      <c r="E1207" s="7" t="s">
        <v>88</v>
      </c>
      <c r="F1207" s="7" t="s">
        <v>56</v>
      </c>
      <c r="G1207" s="7" t="s">
        <v>19</v>
      </c>
      <c r="H1207" s="9" t="n">
        <v>46064</v>
      </c>
      <c r="I1207" s="9"/>
      <c r="J1207" s="7" t="n">
        <v>10</v>
      </c>
      <c r="K1207" s="7" t="s">
        <v>1392</v>
      </c>
      <c r="L1207" s="7" t="s">
        <v>21</v>
      </c>
      <c r="M1207" s="7" t="s">
        <v>1494</v>
      </c>
      <c r="N1207" s="7" t="s">
        <v>58</v>
      </c>
      <c r="O1207" s="10" t="n">
        <f aca="false">'Exec Summary'!$E$2-H1207</f>
        <v>170</v>
      </c>
      <c r="P1207" s="10" t="str">
        <f aca="false">IF(I1207="","",I1207-H1207)</f>
        <v/>
      </c>
      <c r="Q1207" s="10" t="n">
        <f aca="false">VLOOKUP(G1207,$AA$2:$AB$5,2,FALSE())</f>
        <v>15</v>
      </c>
      <c r="R1207" s="7" t="n">
        <f aca="false">IF(OR(F1207="Open",F1207="Reopened"),1,0)</f>
        <v>1</v>
      </c>
      <c r="S1207" s="7" t="n">
        <f aca="false">IF(AND(H1207&gt;='Exec Summary'!$E$1,H1207&lt;='Exec Summary'!$E$2),1,0)</f>
        <v>0</v>
      </c>
      <c r="T1207" s="7" t="n">
        <f aca="false">IF(AND(F1207="Closed",I1207&lt;&gt;"",I1207&gt;='Exec Summary'!$E$1,I1207&lt;='Exec Summary'!$E$2),1,0)</f>
        <v>0</v>
      </c>
      <c r="U1207" s="7" t="n">
        <f aca="false">IF(F1207="Reopened",1,0)</f>
        <v>0</v>
      </c>
      <c r="V1207" s="7" t="n">
        <f aca="false">IF(AND(R1207=1,O1207&gt;Q1207),1,0)</f>
        <v>1</v>
      </c>
      <c r="W1207" s="7" t="n">
        <f aca="false">IF(AND(T1207=1,P1207&lt;&gt;"",P1207&lt;=Q1207),1,0)</f>
        <v>0</v>
      </c>
    </row>
    <row r="1208" customFormat="false" ht="15" hidden="false" customHeight="false" outlineLevel="0" collapsed="false">
      <c r="A1208" s="7" t="s">
        <v>1489</v>
      </c>
      <c r="B1208" s="7" t="s">
        <v>46</v>
      </c>
      <c r="C1208" s="7" t="s">
        <v>158</v>
      </c>
      <c r="D1208" s="7" t="s">
        <v>54</v>
      </c>
      <c r="E1208" s="7" t="s">
        <v>55</v>
      </c>
      <c r="F1208" s="7" t="s">
        <v>56</v>
      </c>
      <c r="G1208" s="7" t="s">
        <v>19</v>
      </c>
      <c r="H1208" s="9" t="n">
        <v>46140</v>
      </c>
      <c r="I1208" s="9"/>
      <c r="J1208" s="7" t="n">
        <v>9.8</v>
      </c>
      <c r="K1208" s="7" t="s">
        <v>1392</v>
      </c>
      <c r="L1208" s="7" t="s">
        <v>21</v>
      </c>
      <c r="M1208" s="7" t="s">
        <v>1495</v>
      </c>
      <c r="N1208" s="7" t="s">
        <v>58</v>
      </c>
      <c r="O1208" s="10" t="n">
        <f aca="false">'Exec Summary'!$E$2-H1208</f>
        <v>94</v>
      </c>
      <c r="P1208" s="10" t="str">
        <f aca="false">IF(I1208="","",I1208-H1208)</f>
        <v/>
      </c>
      <c r="Q1208" s="10" t="n">
        <f aca="false">VLOOKUP(G1208,$AA$2:$AB$5,2,FALSE())</f>
        <v>15</v>
      </c>
      <c r="R1208" s="7" t="n">
        <f aca="false">IF(OR(F1208="Open",F1208="Reopened"),1,0)</f>
        <v>1</v>
      </c>
      <c r="S1208" s="7" t="n">
        <f aca="false">IF(AND(H1208&gt;='Exec Summary'!$E$1,H1208&lt;='Exec Summary'!$E$2),1,0)</f>
        <v>0</v>
      </c>
      <c r="T1208" s="7" t="n">
        <f aca="false">IF(AND(F1208="Closed",I1208&lt;&gt;"",I1208&gt;='Exec Summary'!$E$1,I1208&lt;='Exec Summary'!$E$2),1,0)</f>
        <v>0</v>
      </c>
      <c r="U1208" s="7" t="n">
        <f aca="false">IF(F1208="Reopened",1,0)</f>
        <v>0</v>
      </c>
      <c r="V1208" s="7" t="n">
        <f aca="false">IF(AND(R1208=1,O1208&gt;Q1208),1,0)</f>
        <v>1</v>
      </c>
      <c r="W1208" s="7" t="n">
        <f aca="false">IF(AND(T1208=1,P1208&lt;&gt;"",P1208&lt;=Q1208),1,0)</f>
        <v>0</v>
      </c>
    </row>
    <row r="1209" customFormat="false" ht="15" hidden="false" customHeight="false" outlineLevel="0" collapsed="false">
      <c r="A1209" s="7" t="s">
        <v>1489</v>
      </c>
      <c r="B1209" s="7" t="s">
        <v>46</v>
      </c>
      <c r="C1209" s="7" t="s">
        <v>158</v>
      </c>
      <c r="D1209" s="7" t="s">
        <v>139</v>
      </c>
      <c r="E1209" s="7" t="s">
        <v>140</v>
      </c>
      <c r="F1209" s="7" t="s">
        <v>56</v>
      </c>
      <c r="G1209" s="7" t="s">
        <v>19</v>
      </c>
      <c r="H1209" s="9" t="n">
        <v>46126</v>
      </c>
      <c r="I1209" s="9"/>
      <c r="J1209" s="7" t="n">
        <v>9.8</v>
      </c>
      <c r="K1209" s="7" t="s">
        <v>1392</v>
      </c>
      <c r="L1209" s="7" t="s">
        <v>21</v>
      </c>
      <c r="M1209" s="7" t="s">
        <v>1496</v>
      </c>
      <c r="N1209" s="7" t="s">
        <v>58</v>
      </c>
      <c r="O1209" s="10" t="n">
        <f aca="false">'Exec Summary'!$E$2-H1209</f>
        <v>108</v>
      </c>
      <c r="P1209" s="10" t="str">
        <f aca="false">IF(I1209="","",I1209-H1209)</f>
        <v/>
      </c>
      <c r="Q1209" s="10" t="n">
        <f aca="false">VLOOKUP(G1209,$AA$2:$AB$5,2,FALSE())</f>
        <v>15</v>
      </c>
      <c r="R1209" s="7" t="n">
        <f aca="false">IF(OR(F1209="Open",F1209="Reopened"),1,0)</f>
        <v>1</v>
      </c>
      <c r="S1209" s="7" t="n">
        <f aca="false">IF(AND(H1209&gt;='Exec Summary'!$E$1,H1209&lt;='Exec Summary'!$E$2),1,0)</f>
        <v>0</v>
      </c>
      <c r="T1209" s="7" t="n">
        <f aca="false">IF(AND(F1209="Closed",I1209&lt;&gt;"",I1209&gt;='Exec Summary'!$E$1,I1209&lt;='Exec Summary'!$E$2),1,0)</f>
        <v>0</v>
      </c>
      <c r="U1209" s="7" t="n">
        <f aca="false">IF(F1209="Reopened",1,0)</f>
        <v>0</v>
      </c>
      <c r="V1209" s="7" t="n">
        <f aca="false">IF(AND(R1209=1,O1209&gt;Q1209),1,0)</f>
        <v>1</v>
      </c>
      <c r="W1209" s="7" t="n">
        <f aca="false">IF(AND(T1209=1,P1209&lt;&gt;"",P1209&lt;=Q1209),1,0)</f>
        <v>0</v>
      </c>
    </row>
    <row r="1210" customFormat="false" ht="15" hidden="false" customHeight="false" outlineLevel="0" collapsed="false">
      <c r="A1210" s="7" t="s">
        <v>1489</v>
      </c>
      <c r="B1210" s="7" t="s">
        <v>46</v>
      </c>
      <c r="C1210" s="7" t="s">
        <v>158</v>
      </c>
      <c r="D1210" s="7" t="s">
        <v>117</v>
      </c>
      <c r="E1210" s="7" t="s">
        <v>118</v>
      </c>
      <c r="F1210" s="7" t="s">
        <v>56</v>
      </c>
      <c r="G1210" s="7" t="s">
        <v>19</v>
      </c>
      <c r="H1210" s="9" t="n">
        <v>46216</v>
      </c>
      <c r="I1210" s="9"/>
      <c r="J1210" s="7" t="n">
        <v>10</v>
      </c>
      <c r="K1210" s="7" t="s">
        <v>1392</v>
      </c>
      <c r="L1210" s="7" t="s">
        <v>21</v>
      </c>
      <c r="M1210" s="7" t="s">
        <v>1497</v>
      </c>
      <c r="N1210" s="7" t="s">
        <v>58</v>
      </c>
      <c r="O1210" s="10" t="n">
        <f aca="false">'Exec Summary'!$E$2-H1210</f>
        <v>18</v>
      </c>
      <c r="P1210" s="10" t="str">
        <f aca="false">IF(I1210="","",I1210-H1210)</f>
        <v/>
      </c>
      <c r="Q1210" s="10" t="n">
        <f aca="false">VLOOKUP(G1210,$AA$2:$AB$5,2,FALSE())</f>
        <v>15</v>
      </c>
      <c r="R1210" s="7" t="n">
        <f aca="false">IF(OR(F1210="Open",F1210="Reopened"),1,0)</f>
        <v>1</v>
      </c>
      <c r="S1210" s="7" t="n">
        <f aca="false">IF(AND(H1210&gt;='Exec Summary'!$E$1,H1210&lt;='Exec Summary'!$E$2),1,0)</f>
        <v>1</v>
      </c>
      <c r="T1210" s="7" t="n">
        <f aca="false">IF(AND(F1210="Closed",I1210&lt;&gt;"",I1210&gt;='Exec Summary'!$E$1,I1210&lt;='Exec Summary'!$E$2),1,0)</f>
        <v>0</v>
      </c>
      <c r="U1210" s="7" t="n">
        <f aca="false">IF(F1210="Reopened",1,0)</f>
        <v>0</v>
      </c>
      <c r="V1210" s="7" t="n">
        <f aca="false">IF(AND(R1210=1,O1210&gt;Q1210),1,0)</f>
        <v>1</v>
      </c>
      <c r="W1210" s="7" t="n">
        <f aca="false">IF(AND(T1210=1,P1210&lt;&gt;"",P1210&lt;=Q1210),1,0)</f>
        <v>0</v>
      </c>
    </row>
    <row r="1211" customFormat="false" ht="15" hidden="false" customHeight="false" outlineLevel="0" collapsed="false">
      <c r="A1211" s="7" t="s">
        <v>1489</v>
      </c>
      <c r="B1211" s="7" t="s">
        <v>46</v>
      </c>
      <c r="C1211" s="7" t="s">
        <v>158</v>
      </c>
      <c r="D1211" s="7" t="s">
        <v>91</v>
      </c>
      <c r="E1211" s="7" t="s">
        <v>92</v>
      </c>
      <c r="F1211" s="7" t="s">
        <v>56</v>
      </c>
      <c r="G1211" s="7" t="s">
        <v>20</v>
      </c>
      <c r="H1211" s="9" t="n">
        <v>45979</v>
      </c>
      <c r="I1211" s="9"/>
      <c r="J1211" s="7" t="n">
        <v>8.1</v>
      </c>
      <c r="K1211" s="7" t="s">
        <v>1392</v>
      </c>
      <c r="L1211" s="7" t="s">
        <v>21</v>
      </c>
      <c r="M1211" s="7" t="s">
        <v>1498</v>
      </c>
      <c r="N1211" s="7" t="s">
        <v>53</v>
      </c>
      <c r="O1211" s="10" t="n">
        <f aca="false">'Exec Summary'!$E$2-H1211</f>
        <v>255</v>
      </c>
      <c r="P1211" s="10" t="str">
        <f aca="false">IF(I1211="","",I1211-H1211)</f>
        <v/>
      </c>
      <c r="Q1211" s="10" t="n">
        <f aca="false">VLOOKUP(G1211,$AA$2:$AB$5,2,FALSE())</f>
        <v>30</v>
      </c>
      <c r="R1211" s="7" t="n">
        <f aca="false">IF(OR(F1211="Open",F1211="Reopened"),1,0)</f>
        <v>1</v>
      </c>
      <c r="S1211" s="7" t="n">
        <f aca="false">IF(AND(H1211&gt;='Exec Summary'!$E$1,H1211&lt;='Exec Summary'!$E$2),1,0)</f>
        <v>0</v>
      </c>
      <c r="T1211" s="7" t="n">
        <f aca="false">IF(AND(F1211="Closed",I1211&lt;&gt;"",I1211&gt;='Exec Summary'!$E$1,I1211&lt;='Exec Summary'!$E$2),1,0)</f>
        <v>0</v>
      </c>
      <c r="U1211" s="7" t="n">
        <f aca="false">IF(F1211="Reopened",1,0)</f>
        <v>0</v>
      </c>
      <c r="V1211" s="7" t="n">
        <f aca="false">IF(AND(R1211=1,O1211&gt;Q1211),1,0)</f>
        <v>1</v>
      </c>
      <c r="W1211" s="7" t="n">
        <f aca="false">IF(AND(T1211=1,P1211&lt;&gt;"",P1211&lt;=Q1211),1,0)</f>
        <v>0</v>
      </c>
    </row>
    <row r="1212" customFormat="false" ht="15" hidden="false" customHeight="false" outlineLevel="0" collapsed="false">
      <c r="A1212" s="7" t="s">
        <v>1499</v>
      </c>
      <c r="B1212" s="7" t="s">
        <v>46</v>
      </c>
      <c r="C1212" s="7" t="s">
        <v>47</v>
      </c>
      <c r="D1212" s="7" t="s">
        <v>71</v>
      </c>
      <c r="E1212" s="7" t="s">
        <v>72</v>
      </c>
      <c r="F1212" s="7" t="s">
        <v>50</v>
      </c>
      <c r="G1212" s="7" t="s">
        <v>19</v>
      </c>
      <c r="H1212" s="9" t="n">
        <v>46092</v>
      </c>
      <c r="I1212" s="9" t="n">
        <v>46106</v>
      </c>
      <c r="J1212" s="7" t="n">
        <v>9.8</v>
      </c>
      <c r="K1212" s="7" t="s">
        <v>1392</v>
      </c>
      <c r="L1212" s="7" t="s">
        <v>21</v>
      </c>
      <c r="M1212" s="7" t="s">
        <v>1500</v>
      </c>
      <c r="N1212" s="7" t="s">
        <v>58</v>
      </c>
      <c r="O1212" s="10" t="n">
        <f aca="false">'Exec Summary'!$E$2-H1212</f>
        <v>142</v>
      </c>
      <c r="P1212" s="10" t="n">
        <f aca="false">IF(I1212="","",I1212-H1212)</f>
        <v>14</v>
      </c>
      <c r="Q1212" s="10" t="n">
        <f aca="false">VLOOKUP(G1212,$AA$2:$AB$5,2,FALSE())</f>
        <v>15</v>
      </c>
      <c r="R1212" s="7" t="n">
        <f aca="false">IF(OR(F1212="Open",F1212="Reopened"),1,0)</f>
        <v>0</v>
      </c>
      <c r="S1212" s="7" t="n">
        <f aca="false">IF(AND(H1212&gt;='Exec Summary'!$E$1,H1212&lt;='Exec Summary'!$E$2),1,0)</f>
        <v>0</v>
      </c>
      <c r="T1212" s="7" t="n">
        <f aca="false">IF(AND(F1212="Closed",I1212&lt;&gt;"",I1212&gt;='Exec Summary'!$E$1,I1212&lt;='Exec Summary'!$E$2),1,0)</f>
        <v>0</v>
      </c>
      <c r="U1212" s="7" t="n">
        <f aca="false">IF(F1212="Reopened",1,0)</f>
        <v>0</v>
      </c>
      <c r="V1212" s="7" t="n">
        <f aca="false">IF(AND(R1212=1,O1212&gt;Q1212),1,0)</f>
        <v>0</v>
      </c>
      <c r="W1212" s="7" t="n">
        <f aca="false">IF(AND(T1212=1,P1212&lt;&gt;"",P1212&lt;=Q1212),1,0)</f>
        <v>0</v>
      </c>
    </row>
    <row r="1213" customFormat="false" ht="15" hidden="false" customHeight="false" outlineLevel="0" collapsed="false">
      <c r="A1213" s="7" t="s">
        <v>1499</v>
      </c>
      <c r="B1213" s="7" t="s">
        <v>46</v>
      </c>
      <c r="C1213" s="7" t="s">
        <v>47</v>
      </c>
      <c r="D1213" s="7" t="s">
        <v>131</v>
      </c>
      <c r="E1213" s="7" t="s">
        <v>132</v>
      </c>
      <c r="F1213" s="7" t="s">
        <v>50</v>
      </c>
      <c r="G1213" s="7" t="s">
        <v>19</v>
      </c>
      <c r="H1213" s="9" t="n">
        <v>45989</v>
      </c>
      <c r="I1213" s="9" t="n">
        <v>45990</v>
      </c>
      <c r="J1213" s="7" t="n">
        <v>9.8</v>
      </c>
      <c r="K1213" s="7" t="s">
        <v>1392</v>
      </c>
      <c r="L1213" s="7" t="s">
        <v>21</v>
      </c>
      <c r="M1213" s="7" t="s">
        <v>1501</v>
      </c>
      <c r="N1213" s="7" t="s">
        <v>58</v>
      </c>
      <c r="O1213" s="10" t="n">
        <f aca="false">'Exec Summary'!$E$2-H1213</f>
        <v>245</v>
      </c>
      <c r="P1213" s="10" t="n">
        <f aca="false">IF(I1213="","",I1213-H1213)</f>
        <v>1</v>
      </c>
      <c r="Q1213" s="10" t="n">
        <f aca="false">VLOOKUP(G1213,$AA$2:$AB$5,2,FALSE())</f>
        <v>15</v>
      </c>
      <c r="R1213" s="7" t="n">
        <f aca="false">IF(OR(F1213="Open",F1213="Reopened"),1,0)</f>
        <v>0</v>
      </c>
      <c r="S1213" s="7" t="n">
        <f aca="false">IF(AND(H1213&gt;='Exec Summary'!$E$1,H1213&lt;='Exec Summary'!$E$2),1,0)</f>
        <v>0</v>
      </c>
      <c r="T1213" s="7" t="n">
        <f aca="false">IF(AND(F1213="Closed",I1213&lt;&gt;"",I1213&gt;='Exec Summary'!$E$1,I1213&lt;='Exec Summary'!$E$2),1,0)</f>
        <v>0</v>
      </c>
      <c r="U1213" s="7" t="n">
        <f aca="false">IF(F1213="Reopened",1,0)</f>
        <v>0</v>
      </c>
      <c r="V1213" s="7" t="n">
        <f aca="false">IF(AND(R1213=1,O1213&gt;Q1213),1,0)</f>
        <v>0</v>
      </c>
      <c r="W1213" s="7" t="n">
        <f aca="false">IF(AND(T1213=1,P1213&lt;&gt;"",P1213&lt;=Q1213),1,0)</f>
        <v>0</v>
      </c>
    </row>
    <row r="1214" customFormat="false" ht="15" hidden="false" customHeight="false" outlineLevel="0" collapsed="false">
      <c r="A1214" s="7" t="s">
        <v>1499</v>
      </c>
      <c r="B1214" s="7" t="s">
        <v>46</v>
      </c>
      <c r="C1214" s="7" t="s">
        <v>47</v>
      </c>
      <c r="D1214" s="7" t="s">
        <v>87</v>
      </c>
      <c r="E1214" s="7" t="s">
        <v>88</v>
      </c>
      <c r="F1214" s="7" t="s">
        <v>56</v>
      </c>
      <c r="G1214" s="7" t="s">
        <v>19</v>
      </c>
      <c r="H1214" s="9" t="n">
        <v>46084</v>
      </c>
      <c r="I1214" s="9"/>
      <c r="J1214" s="7" t="n">
        <v>10</v>
      </c>
      <c r="K1214" s="7" t="s">
        <v>1392</v>
      </c>
      <c r="L1214" s="7" t="s">
        <v>21</v>
      </c>
      <c r="M1214" s="7" t="s">
        <v>1502</v>
      </c>
      <c r="N1214" s="7" t="s">
        <v>58</v>
      </c>
      <c r="O1214" s="10" t="n">
        <f aca="false">'Exec Summary'!$E$2-H1214</f>
        <v>150</v>
      </c>
      <c r="P1214" s="10" t="str">
        <f aca="false">IF(I1214="","",I1214-H1214)</f>
        <v/>
      </c>
      <c r="Q1214" s="10" t="n">
        <f aca="false">VLOOKUP(G1214,$AA$2:$AB$5,2,FALSE())</f>
        <v>15</v>
      </c>
      <c r="R1214" s="7" t="n">
        <f aca="false">IF(OR(F1214="Open",F1214="Reopened"),1,0)</f>
        <v>1</v>
      </c>
      <c r="S1214" s="7" t="n">
        <f aca="false">IF(AND(H1214&gt;='Exec Summary'!$E$1,H1214&lt;='Exec Summary'!$E$2),1,0)</f>
        <v>0</v>
      </c>
      <c r="T1214" s="7" t="n">
        <f aca="false">IF(AND(F1214="Closed",I1214&lt;&gt;"",I1214&gt;='Exec Summary'!$E$1,I1214&lt;='Exec Summary'!$E$2),1,0)</f>
        <v>0</v>
      </c>
      <c r="U1214" s="7" t="n">
        <f aca="false">IF(F1214="Reopened",1,0)</f>
        <v>0</v>
      </c>
      <c r="V1214" s="7" t="n">
        <f aca="false">IF(AND(R1214=1,O1214&gt;Q1214),1,0)</f>
        <v>1</v>
      </c>
      <c r="W1214" s="7" t="n">
        <f aca="false">IF(AND(T1214=1,P1214&lt;&gt;"",P1214&lt;=Q1214),1,0)</f>
        <v>0</v>
      </c>
    </row>
    <row r="1215" customFormat="false" ht="15" hidden="false" customHeight="false" outlineLevel="0" collapsed="false">
      <c r="A1215" s="7" t="s">
        <v>1499</v>
      </c>
      <c r="B1215" s="7" t="s">
        <v>46</v>
      </c>
      <c r="C1215" s="7" t="s">
        <v>47</v>
      </c>
      <c r="D1215" s="7" t="s">
        <v>101</v>
      </c>
      <c r="E1215" s="7" t="s">
        <v>102</v>
      </c>
      <c r="F1215" s="7" t="s">
        <v>50</v>
      </c>
      <c r="G1215" s="7" t="s">
        <v>19</v>
      </c>
      <c r="H1215" s="9" t="n">
        <v>46140</v>
      </c>
      <c r="I1215" s="9" t="n">
        <v>46153</v>
      </c>
      <c r="J1215" s="7" t="n">
        <v>10</v>
      </c>
      <c r="K1215" s="7" t="s">
        <v>1392</v>
      </c>
      <c r="L1215" s="7" t="s">
        <v>21</v>
      </c>
      <c r="M1215" s="7" t="s">
        <v>1503</v>
      </c>
      <c r="N1215" s="7" t="s">
        <v>58</v>
      </c>
      <c r="O1215" s="10" t="n">
        <f aca="false">'Exec Summary'!$E$2-H1215</f>
        <v>94</v>
      </c>
      <c r="P1215" s="10" t="n">
        <f aca="false">IF(I1215="","",I1215-H1215)</f>
        <v>13</v>
      </c>
      <c r="Q1215" s="10" t="n">
        <f aca="false">VLOOKUP(G1215,$AA$2:$AB$5,2,FALSE())</f>
        <v>15</v>
      </c>
      <c r="R1215" s="7" t="n">
        <f aca="false">IF(OR(F1215="Open",F1215="Reopened"),1,0)</f>
        <v>0</v>
      </c>
      <c r="S1215" s="7" t="n">
        <f aca="false">IF(AND(H1215&gt;='Exec Summary'!$E$1,H1215&lt;='Exec Summary'!$E$2),1,0)</f>
        <v>0</v>
      </c>
      <c r="T1215" s="7" t="n">
        <f aca="false">IF(AND(F1215="Closed",I1215&lt;&gt;"",I1215&gt;='Exec Summary'!$E$1,I1215&lt;='Exec Summary'!$E$2),1,0)</f>
        <v>0</v>
      </c>
      <c r="U1215" s="7" t="n">
        <f aca="false">IF(F1215="Reopened",1,0)</f>
        <v>0</v>
      </c>
      <c r="V1215" s="7" t="n">
        <f aca="false">IF(AND(R1215=1,O1215&gt;Q1215),1,0)</f>
        <v>0</v>
      </c>
      <c r="W1215" s="7" t="n">
        <f aca="false">IF(AND(T1215=1,P1215&lt;&gt;"",P1215&lt;=Q1215),1,0)</f>
        <v>0</v>
      </c>
    </row>
    <row r="1216" customFormat="false" ht="15" hidden="false" customHeight="false" outlineLevel="0" collapsed="false">
      <c r="A1216" s="7" t="s">
        <v>1499</v>
      </c>
      <c r="B1216" s="7" t="s">
        <v>46</v>
      </c>
      <c r="C1216" s="7" t="s">
        <v>47</v>
      </c>
      <c r="D1216" s="7" t="s">
        <v>152</v>
      </c>
      <c r="E1216" s="7" t="s">
        <v>153</v>
      </c>
      <c r="F1216" s="7" t="s">
        <v>50</v>
      </c>
      <c r="G1216" s="7" t="s">
        <v>20</v>
      </c>
      <c r="H1216" s="9" t="n">
        <v>46219</v>
      </c>
      <c r="I1216" s="9" t="n">
        <v>46234</v>
      </c>
      <c r="J1216" s="7" t="n">
        <v>7.5</v>
      </c>
      <c r="K1216" s="7" t="s">
        <v>1392</v>
      </c>
      <c r="L1216" s="7" t="s">
        <v>21</v>
      </c>
      <c r="M1216" s="7" t="s">
        <v>1504</v>
      </c>
      <c r="N1216" s="7" t="s">
        <v>53</v>
      </c>
      <c r="O1216" s="10" t="n">
        <f aca="false">'Exec Summary'!$E$2-H1216</f>
        <v>15</v>
      </c>
      <c r="P1216" s="10" t="n">
        <f aca="false">IF(I1216="","",I1216-H1216)</f>
        <v>15</v>
      </c>
      <c r="Q1216" s="10" t="n">
        <f aca="false">VLOOKUP(G1216,$AA$2:$AB$5,2,FALSE())</f>
        <v>30</v>
      </c>
      <c r="R1216" s="7" t="n">
        <f aca="false">IF(OR(F1216="Open",F1216="Reopened"),1,0)</f>
        <v>0</v>
      </c>
      <c r="S1216" s="7" t="n">
        <f aca="false">IF(AND(H1216&gt;='Exec Summary'!$E$1,H1216&lt;='Exec Summary'!$E$2),1,0)</f>
        <v>1</v>
      </c>
      <c r="T1216" s="7" t="n">
        <f aca="false">IF(AND(F1216="Closed",I1216&lt;&gt;"",I1216&gt;='Exec Summary'!$E$1,I1216&lt;='Exec Summary'!$E$2),1,0)</f>
        <v>1</v>
      </c>
      <c r="U1216" s="7" t="n">
        <f aca="false">IF(F1216="Reopened",1,0)</f>
        <v>0</v>
      </c>
      <c r="V1216" s="7" t="n">
        <f aca="false">IF(AND(R1216=1,O1216&gt;Q1216),1,0)</f>
        <v>0</v>
      </c>
      <c r="W1216" s="7" t="n">
        <f aca="false">IF(AND(T1216=1,P1216&lt;&gt;"",P1216&lt;=Q1216),1,0)</f>
        <v>1</v>
      </c>
    </row>
    <row r="1217" customFormat="false" ht="15" hidden="false" customHeight="false" outlineLevel="0" collapsed="false">
      <c r="A1217" s="7" t="s">
        <v>1499</v>
      </c>
      <c r="B1217" s="7" t="s">
        <v>46</v>
      </c>
      <c r="C1217" s="7" t="s">
        <v>47</v>
      </c>
      <c r="D1217" s="7" t="s">
        <v>108</v>
      </c>
      <c r="E1217" s="7" t="s">
        <v>109</v>
      </c>
      <c r="F1217" s="7" t="s">
        <v>56</v>
      </c>
      <c r="G1217" s="7" t="s">
        <v>20</v>
      </c>
      <c r="H1217" s="9" t="n">
        <v>46168</v>
      </c>
      <c r="I1217" s="9"/>
      <c r="J1217" s="7" t="n">
        <v>8.6</v>
      </c>
      <c r="K1217" s="7" t="s">
        <v>1392</v>
      </c>
      <c r="L1217" s="7" t="s">
        <v>21</v>
      </c>
      <c r="M1217" s="7" t="s">
        <v>1505</v>
      </c>
      <c r="N1217" s="7" t="s">
        <v>53</v>
      </c>
      <c r="O1217" s="10" t="n">
        <f aca="false">'Exec Summary'!$E$2-H1217</f>
        <v>66</v>
      </c>
      <c r="P1217" s="10" t="str">
        <f aca="false">IF(I1217="","",I1217-H1217)</f>
        <v/>
      </c>
      <c r="Q1217" s="10" t="n">
        <f aca="false">VLOOKUP(G1217,$AA$2:$AB$5,2,FALSE())</f>
        <v>30</v>
      </c>
      <c r="R1217" s="7" t="n">
        <f aca="false">IF(OR(F1217="Open",F1217="Reopened"),1,0)</f>
        <v>1</v>
      </c>
      <c r="S1217" s="7" t="n">
        <f aca="false">IF(AND(H1217&gt;='Exec Summary'!$E$1,H1217&lt;='Exec Summary'!$E$2),1,0)</f>
        <v>0</v>
      </c>
      <c r="T1217" s="7" t="n">
        <f aca="false">IF(AND(F1217="Closed",I1217&lt;&gt;"",I1217&gt;='Exec Summary'!$E$1,I1217&lt;='Exec Summary'!$E$2),1,0)</f>
        <v>0</v>
      </c>
      <c r="U1217" s="7" t="n">
        <f aca="false">IF(F1217="Reopened",1,0)</f>
        <v>0</v>
      </c>
      <c r="V1217" s="7" t="n">
        <f aca="false">IF(AND(R1217=1,O1217&gt;Q1217),1,0)</f>
        <v>1</v>
      </c>
      <c r="W1217" s="7" t="n">
        <f aca="false">IF(AND(T1217=1,P1217&lt;&gt;"",P1217&lt;=Q1217),1,0)</f>
        <v>0</v>
      </c>
    </row>
    <row r="1218" customFormat="false" ht="15" hidden="false" customHeight="false" outlineLevel="0" collapsed="false">
      <c r="A1218" s="7" t="s">
        <v>1506</v>
      </c>
      <c r="B1218" s="7" t="s">
        <v>46</v>
      </c>
      <c r="C1218" s="7" t="s">
        <v>128</v>
      </c>
      <c r="D1218" s="7" t="s">
        <v>54</v>
      </c>
      <c r="E1218" s="7" t="s">
        <v>55</v>
      </c>
      <c r="F1218" s="7" t="s">
        <v>56</v>
      </c>
      <c r="G1218" s="7" t="s">
        <v>19</v>
      </c>
      <c r="H1218" s="9" t="n">
        <v>46221</v>
      </c>
      <c r="I1218" s="9"/>
      <c r="J1218" s="7" t="n">
        <v>9.8</v>
      </c>
      <c r="K1218" s="7" t="s">
        <v>1392</v>
      </c>
      <c r="L1218" s="7" t="s">
        <v>21</v>
      </c>
      <c r="M1218" s="7" t="s">
        <v>1507</v>
      </c>
      <c r="N1218" s="7" t="s">
        <v>58</v>
      </c>
      <c r="O1218" s="10" t="n">
        <f aca="false">'Exec Summary'!$E$2-H1218</f>
        <v>13</v>
      </c>
      <c r="P1218" s="10" t="str">
        <f aca="false">IF(I1218="","",I1218-H1218)</f>
        <v/>
      </c>
      <c r="Q1218" s="10" t="n">
        <f aca="false">VLOOKUP(G1218,$AA$2:$AB$5,2,FALSE())</f>
        <v>15</v>
      </c>
      <c r="R1218" s="7" t="n">
        <f aca="false">IF(OR(F1218="Open",F1218="Reopened"),1,0)</f>
        <v>1</v>
      </c>
      <c r="S1218" s="7" t="n">
        <f aca="false">IF(AND(H1218&gt;='Exec Summary'!$E$1,H1218&lt;='Exec Summary'!$E$2),1,0)</f>
        <v>1</v>
      </c>
      <c r="T1218" s="7" t="n">
        <f aca="false">IF(AND(F1218="Closed",I1218&lt;&gt;"",I1218&gt;='Exec Summary'!$E$1,I1218&lt;='Exec Summary'!$E$2),1,0)</f>
        <v>0</v>
      </c>
      <c r="U1218" s="7" t="n">
        <f aca="false">IF(F1218="Reopened",1,0)</f>
        <v>0</v>
      </c>
      <c r="V1218" s="7" t="n">
        <f aca="false">IF(AND(R1218=1,O1218&gt;Q1218),1,0)</f>
        <v>0</v>
      </c>
      <c r="W1218" s="7" t="n">
        <f aca="false">IF(AND(T1218=1,P1218&lt;&gt;"",P1218&lt;=Q1218),1,0)</f>
        <v>0</v>
      </c>
    </row>
    <row r="1219" customFormat="false" ht="15" hidden="false" customHeight="false" outlineLevel="0" collapsed="false">
      <c r="A1219" s="7" t="s">
        <v>1506</v>
      </c>
      <c r="B1219" s="7" t="s">
        <v>46</v>
      </c>
      <c r="C1219" s="7" t="s">
        <v>128</v>
      </c>
      <c r="D1219" s="7" t="s">
        <v>163</v>
      </c>
      <c r="E1219" s="7" t="s">
        <v>164</v>
      </c>
      <c r="F1219" s="7" t="s">
        <v>56</v>
      </c>
      <c r="G1219" s="7" t="s">
        <v>19</v>
      </c>
      <c r="H1219" s="9" t="n">
        <v>45935</v>
      </c>
      <c r="I1219" s="9"/>
      <c r="J1219" s="7" t="n">
        <v>9.1</v>
      </c>
      <c r="K1219" s="7" t="s">
        <v>1392</v>
      </c>
      <c r="L1219" s="7" t="s">
        <v>21</v>
      </c>
      <c r="M1219" s="7" t="s">
        <v>1508</v>
      </c>
      <c r="N1219" s="7" t="s">
        <v>58</v>
      </c>
      <c r="O1219" s="10" t="n">
        <f aca="false">'Exec Summary'!$E$2-H1219</f>
        <v>299</v>
      </c>
      <c r="P1219" s="10" t="str">
        <f aca="false">IF(I1219="","",I1219-H1219)</f>
        <v/>
      </c>
      <c r="Q1219" s="10" t="n">
        <f aca="false">VLOOKUP(G1219,$AA$2:$AB$5,2,FALSE())</f>
        <v>15</v>
      </c>
      <c r="R1219" s="7" t="n">
        <f aca="false">IF(OR(F1219="Open",F1219="Reopened"),1,0)</f>
        <v>1</v>
      </c>
      <c r="S1219" s="7" t="n">
        <f aca="false">IF(AND(H1219&gt;='Exec Summary'!$E$1,H1219&lt;='Exec Summary'!$E$2),1,0)</f>
        <v>0</v>
      </c>
      <c r="T1219" s="7" t="n">
        <f aca="false">IF(AND(F1219="Closed",I1219&lt;&gt;"",I1219&gt;='Exec Summary'!$E$1,I1219&lt;='Exec Summary'!$E$2),1,0)</f>
        <v>0</v>
      </c>
      <c r="U1219" s="7" t="n">
        <f aca="false">IF(F1219="Reopened",1,0)</f>
        <v>0</v>
      </c>
      <c r="V1219" s="7" t="n">
        <f aca="false">IF(AND(R1219=1,O1219&gt;Q1219),1,0)</f>
        <v>1</v>
      </c>
      <c r="W1219" s="7" t="n">
        <f aca="false">IF(AND(T1219=1,P1219&lt;&gt;"",P1219&lt;=Q1219),1,0)</f>
        <v>0</v>
      </c>
    </row>
    <row r="1220" customFormat="false" ht="15" hidden="false" customHeight="false" outlineLevel="0" collapsed="false">
      <c r="A1220" s="7" t="s">
        <v>1506</v>
      </c>
      <c r="B1220" s="7" t="s">
        <v>46</v>
      </c>
      <c r="C1220" s="7" t="s">
        <v>128</v>
      </c>
      <c r="D1220" s="7" t="s">
        <v>117</v>
      </c>
      <c r="E1220" s="7" t="s">
        <v>118</v>
      </c>
      <c r="F1220" s="7" t="s">
        <v>56</v>
      </c>
      <c r="G1220" s="7" t="s">
        <v>19</v>
      </c>
      <c r="H1220" s="9" t="n">
        <v>45994</v>
      </c>
      <c r="I1220" s="9"/>
      <c r="J1220" s="7" t="n">
        <v>10</v>
      </c>
      <c r="K1220" s="7" t="s">
        <v>1392</v>
      </c>
      <c r="L1220" s="7" t="s">
        <v>21</v>
      </c>
      <c r="M1220" s="7" t="s">
        <v>1509</v>
      </c>
      <c r="N1220" s="7" t="s">
        <v>58</v>
      </c>
      <c r="O1220" s="10" t="n">
        <f aca="false">'Exec Summary'!$E$2-H1220</f>
        <v>240</v>
      </c>
      <c r="P1220" s="10" t="str">
        <f aca="false">IF(I1220="","",I1220-H1220)</f>
        <v/>
      </c>
      <c r="Q1220" s="10" t="n">
        <f aca="false">VLOOKUP(G1220,$AA$2:$AB$5,2,FALSE())</f>
        <v>15</v>
      </c>
      <c r="R1220" s="7" t="n">
        <f aca="false">IF(OR(F1220="Open",F1220="Reopened"),1,0)</f>
        <v>1</v>
      </c>
      <c r="S1220" s="7" t="n">
        <f aca="false">IF(AND(H1220&gt;='Exec Summary'!$E$1,H1220&lt;='Exec Summary'!$E$2),1,0)</f>
        <v>0</v>
      </c>
      <c r="T1220" s="7" t="n">
        <f aca="false">IF(AND(F1220="Closed",I1220&lt;&gt;"",I1220&gt;='Exec Summary'!$E$1,I1220&lt;='Exec Summary'!$E$2),1,0)</f>
        <v>0</v>
      </c>
      <c r="U1220" s="7" t="n">
        <f aca="false">IF(F1220="Reopened",1,0)</f>
        <v>0</v>
      </c>
      <c r="V1220" s="7" t="n">
        <f aca="false">IF(AND(R1220=1,O1220&gt;Q1220),1,0)</f>
        <v>1</v>
      </c>
      <c r="W1220" s="7" t="n">
        <f aca="false">IF(AND(T1220=1,P1220&lt;&gt;"",P1220&lt;=Q1220),1,0)</f>
        <v>0</v>
      </c>
    </row>
    <row r="1221" customFormat="false" ht="15" hidden="false" customHeight="false" outlineLevel="0" collapsed="false">
      <c r="A1221" s="7" t="s">
        <v>1506</v>
      </c>
      <c r="B1221" s="7" t="s">
        <v>46</v>
      </c>
      <c r="C1221" s="7" t="s">
        <v>128</v>
      </c>
      <c r="D1221" s="7" t="s">
        <v>81</v>
      </c>
      <c r="E1221" s="7" t="s">
        <v>82</v>
      </c>
      <c r="F1221" s="7" t="s">
        <v>50</v>
      </c>
      <c r="G1221" s="7" t="s">
        <v>20</v>
      </c>
      <c r="H1221" s="9" t="n">
        <v>46108</v>
      </c>
      <c r="I1221" s="9" t="n">
        <v>46138</v>
      </c>
      <c r="J1221" s="7" t="n">
        <v>7.8</v>
      </c>
      <c r="K1221" s="7" t="s">
        <v>1392</v>
      </c>
      <c r="L1221" s="7" t="s">
        <v>21</v>
      </c>
      <c r="M1221" s="7" t="s">
        <v>1510</v>
      </c>
      <c r="N1221" s="7" t="s">
        <v>53</v>
      </c>
      <c r="O1221" s="10" t="n">
        <f aca="false">'Exec Summary'!$E$2-H1221</f>
        <v>126</v>
      </c>
      <c r="P1221" s="10" t="n">
        <f aca="false">IF(I1221="","",I1221-H1221)</f>
        <v>30</v>
      </c>
      <c r="Q1221" s="10" t="n">
        <f aca="false">VLOOKUP(G1221,$AA$2:$AB$5,2,FALSE())</f>
        <v>30</v>
      </c>
      <c r="R1221" s="7" t="n">
        <f aca="false">IF(OR(F1221="Open",F1221="Reopened"),1,0)</f>
        <v>0</v>
      </c>
      <c r="S1221" s="7" t="n">
        <f aca="false">IF(AND(H1221&gt;='Exec Summary'!$E$1,H1221&lt;='Exec Summary'!$E$2),1,0)</f>
        <v>0</v>
      </c>
      <c r="T1221" s="7" t="n">
        <f aca="false">IF(AND(F1221="Closed",I1221&lt;&gt;"",I1221&gt;='Exec Summary'!$E$1,I1221&lt;='Exec Summary'!$E$2),1,0)</f>
        <v>0</v>
      </c>
      <c r="U1221" s="7" t="n">
        <f aca="false">IF(F1221="Reopened",1,0)</f>
        <v>0</v>
      </c>
      <c r="V1221" s="7" t="n">
        <f aca="false">IF(AND(R1221=1,O1221&gt;Q1221),1,0)</f>
        <v>0</v>
      </c>
      <c r="W1221" s="7" t="n">
        <f aca="false">IF(AND(T1221=1,P1221&lt;&gt;"",P1221&lt;=Q1221),1,0)</f>
        <v>0</v>
      </c>
    </row>
    <row r="1222" customFormat="false" ht="15" hidden="false" customHeight="false" outlineLevel="0" collapsed="false">
      <c r="A1222" s="7" t="s">
        <v>1506</v>
      </c>
      <c r="B1222" s="7" t="s">
        <v>46</v>
      </c>
      <c r="C1222" s="7" t="s">
        <v>128</v>
      </c>
      <c r="D1222" s="7" t="s">
        <v>65</v>
      </c>
      <c r="E1222" s="7" t="s">
        <v>66</v>
      </c>
      <c r="F1222" s="7" t="s">
        <v>56</v>
      </c>
      <c r="G1222" s="7" t="s">
        <v>19</v>
      </c>
      <c r="H1222" s="9" t="n">
        <v>46212</v>
      </c>
      <c r="I1222" s="9"/>
      <c r="J1222" s="7" t="n">
        <v>9.8</v>
      </c>
      <c r="K1222" s="7" t="s">
        <v>1392</v>
      </c>
      <c r="L1222" s="7" t="s">
        <v>21</v>
      </c>
      <c r="M1222" s="7" t="s">
        <v>1511</v>
      </c>
      <c r="N1222" s="7" t="s">
        <v>58</v>
      </c>
      <c r="O1222" s="10" t="n">
        <f aca="false">'Exec Summary'!$E$2-H1222</f>
        <v>22</v>
      </c>
      <c r="P1222" s="10" t="str">
        <f aca="false">IF(I1222="","",I1222-H1222)</f>
        <v/>
      </c>
      <c r="Q1222" s="10" t="n">
        <f aca="false">VLOOKUP(G1222,$AA$2:$AB$5,2,FALSE())</f>
        <v>15</v>
      </c>
      <c r="R1222" s="7" t="n">
        <f aca="false">IF(OR(F1222="Open",F1222="Reopened"),1,0)</f>
        <v>1</v>
      </c>
      <c r="S1222" s="7" t="n">
        <f aca="false">IF(AND(H1222&gt;='Exec Summary'!$E$1,H1222&lt;='Exec Summary'!$E$2),1,0)</f>
        <v>1</v>
      </c>
      <c r="T1222" s="7" t="n">
        <f aca="false">IF(AND(F1222="Closed",I1222&lt;&gt;"",I1222&gt;='Exec Summary'!$E$1,I1222&lt;='Exec Summary'!$E$2),1,0)</f>
        <v>0</v>
      </c>
      <c r="U1222" s="7" t="n">
        <f aca="false">IF(F1222="Reopened",1,0)</f>
        <v>0</v>
      </c>
      <c r="V1222" s="7" t="n">
        <f aca="false">IF(AND(R1222=1,O1222&gt;Q1222),1,0)</f>
        <v>1</v>
      </c>
      <c r="W1222" s="7" t="n">
        <f aca="false">IF(AND(T1222=1,P1222&lt;&gt;"",P1222&lt;=Q1222),1,0)</f>
        <v>0</v>
      </c>
    </row>
    <row r="1223" customFormat="false" ht="15" hidden="false" customHeight="false" outlineLevel="0" collapsed="false">
      <c r="A1223" s="7" t="s">
        <v>1506</v>
      </c>
      <c r="B1223" s="7" t="s">
        <v>46</v>
      </c>
      <c r="C1223" s="7" t="s">
        <v>128</v>
      </c>
      <c r="D1223" s="7" t="s">
        <v>166</v>
      </c>
      <c r="E1223" s="7" t="s">
        <v>167</v>
      </c>
      <c r="F1223" s="7" t="s">
        <v>50</v>
      </c>
      <c r="G1223" s="7" t="s">
        <v>19</v>
      </c>
      <c r="H1223" s="9" t="n">
        <v>46070</v>
      </c>
      <c r="I1223" s="9" t="n">
        <v>46071</v>
      </c>
      <c r="J1223" s="7" t="n">
        <v>9.8</v>
      </c>
      <c r="K1223" s="7" t="s">
        <v>1392</v>
      </c>
      <c r="L1223" s="7" t="s">
        <v>21</v>
      </c>
      <c r="M1223" s="7" t="s">
        <v>1512</v>
      </c>
      <c r="N1223" s="7" t="s">
        <v>58</v>
      </c>
      <c r="O1223" s="10" t="n">
        <f aca="false">'Exec Summary'!$E$2-H1223</f>
        <v>164</v>
      </c>
      <c r="P1223" s="10" t="n">
        <f aca="false">IF(I1223="","",I1223-H1223)</f>
        <v>1</v>
      </c>
      <c r="Q1223" s="10" t="n">
        <f aca="false">VLOOKUP(G1223,$AA$2:$AB$5,2,FALSE())</f>
        <v>15</v>
      </c>
      <c r="R1223" s="7" t="n">
        <f aca="false">IF(OR(F1223="Open",F1223="Reopened"),1,0)</f>
        <v>0</v>
      </c>
      <c r="S1223" s="7" t="n">
        <f aca="false">IF(AND(H1223&gt;='Exec Summary'!$E$1,H1223&lt;='Exec Summary'!$E$2),1,0)</f>
        <v>0</v>
      </c>
      <c r="T1223" s="7" t="n">
        <f aca="false">IF(AND(F1223="Closed",I1223&lt;&gt;"",I1223&gt;='Exec Summary'!$E$1,I1223&lt;='Exec Summary'!$E$2),1,0)</f>
        <v>0</v>
      </c>
      <c r="U1223" s="7" t="n">
        <f aca="false">IF(F1223="Reopened",1,0)</f>
        <v>0</v>
      </c>
      <c r="V1223" s="7" t="n">
        <f aca="false">IF(AND(R1223=1,O1223&gt;Q1223),1,0)</f>
        <v>0</v>
      </c>
      <c r="W1223" s="7" t="n">
        <f aca="false">IF(AND(T1223=1,P1223&lt;&gt;"",P1223&lt;=Q1223),1,0)</f>
        <v>0</v>
      </c>
    </row>
    <row r="1224" customFormat="false" ht="15" hidden="false" customHeight="false" outlineLevel="0" collapsed="false">
      <c r="A1224" s="7" t="s">
        <v>1506</v>
      </c>
      <c r="B1224" s="7" t="s">
        <v>46</v>
      </c>
      <c r="C1224" s="7" t="s">
        <v>128</v>
      </c>
      <c r="D1224" s="7" t="s">
        <v>104</v>
      </c>
      <c r="E1224" s="7" t="s">
        <v>105</v>
      </c>
      <c r="F1224" s="7" t="s">
        <v>123</v>
      </c>
      <c r="G1224" s="7" t="s">
        <v>19</v>
      </c>
      <c r="H1224" s="9" t="n">
        <v>46110</v>
      </c>
      <c r="I1224" s="9" t="n">
        <v>46132</v>
      </c>
      <c r="J1224" s="7" t="n">
        <v>9.8</v>
      </c>
      <c r="K1224" s="7" t="s">
        <v>1392</v>
      </c>
      <c r="L1224" s="7" t="s">
        <v>21</v>
      </c>
      <c r="M1224" s="7" t="s">
        <v>1513</v>
      </c>
      <c r="N1224" s="7" t="s">
        <v>58</v>
      </c>
      <c r="O1224" s="10" t="n">
        <f aca="false">'Exec Summary'!$E$2-H1224</f>
        <v>124</v>
      </c>
      <c r="P1224" s="10" t="n">
        <f aca="false">IF(I1224="","",I1224-H1224)</f>
        <v>22</v>
      </c>
      <c r="Q1224" s="10" t="n">
        <f aca="false">VLOOKUP(G1224,$AA$2:$AB$5,2,FALSE())</f>
        <v>15</v>
      </c>
      <c r="R1224" s="7" t="n">
        <f aca="false">IF(OR(F1224="Open",F1224="Reopened"),1,0)</f>
        <v>1</v>
      </c>
      <c r="S1224" s="7" t="n">
        <f aca="false">IF(AND(H1224&gt;='Exec Summary'!$E$1,H1224&lt;='Exec Summary'!$E$2),1,0)</f>
        <v>0</v>
      </c>
      <c r="T1224" s="7" t="n">
        <f aca="false">IF(AND(F1224="Closed",I1224&lt;&gt;"",I1224&gt;='Exec Summary'!$E$1,I1224&lt;='Exec Summary'!$E$2),1,0)</f>
        <v>0</v>
      </c>
      <c r="U1224" s="7" t="n">
        <f aca="false">IF(F1224="Reopened",1,0)</f>
        <v>1</v>
      </c>
      <c r="V1224" s="7" t="n">
        <f aca="false">IF(AND(R1224=1,O1224&gt;Q1224),1,0)</f>
        <v>1</v>
      </c>
      <c r="W1224" s="7" t="n">
        <f aca="false">IF(AND(T1224=1,P1224&lt;&gt;"",P1224&lt;=Q1224),1,0)</f>
        <v>0</v>
      </c>
    </row>
    <row r="1225" customFormat="false" ht="15" hidden="false" customHeight="false" outlineLevel="0" collapsed="false">
      <c r="A1225" s="7" t="s">
        <v>1506</v>
      </c>
      <c r="B1225" s="7" t="s">
        <v>46</v>
      </c>
      <c r="C1225" s="7" t="s">
        <v>128</v>
      </c>
      <c r="D1225" s="7" t="s">
        <v>74</v>
      </c>
      <c r="E1225" s="7" t="s">
        <v>75</v>
      </c>
      <c r="F1225" s="7" t="s">
        <v>50</v>
      </c>
      <c r="G1225" s="7" t="s">
        <v>21</v>
      </c>
      <c r="H1225" s="9" t="n">
        <v>46152</v>
      </c>
      <c r="I1225" s="9" t="n">
        <v>46234</v>
      </c>
      <c r="J1225" s="7" t="n">
        <v>6.5</v>
      </c>
      <c r="K1225" s="7" t="s">
        <v>1392</v>
      </c>
      <c r="L1225" s="7" t="s">
        <v>21</v>
      </c>
      <c r="M1225" s="7" t="s">
        <v>1514</v>
      </c>
      <c r="N1225" s="7" t="s">
        <v>77</v>
      </c>
      <c r="O1225" s="10" t="n">
        <f aca="false">'Exec Summary'!$E$2-H1225</f>
        <v>82</v>
      </c>
      <c r="P1225" s="10" t="n">
        <f aca="false">IF(I1225="","",I1225-H1225)</f>
        <v>82</v>
      </c>
      <c r="Q1225" s="10" t="n">
        <f aca="false">VLOOKUP(G1225,$AA$2:$AB$5,2,FALSE())</f>
        <v>90</v>
      </c>
      <c r="R1225" s="7" t="n">
        <f aca="false">IF(OR(F1225="Open",F1225="Reopened"),1,0)</f>
        <v>0</v>
      </c>
      <c r="S1225" s="7" t="n">
        <f aca="false">IF(AND(H1225&gt;='Exec Summary'!$E$1,H1225&lt;='Exec Summary'!$E$2),1,0)</f>
        <v>0</v>
      </c>
      <c r="T1225" s="7" t="n">
        <f aca="false">IF(AND(F1225="Closed",I1225&lt;&gt;"",I1225&gt;='Exec Summary'!$E$1,I1225&lt;='Exec Summary'!$E$2),1,0)</f>
        <v>1</v>
      </c>
      <c r="U1225" s="7" t="n">
        <f aca="false">IF(F1225="Reopened",1,0)</f>
        <v>0</v>
      </c>
      <c r="V1225" s="7" t="n">
        <f aca="false">IF(AND(R1225=1,O1225&gt;Q1225),1,0)</f>
        <v>0</v>
      </c>
      <c r="W1225" s="7" t="n">
        <f aca="false">IF(AND(T1225=1,P1225&lt;&gt;"",P1225&lt;=Q1225),1,0)</f>
        <v>1</v>
      </c>
    </row>
    <row r="1226" customFormat="false" ht="15" hidden="false" customHeight="false" outlineLevel="0" collapsed="false">
      <c r="A1226" s="7" t="s">
        <v>1506</v>
      </c>
      <c r="B1226" s="7" t="s">
        <v>46</v>
      </c>
      <c r="C1226" s="7" t="s">
        <v>128</v>
      </c>
      <c r="D1226" s="7" t="s">
        <v>108</v>
      </c>
      <c r="E1226" s="7" t="s">
        <v>109</v>
      </c>
      <c r="F1226" s="7" t="s">
        <v>56</v>
      </c>
      <c r="G1226" s="7" t="s">
        <v>20</v>
      </c>
      <c r="H1226" s="9" t="n">
        <v>46031</v>
      </c>
      <c r="I1226" s="9"/>
      <c r="J1226" s="7" t="n">
        <v>8.6</v>
      </c>
      <c r="K1226" s="7" t="s">
        <v>1392</v>
      </c>
      <c r="L1226" s="7" t="s">
        <v>21</v>
      </c>
      <c r="M1226" s="7" t="s">
        <v>1515</v>
      </c>
      <c r="N1226" s="7" t="s">
        <v>53</v>
      </c>
      <c r="O1226" s="10" t="n">
        <f aca="false">'Exec Summary'!$E$2-H1226</f>
        <v>203</v>
      </c>
      <c r="P1226" s="10" t="str">
        <f aca="false">IF(I1226="","",I1226-H1226)</f>
        <v/>
      </c>
      <c r="Q1226" s="10" t="n">
        <f aca="false">VLOOKUP(G1226,$AA$2:$AB$5,2,FALSE())</f>
        <v>30</v>
      </c>
      <c r="R1226" s="7" t="n">
        <f aca="false">IF(OR(F1226="Open",F1226="Reopened"),1,0)</f>
        <v>1</v>
      </c>
      <c r="S1226" s="7" t="n">
        <f aca="false">IF(AND(H1226&gt;='Exec Summary'!$E$1,H1226&lt;='Exec Summary'!$E$2),1,0)</f>
        <v>0</v>
      </c>
      <c r="T1226" s="7" t="n">
        <f aca="false">IF(AND(F1226="Closed",I1226&lt;&gt;"",I1226&gt;='Exec Summary'!$E$1,I1226&lt;='Exec Summary'!$E$2),1,0)</f>
        <v>0</v>
      </c>
      <c r="U1226" s="7" t="n">
        <f aca="false">IF(F1226="Reopened",1,0)</f>
        <v>0</v>
      </c>
      <c r="V1226" s="7" t="n">
        <f aca="false">IF(AND(R1226=1,O1226&gt;Q1226),1,0)</f>
        <v>1</v>
      </c>
      <c r="W1226" s="7" t="n">
        <f aca="false">IF(AND(T1226=1,P1226&lt;&gt;"",P1226&lt;=Q1226),1,0)</f>
        <v>0</v>
      </c>
    </row>
    <row r="1227" customFormat="false" ht="15" hidden="false" customHeight="false" outlineLevel="0" collapsed="false">
      <c r="A1227" s="7" t="s">
        <v>1506</v>
      </c>
      <c r="B1227" s="7" t="s">
        <v>46</v>
      </c>
      <c r="C1227" s="7" t="s">
        <v>128</v>
      </c>
      <c r="D1227" s="7" t="s">
        <v>68</v>
      </c>
      <c r="E1227" s="7" t="s">
        <v>69</v>
      </c>
      <c r="F1227" s="7" t="s">
        <v>56</v>
      </c>
      <c r="G1227" s="7" t="s">
        <v>19</v>
      </c>
      <c r="H1227" s="9" t="n">
        <v>46106</v>
      </c>
      <c r="I1227" s="9"/>
      <c r="J1227" s="7" t="n">
        <v>9.8</v>
      </c>
      <c r="K1227" s="7" t="s">
        <v>1392</v>
      </c>
      <c r="L1227" s="7" t="s">
        <v>21</v>
      </c>
      <c r="M1227" s="7" t="s">
        <v>1516</v>
      </c>
      <c r="N1227" s="7" t="s">
        <v>58</v>
      </c>
      <c r="O1227" s="10" t="n">
        <f aca="false">'Exec Summary'!$E$2-H1227</f>
        <v>128</v>
      </c>
      <c r="P1227" s="10" t="str">
        <f aca="false">IF(I1227="","",I1227-H1227)</f>
        <v/>
      </c>
      <c r="Q1227" s="10" t="n">
        <f aca="false">VLOOKUP(G1227,$AA$2:$AB$5,2,FALSE())</f>
        <v>15</v>
      </c>
      <c r="R1227" s="7" t="n">
        <f aca="false">IF(OR(F1227="Open",F1227="Reopened"),1,0)</f>
        <v>1</v>
      </c>
      <c r="S1227" s="7" t="n">
        <f aca="false">IF(AND(H1227&gt;='Exec Summary'!$E$1,H1227&lt;='Exec Summary'!$E$2),1,0)</f>
        <v>0</v>
      </c>
      <c r="T1227" s="7" t="n">
        <f aca="false">IF(AND(F1227="Closed",I1227&lt;&gt;"",I1227&gt;='Exec Summary'!$E$1,I1227&lt;='Exec Summary'!$E$2),1,0)</f>
        <v>0</v>
      </c>
      <c r="U1227" s="7" t="n">
        <f aca="false">IF(F1227="Reopened",1,0)</f>
        <v>0</v>
      </c>
      <c r="V1227" s="7" t="n">
        <f aca="false">IF(AND(R1227=1,O1227&gt;Q1227),1,0)</f>
        <v>1</v>
      </c>
      <c r="W1227" s="7" t="n">
        <f aca="false">IF(AND(T1227=1,P1227&lt;&gt;"",P1227&lt;=Q1227),1,0)</f>
        <v>0</v>
      </c>
    </row>
    <row r="1228" customFormat="false" ht="15" hidden="false" customHeight="false" outlineLevel="0" collapsed="false">
      <c r="A1228" s="7" t="s">
        <v>1517</v>
      </c>
      <c r="B1228" s="7" t="s">
        <v>46</v>
      </c>
      <c r="C1228" s="7" t="s">
        <v>128</v>
      </c>
      <c r="D1228" s="7" t="s">
        <v>120</v>
      </c>
      <c r="E1228" s="7" t="s">
        <v>121</v>
      </c>
      <c r="F1228" s="7" t="s">
        <v>50</v>
      </c>
      <c r="G1228" s="7" t="s">
        <v>19</v>
      </c>
      <c r="H1228" s="9" t="n">
        <v>46048</v>
      </c>
      <c r="I1228" s="9" t="n">
        <v>46055</v>
      </c>
      <c r="J1228" s="7" t="n">
        <v>8.8</v>
      </c>
      <c r="K1228" s="7" t="s">
        <v>1392</v>
      </c>
      <c r="L1228" s="7" t="s">
        <v>22</v>
      </c>
      <c r="M1228" s="7" t="s">
        <v>1518</v>
      </c>
      <c r="N1228" s="7" t="s">
        <v>58</v>
      </c>
      <c r="O1228" s="10" t="n">
        <f aca="false">'Exec Summary'!$E$2-H1228</f>
        <v>186</v>
      </c>
      <c r="P1228" s="10" t="n">
        <f aca="false">IF(I1228="","",I1228-H1228)</f>
        <v>7</v>
      </c>
      <c r="Q1228" s="10" t="n">
        <f aca="false">VLOOKUP(G1228,$AA$2:$AB$5,2,FALSE())</f>
        <v>15</v>
      </c>
      <c r="R1228" s="7" t="n">
        <f aca="false">IF(OR(F1228="Open",F1228="Reopened"),1,0)</f>
        <v>0</v>
      </c>
      <c r="S1228" s="7" t="n">
        <f aca="false">IF(AND(H1228&gt;='Exec Summary'!$E$1,H1228&lt;='Exec Summary'!$E$2),1,0)</f>
        <v>0</v>
      </c>
      <c r="T1228" s="7" t="n">
        <f aca="false">IF(AND(F1228="Closed",I1228&lt;&gt;"",I1228&gt;='Exec Summary'!$E$1,I1228&lt;='Exec Summary'!$E$2),1,0)</f>
        <v>0</v>
      </c>
      <c r="U1228" s="7" t="n">
        <f aca="false">IF(F1228="Reopened",1,0)</f>
        <v>0</v>
      </c>
      <c r="V1228" s="7" t="n">
        <f aca="false">IF(AND(R1228=1,O1228&gt;Q1228),1,0)</f>
        <v>0</v>
      </c>
      <c r="W1228" s="7" t="n">
        <f aca="false">IF(AND(T1228=1,P1228&lt;&gt;"",P1228&lt;=Q1228),1,0)</f>
        <v>0</v>
      </c>
    </row>
    <row r="1229" customFormat="false" ht="15" hidden="false" customHeight="false" outlineLevel="0" collapsed="false">
      <c r="A1229" s="7" t="s">
        <v>1517</v>
      </c>
      <c r="B1229" s="7" t="s">
        <v>46</v>
      </c>
      <c r="C1229" s="7" t="s">
        <v>128</v>
      </c>
      <c r="D1229" s="7" t="s">
        <v>152</v>
      </c>
      <c r="E1229" s="7" t="s">
        <v>153</v>
      </c>
      <c r="F1229" s="7" t="s">
        <v>56</v>
      </c>
      <c r="G1229" s="7" t="s">
        <v>20</v>
      </c>
      <c r="H1229" s="9" t="n">
        <v>45966</v>
      </c>
      <c r="I1229" s="9"/>
      <c r="J1229" s="7" t="n">
        <v>7.5</v>
      </c>
      <c r="K1229" s="7" t="s">
        <v>1392</v>
      </c>
      <c r="L1229" s="7" t="s">
        <v>22</v>
      </c>
      <c r="M1229" s="7" t="s">
        <v>1519</v>
      </c>
      <c r="N1229" s="7" t="s">
        <v>53</v>
      </c>
      <c r="O1229" s="10" t="n">
        <f aca="false">'Exec Summary'!$E$2-H1229</f>
        <v>268</v>
      </c>
      <c r="P1229" s="10" t="str">
        <f aca="false">IF(I1229="","",I1229-H1229)</f>
        <v/>
      </c>
      <c r="Q1229" s="10" t="n">
        <f aca="false">VLOOKUP(G1229,$AA$2:$AB$5,2,FALSE())</f>
        <v>30</v>
      </c>
      <c r="R1229" s="7" t="n">
        <f aca="false">IF(OR(F1229="Open",F1229="Reopened"),1,0)</f>
        <v>1</v>
      </c>
      <c r="S1229" s="7" t="n">
        <f aca="false">IF(AND(H1229&gt;='Exec Summary'!$E$1,H1229&lt;='Exec Summary'!$E$2),1,0)</f>
        <v>0</v>
      </c>
      <c r="T1229" s="7" t="n">
        <f aca="false">IF(AND(F1229="Closed",I1229&lt;&gt;"",I1229&gt;='Exec Summary'!$E$1,I1229&lt;='Exec Summary'!$E$2),1,0)</f>
        <v>0</v>
      </c>
      <c r="U1229" s="7" t="n">
        <f aca="false">IF(F1229="Reopened",1,0)</f>
        <v>0</v>
      </c>
      <c r="V1229" s="7" t="n">
        <f aca="false">IF(AND(R1229=1,O1229&gt;Q1229),1,0)</f>
        <v>1</v>
      </c>
      <c r="W1229" s="7" t="n">
        <f aca="false">IF(AND(T1229=1,P1229&lt;&gt;"",P1229&lt;=Q1229),1,0)</f>
        <v>0</v>
      </c>
    </row>
    <row r="1230" customFormat="false" ht="15" hidden="false" customHeight="false" outlineLevel="0" collapsed="false">
      <c r="A1230" s="7" t="s">
        <v>1517</v>
      </c>
      <c r="B1230" s="7" t="s">
        <v>46</v>
      </c>
      <c r="C1230" s="7" t="s">
        <v>128</v>
      </c>
      <c r="D1230" s="7" t="s">
        <v>87</v>
      </c>
      <c r="E1230" s="7" t="s">
        <v>88</v>
      </c>
      <c r="F1230" s="7" t="s">
        <v>123</v>
      </c>
      <c r="G1230" s="7" t="s">
        <v>19</v>
      </c>
      <c r="H1230" s="9" t="n">
        <v>46132</v>
      </c>
      <c r="I1230" s="9" t="n">
        <v>46136</v>
      </c>
      <c r="J1230" s="7" t="n">
        <v>10</v>
      </c>
      <c r="K1230" s="7" t="s">
        <v>1392</v>
      </c>
      <c r="L1230" s="7" t="s">
        <v>22</v>
      </c>
      <c r="M1230" s="7" t="s">
        <v>1520</v>
      </c>
      <c r="N1230" s="7" t="s">
        <v>58</v>
      </c>
      <c r="O1230" s="10" t="n">
        <f aca="false">'Exec Summary'!$E$2-H1230</f>
        <v>102</v>
      </c>
      <c r="P1230" s="10" t="n">
        <f aca="false">IF(I1230="","",I1230-H1230)</f>
        <v>4</v>
      </c>
      <c r="Q1230" s="10" t="n">
        <f aca="false">VLOOKUP(G1230,$AA$2:$AB$5,2,FALSE())</f>
        <v>15</v>
      </c>
      <c r="R1230" s="7" t="n">
        <f aca="false">IF(OR(F1230="Open",F1230="Reopened"),1,0)</f>
        <v>1</v>
      </c>
      <c r="S1230" s="7" t="n">
        <f aca="false">IF(AND(H1230&gt;='Exec Summary'!$E$1,H1230&lt;='Exec Summary'!$E$2),1,0)</f>
        <v>0</v>
      </c>
      <c r="T1230" s="7" t="n">
        <f aca="false">IF(AND(F1230="Closed",I1230&lt;&gt;"",I1230&gt;='Exec Summary'!$E$1,I1230&lt;='Exec Summary'!$E$2),1,0)</f>
        <v>0</v>
      </c>
      <c r="U1230" s="7" t="n">
        <f aca="false">IF(F1230="Reopened",1,0)</f>
        <v>1</v>
      </c>
      <c r="V1230" s="7" t="n">
        <f aca="false">IF(AND(R1230=1,O1230&gt;Q1230),1,0)</f>
        <v>1</v>
      </c>
      <c r="W1230" s="7" t="n">
        <f aca="false">IF(AND(T1230=1,P1230&lt;&gt;"",P1230&lt;=Q1230),1,0)</f>
        <v>0</v>
      </c>
    </row>
    <row r="1231" customFormat="false" ht="15" hidden="false" customHeight="false" outlineLevel="0" collapsed="false">
      <c r="A1231" s="7" t="s">
        <v>1517</v>
      </c>
      <c r="B1231" s="7" t="s">
        <v>46</v>
      </c>
      <c r="C1231" s="7" t="s">
        <v>128</v>
      </c>
      <c r="D1231" s="7" t="s">
        <v>108</v>
      </c>
      <c r="E1231" s="7" t="s">
        <v>109</v>
      </c>
      <c r="F1231" s="7" t="s">
        <v>56</v>
      </c>
      <c r="G1231" s="7" t="s">
        <v>20</v>
      </c>
      <c r="H1231" s="9" t="n">
        <v>46105</v>
      </c>
      <c r="I1231" s="9"/>
      <c r="J1231" s="7" t="n">
        <v>8.6</v>
      </c>
      <c r="K1231" s="7" t="s">
        <v>1392</v>
      </c>
      <c r="L1231" s="7" t="s">
        <v>22</v>
      </c>
      <c r="M1231" s="7" t="s">
        <v>1521</v>
      </c>
      <c r="N1231" s="7" t="s">
        <v>53</v>
      </c>
      <c r="O1231" s="10" t="n">
        <f aca="false">'Exec Summary'!$E$2-H1231</f>
        <v>129</v>
      </c>
      <c r="P1231" s="10" t="str">
        <f aca="false">IF(I1231="","",I1231-H1231)</f>
        <v/>
      </c>
      <c r="Q1231" s="10" t="n">
        <f aca="false">VLOOKUP(G1231,$AA$2:$AB$5,2,FALSE())</f>
        <v>30</v>
      </c>
      <c r="R1231" s="7" t="n">
        <f aca="false">IF(OR(F1231="Open",F1231="Reopened"),1,0)</f>
        <v>1</v>
      </c>
      <c r="S1231" s="7" t="n">
        <f aca="false">IF(AND(H1231&gt;='Exec Summary'!$E$1,H1231&lt;='Exec Summary'!$E$2),1,0)</f>
        <v>0</v>
      </c>
      <c r="T1231" s="7" t="n">
        <f aca="false">IF(AND(F1231="Closed",I1231&lt;&gt;"",I1231&gt;='Exec Summary'!$E$1,I1231&lt;='Exec Summary'!$E$2),1,0)</f>
        <v>0</v>
      </c>
      <c r="U1231" s="7" t="n">
        <f aca="false">IF(F1231="Reopened",1,0)</f>
        <v>0</v>
      </c>
      <c r="V1231" s="7" t="n">
        <f aca="false">IF(AND(R1231=1,O1231&gt;Q1231),1,0)</f>
        <v>1</v>
      </c>
      <c r="W1231" s="7" t="n">
        <f aca="false">IF(AND(T1231=1,P1231&lt;&gt;"",P1231&lt;=Q1231),1,0)</f>
        <v>0</v>
      </c>
    </row>
    <row r="1232" customFormat="false" ht="15" hidden="false" customHeight="false" outlineLevel="0" collapsed="false">
      <c r="A1232" s="7" t="s">
        <v>1517</v>
      </c>
      <c r="B1232" s="7" t="s">
        <v>46</v>
      </c>
      <c r="C1232" s="7" t="s">
        <v>128</v>
      </c>
      <c r="D1232" s="7" t="s">
        <v>95</v>
      </c>
      <c r="E1232" s="7" t="s">
        <v>96</v>
      </c>
      <c r="F1232" s="7" t="s">
        <v>56</v>
      </c>
      <c r="G1232" s="7" t="s">
        <v>20</v>
      </c>
      <c r="H1232" s="9" t="n">
        <v>45958</v>
      </c>
      <c r="I1232" s="9"/>
      <c r="J1232" s="7" t="n">
        <v>8.8</v>
      </c>
      <c r="K1232" s="7" t="s">
        <v>1392</v>
      </c>
      <c r="L1232" s="7" t="s">
        <v>22</v>
      </c>
      <c r="M1232" s="7" t="s">
        <v>1522</v>
      </c>
      <c r="N1232" s="7" t="s">
        <v>53</v>
      </c>
      <c r="O1232" s="10" t="n">
        <f aca="false">'Exec Summary'!$E$2-H1232</f>
        <v>276</v>
      </c>
      <c r="P1232" s="10" t="str">
        <f aca="false">IF(I1232="","",I1232-H1232)</f>
        <v/>
      </c>
      <c r="Q1232" s="10" t="n">
        <f aca="false">VLOOKUP(G1232,$AA$2:$AB$5,2,FALSE())</f>
        <v>30</v>
      </c>
      <c r="R1232" s="7" t="n">
        <f aca="false">IF(OR(F1232="Open",F1232="Reopened"),1,0)</f>
        <v>1</v>
      </c>
      <c r="S1232" s="7" t="n">
        <f aca="false">IF(AND(H1232&gt;='Exec Summary'!$E$1,H1232&lt;='Exec Summary'!$E$2),1,0)</f>
        <v>0</v>
      </c>
      <c r="T1232" s="7" t="n">
        <f aca="false">IF(AND(F1232="Closed",I1232&lt;&gt;"",I1232&gt;='Exec Summary'!$E$1,I1232&lt;='Exec Summary'!$E$2),1,0)</f>
        <v>0</v>
      </c>
      <c r="U1232" s="7" t="n">
        <f aca="false">IF(F1232="Reopened",1,0)</f>
        <v>0</v>
      </c>
      <c r="V1232" s="7" t="n">
        <f aca="false">IF(AND(R1232=1,O1232&gt;Q1232),1,0)</f>
        <v>1</v>
      </c>
      <c r="W1232" s="7" t="n">
        <f aca="false">IF(AND(T1232=1,P1232&lt;&gt;"",P1232&lt;=Q1232),1,0)</f>
        <v>0</v>
      </c>
    </row>
    <row r="1233" customFormat="false" ht="15" hidden="false" customHeight="false" outlineLevel="0" collapsed="false">
      <c r="A1233" s="7" t="s">
        <v>1517</v>
      </c>
      <c r="B1233" s="7" t="s">
        <v>46</v>
      </c>
      <c r="C1233" s="7" t="s">
        <v>128</v>
      </c>
      <c r="D1233" s="7" t="s">
        <v>104</v>
      </c>
      <c r="E1233" s="7" t="s">
        <v>105</v>
      </c>
      <c r="F1233" s="7" t="s">
        <v>50</v>
      </c>
      <c r="G1233" s="7" t="s">
        <v>19</v>
      </c>
      <c r="H1233" s="9" t="n">
        <v>46204</v>
      </c>
      <c r="I1233" s="9" t="n">
        <v>46213</v>
      </c>
      <c r="J1233" s="7" t="n">
        <v>9.8</v>
      </c>
      <c r="K1233" s="7" t="s">
        <v>1392</v>
      </c>
      <c r="L1233" s="7" t="s">
        <v>22</v>
      </c>
      <c r="M1233" s="7" t="s">
        <v>1523</v>
      </c>
      <c r="N1233" s="7" t="s">
        <v>58</v>
      </c>
      <c r="O1233" s="10" t="n">
        <f aca="false">'Exec Summary'!$E$2-H1233</f>
        <v>30</v>
      </c>
      <c r="P1233" s="10" t="n">
        <f aca="false">IF(I1233="","",I1233-H1233)</f>
        <v>9</v>
      </c>
      <c r="Q1233" s="10" t="n">
        <f aca="false">VLOOKUP(G1233,$AA$2:$AB$5,2,FALSE())</f>
        <v>15</v>
      </c>
      <c r="R1233" s="7" t="n">
        <f aca="false">IF(OR(F1233="Open",F1233="Reopened"),1,0)</f>
        <v>0</v>
      </c>
      <c r="S1233" s="7" t="n">
        <f aca="false">IF(AND(H1233&gt;='Exec Summary'!$E$1,H1233&lt;='Exec Summary'!$E$2),1,0)</f>
        <v>1</v>
      </c>
      <c r="T1233" s="7" t="n">
        <f aca="false">IF(AND(F1233="Closed",I1233&lt;&gt;"",I1233&gt;='Exec Summary'!$E$1,I1233&lt;='Exec Summary'!$E$2),1,0)</f>
        <v>1</v>
      </c>
      <c r="U1233" s="7" t="n">
        <f aca="false">IF(F1233="Reopened",1,0)</f>
        <v>0</v>
      </c>
      <c r="V1233" s="7" t="n">
        <f aca="false">IF(AND(R1233=1,O1233&gt;Q1233),1,0)</f>
        <v>0</v>
      </c>
      <c r="W1233" s="7" t="n">
        <f aca="false">IF(AND(T1233=1,P1233&lt;&gt;"",P1233&lt;=Q1233),1,0)</f>
        <v>1</v>
      </c>
    </row>
    <row r="1234" customFormat="false" ht="15" hidden="false" customHeight="false" outlineLevel="0" collapsed="false">
      <c r="A1234" s="7" t="s">
        <v>1517</v>
      </c>
      <c r="B1234" s="7" t="s">
        <v>46</v>
      </c>
      <c r="C1234" s="7" t="s">
        <v>128</v>
      </c>
      <c r="D1234" s="7" t="s">
        <v>192</v>
      </c>
      <c r="E1234" s="7" t="s">
        <v>193</v>
      </c>
      <c r="F1234" s="7" t="s">
        <v>50</v>
      </c>
      <c r="G1234" s="7" t="s">
        <v>19</v>
      </c>
      <c r="H1234" s="9" t="n">
        <v>46098</v>
      </c>
      <c r="I1234" s="9" t="n">
        <v>46107</v>
      </c>
      <c r="J1234" s="7" t="n">
        <v>9.8</v>
      </c>
      <c r="K1234" s="7" t="s">
        <v>1392</v>
      </c>
      <c r="L1234" s="7" t="s">
        <v>22</v>
      </c>
      <c r="M1234" s="7" t="s">
        <v>1524</v>
      </c>
      <c r="N1234" s="7" t="s">
        <v>58</v>
      </c>
      <c r="O1234" s="10" t="n">
        <f aca="false">'Exec Summary'!$E$2-H1234</f>
        <v>136</v>
      </c>
      <c r="P1234" s="10" t="n">
        <f aca="false">IF(I1234="","",I1234-H1234)</f>
        <v>9</v>
      </c>
      <c r="Q1234" s="10" t="n">
        <f aca="false">VLOOKUP(G1234,$AA$2:$AB$5,2,FALSE())</f>
        <v>15</v>
      </c>
      <c r="R1234" s="7" t="n">
        <f aca="false">IF(OR(F1234="Open",F1234="Reopened"),1,0)</f>
        <v>0</v>
      </c>
      <c r="S1234" s="7" t="n">
        <f aca="false">IF(AND(H1234&gt;='Exec Summary'!$E$1,H1234&lt;='Exec Summary'!$E$2),1,0)</f>
        <v>0</v>
      </c>
      <c r="T1234" s="7" t="n">
        <f aca="false">IF(AND(F1234="Closed",I1234&lt;&gt;"",I1234&gt;='Exec Summary'!$E$1,I1234&lt;='Exec Summary'!$E$2),1,0)</f>
        <v>0</v>
      </c>
      <c r="U1234" s="7" t="n">
        <f aca="false">IF(F1234="Reopened",1,0)</f>
        <v>0</v>
      </c>
      <c r="V1234" s="7" t="n">
        <f aca="false">IF(AND(R1234=1,O1234&gt;Q1234),1,0)</f>
        <v>0</v>
      </c>
      <c r="W1234" s="7" t="n">
        <f aca="false">IF(AND(T1234=1,P1234&lt;&gt;"",P1234&lt;=Q1234),1,0)</f>
        <v>0</v>
      </c>
    </row>
    <row r="1235" customFormat="false" ht="15" hidden="false" customHeight="false" outlineLevel="0" collapsed="false">
      <c r="A1235" s="7" t="s">
        <v>1517</v>
      </c>
      <c r="B1235" s="7" t="s">
        <v>46</v>
      </c>
      <c r="C1235" s="7" t="s">
        <v>128</v>
      </c>
      <c r="D1235" s="7" t="s">
        <v>101</v>
      </c>
      <c r="E1235" s="7" t="s">
        <v>102</v>
      </c>
      <c r="F1235" s="7" t="s">
        <v>50</v>
      </c>
      <c r="G1235" s="7" t="s">
        <v>19</v>
      </c>
      <c r="H1235" s="9" t="n">
        <v>46201</v>
      </c>
      <c r="I1235" s="9" t="n">
        <v>46205</v>
      </c>
      <c r="J1235" s="7" t="n">
        <v>10</v>
      </c>
      <c r="K1235" s="7" t="s">
        <v>1392</v>
      </c>
      <c r="L1235" s="7" t="s">
        <v>22</v>
      </c>
      <c r="M1235" s="7" t="s">
        <v>1525</v>
      </c>
      <c r="N1235" s="7" t="s">
        <v>58</v>
      </c>
      <c r="O1235" s="10" t="n">
        <f aca="false">'Exec Summary'!$E$2-H1235</f>
        <v>33</v>
      </c>
      <c r="P1235" s="10" t="n">
        <f aca="false">IF(I1235="","",I1235-H1235)</f>
        <v>4</v>
      </c>
      <c r="Q1235" s="10" t="n">
        <f aca="false">VLOOKUP(G1235,$AA$2:$AB$5,2,FALSE())</f>
        <v>15</v>
      </c>
      <c r="R1235" s="7" t="n">
        <f aca="false">IF(OR(F1235="Open",F1235="Reopened"),1,0)</f>
        <v>0</v>
      </c>
      <c r="S1235" s="7" t="n">
        <f aca="false">IF(AND(H1235&gt;='Exec Summary'!$E$1,H1235&lt;='Exec Summary'!$E$2),1,0)</f>
        <v>0</v>
      </c>
      <c r="T1235" s="7" t="n">
        <f aca="false">IF(AND(F1235="Closed",I1235&lt;&gt;"",I1235&gt;='Exec Summary'!$E$1,I1235&lt;='Exec Summary'!$E$2),1,0)</f>
        <v>1</v>
      </c>
      <c r="U1235" s="7" t="n">
        <f aca="false">IF(F1235="Reopened",1,0)</f>
        <v>0</v>
      </c>
      <c r="V1235" s="7" t="n">
        <f aca="false">IF(AND(R1235=1,O1235&gt;Q1235),1,0)</f>
        <v>0</v>
      </c>
      <c r="W1235" s="7" t="n">
        <f aca="false">IF(AND(T1235=1,P1235&lt;&gt;"",P1235&lt;=Q1235),1,0)</f>
        <v>1</v>
      </c>
    </row>
    <row r="1236" customFormat="false" ht="15" hidden="false" customHeight="false" outlineLevel="0" collapsed="false">
      <c r="A1236" s="7" t="s">
        <v>1517</v>
      </c>
      <c r="B1236" s="7" t="s">
        <v>46</v>
      </c>
      <c r="C1236" s="7" t="s">
        <v>128</v>
      </c>
      <c r="D1236" s="7" t="s">
        <v>48</v>
      </c>
      <c r="E1236" s="7" t="s">
        <v>49</v>
      </c>
      <c r="F1236" s="7" t="s">
        <v>56</v>
      </c>
      <c r="G1236" s="7" t="s">
        <v>20</v>
      </c>
      <c r="H1236" s="9" t="n">
        <v>45959</v>
      </c>
      <c r="I1236" s="9"/>
      <c r="J1236" s="7" t="n">
        <v>7.5</v>
      </c>
      <c r="K1236" s="7" t="s">
        <v>1392</v>
      </c>
      <c r="L1236" s="7" t="s">
        <v>22</v>
      </c>
      <c r="M1236" s="7" t="s">
        <v>1526</v>
      </c>
      <c r="N1236" s="7" t="s">
        <v>53</v>
      </c>
      <c r="O1236" s="10" t="n">
        <f aca="false">'Exec Summary'!$E$2-H1236</f>
        <v>275</v>
      </c>
      <c r="P1236" s="10" t="str">
        <f aca="false">IF(I1236="","",I1236-H1236)</f>
        <v/>
      </c>
      <c r="Q1236" s="10" t="n">
        <f aca="false">VLOOKUP(G1236,$AA$2:$AB$5,2,FALSE())</f>
        <v>30</v>
      </c>
      <c r="R1236" s="7" t="n">
        <f aca="false">IF(OR(F1236="Open",F1236="Reopened"),1,0)</f>
        <v>1</v>
      </c>
      <c r="S1236" s="7" t="n">
        <f aca="false">IF(AND(H1236&gt;='Exec Summary'!$E$1,H1236&lt;='Exec Summary'!$E$2),1,0)</f>
        <v>0</v>
      </c>
      <c r="T1236" s="7" t="n">
        <f aca="false">IF(AND(F1236="Closed",I1236&lt;&gt;"",I1236&gt;='Exec Summary'!$E$1,I1236&lt;='Exec Summary'!$E$2),1,0)</f>
        <v>0</v>
      </c>
      <c r="U1236" s="7" t="n">
        <f aca="false">IF(F1236="Reopened",1,0)</f>
        <v>0</v>
      </c>
      <c r="V1236" s="7" t="n">
        <f aca="false">IF(AND(R1236=1,O1236&gt;Q1236),1,0)</f>
        <v>1</v>
      </c>
      <c r="W1236" s="7" t="n">
        <f aca="false">IF(AND(T1236=1,P1236&lt;&gt;"",P1236&lt;=Q1236),1,0)</f>
        <v>0</v>
      </c>
    </row>
    <row r="1237" customFormat="false" ht="15" hidden="false" customHeight="false" outlineLevel="0" collapsed="false">
      <c r="A1237" s="7" t="s">
        <v>1517</v>
      </c>
      <c r="B1237" s="7" t="s">
        <v>46</v>
      </c>
      <c r="C1237" s="7" t="s">
        <v>128</v>
      </c>
      <c r="D1237" s="7" t="s">
        <v>139</v>
      </c>
      <c r="E1237" s="7" t="s">
        <v>140</v>
      </c>
      <c r="F1237" s="7" t="s">
        <v>50</v>
      </c>
      <c r="G1237" s="7" t="s">
        <v>19</v>
      </c>
      <c r="H1237" s="9" t="n">
        <v>46077</v>
      </c>
      <c r="I1237" s="9" t="n">
        <v>46084</v>
      </c>
      <c r="J1237" s="7" t="n">
        <v>9.8</v>
      </c>
      <c r="K1237" s="7" t="s">
        <v>1392</v>
      </c>
      <c r="L1237" s="7" t="s">
        <v>22</v>
      </c>
      <c r="M1237" s="7" t="s">
        <v>1527</v>
      </c>
      <c r="N1237" s="7" t="s">
        <v>58</v>
      </c>
      <c r="O1237" s="10" t="n">
        <f aca="false">'Exec Summary'!$E$2-H1237</f>
        <v>157</v>
      </c>
      <c r="P1237" s="10" t="n">
        <f aca="false">IF(I1237="","",I1237-H1237)</f>
        <v>7</v>
      </c>
      <c r="Q1237" s="10" t="n">
        <f aca="false">VLOOKUP(G1237,$AA$2:$AB$5,2,FALSE())</f>
        <v>15</v>
      </c>
      <c r="R1237" s="7" t="n">
        <f aca="false">IF(OR(F1237="Open",F1237="Reopened"),1,0)</f>
        <v>0</v>
      </c>
      <c r="S1237" s="7" t="n">
        <f aca="false">IF(AND(H1237&gt;='Exec Summary'!$E$1,H1237&lt;='Exec Summary'!$E$2),1,0)</f>
        <v>0</v>
      </c>
      <c r="T1237" s="7" t="n">
        <f aca="false">IF(AND(F1237="Closed",I1237&lt;&gt;"",I1237&gt;='Exec Summary'!$E$1,I1237&lt;='Exec Summary'!$E$2),1,0)</f>
        <v>0</v>
      </c>
      <c r="U1237" s="7" t="n">
        <f aca="false">IF(F1237="Reopened",1,0)</f>
        <v>0</v>
      </c>
      <c r="V1237" s="7" t="n">
        <f aca="false">IF(AND(R1237=1,O1237&gt;Q1237),1,0)</f>
        <v>0</v>
      </c>
      <c r="W1237" s="7" t="n">
        <f aca="false">IF(AND(T1237=1,P1237&lt;&gt;"",P1237&lt;=Q1237),1,0)</f>
        <v>0</v>
      </c>
    </row>
    <row r="1238" customFormat="false" ht="15" hidden="false" customHeight="false" outlineLevel="0" collapsed="false">
      <c r="A1238" s="7" t="s">
        <v>1528</v>
      </c>
      <c r="B1238" s="7" t="s">
        <v>46</v>
      </c>
      <c r="C1238" s="7" t="s">
        <v>47</v>
      </c>
      <c r="D1238" s="7" t="s">
        <v>206</v>
      </c>
      <c r="E1238" s="7" t="s">
        <v>207</v>
      </c>
      <c r="F1238" s="7" t="s">
        <v>56</v>
      </c>
      <c r="G1238" s="7" t="s">
        <v>20</v>
      </c>
      <c r="H1238" s="9" t="n">
        <v>46144</v>
      </c>
      <c r="I1238" s="9"/>
      <c r="J1238" s="7" t="n">
        <v>8.8</v>
      </c>
      <c r="K1238" s="7" t="s">
        <v>1392</v>
      </c>
      <c r="L1238" s="7" t="s">
        <v>21</v>
      </c>
      <c r="M1238" s="7" t="s">
        <v>1529</v>
      </c>
      <c r="N1238" s="7" t="s">
        <v>53</v>
      </c>
      <c r="O1238" s="10" t="n">
        <f aca="false">'Exec Summary'!$E$2-H1238</f>
        <v>90</v>
      </c>
      <c r="P1238" s="10" t="str">
        <f aca="false">IF(I1238="","",I1238-H1238)</f>
        <v/>
      </c>
      <c r="Q1238" s="10" t="n">
        <f aca="false">VLOOKUP(G1238,$AA$2:$AB$5,2,FALSE())</f>
        <v>30</v>
      </c>
      <c r="R1238" s="7" t="n">
        <f aca="false">IF(OR(F1238="Open",F1238="Reopened"),1,0)</f>
        <v>1</v>
      </c>
      <c r="S1238" s="7" t="n">
        <f aca="false">IF(AND(H1238&gt;='Exec Summary'!$E$1,H1238&lt;='Exec Summary'!$E$2),1,0)</f>
        <v>0</v>
      </c>
      <c r="T1238" s="7" t="n">
        <f aca="false">IF(AND(F1238="Closed",I1238&lt;&gt;"",I1238&gt;='Exec Summary'!$E$1,I1238&lt;='Exec Summary'!$E$2),1,0)</f>
        <v>0</v>
      </c>
      <c r="U1238" s="7" t="n">
        <f aca="false">IF(F1238="Reopened",1,0)</f>
        <v>0</v>
      </c>
      <c r="V1238" s="7" t="n">
        <f aca="false">IF(AND(R1238=1,O1238&gt;Q1238),1,0)</f>
        <v>1</v>
      </c>
      <c r="W1238" s="7" t="n">
        <f aca="false">IF(AND(T1238=1,P1238&lt;&gt;"",P1238&lt;=Q1238),1,0)</f>
        <v>0</v>
      </c>
    </row>
    <row r="1239" customFormat="false" ht="15" hidden="false" customHeight="false" outlineLevel="0" collapsed="false">
      <c r="A1239" s="7" t="s">
        <v>1528</v>
      </c>
      <c r="B1239" s="7" t="s">
        <v>46</v>
      </c>
      <c r="C1239" s="7" t="s">
        <v>47</v>
      </c>
      <c r="D1239" s="7" t="s">
        <v>145</v>
      </c>
      <c r="E1239" s="7" t="s">
        <v>146</v>
      </c>
      <c r="F1239" s="7" t="s">
        <v>50</v>
      </c>
      <c r="G1239" s="7" t="s">
        <v>19</v>
      </c>
      <c r="H1239" s="9" t="n">
        <v>46110</v>
      </c>
      <c r="I1239" s="9" t="n">
        <v>46124</v>
      </c>
      <c r="J1239" s="7" t="n">
        <v>9.8</v>
      </c>
      <c r="K1239" s="7" t="s">
        <v>1392</v>
      </c>
      <c r="L1239" s="7" t="s">
        <v>21</v>
      </c>
      <c r="M1239" s="7" t="s">
        <v>1530</v>
      </c>
      <c r="N1239" s="7" t="s">
        <v>58</v>
      </c>
      <c r="O1239" s="10" t="n">
        <f aca="false">'Exec Summary'!$E$2-H1239</f>
        <v>124</v>
      </c>
      <c r="P1239" s="10" t="n">
        <f aca="false">IF(I1239="","",I1239-H1239)</f>
        <v>14</v>
      </c>
      <c r="Q1239" s="10" t="n">
        <f aca="false">VLOOKUP(G1239,$AA$2:$AB$5,2,FALSE())</f>
        <v>15</v>
      </c>
      <c r="R1239" s="7" t="n">
        <f aca="false">IF(OR(F1239="Open",F1239="Reopened"),1,0)</f>
        <v>0</v>
      </c>
      <c r="S1239" s="7" t="n">
        <f aca="false">IF(AND(H1239&gt;='Exec Summary'!$E$1,H1239&lt;='Exec Summary'!$E$2),1,0)</f>
        <v>0</v>
      </c>
      <c r="T1239" s="7" t="n">
        <f aca="false">IF(AND(F1239="Closed",I1239&lt;&gt;"",I1239&gt;='Exec Summary'!$E$1,I1239&lt;='Exec Summary'!$E$2),1,0)</f>
        <v>0</v>
      </c>
      <c r="U1239" s="7" t="n">
        <f aca="false">IF(F1239="Reopened",1,0)</f>
        <v>0</v>
      </c>
      <c r="V1239" s="7" t="n">
        <f aca="false">IF(AND(R1239=1,O1239&gt;Q1239),1,0)</f>
        <v>0</v>
      </c>
      <c r="W1239" s="7" t="n">
        <f aca="false">IF(AND(T1239=1,P1239&lt;&gt;"",P1239&lt;=Q1239),1,0)</f>
        <v>0</v>
      </c>
    </row>
    <row r="1240" customFormat="false" ht="15" hidden="false" customHeight="false" outlineLevel="0" collapsed="false">
      <c r="A1240" s="7" t="s">
        <v>1528</v>
      </c>
      <c r="B1240" s="7" t="s">
        <v>46</v>
      </c>
      <c r="C1240" s="7" t="s">
        <v>47</v>
      </c>
      <c r="D1240" s="7" t="s">
        <v>152</v>
      </c>
      <c r="E1240" s="7" t="s">
        <v>153</v>
      </c>
      <c r="F1240" s="7" t="s">
        <v>56</v>
      </c>
      <c r="G1240" s="7" t="s">
        <v>20</v>
      </c>
      <c r="H1240" s="9" t="n">
        <v>46130</v>
      </c>
      <c r="I1240" s="9"/>
      <c r="J1240" s="7" t="n">
        <v>7.5</v>
      </c>
      <c r="K1240" s="7" t="s">
        <v>1392</v>
      </c>
      <c r="L1240" s="7" t="s">
        <v>21</v>
      </c>
      <c r="M1240" s="7" t="s">
        <v>1531</v>
      </c>
      <c r="N1240" s="7" t="s">
        <v>53</v>
      </c>
      <c r="O1240" s="10" t="n">
        <f aca="false">'Exec Summary'!$E$2-H1240</f>
        <v>104</v>
      </c>
      <c r="P1240" s="10" t="str">
        <f aca="false">IF(I1240="","",I1240-H1240)</f>
        <v/>
      </c>
      <c r="Q1240" s="10" t="n">
        <f aca="false">VLOOKUP(G1240,$AA$2:$AB$5,2,FALSE())</f>
        <v>30</v>
      </c>
      <c r="R1240" s="7" t="n">
        <f aca="false">IF(OR(F1240="Open",F1240="Reopened"),1,0)</f>
        <v>1</v>
      </c>
      <c r="S1240" s="7" t="n">
        <f aca="false">IF(AND(H1240&gt;='Exec Summary'!$E$1,H1240&lt;='Exec Summary'!$E$2),1,0)</f>
        <v>0</v>
      </c>
      <c r="T1240" s="7" t="n">
        <f aca="false">IF(AND(F1240="Closed",I1240&lt;&gt;"",I1240&gt;='Exec Summary'!$E$1,I1240&lt;='Exec Summary'!$E$2),1,0)</f>
        <v>0</v>
      </c>
      <c r="U1240" s="7" t="n">
        <f aca="false">IF(F1240="Reopened",1,0)</f>
        <v>0</v>
      </c>
      <c r="V1240" s="7" t="n">
        <f aca="false">IF(AND(R1240=1,O1240&gt;Q1240),1,0)</f>
        <v>1</v>
      </c>
      <c r="W1240" s="7" t="n">
        <f aca="false">IF(AND(T1240=1,P1240&lt;&gt;"",P1240&lt;=Q1240),1,0)</f>
        <v>0</v>
      </c>
    </row>
    <row r="1241" customFormat="false" ht="15" hidden="false" customHeight="false" outlineLevel="0" collapsed="false">
      <c r="A1241" s="7" t="s">
        <v>1532</v>
      </c>
      <c r="B1241" s="7" t="s">
        <v>46</v>
      </c>
      <c r="C1241" s="7" t="s">
        <v>79</v>
      </c>
      <c r="D1241" s="7" t="s">
        <v>74</v>
      </c>
      <c r="E1241" s="7" t="s">
        <v>75</v>
      </c>
      <c r="F1241" s="7" t="s">
        <v>50</v>
      </c>
      <c r="G1241" s="7" t="s">
        <v>21</v>
      </c>
      <c r="H1241" s="9" t="n">
        <v>46035</v>
      </c>
      <c r="I1241" s="9" t="n">
        <v>46038</v>
      </c>
      <c r="J1241" s="7" t="n">
        <v>6.5</v>
      </c>
      <c r="K1241" s="7" t="s">
        <v>1392</v>
      </c>
      <c r="L1241" s="7" t="s">
        <v>21</v>
      </c>
      <c r="M1241" s="7" t="s">
        <v>1533</v>
      </c>
      <c r="N1241" s="7" t="s">
        <v>77</v>
      </c>
      <c r="O1241" s="10" t="n">
        <f aca="false">'Exec Summary'!$E$2-H1241</f>
        <v>199</v>
      </c>
      <c r="P1241" s="10" t="n">
        <f aca="false">IF(I1241="","",I1241-H1241)</f>
        <v>3</v>
      </c>
      <c r="Q1241" s="10" t="n">
        <f aca="false">VLOOKUP(G1241,$AA$2:$AB$5,2,FALSE())</f>
        <v>90</v>
      </c>
      <c r="R1241" s="7" t="n">
        <f aca="false">IF(OR(F1241="Open",F1241="Reopened"),1,0)</f>
        <v>0</v>
      </c>
      <c r="S1241" s="7" t="n">
        <f aca="false">IF(AND(H1241&gt;='Exec Summary'!$E$1,H1241&lt;='Exec Summary'!$E$2),1,0)</f>
        <v>0</v>
      </c>
      <c r="T1241" s="7" t="n">
        <f aca="false">IF(AND(F1241="Closed",I1241&lt;&gt;"",I1241&gt;='Exec Summary'!$E$1,I1241&lt;='Exec Summary'!$E$2),1,0)</f>
        <v>0</v>
      </c>
      <c r="U1241" s="7" t="n">
        <f aca="false">IF(F1241="Reopened",1,0)</f>
        <v>0</v>
      </c>
      <c r="V1241" s="7" t="n">
        <f aca="false">IF(AND(R1241=1,O1241&gt;Q1241),1,0)</f>
        <v>0</v>
      </c>
      <c r="W1241" s="7" t="n">
        <f aca="false">IF(AND(T1241=1,P1241&lt;&gt;"",P1241&lt;=Q1241),1,0)</f>
        <v>0</v>
      </c>
    </row>
    <row r="1242" customFormat="false" ht="15" hidden="false" customHeight="false" outlineLevel="0" collapsed="false">
      <c r="A1242" s="7" t="s">
        <v>1532</v>
      </c>
      <c r="B1242" s="7" t="s">
        <v>46</v>
      </c>
      <c r="C1242" s="7" t="s">
        <v>79</v>
      </c>
      <c r="D1242" s="7" t="s">
        <v>108</v>
      </c>
      <c r="E1242" s="7" t="s">
        <v>109</v>
      </c>
      <c r="F1242" s="7" t="s">
        <v>50</v>
      </c>
      <c r="G1242" s="7" t="s">
        <v>20</v>
      </c>
      <c r="H1242" s="9" t="n">
        <v>46094</v>
      </c>
      <c r="I1242" s="9" t="n">
        <v>46124</v>
      </c>
      <c r="J1242" s="7" t="n">
        <v>8.6</v>
      </c>
      <c r="K1242" s="7" t="s">
        <v>1392</v>
      </c>
      <c r="L1242" s="7" t="s">
        <v>21</v>
      </c>
      <c r="M1242" s="7" t="s">
        <v>1534</v>
      </c>
      <c r="N1242" s="7" t="s">
        <v>53</v>
      </c>
      <c r="O1242" s="10" t="n">
        <f aca="false">'Exec Summary'!$E$2-H1242</f>
        <v>140</v>
      </c>
      <c r="P1242" s="10" t="n">
        <f aca="false">IF(I1242="","",I1242-H1242)</f>
        <v>30</v>
      </c>
      <c r="Q1242" s="10" t="n">
        <f aca="false">VLOOKUP(G1242,$AA$2:$AB$5,2,FALSE())</f>
        <v>30</v>
      </c>
      <c r="R1242" s="7" t="n">
        <f aca="false">IF(OR(F1242="Open",F1242="Reopened"),1,0)</f>
        <v>0</v>
      </c>
      <c r="S1242" s="7" t="n">
        <f aca="false">IF(AND(H1242&gt;='Exec Summary'!$E$1,H1242&lt;='Exec Summary'!$E$2),1,0)</f>
        <v>0</v>
      </c>
      <c r="T1242" s="7" t="n">
        <f aca="false">IF(AND(F1242="Closed",I1242&lt;&gt;"",I1242&gt;='Exec Summary'!$E$1,I1242&lt;='Exec Summary'!$E$2),1,0)</f>
        <v>0</v>
      </c>
      <c r="U1242" s="7" t="n">
        <f aca="false">IF(F1242="Reopened",1,0)</f>
        <v>0</v>
      </c>
      <c r="V1242" s="7" t="n">
        <f aca="false">IF(AND(R1242=1,O1242&gt;Q1242),1,0)</f>
        <v>0</v>
      </c>
      <c r="W1242" s="7" t="n">
        <f aca="false">IF(AND(T1242=1,P1242&lt;&gt;"",P1242&lt;=Q1242),1,0)</f>
        <v>0</v>
      </c>
    </row>
    <row r="1243" customFormat="false" ht="15" hidden="false" customHeight="false" outlineLevel="0" collapsed="false">
      <c r="A1243" s="7" t="s">
        <v>1532</v>
      </c>
      <c r="B1243" s="7" t="s">
        <v>46</v>
      </c>
      <c r="C1243" s="7" t="s">
        <v>79</v>
      </c>
      <c r="D1243" s="7" t="s">
        <v>117</v>
      </c>
      <c r="E1243" s="7" t="s">
        <v>118</v>
      </c>
      <c r="F1243" s="7" t="s">
        <v>50</v>
      </c>
      <c r="G1243" s="7" t="s">
        <v>19</v>
      </c>
      <c r="H1243" s="9" t="n">
        <v>45989</v>
      </c>
      <c r="I1243" s="9" t="n">
        <v>45998</v>
      </c>
      <c r="J1243" s="7" t="n">
        <v>10</v>
      </c>
      <c r="K1243" s="7" t="s">
        <v>1392</v>
      </c>
      <c r="L1243" s="7" t="s">
        <v>21</v>
      </c>
      <c r="M1243" s="7" t="s">
        <v>1535</v>
      </c>
      <c r="N1243" s="7" t="s">
        <v>58</v>
      </c>
      <c r="O1243" s="10" t="n">
        <f aca="false">'Exec Summary'!$E$2-H1243</f>
        <v>245</v>
      </c>
      <c r="P1243" s="10" t="n">
        <f aca="false">IF(I1243="","",I1243-H1243)</f>
        <v>9</v>
      </c>
      <c r="Q1243" s="10" t="n">
        <f aca="false">VLOOKUP(G1243,$AA$2:$AB$5,2,FALSE())</f>
        <v>15</v>
      </c>
      <c r="R1243" s="7" t="n">
        <f aca="false">IF(OR(F1243="Open",F1243="Reopened"),1,0)</f>
        <v>0</v>
      </c>
      <c r="S1243" s="7" t="n">
        <f aca="false">IF(AND(H1243&gt;='Exec Summary'!$E$1,H1243&lt;='Exec Summary'!$E$2),1,0)</f>
        <v>0</v>
      </c>
      <c r="T1243" s="7" t="n">
        <f aca="false">IF(AND(F1243="Closed",I1243&lt;&gt;"",I1243&gt;='Exec Summary'!$E$1,I1243&lt;='Exec Summary'!$E$2),1,0)</f>
        <v>0</v>
      </c>
      <c r="U1243" s="7" t="n">
        <f aca="false">IF(F1243="Reopened",1,0)</f>
        <v>0</v>
      </c>
      <c r="V1243" s="7" t="n">
        <f aca="false">IF(AND(R1243=1,O1243&gt;Q1243),1,0)</f>
        <v>0</v>
      </c>
      <c r="W1243" s="7" t="n">
        <f aca="false">IF(AND(T1243=1,P1243&lt;&gt;"",P1243&lt;=Q1243),1,0)</f>
        <v>0</v>
      </c>
    </row>
    <row r="1244" customFormat="false" ht="15" hidden="false" customHeight="false" outlineLevel="0" collapsed="false">
      <c r="A1244" s="7" t="s">
        <v>1532</v>
      </c>
      <c r="B1244" s="7" t="s">
        <v>46</v>
      </c>
      <c r="C1244" s="7" t="s">
        <v>79</v>
      </c>
      <c r="D1244" s="7" t="s">
        <v>91</v>
      </c>
      <c r="E1244" s="7" t="s">
        <v>92</v>
      </c>
      <c r="F1244" s="7" t="s">
        <v>50</v>
      </c>
      <c r="G1244" s="7" t="s">
        <v>20</v>
      </c>
      <c r="H1244" s="9" t="n">
        <v>45939</v>
      </c>
      <c r="I1244" s="9" t="n">
        <v>45990</v>
      </c>
      <c r="J1244" s="7" t="n">
        <v>8.1</v>
      </c>
      <c r="K1244" s="7" t="s">
        <v>1392</v>
      </c>
      <c r="L1244" s="7" t="s">
        <v>21</v>
      </c>
      <c r="M1244" s="7" t="s">
        <v>1536</v>
      </c>
      <c r="N1244" s="7" t="s">
        <v>53</v>
      </c>
      <c r="O1244" s="10" t="n">
        <f aca="false">'Exec Summary'!$E$2-H1244</f>
        <v>295</v>
      </c>
      <c r="P1244" s="10" t="n">
        <f aca="false">IF(I1244="","",I1244-H1244)</f>
        <v>51</v>
      </c>
      <c r="Q1244" s="10" t="n">
        <f aca="false">VLOOKUP(G1244,$AA$2:$AB$5,2,FALSE())</f>
        <v>30</v>
      </c>
      <c r="R1244" s="7" t="n">
        <f aca="false">IF(OR(F1244="Open",F1244="Reopened"),1,0)</f>
        <v>0</v>
      </c>
      <c r="S1244" s="7" t="n">
        <f aca="false">IF(AND(H1244&gt;='Exec Summary'!$E$1,H1244&lt;='Exec Summary'!$E$2),1,0)</f>
        <v>0</v>
      </c>
      <c r="T1244" s="7" t="n">
        <f aca="false">IF(AND(F1244="Closed",I1244&lt;&gt;"",I1244&gt;='Exec Summary'!$E$1,I1244&lt;='Exec Summary'!$E$2),1,0)</f>
        <v>0</v>
      </c>
      <c r="U1244" s="7" t="n">
        <f aca="false">IF(F1244="Reopened",1,0)</f>
        <v>0</v>
      </c>
      <c r="V1244" s="7" t="n">
        <f aca="false">IF(AND(R1244=1,O1244&gt;Q1244),1,0)</f>
        <v>0</v>
      </c>
      <c r="W1244" s="7" t="n">
        <f aca="false">IF(AND(T1244=1,P1244&lt;&gt;"",P1244&lt;=Q1244),1,0)</f>
        <v>0</v>
      </c>
    </row>
    <row r="1245" customFormat="false" ht="15" hidden="false" customHeight="false" outlineLevel="0" collapsed="false">
      <c r="A1245" s="7" t="s">
        <v>1532</v>
      </c>
      <c r="B1245" s="7" t="s">
        <v>46</v>
      </c>
      <c r="C1245" s="7" t="s">
        <v>79</v>
      </c>
      <c r="D1245" s="7" t="s">
        <v>95</v>
      </c>
      <c r="E1245" s="7" t="s">
        <v>96</v>
      </c>
      <c r="F1245" s="7" t="s">
        <v>50</v>
      </c>
      <c r="G1245" s="7" t="s">
        <v>20</v>
      </c>
      <c r="H1245" s="9" t="n">
        <v>46017</v>
      </c>
      <c r="I1245" s="9" t="n">
        <v>46038</v>
      </c>
      <c r="J1245" s="7" t="n">
        <v>8.8</v>
      </c>
      <c r="K1245" s="7" t="s">
        <v>1392</v>
      </c>
      <c r="L1245" s="7" t="s">
        <v>21</v>
      </c>
      <c r="M1245" s="7" t="s">
        <v>1537</v>
      </c>
      <c r="N1245" s="7" t="s">
        <v>53</v>
      </c>
      <c r="O1245" s="10" t="n">
        <f aca="false">'Exec Summary'!$E$2-H1245</f>
        <v>217</v>
      </c>
      <c r="P1245" s="10" t="n">
        <f aca="false">IF(I1245="","",I1245-H1245)</f>
        <v>21</v>
      </c>
      <c r="Q1245" s="10" t="n">
        <f aca="false">VLOOKUP(G1245,$AA$2:$AB$5,2,FALSE())</f>
        <v>30</v>
      </c>
      <c r="R1245" s="7" t="n">
        <f aca="false">IF(OR(F1245="Open",F1245="Reopened"),1,0)</f>
        <v>0</v>
      </c>
      <c r="S1245" s="7" t="n">
        <f aca="false">IF(AND(H1245&gt;='Exec Summary'!$E$1,H1245&lt;='Exec Summary'!$E$2),1,0)</f>
        <v>0</v>
      </c>
      <c r="T1245" s="7" t="n">
        <f aca="false">IF(AND(F1245="Closed",I1245&lt;&gt;"",I1245&gt;='Exec Summary'!$E$1,I1245&lt;='Exec Summary'!$E$2),1,0)</f>
        <v>0</v>
      </c>
      <c r="U1245" s="7" t="n">
        <f aca="false">IF(F1245="Reopened",1,0)</f>
        <v>0</v>
      </c>
      <c r="V1245" s="7" t="n">
        <f aca="false">IF(AND(R1245=1,O1245&gt;Q1245),1,0)</f>
        <v>0</v>
      </c>
      <c r="W1245" s="7" t="n">
        <f aca="false">IF(AND(T1245=1,P1245&lt;&gt;"",P1245&lt;=Q1245),1,0)</f>
        <v>0</v>
      </c>
    </row>
    <row r="1246" customFormat="false" ht="15" hidden="false" customHeight="false" outlineLevel="0" collapsed="false">
      <c r="A1246" s="7" t="s">
        <v>1532</v>
      </c>
      <c r="B1246" s="7" t="s">
        <v>46</v>
      </c>
      <c r="C1246" s="7" t="s">
        <v>79</v>
      </c>
      <c r="D1246" s="7" t="s">
        <v>84</v>
      </c>
      <c r="E1246" s="7" t="s">
        <v>85</v>
      </c>
      <c r="F1246" s="7" t="s">
        <v>56</v>
      </c>
      <c r="G1246" s="7" t="s">
        <v>20</v>
      </c>
      <c r="H1246" s="9" t="n">
        <v>46055</v>
      </c>
      <c r="I1246" s="9"/>
      <c r="J1246" s="7" t="n">
        <v>7.5</v>
      </c>
      <c r="K1246" s="7" t="s">
        <v>1392</v>
      </c>
      <c r="L1246" s="7" t="s">
        <v>21</v>
      </c>
      <c r="M1246" s="7" t="s">
        <v>1538</v>
      </c>
      <c r="N1246" s="7" t="s">
        <v>53</v>
      </c>
      <c r="O1246" s="10" t="n">
        <f aca="false">'Exec Summary'!$E$2-H1246</f>
        <v>179</v>
      </c>
      <c r="P1246" s="10" t="str">
        <f aca="false">IF(I1246="","",I1246-H1246)</f>
        <v/>
      </c>
      <c r="Q1246" s="10" t="n">
        <f aca="false">VLOOKUP(G1246,$AA$2:$AB$5,2,FALSE())</f>
        <v>30</v>
      </c>
      <c r="R1246" s="7" t="n">
        <f aca="false">IF(OR(F1246="Open",F1246="Reopened"),1,0)</f>
        <v>1</v>
      </c>
      <c r="S1246" s="7" t="n">
        <f aca="false">IF(AND(H1246&gt;='Exec Summary'!$E$1,H1246&lt;='Exec Summary'!$E$2),1,0)</f>
        <v>0</v>
      </c>
      <c r="T1246" s="7" t="n">
        <f aca="false">IF(AND(F1246="Closed",I1246&lt;&gt;"",I1246&gt;='Exec Summary'!$E$1,I1246&lt;='Exec Summary'!$E$2),1,0)</f>
        <v>0</v>
      </c>
      <c r="U1246" s="7" t="n">
        <f aca="false">IF(F1246="Reopened",1,0)</f>
        <v>0</v>
      </c>
      <c r="V1246" s="7" t="n">
        <f aca="false">IF(AND(R1246=1,O1246&gt;Q1246),1,0)</f>
        <v>1</v>
      </c>
      <c r="W1246" s="7" t="n">
        <f aca="false">IF(AND(T1246=1,P1246&lt;&gt;"",P1246&lt;=Q1246),1,0)</f>
        <v>0</v>
      </c>
    </row>
    <row r="1247" customFormat="false" ht="15" hidden="false" customHeight="false" outlineLevel="0" collapsed="false">
      <c r="A1247" s="7" t="s">
        <v>1532</v>
      </c>
      <c r="B1247" s="7" t="s">
        <v>46</v>
      </c>
      <c r="C1247" s="7" t="s">
        <v>79</v>
      </c>
      <c r="D1247" s="7" t="s">
        <v>98</v>
      </c>
      <c r="E1247" s="7" t="s">
        <v>99</v>
      </c>
      <c r="F1247" s="7" t="s">
        <v>50</v>
      </c>
      <c r="G1247" s="7" t="s">
        <v>19</v>
      </c>
      <c r="H1247" s="9" t="n">
        <v>46001</v>
      </c>
      <c r="I1247" s="9" t="n">
        <v>46002</v>
      </c>
      <c r="J1247" s="7" t="n">
        <v>10</v>
      </c>
      <c r="K1247" s="7" t="s">
        <v>1392</v>
      </c>
      <c r="L1247" s="7" t="s">
        <v>21</v>
      </c>
      <c r="M1247" s="7" t="s">
        <v>1539</v>
      </c>
      <c r="N1247" s="7" t="s">
        <v>58</v>
      </c>
      <c r="O1247" s="10" t="n">
        <f aca="false">'Exec Summary'!$E$2-H1247</f>
        <v>233</v>
      </c>
      <c r="P1247" s="10" t="n">
        <f aca="false">IF(I1247="","",I1247-H1247)</f>
        <v>1</v>
      </c>
      <c r="Q1247" s="10" t="n">
        <f aca="false">VLOOKUP(G1247,$AA$2:$AB$5,2,FALSE())</f>
        <v>15</v>
      </c>
      <c r="R1247" s="7" t="n">
        <f aca="false">IF(OR(F1247="Open",F1247="Reopened"),1,0)</f>
        <v>0</v>
      </c>
      <c r="S1247" s="7" t="n">
        <f aca="false">IF(AND(H1247&gt;='Exec Summary'!$E$1,H1247&lt;='Exec Summary'!$E$2),1,0)</f>
        <v>0</v>
      </c>
      <c r="T1247" s="7" t="n">
        <f aca="false">IF(AND(F1247="Closed",I1247&lt;&gt;"",I1247&gt;='Exec Summary'!$E$1,I1247&lt;='Exec Summary'!$E$2),1,0)</f>
        <v>0</v>
      </c>
      <c r="U1247" s="7" t="n">
        <f aca="false">IF(F1247="Reopened",1,0)</f>
        <v>0</v>
      </c>
      <c r="V1247" s="7" t="n">
        <f aca="false">IF(AND(R1247=1,O1247&gt;Q1247),1,0)</f>
        <v>0</v>
      </c>
      <c r="W1247" s="7" t="n">
        <f aca="false">IF(AND(T1247=1,P1247&lt;&gt;"",P1247&lt;=Q1247),1,0)</f>
        <v>0</v>
      </c>
    </row>
    <row r="1248" customFormat="false" ht="15" hidden="false" customHeight="false" outlineLevel="0" collapsed="false">
      <c r="A1248" s="7" t="s">
        <v>1540</v>
      </c>
      <c r="B1248" s="7" t="s">
        <v>46</v>
      </c>
      <c r="C1248" s="7" t="s">
        <v>158</v>
      </c>
      <c r="D1248" s="7" t="s">
        <v>206</v>
      </c>
      <c r="E1248" s="7" t="s">
        <v>207</v>
      </c>
      <c r="F1248" s="7" t="s">
        <v>56</v>
      </c>
      <c r="G1248" s="7" t="s">
        <v>20</v>
      </c>
      <c r="H1248" s="9" t="n">
        <v>46020</v>
      </c>
      <c r="I1248" s="9"/>
      <c r="J1248" s="7" t="n">
        <v>8.8</v>
      </c>
      <c r="K1248" s="7" t="s">
        <v>1392</v>
      </c>
      <c r="L1248" s="7" t="s">
        <v>21</v>
      </c>
      <c r="M1248" s="7" t="s">
        <v>1541</v>
      </c>
      <c r="N1248" s="7" t="s">
        <v>53</v>
      </c>
      <c r="O1248" s="10" t="n">
        <f aca="false">'Exec Summary'!$E$2-H1248</f>
        <v>214</v>
      </c>
      <c r="P1248" s="10" t="str">
        <f aca="false">IF(I1248="","",I1248-H1248)</f>
        <v/>
      </c>
      <c r="Q1248" s="10" t="n">
        <f aca="false">VLOOKUP(G1248,$AA$2:$AB$5,2,FALSE())</f>
        <v>30</v>
      </c>
      <c r="R1248" s="7" t="n">
        <f aca="false">IF(OR(F1248="Open",F1248="Reopened"),1,0)</f>
        <v>1</v>
      </c>
      <c r="S1248" s="7" t="n">
        <f aca="false">IF(AND(H1248&gt;='Exec Summary'!$E$1,H1248&lt;='Exec Summary'!$E$2),1,0)</f>
        <v>0</v>
      </c>
      <c r="T1248" s="7" t="n">
        <f aca="false">IF(AND(F1248="Closed",I1248&lt;&gt;"",I1248&gt;='Exec Summary'!$E$1,I1248&lt;='Exec Summary'!$E$2),1,0)</f>
        <v>0</v>
      </c>
      <c r="U1248" s="7" t="n">
        <f aca="false">IF(F1248="Reopened",1,0)</f>
        <v>0</v>
      </c>
      <c r="V1248" s="7" t="n">
        <f aca="false">IF(AND(R1248=1,O1248&gt;Q1248),1,0)</f>
        <v>1</v>
      </c>
      <c r="W1248" s="7" t="n">
        <f aca="false">IF(AND(T1248=1,P1248&lt;&gt;"",P1248&lt;=Q1248),1,0)</f>
        <v>0</v>
      </c>
    </row>
    <row r="1249" customFormat="false" ht="15" hidden="false" customHeight="false" outlineLevel="0" collapsed="false">
      <c r="A1249" s="7" t="s">
        <v>1542</v>
      </c>
      <c r="B1249" s="7" t="s">
        <v>46</v>
      </c>
      <c r="C1249" s="7" t="s">
        <v>177</v>
      </c>
      <c r="D1249" s="7" t="s">
        <v>87</v>
      </c>
      <c r="E1249" s="7" t="s">
        <v>88</v>
      </c>
      <c r="F1249" s="7" t="s">
        <v>56</v>
      </c>
      <c r="G1249" s="7" t="s">
        <v>19</v>
      </c>
      <c r="H1249" s="9" t="n">
        <v>46062</v>
      </c>
      <c r="I1249" s="9"/>
      <c r="J1249" s="7" t="n">
        <v>10</v>
      </c>
      <c r="K1249" s="7" t="s">
        <v>1392</v>
      </c>
      <c r="L1249" s="7" t="s">
        <v>21</v>
      </c>
      <c r="M1249" s="7" t="s">
        <v>1543</v>
      </c>
      <c r="N1249" s="7" t="s">
        <v>58</v>
      </c>
      <c r="O1249" s="10" t="n">
        <f aca="false">'Exec Summary'!$E$2-H1249</f>
        <v>172</v>
      </c>
      <c r="P1249" s="10" t="str">
        <f aca="false">IF(I1249="","",I1249-H1249)</f>
        <v/>
      </c>
      <c r="Q1249" s="10" t="n">
        <f aca="false">VLOOKUP(G1249,$AA$2:$AB$5,2,FALSE())</f>
        <v>15</v>
      </c>
      <c r="R1249" s="7" t="n">
        <f aca="false">IF(OR(F1249="Open",F1249="Reopened"),1,0)</f>
        <v>1</v>
      </c>
      <c r="S1249" s="7" t="n">
        <f aca="false">IF(AND(H1249&gt;='Exec Summary'!$E$1,H1249&lt;='Exec Summary'!$E$2),1,0)</f>
        <v>0</v>
      </c>
      <c r="T1249" s="7" t="n">
        <f aca="false">IF(AND(F1249="Closed",I1249&lt;&gt;"",I1249&gt;='Exec Summary'!$E$1,I1249&lt;='Exec Summary'!$E$2),1,0)</f>
        <v>0</v>
      </c>
      <c r="U1249" s="7" t="n">
        <f aca="false">IF(F1249="Reopened",1,0)</f>
        <v>0</v>
      </c>
      <c r="V1249" s="7" t="n">
        <f aca="false">IF(AND(R1249=1,O1249&gt;Q1249),1,0)</f>
        <v>1</v>
      </c>
      <c r="W1249" s="7" t="n">
        <f aca="false">IF(AND(T1249=1,P1249&lt;&gt;"",P1249&lt;=Q1249),1,0)</f>
        <v>0</v>
      </c>
    </row>
    <row r="1250" customFormat="false" ht="15" hidden="false" customHeight="false" outlineLevel="0" collapsed="false">
      <c r="A1250" s="7" t="s">
        <v>1542</v>
      </c>
      <c r="B1250" s="7" t="s">
        <v>46</v>
      </c>
      <c r="C1250" s="7" t="s">
        <v>177</v>
      </c>
      <c r="D1250" s="7" t="s">
        <v>192</v>
      </c>
      <c r="E1250" s="7" t="s">
        <v>193</v>
      </c>
      <c r="F1250" s="7" t="s">
        <v>50</v>
      </c>
      <c r="G1250" s="7" t="s">
        <v>19</v>
      </c>
      <c r="H1250" s="9" t="n">
        <v>46174</v>
      </c>
      <c r="I1250" s="9" t="n">
        <v>46179</v>
      </c>
      <c r="J1250" s="7" t="n">
        <v>9.8</v>
      </c>
      <c r="K1250" s="7" t="s">
        <v>1392</v>
      </c>
      <c r="L1250" s="7" t="s">
        <v>21</v>
      </c>
      <c r="M1250" s="7" t="s">
        <v>1544</v>
      </c>
      <c r="N1250" s="7" t="s">
        <v>58</v>
      </c>
      <c r="O1250" s="10" t="n">
        <f aca="false">'Exec Summary'!$E$2-H1250</f>
        <v>60</v>
      </c>
      <c r="P1250" s="10" t="n">
        <f aca="false">IF(I1250="","",I1250-H1250)</f>
        <v>5</v>
      </c>
      <c r="Q1250" s="10" t="n">
        <f aca="false">VLOOKUP(G1250,$AA$2:$AB$5,2,FALSE())</f>
        <v>15</v>
      </c>
      <c r="R1250" s="7" t="n">
        <f aca="false">IF(OR(F1250="Open",F1250="Reopened"),1,0)</f>
        <v>0</v>
      </c>
      <c r="S1250" s="7" t="n">
        <f aca="false">IF(AND(H1250&gt;='Exec Summary'!$E$1,H1250&lt;='Exec Summary'!$E$2),1,0)</f>
        <v>0</v>
      </c>
      <c r="T1250" s="7" t="n">
        <f aca="false">IF(AND(F1250="Closed",I1250&lt;&gt;"",I1250&gt;='Exec Summary'!$E$1,I1250&lt;='Exec Summary'!$E$2),1,0)</f>
        <v>0</v>
      </c>
      <c r="U1250" s="7" t="n">
        <f aca="false">IF(F1250="Reopened",1,0)</f>
        <v>0</v>
      </c>
      <c r="V1250" s="7" t="n">
        <f aca="false">IF(AND(R1250=1,O1250&gt;Q1250),1,0)</f>
        <v>0</v>
      </c>
      <c r="W1250" s="7" t="n">
        <f aca="false">IF(AND(T1250=1,P1250&lt;&gt;"",P1250&lt;=Q1250),1,0)</f>
        <v>0</v>
      </c>
    </row>
    <row r="1251" customFormat="false" ht="15" hidden="false" customHeight="false" outlineLevel="0" collapsed="false">
      <c r="A1251" s="7" t="s">
        <v>1542</v>
      </c>
      <c r="B1251" s="7" t="s">
        <v>46</v>
      </c>
      <c r="C1251" s="7" t="s">
        <v>177</v>
      </c>
      <c r="D1251" s="7" t="s">
        <v>54</v>
      </c>
      <c r="E1251" s="7" t="s">
        <v>55</v>
      </c>
      <c r="F1251" s="7" t="s">
        <v>56</v>
      </c>
      <c r="G1251" s="7" t="s">
        <v>19</v>
      </c>
      <c r="H1251" s="9" t="n">
        <v>46189</v>
      </c>
      <c r="I1251" s="9"/>
      <c r="J1251" s="7" t="n">
        <v>9.8</v>
      </c>
      <c r="K1251" s="7" t="s">
        <v>1392</v>
      </c>
      <c r="L1251" s="7" t="s">
        <v>21</v>
      </c>
      <c r="M1251" s="7" t="s">
        <v>1545</v>
      </c>
      <c r="N1251" s="7" t="s">
        <v>58</v>
      </c>
      <c r="O1251" s="10" t="n">
        <f aca="false">'Exec Summary'!$E$2-H1251</f>
        <v>45</v>
      </c>
      <c r="P1251" s="10" t="str">
        <f aca="false">IF(I1251="","",I1251-H1251)</f>
        <v/>
      </c>
      <c r="Q1251" s="10" t="n">
        <f aca="false">VLOOKUP(G1251,$AA$2:$AB$5,2,FALSE())</f>
        <v>15</v>
      </c>
      <c r="R1251" s="7" t="n">
        <f aca="false">IF(OR(F1251="Open",F1251="Reopened"),1,0)</f>
        <v>1</v>
      </c>
      <c r="S1251" s="7" t="n">
        <f aca="false">IF(AND(H1251&gt;='Exec Summary'!$E$1,H1251&lt;='Exec Summary'!$E$2),1,0)</f>
        <v>0</v>
      </c>
      <c r="T1251" s="7" t="n">
        <f aca="false">IF(AND(F1251="Closed",I1251&lt;&gt;"",I1251&gt;='Exec Summary'!$E$1,I1251&lt;='Exec Summary'!$E$2),1,0)</f>
        <v>0</v>
      </c>
      <c r="U1251" s="7" t="n">
        <f aca="false">IF(F1251="Reopened",1,0)</f>
        <v>0</v>
      </c>
      <c r="V1251" s="7" t="n">
        <f aca="false">IF(AND(R1251=1,O1251&gt;Q1251),1,0)</f>
        <v>1</v>
      </c>
      <c r="W1251" s="7" t="n">
        <f aca="false">IF(AND(T1251=1,P1251&lt;&gt;"",P1251&lt;=Q1251),1,0)</f>
        <v>0</v>
      </c>
    </row>
    <row r="1252" customFormat="false" ht="15" hidden="false" customHeight="false" outlineLevel="0" collapsed="false">
      <c r="A1252" s="7" t="s">
        <v>1542</v>
      </c>
      <c r="B1252" s="7" t="s">
        <v>46</v>
      </c>
      <c r="C1252" s="7" t="s">
        <v>177</v>
      </c>
      <c r="D1252" s="7" t="s">
        <v>112</v>
      </c>
      <c r="E1252" s="7" t="s">
        <v>113</v>
      </c>
      <c r="F1252" s="7" t="s">
        <v>50</v>
      </c>
      <c r="G1252" s="7" t="s">
        <v>20</v>
      </c>
      <c r="H1252" s="9" t="n">
        <v>46029</v>
      </c>
      <c r="I1252" s="9" t="n">
        <v>46061</v>
      </c>
      <c r="J1252" s="7" t="n">
        <v>7.8</v>
      </c>
      <c r="K1252" s="7" t="s">
        <v>1392</v>
      </c>
      <c r="L1252" s="7" t="s">
        <v>21</v>
      </c>
      <c r="M1252" s="7" t="s">
        <v>1546</v>
      </c>
      <c r="N1252" s="7" t="s">
        <v>53</v>
      </c>
      <c r="O1252" s="10" t="n">
        <f aca="false">'Exec Summary'!$E$2-H1252</f>
        <v>205</v>
      </c>
      <c r="P1252" s="10" t="n">
        <f aca="false">IF(I1252="","",I1252-H1252)</f>
        <v>32</v>
      </c>
      <c r="Q1252" s="10" t="n">
        <f aca="false">VLOOKUP(G1252,$AA$2:$AB$5,2,FALSE())</f>
        <v>30</v>
      </c>
      <c r="R1252" s="7" t="n">
        <f aca="false">IF(OR(F1252="Open",F1252="Reopened"),1,0)</f>
        <v>0</v>
      </c>
      <c r="S1252" s="7" t="n">
        <f aca="false">IF(AND(H1252&gt;='Exec Summary'!$E$1,H1252&lt;='Exec Summary'!$E$2),1,0)</f>
        <v>0</v>
      </c>
      <c r="T1252" s="7" t="n">
        <f aca="false">IF(AND(F1252="Closed",I1252&lt;&gt;"",I1252&gt;='Exec Summary'!$E$1,I1252&lt;='Exec Summary'!$E$2),1,0)</f>
        <v>0</v>
      </c>
      <c r="U1252" s="7" t="n">
        <f aca="false">IF(F1252="Reopened",1,0)</f>
        <v>0</v>
      </c>
      <c r="V1252" s="7" t="n">
        <f aca="false">IF(AND(R1252=1,O1252&gt;Q1252),1,0)</f>
        <v>0</v>
      </c>
      <c r="W1252" s="7" t="n">
        <f aca="false">IF(AND(T1252=1,P1252&lt;&gt;"",P1252&lt;=Q1252),1,0)</f>
        <v>0</v>
      </c>
    </row>
    <row r="1253" customFormat="false" ht="15" hidden="false" customHeight="false" outlineLevel="0" collapsed="false">
      <c r="A1253" s="7" t="s">
        <v>1542</v>
      </c>
      <c r="B1253" s="7" t="s">
        <v>46</v>
      </c>
      <c r="C1253" s="7" t="s">
        <v>177</v>
      </c>
      <c r="D1253" s="7" t="s">
        <v>98</v>
      </c>
      <c r="E1253" s="7" t="s">
        <v>99</v>
      </c>
      <c r="F1253" s="7" t="s">
        <v>50</v>
      </c>
      <c r="G1253" s="7" t="s">
        <v>19</v>
      </c>
      <c r="H1253" s="9" t="n">
        <v>46027</v>
      </c>
      <c r="I1253" s="9" t="n">
        <v>46029</v>
      </c>
      <c r="J1253" s="7" t="n">
        <v>10</v>
      </c>
      <c r="K1253" s="7" t="s">
        <v>1392</v>
      </c>
      <c r="L1253" s="7" t="s">
        <v>21</v>
      </c>
      <c r="M1253" s="7" t="s">
        <v>1547</v>
      </c>
      <c r="N1253" s="7" t="s">
        <v>58</v>
      </c>
      <c r="O1253" s="10" t="n">
        <f aca="false">'Exec Summary'!$E$2-H1253</f>
        <v>207</v>
      </c>
      <c r="P1253" s="10" t="n">
        <f aca="false">IF(I1253="","",I1253-H1253)</f>
        <v>2</v>
      </c>
      <c r="Q1253" s="10" t="n">
        <f aca="false">VLOOKUP(G1253,$AA$2:$AB$5,2,FALSE())</f>
        <v>15</v>
      </c>
      <c r="R1253" s="7" t="n">
        <f aca="false">IF(OR(F1253="Open",F1253="Reopened"),1,0)</f>
        <v>0</v>
      </c>
      <c r="S1253" s="7" t="n">
        <f aca="false">IF(AND(H1253&gt;='Exec Summary'!$E$1,H1253&lt;='Exec Summary'!$E$2),1,0)</f>
        <v>0</v>
      </c>
      <c r="T1253" s="7" t="n">
        <f aca="false">IF(AND(F1253="Closed",I1253&lt;&gt;"",I1253&gt;='Exec Summary'!$E$1,I1253&lt;='Exec Summary'!$E$2),1,0)</f>
        <v>0</v>
      </c>
      <c r="U1253" s="7" t="n">
        <f aca="false">IF(F1253="Reopened",1,0)</f>
        <v>0</v>
      </c>
      <c r="V1253" s="7" t="n">
        <f aca="false">IF(AND(R1253=1,O1253&gt;Q1253),1,0)</f>
        <v>0</v>
      </c>
      <c r="W1253" s="7" t="n">
        <f aca="false">IF(AND(T1253=1,P1253&lt;&gt;"",P1253&lt;=Q1253),1,0)</f>
        <v>0</v>
      </c>
    </row>
    <row r="1254" customFormat="false" ht="15" hidden="false" customHeight="false" outlineLevel="0" collapsed="false">
      <c r="A1254" s="7" t="s">
        <v>1548</v>
      </c>
      <c r="B1254" s="7" t="s">
        <v>135</v>
      </c>
      <c r="C1254" s="7" t="s">
        <v>136</v>
      </c>
      <c r="D1254" s="7" t="s">
        <v>139</v>
      </c>
      <c r="E1254" s="7" t="s">
        <v>140</v>
      </c>
      <c r="F1254" s="7" t="s">
        <v>56</v>
      </c>
      <c r="G1254" s="7" t="s">
        <v>19</v>
      </c>
      <c r="H1254" s="9" t="n">
        <v>46212</v>
      </c>
      <c r="I1254" s="9"/>
      <c r="J1254" s="7" t="n">
        <v>9.8</v>
      </c>
      <c r="K1254" s="7" t="s">
        <v>1392</v>
      </c>
      <c r="L1254" s="7" t="s">
        <v>21</v>
      </c>
      <c r="M1254" s="7" t="s">
        <v>1549</v>
      </c>
      <c r="N1254" s="7" t="s">
        <v>58</v>
      </c>
      <c r="O1254" s="10" t="n">
        <f aca="false">'Exec Summary'!$E$2-H1254</f>
        <v>22</v>
      </c>
      <c r="P1254" s="10" t="str">
        <f aca="false">IF(I1254="","",I1254-H1254)</f>
        <v/>
      </c>
      <c r="Q1254" s="10" t="n">
        <f aca="false">VLOOKUP(G1254,$AA$2:$AB$5,2,FALSE())</f>
        <v>15</v>
      </c>
      <c r="R1254" s="7" t="n">
        <f aca="false">IF(OR(F1254="Open",F1254="Reopened"),1,0)</f>
        <v>1</v>
      </c>
      <c r="S1254" s="7" t="n">
        <f aca="false">IF(AND(H1254&gt;='Exec Summary'!$E$1,H1254&lt;='Exec Summary'!$E$2),1,0)</f>
        <v>1</v>
      </c>
      <c r="T1254" s="7" t="n">
        <f aca="false">IF(AND(F1254="Closed",I1254&lt;&gt;"",I1254&gt;='Exec Summary'!$E$1,I1254&lt;='Exec Summary'!$E$2),1,0)</f>
        <v>0</v>
      </c>
      <c r="U1254" s="7" t="n">
        <f aca="false">IF(F1254="Reopened",1,0)</f>
        <v>0</v>
      </c>
      <c r="V1254" s="7" t="n">
        <f aca="false">IF(AND(R1254=1,O1254&gt;Q1254),1,0)</f>
        <v>1</v>
      </c>
      <c r="W1254" s="7" t="n">
        <f aca="false">IF(AND(T1254=1,P1254&lt;&gt;"",P1254&lt;=Q1254),1,0)</f>
        <v>0</v>
      </c>
    </row>
    <row r="1255" customFormat="false" ht="15" hidden="false" customHeight="false" outlineLevel="0" collapsed="false">
      <c r="A1255" s="7" t="s">
        <v>1548</v>
      </c>
      <c r="B1255" s="7" t="s">
        <v>135</v>
      </c>
      <c r="C1255" s="7" t="s">
        <v>136</v>
      </c>
      <c r="D1255" s="7" t="s">
        <v>120</v>
      </c>
      <c r="E1255" s="7" t="s">
        <v>121</v>
      </c>
      <c r="F1255" s="7" t="s">
        <v>50</v>
      </c>
      <c r="G1255" s="7" t="s">
        <v>19</v>
      </c>
      <c r="H1255" s="9" t="n">
        <v>46143</v>
      </c>
      <c r="I1255" s="9" t="n">
        <v>46155</v>
      </c>
      <c r="J1255" s="7" t="n">
        <v>8.8</v>
      </c>
      <c r="K1255" s="7" t="s">
        <v>1392</v>
      </c>
      <c r="L1255" s="7" t="s">
        <v>21</v>
      </c>
      <c r="M1255" s="7" t="s">
        <v>1550</v>
      </c>
      <c r="N1255" s="7" t="s">
        <v>58</v>
      </c>
      <c r="O1255" s="10" t="n">
        <f aca="false">'Exec Summary'!$E$2-H1255</f>
        <v>91</v>
      </c>
      <c r="P1255" s="10" t="n">
        <f aca="false">IF(I1255="","",I1255-H1255)</f>
        <v>12</v>
      </c>
      <c r="Q1255" s="10" t="n">
        <f aca="false">VLOOKUP(G1255,$AA$2:$AB$5,2,FALSE())</f>
        <v>15</v>
      </c>
      <c r="R1255" s="7" t="n">
        <f aca="false">IF(OR(F1255="Open",F1255="Reopened"),1,0)</f>
        <v>0</v>
      </c>
      <c r="S1255" s="7" t="n">
        <f aca="false">IF(AND(H1255&gt;='Exec Summary'!$E$1,H1255&lt;='Exec Summary'!$E$2),1,0)</f>
        <v>0</v>
      </c>
      <c r="T1255" s="7" t="n">
        <f aca="false">IF(AND(F1255="Closed",I1255&lt;&gt;"",I1255&gt;='Exec Summary'!$E$1,I1255&lt;='Exec Summary'!$E$2),1,0)</f>
        <v>0</v>
      </c>
      <c r="U1255" s="7" t="n">
        <f aca="false">IF(F1255="Reopened",1,0)</f>
        <v>0</v>
      </c>
      <c r="V1255" s="7" t="n">
        <f aca="false">IF(AND(R1255=1,O1255&gt;Q1255),1,0)</f>
        <v>0</v>
      </c>
      <c r="W1255" s="7" t="n">
        <f aca="false">IF(AND(T1255=1,P1255&lt;&gt;"",P1255&lt;=Q1255),1,0)</f>
        <v>0</v>
      </c>
    </row>
    <row r="1256" customFormat="false" ht="15" hidden="false" customHeight="false" outlineLevel="0" collapsed="false">
      <c r="A1256" s="7" t="s">
        <v>1548</v>
      </c>
      <c r="B1256" s="7" t="s">
        <v>135</v>
      </c>
      <c r="C1256" s="7" t="s">
        <v>136</v>
      </c>
      <c r="D1256" s="7" t="s">
        <v>206</v>
      </c>
      <c r="E1256" s="7" t="s">
        <v>207</v>
      </c>
      <c r="F1256" s="7" t="s">
        <v>56</v>
      </c>
      <c r="G1256" s="7" t="s">
        <v>20</v>
      </c>
      <c r="H1256" s="9" t="n">
        <v>46186</v>
      </c>
      <c r="I1256" s="9"/>
      <c r="J1256" s="7" t="n">
        <v>8.8</v>
      </c>
      <c r="K1256" s="7" t="s">
        <v>1392</v>
      </c>
      <c r="L1256" s="7" t="s">
        <v>21</v>
      </c>
      <c r="M1256" s="7" t="s">
        <v>1551</v>
      </c>
      <c r="N1256" s="7" t="s">
        <v>53</v>
      </c>
      <c r="O1256" s="10" t="n">
        <f aca="false">'Exec Summary'!$E$2-H1256</f>
        <v>48</v>
      </c>
      <c r="P1256" s="10" t="str">
        <f aca="false">IF(I1256="","",I1256-H1256)</f>
        <v/>
      </c>
      <c r="Q1256" s="10" t="n">
        <f aca="false">VLOOKUP(G1256,$AA$2:$AB$5,2,FALSE())</f>
        <v>30</v>
      </c>
      <c r="R1256" s="7" t="n">
        <f aca="false">IF(OR(F1256="Open",F1256="Reopened"),1,0)</f>
        <v>1</v>
      </c>
      <c r="S1256" s="7" t="n">
        <f aca="false">IF(AND(H1256&gt;='Exec Summary'!$E$1,H1256&lt;='Exec Summary'!$E$2),1,0)</f>
        <v>0</v>
      </c>
      <c r="T1256" s="7" t="n">
        <f aca="false">IF(AND(F1256="Closed",I1256&lt;&gt;"",I1256&gt;='Exec Summary'!$E$1,I1256&lt;='Exec Summary'!$E$2),1,0)</f>
        <v>0</v>
      </c>
      <c r="U1256" s="7" t="n">
        <f aca="false">IF(F1256="Reopened",1,0)</f>
        <v>0</v>
      </c>
      <c r="V1256" s="7" t="n">
        <f aca="false">IF(AND(R1256=1,O1256&gt;Q1256),1,0)</f>
        <v>1</v>
      </c>
      <c r="W1256" s="7" t="n">
        <f aca="false">IF(AND(T1256=1,P1256&lt;&gt;"",P1256&lt;=Q1256),1,0)</f>
        <v>0</v>
      </c>
    </row>
    <row r="1257" customFormat="false" ht="15" hidden="false" customHeight="false" outlineLevel="0" collapsed="false">
      <c r="A1257" s="7" t="s">
        <v>1548</v>
      </c>
      <c r="B1257" s="7" t="s">
        <v>135</v>
      </c>
      <c r="C1257" s="7" t="s">
        <v>136</v>
      </c>
      <c r="D1257" s="7" t="s">
        <v>117</v>
      </c>
      <c r="E1257" s="7" t="s">
        <v>118</v>
      </c>
      <c r="F1257" s="7" t="s">
        <v>56</v>
      </c>
      <c r="G1257" s="7" t="s">
        <v>19</v>
      </c>
      <c r="H1257" s="9" t="n">
        <v>46140</v>
      </c>
      <c r="I1257" s="9"/>
      <c r="J1257" s="7" t="n">
        <v>10</v>
      </c>
      <c r="K1257" s="7" t="s">
        <v>1392</v>
      </c>
      <c r="L1257" s="7" t="s">
        <v>21</v>
      </c>
      <c r="M1257" s="7" t="s">
        <v>1552</v>
      </c>
      <c r="N1257" s="7" t="s">
        <v>58</v>
      </c>
      <c r="O1257" s="10" t="n">
        <f aca="false">'Exec Summary'!$E$2-H1257</f>
        <v>94</v>
      </c>
      <c r="P1257" s="10" t="str">
        <f aca="false">IF(I1257="","",I1257-H1257)</f>
        <v/>
      </c>
      <c r="Q1257" s="10" t="n">
        <f aca="false">VLOOKUP(G1257,$AA$2:$AB$5,2,FALSE())</f>
        <v>15</v>
      </c>
      <c r="R1257" s="7" t="n">
        <f aca="false">IF(OR(F1257="Open",F1257="Reopened"),1,0)</f>
        <v>1</v>
      </c>
      <c r="S1257" s="7" t="n">
        <f aca="false">IF(AND(H1257&gt;='Exec Summary'!$E$1,H1257&lt;='Exec Summary'!$E$2),1,0)</f>
        <v>0</v>
      </c>
      <c r="T1257" s="7" t="n">
        <f aca="false">IF(AND(F1257="Closed",I1257&lt;&gt;"",I1257&gt;='Exec Summary'!$E$1,I1257&lt;='Exec Summary'!$E$2),1,0)</f>
        <v>0</v>
      </c>
      <c r="U1257" s="7" t="n">
        <f aca="false">IF(F1257="Reopened",1,0)</f>
        <v>0</v>
      </c>
      <c r="V1257" s="7" t="n">
        <f aca="false">IF(AND(R1257=1,O1257&gt;Q1257),1,0)</f>
        <v>1</v>
      </c>
      <c r="W1257" s="7" t="n">
        <f aca="false">IF(AND(T1257=1,P1257&lt;&gt;"",P1257&lt;=Q1257),1,0)</f>
        <v>0</v>
      </c>
    </row>
    <row r="1258" customFormat="false" ht="15" hidden="false" customHeight="false" outlineLevel="0" collapsed="false">
      <c r="A1258" s="7" t="s">
        <v>1548</v>
      </c>
      <c r="B1258" s="7" t="s">
        <v>135</v>
      </c>
      <c r="C1258" s="7" t="s">
        <v>136</v>
      </c>
      <c r="D1258" s="7" t="s">
        <v>65</v>
      </c>
      <c r="E1258" s="7" t="s">
        <v>66</v>
      </c>
      <c r="F1258" s="7" t="s">
        <v>123</v>
      </c>
      <c r="G1258" s="7" t="s">
        <v>19</v>
      </c>
      <c r="H1258" s="9" t="n">
        <v>46166</v>
      </c>
      <c r="I1258" s="9" t="n">
        <v>46188</v>
      </c>
      <c r="J1258" s="7" t="n">
        <v>9.8</v>
      </c>
      <c r="K1258" s="7" t="s">
        <v>1392</v>
      </c>
      <c r="L1258" s="7" t="s">
        <v>21</v>
      </c>
      <c r="M1258" s="7" t="s">
        <v>1553</v>
      </c>
      <c r="N1258" s="7" t="s">
        <v>58</v>
      </c>
      <c r="O1258" s="10" t="n">
        <f aca="false">'Exec Summary'!$E$2-H1258</f>
        <v>68</v>
      </c>
      <c r="P1258" s="10" t="n">
        <f aca="false">IF(I1258="","",I1258-H1258)</f>
        <v>22</v>
      </c>
      <c r="Q1258" s="10" t="n">
        <f aca="false">VLOOKUP(G1258,$AA$2:$AB$5,2,FALSE())</f>
        <v>15</v>
      </c>
      <c r="R1258" s="7" t="n">
        <f aca="false">IF(OR(F1258="Open",F1258="Reopened"),1,0)</f>
        <v>1</v>
      </c>
      <c r="S1258" s="7" t="n">
        <f aca="false">IF(AND(H1258&gt;='Exec Summary'!$E$1,H1258&lt;='Exec Summary'!$E$2),1,0)</f>
        <v>0</v>
      </c>
      <c r="T1258" s="7" t="n">
        <f aca="false">IF(AND(F1258="Closed",I1258&lt;&gt;"",I1258&gt;='Exec Summary'!$E$1,I1258&lt;='Exec Summary'!$E$2),1,0)</f>
        <v>0</v>
      </c>
      <c r="U1258" s="7" t="n">
        <f aca="false">IF(F1258="Reopened",1,0)</f>
        <v>1</v>
      </c>
      <c r="V1258" s="7" t="n">
        <f aca="false">IF(AND(R1258=1,O1258&gt;Q1258),1,0)</f>
        <v>1</v>
      </c>
      <c r="W1258" s="7" t="n">
        <f aca="false">IF(AND(T1258=1,P1258&lt;&gt;"",P1258&lt;=Q1258),1,0)</f>
        <v>0</v>
      </c>
    </row>
    <row r="1259" customFormat="false" ht="15" hidden="false" customHeight="false" outlineLevel="0" collapsed="false">
      <c r="A1259" s="7" t="s">
        <v>1548</v>
      </c>
      <c r="B1259" s="7" t="s">
        <v>135</v>
      </c>
      <c r="C1259" s="7" t="s">
        <v>136</v>
      </c>
      <c r="D1259" s="7" t="s">
        <v>112</v>
      </c>
      <c r="E1259" s="7" t="s">
        <v>113</v>
      </c>
      <c r="F1259" s="7" t="s">
        <v>56</v>
      </c>
      <c r="G1259" s="7" t="s">
        <v>20</v>
      </c>
      <c r="H1259" s="9" t="n">
        <v>46054</v>
      </c>
      <c r="I1259" s="9"/>
      <c r="J1259" s="7" t="n">
        <v>7.8</v>
      </c>
      <c r="K1259" s="7" t="s">
        <v>1392</v>
      </c>
      <c r="L1259" s="7" t="s">
        <v>21</v>
      </c>
      <c r="M1259" s="7" t="s">
        <v>1554</v>
      </c>
      <c r="N1259" s="7" t="s">
        <v>53</v>
      </c>
      <c r="O1259" s="10" t="n">
        <f aca="false">'Exec Summary'!$E$2-H1259</f>
        <v>180</v>
      </c>
      <c r="P1259" s="10" t="str">
        <f aca="false">IF(I1259="","",I1259-H1259)</f>
        <v/>
      </c>
      <c r="Q1259" s="10" t="n">
        <f aca="false">VLOOKUP(G1259,$AA$2:$AB$5,2,FALSE())</f>
        <v>30</v>
      </c>
      <c r="R1259" s="7" t="n">
        <f aca="false">IF(OR(F1259="Open",F1259="Reopened"),1,0)</f>
        <v>1</v>
      </c>
      <c r="S1259" s="7" t="n">
        <f aca="false">IF(AND(H1259&gt;='Exec Summary'!$E$1,H1259&lt;='Exec Summary'!$E$2),1,0)</f>
        <v>0</v>
      </c>
      <c r="T1259" s="7" t="n">
        <f aca="false">IF(AND(F1259="Closed",I1259&lt;&gt;"",I1259&gt;='Exec Summary'!$E$1,I1259&lt;='Exec Summary'!$E$2),1,0)</f>
        <v>0</v>
      </c>
      <c r="U1259" s="7" t="n">
        <f aca="false">IF(F1259="Reopened",1,0)</f>
        <v>0</v>
      </c>
      <c r="V1259" s="7" t="n">
        <f aca="false">IF(AND(R1259=1,O1259&gt;Q1259),1,0)</f>
        <v>1</v>
      </c>
      <c r="W1259" s="7" t="n">
        <f aca="false">IF(AND(T1259=1,P1259&lt;&gt;"",P1259&lt;=Q1259),1,0)</f>
        <v>0</v>
      </c>
    </row>
    <row r="1260" customFormat="false" ht="15" hidden="false" customHeight="false" outlineLevel="0" collapsed="false">
      <c r="A1260" s="7" t="s">
        <v>1548</v>
      </c>
      <c r="B1260" s="7" t="s">
        <v>135</v>
      </c>
      <c r="C1260" s="7" t="s">
        <v>136</v>
      </c>
      <c r="D1260" s="7" t="s">
        <v>54</v>
      </c>
      <c r="E1260" s="7" t="s">
        <v>55</v>
      </c>
      <c r="F1260" s="7" t="s">
        <v>56</v>
      </c>
      <c r="G1260" s="7" t="s">
        <v>19</v>
      </c>
      <c r="H1260" s="9" t="n">
        <v>46009</v>
      </c>
      <c r="I1260" s="9"/>
      <c r="J1260" s="7" t="n">
        <v>9.8</v>
      </c>
      <c r="K1260" s="7" t="s">
        <v>1392</v>
      </c>
      <c r="L1260" s="7" t="s">
        <v>21</v>
      </c>
      <c r="M1260" s="7" t="s">
        <v>1555</v>
      </c>
      <c r="N1260" s="7" t="s">
        <v>58</v>
      </c>
      <c r="O1260" s="10" t="n">
        <f aca="false">'Exec Summary'!$E$2-H1260</f>
        <v>225</v>
      </c>
      <c r="P1260" s="10" t="str">
        <f aca="false">IF(I1260="","",I1260-H1260)</f>
        <v/>
      </c>
      <c r="Q1260" s="10" t="n">
        <f aca="false">VLOOKUP(G1260,$AA$2:$AB$5,2,FALSE())</f>
        <v>15</v>
      </c>
      <c r="R1260" s="7" t="n">
        <f aca="false">IF(OR(F1260="Open",F1260="Reopened"),1,0)</f>
        <v>1</v>
      </c>
      <c r="S1260" s="7" t="n">
        <f aca="false">IF(AND(H1260&gt;='Exec Summary'!$E$1,H1260&lt;='Exec Summary'!$E$2),1,0)</f>
        <v>0</v>
      </c>
      <c r="T1260" s="7" t="n">
        <f aca="false">IF(AND(F1260="Closed",I1260&lt;&gt;"",I1260&gt;='Exec Summary'!$E$1,I1260&lt;='Exec Summary'!$E$2),1,0)</f>
        <v>0</v>
      </c>
      <c r="U1260" s="7" t="n">
        <f aca="false">IF(F1260="Reopened",1,0)</f>
        <v>0</v>
      </c>
      <c r="V1260" s="7" t="n">
        <f aca="false">IF(AND(R1260=1,O1260&gt;Q1260),1,0)</f>
        <v>1</v>
      </c>
      <c r="W1260" s="7" t="n">
        <f aca="false">IF(AND(T1260=1,P1260&lt;&gt;"",P1260&lt;=Q1260),1,0)</f>
        <v>0</v>
      </c>
    </row>
    <row r="1261" customFormat="false" ht="15" hidden="false" customHeight="false" outlineLevel="0" collapsed="false">
      <c r="A1261" s="7" t="s">
        <v>1548</v>
      </c>
      <c r="B1261" s="7" t="s">
        <v>135</v>
      </c>
      <c r="C1261" s="7" t="s">
        <v>136</v>
      </c>
      <c r="D1261" s="7" t="s">
        <v>62</v>
      </c>
      <c r="E1261" s="7" t="s">
        <v>63</v>
      </c>
      <c r="F1261" s="7" t="s">
        <v>56</v>
      </c>
      <c r="G1261" s="7" t="s">
        <v>20</v>
      </c>
      <c r="H1261" s="9" t="n">
        <v>46120</v>
      </c>
      <c r="I1261" s="9"/>
      <c r="J1261" s="7" t="n">
        <v>8.1</v>
      </c>
      <c r="K1261" s="7" t="s">
        <v>1392</v>
      </c>
      <c r="L1261" s="7" t="s">
        <v>21</v>
      </c>
      <c r="M1261" s="7" t="s">
        <v>1556</v>
      </c>
      <c r="N1261" s="7" t="s">
        <v>53</v>
      </c>
      <c r="O1261" s="10" t="n">
        <f aca="false">'Exec Summary'!$E$2-H1261</f>
        <v>114</v>
      </c>
      <c r="P1261" s="10" t="str">
        <f aca="false">IF(I1261="","",I1261-H1261)</f>
        <v/>
      </c>
      <c r="Q1261" s="10" t="n">
        <f aca="false">VLOOKUP(G1261,$AA$2:$AB$5,2,FALSE())</f>
        <v>30</v>
      </c>
      <c r="R1261" s="7" t="n">
        <f aca="false">IF(OR(F1261="Open",F1261="Reopened"),1,0)</f>
        <v>1</v>
      </c>
      <c r="S1261" s="7" t="n">
        <f aca="false">IF(AND(H1261&gt;='Exec Summary'!$E$1,H1261&lt;='Exec Summary'!$E$2),1,0)</f>
        <v>0</v>
      </c>
      <c r="T1261" s="7" t="n">
        <f aca="false">IF(AND(F1261="Closed",I1261&lt;&gt;"",I1261&gt;='Exec Summary'!$E$1,I1261&lt;='Exec Summary'!$E$2),1,0)</f>
        <v>0</v>
      </c>
      <c r="U1261" s="7" t="n">
        <f aca="false">IF(F1261="Reopened",1,0)</f>
        <v>0</v>
      </c>
      <c r="V1261" s="7" t="n">
        <f aca="false">IF(AND(R1261=1,O1261&gt;Q1261),1,0)</f>
        <v>1</v>
      </c>
      <c r="W1261" s="7" t="n">
        <f aca="false">IF(AND(T1261=1,P1261&lt;&gt;"",P1261&lt;=Q1261),1,0)</f>
        <v>0</v>
      </c>
    </row>
    <row r="1262" customFormat="false" ht="15" hidden="false" customHeight="false" outlineLevel="0" collapsed="false">
      <c r="A1262" s="7" t="s">
        <v>1548</v>
      </c>
      <c r="B1262" s="7" t="s">
        <v>135</v>
      </c>
      <c r="C1262" s="7" t="s">
        <v>136</v>
      </c>
      <c r="D1262" s="7" t="s">
        <v>81</v>
      </c>
      <c r="E1262" s="7" t="s">
        <v>82</v>
      </c>
      <c r="F1262" s="7" t="s">
        <v>50</v>
      </c>
      <c r="G1262" s="7" t="s">
        <v>20</v>
      </c>
      <c r="H1262" s="9" t="n">
        <v>46210</v>
      </c>
      <c r="I1262" s="9" t="n">
        <v>46228</v>
      </c>
      <c r="J1262" s="7" t="n">
        <v>7.8</v>
      </c>
      <c r="K1262" s="7" t="s">
        <v>1392</v>
      </c>
      <c r="L1262" s="7" t="s">
        <v>21</v>
      </c>
      <c r="M1262" s="7" t="s">
        <v>1557</v>
      </c>
      <c r="N1262" s="7" t="s">
        <v>53</v>
      </c>
      <c r="O1262" s="10" t="n">
        <f aca="false">'Exec Summary'!$E$2-H1262</f>
        <v>24</v>
      </c>
      <c r="P1262" s="10" t="n">
        <f aca="false">IF(I1262="","",I1262-H1262)</f>
        <v>18</v>
      </c>
      <c r="Q1262" s="10" t="n">
        <f aca="false">VLOOKUP(G1262,$AA$2:$AB$5,2,FALSE())</f>
        <v>30</v>
      </c>
      <c r="R1262" s="7" t="n">
        <f aca="false">IF(OR(F1262="Open",F1262="Reopened"),1,0)</f>
        <v>0</v>
      </c>
      <c r="S1262" s="7" t="n">
        <f aca="false">IF(AND(H1262&gt;='Exec Summary'!$E$1,H1262&lt;='Exec Summary'!$E$2),1,0)</f>
        <v>1</v>
      </c>
      <c r="T1262" s="7" t="n">
        <f aca="false">IF(AND(F1262="Closed",I1262&lt;&gt;"",I1262&gt;='Exec Summary'!$E$1,I1262&lt;='Exec Summary'!$E$2),1,0)</f>
        <v>1</v>
      </c>
      <c r="U1262" s="7" t="n">
        <f aca="false">IF(F1262="Reopened",1,0)</f>
        <v>0</v>
      </c>
      <c r="V1262" s="7" t="n">
        <f aca="false">IF(AND(R1262=1,O1262&gt;Q1262),1,0)</f>
        <v>0</v>
      </c>
      <c r="W1262" s="7" t="n">
        <f aca="false">IF(AND(T1262=1,P1262&lt;&gt;"",P1262&lt;=Q1262),1,0)</f>
        <v>1</v>
      </c>
    </row>
    <row r="1263" customFormat="false" ht="15" hidden="false" customHeight="false" outlineLevel="0" collapsed="false">
      <c r="A1263" s="7" t="s">
        <v>1548</v>
      </c>
      <c r="B1263" s="7" t="s">
        <v>135</v>
      </c>
      <c r="C1263" s="7" t="s">
        <v>136</v>
      </c>
      <c r="D1263" s="7" t="s">
        <v>91</v>
      </c>
      <c r="E1263" s="7" t="s">
        <v>92</v>
      </c>
      <c r="F1263" s="7" t="s">
        <v>56</v>
      </c>
      <c r="G1263" s="7" t="s">
        <v>20</v>
      </c>
      <c r="H1263" s="9" t="n">
        <v>46101</v>
      </c>
      <c r="I1263" s="9"/>
      <c r="J1263" s="7" t="n">
        <v>8.1</v>
      </c>
      <c r="K1263" s="7" t="s">
        <v>1392</v>
      </c>
      <c r="L1263" s="7" t="s">
        <v>21</v>
      </c>
      <c r="M1263" s="7" t="s">
        <v>1558</v>
      </c>
      <c r="N1263" s="7" t="s">
        <v>53</v>
      </c>
      <c r="O1263" s="10" t="n">
        <f aca="false">'Exec Summary'!$E$2-H1263</f>
        <v>133</v>
      </c>
      <c r="P1263" s="10" t="str">
        <f aca="false">IF(I1263="","",I1263-H1263)</f>
        <v/>
      </c>
      <c r="Q1263" s="10" t="n">
        <f aca="false">VLOOKUP(G1263,$AA$2:$AB$5,2,FALSE())</f>
        <v>30</v>
      </c>
      <c r="R1263" s="7" t="n">
        <f aca="false">IF(OR(F1263="Open",F1263="Reopened"),1,0)</f>
        <v>1</v>
      </c>
      <c r="S1263" s="7" t="n">
        <f aca="false">IF(AND(H1263&gt;='Exec Summary'!$E$1,H1263&lt;='Exec Summary'!$E$2),1,0)</f>
        <v>0</v>
      </c>
      <c r="T1263" s="7" t="n">
        <f aca="false">IF(AND(F1263="Closed",I1263&lt;&gt;"",I1263&gt;='Exec Summary'!$E$1,I1263&lt;='Exec Summary'!$E$2),1,0)</f>
        <v>0</v>
      </c>
      <c r="U1263" s="7" t="n">
        <f aca="false">IF(F1263="Reopened",1,0)</f>
        <v>0</v>
      </c>
      <c r="V1263" s="7" t="n">
        <f aca="false">IF(AND(R1263=1,O1263&gt;Q1263),1,0)</f>
        <v>1</v>
      </c>
      <c r="W1263" s="7" t="n">
        <f aca="false">IF(AND(T1263=1,P1263&lt;&gt;"",P1263&lt;=Q1263),1,0)</f>
        <v>0</v>
      </c>
    </row>
    <row r="1264" customFormat="false" ht="15" hidden="false" customHeight="false" outlineLevel="0" collapsed="false">
      <c r="A1264" s="7" t="s">
        <v>1548</v>
      </c>
      <c r="B1264" s="7" t="s">
        <v>135</v>
      </c>
      <c r="C1264" s="7" t="s">
        <v>136</v>
      </c>
      <c r="D1264" s="7" t="s">
        <v>59</v>
      </c>
      <c r="E1264" s="7" t="s">
        <v>60</v>
      </c>
      <c r="F1264" s="7" t="s">
        <v>56</v>
      </c>
      <c r="G1264" s="7" t="s">
        <v>19</v>
      </c>
      <c r="H1264" s="9" t="n">
        <v>46135</v>
      </c>
      <c r="I1264" s="9"/>
      <c r="J1264" s="7" t="n">
        <v>7.8</v>
      </c>
      <c r="K1264" s="7" t="s">
        <v>1392</v>
      </c>
      <c r="L1264" s="7" t="s">
        <v>21</v>
      </c>
      <c r="M1264" s="7" t="s">
        <v>1559</v>
      </c>
      <c r="N1264" s="7" t="s">
        <v>58</v>
      </c>
      <c r="O1264" s="10" t="n">
        <f aca="false">'Exec Summary'!$E$2-H1264</f>
        <v>99</v>
      </c>
      <c r="P1264" s="10" t="str">
        <f aca="false">IF(I1264="","",I1264-H1264)</f>
        <v/>
      </c>
      <c r="Q1264" s="10" t="n">
        <f aca="false">VLOOKUP(G1264,$AA$2:$AB$5,2,FALSE())</f>
        <v>15</v>
      </c>
      <c r="R1264" s="7" t="n">
        <f aca="false">IF(OR(F1264="Open",F1264="Reopened"),1,0)</f>
        <v>1</v>
      </c>
      <c r="S1264" s="7" t="n">
        <f aca="false">IF(AND(H1264&gt;='Exec Summary'!$E$1,H1264&lt;='Exec Summary'!$E$2),1,0)</f>
        <v>0</v>
      </c>
      <c r="T1264" s="7" t="n">
        <f aca="false">IF(AND(F1264="Closed",I1264&lt;&gt;"",I1264&gt;='Exec Summary'!$E$1,I1264&lt;='Exec Summary'!$E$2),1,0)</f>
        <v>0</v>
      </c>
      <c r="U1264" s="7" t="n">
        <f aca="false">IF(F1264="Reopened",1,0)</f>
        <v>0</v>
      </c>
      <c r="V1264" s="7" t="n">
        <f aca="false">IF(AND(R1264=1,O1264&gt;Q1264),1,0)</f>
        <v>1</v>
      </c>
      <c r="W1264" s="7" t="n">
        <f aca="false">IF(AND(T1264=1,P1264&lt;&gt;"",P1264&lt;=Q1264),1,0)</f>
        <v>0</v>
      </c>
    </row>
    <row r="1265" customFormat="false" ht="15" hidden="false" customHeight="false" outlineLevel="0" collapsed="false">
      <c r="A1265" s="7" t="s">
        <v>1548</v>
      </c>
      <c r="B1265" s="7" t="s">
        <v>135</v>
      </c>
      <c r="C1265" s="7" t="s">
        <v>136</v>
      </c>
      <c r="D1265" s="7" t="s">
        <v>131</v>
      </c>
      <c r="E1265" s="7" t="s">
        <v>132</v>
      </c>
      <c r="F1265" s="7" t="s">
        <v>56</v>
      </c>
      <c r="G1265" s="7" t="s">
        <v>19</v>
      </c>
      <c r="H1265" s="9" t="n">
        <v>45941</v>
      </c>
      <c r="I1265" s="9"/>
      <c r="J1265" s="7" t="n">
        <v>9.8</v>
      </c>
      <c r="K1265" s="7" t="s">
        <v>1392</v>
      </c>
      <c r="L1265" s="7" t="s">
        <v>21</v>
      </c>
      <c r="M1265" s="7" t="s">
        <v>1560</v>
      </c>
      <c r="N1265" s="7" t="s">
        <v>58</v>
      </c>
      <c r="O1265" s="10" t="n">
        <f aca="false">'Exec Summary'!$E$2-H1265</f>
        <v>293</v>
      </c>
      <c r="P1265" s="10" t="str">
        <f aca="false">IF(I1265="","",I1265-H1265)</f>
        <v/>
      </c>
      <c r="Q1265" s="10" t="n">
        <f aca="false">VLOOKUP(G1265,$AA$2:$AB$5,2,FALSE())</f>
        <v>15</v>
      </c>
      <c r="R1265" s="7" t="n">
        <f aca="false">IF(OR(F1265="Open",F1265="Reopened"),1,0)</f>
        <v>1</v>
      </c>
      <c r="S1265" s="7" t="n">
        <f aca="false">IF(AND(H1265&gt;='Exec Summary'!$E$1,H1265&lt;='Exec Summary'!$E$2),1,0)</f>
        <v>0</v>
      </c>
      <c r="T1265" s="7" t="n">
        <f aca="false">IF(AND(F1265="Closed",I1265&lt;&gt;"",I1265&gt;='Exec Summary'!$E$1,I1265&lt;='Exec Summary'!$E$2),1,0)</f>
        <v>0</v>
      </c>
      <c r="U1265" s="7" t="n">
        <f aca="false">IF(F1265="Reopened",1,0)</f>
        <v>0</v>
      </c>
      <c r="V1265" s="7" t="n">
        <f aca="false">IF(AND(R1265=1,O1265&gt;Q1265),1,0)</f>
        <v>1</v>
      </c>
      <c r="W1265" s="7" t="n">
        <f aca="false">IF(AND(T1265=1,P1265&lt;&gt;"",P1265&lt;=Q1265),1,0)</f>
        <v>0</v>
      </c>
    </row>
    <row r="1266" customFormat="false" ht="15" hidden="false" customHeight="false" outlineLevel="0" collapsed="false">
      <c r="A1266" s="7" t="s">
        <v>1548</v>
      </c>
      <c r="B1266" s="7" t="s">
        <v>135</v>
      </c>
      <c r="C1266" s="7" t="s">
        <v>136</v>
      </c>
      <c r="D1266" s="7" t="s">
        <v>108</v>
      </c>
      <c r="E1266" s="7" t="s">
        <v>109</v>
      </c>
      <c r="F1266" s="7" t="s">
        <v>56</v>
      </c>
      <c r="G1266" s="7" t="s">
        <v>20</v>
      </c>
      <c r="H1266" s="9" t="n">
        <v>45987</v>
      </c>
      <c r="I1266" s="9"/>
      <c r="J1266" s="7" t="n">
        <v>8.6</v>
      </c>
      <c r="K1266" s="7" t="s">
        <v>1392</v>
      </c>
      <c r="L1266" s="7" t="s">
        <v>21</v>
      </c>
      <c r="M1266" s="7" t="s">
        <v>1561</v>
      </c>
      <c r="N1266" s="7" t="s">
        <v>53</v>
      </c>
      <c r="O1266" s="10" t="n">
        <f aca="false">'Exec Summary'!$E$2-H1266</f>
        <v>247</v>
      </c>
      <c r="P1266" s="10" t="str">
        <f aca="false">IF(I1266="","",I1266-H1266)</f>
        <v/>
      </c>
      <c r="Q1266" s="10" t="n">
        <f aca="false">VLOOKUP(G1266,$AA$2:$AB$5,2,FALSE())</f>
        <v>30</v>
      </c>
      <c r="R1266" s="7" t="n">
        <f aca="false">IF(OR(F1266="Open",F1266="Reopened"),1,0)</f>
        <v>1</v>
      </c>
      <c r="S1266" s="7" t="n">
        <f aca="false">IF(AND(H1266&gt;='Exec Summary'!$E$1,H1266&lt;='Exec Summary'!$E$2),1,0)</f>
        <v>0</v>
      </c>
      <c r="T1266" s="7" t="n">
        <f aca="false">IF(AND(F1266="Closed",I1266&lt;&gt;"",I1266&gt;='Exec Summary'!$E$1,I1266&lt;='Exec Summary'!$E$2),1,0)</f>
        <v>0</v>
      </c>
      <c r="U1266" s="7" t="n">
        <f aca="false">IF(F1266="Reopened",1,0)</f>
        <v>0</v>
      </c>
      <c r="V1266" s="7" t="n">
        <f aca="false">IF(AND(R1266=1,O1266&gt;Q1266),1,0)</f>
        <v>1</v>
      </c>
      <c r="W1266" s="7" t="n">
        <f aca="false">IF(AND(T1266=1,P1266&lt;&gt;"",P1266&lt;=Q1266),1,0)</f>
        <v>0</v>
      </c>
    </row>
    <row r="1267" customFormat="false" ht="15" hidden="false" customHeight="false" outlineLevel="0" collapsed="false">
      <c r="A1267" s="7" t="s">
        <v>1548</v>
      </c>
      <c r="B1267" s="7" t="s">
        <v>135</v>
      </c>
      <c r="C1267" s="7" t="s">
        <v>136</v>
      </c>
      <c r="D1267" s="7" t="s">
        <v>48</v>
      </c>
      <c r="E1267" s="7" t="s">
        <v>49</v>
      </c>
      <c r="F1267" s="7" t="s">
        <v>56</v>
      </c>
      <c r="G1267" s="7" t="s">
        <v>20</v>
      </c>
      <c r="H1267" s="9" t="n">
        <v>46010</v>
      </c>
      <c r="I1267" s="9"/>
      <c r="J1267" s="7" t="n">
        <v>7.5</v>
      </c>
      <c r="K1267" s="7" t="s">
        <v>1392</v>
      </c>
      <c r="L1267" s="7" t="s">
        <v>21</v>
      </c>
      <c r="M1267" s="7" t="s">
        <v>1562</v>
      </c>
      <c r="N1267" s="7" t="s">
        <v>53</v>
      </c>
      <c r="O1267" s="10" t="n">
        <f aca="false">'Exec Summary'!$E$2-H1267</f>
        <v>224</v>
      </c>
      <c r="P1267" s="10" t="str">
        <f aca="false">IF(I1267="","",I1267-H1267)</f>
        <v/>
      </c>
      <c r="Q1267" s="10" t="n">
        <f aca="false">VLOOKUP(G1267,$AA$2:$AB$5,2,FALSE())</f>
        <v>30</v>
      </c>
      <c r="R1267" s="7" t="n">
        <f aca="false">IF(OR(F1267="Open",F1267="Reopened"),1,0)</f>
        <v>1</v>
      </c>
      <c r="S1267" s="7" t="n">
        <f aca="false">IF(AND(H1267&gt;='Exec Summary'!$E$1,H1267&lt;='Exec Summary'!$E$2),1,0)</f>
        <v>0</v>
      </c>
      <c r="T1267" s="7" t="n">
        <f aca="false">IF(AND(F1267="Closed",I1267&lt;&gt;"",I1267&gt;='Exec Summary'!$E$1,I1267&lt;='Exec Summary'!$E$2),1,0)</f>
        <v>0</v>
      </c>
      <c r="U1267" s="7" t="n">
        <f aca="false">IF(F1267="Reopened",1,0)</f>
        <v>0</v>
      </c>
      <c r="V1267" s="7" t="n">
        <f aca="false">IF(AND(R1267=1,O1267&gt;Q1267),1,0)</f>
        <v>1</v>
      </c>
      <c r="W1267" s="7" t="n">
        <f aca="false">IF(AND(T1267=1,P1267&lt;&gt;"",P1267&lt;=Q1267),1,0)</f>
        <v>0</v>
      </c>
    </row>
    <row r="1268" customFormat="false" ht="15" hidden="false" customHeight="false" outlineLevel="0" collapsed="false">
      <c r="A1268" s="7" t="s">
        <v>1563</v>
      </c>
      <c r="B1268" s="7" t="s">
        <v>46</v>
      </c>
      <c r="C1268" s="7" t="s">
        <v>128</v>
      </c>
      <c r="D1268" s="7" t="s">
        <v>145</v>
      </c>
      <c r="E1268" s="7" t="s">
        <v>146</v>
      </c>
      <c r="F1268" s="7" t="s">
        <v>50</v>
      </c>
      <c r="G1268" s="7" t="s">
        <v>19</v>
      </c>
      <c r="H1268" s="9" t="n">
        <v>46054</v>
      </c>
      <c r="I1268" s="9" t="n">
        <v>46061</v>
      </c>
      <c r="J1268" s="7" t="n">
        <v>9.8</v>
      </c>
      <c r="K1268" s="7" t="s">
        <v>1392</v>
      </c>
      <c r="L1268" s="7" t="s">
        <v>21</v>
      </c>
      <c r="M1268" s="7" t="s">
        <v>1564</v>
      </c>
      <c r="N1268" s="7" t="s">
        <v>58</v>
      </c>
      <c r="O1268" s="10" t="n">
        <f aca="false">'Exec Summary'!$E$2-H1268</f>
        <v>180</v>
      </c>
      <c r="P1268" s="10" t="n">
        <f aca="false">IF(I1268="","",I1268-H1268)</f>
        <v>7</v>
      </c>
      <c r="Q1268" s="10" t="n">
        <f aca="false">VLOOKUP(G1268,$AA$2:$AB$5,2,FALSE())</f>
        <v>15</v>
      </c>
      <c r="R1268" s="7" t="n">
        <f aca="false">IF(OR(F1268="Open",F1268="Reopened"),1,0)</f>
        <v>0</v>
      </c>
      <c r="S1268" s="7" t="n">
        <f aca="false">IF(AND(H1268&gt;='Exec Summary'!$E$1,H1268&lt;='Exec Summary'!$E$2),1,0)</f>
        <v>0</v>
      </c>
      <c r="T1268" s="7" t="n">
        <f aca="false">IF(AND(F1268="Closed",I1268&lt;&gt;"",I1268&gt;='Exec Summary'!$E$1,I1268&lt;='Exec Summary'!$E$2),1,0)</f>
        <v>0</v>
      </c>
      <c r="U1268" s="7" t="n">
        <f aca="false">IF(F1268="Reopened",1,0)</f>
        <v>0</v>
      </c>
      <c r="V1268" s="7" t="n">
        <f aca="false">IF(AND(R1268=1,O1268&gt;Q1268),1,0)</f>
        <v>0</v>
      </c>
      <c r="W1268" s="7" t="n">
        <f aca="false">IF(AND(T1268=1,P1268&lt;&gt;"",P1268&lt;=Q1268),1,0)</f>
        <v>0</v>
      </c>
    </row>
    <row r="1269" customFormat="false" ht="15" hidden="false" customHeight="false" outlineLevel="0" collapsed="false">
      <c r="A1269" s="7" t="s">
        <v>1563</v>
      </c>
      <c r="B1269" s="7" t="s">
        <v>46</v>
      </c>
      <c r="C1269" s="7" t="s">
        <v>128</v>
      </c>
      <c r="D1269" s="7" t="s">
        <v>112</v>
      </c>
      <c r="E1269" s="7" t="s">
        <v>113</v>
      </c>
      <c r="F1269" s="7" t="s">
        <v>56</v>
      </c>
      <c r="G1269" s="7" t="s">
        <v>20</v>
      </c>
      <c r="H1269" s="9" t="n">
        <v>46213</v>
      </c>
      <c r="I1269" s="9"/>
      <c r="J1269" s="7" t="n">
        <v>7.8</v>
      </c>
      <c r="K1269" s="7" t="s">
        <v>1392</v>
      </c>
      <c r="L1269" s="7" t="s">
        <v>21</v>
      </c>
      <c r="M1269" s="7" t="s">
        <v>1565</v>
      </c>
      <c r="N1269" s="7" t="s">
        <v>53</v>
      </c>
      <c r="O1269" s="10" t="n">
        <f aca="false">'Exec Summary'!$E$2-H1269</f>
        <v>21</v>
      </c>
      <c r="P1269" s="10" t="str">
        <f aca="false">IF(I1269="","",I1269-H1269)</f>
        <v/>
      </c>
      <c r="Q1269" s="10" t="n">
        <f aca="false">VLOOKUP(G1269,$AA$2:$AB$5,2,FALSE())</f>
        <v>30</v>
      </c>
      <c r="R1269" s="7" t="n">
        <f aca="false">IF(OR(F1269="Open",F1269="Reopened"),1,0)</f>
        <v>1</v>
      </c>
      <c r="S1269" s="7" t="n">
        <f aca="false">IF(AND(H1269&gt;='Exec Summary'!$E$1,H1269&lt;='Exec Summary'!$E$2),1,0)</f>
        <v>1</v>
      </c>
      <c r="T1269" s="7" t="n">
        <f aca="false">IF(AND(F1269="Closed",I1269&lt;&gt;"",I1269&gt;='Exec Summary'!$E$1,I1269&lt;='Exec Summary'!$E$2),1,0)</f>
        <v>0</v>
      </c>
      <c r="U1269" s="7" t="n">
        <f aca="false">IF(F1269="Reopened",1,0)</f>
        <v>0</v>
      </c>
      <c r="V1269" s="7" t="n">
        <f aca="false">IF(AND(R1269=1,O1269&gt;Q1269),1,0)</f>
        <v>0</v>
      </c>
      <c r="W1269" s="7" t="n">
        <f aca="false">IF(AND(T1269=1,P1269&lt;&gt;"",P1269&lt;=Q1269),1,0)</f>
        <v>0</v>
      </c>
    </row>
    <row r="1270" customFormat="false" ht="15" hidden="false" customHeight="false" outlineLevel="0" collapsed="false">
      <c r="A1270" s="7" t="s">
        <v>1563</v>
      </c>
      <c r="B1270" s="7" t="s">
        <v>46</v>
      </c>
      <c r="C1270" s="7" t="s">
        <v>128</v>
      </c>
      <c r="D1270" s="7" t="s">
        <v>152</v>
      </c>
      <c r="E1270" s="7" t="s">
        <v>153</v>
      </c>
      <c r="F1270" s="7" t="s">
        <v>56</v>
      </c>
      <c r="G1270" s="7" t="s">
        <v>20</v>
      </c>
      <c r="H1270" s="9" t="n">
        <v>45998</v>
      </c>
      <c r="I1270" s="9"/>
      <c r="J1270" s="7" t="n">
        <v>7.5</v>
      </c>
      <c r="K1270" s="7" t="s">
        <v>1392</v>
      </c>
      <c r="L1270" s="7" t="s">
        <v>21</v>
      </c>
      <c r="M1270" s="7" t="s">
        <v>1566</v>
      </c>
      <c r="N1270" s="7" t="s">
        <v>53</v>
      </c>
      <c r="O1270" s="10" t="n">
        <f aca="false">'Exec Summary'!$E$2-H1270</f>
        <v>236</v>
      </c>
      <c r="P1270" s="10" t="str">
        <f aca="false">IF(I1270="","",I1270-H1270)</f>
        <v/>
      </c>
      <c r="Q1270" s="10" t="n">
        <f aca="false">VLOOKUP(G1270,$AA$2:$AB$5,2,FALSE())</f>
        <v>30</v>
      </c>
      <c r="R1270" s="7" t="n">
        <f aca="false">IF(OR(F1270="Open",F1270="Reopened"),1,0)</f>
        <v>1</v>
      </c>
      <c r="S1270" s="7" t="n">
        <f aca="false">IF(AND(H1270&gt;='Exec Summary'!$E$1,H1270&lt;='Exec Summary'!$E$2),1,0)</f>
        <v>0</v>
      </c>
      <c r="T1270" s="7" t="n">
        <f aca="false">IF(AND(F1270="Closed",I1270&lt;&gt;"",I1270&gt;='Exec Summary'!$E$1,I1270&lt;='Exec Summary'!$E$2),1,0)</f>
        <v>0</v>
      </c>
      <c r="U1270" s="7" t="n">
        <f aca="false">IF(F1270="Reopened",1,0)</f>
        <v>0</v>
      </c>
      <c r="V1270" s="7" t="n">
        <f aca="false">IF(AND(R1270=1,O1270&gt;Q1270),1,0)</f>
        <v>1</v>
      </c>
      <c r="W1270" s="7" t="n">
        <f aca="false">IF(AND(T1270=1,P1270&lt;&gt;"",P1270&lt;=Q1270),1,0)</f>
        <v>0</v>
      </c>
    </row>
    <row r="1271" customFormat="false" ht="15" hidden="false" customHeight="false" outlineLevel="0" collapsed="false">
      <c r="A1271" s="7" t="s">
        <v>1563</v>
      </c>
      <c r="B1271" s="7" t="s">
        <v>46</v>
      </c>
      <c r="C1271" s="7" t="s">
        <v>128</v>
      </c>
      <c r="D1271" s="7" t="s">
        <v>65</v>
      </c>
      <c r="E1271" s="7" t="s">
        <v>66</v>
      </c>
      <c r="F1271" s="7" t="s">
        <v>56</v>
      </c>
      <c r="G1271" s="7" t="s">
        <v>19</v>
      </c>
      <c r="H1271" s="9" t="n">
        <v>46103</v>
      </c>
      <c r="I1271" s="9"/>
      <c r="J1271" s="7" t="n">
        <v>9.8</v>
      </c>
      <c r="K1271" s="7" t="s">
        <v>1392</v>
      </c>
      <c r="L1271" s="7" t="s">
        <v>21</v>
      </c>
      <c r="M1271" s="7" t="s">
        <v>1567</v>
      </c>
      <c r="N1271" s="7" t="s">
        <v>58</v>
      </c>
      <c r="O1271" s="10" t="n">
        <f aca="false">'Exec Summary'!$E$2-H1271</f>
        <v>131</v>
      </c>
      <c r="P1271" s="10" t="str">
        <f aca="false">IF(I1271="","",I1271-H1271)</f>
        <v/>
      </c>
      <c r="Q1271" s="10" t="n">
        <f aca="false">VLOOKUP(G1271,$AA$2:$AB$5,2,FALSE())</f>
        <v>15</v>
      </c>
      <c r="R1271" s="7" t="n">
        <f aca="false">IF(OR(F1271="Open",F1271="Reopened"),1,0)</f>
        <v>1</v>
      </c>
      <c r="S1271" s="7" t="n">
        <f aca="false">IF(AND(H1271&gt;='Exec Summary'!$E$1,H1271&lt;='Exec Summary'!$E$2),1,0)</f>
        <v>0</v>
      </c>
      <c r="T1271" s="7" t="n">
        <f aca="false">IF(AND(F1271="Closed",I1271&lt;&gt;"",I1271&gt;='Exec Summary'!$E$1,I1271&lt;='Exec Summary'!$E$2),1,0)</f>
        <v>0</v>
      </c>
      <c r="U1271" s="7" t="n">
        <f aca="false">IF(F1271="Reopened",1,0)</f>
        <v>0</v>
      </c>
      <c r="V1271" s="7" t="n">
        <f aca="false">IF(AND(R1271=1,O1271&gt;Q1271),1,0)</f>
        <v>1</v>
      </c>
      <c r="W1271" s="7" t="n">
        <f aca="false">IF(AND(T1271=1,P1271&lt;&gt;"",P1271&lt;=Q1271),1,0)</f>
        <v>0</v>
      </c>
    </row>
    <row r="1272" customFormat="false" ht="15" hidden="false" customHeight="false" outlineLevel="0" collapsed="false">
      <c r="A1272" s="7" t="s">
        <v>1563</v>
      </c>
      <c r="B1272" s="7" t="s">
        <v>46</v>
      </c>
      <c r="C1272" s="7" t="s">
        <v>128</v>
      </c>
      <c r="D1272" s="7" t="s">
        <v>192</v>
      </c>
      <c r="E1272" s="7" t="s">
        <v>193</v>
      </c>
      <c r="F1272" s="7" t="s">
        <v>50</v>
      </c>
      <c r="G1272" s="7" t="s">
        <v>19</v>
      </c>
      <c r="H1272" s="9" t="n">
        <v>46211</v>
      </c>
      <c r="I1272" s="9" t="n">
        <v>46220</v>
      </c>
      <c r="J1272" s="7" t="n">
        <v>9.8</v>
      </c>
      <c r="K1272" s="7" t="s">
        <v>1392</v>
      </c>
      <c r="L1272" s="7" t="s">
        <v>21</v>
      </c>
      <c r="M1272" s="7" t="s">
        <v>1568</v>
      </c>
      <c r="N1272" s="7" t="s">
        <v>58</v>
      </c>
      <c r="O1272" s="10" t="n">
        <f aca="false">'Exec Summary'!$E$2-H1272</f>
        <v>23</v>
      </c>
      <c r="P1272" s="10" t="n">
        <f aca="false">IF(I1272="","",I1272-H1272)</f>
        <v>9</v>
      </c>
      <c r="Q1272" s="10" t="n">
        <f aca="false">VLOOKUP(G1272,$AA$2:$AB$5,2,FALSE())</f>
        <v>15</v>
      </c>
      <c r="R1272" s="7" t="n">
        <f aca="false">IF(OR(F1272="Open",F1272="Reopened"),1,0)</f>
        <v>0</v>
      </c>
      <c r="S1272" s="7" t="n">
        <f aca="false">IF(AND(H1272&gt;='Exec Summary'!$E$1,H1272&lt;='Exec Summary'!$E$2),1,0)</f>
        <v>1</v>
      </c>
      <c r="T1272" s="7" t="n">
        <f aca="false">IF(AND(F1272="Closed",I1272&lt;&gt;"",I1272&gt;='Exec Summary'!$E$1,I1272&lt;='Exec Summary'!$E$2),1,0)</f>
        <v>1</v>
      </c>
      <c r="U1272" s="7" t="n">
        <f aca="false">IF(F1272="Reopened",1,0)</f>
        <v>0</v>
      </c>
      <c r="V1272" s="7" t="n">
        <f aca="false">IF(AND(R1272=1,O1272&gt;Q1272),1,0)</f>
        <v>0</v>
      </c>
      <c r="W1272" s="7" t="n">
        <f aca="false">IF(AND(T1272=1,P1272&lt;&gt;"",P1272&lt;=Q1272),1,0)</f>
        <v>1</v>
      </c>
    </row>
    <row r="1273" customFormat="false" ht="15" hidden="false" customHeight="false" outlineLevel="0" collapsed="false">
      <c r="A1273" s="7" t="s">
        <v>1563</v>
      </c>
      <c r="B1273" s="7" t="s">
        <v>46</v>
      </c>
      <c r="C1273" s="7" t="s">
        <v>128</v>
      </c>
      <c r="D1273" s="7" t="s">
        <v>91</v>
      </c>
      <c r="E1273" s="7" t="s">
        <v>92</v>
      </c>
      <c r="F1273" s="7" t="s">
        <v>50</v>
      </c>
      <c r="G1273" s="7" t="s">
        <v>20</v>
      </c>
      <c r="H1273" s="9" t="n">
        <v>46000</v>
      </c>
      <c r="I1273" s="9" t="n">
        <v>46001</v>
      </c>
      <c r="J1273" s="7" t="n">
        <v>8.1</v>
      </c>
      <c r="K1273" s="7" t="s">
        <v>1392</v>
      </c>
      <c r="L1273" s="7" t="s">
        <v>21</v>
      </c>
      <c r="M1273" s="7" t="s">
        <v>1569</v>
      </c>
      <c r="N1273" s="7" t="s">
        <v>53</v>
      </c>
      <c r="O1273" s="10" t="n">
        <f aca="false">'Exec Summary'!$E$2-H1273</f>
        <v>234</v>
      </c>
      <c r="P1273" s="10" t="n">
        <f aca="false">IF(I1273="","",I1273-H1273)</f>
        <v>1</v>
      </c>
      <c r="Q1273" s="10" t="n">
        <f aca="false">VLOOKUP(G1273,$AA$2:$AB$5,2,FALSE())</f>
        <v>30</v>
      </c>
      <c r="R1273" s="7" t="n">
        <f aca="false">IF(OR(F1273="Open",F1273="Reopened"),1,0)</f>
        <v>0</v>
      </c>
      <c r="S1273" s="7" t="n">
        <f aca="false">IF(AND(H1273&gt;='Exec Summary'!$E$1,H1273&lt;='Exec Summary'!$E$2),1,0)</f>
        <v>0</v>
      </c>
      <c r="T1273" s="7" t="n">
        <f aca="false">IF(AND(F1273="Closed",I1273&lt;&gt;"",I1273&gt;='Exec Summary'!$E$1,I1273&lt;='Exec Summary'!$E$2),1,0)</f>
        <v>0</v>
      </c>
      <c r="U1273" s="7" t="n">
        <f aca="false">IF(F1273="Reopened",1,0)</f>
        <v>0</v>
      </c>
      <c r="V1273" s="7" t="n">
        <f aca="false">IF(AND(R1273=1,O1273&gt;Q1273),1,0)</f>
        <v>0</v>
      </c>
      <c r="W1273" s="7" t="n">
        <f aca="false">IF(AND(T1273=1,P1273&lt;&gt;"",P1273&lt;=Q1273),1,0)</f>
        <v>0</v>
      </c>
    </row>
    <row r="1274" customFormat="false" ht="15" hidden="false" customHeight="false" outlineLevel="0" collapsed="false">
      <c r="A1274" s="7" t="s">
        <v>1563</v>
      </c>
      <c r="B1274" s="7" t="s">
        <v>46</v>
      </c>
      <c r="C1274" s="7" t="s">
        <v>128</v>
      </c>
      <c r="D1274" s="7" t="s">
        <v>71</v>
      </c>
      <c r="E1274" s="7" t="s">
        <v>72</v>
      </c>
      <c r="F1274" s="7" t="s">
        <v>56</v>
      </c>
      <c r="G1274" s="7" t="s">
        <v>19</v>
      </c>
      <c r="H1274" s="9" t="n">
        <v>46217</v>
      </c>
      <c r="I1274" s="9"/>
      <c r="J1274" s="7" t="n">
        <v>9.8</v>
      </c>
      <c r="K1274" s="7" t="s">
        <v>1392</v>
      </c>
      <c r="L1274" s="7" t="s">
        <v>21</v>
      </c>
      <c r="M1274" s="7" t="s">
        <v>1570</v>
      </c>
      <c r="N1274" s="7" t="s">
        <v>58</v>
      </c>
      <c r="O1274" s="10" t="n">
        <f aca="false">'Exec Summary'!$E$2-H1274</f>
        <v>17</v>
      </c>
      <c r="P1274" s="10" t="str">
        <f aca="false">IF(I1274="","",I1274-H1274)</f>
        <v/>
      </c>
      <c r="Q1274" s="10" t="n">
        <f aca="false">VLOOKUP(G1274,$AA$2:$AB$5,2,FALSE())</f>
        <v>15</v>
      </c>
      <c r="R1274" s="7" t="n">
        <f aca="false">IF(OR(F1274="Open",F1274="Reopened"),1,0)</f>
        <v>1</v>
      </c>
      <c r="S1274" s="7" t="n">
        <f aca="false">IF(AND(H1274&gt;='Exec Summary'!$E$1,H1274&lt;='Exec Summary'!$E$2),1,0)</f>
        <v>1</v>
      </c>
      <c r="T1274" s="7" t="n">
        <f aca="false">IF(AND(F1274="Closed",I1274&lt;&gt;"",I1274&gt;='Exec Summary'!$E$1,I1274&lt;='Exec Summary'!$E$2),1,0)</f>
        <v>0</v>
      </c>
      <c r="U1274" s="7" t="n">
        <f aca="false">IF(F1274="Reopened",1,0)</f>
        <v>0</v>
      </c>
      <c r="V1274" s="7" t="n">
        <f aca="false">IF(AND(R1274=1,O1274&gt;Q1274),1,0)</f>
        <v>1</v>
      </c>
      <c r="W1274" s="7" t="n">
        <f aca="false">IF(AND(T1274=1,P1274&lt;&gt;"",P1274&lt;=Q1274),1,0)</f>
        <v>0</v>
      </c>
    </row>
    <row r="1275" customFormat="false" ht="15" hidden="false" customHeight="false" outlineLevel="0" collapsed="false">
      <c r="A1275" s="7" t="s">
        <v>1563</v>
      </c>
      <c r="B1275" s="7" t="s">
        <v>46</v>
      </c>
      <c r="C1275" s="7" t="s">
        <v>128</v>
      </c>
      <c r="D1275" s="7" t="s">
        <v>81</v>
      </c>
      <c r="E1275" s="7" t="s">
        <v>82</v>
      </c>
      <c r="F1275" s="7" t="s">
        <v>50</v>
      </c>
      <c r="G1275" s="7" t="s">
        <v>20</v>
      </c>
      <c r="H1275" s="9" t="n">
        <v>46079</v>
      </c>
      <c r="I1275" s="9" t="n">
        <v>46090</v>
      </c>
      <c r="J1275" s="7" t="n">
        <v>7.8</v>
      </c>
      <c r="K1275" s="7" t="s">
        <v>1392</v>
      </c>
      <c r="L1275" s="7" t="s">
        <v>21</v>
      </c>
      <c r="M1275" s="7" t="s">
        <v>1571</v>
      </c>
      <c r="N1275" s="7" t="s">
        <v>53</v>
      </c>
      <c r="O1275" s="10" t="n">
        <f aca="false">'Exec Summary'!$E$2-H1275</f>
        <v>155</v>
      </c>
      <c r="P1275" s="10" t="n">
        <f aca="false">IF(I1275="","",I1275-H1275)</f>
        <v>11</v>
      </c>
      <c r="Q1275" s="10" t="n">
        <f aca="false">VLOOKUP(G1275,$AA$2:$AB$5,2,FALSE())</f>
        <v>30</v>
      </c>
      <c r="R1275" s="7" t="n">
        <f aca="false">IF(OR(F1275="Open",F1275="Reopened"),1,0)</f>
        <v>0</v>
      </c>
      <c r="S1275" s="7" t="n">
        <f aca="false">IF(AND(H1275&gt;='Exec Summary'!$E$1,H1275&lt;='Exec Summary'!$E$2),1,0)</f>
        <v>0</v>
      </c>
      <c r="T1275" s="7" t="n">
        <f aca="false">IF(AND(F1275="Closed",I1275&lt;&gt;"",I1275&gt;='Exec Summary'!$E$1,I1275&lt;='Exec Summary'!$E$2),1,0)</f>
        <v>0</v>
      </c>
      <c r="U1275" s="7" t="n">
        <f aca="false">IF(F1275="Reopened",1,0)</f>
        <v>0</v>
      </c>
      <c r="V1275" s="7" t="n">
        <f aca="false">IF(AND(R1275=1,O1275&gt;Q1275),1,0)</f>
        <v>0</v>
      </c>
      <c r="W1275" s="7" t="n">
        <f aca="false">IF(AND(T1275=1,P1275&lt;&gt;"",P1275&lt;=Q1275),1,0)</f>
        <v>0</v>
      </c>
    </row>
    <row r="1276" customFormat="false" ht="15" hidden="false" customHeight="false" outlineLevel="0" collapsed="false">
      <c r="A1276" s="7" t="s">
        <v>1563</v>
      </c>
      <c r="B1276" s="7" t="s">
        <v>46</v>
      </c>
      <c r="C1276" s="7" t="s">
        <v>128</v>
      </c>
      <c r="D1276" s="7" t="s">
        <v>117</v>
      </c>
      <c r="E1276" s="7" t="s">
        <v>118</v>
      </c>
      <c r="F1276" s="7" t="s">
        <v>50</v>
      </c>
      <c r="G1276" s="7" t="s">
        <v>19</v>
      </c>
      <c r="H1276" s="9" t="n">
        <v>46159</v>
      </c>
      <c r="I1276" s="9" t="n">
        <v>46164</v>
      </c>
      <c r="J1276" s="7" t="n">
        <v>10</v>
      </c>
      <c r="K1276" s="7" t="s">
        <v>1392</v>
      </c>
      <c r="L1276" s="7" t="s">
        <v>21</v>
      </c>
      <c r="M1276" s="7" t="s">
        <v>1572</v>
      </c>
      <c r="N1276" s="7" t="s">
        <v>58</v>
      </c>
      <c r="O1276" s="10" t="n">
        <f aca="false">'Exec Summary'!$E$2-H1276</f>
        <v>75</v>
      </c>
      <c r="P1276" s="10" t="n">
        <f aca="false">IF(I1276="","",I1276-H1276)</f>
        <v>5</v>
      </c>
      <c r="Q1276" s="10" t="n">
        <f aca="false">VLOOKUP(G1276,$AA$2:$AB$5,2,FALSE())</f>
        <v>15</v>
      </c>
      <c r="R1276" s="7" t="n">
        <f aca="false">IF(OR(F1276="Open",F1276="Reopened"),1,0)</f>
        <v>0</v>
      </c>
      <c r="S1276" s="7" t="n">
        <f aca="false">IF(AND(H1276&gt;='Exec Summary'!$E$1,H1276&lt;='Exec Summary'!$E$2),1,0)</f>
        <v>0</v>
      </c>
      <c r="T1276" s="7" t="n">
        <f aca="false">IF(AND(F1276="Closed",I1276&lt;&gt;"",I1276&gt;='Exec Summary'!$E$1,I1276&lt;='Exec Summary'!$E$2),1,0)</f>
        <v>0</v>
      </c>
      <c r="U1276" s="7" t="n">
        <f aca="false">IF(F1276="Reopened",1,0)</f>
        <v>0</v>
      </c>
      <c r="V1276" s="7" t="n">
        <f aca="false">IF(AND(R1276=1,O1276&gt;Q1276),1,0)</f>
        <v>0</v>
      </c>
      <c r="W1276" s="7" t="n">
        <f aca="false">IF(AND(T1276=1,P1276&lt;&gt;"",P1276&lt;=Q1276),1,0)</f>
        <v>0</v>
      </c>
    </row>
    <row r="1277" customFormat="false" ht="15" hidden="false" customHeight="false" outlineLevel="0" collapsed="false">
      <c r="A1277" s="7" t="s">
        <v>1563</v>
      </c>
      <c r="B1277" s="7" t="s">
        <v>46</v>
      </c>
      <c r="C1277" s="7" t="s">
        <v>128</v>
      </c>
      <c r="D1277" s="7" t="s">
        <v>95</v>
      </c>
      <c r="E1277" s="7" t="s">
        <v>96</v>
      </c>
      <c r="F1277" s="7" t="s">
        <v>50</v>
      </c>
      <c r="G1277" s="7" t="s">
        <v>20</v>
      </c>
      <c r="H1277" s="9" t="n">
        <v>46212</v>
      </c>
      <c r="I1277" s="9" t="n">
        <v>46227</v>
      </c>
      <c r="J1277" s="7" t="n">
        <v>8.8</v>
      </c>
      <c r="K1277" s="7" t="s">
        <v>1392</v>
      </c>
      <c r="L1277" s="7" t="s">
        <v>21</v>
      </c>
      <c r="M1277" s="7" t="s">
        <v>1573</v>
      </c>
      <c r="N1277" s="7" t="s">
        <v>53</v>
      </c>
      <c r="O1277" s="10" t="n">
        <f aca="false">'Exec Summary'!$E$2-H1277</f>
        <v>22</v>
      </c>
      <c r="P1277" s="10" t="n">
        <f aca="false">IF(I1277="","",I1277-H1277)</f>
        <v>15</v>
      </c>
      <c r="Q1277" s="10" t="n">
        <f aca="false">VLOOKUP(G1277,$AA$2:$AB$5,2,FALSE())</f>
        <v>30</v>
      </c>
      <c r="R1277" s="7" t="n">
        <f aca="false">IF(OR(F1277="Open",F1277="Reopened"),1,0)</f>
        <v>0</v>
      </c>
      <c r="S1277" s="7" t="n">
        <f aca="false">IF(AND(H1277&gt;='Exec Summary'!$E$1,H1277&lt;='Exec Summary'!$E$2),1,0)</f>
        <v>1</v>
      </c>
      <c r="T1277" s="7" t="n">
        <f aca="false">IF(AND(F1277="Closed",I1277&lt;&gt;"",I1277&gt;='Exec Summary'!$E$1,I1277&lt;='Exec Summary'!$E$2),1,0)</f>
        <v>1</v>
      </c>
      <c r="U1277" s="7" t="n">
        <f aca="false">IF(F1277="Reopened",1,0)</f>
        <v>0</v>
      </c>
      <c r="V1277" s="7" t="n">
        <f aca="false">IF(AND(R1277=1,O1277&gt;Q1277),1,0)</f>
        <v>0</v>
      </c>
      <c r="W1277" s="7" t="n">
        <f aca="false">IF(AND(T1277=1,P1277&lt;&gt;"",P1277&lt;=Q1277),1,0)</f>
        <v>1</v>
      </c>
    </row>
    <row r="1278" customFormat="false" ht="15" hidden="false" customHeight="false" outlineLevel="0" collapsed="false">
      <c r="A1278" s="7" t="s">
        <v>1574</v>
      </c>
      <c r="B1278" s="7" t="s">
        <v>46</v>
      </c>
      <c r="C1278" s="7" t="s">
        <v>79</v>
      </c>
      <c r="D1278" s="7" t="s">
        <v>84</v>
      </c>
      <c r="E1278" s="7" t="s">
        <v>85</v>
      </c>
      <c r="F1278" s="7" t="s">
        <v>50</v>
      </c>
      <c r="G1278" s="7" t="s">
        <v>20</v>
      </c>
      <c r="H1278" s="9" t="n">
        <v>46211</v>
      </c>
      <c r="I1278" s="9" t="n">
        <v>46234</v>
      </c>
      <c r="J1278" s="7" t="n">
        <v>7.5</v>
      </c>
      <c r="K1278" s="7" t="s">
        <v>1392</v>
      </c>
      <c r="L1278" s="7" t="s">
        <v>21</v>
      </c>
      <c r="M1278" s="7" t="s">
        <v>1575</v>
      </c>
      <c r="N1278" s="7" t="s">
        <v>53</v>
      </c>
      <c r="O1278" s="10" t="n">
        <f aca="false">'Exec Summary'!$E$2-H1278</f>
        <v>23</v>
      </c>
      <c r="P1278" s="10" t="n">
        <f aca="false">IF(I1278="","",I1278-H1278)</f>
        <v>23</v>
      </c>
      <c r="Q1278" s="10" t="n">
        <f aca="false">VLOOKUP(G1278,$AA$2:$AB$5,2,FALSE())</f>
        <v>30</v>
      </c>
      <c r="R1278" s="7" t="n">
        <f aca="false">IF(OR(F1278="Open",F1278="Reopened"),1,0)</f>
        <v>0</v>
      </c>
      <c r="S1278" s="7" t="n">
        <f aca="false">IF(AND(H1278&gt;='Exec Summary'!$E$1,H1278&lt;='Exec Summary'!$E$2),1,0)</f>
        <v>1</v>
      </c>
      <c r="T1278" s="7" t="n">
        <f aca="false">IF(AND(F1278="Closed",I1278&lt;&gt;"",I1278&gt;='Exec Summary'!$E$1,I1278&lt;='Exec Summary'!$E$2),1,0)</f>
        <v>1</v>
      </c>
      <c r="U1278" s="7" t="n">
        <f aca="false">IF(F1278="Reopened",1,0)</f>
        <v>0</v>
      </c>
      <c r="V1278" s="7" t="n">
        <f aca="false">IF(AND(R1278=1,O1278&gt;Q1278),1,0)</f>
        <v>0</v>
      </c>
      <c r="W1278" s="7" t="n">
        <f aca="false">IF(AND(T1278=1,P1278&lt;&gt;"",P1278&lt;=Q1278),1,0)</f>
        <v>1</v>
      </c>
    </row>
    <row r="1279" customFormat="false" ht="15" hidden="false" customHeight="false" outlineLevel="0" collapsed="false">
      <c r="A1279" s="7" t="s">
        <v>1574</v>
      </c>
      <c r="B1279" s="7" t="s">
        <v>46</v>
      </c>
      <c r="C1279" s="7" t="s">
        <v>79</v>
      </c>
      <c r="D1279" s="7" t="s">
        <v>206</v>
      </c>
      <c r="E1279" s="7" t="s">
        <v>207</v>
      </c>
      <c r="F1279" s="7" t="s">
        <v>50</v>
      </c>
      <c r="G1279" s="7" t="s">
        <v>20</v>
      </c>
      <c r="H1279" s="9" t="n">
        <v>46192</v>
      </c>
      <c r="I1279" s="9" t="n">
        <v>46229</v>
      </c>
      <c r="J1279" s="7" t="n">
        <v>8.8</v>
      </c>
      <c r="K1279" s="7" t="s">
        <v>1392</v>
      </c>
      <c r="L1279" s="7" t="s">
        <v>21</v>
      </c>
      <c r="M1279" s="7" t="s">
        <v>1576</v>
      </c>
      <c r="N1279" s="7" t="s">
        <v>53</v>
      </c>
      <c r="O1279" s="10" t="n">
        <f aca="false">'Exec Summary'!$E$2-H1279</f>
        <v>42</v>
      </c>
      <c r="P1279" s="10" t="n">
        <f aca="false">IF(I1279="","",I1279-H1279)</f>
        <v>37</v>
      </c>
      <c r="Q1279" s="10" t="n">
        <f aca="false">VLOOKUP(G1279,$AA$2:$AB$5,2,FALSE())</f>
        <v>30</v>
      </c>
      <c r="R1279" s="7" t="n">
        <f aca="false">IF(OR(F1279="Open",F1279="Reopened"),1,0)</f>
        <v>0</v>
      </c>
      <c r="S1279" s="7" t="n">
        <f aca="false">IF(AND(H1279&gt;='Exec Summary'!$E$1,H1279&lt;='Exec Summary'!$E$2),1,0)</f>
        <v>0</v>
      </c>
      <c r="T1279" s="7" t="n">
        <f aca="false">IF(AND(F1279="Closed",I1279&lt;&gt;"",I1279&gt;='Exec Summary'!$E$1,I1279&lt;='Exec Summary'!$E$2),1,0)</f>
        <v>1</v>
      </c>
      <c r="U1279" s="7" t="n">
        <f aca="false">IF(F1279="Reopened",1,0)</f>
        <v>0</v>
      </c>
      <c r="V1279" s="7" t="n">
        <f aca="false">IF(AND(R1279=1,O1279&gt;Q1279),1,0)</f>
        <v>0</v>
      </c>
      <c r="W1279" s="7" t="n">
        <f aca="false">IF(AND(T1279=1,P1279&lt;&gt;"",P1279&lt;=Q1279),1,0)</f>
        <v>0</v>
      </c>
    </row>
    <row r="1280" customFormat="false" ht="15" hidden="false" customHeight="false" outlineLevel="0" collapsed="false">
      <c r="A1280" s="7" t="s">
        <v>1574</v>
      </c>
      <c r="B1280" s="7" t="s">
        <v>46</v>
      </c>
      <c r="C1280" s="7" t="s">
        <v>79</v>
      </c>
      <c r="D1280" s="7" t="s">
        <v>104</v>
      </c>
      <c r="E1280" s="7" t="s">
        <v>105</v>
      </c>
      <c r="F1280" s="7" t="s">
        <v>50</v>
      </c>
      <c r="G1280" s="7" t="s">
        <v>19</v>
      </c>
      <c r="H1280" s="9" t="n">
        <v>46034</v>
      </c>
      <c r="I1280" s="9" t="n">
        <v>46035</v>
      </c>
      <c r="J1280" s="7" t="n">
        <v>9.8</v>
      </c>
      <c r="K1280" s="7" t="s">
        <v>1392</v>
      </c>
      <c r="L1280" s="7" t="s">
        <v>21</v>
      </c>
      <c r="M1280" s="7" t="s">
        <v>1577</v>
      </c>
      <c r="N1280" s="7" t="s">
        <v>58</v>
      </c>
      <c r="O1280" s="10" t="n">
        <f aca="false">'Exec Summary'!$E$2-H1280</f>
        <v>200</v>
      </c>
      <c r="P1280" s="10" t="n">
        <f aca="false">IF(I1280="","",I1280-H1280)</f>
        <v>1</v>
      </c>
      <c r="Q1280" s="10" t="n">
        <f aca="false">VLOOKUP(G1280,$AA$2:$AB$5,2,FALSE())</f>
        <v>15</v>
      </c>
      <c r="R1280" s="7" t="n">
        <f aca="false">IF(OR(F1280="Open",F1280="Reopened"),1,0)</f>
        <v>0</v>
      </c>
      <c r="S1280" s="7" t="n">
        <f aca="false">IF(AND(H1280&gt;='Exec Summary'!$E$1,H1280&lt;='Exec Summary'!$E$2),1,0)</f>
        <v>0</v>
      </c>
      <c r="T1280" s="7" t="n">
        <f aca="false">IF(AND(F1280="Closed",I1280&lt;&gt;"",I1280&gt;='Exec Summary'!$E$1,I1280&lt;='Exec Summary'!$E$2),1,0)</f>
        <v>0</v>
      </c>
      <c r="U1280" s="7" t="n">
        <f aca="false">IF(F1280="Reopened",1,0)</f>
        <v>0</v>
      </c>
      <c r="V1280" s="7" t="n">
        <f aca="false">IF(AND(R1280=1,O1280&gt;Q1280),1,0)</f>
        <v>0</v>
      </c>
      <c r="W1280" s="7" t="n">
        <f aca="false">IF(AND(T1280=1,P1280&lt;&gt;"",P1280&lt;=Q1280),1,0)</f>
        <v>0</v>
      </c>
    </row>
    <row r="1281" customFormat="false" ht="15" hidden="false" customHeight="false" outlineLevel="0" collapsed="false">
      <c r="A1281" s="7" t="s">
        <v>1574</v>
      </c>
      <c r="B1281" s="7" t="s">
        <v>46</v>
      </c>
      <c r="C1281" s="7" t="s">
        <v>79</v>
      </c>
      <c r="D1281" s="7" t="s">
        <v>117</v>
      </c>
      <c r="E1281" s="7" t="s">
        <v>118</v>
      </c>
      <c r="F1281" s="7" t="s">
        <v>56</v>
      </c>
      <c r="G1281" s="7" t="s">
        <v>19</v>
      </c>
      <c r="H1281" s="9" t="n">
        <v>46096</v>
      </c>
      <c r="I1281" s="9"/>
      <c r="J1281" s="7" t="n">
        <v>10</v>
      </c>
      <c r="K1281" s="7" t="s">
        <v>1392</v>
      </c>
      <c r="L1281" s="7" t="s">
        <v>21</v>
      </c>
      <c r="M1281" s="7" t="s">
        <v>1578</v>
      </c>
      <c r="N1281" s="7" t="s">
        <v>58</v>
      </c>
      <c r="O1281" s="10" t="n">
        <f aca="false">'Exec Summary'!$E$2-H1281</f>
        <v>138</v>
      </c>
      <c r="P1281" s="10" t="str">
        <f aca="false">IF(I1281="","",I1281-H1281)</f>
        <v/>
      </c>
      <c r="Q1281" s="10" t="n">
        <f aca="false">VLOOKUP(G1281,$AA$2:$AB$5,2,FALSE())</f>
        <v>15</v>
      </c>
      <c r="R1281" s="7" t="n">
        <f aca="false">IF(OR(F1281="Open",F1281="Reopened"),1,0)</f>
        <v>1</v>
      </c>
      <c r="S1281" s="7" t="n">
        <f aca="false">IF(AND(H1281&gt;='Exec Summary'!$E$1,H1281&lt;='Exec Summary'!$E$2),1,0)</f>
        <v>0</v>
      </c>
      <c r="T1281" s="7" t="n">
        <f aca="false">IF(AND(F1281="Closed",I1281&lt;&gt;"",I1281&gt;='Exec Summary'!$E$1,I1281&lt;='Exec Summary'!$E$2),1,0)</f>
        <v>0</v>
      </c>
      <c r="U1281" s="7" t="n">
        <f aca="false">IF(F1281="Reopened",1,0)</f>
        <v>0</v>
      </c>
      <c r="V1281" s="7" t="n">
        <f aca="false">IF(AND(R1281=1,O1281&gt;Q1281),1,0)</f>
        <v>1</v>
      </c>
      <c r="W1281" s="7" t="n">
        <f aca="false">IF(AND(T1281=1,P1281&lt;&gt;"",P1281&lt;=Q1281),1,0)</f>
        <v>0</v>
      </c>
    </row>
    <row r="1282" customFormat="false" ht="15" hidden="false" customHeight="false" outlineLevel="0" collapsed="false">
      <c r="A1282" s="7" t="s">
        <v>1574</v>
      </c>
      <c r="B1282" s="7" t="s">
        <v>46</v>
      </c>
      <c r="C1282" s="7" t="s">
        <v>79</v>
      </c>
      <c r="D1282" s="7" t="s">
        <v>112</v>
      </c>
      <c r="E1282" s="7" t="s">
        <v>113</v>
      </c>
      <c r="F1282" s="7" t="s">
        <v>56</v>
      </c>
      <c r="G1282" s="7" t="s">
        <v>20</v>
      </c>
      <c r="H1282" s="9" t="n">
        <v>46138</v>
      </c>
      <c r="I1282" s="9"/>
      <c r="J1282" s="7" t="n">
        <v>7.8</v>
      </c>
      <c r="K1282" s="7" t="s">
        <v>1392</v>
      </c>
      <c r="L1282" s="7" t="s">
        <v>21</v>
      </c>
      <c r="M1282" s="7" t="s">
        <v>1579</v>
      </c>
      <c r="N1282" s="7" t="s">
        <v>53</v>
      </c>
      <c r="O1282" s="10" t="n">
        <f aca="false">'Exec Summary'!$E$2-H1282</f>
        <v>96</v>
      </c>
      <c r="P1282" s="10" t="str">
        <f aca="false">IF(I1282="","",I1282-H1282)</f>
        <v/>
      </c>
      <c r="Q1282" s="10" t="n">
        <f aca="false">VLOOKUP(G1282,$AA$2:$AB$5,2,FALSE())</f>
        <v>30</v>
      </c>
      <c r="R1282" s="7" t="n">
        <f aca="false">IF(OR(F1282="Open",F1282="Reopened"),1,0)</f>
        <v>1</v>
      </c>
      <c r="S1282" s="7" t="n">
        <f aca="false">IF(AND(H1282&gt;='Exec Summary'!$E$1,H1282&lt;='Exec Summary'!$E$2),1,0)</f>
        <v>0</v>
      </c>
      <c r="T1282" s="7" t="n">
        <f aca="false">IF(AND(F1282="Closed",I1282&lt;&gt;"",I1282&gt;='Exec Summary'!$E$1,I1282&lt;='Exec Summary'!$E$2),1,0)</f>
        <v>0</v>
      </c>
      <c r="U1282" s="7" t="n">
        <f aca="false">IF(F1282="Reopened",1,0)</f>
        <v>0</v>
      </c>
      <c r="V1282" s="7" t="n">
        <f aca="false">IF(AND(R1282=1,O1282&gt;Q1282),1,0)</f>
        <v>1</v>
      </c>
      <c r="W1282" s="7" t="n">
        <f aca="false">IF(AND(T1282=1,P1282&lt;&gt;"",P1282&lt;=Q1282),1,0)</f>
        <v>0</v>
      </c>
    </row>
    <row r="1283" customFormat="false" ht="15" hidden="false" customHeight="false" outlineLevel="0" collapsed="false">
      <c r="A1283" s="7" t="s">
        <v>1574</v>
      </c>
      <c r="B1283" s="7" t="s">
        <v>46</v>
      </c>
      <c r="C1283" s="7" t="s">
        <v>79</v>
      </c>
      <c r="D1283" s="7" t="s">
        <v>139</v>
      </c>
      <c r="E1283" s="7" t="s">
        <v>140</v>
      </c>
      <c r="F1283" s="7" t="s">
        <v>50</v>
      </c>
      <c r="G1283" s="7" t="s">
        <v>19</v>
      </c>
      <c r="H1283" s="9" t="n">
        <v>46122</v>
      </c>
      <c r="I1283" s="9" t="n">
        <v>46133</v>
      </c>
      <c r="J1283" s="7" t="n">
        <v>9.8</v>
      </c>
      <c r="K1283" s="7" t="s">
        <v>1392</v>
      </c>
      <c r="L1283" s="7" t="s">
        <v>21</v>
      </c>
      <c r="M1283" s="7" t="s">
        <v>1580</v>
      </c>
      <c r="N1283" s="7" t="s">
        <v>58</v>
      </c>
      <c r="O1283" s="10" t="n">
        <f aca="false">'Exec Summary'!$E$2-H1283</f>
        <v>112</v>
      </c>
      <c r="P1283" s="10" t="n">
        <f aca="false">IF(I1283="","",I1283-H1283)</f>
        <v>11</v>
      </c>
      <c r="Q1283" s="10" t="n">
        <f aca="false">VLOOKUP(G1283,$AA$2:$AB$5,2,FALSE())</f>
        <v>15</v>
      </c>
      <c r="R1283" s="7" t="n">
        <f aca="false">IF(OR(F1283="Open",F1283="Reopened"),1,0)</f>
        <v>0</v>
      </c>
      <c r="S1283" s="7" t="n">
        <f aca="false">IF(AND(H1283&gt;='Exec Summary'!$E$1,H1283&lt;='Exec Summary'!$E$2),1,0)</f>
        <v>0</v>
      </c>
      <c r="T1283" s="7" t="n">
        <f aca="false">IF(AND(F1283="Closed",I1283&lt;&gt;"",I1283&gt;='Exec Summary'!$E$1,I1283&lt;='Exec Summary'!$E$2),1,0)</f>
        <v>0</v>
      </c>
      <c r="U1283" s="7" t="n">
        <f aca="false">IF(F1283="Reopened",1,0)</f>
        <v>0</v>
      </c>
      <c r="V1283" s="7" t="n">
        <f aca="false">IF(AND(R1283=1,O1283&gt;Q1283),1,0)</f>
        <v>0</v>
      </c>
      <c r="W1283" s="7" t="n">
        <f aca="false">IF(AND(T1283=1,P1283&lt;&gt;"",P1283&lt;=Q1283),1,0)</f>
        <v>0</v>
      </c>
    </row>
    <row r="1284" customFormat="false" ht="15" hidden="false" customHeight="false" outlineLevel="0" collapsed="false">
      <c r="A1284" s="7" t="s">
        <v>1574</v>
      </c>
      <c r="B1284" s="7" t="s">
        <v>46</v>
      </c>
      <c r="C1284" s="7" t="s">
        <v>79</v>
      </c>
      <c r="D1284" s="7" t="s">
        <v>65</v>
      </c>
      <c r="E1284" s="7" t="s">
        <v>66</v>
      </c>
      <c r="F1284" s="7" t="s">
        <v>50</v>
      </c>
      <c r="G1284" s="7" t="s">
        <v>19</v>
      </c>
      <c r="H1284" s="9" t="n">
        <v>46133</v>
      </c>
      <c r="I1284" s="9" t="n">
        <v>46145</v>
      </c>
      <c r="J1284" s="7" t="n">
        <v>9.8</v>
      </c>
      <c r="K1284" s="7" t="s">
        <v>1392</v>
      </c>
      <c r="L1284" s="7" t="s">
        <v>21</v>
      </c>
      <c r="M1284" s="7" t="s">
        <v>1581</v>
      </c>
      <c r="N1284" s="7" t="s">
        <v>58</v>
      </c>
      <c r="O1284" s="10" t="n">
        <f aca="false">'Exec Summary'!$E$2-H1284</f>
        <v>101</v>
      </c>
      <c r="P1284" s="10" t="n">
        <f aca="false">IF(I1284="","",I1284-H1284)</f>
        <v>12</v>
      </c>
      <c r="Q1284" s="10" t="n">
        <f aca="false">VLOOKUP(G1284,$AA$2:$AB$5,2,FALSE())</f>
        <v>15</v>
      </c>
      <c r="R1284" s="7" t="n">
        <f aca="false">IF(OR(F1284="Open",F1284="Reopened"),1,0)</f>
        <v>0</v>
      </c>
      <c r="S1284" s="7" t="n">
        <f aca="false">IF(AND(H1284&gt;='Exec Summary'!$E$1,H1284&lt;='Exec Summary'!$E$2),1,0)</f>
        <v>0</v>
      </c>
      <c r="T1284" s="7" t="n">
        <f aca="false">IF(AND(F1284="Closed",I1284&lt;&gt;"",I1284&gt;='Exec Summary'!$E$1,I1284&lt;='Exec Summary'!$E$2),1,0)</f>
        <v>0</v>
      </c>
      <c r="U1284" s="7" t="n">
        <f aca="false">IF(F1284="Reopened",1,0)</f>
        <v>0</v>
      </c>
      <c r="V1284" s="7" t="n">
        <f aca="false">IF(AND(R1284=1,O1284&gt;Q1284),1,0)</f>
        <v>0</v>
      </c>
      <c r="W1284" s="7" t="n">
        <f aca="false">IF(AND(T1284=1,P1284&lt;&gt;"",P1284&lt;=Q1284),1,0)</f>
        <v>0</v>
      </c>
    </row>
    <row r="1285" customFormat="false" ht="15" hidden="false" customHeight="false" outlineLevel="0" collapsed="false">
      <c r="A1285" s="7" t="s">
        <v>1574</v>
      </c>
      <c r="B1285" s="7" t="s">
        <v>46</v>
      </c>
      <c r="C1285" s="7" t="s">
        <v>79</v>
      </c>
      <c r="D1285" s="7" t="s">
        <v>91</v>
      </c>
      <c r="E1285" s="7" t="s">
        <v>92</v>
      </c>
      <c r="F1285" s="7" t="s">
        <v>50</v>
      </c>
      <c r="G1285" s="7" t="s">
        <v>20</v>
      </c>
      <c r="H1285" s="9" t="n">
        <v>45953</v>
      </c>
      <c r="I1285" s="9" t="n">
        <v>45983</v>
      </c>
      <c r="J1285" s="7" t="n">
        <v>8.1</v>
      </c>
      <c r="K1285" s="7" t="s">
        <v>1392</v>
      </c>
      <c r="L1285" s="7" t="s">
        <v>21</v>
      </c>
      <c r="M1285" s="7" t="s">
        <v>1582</v>
      </c>
      <c r="N1285" s="7" t="s">
        <v>53</v>
      </c>
      <c r="O1285" s="10" t="n">
        <f aca="false">'Exec Summary'!$E$2-H1285</f>
        <v>281</v>
      </c>
      <c r="P1285" s="10" t="n">
        <f aca="false">IF(I1285="","",I1285-H1285)</f>
        <v>30</v>
      </c>
      <c r="Q1285" s="10" t="n">
        <f aca="false">VLOOKUP(G1285,$AA$2:$AB$5,2,FALSE())</f>
        <v>30</v>
      </c>
      <c r="R1285" s="7" t="n">
        <f aca="false">IF(OR(F1285="Open",F1285="Reopened"),1,0)</f>
        <v>0</v>
      </c>
      <c r="S1285" s="7" t="n">
        <f aca="false">IF(AND(H1285&gt;='Exec Summary'!$E$1,H1285&lt;='Exec Summary'!$E$2),1,0)</f>
        <v>0</v>
      </c>
      <c r="T1285" s="7" t="n">
        <f aca="false">IF(AND(F1285="Closed",I1285&lt;&gt;"",I1285&gt;='Exec Summary'!$E$1,I1285&lt;='Exec Summary'!$E$2),1,0)</f>
        <v>0</v>
      </c>
      <c r="U1285" s="7" t="n">
        <f aca="false">IF(F1285="Reopened",1,0)</f>
        <v>0</v>
      </c>
      <c r="V1285" s="7" t="n">
        <f aca="false">IF(AND(R1285=1,O1285&gt;Q1285),1,0)</f>
        <v>0</v>
      </c>
      <c r="W1285" s="7" t="n">
        <f aca="false">IF(AND(T1285=1,P1285&lt;&gt;"",P1285&lt;=Q1285),1,0)</f>
        <v>0</v>
      </c>
    </row>
    <row r="1286" customFormat="false" ht="15" hidden="false" customHeight="false" outlineLevel="0" collapsed="false">
      <c r="A1286" s="7" t="s">
        <v>1574</v>
      </c>
      <c r="B1286" s="7" t="s">
        <v>46</v>
      </c>
      <c r="C1286" s="7" t="s">
        <v>79</v>
      </c>
      <c r="D1286" s="7" t="s">
        <v>152</v>
      </c>
      <c r="E1286" s="7" t="s">
        <v>153</v>
      </c>
      <c r="F1286" s="7" t="s">
        <v>50</v>
      </c>
      <c r="G1286" s="7" t="s">
        <v>20</v>
      </c>
      <c r="H1286" s="9" t="n">
        <v>46125</v>
      </c>
      <c r="I1286" s="9" t="n">
        <v>46155</v>
      </c>
      <c r="J1286" s="7" t="n">
        <v>7.5</v>
      </c>
      <c r="K1286" s="7" t="s">
        <v>1392</v>
      </c>
      <c r="L1286" s="7" t="s">
        <v>21</v>
      </c>
      <c r="M1286" s="7" t="s">
        <v>1583</v>
      </c>
      <c r="N1286" s="7" t="s">
        <v>53</v>
      </c>
      <c r="O1286" s="10" t="n">
        <f aca="false">'Exec Summary'!$E$2-H1286</f>
        <v>109</v>
      </c>
      <c r="P1286" s="10" t="n">
        <f aca="false">IF(I1286="","",I1286-H1286)</f>
        <v>30</v>
      </c>
      <c r="Q1286" s="10" t="n">
        <f aca="false">VLOOKUP(G1286,$AA$2:$AB$5,2,FALSE())</f>
        <v>30</v>
      </c>
      <c r="R1286" s="7" t="n">
        <f aca="false">IF(OR(F1286="Open",F1286="Reopened"),1,0)</f>
        <v>0</v>
      </c>
      <c r="S1286" s="7" t="n">
        <f aca="false">IF(AND(H1286&gt;='Exec Summary'!$E$1,H1286&lt;='Exec Summary'!$E$2),1,0)</f>
        <v>0</v>
      </c>
      <c r="T1286" s="7" t="n">
        <f aca="false">IF(AND(F1286="Closed",I1286&lt;&gt;"",I1286&gt;='Exec Summary'!$E$1,I1286&lt;='Exec Summary'!$E$2),1,0)</f>
        <v>0</v>
      </c>
      <c r="U1286" s="7" t="n">
        <f aca="false">IF(F1286="Reopened",1,0)</f>
        <v>0</v>
      </c>
      <c r="V1286" s="7" t="n">
        <f aca="false">IF(AND(R1286=1,O1286&gt;Q1286),1,0)</f>
        <v>0</v>
      </c>
      <c r="W1286" s="7" t="n">
        <f aca="false">IF(AND(T1286=1,P1286&lt;&gt;"",P1286&lt;=Q1286),1,0)</f>
        <v>0</v>
      </c>
    </row>
    <row r="1287" customFormat="false" ht="15" hidden="false" customHeight="false" outlineLevel="0" collapsed="false">
      <c r="A1287" s="7" t="s">
        <v>1574</v>
      </c>
      <c r="B1287" s="7" t="s">
        <v>46</v>
      </c>
      <c r="C1287" s="7" t="s">
        <v>79</v>
      </c>
      <c r="D1287" s="7" t="s">
        <v>145</v>
      </c>
      <c r="E1287" s="7" t="s">
        <v>146</v>
      </c>
      <c r="F1287" s="7" t="s">
        <v>50</v>
      </c>
      <c r="G1287" s="7" t="s">
        <v>19</v>
      </c>
      <c r="H1287" s="9" t="n">
        <v>46135</v>
      </c>
      <c r="I1287" s="9" t="n">
        <v>46143</v>
      </c>
      <c r="J1287" s="7" t="n">
        <v>9.8</v>
      </c>
      <c r="K1287" s="7" t="s">
        <v>1392</v>
      </c>
      <c r="L1287" s="7" t="s">
        <v>21</v>
      </c>
      <c r="M1287" s="7" t="s">
        <v>1584</v>
      </c>
      <c r="N1287" s="7" t="s">
        <v>58</v>
      </c>
      <c r="O1287" s="10" t="n">
        <f aca="false">'Exec Summary'!$E$2-H1287</f>
        <v>99</v>
      </c>
      <c r="P1287" s="10" t="n">
        <f aca="false">IF(I1287="","",I1287-H1287)</f>
        <v>8</v>
      </c>
      <c r="Q1287" s="10" t="n">
        <f aca="false">VLOOKUP(G1287,$AA$2:$AB$5,2,FALSE())</f>
        <v>15</v>
      </c>
      <c r="R1287" s="7" t="n">
        <f aca="false">IF(OR(F1287="Open",F1287="Reopened"),1,0)</f>
        <v>0</v>
      </c>
      <c r="S1287" s="7" t="n">
        <f aca="false">IF(AND(H1287&gt;='Exec Summary'!$E$1,H1287&lt;='Exec Summary'!$E$2),1,0)</f>
        <v>0</v>
      </c>
      <c r="T1287" s="7" t="n">
        <f aca="false">IF(AND(F1287="Closed",I1287&lt;&gt;"",I1287&gt;='Exec Summary'!$E$1,I1287&lt;='Exec Summary'!$E$2),1,0)</f>
        <v>0</v>
      </c>
      <c r="U1287" s="7" t="n">
        <f aca="false">IF(F1287="Reopened",1,0)</f>
        <v>0</v>
      </c>
      <c r="V1287" s="7" t="n">
        <f aca="false">IF(AND(R1287=1,O1287&gt;Q1287),1,0)</f>
        <v>0</v>
      </c>
      <c r="W1287" s="7" t="n">
        <f aca="false">IF(AND(T1287=1,P1287&lt;&gt;"",P1287&lt;=Q1287),1,0)</f>
        <v>0</v>
      </c>
    </row>
    <row r="1288" customFormat="false" ht="15" hidden="false" customHeight="false" outlineLevel="0" collapsed="false">
      <c r="A1288" s="7" t="s">
        <v>1585</v>
      </c>
      <c r="B1288" s="7" t="s">
        <v>46</v>
      </c>
      <c r="C1288" s="7" t="s">
        <v>128</v>
      </c>
      <c r="D1288" s="7" t="s">
        <v>59</v>
      </c>
      <c r="E1288" s="7" t="s">
        <v>60</v>
      </c>
      <c r="F1288" s="7" t="s">
        <v>50</v>
      </c>
      <c r="G1288" s="7" t="s">
        <v>19</v>
      </c>
      <c r="H1288" s="9" t="n">
        <v>46108</v>
      </c>
      <c r="I1288" s="9" t="n">
        <v>46121</v>
      </c>
      <c r="J1288" s="7" t="n">
        <v>7.8</v>
      </c>
      <c r="K1288" s="7" t="s">
        <v>1392</v>
      </c>
      <c r="L1288" s="7" t="s">
        <v>21</v>
      </c>
      <c r="M1288" s="7" t="s">
        <v>1586</v>
      </c>
      <c r="N1288" s="7" t="s">
        <v>58</v>
      </c>
      <c r="O1288" s="10" t="n">
        <f aca="false">'Exec Summary'!$E$2-H1288</f>
        <v>126</v>
      </c>
      <c r="P1288" s="10" t="n">
        <f aca="false">IF(I1288="","",I1288-H1288)</f>
        <v>13</v>
      </c>
      <c r="Q1288" s="10" t="n">
        <f aca="false">VLOOKUP(G1288,$AA$2:$AB$5,2,FALSE())</f>
        <v>15</v>
      </c>
      <c r="R1288" s="7" t="n">
        <f aca="false">IF(OR(F1288="Open",F1288="Reopened"),1,0)</f>
        <v>0</v>
      </c>
      <c r="S1288" s="7" t="n">
        <f aca="false">IF(AND(H1288&gt;='Exec Summary'!$E$1,H1288&lt;='Exec Summary'!$E$2),1,0)</f>
        <v>0</v>
      </c>
      <c r="T1288" s="7" t="n">
        <f aca="false">IF(AND(F1288="Closed",I1288&lt;&gt;"",I1288&gt;='Exec Summary'!$E$1,I1288&lt;='Exec Summary'!$E$2),1,0)</f>
        <v>0</v>
      </c>
      <c r="U1288" s="7" t="n">
        <f aca="false">IF(F1288="Reopened",1,0)</f>
        <v>0</v>
      </c>
      <c r="V1288" s="7" t="n">
        <f aca="false">IF(AND(R1288=1,O1288&gt;Q1288),1,0)</f>
        <v>0</v>
      </c>
      <c r="W1288" s="7" t="n">
        <f aca="false">IF(AND(T1288=1,P1288&lt;&gt;"",P1288&lt;=Q1288),1,0)</f>
        <v>0</v>
      </c>
    </row>
    <row r="1289" customFormat="false" ht="15" hidden="false" customHeight="false" outlineLevel="0" collapsed="false">
      <c r="A1289" s="7" t="s">
        <v>1585</v>
      </c>
      <c r="B1289" s="7" t="s">
        <v>46</v>
      </c>
      <c r="C1289" s="7" t="s">
        <v>128</v>
      </c>
      <c r="D1289" s="7" t="s">
        <v>81</v>
      </c>
      <c r="E1289" s="7" t="s">
        <v>82</v>
      </c>
      <c r="F1289" s="7" t="s">
        <v>50</v>
      </c>
      <c r="G1289" s="7" t="s">
        <v>20</v>
      </c>
      <c r="H1289" s="9" t="n">
        <v>46029</v>
      </c>
      <c r="I1289" s="9" t="n">
        <v>46030</v>
      </c>
      <c r="J1289" s="7" t="n">
        <v>7.8</v>
      </c>
      <c r="K1289" s="7" t="s">
        <v>1392</v>
      </c>
      <c r="L1289" s="7" t="s">
        <v>21</v>
      </c>
      <c r="M1289" s="7" t="s">
        <v>1587</v>
      </c>
      <c r="N1289" s="7" t="s">
        <v>53</v>
      </c>
      <c r="O1289" s="10" t="n">
        <f aca="false">'Exec Summary'!$E$2-H1289</f>
        <v>205</v>
      </c>
      <c r="P1289" s="10" t="n">
        <f aca="false">IF(I1289="","",I1289-H1289)</f>
        <v>1</v>
      </c>
      <c r="Q1289" s="10" t="n">
        <f aca="false">VLOOKUP(G1289,$AA$2:$AB$5,2,FALSE())</f>
        <v>30</v>
      </c>
      <c r="R1289" s="7" t="n">
        <f aca="false">IF(OR(F1289="Open",F1289="Reopened"),1,0)</f>
        <v>0</v>
      </c>
      <c r="S1289" s="7" t="n">
        <f aca="false">IF(AND(H1289&gt;='Exec Summary'!$E$1,H1289&lt;='Exec Summary'!$E$2),1,0)</f>
        <v>0</v>
      </c>
      <c r="T1289" s="7" t="n">
        <f aca="false">IF(AND(F1289="Closed",I1289&lt;&gt;"",I1289&gt;='Exec Summary'!$E$1,I1289&lt;='Exec Summary'!$E$2),1,0)</f>
        <v>0</v>
      </c>
      <c r="U1289" s="7" t="n">
        <f aca="false">IF(F1289="Reopened",1,0)</f>
        <v>0</v>
      </c>
      <c r="V1289" s="7" t="n">
        <f aca="false">IF(AND(R1289=1,O1289&gt;Q1289),1,0)</f>
        <v>0</v>
      </c>
      <c r="W1289" s="7" t="n">
        <f aca="false">IF(AND(T1289=1,P1289&lt;&gt;"",P1289&lt;=Q1289),1,0)</f>
        <v>0</v>
      </c>
    </row>
    <row r="1290" customFormat="false" ht="15" hidden="false" customHeight="false" outlineLevel="0" collapsed="false">
      <c r="A1290" s="7" t="s">
        <v>1585</v>
      </c>
      <c r="B1290" s="7" t="s">
        <v>46</v>
      </c>
      <c r="C1290" s="7" t="s">
        <v>128</v>
      </c>
      <c r="D1290" s="7" t="s">
        <v>54</v>
      </c>
      <c r="E1290" s="7" t="s">
        <v>55</v>
      </c>
      <c r="F1290" s="7" t="s">
        <v>50</v>
      </c>
      <c r="G1290" s="7" t="s">
        <v>19</v>
      </c>
      <c r="H1290" s="9" t="n">
        <v>46133</v>
      </c>
      <c r="I1290" s="9" t="n">
        <v>46161</v>
      </c>
      <c r="J1290" s="7" t="n">
        <v>9.8</v>
      </c>
      <c r="K1290" s="7" t="s">
        <v>1392</v>
      </c>
      <c r="L1290" s="7" t="s">
        <v>21</v>
      </c>
      <c r="M1290" s="7" t="s">
        <v>1588</v>
      </c>
      <c r="N1290" s="7" t="s">
        <v>58</v>
      </c>
      <c r="O1290" s="10" t="n">
        <f aca="false">'Exec Summary'!$E$2-H1290</f>
        <v>101</v>
      </c>
      <c r="P1290" s="10" t="n">
        <f aca="false">IF(I1290="","",I1290-H1290)</f>
        <v>28</v>
      </c>
      <c r="Q1290" s="10" t="n">
        <f aca="false">VLOOKUP(G1290,$AA$2:$AB$5,2,FALSE())</f>
        <v>15</v>
      </c>
      <c r="R1290" s="7" t="n">
        <f aca="false">IF(OR(F1290="Open",F1290="Reopened"),1,0)</f>
        <v>0</v>
      </c>
      <c r="S1290" s="7" t="n">
        <f aca="false">IF(AND(H1290&gt;='Exec Summary'!$E$1,H1290&lt;='Exec Summary'!$E$2),1,0)</f>
        <v>0</v>
      </c>
      <c r="T1290" s="7" t="n">
        <f aca="false">IF(AND(F1290="Closed",I1290&lt;&gt;"",I1290&gt;='Exec Summary'!$E$1,I1290&lt;='Exec Summary'!$E$2),1,0)</f>
        <v>0</v>
      </c>
      <c r="U1290" s="7" t="n">
        <f aca="false">IF(F1290="Reopened",1,0)</f>
        <v>0</v>
      </c>
      <c r="V1290" s="7" t="n">
        <f aca="false">IF(AND(R1290=1,O1290&gt;Q1290),1,0)</f>
        <v>0</v>
      </c>
      <c r="W1290" s="7" t="n">
        <f aca="false">IF(AND(T1290=1,P1290&lt;&gt;"",P1290&lt;=Q1290),1,0)</f>
        <v>0</v>
      </c>
    </row>
    <row r="1291" customFormat="false" ht="15" hidden="false" customHeight="false" outlineLevel="0" collapsed="false">
      <c r="A1291" s="7" t="s">
        <v>1585</v>
      </c>
      <c r="B1291" s="7" t="s">
        <v>46</v>
      </c>
      <c r="C1291" s="7" t="s">
        <v>128</v>
      </c>
      <c r="D1291" s="7" t="s">
        <v>98</v>
      </c>
      <c r="E1291" s="7" t="s">
        <v>99</v>
      </c>
      <c r="F1291" s="7" t="s">
        <v>56</v>
      </c>
      <c r="G1291" s="7" t="s">
        <v>19</v>
      </c>
      <c r="H1291" s="9" t="n">
        <v>46047</v>
      </c>
      <c r="I1291" s="9"/>
      <c r="J1291" s="7" t="n">
        <v>10</v>
      </c>
      <c r="K1291" s="7" t="s">
        <v>1392</v>
      </c>
      <c r="L1291" s="7" t="s">
        <v>21</v>
      </c>
      <c r="M1291" s="7" t="s">
        <v>1589</v>
      </c>
      <c r="N1291" s="7" t="s">
        <v>58</v>
      </c>
      <c r="O1291" s="10" t="n">
        <f aca="false">'Exec Summary'!$E$2-H1291</f>
        <v>187</v>
      </c>
      <c r="P1291" s="10" t="str">
        <f aca="false">IF(I1291="","",I1291-H1291)</f>
        <v/>
      </c>
      <c r="Q1291" s="10" t="n">
        <f aca="false">VLOOKUP(G1291,$AA$2:$AB$5,2,FALSE())</f>
        <v>15</v>
      </c>
      <c r="R1291" s="7" t="n">
        <f aca="false">IF(OR(F1291="Open",F1291="Reopened"),1,0)</f>
        <v>1</v>
      </c>
      <c r="S1291" s="7" t="n">
        <f aca="false">IF(AND(H1291&gt;='Exec Summary'!$E$1,H1291&lt;='Exec Summary'!$E$2),1,0)</f>
        <v>0</v>
      </c>
      <c r="T1291" s="7" t="n">
        <f aca="false">IF(AND(F1291="Closed",I1291&lt;&gt;"",I1291&gt;='Exec Summary'!$E$1,I1291&lt;='Exec Summary'!$E$2),1,0)</f>
        <v>0</v>
      </c>
      <c r="U1291" s="7" t="n">
        <f aca="false">IF(F1291="Reopened",1,0)</f>
        <v>0</v>
      </c>
      <c r="V1291" s="7" t="n">
        <f aca="false">IF(AND(R1291=1,O1291&gt;Q1291),1,0)</f>
        <v>1</v>
      </c>
      <c r="W1291" s="7" t="n">
        <f aca="false">IF(AND(T1291=1,P1291&lt;&gt;"",P1291&lt;=Q1291),1,0)</f>
        <v>0</v>
      </c>
    </row>
    <row r="1292" customFormat="false" ht="15" hidden="false" customHeight="false" outlineLevel="0" collapsed="false">
      <c r="A1292" s="7" t="s">
        <v>1585</v>
      </c>
      <c r="B1292" s="7" t="s">
        <v>46</v>
      </c>
      <c r="C1292" s="7" t="s">
        <v>128</v>
      </c>
      <c r="D1292" s="7" t="s">
        <v>91</v>
      </c>
      <c r="E1292" s="7" t="s">
        <v>92</v>
      </c>
      <c r="F1292" s="7" t="s">
        <v>50</v>
      </c>
      <c r="G1292" s="7" t="s">
        <v>20</v>
      </c>
      <c r="H1292" s="9" t="n">
        <v>46109</v>
      </c>
      <c r="I1292" s="9" t="n">
        <v>46134</v>
      </c>
      <c r="J1292" s="7" t="n">
        <v>8.1</v>
      </c>
      <c r="K1292" s="7" t="s">
        <v>1392</v>
      </c>
      <c r="L1292" s="7" t="s">
        <v>21</v>
      </c>
      <c r="M1292" s="7" t="s">
        <v>1590</v>
      </c>
      <c r="N1292" s="7" t="s">
        <v>53</v>
      </c>
      <c r="O1292" s="10" t="n">
        <f aca="false">'Exec Summary'!$E$2-H1292</f>
        <v>125</v>
      </c>
      <c r="P1292" s="10" t="n">
        <f aca="false">IF(I1292="","",I1292-H1292)</f>
        <v>25</v>
      </c>
      <c r="Q1292" s="10" t="n">
        <f aca="false">VLOOKUP(G1292,$AA$2:$AB$5,2,FALSE())</f>
        <v>30</v>
      </c>
      <c r="R1292" s="7" t="n">
        <f aca="false">IF(OR(F1292="Open",F1292="Reopened"),1,0)</f>
        <v>0</v>
      </c>
      <c r="S1292" s="7" t="n">
        <f aca="false">IF(AND(H1292&gt;='Exec Summary'!$E$1,H1292&lt;='Exec Summary'!$E$2),1,0)</f>
        <v>0</v>
      </c>
      <c r="T1292" s="7" t="n">
        <f aca="false">IF(AND(F1292="Closed",I1292&lt;&gt;"",I1292&gt;='Exec Summary'!$E$1,I1292&lt;='Exec Summary'!$E$2),1,0)</f>
        <v>0</v>
      </c>
      <c r="U1292" s="7" t="n">
        <f aca="false">IF(F1292="Reopened",1,0)</f>
        <v>0</v>
      </c>
      <c r="V1292" s="7" t="n">
        <f aca="false">IF(AND(R1292=1,O1292&gt;Q1292),1,0)</f>
        <v>0</v>
      </c>
      <c r="W1292" s="7" t="n">
        <f aca="false">IF(AND(T1292=1,P1292&lt;&gt;"",P1292&lt;=Q1292),1,0)</f>
        <v>0</v>
      </c>
    </row>
    <row r="1293" customFormat="false" ht="15" hidden="false" customHeight="false" outlineLevel="0" collapsed="false">
      <c r="A1293" s="7" t="s">
        <v>1585</v>
      </c>
      <c r="B1293" s="7" t="s">
        <v>46</v>
      </c>
      <c r="C1293" s="7" t="s">
        <v>128</v>
      </c>
      <c r="D1293" s="7" t="s">
        <v>71</v>
      </c>
      <c r="E1293" s="7" t="s">
        <v>72</v>
      </c>
      <c r="F1293" s="7" t="s">
        <v>50</v>
      </c>
      <c r="G1293" s="7" t="s">
        <v>19</v>
      </c>
      <c r="H1293" s="9" t="n">
        <v>45988</v>
      </c>
      <c r="I1293" s="9" t="n">
        <v>45992</v>
      </c>
      <c r="J1293" s="7" t="n">
        <v>9.8</v>
      </c>
      <c r="K1293" s="7" t="s">
        <v>1392</v>
      </c>
      <c r="L1293" s="7" t="s">
        <v>21</v>
      </c>
      <c r="M1293" s="7" t="s">
        <v>1591</v>
      </c>
      <c r="N1293" s="7" t="s">
        <v>58</v>
      </c>
      <c r="O1293" s="10" t="n">
        <f aca="false">'Exec Summary'!$E$2-H1293</f>
        <v>246</v>
      </c>
      <c r="P1293" s="10" t="n">
        <f aca="false">IF(I1293="","",I1293-H1293)</f>
        <v>4</v>
      </c>
      <c r="Q1293" s="10" t="n">
        <f aca="false">VLOOKUP(G1293,$AA$2:$AB$5,2,FALSE())</f>
        <v>15</v>
      </c>
      <c r="R1293" s="7" t="n">
        <f aca="false">IF(OR(F1293="Open",F1293="Reopened"),1,0)</f>
        <v>0</v>
      </c>
      <c r="S1293" s="7" t="n">
        <f aca="false">IF(AND(H1293&gt;='Exec Summary'!$E$1,H1293&lt;='Exec Summary'!$E$2),1,0)</f>
        <v>0</v>
      </c>
      <c r="T1293" s="7" t="n">
        <f aca="false">IF(AND(F1293="Closed",I1293&lt;&gt;"",I1293&gt;='Exec Summary'!$E$1,I1293&lt;='Exec Summary'!$E$2),1,0)</f>
        <v>0</v>
      </c>
      <c r="U1293" s="7" t="n">
        <f aca="false">IF(F1293="Reopened",1,0)</f>
        <v>0</v>
      </c>
      <c r="V1293" s="7" t="n">
        <f aca="false">IF(AND(R1293=1,O1293&gt;Q1293),1,0)</f>
        <v>0</v>
      </c>
      <c r="W1293" s="7" t="n">
        <f aca="false">IF(AND(T1293=1,P1293&lt;&gt;"",P1293&lt;=Q1293),1,0)</f>
        <v>0</v>
      </c>
    </row>
    <row r="1294" customFormat="false" ht="15" hidden="false" customHeight="false" outlineLevel="0" collapsed="false">
      <c r="A1294" s="7" t="s">
        <v>1585</v>
      </c>
      <c r="B1294" s="7" t="s">
        <v>46</v>
      </c>
      <c r="C1294" s="7" t="s">
        <v>128</v>
      </c>
      <c r="D1294" s="7" t="s">
        <v>131</v>
      </c>
      <c r="E1294" s="7" t="s">
        <v>132</v>
      </c>
      <c r="F1294" s="7" t="s">
        <v>56</v>
      </c>
      <c r="G1294" s="7" t="s">
        <v>19</v>
      </c>
      <c r="H1294" s="9" t="n">
        <v>45947</v>
      </c>
      <c r="I1294" s="9"/>
      <c r="J1294" s="7" t="n">
        <v>9.8</v>
      </c>
      <c r="K1294" s="7" t="s">
        <v>1392</v>
      </c>
      <c r="L1294" s="7" t="s">
        <v>21</v>
      </c>
      <c r="M1294" s="7" t="s">
        <v>1592</v>
      </c>
      <c r="N1294" s="7" t="s">
        <v>58</v>
      </c>
      <c r="O1294" s="10" t="n">
        <f aca="false">'Exec Summary'!$E$2-H1294</f>
        <v>287</v>
      </c>
      <c r="P1294" s="10" t="str">
        <f aca="false">IF(I1294="","",I1294-H1294)</f>
        <v/>
      </c>
      <c r="Q1294" s="10" t="n">
        <f aca="false">VLOOKUP(G1294,$AA$2:$AB$5,2,FALSE())</f>
        <v>15</v>
      </c>
      <c r="R1294" s="7" t="n">
        <f aca="false">IF(OR(F1294="Open",F1294="Reopened"),1,0)</f>
        <v>1</v>
      </c>
      <c r="S1294" s="7" t="n">
        <f aca="false">IF(AND(H1294&gt;='Exec Summary'!$E$1,H1294&lt;='Exec Summary'!$E$2),1,0)</f>
        <v>0</v>
      </c>
      <c r="T1294" s="7" t="n">
        <f aca="false">IF(AND(F1294="Closed",I1294&lt;&gt;"",I1294&gt;='Exec Summary'!$E$1,I1294&lt;='Exec Summary'!$E$2),1,0)</f>
        <v>0</v>
      </c>
      <c r="U1294" s="7" t="n">
        <f aca="false">IF(F1294="Reopened",1,0)</f>
        <v>0</v>
      </c>
      <c r="V1294" s="7" t="n">
        <f aca="false">IF(AND(R1294=1,O1294&gt;Q1294),1,0)</f>
        <v>1</v>
      </c>
      <c r="W1294" s="7" t="n">
        <f aca="false">IF(AND(T1294=1,P1294&lt;&gt;"",P1294&lt;=Q1294),1,0)</f>
        <v>0</v>
      </c>
    </row>
    <row r="1295" customFormat="false" ht="15" hidden="false" customHeight="false" outlineLevel="0" collapsed="false">
      <c r="A1295" s="7" t="s">
        <v>1593</v>
      </c>
      <c r="B1295" s="7" t="s">
        <v>46</v>
      </c>
      <c r="C1295" s="7" t="s">
        <v>177</v>
      </c>
      <c r="D1295" s="7" t="s">
        <v>152</v>
      </c>
      <c r="E1295" s="7" t="s">
        <v>153</v>
      </c>
      <c r="F1295" s="7" t="s">
        <v>56</v>
      </c>
      <c r="G1295" s="7" t="s">
        <v>20</v>
      </c>
      <c r="H1295" s="9" t="n">
        <v>46090</v>
      </c>
      <c r="I1295" s="9"/>
      <c r="J1295" s="7" t="n">
        <v>7.5</v>
      </c>
      <c r="K1295" s="7" t="s">
        <v>1392</v>
      </c>
      <c r="L1295" s="7" t="s">
        <v>21</v>
      </c>
      <c r="M1295" s="7" t="s">
        <v>1594</v>
      </c>
      <c r="N1295" s="7" t="s">
        <v>53</v>
      </c>
      <c r="O1295" s="10" t="n">
        <f aca="false">'Exec Summary'!$E$2-H1295</f>
        <v>144</v>
      </c>
      <c r="P1295" s="10" t="str">
        <f aca="false">IF(I1295="","",I1295-H1295)</f>
        <v/>
      </c>
      <c r="Q1295" s="10" t="n">
        <f aca="false">VLOOKUP(G1295,$AA$2:$AB$5,2,FALSE())</f>
        <v>30</v>
      </c>
      <c r="R1295" s="7" t="n">
        <f aca="false">IF(OR(F1295="Open",F1295="Reopened"),1,0)</f>
        <v>1</v>
      </c>
      <c r="S1295" s="7" t="n">
        <f aca="false">IF(AND(H1295&gt;='Exec Summary'!$E$1,H1295&lt;='Exec Summary'!$E$2),1,0)</f>
        <v>0</v>
      </c>
      <c r="T1295" s="7" t="n">
        <f aca="false">IF(AND(F1295="Closed",I1295&lt;&gt;"",I1295&gt;='Exec Summary'!$E$1,I1295&lt;='Exec Summary'!$E$2),1,0)</f>
        <v>0</v>
      </c>
      <c r="U1295" s="7" t="n">
        <f aca="false">IF(F1295="Reopened",1,0)</f>
        <v>0</v>
      </c>
      <c r="V1295" s="7" t="n">
        <f aca="false">IF(AND(R1295=1,O1295&gt;Q1295),1,0)</f>
        <v>1</v>
      </c>
      <c r="W1295" s="7" t="n">
        <f aca="false">IF(AND(T1295=1,P1295&lt;&gt;"",P1295&lt;=Q1295),1,0)</f>
        <v>0</v>
      </c>
    </row>
    <row r="1296" customFormat="false" ht="15" hidden="false" customHeight="false" outlineLevel="0" collapsed="false">
      <c r="A1296" s="7" t="s">
        <v>1593</v>
      </c>
      <c r="B1296" s="7" t="s">
        <v>46</v>
      </c>
      <c r="C1296" s="7" t="s">
        <v>177</v>
      </c>
      <c r="D1296" s="7" t="s">
        <v>117</v>
      </c>
      <c r="E1296" s="7" t="s">
        <v>118</v>
      </c>
      <c r="F1296" s="7" t="s">
        <v>56</v>
      </c>
      <c r="G1296" s="7" t="s">
        <v>19</v>
      </c>
      <c r="H1296" s="9" t="n">
        <v>46196</v>
      </c>
      <c r="I1296" s="9"/>
      <c r="J1296" s="7" t="n">
        <v>10</v>
      </c>
      <c r="K1296" s="7" t="s">
        <v>1392</v>
      </c>
      <c r="L1296" s="7" t="s">
        <v>21</v>
      </c>
      <c r="M1296" s="7" t="s">
        <v>1595</v>
      </c>
      <c r="N1296" s="7" t="s">
        <v>58</v>
      </c>
      <c r="O1296" s="10" t="n">
        <f aca="false">'Exec Summary'!$E$2-H1296</f>
        <v>38</v>
      </c>
      <c r="P1296" s="10" t="str">
        <f aca="false">IF(I1296="","",I1296-H1296)</f>
        <v/>
      </c>
      <c r="Q1296" s="10" t="n">
        <f aca="false">VLOOKUP(G1296,$AA$2:$AB$5,2,FALSE())</f>
        <v>15</v>
      </c>
      <c r="R1296" s="7" t="n">
        <f aca="false">IF(OR(F1296="Open",F1296="Reopened"),1,0)</f>
        <v>1</v>
      </c>
      <c r="S1296" s="7" t="n">
        <f aca="false">IF(AND(H1296&gt;='Exec Summary'!$E$1,H1296&lt;='Exec Summary'!$E$2),1,0)</f>
        <v>0</v>
      </c>
      <c r="T1296" s="7" t="n">
        <f aca="false">IF(AND(F1296="Closed",I1296&lt;&gt;"",I1296&gt;='Exec Summary'!$E$1,I1296&lt;='Exec Summary'!$E$2),1,0)</f>
        <v>0</v>
      </c>
      <c r="U1296" s="7" t="n">
        <f aca="false">IF(F1296="Reopened",1,0)</f>
        <v>0</v>
      </c>
      <c r="V1296" s="7" t="n">
        <f aca="false">IF(AND(R1296=1,O1296&gt;Q1296),1,0)</f>
        <v>1</v>
      </c>
      <c r="W1296" s="7" t="n">
        <f aca="false">IF(AND(T1296=1,P1296&lt;&gt;"",P1296&lt;=Q1296),1,0)</f>
        <v>0</v>
      </c>
    </row>
    <row r="1297" customFormat="false" ht="15" hidden="false" customHeight="false" outlineLevel="0" collapsed="false">
      <c r="A1297" s="7" t="s">
        <v>1593</v>
      </c>
      <c r="B1297" s="7" t="s">
        <v>46</v>
      </c>
      <c r="C1297" s="7" t="s">
        <v>177</v>
      </c>
      <c r="D1297" s="7" t="s">
        <v>87</v>
      </c>
      <c r="E1297" s="7" t="s">
        <v>88</v>
      </c>
      <c r="F1297" s="7" t="s">
        <v>56</v>
      </c>
      <c r="G1297" s="7" t="s">
        <v>19</v>
      </c>
      <c r="H1297" s="9" t="n">
        <v>45991</v>
      </c>
      <c r="I1297" s="9"/>
      <c r="J1297" s="7" t="n">
        <v>10</v>
      </c>
      <c r="K1297" s="7" t="s">
        <v>1392</v>
      </c>
      <c r="L1297" s="7" t="s">
        <v>21</v>
      </c>
      <c r="M1297" s="7" t="s">
        <v>1596</v>
      </c>
      <c r="N1297" s="7" t="s">
        <v>58</v>
      </c>
      <c r="O1297" s="10" t="n">
        <f aca="false">'Exec Summary'!$E$2-H1297</f>
        <v>243</v>
      </c>
      <c r="P1297" s="10" t="str">
        <f aca="false">IF(I1297="","",I1297-H1297)</f>
        <v/>
      </c>
      <c r="Q1297" s="10" t="n">
        <f aca="false">VLOOKUP(G1297,$AA$2:$AB$5,2,FALSE())</f>
        <v>15</v>
      </c>
      <c r="R1297" s="7" t="n">
        <f aca="false">IF(OR(F1297="Open",F1297="Reopened"),1,0)</f>
        <v>1</v>
      </c>
      <c r="S1297" s="7" t="n">
        <f aca="false">IF(AND(H1297&gt;='Exec Summary'!$E$1,H1297&lt;='Exec Summary'!$E$2),1,0)</f>
        <v>0</v>
      </c>
      <c r="T1297" s="7" t="n">
        <f aca="false">IF(AND(F1297="Closed",I1297&lt;&gt;"",I1297&gt;='Exec Summary'!$E$1,I1297&lt;='Exec Summary'!$E$2),1,0)</f>
        <v>0</v>
      </c>
      <c r="U1297" s="7" t="n">
        <f aca="false">IF(F1297="Reopened",1,0)</f>
        <v>0</v>
      </c>
      <c r="V1297" s="7" t="n">
        <f aca="false">IF(AND(R1297=1,O1297&gt;Q1297),1,0)</f>
        <v>1</v>
      </c>
      <c r="W1297" s="7" t="n">
        <f aca="false">IF(AND(T1297=1,P1297&lt;&gt;"",P1297&lt;=Q1297),1,0)</f>
        <v>0</v>
      </c>
    </row>
    <row r="1298" customFormat="false" ht="15" hidden="false" customHeight="false" outlineLevel="0" collapsed="false">
      <c r="A1298" s="7" t="s">
        <v>1593</v>
      </c>
      <c r="B1298" s="7" t="s">
        <v>46</v>
      </c>
      <c r="C1298" s="7" t="s">
        <v>177</v>
      </c>
      <c r="D1298" s="7" t="s">
        <v>59</v>
      </c>
      <c r="E1298" s="7" t="s">
        <v>60</v>
      </c>
      <c r="F1298" s="7" t="s">
        <v>50</v>
      </c>
      <c r="G1298" s="7" t="s">
        <v>19</v>
      </c>
      <c r="H1298" s="9" t="n">
        <v>46018</v>
      </c>
      <c r="I1298" s="9" t="n">
        <v>46019</v>
      </c>
      <c r="J1298" s="7" t="n">
        <v>7.8</v>
      </c>
      <c r="K1298" s="7" t="s">
        <v>1392</v>
      </c>
      <c r="L1298" s="7" t="s">
        <v>21</v>
      </c>
      <c r="M1298" s="7" t="s">
        <v>1597</v>
      </c>
      <c r="N1298" s="7" t="s">
        <v>58</v>
      </c>
      <c r="O1298" s="10" t="n">
        <f aca="false">'Exec Summary'!$E$2-H1298</f>
        <v>216</v>
      </c>
      <c r="P1298" s="10" t="n">
        <f aca="false">IF(I1298="","",I1298-H1298)</f>
        <v>1</v>
      </c>
      <c r="Q1298" s="10" t="n">
        <f aca="false">VLOOKUP(G1298,$AA$2:$AB$5,2,FALSE())</f>
        <v>15</v>
      </c>
      <c r="R1298" s="7" t="n">
        <f aca="false">IF(OR(F1298="Open",F1298="Reopened"),1,0)</f>
        <v>0</v>
      </c>
      <c r="S1298" s="7" t="n">
        <f aca="false">IF(AND(H1298&gt;='Exec Summary'!$E$1,H1298&lt;='Exec Summary'!$E$2),1,0)</f>
        <v>0</v>
      </c>
      <c r="T1298" s="7" t="n">
        <f aca="false">IF(AND(F1298="Closed",I1298&lt;&gt;"",I1298&gt;='Exec Summary'!$E$1,I1298&lt;='Exec Summary'!$E$2),1,0)</f>
        <v>0</v>
      </c>
      <c r="U1298" s="7" t="n">
        <f aca="false">IF(F1298="Reopened",1,0)</f>
        <v>0</v>
      </c>
      <c r="V1298" s="7" t="n">
        <f aca="false">IF(AND(R1298=1,O1298&gt;Q1298),1,0)</f>
        <v>0</v>
      </c>
      <c r="W1298" s="7" t="n">
        <f aca="false">IF(AND(T1298=1,P1298&lt;&gt;"",P1298&lt;=Q1298),1,0)</f>
        <v>0</v>
      </c>
    </row>
    <row r="1299" customFormat="false" ht="15" hidden="false" customHeight="false" outlineLevel="0" collapsed="false">
      <c r="A1299" s="7" t="s">
        <v>1593</v>
      </c>
      <c r="B1299" s="7" t="s">
        <v>46</v>
      </c>
      <c r="C1299" s="7" t="s">
        <v>177</v>
      </c>
      <c r="D1299" s="7" t="s">
        <v>95</v>
      </c>
      <c r="E1299" s="7" t="s">
        <v>96</v>
      </c>
      <c r="F1299" s="7" t="s">
        <v>50</v>
      </c>
      <c r="G1299" s="7" t="s">
        <v>20</v>
      </c>
      <c r="H1299" s="9" t="n">
        <v>45953</v>
      </c>
      <c r="I1299" s="9" t="n">
        <v>45972</v>
      </c>
      <c r="J1299" s="7" t="n">
        <v>8.8</v>
      </c>
      <c r="K1299" s="7" t="s">
        <v>1392</v>
      </c>
      <c r="L1299" s="7" t="s">
        <v>21</v>
      </c>
      <c r="M1299" s="7" t="s">
        <v>1598</v>
      </c>
      <c r="N1299" s="7" t="s">
        <v>53</v>
      </c>
      <c r="O1299" s="10" t="n">
        <f aca="false">'Exec Summary'!$E$2-H1299</f>
        <v>281</v>
      </c>
      <c r="P1299" s="10" t="n">
        <f aca="false">IF(I1299="","",I1299-H1299)</f>
        <v>19</v>
      </c>
      <c r="Q1299" s="10" t="n">
        <f aca="false">VLOOKUP(G1299,$AA$2:$AB$5,2,FALSE())</f>
        <v>30</v>
      </c>
      <c r="R1299" s="7" t="n">
        <f aca="false">IF(OR(F1299="Open",F1299="Reopened"),1,0)</f>
        <v>0</v>
      </c>
      <c r="S1299" s="7" t="n">
        <f aca="false">IF(AND(H1299&gt;='Exec Summary'!$E$1,H1299&lt;='Exec Summary'!$E$2),1,0)</f>
        <v>0</v>
      </c>
      <c r="T1299" s="7" t="n">
        <f aca="false">IF(AND(F1299="Closed",I1299&lt;&gt;"",I1299&gt;='Exec Summary'!$E$1,I1299&lt;='Exec Summary'!$E$2),1,0)</f>
        <v>0</v>
      </c>
      <c r="U1299" s="7" t="n">
        <f aca="false">IF(F1299="Reopened",1,0)</f>
        <v>0</v>
      </c>
      <c r="V1299" s="7" t="n">
        <f aca="false">IF(AND(R1299=1,O1299&gt;Q1299),1,0)</f>
        <v>0</v>
      </c>
      <c r="W1299" s="7" t="n">
        <f aca="false">IF(AND(T1299=1,P1299&lt;&gt;"",P1299&lt;=Q1299),1,0)</f>
        <v>0</v>
      </c>
    </row>
    <row r="1300" customFormat="false" ht="15" hidden="false" customHeight="false" outlineLevel="0" collapsed="false">
      <c r="A1300" s="7" t="s">
        <v>1593</v>
      </c>
      <c r="B1300" s="7" t="s">
        <v>46</v>
      </c>
      <c r="C1300" s="7" t="s">
        <v>177</v>
      </c>
      <c r="D1300" s="7" t="s">
        <v>54</v>
      </c>
      <c r="E1300" s="7" t="s">
        <v>55</v>
      </c>
      <c r="F1300" s="7" t="s">
        <v>50</v>
      </c>
      <c r="G1300" s="7" t="s">
        <v>19</v>
      </c>
      <c r="H1300" s="9" t="n">
        <v>46091</v>
      </c>
      <c r="I1300" s="9" t="n">
        <v>46101</v>
      </c>
      <c r="J1300" s="7" t="n">
        <v>9.8</v>
      </c>
      <c r="K1300" s="7" t="s">
        <v>1392</v>
      </c>
      <c r="L1300" s="7" t="s">
        <v>21</v>
      </c>
      <c r="M1300" s="7" t="s">
        <v>1599</v>
      </c>
      <c r="N1300" s="7" t="s">
        <v>58</v>
      </c>
      <c r="O1300" s="10" t="n">
        <f aca="false">'Exec Summary'!$E$2-H1300</f>
        <v>143</v>
      </c>
      <c r="P1300" s="10" t="n">
        <f aca="false">IF(I1300="","",I1300-H1300)</f>
        <v>10</v>
      </c>
      <c r="Q1300" s="10" t="n">
        <f aca="false">VLOOKUP(G1300,$AA$2:$AB$5,2,FALSE())</f>
        <v>15</v>
      </c>
      <c r="R1300" s="7" t="n">
        <f aca="false">IF(OR(F1300="Open",F1300="Reopened"),1,0)</f>
        <v>0</v>
      </c>
      <c r="S1300" s="7" t="n">
        <f aca="false">IF(AND(H1300&gt;='Exec Summary'!$E$1,H1300&lt;='Exec Summary'!$E$2),1,0)</f>
        <v>0</v>
      </c>
      <c r="T1300" s="7" t="n">
        <f aca="false">IF(AND(F1300="Closed",I1300&lt;&gt;"",I1300&gt;='Exec Summary'!$E$1,I1300&lt;='Exec Summary'!$E$2),1,0)</f>
        <v>0</v>
      </c>
      <c r="U1300" s="7" t="n">
        <f aca="false">IF(F1300="Reopened",1,0)</f>
        <v>0</v>
      </c>
      <c r="V1300" s="7" t="n">
        <f aca="false">IF(AND(R1300=1,O1300&gt;Q1300),1,0)</f>
        <v>0</v>
      </c>
      <c r="W1300" s="7" t="n">
        <f aca="false">IF(AND(T1300=1,P1300&lt;&gt;"",P1300&lt;=Q1300),1,0)</f>
        <v>0</v>
      </c>
    </row>
    <row r="1301" customFormat="false" ht="15" hidden="false" customHeight="false" outlineLevel="0" collapsed="false">
      <c r="A1301" s="7" t="s">
        <v>1593</v>
      </c>
      <c r="B1301" s="7" t="s">
        <v>46</v>
      </c>
      <c r="C1301" s="7" t="s">
        <v>177</v>
      </c>
      <c r="D1301" s="7" t="s">
        <v>101</v>
      </c>
      <c r="E1301" s="7" t="s">
        <v>102</v>
      </c>
      <c r="F1301" s="7" t="s">
        <v>50</v>
      </c>
      <c r="G1301" s="7" t="s">
        <v>19</v>
      </c>
      <c r="H1301" s="9" t="n">
        <v>45988</v>
      </c>
      <c r="I1301" s="9" t="n">
        <v>46002</v>
      </c>
      <c r="J1301" s="7" t="n">
        <v>10</v>
      </c>
      <c r="K1301" s="7" t="s">
        <v>1392</v>
      </c>
      <c r="L1301" s="7" t="s">
        <v>21</v>
      </c>
      <c r="M1301" s="7" t="s">
        <v>1600</v>
      </c>
      <c r="N1301" s="7" t="s">
        <v>58</v>
      </c>
      <c r="O1301" s="10" t="n">
        <f aca="false">'Exec Summary'!$E$2-H1301</f>
        <v>246</v>
      </c>
      <c r="P1301" s="10" t="n">
        <f aca="false">IF(I1301="","",I1301-H1301)</f>
        <v>14</v>
      </c>
      <c r="Q1301" s="10" t="n">
        <f aca="false">VLOOKUP(G1301,$AA$2:$AB$5,2,FALSE())</f>
        <v>15</v>
      </c>
      <c r="R1301" s="7" t="n">
        <f aca="false">IF(OR(F1301="Open",F1301="Reopened"),1,0)</f>
        <v>0</v>
      </c>
      <c r="S1301" s="7" t="n">
        <f aca="false">IF(AND(H1301&gt;='Exec Summary'!$E$1,H1301&lt;='Exec Summary'!$E$2),1,0)</f>
        <v>0</v>
      </c>
      <c r="T1301" s="7" t="n">
        <f aca="false">IF(AND(F1301="Closed",I1301&lt;&gt;"",I1301&gt;='Exec Summary'!$E$1,I1301&lt;='Exec Summary'!$E$2),1,0)</f>
        <v>0</v>
      </c>
      <c r="U1301" s="7" t="n">
        <f aca="false">IF(F1301="Reopened",1,0)</f>
        <v>0</v>
      </c>
      <c r="V1301" s="7" t="n">
        <f aca="false">IF(AND(R1301=1,O1301&gt;Q1301),1,0)</f>
        <v>0</v>
      </c>
      <c r="W1301" s="7" t="n">
        <f aca="false">IF(AND(T1301=1,P1301&lt;&gt;"",P1301&lt;=Q1301),1,0)</f>
        <v>0</v>
      </c>
    </row>
    <row r="1302" customFormat="false" ht="15" hidden="false" customHeight="false" outlineLevel="0" collapsed="false">
      <c r="A1302" s="7" t="s">
        <v>1593</v>
      </c>
      <c r="B1302" s="7" t="s">
        <v>46</v>
      </c>
      <c r="C1302" s="7" t="s">
        <v>177</v>
      </c>
      <c r="D1302" s="7" t="s">
        <v>98</v>
      </c>
      <c r="E1302" s="7" t="s">
        <v>99</v>
      </c>
      <c r="F1302" s="7" t="s">
        <v>50</v>
      </c>
      <c r="G1302" s="7" t="s">
        <v>19</v>
      </c>
      <c r="H1302" s="9" t="n">
        <v>46148</v>
      </c>
      <c r="I1302" s="9" t="n">
        <v>46163</v>
      </c>
      <c r="J1302" s="7" t="n">
        <v>10</v>
      </c>
      <c r="K1302" s="7" t="s">
        <v>1392</v>
      </c>
      <c r="L1302" s="7" t="s">
        <v>21</v>
      </c>
      <c r="M1302" s="7" t="s">
        <v>1601</v>
      </c>
      <c r="N1302" s="7" t="s">
        <v>58</v>
      </c>
      <c r="O1302" s="10" t="n">
        <f aca="false">'Exec Summary'!$E$2-H1302</f>
        <v>86</v>
      </c>
      <c r="P1302" s="10" t="n">
        <f aca="false">IF(I1302="","",I1302-H1302)</f>
        <v>15</v>
      </c>
      <c r="Q1302" s="10" t="n">
        <f aca="false">VLOOKUP(G1302,$AA$2:$AB$5,2,FALSE())</f>
        <v>15</v>
      </c>
      <c r="R1302" s="7" t="n">
        <f aca="false">IF(OR(F1302="Open",F1302="Reopened"),1,0)</f>
        <v>0</v>
      </c>
      <c r="S1302" s="7" t="n">
        <f aca="false">IF(AND(H1302&gt;='Exec Summary'!$E$1,H1302&lt;='Exec Summary'!$E$2),1,0)</f>
        <v>0</v>
      </c>
      <c r="T1302" s="7" t="n">
        <f aca="false">IF(AND(F1302="Closed",I1302&lt;&gt;"",I1302&gt;='Exec Summary'!$E$1,I1302&lt;='Exec Summary'!$E$2),1,0)</f>
        <v>0</v>
      </c>
      <c r="U1302" s="7" t="n">
        <f aca="false">IF(F1302="Reopened",1,0)</f>
        <v>0</v>
      </c>
      <c r="V1302" s="7" t="n">
        <f aca="false">IF(AND(R1302=1,O1302&gt;Q1302),1,0)</f>
        <v>0</v>
      </c>
      <c r="W1302" s="7" t="n">
        <f aca="false">IF(AND(T1302=1,P1302&lt;&gt;"",P1302&lt;=Q1302),1,0)</f>
        <v>0</v>
      </c>
    </row>
    <row r="1303" customFormat="false" ht="15" hidden="false" customHeight="false" outlineLevel="0" collapsed="false">
      <c r="A1303" s="7" t="s">
        <v>1602</v>
      </c>
      <c r="B1303" s="7" t="s">
        <v>46</v>
      </c>
      <c r="C1303" s="7" t="s">
        <v>47</v>
      </c>
      <c r="D1303" s="7" t="s">
        <v>68</v>
      </c>
      <c r="E1303" s="7" t="s">
        <v>69</v>
      </c>
      <c r="F1303" s="7" t="s">
        <v>56</v>
      </c>
      <c r="G1303" s="7" t="s">
        <v>19</v>
      </c>
      <c r="H1303" s="9" t="n">
        <v>45996</v>
      </c>
      <c r="I1303" s="9"/>
      <c r="J1303" s="7" t="n">
        <v>9.8</v>
      </c>
      <c r="K1303" s="7" t="s">
        <v>1392</v>
      </c>
      <c r="L1303" s="7" t="s">
        <v>21</v>
      </c>
      <c r="M1303" s="7" t="s">
        <v>1603</v>
      </c>
      <c r="N1303" s="7" t="s">
        <v>58</v>
      </c>
      <c r="O1303" s="10" t="n">
        <f aca="false">'Exec Summary'!$E$2-H1303</f>
        <v>238</v>
      </c>
      <c r="P1303" s="10" t="str">
        <f aca="false">IF(I1303="","",I1303-H1303)</f>
        <v/>
      </c>
      <c r="Q1303" s="10" t="n">
        <f aca="false">VLOOKUP(G1303,$AA$2:$AB$5,2,FALSE())</f>
        <v>15</v>
      </c>
      <c r="R1303" s="7" t="n">
        <f aca="false">IF(OR(F1303="Open",F1303="Reopened"),1,0)</f>
        <v>1</v>
      </c>
      <c r="S1303" s="7" t="n">
        <f aca="false">IF(AND(H1303&gt;='Exec Summary'!$E$1,H1303&lt;='Exec Summary'!$E$2),1,0)</f>
        <v>0</v>
      </c>
      <c r="T1303" s="7" t="n">
        <f aca="false">IF(AND(F1303="Closed",I1303&lt;&gt;"",I1303&gt;='Exec Summary'!$E$1,I1303&lt;='Exec Summary'!$E$2),1,0)</f>
        <v>0</v>
      </c>
      <c r="U1303" s="7" t="n">
        <f aca="false">IF(F1303="Reopened",1,0)</f>
        <v>0</v>
      </c>
      <c r="V1303" s="7" t="n">
        <f aca="false">IF(AND(R1303=1,O1303&gt;Q1303),1,0)</f>
        <v>1</v>
      </c>
      <c r="W1303" s="7" t="n">
        <f aca="false">IF(AND(T1303=1,P1303&lt;&gt;"",P1303&lt;=Q1303),1,0)</f>
        <v>0</v>
      </c>
    </row>
    <row r="1304" customFormat="false" ht="15" hidden="false" customHeight="false" outlineLevel="0" collapsed="false">
      <c r="A1304" s="7" t="s">
        <v>1602</v>
      </c>
      <c r="B1304" s="7" t="s">
        <v>46</v>
      </c>
      <c r="C1304" s="7" t="s">
        <v>47</v>
      </c>
      <c r="D1304" s="7" t="s">
        <v>173</v>
      </c>
      <c r="E1304" s="7" t="s">
        <v>174</v>
      </c>
      <c r="F1304" s="7" t="s">
        <v>50</v>
      </c>
      <c r="G1304" s="7" t="s">
        <v>19</v>
      </c>
      <c r="H1304" s="9" t="n">
        <v>46176</v>
      </c>
      <c r="I1304" s="9" t="n">
        <v>46180</v>
      </c>
      <c r="J1304" s="7" t="n">
        <v>9.8</v>
      </c>
      <c r="K1304" s="7" t="s">
        <v>1392</v>
      </c>
      <c r="L1304" s="7" t="s">
        <v>21</v>
      </c>
      <c r="M1304" s="7" t="s">
        <v>1604</v>
      </c>
      <c r="N1304" s="7" t="s">
        <v>58</v>
      </c>
      <c r="O1304" s="10" t="n">
        <f aca="false">'Exec Summary'!$E$2-H1304</f>
        <v>58</v>
      </c>
      <c r="P1304" s="10" t="n">
        <f aca="false">IF(I1304="","",I1304-H1304)</f>
        <v>4</v>
      </c>
      <c r="Q1304" s="10" t="n">
        <f aca="false">VLOOKUP(G1304,$AA$2:$AB$5,2,FALSE())</f>
        <v>15</v>
      </c>
      <c r="R1304" s="7" t="n">
        <f aca="false">IF(OR(F1304="Open",F1304="Reopened"),1,0)</f>
        <v>0</v>
      </c>
      <c r="S1304" s="7" t="n">
        <f aca="false">IF(AND(H1304&gt;='Exec Summary'!$E$1,H1304&lt;='Exec Summary'!$E$2),1,0)</f>
        <v>0</v>
      </c>
      <c r="T1304" s="7" t="n">
        <f aca="false">IF(AND(F1304="Closed",I1304&lt;&gt;"",I1304&gt;='Exec Summary'!$E$1,I1304&lt;='Exec Summary'!$E$2),1,0)</f>
        <v>0</v>
      </c>
      <c r="U1304" s="7" t="n">
        <f aca="false">IF(F1304="Reopened",1,0)</f>
        <v>0</v>
      </c>
      <c r="V1304" s="7" t="n">
        <f aca="false">IF(AND(R1304=1,O1304&gt;Q1304),1,0)</f>
        <v>0</v>
      </c>
      <c r="W1304" s="7" t="n">
        <f aca="false">IF(AND(T1304=1,P1304&lt;&gt;"",P1304&lt;=Q1304),1,0)</f>
        <v>0</v>
      </c>
    </row>
    <row r="1305" customFormat="false" ht="15" hidden="false" customHeight="false" outlineLevel="0" collapsed="false">
      <c r="A1305" s="7" t="s">
        <v>1602</v>
      </c>
      <c r="B1305" s="7" t="s">
        <v>46</v>
      </c>
      <c r="C1305" s="7" t="s">
        <v>47</v>
      </c>
      <c r="D1305" s="7" t="s">
        <v>81</v>
      </c>
      <c r="E1305" s="7" t="s">
        <v>82</v>
      </c>
      <c r="F1305" s="7" t="s">
        <v>50</v>
      </c>
      <c r="G1305" s="7" t="s">
        <v>20</v>
      </c>
      <c r="H1305" s="9" t="n">
        <v>46178</v>
      </c>
      <c r="I1305" s="9" t="n">
        <v>46194</v>
      </c>
      <c r="J1305" s="7" t="n">
        <v>7.8</v>
      </c>
      <c r="K1305" s="7" t="s">
        <v>1392</v>
      </c>
      <c r="L1305" s="7" t="s">
        <v>21</v>
      </c>
      <c r="M1305" s="7" t="s">
        <v>1605</v>
      </c>
      <c r="N1305" s="7" t="s">
        <v>53</v>
      </c>
      <c r="O1305" s="10" t="n">
        <f aca="false">'Exec Summary'!$E$2-H1305</f>
        <v>56</v>
      </c>
      <c r="P1305" s="10" t="n">
        <f aca="false">IF(I1305="","",I1305-H1305)</f>
        <v>16</v>
      </c>
      <c r="Q1305" s="10" t="n">
        <f aca="false">VLOOKUP(G1305,$AA$2:$AB$5,2,FALSE())</f>
        <v>30</v>
      </c>
      <c r="R1305" s="7" t="n">
        <f aca="false">IF(OR(F1305="Open",F1305="Reopened"),1,0)</f>
        <v>0</v>
      </c>
      <c r="S1305" s="7" t="n">
        <f aca="false">IF(AND(H1305&gt;='Exec Summary'!$E$1,H1305&lt;='Exec Summary'!$E$2),1,0)</f>
        <v>0</v>
      </c>
      <c r="T1305" s="7" t="n">
        <f aca="false">IF(AND(F1305="Closed",I1305&lt;&gt;"",I1305&gt;='Exec Summary'!$E$1,I1305&lt;='Exec Summary'!$E$2),1,0)</f>
        <v>0</v>
      </c>
      <c r="U1305" s="7" t="n">
        <f aca="false">IF(F1305="Reopened",1,0)</f>
        <v>0</v>
      </c>
      <c r="V1305" s="7" t="n">
        <f aca="false">IF(AND(R1305=1,O1305&gt;Q1305),1,0)</f>
        <v>0</v>
      </c>
      <c r="W1305" s="7" t="n">
        <f aca="false">IF(AND(T1305=1,P1305&lt;&gt;"",P1305&lt;=Q1305),1,0)</f>
        <v>0</v>
      </c>
    </row>
    <row r="1306" customFormat="false" ht="15" hidden="false" customHeight="false" outlineLevel="0" collapsed="false">
      <c r="A1306" s="7" t="s">
        <v>1602</v>
      </c>
      <c r="B1306" s="7" t="s">
        <v>46</v>
      </c>
      <c r="C1306" s="7" t="s">
        <v>47</v>
      </c>
      <c r="D1306" s="7" t="s">
        <v>104</v>
      </c>
      <c r="E1306" s="7" t="s">
        <v>105</v>
      </c>
      <c r="F1306" s="7" t="s">
        <v>50</v>
      </c>
      <c r="G1306" s="7" t="s">
        <v>19</v>
      </c>
      <c r="H1306" s="9" t="n">
        <v>46139</v>
      </c>
      <c r="I1306" s="9" t="n">
        <v>46154</v>
      </c>
      <c r="J1306" s="7" t="n">
        <v>9.8</v>
      </c>
      <c r="K1306" s="7" t="s">
        <v>1392</v>
      </c>
      <c r="L1306" s="7" t="s">
        <v>21</v>
      </c>
      <c r="M1306" s="7" t="s">
        <v>1606</v>
      </c>
      <c r="N1306" s="7" t="s">
        <v>58</v>
      </c>
      <c r="O1306" s="10" t="n">
        <f aca="false">'Exec Summary'!$E$2-H1306</f>
        <v>95</v>
      </c>
      <c r="P1306" s="10" t="n">
        <f aca="false">IF(I1306="","",I1306-H1306)</f>
        <v>15</v>
      </c>
      <c r="Q1306" s="10" t="n">
        <f aca="false">VLOOKUP(G1306,$AA$2:$AB$5,2,FALSE())</f>
        <v>15</v>
      </c>
      <c r="R1306" s="7" t="n">
        <f aca="false">IF(OR(F1306="Open",F1306="Reopened"),1,0)</f>
        <v>0</v>
      </c>
      <c r="S1306" s="7" t="n">
        <f aca="false">IF(AND(H1306&gt;='Exec Summary'!$E$1,H1306&lt;='Exec Summary'!$E$2),1,0)</f>
        <v>0</v>
      </c>
      <c r="T1306" s="7" t="n">
        <f aca="false">IF(AND(F1306="Closed",I1306&lt;&gt;"",I1306&gt;='Exec Summary'!$E$1,I1306&lt;='Exec Summary'!$E$2),1,0)</f>
        <v>0</v>
      </c>
      <c r="U1306" s="7" t="n">
        <f aca="false">IF(F1306="Reopened",1,0)</f>
        <v>0</v>
      </c>
      <c r="V1306" s="7" t="n">
        <f aca="false">IF(AND(R1306=1,O1306&gt;Q1306),1,0)</f>
        <v>0</v>
      </c>
      <c r="W1306" s="7" t="n">
        <f aca="false">IF(AND(T1306=1,P1306&lt;&gt;"",P1306&lt;=Q1306),1,0)</f>
        <v>0</v>
      </c>
    </row>
    <row r="1307" customFormat="false" ht="15" hidden="false" customHeight="false" outlineLevel="0" collapsed="false">
      <c r="A1307" s="7" t="s">
        <v>1602</v>
      </c>
      <c r="B1307" s="7" t="s">
        <v>46</v>
      </c>
      <c r="C1307" s="7" t="s">
        <v>47</v>
      </c>
      <c r="D1307" s="7" t="s">
        <v>120</v>
      </c>
      <c r="E1307" s="7" t="s">
        <v>121</v>
      </c>
      <c r="F1307" s="7" t="s">
        <v>56</v>
      </c>
      <c r="G1307" s="7" t="s">
        <v>19</v>
      </c>
      <c r="H1307" s="9" t="n">
        <v>46219</v>
      </c>
      <c r="I1307" s="9"/>
      <c r="J1307" s="7" t="n">
        <v>8.8</v>
      </c>
      <c r="K1307" s="7" t="s">
        <v>1392</v>
      </c>
      <c r="L1307" s="7" t="s">
        <v>21</v>
      </c>
      <c r="M1307" s="7" t="s">
        <v>1607</v>
      </c>
      <c r="N1307" s="7" t="s">
        <v>58</v>
      </c>
      <c r="O1307" s="10" t="n">
        <f aca="false">'Exec Summary'!$E$2-H1307</f>
        <v>15</v>
      </c>
      <c r="P1307" s="10" t="str">
        <f aca="false">IF(I1307="","",I1307-H1307)</f>
        <v/>
      </c>
      <c r="Q1307" s="10" t="n">
        <f aca="false">VLOOKUP(G1307,$AA$2:$AB$5,2,FALSE())</f>
        <v>15</v>
      </c>
      <c r="R1307" s="7" t="n">
        <f aca="false">IF(OR(F1307="Open",F1307="Reopened"),1,0)</f>
        <v>1</v>
      </c>
      <c r="S1307" s="7" t="n">
        <f aca="false">IF(AND(H1307&gt;='Exec Summary'!$E$1,H1307&lt;='Exec Summary'!$E$2),1,0)</f>
        <v>1</v>
      </c>
      <c r="T1307" s="7" t="n">
        <f aca="false">IF(AND(F1307="Closed",I1307&lt;&gt;"",I1307&gt;='Exec Summary'!$E$1,I1307&lt;='Exec Summary'!$E$2),1,0)</f>
        <v>0</v>
      </c>
      <c r="U1307" s="7" t="n">
        <f aca="false">IF(F1307="Reopened",1,0)</f>
        <v>0</v>
      </c>
      <c r="V1307" s="7" t="n">
        <f aca="false">IF(AND(R1307=1,O1307&gt;Q1307),1,0)</f>
        <v>0</v>
      </c>
      <c r="W1307" s="7" t="n">
        <f aca="false">IF(AND(T1307=1,P1307&lt;&gt;"",P1307&lt;=Q1307),1,0)</f>
        <v>0</v>
      </c>
    </row>
    <row r="1308" customFormat="false" ht="15" hidden="false" customHeight="false" outlineLevel="0" collapsed="false">
      <c r="A1308" s="7" t="s">
        <v>1602</v>
      </c>
      <c r="B1308" s="7" t="s">
        <v>46</v>
      </c>
      <c r="C1308" s="7" t="s">
        <v>47</v>
      </c>
      <c r="D1308" s="7" t="s">
        <v>131</v>
      </c>
      <c r="E1308" s="7" t="s">
        <v>132</v>
      </c>
      <c r="F1308" s="7" t="s">
        <v>50</v>
      </c>
      <c r="G1308" s="7" t="s">
        <v>19</v>
      </c>
      <c r="H1308" s="9" t="n">
        <v>46147</v>
      </c>
      <c r="I1308" s="9" t="n">
        <v>46153</v>
      </c>
      <c r="J1308" s="7" t="n">
        <v>9.8</v>
      </c>
      <c r="K1308" s="7" t="s">
        <v>1392</v>
      </c>
      <c r="L1308" s="7" t="s">
        <v>21</v>
      </c>
      <c r="M1308" s="7" t="s">
        <v>1608</v>
      </c>
      <c r="N1308" s="7" t="s">
        <v>58</v>
      </c>
      <c r="O1308" s="10" t="n">
        <f aca="false">'Exec Summary'!$E$2-H1308</f>
        <v>87</v>
      </c>
      <c r="P1308" s="10" t="n">
        <f aca="false">IF(I1308="","",I1308-H1308)</f>
        <v>6</v>
      </c>
      <c r="Q1308" s="10" t="n">
        <f aca="false">VLOOKUP(G1308,$AA$2:$AB$5,2,FALSE())</f>
        <v>15</v>
      </c>
      <c r="R1308" s="7" t="n">
        <f aca="false">IF(OR(F1308="Open",F1308="Reopened"),1,0)</f>
        <v>0</v>
      </c>
      <c r="S1308" s="7" t="n">
        <f aca="false">IF(AND(H1308&gt;='Exec Summary'!$E$1,H1308&lt;='Exec Summary'!$E$2),1,0)</f>
        <v>0</v>
      </c>
      <c r="T1308" s="7" t="n">
        <f aca="false">IF(AND(F1308="Closed",I1308&lt;&gt;"",I1308&gt;='Exec Summary'!$E$1,I1308&lt;='Exec Summary'!$E$2),1,0)</f>
        <v>0</v>
      </c>
      <c r="U1308" s="7" t="n">
        <f aca="false">IF(F1308="Reopened",1,0)</f>
        <v>0</v>
      </c>
      <c r="V1308" s="7" t="n">
        <f aca="false">IF(AND(R1308=1,O1308&gt;Q1308),1,0)</f>
        <v>0</v>
      </c>
      <c r="W1308" s="7" t="n">
        <f aca="false">IF(AND(T1308=1,P1308&lt;&gt;"",P1308&lt;=Q1308),1,0)</f>
        <v>0</v>
      </c>
    </row>
    <row r="1309" customFormat="false" ht="15" hidden="false" customHeight="false" outlineLevel="0" collapsed="false">
      <c r="A1309" s="7" t="s">
        <v>1602</v>
      </c>
      <c r="B1309" s="7" t="s">
        <v>46</v>
      </c>
      <c r="C1309" s="7" t="s">
        <v>47</v>
      </c>
      <c r="D1309" s="7" t="s">
        <v>87</v>
      </c>
      <c r="E1309" s="7" t="s">
        <v>88</v>
      </c>
      <c r="F1309" s="7" t="s">
        <v>50</v>
      </c>
      <c r="G1309" s="7" t="s">
        <v>19</v>
      </c>
      <c r="H1309" s="9" t="n">
        <v>46209</v>
      </c>
      <c r="I1309" s="9" t="n">
        <v>46230</v>
      </c>
      <c r="J1309" s="7" t="n">
        <v>10</v>
      </c>
      <c r="K1309" s="7" t="s">
        <v>1392</v>
      </c>
      <c r="L1309" s="7" t="s">
        <v>21</v>
      </c>
      <c r="M1309" s="7" t="s">
        <v>1609</v>
      </c>
      <c r="N1309" s="7" t="s">
        <v>58</v>
      </c>
      <c r="O1309" s="10" t="n">
        <f aca="false">'Exec Summary'!$E$2-H1309</f>
        <v>25</v>
      </c>
      <c r="P1309" s="10" t="n">
        <f aca="false">IF(I1309="","",I1309-H1309)</f>
        <v>21</v>
      </c>
      <c r="Q1309" s="10" t="n">
        <f aca="false">VLOOKUP(G1309,$AA$2:$AB$5,2,FALSE())</f>
        <v>15</v>
      </c>
      <c r="R1309" s="7" t="n">
        <f aca="false">IF(OR(F1309="Open",F1309="Reopened"),1,0)</f>
        <v>0</v>
      </c>
      <c r="S1309" s="7" t="n">
        <f aca="false">IF(AND(H1309&gt;='Exec Summary'!$E$1,H1309&lt;='Exec Summary'!$E$2),1,0)</f>
        <v>1</v>
      </c>
      <c r="T1309" s="7" t="n">
        <f aca="false">IF(AND(F1309="Closed",I1309&lt;&gt;"",I1309&gt;='Exec Summary'!$E$1,I1309&lt;='Exec Summary'!$E$2),1,0)</f>
        <v>1</v>
      </c>
      <c r="U1309" s="7" t="n">
        <f aca="false">IF(F1309="Reopened",1,0)</f>
        <v>0</v>
      </c>
      <c r="V1309" s="7" t="n">
        <f aca="false">IF(AND(R1309=1,O1309&gt;Q1309),1,0)</f>
        <v>0</v>
      </c>
      <c r="W1309" s="7" t="n">
        <f aca="false">IF(AND(T1309=1,P1309&lt;&gt;"",P1309&lt;=Q1309),1,0)</f>
        <v>0</v>
      </c>
    </row>
    <row r="1310" customFormat="false" ht="15" hidden="false" customHeight="false" outlineLevel="0" collapsed="false">
      <c r="A1310" s="7" t="s">
        <v>1602</v>
      </c>
      <c r="B1310" s="7" t="s">
        <v>46</v>
      </c>
      <c r="C1310" s="7" t="s">
        <v>47</v>
      </c>
      <c r="D1310" s="7" t="s">
        <v>84</v>
      </c>
      <c r="E1310" s="7" t="s">
        <v>85</v>
      </c>
      <c r="F1310" s="7" t="s">
        <v>50</v>
      </c>
      <c r="G1310" s="7" t="s">
        <v>20</v>
      </c>
      <c r="H1310" s="9" t="n">
        <v>46004</v>
      </c>
      <c r="I1310" s="9" t="n">
        <v>46020</v>
      </c>
      <c r="J1310" s="7" t="n">
        <v>7.5</v>
      </c>
      <c r="K1310" s="7" t="s">
        <v>1392</v>
      </c>
      <c r="L1310" s="7" t="s">
        <v>21</v>
      </c>
      <c r="M1310" s="7" t="s">
        <v>1610</v>
      </c>
      <c r="N1310" s="7" t="s">
        <v>53</v>
      </c>
      <c r="O1310" s="10" t="n">
        <f aca="false">'Exec Summary'!$E$2-H1310</f>
        <v>230</v>
      </c>
      <c r="P1310" s="10" t="n">
        <f aca="false">IF(I1310="","",I1310-H1310)</f>
        <v>16</v>
      </c>
      <c r="Q1310" s="10" t="n">
        <f aca="false">VLOOKUP(G1310,$AA$2:$AB$5,2,FALSE())</f>
        <v>30</v>
      </c>
      <c r="R1310" s="7" t="n">
        <f aca="false">IF(OR(F1310="Open",F1310="Reopened"),1,0)</f>
        <v>0</v>
      </c>
      <c r="S1310" s="7" t="n">
        <f aca="false">IF(AND(H1310&gt;='Exec Summary'!$E$1,H1310&lt;='Exec Summary'!$E$2),1,0)</f>
        <v>0</v>
      </c>
      <c r="T1310" s="7" t="n">
        <f aca="false">IF(AND(F1310="Closed",I1310&lt;&gt;"",I1310&gt;='Exec Summary'!$E$1,I1310&lt;='Exec Summary'!$E$2),1,0)</f>
        <v>0</v>
      </c>
      <c r="U1310" s="7" t="n">
        <f aca="false">IF(F1310="Reopened",1,0)</f>
        <v>0</v>
      </c>
      <c r="V1310" s="7" t="n">
        <f aca="false">IF(AND(R1310=1,O1310&gt;Q1310),1,0)</f>
        <v>0</v>
      </c>
      <c r="W1310" s="7" t="n">
        <f aca="false">IF(AND(T1310=1,P1310&lt;&gt;"",P1310&lt;=Q1310),1,0)</f>
        <v>0</v>
      </c>
    </row>
    <row r="1311" customFormat="false" ht="15" hidden="false" customHeight="false" outlineLevel="0" collapsed="false">
      <c r="A1311" s="7" t="s">
        <v>1602</v>
      </c>
      <c r="B1311" s="7" t="s">
        <v>46</v>
      </c>
      <c r="C1311" s="7" t="s">
        <v>47</v>
      </c>
      <c r="D1311" s="7" t="s">
        <v>192</v>
      </c>
      <c r="E1311" s="7" t="s">
        <v>193</v>
      </c>
      <c r="F1311" s="7" t="s">
        <v>56</v>
      </c>
      <c r="G1311" s="7" t="s">
        <v>19</v>
      </c>
      <c r="H1311" s="9" t="n">
        <v>46211</v>
      </c>
      <c r="I1311" s="9"/>
      <c r="J1311" s="7" t="n">
        <v>9.8</v>
      </c>
      <c r="K1311" s="7" t="s">
        <v>1392</v>
      </c>
      <c r="L1311" s="7" t="s">
        <v>21</v>
      </c>
      <c r="M1311" s="7" t="s">
        <v>1611</v>
      </c>
      <c r="N1311" s="7" t="s">
        <v>58</v>
      </c>
      <c r="O1311" s="10" t="n">
        <f aca="false">'Exec Summary'!$E$2-H1311</f>
        <v>23</v>
      </c>
      <c r="P1311" s="10" t="str">
        <f aca="false">IF(I1311="","",I1311-H1311)</f>
        <v/>
      </c>
      <c r="Q1311" s="10" t="n">
        <f aca="false">VLOOKUP(G1311,$AA$2:$AB$5,2,FALSE())</f>
        <v>15</v>
      </c>
      <c r="R1311" s="7" t="n">
        <f aca="false">IF(OR(F1311="Open",F1311="Reopened"),1,0)</f>
        <v>1</v>
      </c>
      <c r="S1311" s="7" t="n">
        <f aca="false">IF(AND(H1311&gt;='Exec Summary'!$E$1,H1311&lt;='Exec Summary'!$E$2),1,0)</f>
        <v>1</v>
      </c>
      <c r="T1311" s="7" t="n">
        <f aca="false">IF(AND(F1311="Closed",I1311&lt;&gt;"",I1311&gt;='Exec Summary'!$E$1,I1311&lt;='Exec Summary'!$E$2),1,0)</f>
        <v>0</v>
      </c>
      <c r="U1311" s="7" t="n">
        <f aca="false">IF(F1311="Reopened",1,0)</f>
        <v>0</v>
      </c>
      <c r="V1311" s="7" t="n">
        <f aca="false">IF(AND(R1311=1,O1311&gt;Q1311),1,0)</f>
        <v>1</v>
      </c>
      <c r="W1311" s="7" t="n">
        <f aca="false">IF(AND(T1311=1,P1311&lt;&gt;"",P1311&lt;=Q1311),1,0)</f>
        <v>0</v>
      </c>
    </row>
    <row r="1312" customFormat="false" ht="15" hidden="false" customHeight="false" outlineLevel="0" collapsed="false">
      <c r="A1312" s="7" t="s">
        <v>1602</v>
      </c>
      <c r="B1312" s="7" t="s">
        <v>46</v>
      </c>
      <c r="C1312" s="7" t="s">
        <v>47</v>
      </c>
      <c r="D1312" s="7" t="s">
        <v>166</v>
      </c>
      <c r="E1312" s="7" t="s">
        <v>167</v>
      </c>
      <c r="F1312" s="7" t="s">
        <v>56</v>
      </c>
      <c r="G1312" s="7" t="s">
        <v>19</v>
      </c>
      <c r="H1312" s="9" t="n">
        <v>46120</v>
      </c>
      <c r="I1312" s="9"/>
      <c r="J1312" s="7" t="n">
        <v>9.8</v>
      </c>
      <c r="K1312" s="7" t="s">
        <v>1392</v>
      </c>
      <c r="L1312" s="7" t="s">
        <v>21</v>
      </c>
      <c r="M1312" s="7" t="s">
        <v>1612</v>
      </c>
      <c r="N1312" s="7" t="s">
        <v>58</v>
      </c>
      <c r="O1312" s="10" t="n">
        <f aca="false">'Exec Summary'!$E$2-H1312</f>
        <v>114</v>
      </c>
      <c r="P1312" s="10" t="str">
        <f aca="false">IF(I1312="","",I1312-H1312)</f>
        <v/>
      </c>
      <c r="Q1312" s="10" t="n">
        <f aca="false">VLOOKUP(G1312,$AA$2:$AB$5,2,FALSE())</f>
        <v>15</v>
      </c>
      <c r="R1312" s="7" t="n">
        <f aca="false">IF(OR(F1312="Open",F1312="Reopened"),1,0)</f>
        <v>1</v>
      </c>
      <c r="S1312" s="7" t="n">
        <f aca="false">IF(AND(H1312&gt;='Exec Summary'!$E$1,H1312&lt;='Exec Summary'!$E$2),1,0)</f>
        <v>0</v>
      </c>
      <c r="T1312" s="7" t="n">
        <f aca="false">IF(AND(F1312="Closed",I1312&lt;&gt;"",I1312&gt;='Exec Summary'!$E$1,I1312&lt;='Exec Summary'!$E$2),1,0)</f>
        <v>0</v>
      </c>
      <c r="U1312" s="7" t="n">
        <f aca="false">IF(F1312="Reopened",1,0)</f>
        <v>0</v>
      </c>
      <c r="V1312" s="7" t="n">
        <f aca="false">IF(AND(R1312=1,O1312&gt;Q1312),1,0)</f>
        <v>1</v>
      </c>
      <c r="W1312" s="7" t="n">
        <f aca="false">IF(AND(T1312=1,P1312&lt;&gt;"",P1312&lt;=Q1312),1,0)</f>
        <v>0</v>
      </c>
    </row>
    <row r="1313" customFormat="false" ht="15" hidden="false" customHeight="false" outlineLevel="0" collapsed="false">
      <c r="A1313" s="7" t="s">
        <v>1602</v>
      </c>
      <c r="B1313" s="7" t="s">
        <v>46</v>
      </c>
      <c r="C1313" s="7" t="s">
        <v>47</v>
      </c>
      <c r="D1313" s="7" t="s">
        <v>48</v>
      </c>
      <c r="E1313" s="7" t="s">
        <v>49</v>
      </c>
      <c r="F1313" s="7" t="s">
        <v>50</v>
      </c>
      <c r="G1313" s="7" t="s">
        <v>20</v>
      </c>
      <c r="H1313" s="9" t="n">
        <v>46081</v>
      </c>
      <c r="I1313" s="9" t="n">
        <v>46113</v>
      </c>
      <c r="J1313" s="7" t="n">
        <v>7.5</v>
      </c>
      <c r="K1313" s="7" t="s">
        <v>1392</v>
      </c>
      <c r="L1313" s="7" t="s">
        <v>21</v>
      </c>
      <c r="M1313" s="7" t="s">
        <v>1613</v>
      </c>
      <c r="N1313" s="7" t="s">
        <v>53</v>
      </c>
      <c r="O1313" s="10" t="n">
        <f aca="false">'Exec Summary'!$E$2-H1313</f>
        <v>153</v>
      </c>
      <c r="P1313" s="10" t="n">
        <f aca="false">IF(I1313="","",I1313-H1313)</f>
        <v>32</v>
      </c>
      <c r="Q1313" s="10" t="n">
        <f aca="false">VLOOKUP(G1313,$AA$2:$AB$5,2,FALSE())</f>
        <v>30</v>
      </c>
      <c r="R1313" s="7" t="n">
        <f aca="false">IF(OR(F1313="Open",F1313="Reopened"),1,0)</f>
        <v>0</v>
      </c>
      <c r="S1313" s="7" t="n">
        <f aca="false">IF(AND(H1313&gt;='Exec Summary'!$E$1,H1313&lt;='Exec Summary'!$E$2),1,0)</f>
        <v>0</v>
      </c>
      <c r="T1313" s="7" t="n">
        <f aca="false">IF(AND(F1313="Closed",I1313&lt;&gt;"",I1313&gt;='Exec Summary'!$E$1,I1313&lt;='Exec Summary'!$E$2),1,0)</f>
        <v>0</v>
      </c>
      <c r="U1313" s="7" t="n">
        <f aca="false">IF(F1313="Reopened",1,0)</f>
        <v>0</v>
      </c>
      <c r="V1313" s="7" t="n">
        <f aca="false">IF(AND(R1313=1,O1313&gt;Q1313),1,0)</f>
        <v>0</v>
      </c>
      <c r="W1313" s="7" t="n">
        <f aca="false">IF(AND(T1313=1,P1313&lt;&gt;"",P1313&lt;=Q1313),1,0)</f>
        <v>0</v>
      </c>
    </row>
    <row r="1314" customFormat="false" ht="15" hidden="false" customHeight="false" outlineLevel="0" collapsed="false">
      <c r="A1314" s="7" t="s">
        <v>1602</v>
      </c>
      <c r="B1314" s="7" t="s">
        <v>46</v>
      </c>
      <c r="C1314" s="7" t="s">
        <v>47</v>
      </c>
      <c r="D1314" s="7" t="s">
        <v>112</v>
      </c>
      <c r="E1314" s="7" t="s">
        <v>113</v>
      </c>
      <c r="F1314" s="7" t="s">
        <v>56</v>
      </c>
      <c r="G1314" s="7" t="s">
        <v>20</v>
      </c>
      <c r="H1314" s="9" t="n">
        <v>45976</v>
      </c>
      <c r="I1314" s="9"/>
      <c r="J1314" s="7" t="n">
        <v>7.8</v>
      </c>
      <c r="K1314" s="7" t="s">
        <v>1392</v>
      </c>
      <c r="L1314" s="7" t="s">
        <v>21</v>
      </c>
      <c r="M1314" s="7" t="s">
        <v>1614</v>
      </c>
      <c r="N1314" s="7" t="s">
        <v>53</v>
      </c>
      <c r="O1314" s="10" t="n">
        <f aca="false">'Exec Summary'!$E$2-H1314</f>
        <v>258</v>
      </c>
      <c r="P1314" s="10" t="str">
        <f aca="false">IF(I1314="","",I1314-H1314)</f>
        <v/>
      </c>
      <c r="Q1314" s="10" t="n">
        <f aca="false">VLOOKUP(G1314,$AA$2:$AB$5,2,FALSE())</f>
        <v>30</v>
      </c>
      <c r="R1314" s="7" t="n">
        <f aca="false">IF(OR(F1314="Open",F1314="Reopened"),1,0)</f>
        <v>1</v>
      </c>
      <c r="S1314" s="7" t="n">
        <f aca="false">IF(AND(H1314&gt;='Exec Summary'!$E$1,H1314&lt;='Exec Summary'!$E$2),1,0)</f>
        <v>0</v>
      </c>
      <c r="T1314" s="7" t="n">
        <f aca="false">IF(AND(F1314="Closed",I1314&lt;&gt;"",I1314&gt;='Exec Summary'!$E$1,I1314&lt;='Exec Summary'!$E$2),1,0)</f>
        <v>0</v>
      </c>
      <c r="U1314" s="7" t="n">
        <f aca="false">IF(F1314="Reopened",1,0)</f>
        <v>0</v>
      </c>
      <c r="V1314" s="7" t="n">
        <f aca="false">IF(AND(R1314=1,O1314&gt;Q1314),1,0)</f>
        <v>1</v>
      </c>
      <c r="W1314" s="7" t="n">
        <f aca="false">IF(AND(T1314=1,P1314&lt;&gt;"",P1314&lt;=Q1314),1,0)</f>
        <v>0</v>
      </c>
    </row>
    <row r="1315" customFormat="false" ht="15" hidden="false" customHeight="false" outlineLevel="0" collapsed="false">
      <c r="A1315" s="7" t="s">
        <v>1602</v>
      </c>
      <c r="B1315" s="7" t="s">
        <v>46</v>
      </c>
      <c r="C1315" s="7" t="s">
        <v>47</v>
      </c>
      <c r="D1315" s="7" t="s">
        <v>145</v>
      </c>
      <c r="E1315" s="7" t="s">
        <v>146</v>
      </c>
      <c r="F1315" s="7" t="s">
        <v>123</v>
      </c>
      <c r="G1315" s="7" t="s">
        <v>19</v>
      </c>
      <c r="H1315" s="9" t="n">
        <v>46104</v>
      </c>
      <c r="I1315" s="9" t="n">
        <v>46115</v>
      </c>
      <c r="J1315" s="7" t="n">
        <v>9.8</v>
      </c>
      <c r="K1315" s="7" t="s">
        <v>1392</v>
      </c>
      <c r="L1315" s="7" t="s">
        <v>21</v>
      </c>
      <c r="M1315" s="7" t="s">
        <v>1615</v>
      </c>
      <c r="N1315" s="7" t="s">
        <v>58</v>
      </c>
      <c r="O1315" s="10" t="n">
        <f aca="false">'Exec Summary'!$E$2-H1315</f>
        <v>130</v>
      </c>
      <c r="P1315" s="10" t="n">
        <f aca="false">IF(I1315="","",I1315-H1315)</f>
        <v>11</v>
      </c>
      <c r="Q1315" s="10" t="n">
        <f aca="false">VLOOKUP(G1315,$AA$2:$AB$5,2,FALSE())</f>
        <v>15</v>
      </c>
      <c r="R1315" s="7" t="n">
        <f aca="false">IF(OR(F1315="Open",F1315="Reopened"),1,0)</f>
        <v>1</v>
      </c>
      <c r="S1315" s="7" t="n">
        <f aca="false">IF(AND(H1315&gt;='Exec Summary'!$E$1,H1315&lt;='Exec Summary'!$E$2),1,0)</f>
        <v>0</v>
      </c>
      <c r="T1315" s="7" t="n">
        <f aca="false">IF(AND(F1315="Closed",I1315&lt;&gt;"",I1315&gt;='Exec Summary'!$E$1,I1315&lt;='Exec Summary'!$E$2),1,0)</f>
        <v>0</v>
      </c>
      <c r="U1315" s="7" t="n">
        <f aca="false">IF(F1315="Reopened",1,0)</f>
        <v>1</v>
      </c>
      <c r="V1315" s="7" t="n">
        <f aca="false">IF(AND(R1315=1,O1315&gt;Q1315),1,0)</f>
        <v>1</v>
      </c>
      <c r="W1315" s="7" t="n">
        <f aca="false">IF(AND(T1315=1,P1315&lt;&gt;"",P1315&lt;=Q1315),1,0)</f>
        <v>0</v>
      </c>
    </row>
    <row r="1316" customFormat="false" ht="15" hidden="false" customHeight="false" outlineLevel="0" collapsed="false">
      <c r="A1316" s="7" t="s">
        <v>1602</v>
      </c>
      <c r="B1316" s="7" t="s">
        <v>46</v>
      </c>
      <c r="C1316" s="7" t="s">
        <v>47</v>
      </c>
      <c r="D1316" s="7" t="s">
        <v>108</v>
      </c>
      <c r="E1316" s="7" t="s">
        <v>109</v>
      </c>
      <c r="F1316" s="7" t="s">
        <v>50</v>
      </c>
      <c r="G1316" s="7" t="s">
        <v>20</v>
      </c>
      <c r="H1316" s="9" t="n">
        <v>46091</v>
      </c>
      <c r="I1316" s="9" t="n">
        <v>46112</v>
      </c>
      <c r="J1316" s="7" t="n">
        <v>8.6</v>
      </c>
      <c r="K1316" s="7" t="s">
        <v>1392</v>
      </c>
      <c r="L1316" s="7" t="s">
        <v>21</v>
      </c>
      <c r="M1316" s="7" t="s">
        <v>1616</v>
      </c>
      <c r="N1316" s="7" t="s">
        <v>53</v>
      </c>
      <c r="O1316" s="10" t="n">
        <f aca="false">'Exec Summary'!$E$2-H1316</f>
        <v>143</v>
      </c>
      <c r="P1316" s="10" t="n">
        <f aca="false">IF(I1316="","",I1316-H1316)</f>
        <v>21</v>
      </c>
      <c r="Q1316" s="10" t="n">
        <f aca="false">VLOOKUP(G1316,$AA$2:$AB$5,2,FALSE())</f>
        <v>30</v>
      </c>
      <c r="R1316" s="7" t="n">
        <f aca="false">IF(OR(F1316="Open",F1316="Reopened"),1,0)</f>
        <v>0</v>
      </c>
      <c r="S1316" s="7" t="n">
        <f aca="false">IF(AND(H1316&gt;='Exec Summary'!$E$1,H1316&lt;='Exec Summary'!$E$2),1,0)</f>
        <v>0</v>
      </c>
      <c r="T1316" s="7" t="n">
        <f aca="false">IF(AND(F1316="Closed",I1316&lt;&gt;"",I1316&gt;='Exec Summary'!$E$1,I1316&lt;='Exec Summary'!$E$2),1,0)</f>
        <v>0</v>
      </c>
      <c r="U1316" s="7" t="n">
        <f aca="false">IF(F1316="Reopened",1,0)</f>
        <v>0</v>
      </c>
      <c r="V1316" s="7" t="n">
        <f aca="false">IF(AND(R1316=1,O1316&gt;Q1316),1,0)</f>
        <v>0</v>
      </c>
      <c r="W1316" s="7" t="n">
        <f aca="false">IF(AND(T1316=1,P1316&lt;&gt;"",P1316&lt;=Q1316),1,0)</f>
        <v>0</v>
      </c>
    </row>
    <row r="1317" customFormat="false" ht="15" hidden="false" customHeight="false" outlineLevel="0" collapsed="false">
      <c r="A1317" s="7" t="s">
        <v>1617</v>
      </c>
      <c r="B1317" s="7" t="s">
        <v>46</v>
      </c>
      <c r="C1317" s="7" t="s">
        <v>128</v>
      </c>
      <c r="D1317" s="7" t="s">
        <v>81</v>
      </c>
      <c r="E1317" s="7" t="s">
        <v>82</v>
      </c>
      <c r="F1317" s="7" t="s">
        <v>50</v>
      </c>
      <c r="G1317" s="7" t="s">
        <v>20</v>
      </c>
      <c r="H1317" s="9" t="n">
        <v>46108</v>
      </c>
      <c r="I1317" s="9" t="n">
        <v>46111</v>
      </c>
      <c r="J1317" s="7" t="n">
        <v>7.8</v>
      </c>
      <c r="K1317" s="7" t="s">
        <v>1392</v>
      </c>
      <c r="L1317" s="7" t="s">
        <v>21</v>
      </c>
      <c r="M1317" s="7" t="s">
        <v>1618</v>
      </c>
      <c r="N1317" s="7" t="s">
        <v>53</v>
      </c>
      <c r="O1317" s="10" t="n">
        <f aca="false">'Exec Summary'!$E$2-H1317</f>
        <v>126</v>
      </c>
      <c r="P1317" s="10" t="n">
        <f aca="false">IF(I1317="","",I1317-H1317)</f>
        <v>3</v>
      </c>
      <c r="Q1317" s="10" t="n">
        <f aca="false">VLOOKUP(G1317,$AA$2:$AB$5,2,FALSE())</f>
        <v>30</v>
      </c>
      <c r="R1317" s="7" t="n">
        <f aca="false">IF(OR(F1317="Open",F1317="Reopened"),1,0)</f>
        <v>0</v>
      </c>
      <c r="S1317" s="7" t="n">
        <f aca="false">IF(AND(H1317&gt;='Exec Summary'!$E$1,H1317&lt;='Exec Summary'!$E$2),1,0)</f>
        <v>0</v>
      </c>
      <c r="T1317" s="7" t="n">
        <f aca="false">IF(AND(F1317="Closed",I1317&lt;&gt;"",I1317&gt;='Exec Summary'!$E$1,I1317&lt;='Exec Summary'!$E$2),1,0)</f>
        <v>0</v>
      </c>
      <c r="U1317" s="7" t="n">
        <f aca="false">IF(F1317="Reopened",1,0)</f>
        <v>0</v>
      </c>
      <c r="V1317" s="7" t="n">
        <f aca="false">IF(AND(R1317=1,O1317&gt;Q1317),1,0)</f>
        <v>0</v>
      </c>
      <c r="W1317" s="7" t="n">
        <f aca="false">IF(AND(T1317=1,P1317&lt;&gt;"",P1317&lt;=Q1317),1,0)</f>
        <v>0</v>
      </c>
    </row>
    <row r="1318" customFormat="false" ht="15" hidden="false" customHeight="false" outlineLevel="0" collapsed="false">
      <c r="A1318" s="7" t="s">
        <v>1617</v>
      </c>
      <c r="B1318" s="7" t="s">
        <v>46</v>
      </c>
      <c r="C1318" s="7" t="s">
        <v>128</v>
      </c>
      <c r="D1318" s="7" t="s">
        <v>163</v>
      </c>
      <c r="E1318" s="7" t="s">
        <v>164</v>
      </c>
      <c r="F1318" s="7" t="s">
        <v>50</v>
      </c>
      <c r="G1318" s="7" t="s">
        <v>19</v>
      </c>
      <c r="H1318" s="9" t="n">
        <v>45985</v>
      </c>
      <c r="I1318" s="9" t="n">
        <v>45994</v>
      </c>
      <c r="J1318" s="7" t="n">
        <v>9.1</v>
      </c>
      <c r="K1318" s="7" t="s">
        <v>1392</v>
      </c>
      <c r="L1318" s="7" t="s">
        <v>21</v>
      </c>
      <c r="M1318" s="7" t="s">
        <v>1619</v>
      </c>
      <c r="N1318" s="7" t="s">
        <v>58</v>
      </c>
      <c r="O1318" s="10" t="n">
        <f aca="false">'Exec Summary'!$E$2-H1318</f>
        <v>249</v>
      </c>
      <c r="P1318" s="10" t="n">
        <f aca="false">IF(I1318="","",I1318-H1318)</f>
        <v>9</v>
      </c>
      <c r="Q1318" s="10" t="n">
        <f aca="false">VLOOKUP(G1318,$AA$2:$AB$5,2,FALSE())</f>
        <v>15</v>
      </c>
      <c r="R1318" s="7" t="n">
        <f aca="false">IF(OR(F1318="Open",F1318="Reopened"),1,0)</f>
        <v>0</v>
      </c>
      <c r="S1318" s="7" t="n">
        <f aca="false">IF(AND(H1318&gt;='Exec Summary'!$E$1,H1318&lt;='Exec Summary'!$E$2),1,0)</f>
        <v>0</v>
      </c>
      <c r="T1318" s="7" t="n">
        <f aca="false">IF(AND(F1318="Closed",I1318&lt;&gt;"",I1318&gt;='Exec Summary'!$E$1,I1318&lt;='Exec Summary'!$E$2),1,0)</f>
        <v>0</v>
      </c>
      <c r="U1318" s="7" t="n">
        <f aca="false">IF(F1318="Reopened",1,0)</f>
        <v>0</v>
      </c>
      <c r="V1318" s="7" t="n">
        <f aca="false">IF(AND(R1318=1,O1318&gt;Q1318),1,0)</f>
        <v>0</v>
      </c>
      <c r="W1318" s="7" t="n">
        <f aca="false">IF(AND(T1318=1,P1318&lt;&gt;"",P1318&lt;=Q1318),1,0)</f>
        <v>0</v>
      </c>
    </row>
    <row r="1319" customFormat="false" ht="15" hidden="false" customHeight="false" outlineLevel="0" collapsed="false">
      <c r="A1319" s="7" t="s">
        <v>1617</v>
      </c>
      <c r="B1319" s="7" t="s">
        <v>46</v>
      </c>
      <c r="C1319" s="7" t="s">
        <v>128</v>
      </c>
      <c r="D1319" s="7" t="s">
        <v>84</v>
      </c>
      <c r="E1319" s="7" t="s">
        <v>85</v>
      </c>
      <c r="F1319" s="7" t="s">
        <v>56</v>
      </c>
      <c r="G1319" s="7" t="s">
        <v>20</v>
      </c>
      <c r="H1319" s="9" t="n">
        <v>46202</v>
      </c>
      <c r="I1319" s="9"/>
      <c r="J1319" s="7" t="n">
        <v>7.5</v>
      </c>
      <c r="K1319" s="7" t="s">
        <v>1392</v>
      </c>
      <c r="L1319" s="7" t="s">
        <v>21</v>
      </c>
      <c r="M1319" s="7" t="s">
        <v>1620</v>
      </c>
      <c r="N1319" s="7" t="s">
        <v>53</v>
      </c>
      <c r="O1319" s="10" t="n">
        <f aca="false">'Exec Summary'!$E$2-H1319</f>
        <v>32</v>
      </c>
      <c r="P1319" s="10" t="str">
        <f aca="false">IF(I1319="","",I1319-H1319)</f>
        <v/>
      </c>
      <c r="Q1319" s="10" t="n">
        <f aca="false">VLOOKUP(G1319,$AA$2:$AB$5,2,FALSE())</f>
        <v>30</v>
      </c>
      <c r="R1319" s="7" t="n">
        <f aca="false">IF(OR(F1319="Open",F1319="Reopened"),1,0)</f>
        <v>1</v>
      </c>
      <c r="S1319" s="7" t="n">
        <f aca="false">IF(AND(H1319&gt;='Exec Summary'!$E$1,H1319&lt;='Exec Summary'!$E$2),1,0)</f>
        <v>0</v>
      </c>
      <c r="T1319" s="7" t="n">
        <f aca="false">IF(AND(F1319="Closed",I1319&lt;&gt;"",I1319&gt;='Exec Summary'!$E$1,I1319&lt;='Exec Summary'!$E$2),1,0)</f>
        <v>0</v>
      </c>
      <c r="U1319" s="7" t="n">
        <f aca="false">IF(F1319="Reopened",1,0)</f>
        <v>0</v>
      </c>
      <c r="V1319" s="7" t="n">
        <f aca="false">IF(AND(R1319=1,O1319&gt;Q1319),1,0)</f>
        <v>1</v>
      </c>
      <c r="W1319" s="7" t="n">
        <f aca="false">IF(AND(T1319=1,P1319&lt;&gt;"",P1319&lt;=Q1319),1,0)</f>
        <v>0</v>
      </c>
    </row>
    <row r="1320" customFormat="false" ht="15" hidden="false" customHeight="false" outlineLevel="0" collapsed="false">
      <c r="A1320" s="7" t="s">
        <v>1617</v>
      </c>
      <c r="B1320" s="7" t="s">
        <v>46</v>
      </c>
      <c r="C1320" s="7" t="s">
        <v>128</v>
      </c>
      <c r="D1320" s="7" t="s">
        <v>98</v>
      </c>
      <c r="E1320" s="7" t="s">
        <v>99</v>
      </c>
      <c r="F1320" s="7" t="s">
        <v>50</v>
      </c>
      <c r="G1320" s="7" t="s">
        <v>19</v>
      </c>
      <c r="H1320" s="9" t="n">
        <v>46185</v>
      </c>
      <c r="I1320" s="9" t="n">
        <v>46206</v>
      </c>
      <c r="J1320" s="7" t="n">
        <v>10</v>
      </c>
      <c r="K1320" s="7" t="s">
        <v>1392</v>
      </c>
      <c r="L1320" s="7" t="s">
        <v>21</v>
      </c>
      <c r="M1320" s="7" t="s">
        <v>1621</v>
      </c>
      <c r="N1320" s="7" t="s">
        <v>58</v>
      </c>
      <c r="O1320" s="10" t="n">
        <f aca="false">'Exec Summary'!$E$2-H1320</f>
        <v>49</v>
      </c>
      <c r="P1320" s="10" t="n">
        <f aca="false">IF(I1320="","",I1320-H1320)</f>
        <v>21</v>
      </c>
      <c r="Q1320" s="10" t="n">
        <f aca="false">VLOOKUP(G1320,$AA$2:$AB$5,2,FALSE())</f>
        <v>15</v>
      </c>
      <c r="R1320" s="7" t="n">
        <f aca="false">IF(OR(F1320="Open",F1320="Reopened"),1,0)</f>
        <v>0</v>
      </c>
      <c r="S1320" s="7" t="n">
        <f aca="false">IF(AND(H1320&gt;='Exec Summary'!$E$1,H1320&lt;='Exec Summary'!$E$2),1,0)</f>
        <v>0</v>
      </c>
      <c r="T1320" s="7" t="n">
        <f aca="false">IF(AND(F1320="Closed",I1320&lt;&gt;"",I1320&gt;='Exec Summary'!$E$1,I1320&lt;='Exec Summary'!$E$2),1,0)</f>
        <v>1</v>
      </c>
      <c r="U1320" s="7" t="n">
        <f aca="false">IF(F1320="Reopened",1,0)</f>
        <v>0</v>
      </c>
      <c r="V1320" s="7" t="n">
        <f aca="false">IF(AND(R1320=1,O1320&gt;Q1320),1,0)</f>
        <v>0</v>
      </c>
      <c r="W1320" s="7" t="n">
        <f aca="false">IF(AND(T1320=1,P1320&lt;&gt;"",P1320&lt;=Q1320),1,0)</f>
        <v>0</v>
      </c>
    </row>
    <row r="1321" customFormat="false" ht="15" hidden="false" customHeight="false" outlineLevel="0" collapsed="false">
      <c r="A1321" s="7" t="s">
        <v>1617</v>
      </c>
      <c r="B1321" s="7" t="s">
        <v>46</v>
      </c>
      <c r="C1321" s="7" t="s">
        <v>128</v>
      </c>
      <c r="D1321" s="7" t="s">
        <v>101</v>
      </c>
      <c r="E1321" s="7" t="s">
        <v>102</v>
      </c>
      <c r="F1321" s="7" t="s">
        <v>56</v>
      </c>
      <c r="G1321" s="7" t="s">
        <v>19</v>
      </c>
      <c r="H1321" s="9" t="n">
        <v>46163</v>
      </c>
      <c r="I1321" s="9"/>
      <c r="J1321" s="7" t="n">
        <v>10</v>
      </c>
      <c r="K1321" s="7" t="s">
        <v>1392</v>
      </c>
      <c r="L1321" s="7" t="s">
        <v>21</v>
      </c>
      <c r="M1321" s="7" t="s">
        <v>1622</v>
      </c>
      <c r="N1321" s="7" t="s">
        <v>58</v>
      </c>
      <c r="O1321" s="10" t="n">
        <f aca="false">'Exec Summary'!$E$2-H1321</f>
        <v>71</v>
      </c>
      <c r="P1321" s="10" t="str">
        <f aca="false">IF(I1321="","",I1321-H1321)</f>
        <v/>
      </c>
      <c r="Q1321" s="10" t="n">
        <f aca="false">VLOOKUP(G1321,$AA$2:$AB$5,2,FALSE())</f>
        <v>15</v>
      </c>
      <c r="R1321" s="7" t="n">
        <f aca="false">IF(OR(F1321="Open",F1321="Reopened"),1,0)</f>
        <v>1</v>
      </c>
      <c r="S1321" s="7" t="n">
        <f aca="false">IF(AND(H1321&gt;='Exec Summary'!$E$1,H1321&lt;='Exec Summary'!$E$2),1,0)</f>
        <v>0</v>
      </c>
      <c r="T1321" s="7" t="n">
        <f aca="false">IF(AND(F1321="Closed",I1321&lt;&gt;"",I1321&gt;='Exec Summary'!$E$1,I1321&lt;='Exec Summary'!$E$2),1,0)</f>
        <v>0</v>
      </c>
      <c r="U1321" s="7" t="n">
        <f aca="false">IF(F1321="Reopened",1,0)</f>
        <v>0</v>
      </c>
      <c r="V1321" s="7" t="n">
        <f aca="false">IF(AND(R1321=1,O1321&gt;Q1321),1,0)</f>
        <v>1</v>
      </c>
      <c r="W1321" s="7" t="n">
        <f aca="false">IF(AND(T1321=1,P1321&lt;&gt;"",P1321&lt;=Q1321),1,0)</f>
        <v>0</v>
      </c>
    </row>
    <row r="1322" customFormat="false" ht="15" hidden="false" customHeight="false" outlineLevel="0" collapsed="false">
      <c r="A1322" s="7" t="s">
        <v>1617</v>
      </c>
      <c r="B1322" s="7" t="s">
        <v>46</v>
      </c>
      <c r="C1322" s="7" t="s">
        <v>128</v>
      </c>
      <c r="D1322" s="7" t="s">
        <v>210</v>
      </c>
      <c r="E1322" s="7" t="s">
        <v>211</v>
      </c>
      <c r="F1322" s="7" t="s">
        <v>56</v>
      </c>
      <c r="G1322" s="7" t="s">
        <v>19</v>
      </c>
      <c r="H1322" s="9" t="n">
        <v>46083</v>
      </c>
      <c r="I1322" s="9"/>
      <c r="J1322" s="7" t="n">
        <v>9.8</v>
      </c>
      <c r="K1322" s="7" t="s">
        <v>1392</v>
      </c>
      <c r="L1322" s="7" t="s">
        <v>21</v>
      </c>
      <c r="M1322" s="7" t="s">
        <v>1623</v>
      </c>
      <c r="N1322" s="7" t="s">
        <v>58</v>
      </c>
      <c r="O1322" s="10" t="n">
        <f aca="false">'Exec Summary'!$E$2-H1322</f>
        <v>151</v>
      </c>
      <c r="P1322" s="10" t="str">
        <f aca="false">IF(I1322="","",I1322-H1322)</f>
        <v/>
      </c>
      <c r="Q1322" s="10" t="n">
        <f aca="false">VLOOKUP(G1322,$AA$2:$AB$5,2,FALSE())</f>
        <v>15</v>
      </c>
      <c r="R1322" s="7" t="n">
        <f aca="false">IF(OR(F1322="Open",F1322="Reopened"),1,0)</f>
        <v>1</v>
      </c>
      <c r="S1322" s="7" t="n">
        <f aca="false">IF(AND(H1322&gt;='Exec Summary'!$E$1,H1322&lt;='Exec Summary'!$E$2),1,0)</f>
        <v>0</v>
      </c>
      <c r="T1322" s="7" t="n">
        <f aca="false">IF(AND(F1322="Closed",I1322&lt;&gt;"",I1322&gt;='Exec Summary'!$E$1,I1322&lt;='Exec Summary'!$E$2),1,0)</f>
        <v>0</v>
      </c>
      <c r="U1322" s="7" t="n">
        <f aca="false">IF(F1322="Reopened",1,0)</f>
        <v>0</v>
      </c>
      <c r="V1322" s="7" t="n">
        <f aca="false">IF(AND(R1322=1,O1322&gt;Q1322),1,0)</f>
        <v>1</v>
      </c>
      <c r="W1322" s="7" t="n">
        <f aca="false">IF(AND(T1322=1,P1322&lt;&gt;"",P1322&lt;=Q1322),1,0)</f>
        <v>0</v>
      </c>
    </row>
    <row r="1323" customFormat="false" ht="15" hidden="false" customHeight="false" outlineLevel="0" collapsed="false">
      <c r="A1323" s="7" t="s">
        <v>1624</v>
      </c>
      <c r="B1323" s="7" t="s">
        <v>46</v>
      </c>
      <c r="C1323" s="7" t="s">
        <v>128</v>
      </c>
      <c r="D1323" s="7" t="s">
        <v>87</v>
      </c>
      <c r="E1323" s="7" t="s">
        <v>88</v>
      </c>
      <c r="F1323" s="7" t="s">
        <v>56</v>
      </c>
      <c r="G1323" s="7" t="s">
        <v>19</v>
      </c>
      <c r="H1323" s="9" t="n">
        <v>46212</v>
      </c>
      <c r="I1323" s="9"/>
      <c r="J1323" s="7" t="n">
        <v>10</v>
      </c>
      <c r="K1323" s="7" t="s">
        <v>1392</v>
      </c>
      <c r="L1323" s="7" t="s">
        <v>21</v>
      </c>
      <c r="M1323" s="7" t="s">
        <v>1625</v>
      </c>
      <c r="N1323" s="7" t="s">
        <v>58</v>
      </c>
      <c r="O1323" s="10" t="n">
        <f aca="false">'Exec Summary'!$E$2-H1323</f>
        <v>22</v>
      </c>
      <c r="P1323" s="10" t="str">
        <f aca="false">IF(I1323="","",I1323-H1323)</f>
        <v/>
      </c>
      <c r="Q1323" s="10" t="n">
        <f aca="false">VLOOKUP(G1323,$AA$2:$AB$5,2,FALSE())</f>
        <v>15</v>
      </c>
      <c r="R1323" s="7" t="n">
        <f aca="false">IF(OR(F1323="Open",F1323="Reopened"),1,0)</f>
        <v>1</v>
      </c>
      <c r="S1323" s="7" t="n">
        <f aca="false">IF(AND(H1323&gt;='Exec Summary'!$E$1,H1323&lt;='Exec Summary'!$E$2),1,0)</f>
        <v>1</v>
      </c>
      <c r="T1323" s="7" t="n">
        <f aca="false">IF(AND(F1323="Closed",I1323&lt;&gt;"",I1323&gt;='Exec Summary'!$E$1,I1323&lt;='Exec Summary'!$E$2),1,0)</f>
        <v>0</v>
      </c>
      <c r="U1323" s="7" t="n">
        <f aca="false">IF(F1323="Reopened",1,0)</f>
        <v>0</v>
      </c>
      <c r="V1323" s="7" t="n">
        <f aca="false">IF(AND(R1323=1,O1323&gt;Q1323),1,0)</f>
        <v>1</v>
      </c>
      <c r="W1323" s="7" t="n">
        <f aca="false">IF(AND(T1323=1,P1323&lt;&gt;"",P1323&lt;=Q1323),1,0)</f>
        <v>0</v>
      </c>
    </row>
    <row r="1324" customFormat="false" ht="15" hidden="false" customHeight="false" outlineLevel="0" collapsed="false">
      <c r="A1324" s="7" t="s">
        <v>1624</v>
      </c>
      <c r="B1324" s="7" t="s">
        <v>46</v>
      </c>
      <c r="C1324" s="7" t="s">
        <v>128</v>
      </c>
      <c r="D1324" s="7" t="s">
        <v>98</v>
      </c>
      <c r="E1324" s="7" t="s">
        <v>99</v>
      </c>
      <c r="F1324" s="7" t="s">
        <v>123</v>
      </c>
      <c r="G1324" s="7" t="s">
        <v>19</v>
      </c>
      <c r="H1324" s="9" t="n">
        <v>46002</v>
      </c>
      <c r="I1324" s="9" t="n">
        <v>46010</v>
      </c>
      <c r="J1324" s="7" t="n">
        <v>10</v>
      </c>
      <c r="K1324" s="7" t="s">
        <v>1392</v>
      </c>
      <c r="L1324" s="7" t="s">
        <v>21</v>
      </c>
      <c r="M1324" s="7" t="s">
        <v>1626</v>
      </c>
      <c r="N1324" s="7" t="s">
        <v>58</v>
      </c>
      <c r="O1324" s="10" t="n">
        <f aca="false">'Exec Summary'!$E$2-H1324</f>
        <v>232</v>
      </c>
      <c r="P1324" s="10" t="n">
        <f aca="false">IF(I1324="","",I1324-H1324)</f>
        <v>8</v>
      </c>
      <c r="Q1324" s="10" t="n">
        <f aca="false">VLOOKUP(G1324,$AA$2:$AB$5,2,FALSE())</f>
        <v>15</v>
      </c>
      <c r="R1324" s="7" t="n">
        <f aca="false">IF(OR(F1324="Open",F1324="Reopened"),1,0)</f>
        <v>1</v>
      </c>
      <c r="S1324" s="7" t="n">
        <f aca="false">IF(AND(H1324&gt;='Exec Summary'!$E$1,H1324&lt;='Exec Summary'!$E$2),1,0)</f>
        <v>0</v>
      </c>
      <c r="T1324" s="7" t="n">
        <f aca="false">IF(AND(F1324="Closed",I1324&lt;&gt;"",I1324&gt;='Exec Summary'!$E$1,I1324&lt;='Exec Summary'!$E$2),1,0)</f>
        <v>0</v>
      </c>
      <c r="U1324" s="7" t="n">
        <f aca="false">IF(F1324="Reopened",1,0)</f>
        <v>1</v>
      </c>
      <c r="V1324" s="7" t="n">
        <f aca="false">IF(AND(R1324=1,O1324&gt;Q1324),1,0)</f>
        <v>1</v>
      </c>
      <c r="W1324" s="7" t="n">
        <f aca="false">IF(AND(T1324=1,P1324&lt;&gt;"",P1324&lt;=Q1324),1,0)</f>
        <v>0</v>
      </c>
    </row>
    <row r="1325" customFormat="false" ht="15" hidden="false" customHeight="false" outlineLevel="0" collapsed="false">
      <c r="A1325" s="7" t="s">
        <v>1624</v>
      </c>
      <c r="B1325" s="7" t="s">
        <v>46</v>
      </c>
      <c r="C1325" s="7" t="s">
        <v>128</v>
      </c>
      <c r="D1325" s="7" t="s">
        <v>84</v>
      </c>
      <c r="E1325" s="7" t="s">
        <v>85</v>
      </c>
      <c r="F1325" s="7" t="s">
        <v>56</v>
      </c>
      <c r="G1325" s="7" t="s">
        <v>20</v>
      </c>
      <c r="H1325" s="9" t="n">
        <v>46007</v>
      </c>
      <c r="I1325" s="9"/>
      <c r="J1325" s="7" t="n">
        <v>7.5</v>
      </c>
      <c r="K1325" s="7" t="s">
        <v>1392</v>
      </c>
      <c r="L1325" s="7" t="s">
        <v>21</v>
      </c>
      <c r="M1325" s="7" t="s">
        <v>1627</v>
      </c>
      <c r="N1325" s="7" t="s">
        <v>53</v>
      </c>
      <c r="O1325" s="10" t="n">
        <f aca="false">'Exec Summary'!$E$2-H1325</f>
        <v>227</v>
      </c>
      <c r="P1325" s="10" t="str">
        <f aca="false">IF(I1325="","",I1325-H1325)</f>
        <v/>
      </c>
      <c r="Q1325" s="10" t="n">
        <f aca="false">VLOOKUP(G1325,$AA$2:$AB$5,2,FALSE())</f>
        <v>30</v>
      </c>
      <c r="R1325" s="7" t="n">
        <f aca="false">IF(OR(F1325="Open",F1325="Reopened"),1,0)</f>
        <v>1</v>
      </c>
      <c r="S1325" s="7" t="n">
        <f aca="false">IF(AND(H1325&gt;='Exec Summary'!$E$1,H1325&lt;='Exec Summary'!$E$2),1,0)</f>
        <v>0</v>
      </c>
      <c r="T1325" s="7" t="n">
        <f aca="false">IF(AND(F1325="Closed",I1325&lt;&gt;"",I1325&gt;='Exec Summary'!$E$1,I1325&lt;='Exec Summary'!$E$2),1,0)</f>
        <v>0</v>
      </c>
      <c r="U1325" s="7" t="n">
        <f aca="false">IF(F1325="Reopened",1,0)</f>
        <v>0</v>
      </c>
      <c r="V1325" s="7" t="n">
        <f aca="false">IF(AND(R1325=1,O1325&gt;Q1325),1,0)</f>
        <v>1</v>
      </c>
      <c r="W1325" s="7" t="n">
        <f aca="false">IF(AND(T1325=1,P1325&lt;&gt;"",P1325&lt;=Q1325),1,0)</f>
        <v>0</v>
      </c>
    </row>
    <row r="1326" customFormat="false" ht="15" hidden="false" customHeight="false" outlineLevel="0" collapsed="false">
      <c r="A1326" s="7" t="s">
        <v>1624</v>
      </c>
      <c r="B1326" s="7" t="s">
        <v>46</v>
      </c>
      <c r="C1326" s="7" t="s">
        <v>128</v>
      </c>
      <c r="D1326" s="7" t="s">
        <v>108</v>
      </c>
      <c r="E1326" s="7" t="s">
        <v>109</v>
      </c>
      <c r="F1326" s="7" t="s">
        <v>56</v>
      </c>
      <c r="G1326" s="7" t="s">
        <v>20</v>
      </c>
      <c r="H1326" s="9" t="n">
        <v>46090</v>
      </c>
      <c r="I1326" s="9"/>
      <c r="J1326" s="7" t="n">
        <v>8.6</v>
      </c>
      <c r="K1326" s="7" t="s">
        <v>1392</v>
      </c>
      <c r="L1326" s="7" t="s">
        <v>21</v>
      </c>
      <c r="M1326" s="7" t="s">
        <v>1628</v>
      </c>
      <c r="N1326" s="7" t="s">
        <v>53</v>
      </c>
      <c r="O1326" s="10" t="n">
        <f aca="false">'Exec Summary'!$E$2-H1326</f>
        <v>144</v>
      </c>
      <c r="P1326" s="10" t="str">
        <f aca="false">IF(I1326="","",I1326-H1326)</f>
        <v/>
      </c>
      <c r="Q1326" s="10" t="n">
        <f aca="false">VLOOKUP(G1326,$AA$2:$AB$5,2,FALSE())</f>
        <v>30</v>
      </c>
      <c r="R1326" s="7" t="n">
        <f aca="false">IF(OR(F1326="Open",F1326="Reopened"),1,0)</f>
        <v>1</v>
      </c>
      <c r="S1326" s="7" t="n">
        <f aca="false">IF(AND(H1326&gt;='Exec Summary'!$E$1,H1326&lt;='Exec Summary'!$E$2),1,0)</f>
        <v>0</v>
      </c>
      <c r="T1326" s="7" t="n">
        <f aca="false">IF(AND(F1326="Closed",I1326&lt;&gt;"",I1326&gt;='Exec Summary'!$E$1,I1326&lt;='Exec Summary'!$E$2),1,0)</f>
        <v>0</v>
      </c>
      <c r="U1326" s="7" t="n">
        <f aca="false">IF(F1326="Reopened",1,0)</f>
        <v>0</v>
      </c>
      <c r="V1326" s="7" t="n">
        <f aca="false">IF(AND(R1326=1,O1326&gt;Q1326),1,0)</f>
        <v>1</v>
      </c>
      <c r="W1326" s="7" t="n">
        <f aca="false">IF(AND(T1326=1,P1326&lt;&gt;"",P1326&lt;=Q1326),1,0)</f>
        <v>0</v>
      </c>
    </row>
    <row r="1327" customFormat="false" ht="15" hidden="false" customHeight="false" outlineLevel="0" collapsed="false">
      <c r="A1327" s="7" t="s">
        <v>1624</v>
      </c>
      <c r="B1327" s="7" t="s">
        <v>46</v>
      </c>
      <c r="C1327" s="7" t="s">
        <v>128</v>
      </c>
      <c r="D1327" s="7" t="s">
        <v>210</v>
      </c>
      <c r="E1327" s="7" t="s">
        <v>211</v>
      </c>
      <c r="F1327" s="7" t="s">
        <v>56</v>
      </c>
      <c r="G1327" s="7" t="s">
        <v>19</v>
      </c>
      <c r="H1327" s="9" t="n">
        <v>46127</v>
      </c>
      <c r="I1327" s="9"/>
      <c r="J1327" s="7" t="n">
        <v>9.8</v>
      </c>
      <c r="K1327" s="7" t="s">
        <v>1392</v>
      </c>
      <c r="L1327" s="7" t="s">
        <v>21</v>
      </c>
      <c r="M1327" s="7" t="s">
        <v>1629</v>
      </c>
      <c r="N1327" s="7" t="s">
        <v>58</v>
      </c>
      <c r="O1327" s="10" t="n">
        <f aca="false">'Exec Summary'!$E$2-H1327</f>
        <v>107</v>
      </c>
      <c r="P1327" s="10" t="str">
        <f aca="false">IF(I1327="","",I1327-H1327)</f>
        <v/>
      </c>
      <c r="Q1327" s="10" t="n">
        <f aca="false">VLOOKUP(G1327,$AA$2:$AB$5,2,FALSE())</f>
        <v>15</v>
      </c>
      <c r="R1327" s="7" t="n">
        <f aca="false">IF(OR(F1327="Open",F1327="Reopened"),1,0)</f>
        <v>1</v>
      </c>
      <c r="S1327" s="7" t="n">
        <f aca="false">IF(AND(H1327&gt;='Exec Summary'!$E$1,H1327&lt;='Exec Summary'!$E$2),1,0)</f>
        <v>0</v>
      </c>
      <c r="T1327" s="7" t="n">
        <f aca="false">IF(AND(F1327="Closed",I1327&lt;&gt;"",I1327&gt;='Exec Summary'!$E$1,I1327&lt;='Exec Summary'!$E$2),1,0)</f>
        <v>0</v>
      </c>
      <c r="U1327" s="7" t="n">
        <f aca="false">IF(F1327="Reopened",1,0)</f>
        <v>0</v>
      </c>
      <c r="V1327" s="7" t="n">
        <f aca="false">IF(AND(R1327=1,O1327&gt;Q1327),1,0)</f>
        <v>1</v>
      </c>
      <c r="W1327" s="7" t="n">
        <f aca="false">IF(AND(T1327=1,P1327&lt;&gt;"",P1327&lt;=Q1327),1,0)</f>
        <v>0</v>
      </c>
    </row>
    <row r="1328" customFormat="false" ht="15" hidden="false" customHeight="false" outlineLevel="0" collapsed="false">
      <c r="A1328" s="7" t="s">
        <v>1624</v>
      </c>
      <c r="B1328" s="7" t="s">
        <v>46</v>
      </c>
      <c r="C1328" s="7" t="s">
        <v>128</v>
      </c>
      <c r="D1328" s="7" t="s">
        <v>48</v>
      </c>
      <c r="E1328" s="7" t="s">
        <v>49</v>
      </c>
      <c r="F1328" s="7" t="s">
        <v>50</v>
      </c>
      <c r="G1328" s="7" t="s">
        <v>20</v>
      </c>
      <c r="H1328" s="9" t="n">
        <v>46200</v>
      </c>
      <c r="I1328" s="9" t="n">
        <v>46221</v>
      </c>
      <c r="J1328" s="7" t="n">
        <v>7.5</v>
      </c>
      <c r="K1328" s="7" t="s">
        <v>1392</v>
      </c>
      <c r="L1328" s="7" t="s">
        <v>21</v>
      </c>
      <c r="M1328" s="7" t="s">
        <v>1630</v>
      </c>
      <c r="N1328" s="7" t="s">
        <v>53</v>
      </c>
      <c r="O1328" s="10" t="n">
        <f aca="false">'Exec Summary'!$E$2-H1328</f>
        <v>34</v>
      </c>
      <c r="P1328" s="10" t="n">
        <f aca="false">IF(I1328="","",I1328-H1328)</f>
        <v>21</v>
      </c>
      <c r="Q1328" s="10" t="n">
        <f aca="false">VLOOKUP(G1328,$AA$2:$AB$5,2,FALSE())</f>
        <v>30</v>
      </c>
      <c r="R1328" s="7" t="n">
        <f aca="false">IF(OR(F1328="Open",F1328="Reopened"),1,0)</f>
        <v>0</v>
      </c>
      <c r="S1328" s="7" t="n">
        <f aca="false">IF(AND(H1328&gt;='Exec Summary'!$E$1,H1328&lt;='Exec Summary'!$E$2),1,0)</f>
        <v>0</v>
      </c>
      <c r="T1328" s="7" t="n">
        <f aca="false">IF(AND(F1328="Closed",I1328&lt;&gt;"",I1328&gt;='Exec Summary'!$E$1,I1328&lt;='Exec Summary'!$E$2),1,0)</f>
        <v>1</v>
      </c>
      <c r="U1328" s="7" t="n">
        <f aca="false">IF(F1328="Reopened",1,0)</f>
        <v>0</v>
      </c>
      <c r="V1328" s="7" t="n">
        <f aca="false">IF(AND(R1328=1,O1328&gt;Q1328),1,0)</f>
        <v>0</v>
      </c>
      <c r="W1328" s="7" t="n">
        <f aca="false">IF(AND(T1328=1,P1328&lt;&gt;"",P1328&lt;=Q1328),1,0)</f>
        <v>1</v>
      </c>
    </row>
    <row r="1329" customFormat="false" ht="15" hidden="false" customHeight="false" outlineLevel="0" collapsed="false">
      <c r="A1329" s="7" t="s">
        <v>1631</v>
      </c>
      <c r="B1329" s="7" t="s">
        <v>46</v>
      </c>
      <c r="C1329" s="7" t="s">
        <v>79</v>
      </c>
      <c r="D1329" s="7" t="s">
        <v>84</v>
      </c>
      <c r="E1329" s="7" t="s">
        <v>85</v>
      </c>
      <c r="F1329" s="7" t="s">
        <v>56</v>
      </c>
      <c r="G1329" s="7" t="s">
        <v>20</v>
      </c>
      <c r="H1329" s="9" t="n">
        <v>46221</v>
      </c>
      <c r="I1329" s="9"/>
      <c r="J1329" s="7" t="n">
        <v>7.5</v>
      </c>
      <c r="K1329" s="7" t="s">
        <v>1392</v>
      </c>
      <c r="L1329" s="7" t="s">
        <v>21</v>
      </c>
      <c r="M1329" s="7" t="s">
        <v>1632</v>
      </c>
      <c r="N1329" s="7" t="s">
        <v>53</v>
      </c>
      <c r="O1329" s="10" t="n">
        <f aca="false">'Exec Summary'!$E$2-H1329</f>
        <v>13</v>
      </c>
      <c r="P1329" s="10" t="str">
        <f aca="false">IF(I1329="","",I1329-H1329)</f>
        <v/>
      </c>
      <c r="Q1329" s="10" t="n">
        <f aca="false">VLOOKUP(G1329,$AA$2:$AB$5,2,FALSE())</f>
        <v>30</v>
      </c>
      <c r="R1329" s="7" t="n">
        <f aca="false">IF(OR(F1329="Open",F1329="Reopened"),1,0)</f>
        <v>1</v>
      </c>
      <c r="S1329" s="7" t="n">
        <f aca="false">IF(AND(H1329&gt;='Exec Summary'!$E$1,H1329&lt;='Exec Summary'!$E$2),1,0)</f>
        <v>1</v>
      </c>
      <c r="T1329" s="7" t="n">
        <f aca="false">IF(AND(F1329="Closed",I1329&lt;&gt;"",I1329&gt;='Exec Summary'!$E$1,I1329&lt;='Exec Summary'!$E$2),1,0)</f>
        <v>0</v>
      </c>
      <c r="U1329" s="7" t="n">
        <f aca="false">IF(F1329="Reopened",1,0)</f>
        <v>0</v>
      </c>
      <c r="V1329" s="7" t="n">
        <f aca="false">IF(AND(R1329=1,O1329&gt;Q1329),1,0)</f>
        <v>0</v>
      </c>
      <c r="W1329" s="7" t="n">
        <f aca="false">IF(AND(T1329=1,P1329&lt;&gt;"",P1329&lt;=Q1329),1,0)</f>
        <v>0</v>
      </c>
    </row>
    <row r="1330" customFormat="false" ht="15" hidden="false" customHeight="false" outlineLevel="0" collapsed="false">
      <c r="A1330" s="7" t="s">
        <v>1631</v>
      </c>
      <c r="B1330" s="7" t="s">
        <v>46</v>
      </c>
      <c r="C1330" s="7" t="s">
        <v>79</v>
      </c>
      <c r="D1330" s="7" t="s">
        <v>117</v>
      </c>
      <c r="E1330" s="7" t="s">
        <v>118</v>
      </c>
      <c r="F1330" s="7" t="s">
        <v>50</v>
      </c>
      <c r="G1330" s="7" t="s">
        <v>19</v>
      </c>
      <c r="H1330" s="9" t="n">
        <v>46003</v>
      </c>
      <c r="I1330" s="9" t="n">
        <v>46018</v>
      </c>
      <c r="J1330" s="7" t="n">
        <v>10</v>
      </c>
      <c r="K1330" s="7" t="s">
        <v>1392</v>
      </c>
      <c r="L1330" s="7" t="s">
        <v>21</v>
      </c>
      <c r="M1330" s="7" t="s">
        <v>1633</v>
      </c>
      <c r="N1330" s="7" t="s">
        <v>58</v>
      </c>
      <c r="O1330" s="10" t="n">
        <f aca="false">'Exec Summary'!$E$2-H1330</f>
        <v>231</v>
      </c>
      <c r="P1330" s="10" t="n">
        <f aca="false">IF(I1330="","",I1330-H1330)</f>
        <v>15</v>
      </c>
      <c r="Q1330" s="10" t="n">
        <f aca="false">VLOOKUP(G1330,$AA$2:$AB$5,2,FALSE())</f>
        <v>15</v>
      </c>
      <c r="R1330" s="7" t="n">
        <f aca="false">IF(OR(F1330="Open",F1330="Reopened"),1,0)</f>
        <v>0</v>
      </c>
      <c r="S1330" s="7" t="n">
        <f aca="false">IF(AND(H1330&gt;='Exec Summary'!$E$1,H1330&lt;='Exec Summary'!$E$2),1,0)</f>
        <v>0</v>
      </c>
      <c r="T1330" s="7" t="n">
        <f aca="false">IF(AND(F1330="Closed",I1330&lt;&gt;"",I1330&gt;='Exec Summary'!$E$1,I1330&lt;='Exec Summary'!$E$2),1,0)</f>
        <v>0</v>
      </c>
      <c r="U1330" s="7" t="n">
        <f aca="false">IF(F1330="Reopened",1,0)</f>
        <v>0</v>
      </c>
      <c r="V1330" s="7" t="n">
        <f aca="false">IF(AND(R1330=1,O1330&gt;Q1330),1,0)</f>
        <v>0</v>
      </c>
      <c r="W1330" s="7" t="n">
        <f aca="false">IF(AND(T1330=1,P1330&lt;&gt;"",P1330&lt;=Q1330),1,0)</f>
        <v>0</v>
      </c>
    </row>
    <row r="1331" customFormat="false" ht="15" hidden="false" customHeight="false" outlineLevel="0" collapsed="false">
      <c r="A1331" s="7" t="s">
        <v>1631</v>
      </c>
      <c r="B1331" s="7" t="s">
        <v>46</v>
      </c>
      <c r="C1331" s="7" t="s">
        <v>79</v>
      </c>
      <c r="D1331" s="7" t="s">
        <v>112</v>
      </c>
      <c r="E1331" s="7" t="s">
        <v>113</v>
      </c>
      <c r="F1331" s="7" t="s">
        <v>50</v>
      </c>
      <c r="G1331" s="7" t="s">
        <v>20</v>
      </c>
      <c r="H1331" s="9" t="n">
        <v>46100</v>
      </c>
      <c r="I1331" s="9" t="n">
        <v>46143</v>
      </c>
      <c r="J1331" s="7" t="n">
        <v>7.8</v>
      </c>
      <c r="K1331" s="7" t="s">
        <v>1392</v>
      </c>
      <c r="L1331" s="7" t="s">
        <v>21</v>
      </c>
      <c r="M1331" s="7" t="s">
        <v>1634</v>
      </c>
      <c r="N1331" s="7" t="s">
        <v>53</v>
      </c>
      <c r="O1331" s="10" t="n">
        <f aca="false">'Exec Summary'!$E$2-H1331</f>
        <v>134</v>
      </c>
      <c r="P1331" s="10" t="n">
        <f aca="false">IF(I1331="","",I1331-H1331)</f>
        <v>43</v>
      </c>
      <c r="Q1331" s="10" t="n">
        <f aca="false">VLOOKUP(G1331,$AA$2:$AB$5,2,FALSE())</f>
        <v>30</v>
      </c>
      <c r="R1331" s="7" t="n">
        <f aca="false">IF(OR(F1331="Open",F1331="Reopened"),1,0)</f>
        <v>0</v>
      </c>
      <c r="S1331" s="7" t="n">
        <f aca="false">IF(AND(H1331&gt;='Exec Summary'!$E$1,H1331&lt;='Exec Summary'!$E$2),1,0)</f>
        <v>0</v>
      </c>
      <c r="T1331" s="7" t="n">
        <f aca="false">IF(AND(F1331="Closed",I1331&lt;&gt;"",I1331&gt;='Exec Summary'!$E$1,I1331&lt;='Exec Summary'!$E$2),1,0)</f>
        <v>0</v>
      </c>
      <c r="U1331" s="7" t="n">
        <f aca="false">IF(F1331="Reopened",1,0)</f>
        <v>0</v>
      </c>
      <c r="V1331" s="7" t="n">
        <f aca="false">IF(AND(R1331=1,O1331&gt;Q1331),1,0)</f>
        <v>0</v>
      </c>
      <c r="W1331" s="7" t="n">
        <f aca="false">IF(AND(T1331=1,P1331&lt;&gt;"",P1331&lt;=Q1331),1,0)</f>
        <v>0</v>
      </c>
    </row>
    <row r="1332" customFormat="false" ht="15" hidden="false" customHeight="false" outlineLevel="0" collapsed="false">
      <c r="A1332" s="7" t="s">
        <v>1631</v>
      </c>
      <c r="B1332" s="7" t="s">
        <v>46</v>
      </c>
      <c r="C1332" s="7" t="s">
        <v>79</v>
      </c>
      <c r="D1332" s="7" t="s">
        <v>48</v>
      </c>
      <c r="E1332" s="7" t="s">
        <v>49</v>
      </c>
      <c r="F1332" s="7" t="s">
        <v>56</v>
      </c>
      <c r="G1332" s="7" t="s">
        <v>20</v>
      </c>
      <c r="H1332" s="9" t="n">
        <v>46129</v>
      </c>
      <c r="I1332" s="9"/>
      <c r="J1332" s="7" t="n">
        <v>7.5</v>
      </c>
      <c r="K1332" s="7" t="s">
        <v>1392</v>
      </c>
      <c r="L1332" s="7" t="s">
        <v>21</v>
      </c>
      <c r="M1332" s="7" t="s">
        <v>1635</v>
      </c>
      <c r="N1332" s="7" t="s">
        <v>53</v>
      </c>
      <c r="O1332" s="10" t="n">
        <f aca="false">'Exec Summary'!$E$2-H1332</f>
        <v>105</v>
      </c>
      <c r="P1332" s="10" t="str">
        <f aca="false">IF(I1332="","",I1332-H1332)</f>
        <v/>
      </c>
      <c r="Q1332" s="10" t="n">
        <f aca="false">VLOOKUP(G1332,$AA$2:$AB$5,2,FALSE())</f>
        <v>30</v>
      </c>
      <c r="R1332" s="7" t="n">
        <f aca="false">IF(OR(F1332="Open",F1332="Reopened"),1,0)</f>
        <v>1</v>
      </c>
      <c r="S1332" s="7" t="n">
        <f aca="false">IF(AND(H1332&gt;='Exec Summary'!$E$1,H1332&lt;='Exec Summary'!$E$2),1,0)</f>
        <v>0</v>
      </c>
      <c r="T1332" s="7" t="n">
        <f aca="false">IF(AND(F1332="Closed",I1332&lt;&gt;"",I1332&gt;='Exec Summary'!$E$1,I1332&lt;='Exec Summary'!$E$2),1,0)</f>
        <v>0</v>
      </c>
      <c r="U1332" s="7" t="n">
        <f aca="false">IF(F1332="Reopened",1,0)</f>
        <v>0</v>
      </c>
      <c r="V1332" s="7" t="n">
        <f aca="false">IF(AND(R1332=1,O1332&gt;Q1332),1,0)</f>
        <v>1</v>
      </c>
      <c r="W1332" s="7" t="n">
        <f aca="false">IF(AND(T1332=1,P1332&lt;&gt;"",P1332&lt;=Q1332),1,0)</f>
        <v>0</v>
      </c>
    </row>
    <row r="1333" customFormat="false" ht="15" hidden="false" customHeight="false" outlineLevel="0" collapsed="false">
      <c r="A1333" s="7" t="s">
        <v>1631</v>
      </c>
      <c r="B1333" s="7" t="s">
        <v>46</v>
      </c>
      <c r="C1333" s="7" t="s">
        <v>79</v>
      </c>
      <c r="D1333" s="7" t="s">
        <v>120</v>
      </c>
      <c r="E1333" s="7" t="s">
        <v>121</v>
      </c>
      <c r="F1333" s="7" t="s">
        <v>50</v>
      </c>
      <c r="G1333" s="7" t="s">
        <v>19</v>
      </c>
      <c r="H1333" s="9" t="n">
        <v>45986</v>
      </c>
      <c r="I1333" s="9" t="n">
        <v>46003</v>
      </c>
      <c r="J1333" s="7" t="n">
        <v>8.8</v>
      </c>
      <c r="K1333" s="7" t="s">
        <v>1392</v>
      </c>
      <c r="L1333" s="7" t="s">
        <v>21</v>
      </c>
      <c r="M1333" s="7" t="s">
        <v>1636</v>
      </c>
      <c r="N1333" s="7" t="s">
        <v>58</v>
      </c>
      <c r="O1333" s="10" t="n">
        <f aca="false">'Exec Summary'!$E$2-H1333</f>
        <v>248</v>
      </c>
      <c r="P1333" s="10" t="n">
        <f aca="false">IF(I1333="","",I1333-H1333)</f>
        <v>17</v>
      </c>
      <c r="Q1333" s="10" t="n">
        <f aca="false">VLOOKUP(G1333,$AA$2:$AB$5,2,FALSE())</f>
        <v>15</v>
      </c>
      <c r="R1333" s="7" t="n">
        <f aca="false">IF(OR(F1333="Open",F1333="Reopened"),1,0)</f>
        <v>0</v>
      </c>
      <c r="S1333" s="7" t="n">
        <f aca="false">IF(AND(H1333&gt;='Exec Summary'!$E$1,H1333&lt;='Exec Summary'!$E$2),1,0)</f>
        <v>0</v>
      </c>
      <c r="T1333" s="7" t="n">
        <f aca="false">IF(AND(F1333="Closed",I1333&lt;&gt;"",I1333&gt;='Exec Summary'!$E$1,I1333&lt;='Exec Summary'!$E$2),1,0)</f>
        <v>0</v>
      </c>
      <c r="U1333" s="7" t="n">
        <f aca="false">IF(F1333="Reopened",1,0)</f>
        <v>0</v>
      </c>
      <c r="V1333" s="7" t="n">
        <f aca="false">IF(AND(R1333=1,O1333&gt;Q1333),1,0)</f>
        <v>0</v>
      </c>
      <c r="W1333" s="7" t="n">
        <f aca="false">IF(AND(T1333=1,P1333&lt;&gt;"",P1333&lt;=Q1333),1,0)</f>
        <v>0</v>
      </c>
    </row>
    <row r="1334" customFormat="false" ht="15" hidden="false" customHeight="false" outlineLevel="0" collapsed="false">
      <c r="A1334" s="7" t="s">
        <v>1631</v>
      </c>
      <c r="B1334" s="7" t="s">
        <v>46</v>
      </c>
      <c r="C1334" s="7" t="s">
        <v>79</v>
      </c>
      <c r="D1334" s="7" t="s">
        <v>59</v>
      </c>
      <c r="E1334" s="7" t="s">
        <v>60</v>
      </c>
      <c r="F1334" s="7" t="s">
        <v>56</v>
      </c>
      <c r="G1334" s="7" t="s">
        <v>19</v>
      </c>
      <c r="H1334" s="9" t="n">
        <v>46159</v>
      </c>
      <c r="I1334" s="9"/>
      <c r="J1334" s="7" t="n">
        <v>7.8</v>
      </c>
      <c r="K1334" s="7" t="s">
        <v>1392</v>
      </c>
      <c r="L1334" s="7" t="s">
        <v>21</v>
      </c>
      <c r="M1334" s="7" t="s">
        <v>1637</v>
      </c>
      <c r="N1334" s="7" t="s">
        <v>58</v>
      </c>
      <c r="O1334" s="10" t="n">
        <f aca="false">'Exec Summary'!$E$2-H1334</f>
        <v>75</v>
      </c>
      <c r="P1334" s="10" t="str">
        <f aca="false">IF(I1334="","",I1334-H1334)</f>
        <v/>
      </c>
      <c r="Q1334" s="10" t="n">
        <f aca="false">VLOOKUP(G1334,$AA$2:$AB$5,2,FALSE())</f>
        <v>15</v>
      </c>
      <c r="R1334" s="7" t="n">
        <f aca="false">IF(OR(F1334="Open",F1334="Reopened"),1,0)</f>
        <v>1</v>
      </c>
      <c r="S1334" s="7" t="n">
        <f aca="false">IF(AND(H1334&gt;='Exec Summary'!$E$1,H1334&lt;='Exec Summary'!$E$2),1,0)</f>
        <v>0</v>
      </c>
      <c r="T1334" s="7" t="n">
        <f aca="false">IF(AND(F1334="Closed",I1334&lt;&gt;"",I1334&gt;='Exec Summary'!$E$1,I1334&lt;='Exec Summary'!$E$2),1,0)</f>
        <v>0</v>
      </c>
      <c r="U1334" s="7" t="n">
        <f aca="false">IF(F1334="Reopened",1,0)</f>
        <v>0</v>
      </c>
      <c r="V1334" s="7" t="n">
        <f aca="false">IF(AND(R1334=1,O1334&gt;Q1334),1,0)</f>
        <v>1</v>
      </c>
      <c r="W1334" s="7" t="n">
        <f aca="false">IF(AND(T1334=1,P1334&lt;&gt;"",P1334&lt;=Q1334),1,0)</f>
        <v>0</v>
      </c>
    </row>
    <row r="1335" customFormat="false" ht="15" hidden="false" customHeight="false" outlineLevel="0" collapsed="false">
      <c r="A1335" s="7" t="s">
        <v>1631</v>
      </c>
      <c r="B1335" s="7" t="s">
        <v>46</v>
      </c>
      <c r="C1335" s="7" t="s">
        <v>79</v>
      </c>
      <c r="D1335" s="7" t="s">
        <v>166</v>
      </c>
      <c r="E1335" s="7" t="s">
        <v>167</v>
      </c>
      <c r="F1335" s="7" t="s">
        <v>50</v>
      </c>
      <c r="G1335" s="7" t="s">
        <v>19</v>
      </c>
      <c r="H1335" s="9" t="n">
        <v>46023</v>
      </c>
      <c r="I1335" s="9" t="n">
        <v>46032</v>
      </c>
      <c r="J1335" s="7" t="n">
        <v>9.8</v>
      </c>
      <c r="K1335" s="7" t="s">
        <v>1392</v>
      </c>
      <c r="L1335" s="7" t="s">
        <v>21</v>
      </c>
      <c r="M1335" s="7" t="s">
        <v>1638</v>
      </c>
      <c r="N1335" s="7" t="s">
        <v>58</v>
      </c>
      <c r="O1335" s="10" t="n">
        <f aca="false">'Exec Summary'!$E$2-H1335</f>
        <v>211</v>
      </c>
      <c r="P1335" s="10" t="n">
        <f aca="false">IF(I1335="","",I1335-H1335)</f>
        <v>9</v>
      </c>
      <c r="Q1335" s="10" t="n">
        <f aca="false">VLOOKUP(G1335,$AA$2:$AB$5,2,FALSE())</f>
        <v>15</v>
      </c>
      <c r="R1335" s="7" t="n">
        <f aca="false">IF(OR(F1335="Open",F1335="Reopened"),1,0)</f>
        <v>0</v>
      </c>
      <c r="S1335" s="7" t="n">
        <f aca="false">IF(AND(H1335&gt;='Exec Summary'!$E$1,H1335&lt;='Exec Summary'!$E$2),1,0)</f>
        <v>0</v>
      </c>
      <c r="T1335" s="7" t="n">
        <f aca="false">IF(AND(F1335="Closed",I1335&lt;&gt;"",I1335&gt;='Exec Summary'!$E$1,I1335&lt;='Exec Summary'!$E$2),1,0)</f>
        <v>0</v>
      </c>
      <c r="U1335" s="7" t="n">
        <f aca="false">IF(F1335="Reopened",1,0)</f>
        <v>0</v>
      </c>
      <c r="V1335" s="7" t="n">
        <f aca="false">IF(AND(R1335=1,O1335&gt;Q1335),1,0)</f>
        <v>0</v>
      </c>
      <c r="W1335" s="7" t="n">
        <f aca="false">IF(AND(T1335=1,P1335&lt;&gt;"",P1335&lt;=Q1335),1,0)</f>
        <v>0</v>
      </c>
    </row>
    <row r="1336" customFormat="false" ht="15" hidden="false" customHeight="false" outlineLevel="0" collapsed="false">
      <c r="A1336" s="7" t="s">
        <v>1631</v>
      </c>
      <c r="B1336" s="7" t="s">
        <v>46</v>
      </c>
      <c r="C1336" s="7" t="s">
        <v>79</v>
      </c>
      <c r="D1336" s="7" t="s">
        <v>139</v>
      </c>
      <c r="E1336" s="7" t="s">
        <v>140</v>
      </c>
      <c r="F1336" s="7" t="s">
        <v>56</v>
      </c>
      <c r="G1336" s="7" t="s">
        <v>19</v>
      </c>
      <c r="H1336" s="9" t="n">
        <v>46223</v>
      </c>
      <c r="I1336" s="9"/>
      <c r="J1336" s="7" t="n">
        <v>9.8</v>
      </c>
      <c r="K1336" s="7" t="s">
        <v>1392</v>
      </c>
      <c r="L1336" s="7" t="s">
        <v>21</v>
      </c>
      <c r="M1336" s="7" t="s">
        <v>1639</v>
      </c>
      <c r="N1336" s="7" t="s">
        <v>58</v>
      </c>
      <c r="O1336" s="10" t="n">
        <f aca="false">'Exec Summary'!$E$2-H1336</f>
        <v>11</v>
      </c>
      <c r="P1336" s="10" t="str">
        <f aca="false">IF(I1336="","",I1336-H1336)</f>
        <v/>
      </c>
      <c r="Q1336" s="10" t="n">
        <f aca="false">VLOOKUP(G1336,$AA$2:$AB$5,2,FALSE())</f>
        <v>15</v>
      </c>
      <c r="R1336" s="7" t="n">
        <f aca="false">IF(OR(F1336="Open",F1336="Reopened"),1,0)</f>
        <v>1</v>
      </c>
      <c r="S1336" s="7" t="n">
        <f aca="false">IF(AND(H1336&gt;='Exec Summary'!$E$1,H1336&lt;='Exec Summary'!$E$2),1,0)</f>
        <v>1</v>
      </c>
      <c r="T1336" s="7" t="n">
        <f aca="false">IF(AND(F1336="Closed",I1336&lt;&gt;"",I1336&gt;='Exec Summary'!$E$1,I1336&lt;='Exec Summary'!$E$2),1,0)</f>
        <v>0</v>
      </c>
      <c r="U1336" s="7" t="n">
        <f aca="false">IF(F1336="Reopened",1,0)</f>
        <v>0</v>
      </c>
      <c r="V1336" s="7" t="n">
        <f aca="false">IF(AND(R1336=1,O1336&gt;Q1336),1,0)</f>
        <v>0</v>
      </c>
      <c r="W1336" s="7" t="n">
        <f aca="false">IF(AND(T1336=1,P1336&lt;&gt;"",P1336&lt;=Q1336),1,0)</f>
        <v>0</v>
      </c>
    </row>
    <row r="1337" customFormat="false" ht="15" hidden="false" customHeight="false" outlineLevel="0" collapsed="false">
      <c r="A1337" s="7" t="s">
        <v>1631</v>
      </c>
      <c r="B1337" s="7" t="s">
        <v>46</v>
      </c>
      <c r="C1337" s="7" t="s">
        <v>79</v>
      </c>
      <c r="D1337" s="7" t="s">
        <v>81</v>
      </c>
      <c r="E1337" s="7" t="s">
        <v>82</v>
      </c>
      <c r="F1337" s="7" t="s">
        <v>50</v>
      </c>
      <c r="G1337" s="7" t="s">
        <v>20</v>
      </c>
      <c r="H1337" s="9" t="n">
        <v>45948</v>
      </c>
      <c r="I1337" s="9" t="n">
        <v>45962</v>
      </c>
      <c r="J1337" s="7" t="n">
        <v>7.8</v>
      </c>
      <c r="K1337" s="7" t="s">
        <v>1392</v>
      </c>
      <c r="L1337" s="7" t="s">
        <v>21</v>
      </c>
      <c r="M1337" s="7" t="s">
        <v>1640</v>
      </c>
      <c r="N1337" s="7" t="s">
        <v>53</v>
      </c>
      <c r="O1337" s="10" t="n">
        <f aca="false">'Exec Summary'!$E$2-H1337</f>
        <v>286</v>
      </c>
      <c r="P1337" s="10" t="n">
        <f aca="false">IF(I1337="","",I1337-H1337)</f>
        <v>14</v>
      </c>
      <c r="Q1337" s="10" t="n">
        <f aca="false">VLOOKUP(G1337,$AA$2:$AB$5,2,FALSE())</f>
        <v>30</v>
      </c>
      <c r="R1337" s="7" t="n">
        <f aca="false">IF(OR(F1337="Open",F1337="Reopened"),1,0)</f>
        <v>0</v>
      </c>
      <c r="S1337" s="7" t="n">
        <f aca="false">IF(AND(H1337&gt;='Exec Summary'!$E$1,H1337&lt;='Exec Summary'!$E$2),1,0)</f>
        <v>0</v>
      </c>
      <c r="T1337" s="7" t="n">
        <f aca="false">IF(AND(F1337="Closed",I1337&lt;&gt;"",I1337&gt;='Exec Summary'!$E$1,I1337&lt;='Exec Summary'!$E$2),1,0)</f>
        <v>0</v>
      </c>
      <c r="U1337" s="7" t="n">
        <f aca="false">IF(F1337="Reopened",1,0)</f>
        <v>0</v>
      </c>
      <c r="V1337" s="7" t="n">
        <f aca="false">IF(AND(R1337=1,O1337&gt;Q1337),1,0)</f>
        <v>0</v>
      </c>
      <c r="W1337" s="7" t="n">
        <f aca="false">IF(AND(T1337=1,P1337&lt;&gt;"",P1337&lt;=Q1337),1,0)</f>
        <v>0</v>
      </c>
    </row>
    <row r="1338" customFormat="false" ht="15" hidden="false" customHeight="false" outlineLevel="0" collapsed="false">
      <c r="A1338" s="7" t="s">
        <v>1631</v>
      </c>
      <c r="B1338" s="7" t="s">
        <v>46</v>
      </c>
      <c r="C1338" s="7" t="s">
        <v>79</v>
      </c>
      <c r="D1338" s="7" t="s">
        <v>163</v>
      </c>
      <c r="E1338" s="7" t="s">
        <v>164</v>
      </c>
      <c r="F1338" s="7" t="s">
        <v>56</v>
      </c>
      <c r="G1338" s="7" t="s">
        <v>19</v>
      </c>
      <c r="H1338" s="9" t="n">
        <v>46144</v>
      </c>
      <c r="I1338" s="9"/>
      <c r="J1338" s="7" t="n">
        <v>9.1</v>
      </c>
      <c r="K1338" s="7" t="s">
        <v>1392</v>
      </c>
      <c r="L1338" s="7" t="s">
        <v>21</v>
      </c>
      <c r="M1338" s="7" t="s">
        <v>1641</v>
      </c>
      <c r="N1338" s="7" t="s">
        <v>58</v>
      </c>
      <c r="O1338" s="10" t="n">
        <f aca="false">'Exec Summary'!$E$2-H1338</f>
        <v>90</v>
      </c>
      <c r="P1338" s="10" t="str">
        <f aca="false">IF(I1338="","",I1338-H1338)</f>
        <v/>
      </c>
      <c r="Q1338" s="10" t="n">
        <f aca="false">VLOOKUP(G1338,$AA$2:$AB$5,2,FALSE())</f>
        <v>15</v>
      </c>
      <c r="R1338" s="7" t="n">
        <f aca="false">IF(OR(F1338="Open",F1338="Reopened"),1,0)</f>
        <v>1</v>
      </c>
      <c r="S1338" s="7" t="n">
        <f aca="false">IF(AND(H1338&gt;='Exec Summary'!$E$1,H1338&lt;='Exec Summary'!$E$2),1,0)</f>
        <v>0</v>
      </c>
      <c r="T1338" s="7" t="n">
        <f aca="false">IF(AND(F1338="Closed",I1338&lt;&gt;"",I1338&gt;='Exec Summary'!$E$1,I1338&lt;='Exec Summary'!$E$2),1,0)</f>
        <v>0</v>
      </c>
      <c r="U1338" s="7" t="n">
        <f aca="false">IF(F1338="Reopened",1,0)</f>
        <v>0</v>
      </c>
      <c r="V1338" s="7" t="n">
        <f aca="false">IF(AND(R1338=1,O1338&gt;Q1338),1,0)</f>
        <v>1</v>
      </c>
      <c r="W1338" s="7" t="n">
        <f aca="false">IF(AND(T1338=1,P1338&lt;&gt;"",P1338&lt;=Q1338),1,0)</f>
        <v>0</v>
      </c>
    </row>
    <row r="1339" customFormat="false" ht="15" hidden="false" customHeight="false" outlineLevel="0" collapsed="false">
      <c r="A1339" s="7" t="s">
        <v>1631</v>
      </c>
      <c r="B1339" s="7" t="s">
        <v>46</v>
      </c>
      <c r="C1339" s="7" t="s">
        <v>79</v>
      </c>
      <c r="D1339" s="7" t="s">
        <v>95</v>
      </c>
      <c r="E1339" s="7" t="s">
        <v>96</v>
      </c>
      <c r="F1339" s="7" t="s">
        <v>56</v>
      </c>
      <c r="G1339" s="7" t="s">
        <v>20</v>
      </c>
      <c r="H1339" s="9" t="n">
        <v>46152</v>
      </c>
      <c r="I1339" s="9"/>
      <c r="J1339" s="7" t="n">
        <v>8.8</v>
      </c>
      <c r="K1339" s="7" t="s">
        <v>1392</v>
      </c>
      <c r="L1339" s="7" t="s">
        <v>21</v>
      </c>
      <c r="M1339" s="7" t="s">
        <v>1642</v>
      </c>
      <c r="N1339" s="7" t="s">
        <v>53</v>
      </c>
      <c r="O1339" s="10" t="n">
        <f aca="false">'Exec Summary'!$E$2-H1339</f>
        <v>82</v>
      </c>
      <c r="P1339" s="10" t="str">
        <f aca="false">IF(I1339="","",I1339-H1339)</f>
        <v/>
      </c>
      <c r="Q1339" s="10" t="n">
        <f aca="false">VLOOKUP(G1339,$AA$2:$AB$5,2,FALSE())</f>
        <v>30</v>
      </c>
      <c r="R1339" s="7" t="n">
        <f aca="false">IF(OR(F1339="Open",F1339="Reopened"),1,0)</f>
        <v>1</v>
      </c>
      <c r="S1339" s="7" t="n">
        <f aca="false">IF(AND(H1339&gt;='Exec Summary'!$E$1,H1339&lt;='Exec Summary'!$E$2),1,0)</f>
        <v>0</v>
      </c>
      <c r="T1339" s="7" t="n">
        <f aca="false">IF(AND(F1339="Closed",I1339&lt;&gt;"",I1339&gt;='Exec Summary'!$E$1,I1339&lt;='Exec Summary'!$E$2),1,0)</f>
        <v>0</v>
      </c>
      <c r="U1339" s="7" t="n">
        <f aca="false">IF(F1339="Reopened",1,0)</f>
        <v>0</v>
      </c>
      <c r="V1339" s="7" t="n">
        <f aca="false">IF(AND(R1339=1,O1339&gt;Q1339),1,0)</f>
        <v>1</v>
      </c>
      <c r="W1339" s="7" t="n">
        <f aca="false">IF(AND(T1339=1,P1339&lt;&gt;"",P1339&lt;=Q1339),1,0)</f>
        <v>0</v>
      </c>
    </row>
    <row r="1340" customFormat="false" ht="15" hidden="false" customHeight="false" outlineLevel="0" collapsed="false">
      <c r="A1340" s="7" t="s">
        <v>1631</v>
      </c>
      <c r="B1340" s="7" t="s">
        <v>46</v>
      </c>
      <c r="C1340" s="7" t="s">
        <v>79</v>
      </c>
      <c r="D1340" s="7" t="s">
        <v>206</v>
      </c>
      <c r="E1340" s="7" t="s">
        <v>207</v>
      </c>
      <c r="F1340" s="7" t="s">
        <v>50</v>
      </c>
      <c r="G1340" s="7" t="s">
        <v>20</v>
      </c>
      <c r="H1340" s="9" t="n">
        <v>46089</v>
      </c>
      <c r="I1340" s="9" t="n">
        <v>46102</v>
      </c>
      <c r="J1340" s="7" t="n">
        <v>8.8</v>
      </c>
      <c r="K1340" s="7" t="s">
        <v>1392</v>
      </c>
      <c r="L1340" s="7" t="s">
        <v>21</v>
      </c>
      <c r="M1340" s="7" t="s">
        <v>1643</v>
      </c>
      <c r="N1340" s="7" t="s">
        <v>53</v>
      </c>
      <c r="O1340" s="10" t="n">
        <f aca="false">'Exec Summary'!$E$2-H1340</f>
        <v>145</v>
      </c>
      <c r="P1340" s="10" t="n">
        <f aca="false">IF(I1340="","",I1340-H1340)</f>
        <v>13</v>
      </c>
      <c r="Q1340" s="10" t="n">
        <f aca="false">VLOOKUP(G1340,$AA$2:$AB$5,2,FALSE())</f>
        <v>30</v>
      </c>
      <c r="R1340" s="7" t="n">
        <f aca="false">IF(OR(F1340="Open",F1340="Reopened"),1,0)</f>
        <v>0</v>
      </c>
      <c r="S1340" s="7" t="n">
        <f aca="false">IF(AND(H1340&gt;='Exec Summary'!$E$1,H1340&lt;='Exec Summary'!$E$2),1,0)</f>
        <v>0</v>
      </c>
      <c r="T1340" s="7" t="n">
        <f aca="false">IF(AND(F1340="Closed",I1340&lt;&gt;"",I1340&gt;='Exec Summary'!$E$1,I1340&lt;='Exec Summary'!$E$2),1,0)</f>
        <v>0</v>
      </c>
      <c r="U1340" s="7" t="n">
        <f aca="false">IF(F1340="Reopened",1,0)</f>
        <v>0</v>
      </c>
      <c r="V1340" s="7" t="n">
        <f aca="false">IF(AND(R1340=1,O1340&gt;Q1340),1,0)</f>
        <v>0</v>
      </c>
      <c r="W1340" s="7" t="n">
        <f aca="false">IF(AND(T1340=1,P1340&lt;&gt;"",P1340&lt;=Q1340),1,0)</f>
        <v>0</v>
      </c>
    </row>
    <row r="1341" customFormat="false" ht="15" hidden="false" customHeight="false" outlineLevel="0" collapsed="false">
      <c r="A1341" s="7" t="s">
        <v>1644</v>
      </c>
      <c r="B1341" s="7" t="s">
        <v>46</v>
      </c>
      <c r="C1341" s="7" t="s">
        <v>128</v>
      </c>
      <c r="D1341" s="7" t="s">
        <v>131</v>
      </c>
      <c r="E1341" s="7" t="s">
        <v>132</v>
      </c>
      <c r="F1341" s="7" t="s">
        <v>50</v>
      </c>
      <c r="G1341" s="7" t="s">
        <v>19</v>
      </c>
      <c r="H1341" s="9" t="n">
        <v>46186</v>
      </c>
      <c r="I1341" s="9" t="n">
        <v>46195</v>
      </c>
      <c r="J1341" s="7" t="n">
        <v>9.8</v>
      </c>
      <c r="K1341" s="7" t="s">
        <v>1392</v>
      </c>
      <c r="L1341" s="7" t="s">
        <v>20</v>
      </c>
      <c r="M1341" s="7" t="s">
        <v>1645</v>
      </c>
      <c r="N1341" s="7" t="s">
        <v>58</v>
      </c>
      <c r="O1341" s="10" t="n">
        <f aca="false">'Exec Summary'!$E$2-H1341</f>
        <v>48</v>
      </c>
      <c r="P1341" s="10" t="n">
        <f aca="false">IF(I1341="","",I1341-H1341)</f>
        <v>9</v>
      </c>
      <c r="Q1341" s="10" t="n">
        <f aca="false">VLOOKUP(G1341,$AA$2:$AB$5,2,FALSE())</f>
        <v>15</v>
      </c>
      <c r="R1341" s="7" t="n">
        <f aca="false">IF(OR(F1341="Open",F1341="Reopened"),1,0)</f>
        <v>0</v>
      </c>
      <c r="S1341" s="7" t="n">
        <f aca="false">IF(AND(H1341&gt;='Exec Summary'!$E$1,H1341&lt;='Exec Summary'!$E$2),1,0)</f>
        <v>0</v>
      </c>
      <c r="T1341" s="7" t="n">
        <f aca="false">IF(AND(F1341="Closed",I1341&lt;&gt;"",I1341&gt;='Exec Summary'!$E$1,I1341&lt;='Exec Summary'!$E$2),1,0)</f>
        <v>0</v>
      </c>
      <c r="U1341" s="7" t="n">
        <f aca="false">IF(F1341="Reopened",1,0)</f>
        <v>0</v>
      </c>
      <c r="V1341" s="7" t="n">
        <f aca="false">IF(AND(R1341=1,O1341&gt;Q1341),1,0)</f>
        <v>0</v>
      </c>
      <c r="W1341" s="7" t="n">
        <f aca="false">IF(AND(T1341=1,P1341&lt;&gt;"",P1341&lt;=Q1341),1,0)</f>
        <v>0</v>
      </c>
    </row>
    <row r="1342" customFormat="false" ht="15" hidden="false" customHeight="false" outlineLevel="0" collapsed="false">
      <c r="A1342" s="7" t="s">
        <v>1644</v>
      </c>
      <c r="B1342" s="7" t="s">
        <v>46</v>
      </c>
      <c r="C1342" s="7" t="s">
        <v>128</v>
      </c>
      <c r="D1342" s="7" t="s">
        <v>139</v>
      </c>
      <c r="E1342" s="7" t="s">
        <v>140</v>
      </c>
      <c r="F1342" s="7" t="s">
        <v>56</v>
      </c>
      <c r="G1342" s="7" t="s">
        <v>19</v>
      </c>
      <c r="H1342" s="9" t="n">
        <v>46060</v>
      </c>
      <c r="I1342" s="9"/>
      <c r="J1342" s="7" t="n">
        <v>9.8</v>
      </c>
      <c r="K1342" s="7" t="s">
        <v>1392</v>
      </c>
      <c r="L1342" s="7" t="s">
        <v>20</v>
      </c>
      <c r="M1342" s="7" t="s">
        <v>1646</v>
      </c>
      <c r="N1342" s="7" t="s">
        <v>58</v>
      </c>
      <c r="O1342" s="10" t="n">
        <f aca="false">'Exec Summary'!$E$2-H1342</f>
        <v>174</v>
      </c>
      <c r="P1342" s="10" t="str">
        <f aca="false">IF(I1342="","",I1342-H1342)</f>
        <v/>
      </c>
      <c r="Q1342" s="10" t="n">
        <f aca="false">VLOOKUP(G1342,$AA$2:$AB$5,2,FALSE())</f>
        <v>15</v>
      </c>
      <c r="R1342" s="7" t="n">
        <f aca="false">IF(OR(F1342="Open",F1342="Reopened"),1,0)</f>
        <v>1</v>
      </c>
      <c r="S1342" s="7" t="n">
        <f aca="false">IF(AND(H1342&gt;='Exec Summary'!$E$1,H1342&lt;='Exec Summary'!$E$2),1,0)</f>
        <v>0</v>
      </c>
      <c r="T1342" s="7" t="n">
        <f aca="false">IF(AND(F1342="Closed",I1342&lt;&gt;"",I1342&gt;='Exec Summary'!$E$1,I1342&lt;='Exec Summary'!$E$2),1,0)</f>
        <v>0</v>
      </c>
      <c r="U1342" s="7" t="n">
        <f aca="false">IF(F1342="Reopened",1,0)</f>
        <v>0</v>
      </c>
      <c r="V1342" s="7" t="n">
        <f aca="false">IF(AND(R1342=1,O1342&gt;Q1342),1,0)</f>
        <v>1</v>
      </c>
      <c r="W1342" s="7" t="n">
        <f aca="false">IF(AND(T1342=1,P1342&lt;&gt;"",P1342&lt;=Q1342),1,0)</f>
        <v>0</v>
      </c>
    </row>
    <row r="1343" customFormat="false" ht="15" hidden="false" customHeight="false" outlineLevel="0" collapsed="false">
      <c r="A1343" s="7" t="s">
        <v>1644</v>
      </c>
      <c r="B1343" s="7" t="s">
        <v>46</v>
      </c>
      <c r="C1343" s="7" t="s">
        <v>128</v>
      </c>
      <c r="D1343" s="7" t="s">
        <v>206</v>
      </c>
      <c r="E1343" s="7" t="s">
        <v>207</v>
      </c>
      <c r="F1343" s="7" t="s">
        <v>56</v>
      </c>
      <c r="G1343" s="7" t="s">
        <v>20</v>
      </c>
      <c r="H1343" s="9" t="n">
        <v>46067</v>
      </c>
      <c r="I1343" s="9"/>
      <c r="J1343" s="7" t="n">
        <v>8.8</v>
      </c>
      <c r="K1343" s="7" t="s">
        <v>1392</v>
      </c>
      <c r="L1343" s="7" t="s">
        <v>20</v>
      </c>
      <c r="M1343" s="7" t="s">
        <v>1647</v>
      </c>
      <c r="N1343" s="7" t="s">
        <v>53</v>
      </c>
      <c r="O1343" s="10" t="n">
        <f aca="false">'Exec Summary'!$E$2-H1343</f>
        <v>167</v>
      </c>
      <c r="P1343" s="10" t="str">
        <f aca="false">IF(I1343="","",I1343-H1343)</f>
        <v/>
      </c>
      <c r="Q1343" s="10" t="n">
        <f aca="false">VLOOKUP(G1343,$AA$2:$AB$5,2,FALSE())</f>
        <v>30</v>
      </c>
      <c r="R1343" s="7" t="n">
        <f aca="false">IF(OR(F1343="Open",F1343="Reopened"),1,0)</f>
        <v>1</v>
      </c>
      <c r="S1343" s="7" t="n">
        <f aca="false">IF(AND(H1343&gt;='Exec Summary'!$E$1,H1343&lt;='Exec Summary'!$E$2),1,0)</f>
        <v>0</v>
      </c>
      <c r="T1343" s="7" t="n">
        <f aca="false">IF(AND(F1343="Closed",I1343&lt;&gt;"",I1343&gt;='Exec Summary'!$E$1,I1343&lt;='Exec Summary'!$E$2),1,0)</f>
        <v>0</v>
      </c>
      <c r="U1343" s="7" t="n">
        <f aca="false">IF(F1343="Reopened",1,0)</f>
        <v>0</v>
      </c>
      <c r="V1343" s="7" t="n">
        <f aca="false">IF(AND(R1343=1,O1343&gt;Q1343),1,0)</f>
        <v>1</v>
      </c>
      <c r="W1343" s="7" t="n">
        <f aca="false">IF(AND(T1343=1,P1343&lt;&gt;"",P1343&lt;=Q1343),1,0)</f>
        <v>0</v>
      </c>
    </row>
    <row r="1344" customFormat="false" ht="15" hidden="false" customHeight="false" outlineLevel="0" collapsed="false">
      <c r="A1344" s="7" t="s">
        <v>1644</v>
      </c>
      <c r="B1344" s="7" t="s">
        <v>46</v>
      </c>
      <c r="C1344" s="7" t="s">
        <v>128</v>
      </c>
      <c r="D1344" s="7" t="s">
        <v>104</v>
      </c>
      <c r="E1344" s="7" t="s">
        <v>105</v>
      </c>
      <c r="F1344" s="7" t="s">
        <v>50</v>
      </c>
      <c r="G1344" s="7" t="s">
        <v>19</v>
      </c>
      <c r="H1344" s="9" t="n">
        <v>45993</v>
      </c>
      <c r="I1344" s="9" t="n">
        <v>45994</v>
      </c>
      <c r="J1344" s="7" t="n">
        <v>9.8</v>
      </c>
      <c r="K1344" s="7" t="s">
        <v>1392</v>
      </c>
      <c r="L1344" s="7" t="s">
        <v>20</v>
      </c>
      <c r="M1344" s="7" t="s">
        <v>1648</v>
      </c>
      <c r="N1344" s="7" t="s">
        <v>58</v>
      </c>
      <c r="O1344" s="10" t="n">
        <f aca="false">'Exec Summary'!$E$2-H1344</f>
        <v>241</v>
      </c>
      <c r="P1344" s="10" t="n">
        <f aca="false">IF(I1344="","",I1344-H1344)</f>
        <v>1</v>
      </c>
      <c r="Q1344" s="10" t="n">
        <f aca="false">VLOOKUP(G1344,$AA$2:$AB$5,2,FALSE())</f>
        <v>15</v>
      </c>
      <c r="R1344" s="7" t="n">
        <f aca="false">IF(OR(F1344="Open",F1344="Reopened"),1,0)</f>
        <v>0</v>
      </c>
      <c r="S1344" s="7" t="n">
        <f aca="false">IF(AND(H1344&gt;='Exec Summary'!$E$1,H1344&lt;='Exec Summary'!$E$2),1,0)</f>
        <v>0</v>
      </c>
      <c r="T1344" s="7" t="n">
        <f aca="false">IF(AND(F1344="Closed",I1344&lt;&gt;"",I1344&gt;='Exec Summary'!$E$1,I1344&lt;='Exec Summary'!$E$2),1,0)</f>
        <v>0</v>
      </c>
      <c r="U1344" s="7" t="n">
        <f aca="false">IF(F1344="Reopened",1,0)</f>
        <v>0</v>
      </c>
      <c r="V1344" s="7" t="n">
        <f aca="false">IF(AND(R1344=1,O1344&gt;Q1344),1,0)</f>
        <v>0</v>
      </c>
      <c r="W1344" s="7" t="n">
        <f aca="false">IF(AND(T1344=1,P1344&lt;&gt;"",P1344&lt;=Q1344),1,0)</f>
        <v>0</v>
      </c>
    </row>
    <row r="1345" customFormat="false" ht="15" hidden="false" customHeight="false" outlineLevel="0" collapsed="false">
      <c r="A1345" s="7" t="s">
        <v>1644</v>
      </c>
      <c r="B1345" s="7" t="s">
        <v>46</v>
      </c>
      <c r="C1345" s="7" t="s">
        <v>128</v>
      </c>
      <c r="D1345" s="7" t="s">
        <v>112</v>
      </c>
      <c r="E1345" s="7" t="s">
        <v>113</v>
      </c>
      <c r="F1345" s="7" t="s">
        <v>50</v>
      </c>
      <c r="G1345" s="7" t="s">
        <v>20</v>
      </c>
      <c r="H1345" s="9" t="n">
        <v>45935</v>
      </c>
      <c r="I1345" s="9" t="n">
        <v>45965</v>
      </c>
      <c r="J1345" s="7" t="n">
        <v>7.8</v>
      </c>
      <c r="K1345" s="7" t="s">
        <v>1392</v>
      </c>
      <c r="L1345" s="7" t="s">
        <v>20</v>
      </c>
      <c r="M1345" s="7" t="s">
        <v>1649</v>
      </c>
      <c r="N1345" s="7" t="s">
        <v>53</v>
      </c>
      <c r="O1345" s="10" t="n">
        <f aca="false">'Exec Summary'!$E$2-H1345</f>
        <v>299</v>
      </c>
      <c r="P1345" s="10" t="n">
        <f aca="false">IF(I1345="","",I1345-H1345)</f>
        <v>30</v>
      </c>
      <c r="Q1345" s="10" t="n">
        <f aca="false">VLOOKUP(G1345,$AA$2:$AB$5,2,FALSE())</f>
        <v>30</v>
      </c>
      <c r="R1345" s="7" t="n">
        <f aca="false">IF(OR(F1345="Open",F1345="Reopened"),1,0)</f>
        <v>0</v>
      </c>
      <c r="S1345" s="7" t="n">
        <f aca="false">IF(AND(H1345&gt;='Exec Summary'!$E$1,H1345&lt;='Exec Summary'!$E$2),1,0)</f>
        <v>0</v>
      </c>
      <c r="T1345" s="7" t="n">
        <f aca="false">IF(AND(F1345="Closed",I1345&lt;&gt;"",I1345&gt;='Exec Summary'!$E$1,I1345&lt;='Exec Summary'!$E$2),1,0)</f>
        <v>0</v>
      </c>
      <c r="U1345" s="7" t="n">
        <f aca="false">IF(F1345="Reopened",1,0)</f>
        <v>0</v>
      </c>
      <c r="V1345" s="7" t="n">
        <f aca="false">IF(AND(R1345=1,O1345&gt;Q1345),1,0)</f>
        <v>0</v>
      </c>
      <c r="W1345" s="7" t="n">
        <f aca="false">IF(AND(T1345=1,P1345&lt;&gt;"",P1345&lt;=Q1345),1,0)</f>
        <v>0</v>
      </c>
    </row>
    <row r="1346" customFormat="false" ht="15" hidden="false" customHeight="false" outlineLevel="0" collapsed="false">
      <c r="A1346" s="7" t="s">
        <v>1644</v>
      </c>
      <c r="B1346" s="7" t="s">
        <v>46</v>
      </c>
      <c r="C1346" s="7" t="s">
        <v>128</v>
      </c>
      <c r="D1346" s="7" t="s">
        <v>81</v>
      </c>
      <c r="E1346" s="7" t="s">
        <v>82</v>
      </c>
      <c r="F1346" s="7" t="s">
        <v>50</v>
      </c>
      <c r="G1346" s="7" t="s">
        <v>20</v>
      </c>
      <c r="H1346" s="9" t="n">
        <v>46016</v>
      </c>
      <c r="I1346" s="9" t="n">
        <v>46039</v>
      </c>
      <c r="J1346" s="7" t="n">
        <v>7.8</v>
      </c>
      <c r="K1346" s="7" t="s">
        <v>1392</v>
      </c>
      <c r="L1346" s="7" t="s">
        <v>20</v>
      </c>
      <c r="M1346" s="7" t="s">
        <v>1650</v>
      </c>
      <c r="N1346" s="7" t="s">
        <v>53</v>
      </c>
      <c r="O1346" s="10" t="n">
        <f aca="false">'Exec Summary'!$E$2-H1346</f>
        <v>218</v>
      </c>
      <c r="P1346" s="10" t="n">
        <f aca="false">IF(I1346="","",I1346-H1346)</f>
        <v>23</v>
      </c>
      <c r="Q1346" s="10" t="n">
        <f aca="false">VLOOKUP(G1346,$AA$2:$AB$5,2,FALSE())</f>
        <v>30</v>
      </c>
      <c r="R1346" s="7" t="n">
        <f aca="false">IF(OR(F1346="Open",F1346="Reopened"),1,0)</f>
        <v>0</v>
      </c>
      <c r="S1346" s="7" t="n">
        <f aca="false">IF(AND(H1346&gt;='Exec Summary'!$E$1,H1346&lt;='Exec Summary'!$E$2),1,0)</f>
        <v>0</v>
      </c>
      <c r="T1346" s="7" t="n">
        <f aca="false">IF(AND(F1346="Closed",I1346&lt;&gt;"",I1346&gt;='Exec Summary'!$E$1,I1346&lt;='Exec Summary'!$E$2),1,0)</f>
        <v>0</v>
      </c>
      <c r="U1346" s="7" t="n">
        <f aca="false">IF(F1346="Reopened",1,0)</f>
        <v>0</v>
      </c>
      <c r="V1346" s="7" t="n">
        <f aca="false">IF(AND(R1346=1,O1346&gt;Q1346),1,0)</f>
        <v>0</v>
      </c>
      <c r="W1346" s="7" t="n">
        <f aca="false">IF(AND(T1346=1,P1346&lt;&gt;"",P1346&lt;=Q1346),1,0)</f>
        <v>0</v>
      </c>
    </row>
    <row r="1347" customFormat="false" ht="15" hidden="false" customHeight="false" outlineLevel="0" collapsed="false">
      <c r="A1347" s="7" t="s">
        <v>1644</v>
      </c>
      <c r="B1347" s="7" t="s">
        <v>46</v>
      </c>
      <c r="C1347" s="7" t="s">
        <v>128</v>
      </c>
      <c r="D1347" s="7" t="s">
        <v>152</v>
      </c>
      <c r="E1347" s="7" t="s">
        <v>153</v>
      </c>
      <c r="F1347" s="7" t="s">
        <v>56</v>
      </c>
      <c r="G1347" s="7" t="s">
        <v>20</v>
      </c>
      <c r="H1347" s="9" t="n">
        <v>46188</v>
      </c>
      <c r="I1347" s="9"/>
      <c r="J1347" s="7" t="n">
        <v>7.5</v>
      </c>
      <c r="K1347" s="7" t="s">
        <v>1392</v>
      </c>
      <c r="L1347" s="7" t="s">
        <v>20</v>
      </c>
      <c r="M1347" s="7" t="s">
        <v>1651</v>
      </c>
      <c r="N1347" s="7" t="s">
        <v>53</v>
      </c>
      <c r="O1347" s="10" t="n">
        <f aca="false">'Exec Summary'!$E$2-H1347</f>
        <v>46</v>
      </c>
      <c r="P1347" s="10" t="str">
        <f aca="false">IF(I1347="","",I1347-H1347)</f>
        <v/>
      </c>
      <c r="Q1347" s="10" t="n">
        <f aca="false">VLOOKUP(G1347,$AA$2:$AB$5,2,FALSE())</f>
        <v>30</v>
      </c>
      <c r="R1347" s="7" t="n">
        <f aca="false">IF(OR(F1347="Open",F1347="Reopened"),1,0)</f>
        <v>1</v>
      </c>
      <c r="S1347" s="7" t="n">
        <f aca="false">IF(AND(H1347&gt;='Exec Summary'!$E$1,H1347&lt;='Exec Summary'!$E$2),1,0)</f>
        <v>0</v>
      </c>
      <c r="T1347" s="7" t="n">
        <f aca="false">IF(AND(F1347="Closed",I1347&lt;&gt;"",I1347&gt;='Exec Summary'!$E$1,I1347&lt;='Exec Summary'!$E$2),1,0)</f>
        <v>0</v>
      </c>
      <c r="U1347" s="7" t="n">
        <f aca="false">IF(F1347="Reopened",1,0)</f>
        <v>0</v>
      </c>
      <c r="V1347" s="7" t="n">
        <f aca="false">IF(AND(R1347=1,O1347&gt;Q1347),1,0)</f>
        <v>1</v>
      </c>
      <c r="W1347" s="7" t="n">
        <f aca="false">IF(AND(T1347=1,P1347&lt;&gt;"",P1347&lt;=Q1347),1,0)</f>
        <v>0</v>
      </c>
    </row>
    <row r="1348" customFormat="false" ht="15" hidden="false" customHeight="false" outlineLevel="0" collapsed="false">
      <c r="A1348" s="7" t="s">
        <v>1652</v>
      </c>
      <c r="B1348" s="7" t="s">
        <v>46</v>
      </c>
      <c r="C1348" s="7" t="s">
        <v>47</v>
      </c>
      <c r="D1348" s="7" t="s">
        <v>101</v>
      </c>
      <c r="E1348" s="7" t="s">
        <v>102</v>
      </c>
      <c r="F1348" s="7" t="s">
        <v>50</v>
      </c>
      <c r="G1348" s="7" t="s">
        <v>19</v>
      </c>
      <c r="H1348" s="9" t="n">
        <v>45984</v>
      </c>
      <c r="I1348" s="9" t="n">
        <v>46009</v>
      </c>
      <c r="J1348" s="7" t="n">
        <v>10</v>
      </c>
      <c r="K1348" s="7" t="s">
        <v>1392</v>
      </c>
      <c r="L1348" s="7" t="s">
        <v>21</v>
      </c>
      <c r="M1348" s="7" t="s">
        <v>1653</v>
      </c>
      <c r="N1348" s="7" t="s">
        <v>58</v>
      </c>
      <c r="O1348" s="10" t="n">
        <f aca="false">'Exec Summary'!$E$2-H1348</f>
        <v>250</v>
      </c>
      <c r="P1348" s="10" t="n">
        <f aca="false">IF(I1348="","",I1348-H1348)</f>
        <v>25</v>
      </c>
      <c r="Q1348" s="10" t="n">
        <f aca="false">VLOOKUP(G1348,$AA$2:$AB$5,2,FALSE())</f>
        <v>15</v>
      </c>
      <c r="R1348" s="7" t="n">
        <f aca="false">IF(OR(F1348="Open",F1348="Reopened"),1,0)</f>
        <v>0</v>
      </c>
      <c r="S1348" s="7" t="n">
        <f aca="false">IF(AND(H1348&gt;='Exec Summary'!$E$1,H1348&lt;='Exec Summary'!$E$2),1,0)</f>
        <v>0</v>
      </c>
      <c r="T1348" s="7" t="n">
        <f aca="false">IF(AND(F1348="Closed",I1348&lt;&gt;"",I1348&gt;='Exec Summary'!$E$1,I1348&lt;='Exec Summary'!$E$2),1,0)</f>
        <v>0</v>
      </c>
      <c r="U1348" s="7" t="n">
        <f aca="false">IF(F1348="Reopened",1,0)</f>
        <v>0</v>
      </c>
      <c r="V1348" s="7" t="n">
        <f aca="false">IF(AND(R1348=1,O1348&gt;Q1348),1,0)</f>
        <v>0</v>
      </c>
      <c r="W1348" s="7" t="n">
        <f aca="false">IF(AND(T1348=1,P1348&lt;&gt;"",P1348&lt;=Q1348),1,0)</f>
        <v>0</v>
      </c>
    </row>
    <row r="1349" customFormat="false" ht="15" hidden="false" customHeight="false" outlineLevel="0" collapsed="false">
      <c r="A1349" s="7" t="s">
        <v>1652</v>
      </c>
      <c r="B1349" s="7" t="s">
        <v>46</v>
      </c>
      <c r="C1349" s="7" t="s">
        <v>47</v>
      </c>
      <c r="D1349" s="7" t="s">
        <v>120</v>
      </c>
      <c r="E1349" s="7" t="s">
        <v>121</v>
      </c>
      <c r="F1349" s="7" t="s">
        <v>50</v>
      </c>
      <c r="G1349" s="7" t="s">
        <v>19</v>
      </c>
      <c r="H1349" s="9" t="n">
        <v>46214</v>
      </c>
      <c r="I1349" s="9" t="n">
        <v>46227</v>
      </c>
      <c r="J1349" s="7" t="n">
        <v>8.8</v>
      </c>
      <c r="K1349" s="7" t="s">
        <v>1392</v>
      </c>
      <c r="L1349" s="7" t="s">
        <v>21</v>
      </c>
      <c r="M1349" s="7" t="s">
        <v>1654</v>
      </c>
      <c r="N1349" s="7" t="s">
        <v>58</v>
      </c>
      <c r="O1349" s="10" t="n">
        <f aca="false">'Exec Summary'!$E$2-H1349</f>
        <v>20</v>
      </c>
      <c r="P1349" s="10" t="n">
        <f aca="false">IF(I1349="","",I1349-H1349)</f>
        <v>13</v>
      </c>
      <c r="Q1349" s="10" t="n">
        <f aca="false">VLOOKUP(G1349,$AA$2:$AB$5,2,FALSE())</f>
        <v>15</v>
      </c>
      <c r="R1349" s="7" t="n">
        <f aca="false">IF(OR(F1349="Open",F1349="Reopened"),1,0)</f>
        <v>0</v>
      </c>
      <c r="S1349" s="7" t="n">
        <f aca="false">IF(AND(H1349&gt;='Exec Summary'!$E$1,H1349&lt;='Exec Summary'!$E$2),1,0)</f>
        <v>1</v>
      </c>
      <c r="T1349" s="7" t="n">
        <f aca="false">IF(AND(F1349="Closed",I1349&lt;&gt;"",I1349&gt;='Exec Summary'!$E$1,I1349&lt;='Exec Summary'!$E$2),1,0)</f>
        <v>1</v>
      </c>
      <c r="U1349" s="7" t="n">
        <f aca="false">IF(F1349="Reopened",1,0)</f>
        <v>0</v>
      </c>
      <c r="V1349" s="7" t="n">
        <f aca="false">IF(AND(R1349=1,O1349&gt;Q1349),1,0)</f>
        <v>0</v>
      </c>
      <c r="W1349" s="7" t="n">
        <f aca="false">IF(AND(T1349=1,P1349&lt;&gt;"",P1349&lt;=Q1349),1,0)</f>
        <v>1</v>
      </c>
    </row>
    <row r="1350" customFormat="false" ht="15" hidden="false" customHeight="false" outlineLevel="0" collapsed="false">
      <c r="A1350" s="7" t="s">
        <v>1652</v>
      </c>
      <c r="B1350" s="7" t="s">
        <v>46</v>
      </c>
      <c r="C1350" s="7" t="s">
        <v>47</v>
      </c>
      <c r="D1350" s="7" t="s">
        <v>117</v>
      </c>
      <c r="E1350" s="7" t="s">
        <v>118</v>
      </c>
      <c r="F1350" s="7" t="s">
        <v>50</v>
      </c>
      <c r="G1350" s="7" t="s">
        <v>19</v>
      </c>
      <c r="H1350" s="9" t="n">
        <v>46172</v>
      </c>
      <c r="I1350" s="9" t="n">
        <v>46183</v>
      </c>
      <c r="J1350" s="7" t="n">
        <v>10</v>
      </c>
      <c r="K1350" s="7" t="s">
        <v>1392</v>
      </c>
      <c r="L1350" s="7" t="s">
        <v>21</v>
      </c>
      <c r="M1350" s="7" t="s">
        <v>1655</v>
      </c>
      <c r="N1350" s="7" t="s">
        <v>58</v>
      </c>
      <c r="O1350" s="10" t="n">
        <f aca="false">'Exec Summary'!$E$2-H1350</f>
        <v>62</v>
      </c>
      <c r="P1350" s="10" t="n">
        <f aca="false">IF(I1350="","",I1350-H1350)</f>
        <v>11</v>
      </c>
      <c r="Q1350" s="10" t="n">
        <f aca="false">VLOOKUP(G1350,$AA$2:$AB$5,2,FALSE())</f>
        <v>15</v>
      </c>
      <c r="R1350" s="7" t="n">
        <f aca="false">IF(OR(F1350="Open",F1350="Reopened"),1,0)</f>
        <v>0</v>
      </c>
      <c r="S1350" s="7" t="n">
        <f aca="false">IF(AND(H1350&gt;='Exec Summary'!$E$1,H1350&lt;='Exec Summary'!$E$2),1,0)</f>
        <v>0</v>
      </c>
      <c r="T1350" s="7" t="n">
        <f aca="false">IF(AND(F1350="Closed",I1350&lt;&gt;"",I1350&gt;='Exec Summary'!$E$1,I1350&lt;='Exec Summary'!$E$2),1,0)</f>
        <v>0</v>
      </c>
      <c r="U1350" s="7" t="n">
        <f aca="false">IF(F1350="Reopened",1,0)</f>
        <v>0</v>
      </c>
      <c r="V1350" s="7" t="n">
        <f aca="false">IF(AND(R1350=1,O1350&gt;Q1350),1,0)</f>
        <v>0</v>
      </c>
      <c r="W1350" s="7" t="n">
        <f aca="false">IF(AND(T1350=1,P1350&lt;&gt;"",P1350&lt;=Q1350),1,0)</f>
        <v>0</v>
      </c>
    </row>
    <row r="1351" customFormat="false" ht="15" hidden="false" customHeight="false" outlineLevel="0" collapsed="false">
      <c r="A1351" s="7" t="s">
        <v>1656</v>
      </c>
      <c r="B1351" s="7" t="s">
        <v>46</v>
      </c>
      <c r="C1351" s="7" t="s">
        <v>128</v>
      </c>
      <c r="D1351" s="7" t="s">
        <v>104</v>
      </c>
      <c r="E1351" s="7" t="s">
        <v>105</v>
      </c>
      <c r="F1351" s="7" t="s">
        <v>56</v>
      </c>
      <c r="G1351" s="7" t="s">
        <v>19</v>
      </c>
      <c r="H1351" s="9" t="n">
        <v>45965</v>
      </c>
      <c r="I1351" s="9"/>
      <c r="J1351" s="7" t="n">
        <v>9.8</v>
      </c>
      <c r="K1351" s="7" t="s">
        <v>1392</v>
      </c>
      <c r="L1351" s="7" t="s">
        <v>21</v>
      </c>
      <c r="M1351" s="7" t="s">
        <v>1657</v>
      </c>
      <c r="N1351" s="7" t="s">
        <v>58</v>
      </c>
      <c r="O1351" s="10" t="n">
        <f aca="false">'Exec Summary'!$E$2-H1351</f>
        <v>269</v>
      </c>
      <c r="P1351" s="10" t="str">
        <f aca="false">IF(I1351="","",I1351-H1351)</f>
        <v/>
      </c>
      <c r="Q1351" s="10" t="n">
        <f aca="false">VLOOKUP(G1351,$AA$2:$AB$5,2,FALSE())</f>
        <v>15</v>
      </c>
      <c r="R1351" s="7" t="n">
        <f aca="false">IF(OR(F1351="Open",F1351="Reopened"),1,0)</f>
        <v>1</v>
      </c>
      <c r="S1351" s="7" t="n">
        <f aca="false">IF(AND(H1351&gt;='Exec Summary'!$E$1,H1351&lt;='Exec Summary'!$E$2),1,0)</f>
        <v>0</v>
      </c>
      <c r="T1351" s="7" t="n">
        <f aca="false">IF(AND(F1351="Closed",I1351&lt;&gt;"",I1351&gt;='Exec Summary'!$E$1,I1351&lt;='Exec Summary'!$E$2),1,0)</f>
        <v>0</v>
      </c>
      <c r="U1351" s="7" t="n">
        <f aca="false">IF(F1351="Reopened",1,0)</f>
        <v>0</v>
      </c>
      <c r="V1351" s="7" t="n">
        <f aca="false">IF(AND(R1351=1,O1351&gt;Q1351),1,0)</f>
        <v>1</v>
      </c>
      <c r="W1351" s="7" t="n">
        <f aca="false">IF(AND(T1351=1,P1351&lt;&gt;"",P1351&lt;=Q1351),1,0)</f>
        <v>0</v>
      </c>
    </row>
    <row r="1352" customFormat="false" ht="15" hidden="false" customHeight="false" outlineLevel="0" collapsed="false">
      <c r="A1352" s="7" t="s">
        <v>1656</v>
      </c>
      <c r="B1352" s="7" t="s">
        <v>46</v>
      </c>
      <c r="C1352" s="7" t="s">
        <v>128</v>
      </c>
      <c r="D1352" s="7" t="s">
        <v>91</v>
      </c>
      <c r="E1352" s="7" t="s">
        <v>92</v>
      </c>
      <c r="F1352" s="7" t="s">
        <v>50</v>
      </c>
      <c r="G1352" s="7" t="s">
        <v>20</v>
      </c>
      <c r="H1352" s="9" t="n">
        <v>46037</v>
      </c>
      <c r="I1352" s="9" t="n">
        <v>46069</v>
      </c>
      <c r="J1352" s="7" t="n">
        <v>8.1</v>
      </c>
      <c r="K1352" s="7" t="s">
        <v>1392</v>
      </c>
      <c r="L1352" s="7" t="s">
        <v>21</v>
      </c>
      <c r="M1352" s="7" t="s">
        <v>1658</v>
      </c>
      <c r="N1352" s="7" t="s">
        <v>53</v>
      </c>
      <c r="O1352" s="10" t="n">
        <f aca="false">'Exec Summary'!$E$2-H1352</f>
        <v>197</v>
      </c>
      <c r="P1352" s="10" t="n">
        <f aca="false">IF(I1352="","",I1352-H1352)</f>
        <v>32</v>
      </c>
      <c r="Q1352" s="10" t="n">
        <f aca="false">VLOOKUP(G1352,$AA$2:$AB$5,2,FALSE())</f>
        <v>30</v>
      </c>
      <c r="R1352" s="7" t="n">
        <f aca="false">IF(OR(F1352="Open",F1352="Reopened"),1,0)</f>
        <v>0</v>
      </c>
      <c r="S1352" s="7" t="n">
        <f aca="false">IF(AND(H1352&gt;='Exec Summary'!$E$1,H1352&lt;='Exec Summary'!$E$2),1,0)</f>
        <v>0</v>
      </c>
      <c r="T1352" s="7" t="n">
        <f aca="false">IF(AND(F1352="Closed",I1352&lt;&gt;"",I1352&gt;='Exec Summary'!$E$1,I1352&lt;='Exec Summary'!$E$2),1,0)</f>
        <v>0</v>
      </c>
      <c r="U1352" s="7" t="n">
        <f aca="false">IF(F1352="Reopened",1,0)</f>
        <v>0</v>
      </c>
      <c r="V1352" s="7" t="n">
        <f aca="false">IF(AND(R1352=1,O1352&gt;Q1352),1,0)</f>
        <v>0</v>
      </c>
      <c r="W1352" s="7" t="n">
        <f aca="false">IF(AND(T1352=1,P1352&lt;&gt;"",P1352&lt;=Q1352),1,0)</f>
        <v>0</v>
      </c>
    </row>
    <row r="1353" customFormat="false" ht="15" hidden="false" customHeight="false" outlineLevel="0" collapsed="false">
      <c r="A1353" s="7" t="s">
        <v>1656</v>
      </c>
      <c r="B1353" s="7" t="s">
        <v>46</v>
      </c>
      <c r="C1353" s="7" t="s">
        <v>128</v>
      </c>
      <c r="D1353" s="7" t="s">
        <v>145</v>
      </c>
      <c r="E1353" s="7" t="s">
        <v>146</v>
      </c>
      <c r="F1353" s="7" t="s">
        <v>123</v>
      </c>
      <c r="G1353" s="7" t="s">
        <v>19</v>
      </c>
      <c r="H1353" s="9" t="n">
        <v>46098</v>
      </c>
      <c r="I1353" s="9" t="n">
        <v>46108</v>
      </c>
      <c r="J1353" s="7" t="n">
        <v>9.8</v>
      </c>
      <c r="K1353" s="7" t="s">
        <v>1392</v>
      </c>
      <c r="L1353" s="7" t="s">
        <v>21</v>
      </c>
      <c r="M1353" s="7" t="s">
        <v>1659</v>
      </c>
      <c r="N1353" s="7" t="s">
        <v>58</v>
      </c>
      <c r="O1353" s="10" t="n">
        <f aca="false">'Exec Summary'!$E$2-H1353</f>
        <v>136</v>
      </c>
      <c r="P1353" s="10" t="n">
        <f aca="false">IF(I1353="","",I1353-H1353)</f>
        <v>10</v>
      </c>
      <c r="Q1353" s="10" t="n">
        <f aca="false">VLOOKUP(G1353,$AA$2:$AB$5,2,FALSE())</f>
        <v>15</v>
      </c>
      <c r="R1353" s="7" t="n">
        <f aca="false">IF(OR(F1353="Open",F1353="Reopened"),1,0)</f>
        <v>1</v>
      </c>
      <c r="S1353" s="7" t="n">
        <f aca="false">IF(AND(H1353&gt;='Exec Summary'!$E$1,H1353&lt;='Exec Summary'!$E$2),1,0)</f>
        <v>0</v>
      </c>
      <c r="T1353" s="7" t="n">
        <f aca="false">IF(AND(F1353="Closed",I1353&lt;&gt;"",I1353&gt;='Exec Summary'!$E$1,I1353&lt;='Exec Summary'!$E$2),1,0)</f>
        <v>0</v>
      </c>
      <c r="U1353" s="7" t="n">
        <f aca="false">IF(F1353="Reopened",1,0)</f>
        <v>1</v>
      </c>
      <c r="V1353" s="7" t="n">
        <f aca="false">IF(AND(R1353=1,O1353&gt;Q1353),1,0)</f>
        <v>1</v>
      </c>
      <c r="W1353" s="7" t="n">
        <f aca="false">IF(AND(T1353=1,P1353&lt;&gt;"",P1353&lt;=Q1353),1,0)</f>
        <v>0</v>
      </c>
    </row>
    <row r="1354" customFormat="false" ht="15" hidden="false" customHeight="false" outlineLevel="0" collapsed="false">
      <c r="A1354" s="7" t="s">
        <v>1656</v>
      </c>
      <c r="B1354" s="7" t="s">
        <v>46</v>
      </c>
      <c r="C1354" s="7" t="s">
        <v>128</v>
      </c>
      <c r="D1354" s="7" t="s">
        <v>74</v>
      </c>
      <c r="E1354" s="7" t="s">
        <v>75</v>
      </c>
      <c r="F1354" s="7" t="s">
        <v>56</v>
      </c>
      <c r="G1354" s="7" t="s">
        <v>21</v>
      </c>
      <c r="H1354" s="9" t="n">
        <v>46041</v>
      </c>
      <c r="I1354" s="9"/>
      <c r="J1354" s="7" t="n">
        <v>6.5</v>
      </c>
      <c r="K1354" s="7" t="s">
        <v>1392</v>
      </c>
      <c r="L1354" s="7" t="s">
        <v>21</v>
      </c>
      <c r="M1354" s="7" t="s">
        <v>1660</v>
      </c>
      <c r="N1354" s="7" t="s">
        <v>77</v>
      </c>
      <c r="O1354" s="10" t="n">
        <f aca="false">'Exec Summary'!$E$2-H1354</f>
        <v>193</v>
      </c>
      <c r="P1354" s="10" t="str">
        <f aca="false">IF(I1354="","",I1354-H1354)</f>
        <v/>
      </c>
      <c r="Q1354" s="10" t="n">
        <f aca="false">VLOOKUP(G1354,$AA$2:$AB$5,2,FALSE())</f>
        <v>90</v>
      </c>
      <c r="R1354" s="7" t="n">
        <f aca="false">IF(OR(F1354="Open",F1354="Reopened"),1,0)</f>
        <v>1</v>
      </c>
      <c r="S1354" s="7" t="n">
        <f aca="false">IF(AND(H1354&gt;='Exec Summary'!$E$1,H1354&lt;='Exec Summary'!$E$2),1,0)</f>
        <v>0</v>
      </c>
      <c r="T1354" s="7" t="n">
        <f aca="false">IF(AND(F1354="Closed",I1354&lt;&gt;"",I1354&gt;='Exec Summary'!$E$1,I1354&lt;='Exec Summary'!$E$2),1,0)</f>
        <v>0</v>
      </c>
      <c r="U1354" s="7" t="n">
        <f aca="false">IF(F1354="Reopened",1,0)</f>
        <v>0</v>
      </c>
      <c r="V1354" s="7" t="n">
        <f aca="false">IF(AND(R1354=1,O1354&gt;Q1354),1,0)</f>
        <v>1</v>
      </c>
      <c r="W1354" s="7" t="n">
        <f aca="false">IF(AND(T1354=1,P1354&lt;&gt;"",P1354&lt;=Q1354),1,0)</f>
        <v>0</v>
      </c>
    </row>
    <row r="1355" customFormat="false" ht="15" hidden="false" customHeight="false" outlineLevel="0" collapsed="false">
      <c r="A1355" s="7" t="s">
        <v>1661</v>
      </c>
      <c r="B1355" s="7" t="s">
        <v>46</v>
      </c>
      <c r="C1355" s="7" t="s">
        <v>128</v>
      </c>
      <c r="D1355" s="7" t="s">
        <v>84</v>
      </c>
      <c r="E1355" s="7" t="s">
        <v>85</v>
      </c>
      <c r="F1355" s="7" t="s">
        <v>50</v>
      </c>
      <c r="G1355" s="7" t="s">
        <v>20</v>
      </c>
      <c r="H1355" s="9" t="n">
        <v>46089</v>
      </c>
      <c r="I1355" s="9" t="n">
        <v>46106</v>
      </c>
      <c r="J1355" s="7" t="n">
        <v>7.5</v>
      </c>
      <c r="K1355" s="7" t="s">
        <v>1392</v>
      </c>
      <c r="L1355" s="7" t="s">
        <v>21</v>
      </c>
      <c r="M1355" s="7" t="s">
        <v>1662</v>
      </c>
      <c r="N1355" s="7" t="s">
        <v>53</v>
      </c>
      <c r="O1355" s="10" t="n">
        <f aca="false">'Exec Summary'!$E$2-H1355</f>
        <v>145</v>
      </c>
      <c r="P1355" s="10" t="n">
        <f aca="false">IF(I1355="","",I1355-H1355)</f>
        <v>17</v>
      </c>
      <c r="Q1355" s="10" t="n">
        <f aca="false">VLOOKUP(G1355,$AA$2:$AB$5,2,FALSE())</f>
        <v>30</v>
      </c>
      <c r="R1355" s="7" t="n">
        <f aca="false">IF(OR(F1355="Open",F1355="Reopened"),1,0)</f>
        <v>0</v>
      </c>
      <c r="S1355" s="7" t="n">
        <f aca="false">IF(AND(H1355&gt;='Exec Summary'!$E$1,H1355&lt;='Exec Summary'!$E$2),1,0)</f>
        <v>0</v>
      </c>
      <c r="T1355" s="7" t="n">
        <f aca="false">IF(AND(F1355="Closed",I1355&lt;&gt;"",I1355&gt;='Exec Summary'!$E$1,I1355&lt;='Exec Summary'!$E$2),1,0)</f>
        <v>0</v>
      </c>
      <c r="U1355" s="7" t="n">
        <f aca="false">IF(F1355="Reopened",1,0)</f>
        <v>0</v>
      </c>
      <c r="V1355" s="7" t="n">
        <f aca="false">IF(AND(R1355=1,O1355&gt;Q1355),1,0)</f>
        <v>0</v>
      </c>
      <c r="W1355" s="7" t="n">
        <f aca="false">IF(AND(T1355=1,P1355&lt;&gt;"",P1355&lt;=Q1355),1,0)</f>
        <v>0</v>
      </c>
    </row>
    <row r="1356" customFormat="false" ht="15" hidden="false" customHeight="false" outlineLevel="0" collapsed="false">
      <c r="A1356" s="7" t="s">
        <v>1663</v>
      </c>
      <c r="B1356" s="7" t="s">
        <v>46</v>
      </c>
      <c r="C1356" s="7" t="s">
        <v>128</v>
      </c>
      <c r="D1356" s="7" t="s">
        <v>71</v>
      </c>
      <c r="E1356" s="7" t="s">
        <v>72</v>
      </c>
      <c r="F1356" s="7" t="s">
        <v>50</v>
      </c>
      <c r="G1356" s="7" t="s">
        <v>19</v>
      </c>
      <c r="H1356" s="9" t="n">
        <v>45993</v>
      </c>
      <c r="I1356" s="9" t="n">
        <v>46017</v>
      </c>
      <c r="J1356" s="7" t="n">
        <v>9.8</v>
      </c>
      <c r="K1356" s="7" t="s">
        <v>1392</v>
      </c>
      <c r="L1356" s="7" t="s">
        <v>22</v>
      </c>
      <c r="M1356" s="7" t="s">
        <v>1664</v>
      </c>
      <c r="N1356" s="7" t="s">
        <v>58</v>
      </c>
      <c r="O1356" s="10" t="n">
        <f aca="false">'Exec Summary'!$E$2-H1356</f>
        <v>241</v>
      </c>
      <c r="P1356" s="10" t="n">
        <f aca="false">IF(I1356="","",I1356-H1356)</f>
        <v>24</v>
      </c>
      <c r="Q1356" s="10" t="n">
        <f aca="false">VLOOKUP(G1356,$AA$2:$AB$5,2,FALSE())</f>
        <v>15</v>
      </c>
      <c r="R1356" s="7" t="n">
        <f aca="false">IF(OR(F1356="Open",F1356="Reopened"),1,0)</f>
        <v>0</v>
      </c>
      <c r="S1356" s="7" t="n">
        <f aca="false">IF(AND(H1356&gt;='Exec Summary'!$E$1,H1356&lt;='Exec Summary'!$E$2),1,0)</f>
        <v>0</v>
      </c>
      <c r="T1356" s="7" t="n">
        <f aca="false">IF(AND(F1356="Closed",I1356&lt;&gt;"",I1356&gt;='Exec Summary'!$E$1,I1356&lt;='Exec Summary'!$E$2),1,0)</f>
        <v>0</v>
      </c>
      <c r="U1356" s="7" t="n">
        <f aca="false">IF(F1356="Reopened",1,0)</f>
        <v>0</v>
      </c>
      <c r="V1356" s="7" t="n">
        <f aca="false">IF(AND(R1356=1,O1356&gt;Q1356),1,0)</f>
        <v>0</v>
      </c>
      <c r="W1356" s="7" t="n">
        <f aca="false">IF(AND(T1356=1,P1356&lt;&gt;"",P1356&lt;=Q1356),1,0)</f>
        <v>0</v>
      </c>
    </row>
    <row r="1357" customFormat="false" ht="15" hidden="false" customHeight="false" outlineLevel="0" collapsed="false">
      <c r="A1357" s="7" t="s">
        <v>1663</v>
      </c>
      <c r="B1357" s="7" t="s">
        <v>46</v>
      </c>
      <c r="C1357" s="7" t="s">
        <v>128</v>
      </c>
      <c r="D1357" s="7" t="s">
        <v>139</v>
      </c>
      <c r="E1357" s="7" t="s">
        <v>140</v>
      </c>
      <c r="F1357" s="7" t="s">
        <v>50</v>
      </c>
      <c r="G1357" s="7" t="s">
        <v>19</v>
      </c>
      <c r="H1357" s="9" t="n">
        <v>46143</v>
      </c>
      <c r="I1357" s="9" t="n">
        <v>46153</v>
      </c>
      <c r="J1357" s="7" t="n">
        <v>9.8</v>
      </c>
      <c r="K1357" s="7" t="s">
        <v>1392</v>
      </c>
      <c r="L1357" s="7" t="s">
        <v>22</v>
      </c>
      <c r="M1357" s="7" t="s">
        <v>1665</v>
      </c>
      <c r="N1357" s="7" t="s">
        <v>58</v>
      </c>
      <c r="O1357" s="10" t="n">
        <f aca="false">'Exec Summary'!$E$2-H1357</f>
        <v>91</v>
      </c>
      <c r="P1357" s="10" t="n">
        <f aca="false">IF(I1357="","",I1357-H1357)</f>
        <v>10</v>
      </c>
      <c r="Q1357" s="10" t="n">
        <f aca="false">VLOOKUP(G1357,$AA$2:$AB$5,2,FALSE())</f>
        <v>15</v>
      </c>
      <c r="R1357" s="7" t="n">
        <f aca="false">IF(OR(F1357="Open",F1357="Reopened"),1,0)</f>
        <v>0</v>
      </c>
      <c r="S1357" s="7" t="n">
        <f aca="false">IF(AND(H1357&gt;='Exec Summary'!$E$1,H1357&lt;='Exec Summary'!$E$2),1,0)</f>
        <v>0</v>
      </c>
      <c r="T1357" s="7" t="n">
        <f aca="false">IF(AND(F1357="Closed",I1357&lt;&gt;"",I1357&gt;='Exec Summary'!$E$1,I1357&lt;='Exec Summary'!$E$2),1,0)</f>
        <v>0</v>
      </c>
      <c r="U1357" s="7" t="n">
        <f aca="false">IF(F1357="Reopened",1,0)</f>
        <v>0</v>
      </c>
      <c r="V1357" s="7" t="n">
        <f aca="false">IF(AND(R1357=1,O1357&gt;Q1357),1,0)</f>
        <v>0</v>
      </c>
      <c r="W1357" s="7" t="n">
        <f aca="false">IF(AND(T1357=1,P1357&lt;&gt;"",P1357&lt;=Q1357),1,0)</f>
        <v>0</v>
      </c>
    </row>
    <row r="1358" customFormat="false" ht="15" hidden="false" customHeight="false" outlineLevel="0" collapsed="false">
      <c r="A1358" s="7" t="s">
        <v>1663</v>
      </c>
      <c r="B1358" s="7" t="s">
        <v>46</v>
      </c>
      <c r="C1358" s="7" t="s">
        <v>128</v>
      </c>
      <c r="D1358" s="7" t="s">
        <v>84</v>
      </c>
      <c r="E1358" s="7" t="s">
        <v>85</v>
      </c>
      <c r="F1358" s="7" t="s">
        <v>50</v>
      </c>
      <c r="G1358" s="7" t="s">
        <v>20</v>
      </c>
      <c r="H1358" s="9" t="n">
        <v>45993</v>
      </c>
      <c r="I1358" s="9" t="n">
        <v>46011</v>
      </c>
      <c r="J1358" s="7" t="n">
        <v>7.5</v>
      </c>
      <c r="K1358" s="7" t="s">
        <v>1392</v>
      </c>
      <c r="L1358" s="7" t="s">
        <v>22</v>
      </c>
      <c r="M1358" s="7" t="s">
        <v>1666</v>
      </c>
      <c r="N1358" s="7" t="s">
        <v>53</v>
      </c>
      <c r="O1358" s="10" t="n">
        <f aca="false">'Exec Summary'!$E$2-H1358</f>
        <v>241</v>
      </c>
      <c r="P1358" s="10" t="n">
        <f aca="false">IF(I1358="","",I1358-H1358)</f>
        <v>18</v>
      </c>
      <c r="Q1358" s="10" t="n">
        <f aca="false">VLOOKUP(G1358,$AA$2:$AB$5,2,FALSE())</f>
        <v>30</v>
      </c>
      <c r="R1358" s="7" t="n">
        <f aca="false">IF(OR(F1358="Open",F1358="Reopened"),1,0)</f>
        <v>0</v>
      </c>
      <c r="S1358" s="7" t="n">
        <f aca="false">IF(AND(H1358&gt;='Exec Summary'!$E$1,H1358&lt;='Exec Summary'!$E$2),1,0)</f>
        <v>0</v>
      </c>
      <c r="T1358" s="7" t="n">
        <f aca="false">IF(AND(F1358="Closed",I1358&lt;&gt;"",I1358&gt;='Exec Summary'!$E$1,I1358&lt;='Exec Summary'!$E$2),1,0)</f>
        <v>0</v>
      </c>
      <c r="U1358" s="7" t="n">
        <f aca="false">IF(F1358="Reopened",1,0)</f>
        <v>0</v>
      </c>
      <c r="V1358" s="7" t="n">
        <f aca="false">IF(AND(R1358=1,O1358&gt;Q1358),1,0)</f>
        <v>0</v>
      </c>
      <c r="W1358" s="7" t="n">
        <f aca="false">IF(AND(T1358=1,P1358&lt;&gt;"",P1358&lt;=Q1358),1,0)</f>
        <v>0</v>
      </c>
    </row>
    <row r="1359" customFormat="false" ht="15" hidden="false" customHeight="false" outlineLevel="0" collapsed="false">
      <c r="A1359" s="7" t="s">
        <v>1663</v>
      </c>
      <c r="B1359" s="7" t="s">
        <v>46</v>
      </c>
      <c r="C1359" s="7" t="s">
        <v>128</v>
      </c>
      <c r="D1359" s="7" t="s">
        <v>65</v>
      </c>
      <c r="E1359" s="7" t="s">
        <v>66</v>
      </c>
      <c r="F1359" s="7" t="s">
        <v>50</v>
      </c>
      <c r="G1359" s="7" t="s">
        <v>19</v>
      </c>
      <c r="H1359" s="9" t="n">
        <v>46026</v>
      </c>
      <c r="I1359" s="9" t="n">
        <v>46035</v>
      </c>
      <c r="J1359" s="7" t="n">
        <v>9.8</v>
      </c>
      <c r="K1359" s="7" t="s">
        <v>1392</v>
      </c>
      <c r="L1359" s="7" t="s">
        <v>22</v>
      </c>
      <c r="M1359" s="7" t="s">
        <v>1667</v>
      </c>
      <c r="N1359" s="7" t="s">
        <v>58</v>
      </c>
      <c r="O1359" s="10" t="n">
        <f aca="false">'Exec Summary'!$E$2-H1359</f>
        <v>208</v>
      </c>
      <c r="P1359" s="10" t="n">
        <f aca="false">IF(I1359="","",I1359-H1359)</f>
        <v>9</v>
      </c>
      <c r="Q1359" s="10" t="n">
        <f aca="false">VLOOKUP(G1359,$AA$2:$AB$5,2,FALSE())</f>
        <v>15</v>
      </c>
      <c r="R1359" s="7" t="n">
        <f aca="false">IF(OR(F1359="Open",F1359="Reopened"),1,0)</f>
        <v>0</v>
      </c>
      <c r="S1359" s="7" t="n">
        <f aca="false">IF(AND(H1359&gt;='Exec Summary'!$E$1,H1359&lt;='Exec Summary'!$E$2),1,0)</f>
        <v>0</v>
      </c>
      <c r="T1359" s="7" t="n">
        <f aca="false">IF(AND(F1359="Closed",I1359&lt;&gt;"",I1359&gt;='Exec Summary'!$E$1,I1359&lt;='Exec Summary'!$E$2),1,0)</f>
        <v>0</v>
      </c>
      <c r="U1359" s="7" t="n">
        <f aca="false">IF(F1359="Reopened",1,0)</f>
        <v>0</v>
      </c>
      <c r="V1359" s="7" t="n">
        <f aca="false">IF(AND(R1359=1,O1359&gt;Q1359),1,0)</f>
        <v>0</v>
      </c>
      <c r="W1359" s="7" t="n">
        <f aca="false">IF(AND(T1359=1,P1359&lt;&gt;"",P1359&lt;=Q1359),1,0)</f>
        <v>0</v>
      </c>
    </row>
    <row r="1360" customFormat="false" ht="15" hidden="false" customHeight="false" outlineLevel="0" collapsed="false">
      <c r="A1360" s="7" t="s">
        <v>1663</v>
      </c>
      <c r="B1360" s="7" t="s">
        <v>46</v>
      </c>
      <c r="C1360" s="7" t="s">
        <v>128</v>
      </c>
      <c r="D1360" s="7" t="s">
        <v>131</v>
      </c>
      <c r="E1360" s="7" t="s">
        <v>132</v>
      </c>
      <c r="F1360" s="7" t="s">
        <v>56</v>
      </c>
      <c r="G1360" s="7" t="s">
        <v>19</v>
      </c>
      <c r="H1360" s="9" t="n">
        <v>46204</v>
      </c>
      <c r="I1360" s="9"/>
      <c r="J1360" s="7" t="n">
        <v>9.8</v>
      </c>
      <c r="K1360" s="7" t="s">
        <v>1392</v>
      </c>
      <c r="L1360" s="7" t="s">
        <v>22</v>
      </c>
      <c r="M1360" s="7" t="s">
        <v>1668</v>
      </c>
      <c r="N1360" s="7" t="s">
        <v>58</v>
      </c>
      <c r="O1360" s="10" t="n">
        <f aca="false">'Exec Summary'!$E$2-H1360</f>
        <v>30</v>
      </c>
      <c r="P1360" s="10" t="str">
        <f aca="false">IF(I1360="","",I1360-H1360)</f>
        <v/>
      </c>
      <c r="Q1360" s="10" t="n">
        <f aca="false">VLOOKUP(G1360,$AA$2:$AB$5,2,FALSE())</f>
        <v>15</v>
      </c>
      <c r="R1360" s="7" t="n">
        <f aca="false">IF(OR(F1360="Open",F1360="Reopened"),1,0)</f>
        <v>1</v>
      </c>
      <c r="S1360" s="7" t="n">
        <f aca="false">IF(AND(H1360&gt;='Exec Summary'!$E$1,H1360&lt;='Exec Summary'!$E$2),1,0)</f>
        <v>1</v>
      </c>
      <c r="T1360" s="7" t="n">
        <f aca="false">IF(AND(F1360="Closed",I1360&lt;&gt;"",I1360&gt;='Exec Summary'!$E$1,I1360&lt;='Exec Summary'!$E$2),1,0)</f>
        <v>0</v>
      </c>
      <c r="U1360" s="7" t="n">
        <f aca="false">IF(F1360="Reopened",1,0)</f>
        <v>0</v>
      </c>
      <c r="V1360" s="7" t="n">
        <f aca="false">IF(AND(R1360=1,O1360&gt;Q1360),1,0)</f>
        <v>1</v>
      </c>
      <c r="W1360" s="7" t="n">
        <f aca="false">IF(AND(T1360=1,P1360&lt;&gt;"",P1360&lt;=Q1360),1,0)</f>
        <v>0</v>
      </c>
    </row>
    <row r="1361" customFormat="false" ht="15" hidden="false" customHeight="false" outlineLevel="0" collapsed="false">
      <c r="A1361" s="7" t="s">
        <v>1663</v>
      </c>
      <c r="B1361" s="7" t="s">
        <v>46</v>
      </c>
      <c r="C1361" s="7" t="s">
        <v>128</v>
      </c>
      <c r="D1361" s="7" t="s">
        <v>68</v>
      </c>
      <c r="E1361" s="7" t="s">
        <v>69</v>
      </c>
      <c r="F1361" s="7" t="s">
        <v>56</v>
      </c>
      <c r="G1361" s="7" t="s">
        <v>19</v>
      </c>
      <c r="H1361" s="9" t="n">
        <v>46035</v>
      </c>
      <c r="I1361" s="9"/>
      <c r="J1361" s="7" t="n">
        <v>9.8</v>
      </c>
      <c r="K1361" s="7" t="s">
        <v>1392</v>
      </c>
      <c r="L1361" s="7" t="s">
        <v>22</v>
      </c>
      <c r="M1361" s="7" t="s">
        <v>1669</v>
      </c>
      <c r="N1361" s="7" t="s">
        <v>58</v>
      </c>
      <c r="O1361" s="10" t="n">
        <f aca="false">'Exec Summary'!$E$2-H1361</f>
        <v>199</v>
      </c>
      <c r="P1361" s="10" t="str">
        <f aca="false">IF(I1361="","",I1361-H1361)</f>
        <v/>
      </c>
      <c r="Q1361" s="10" t="n">
        <f aca="false">VLOOKUP(G1361,$AA$2:$AB$5,2,FALSE())</f>
        <v>15</v>
      </c>
      <c r="R1361" s="7" t="n">
        <f aca="false">IF(OR(F1361="Open",F1361="Reopened"),1,0)</f>
        <v>1</v>
      </c>
      <c r="S1361" s="7" t="n">
        <f aca="false">IF(AND(H1361&gt;='Exec Summary'!$E$1,H1361&lt;='Exec Summary'!$E$2),1,0)</f>
        <v>0</v>
      </c>
      <c r="T1361" s="7" t="n">
        <f aca="false">IF(AND(F1361="Closed",I1361&lt;&gt;"",I1361&gt;='Exec Summary'!$E$1,I1361&lt;='Exec Summary'!$E$2),1,0)</f>
        <v>0</v>
      </c>
      <c r="U1361" s="7" t="n">
        <f aca="false">IF(F1361="Reopened",1,0)</f>
        <v>0</v>
      </c>
      <c r="V1361" s="7" t="n">
        <f aca="false">IF(AND(R1361=1,O1361&gt;Q1361),1,0)</f>
        <v>1</v>
      </c>
      <c r="W1361" s="7" t="n">
        <f aca="false">IF(AND(T1361=1,P1361&lt;&gt;"",P1361&lt;=Q1361),1,0)</f>
        <v>0</v>
      </c>
    </row>
    <row r="1362" customFormat="false" ht="15" hidden="false" customHeight="false" outlineLevel="0" collapsed="false">
      <c r="A1362" s="7" t="s">
        <v>1663</v>
      </c>
      <c r="B1362" s="7" t="s">
        <v>46</v>
      </c>
      <c r="C1362" s="7" t="s">
        <v>128</v>
      </c>
      <c r="D1362" s="7" t="s">
        <v>145</v>
      </c>
      <c r="E1362" s="7" t="s">
        <v>146</v>
      </c>
      <c r="F1362" s="7" t="s">
        <v>50</v>
      </c>
      <c r="G1362" s="7" t="s">
        <v>19</v>
      </c>
      <c r="H1362" s="9" t="n">
        <v>45952</v>
      </c>
      <c r="I1362" s="9" t="n">
        <v>45962</v>
      </c>
      <c r="J1362" s="7" t="n">
        <v>9.8</v>
      </c>
      <c r="K1362" s="7" t="s">
        <v>1392</v>
      </c>
      <c r="L1362" s="7" t="s">
        <v>22</v>
      </c>
      <c r="M1362" s="7" t="s">
        <v>1670</v>
      </c>
      <c r="N1362" s="7" t="s">
        <v>58</v>
      </c>
      <c r="O1362" s="10" t="n">
        <f aca="false">'Exec Summary'!$E$2-H1362</f>
        <v>282</v>
      </c>
      <c r="P1362" s="10" t="n">
        <f aca="false">IF(I1362="","",I1362-H1362)</f>
        <v>10</v>
      </c>
      <c r="Q1362" s="10" t="n">
        <f aca="false">VLOOKUP(G1362,$AA$2:$AB$5,2,FALSE())</f>
        <v>15</v>
      </c>
      <c r="R1362" s="7" t="n">
        <f aca="false">IF(OR(F1362="Open",F1362="Reopened"),1,0)</f>
        <v>0</v>
      </c>
      <c r="S1362" s="7" t="n">
        <f aca="false">IF(AND(H1362&gt;='Exec Summary'!$E$1,H1362&lt;='Exec Summary'!$E$2),1,0)</f>
        <v>0</v>
      </c>
      <c r="T1362" s="7" t="n">
        <f aca="false">IF(AND(F1362="Closed",I1362&lt;&gt;"",I1362&gt;='Exec Summary'!$E$1,I1362&lt;='Exec Summary'!$E$2),1,0)</f>
        <v>0</v>
      </c>
      <c r="U1362" s="7" t="n">
        <f aca="false">IF(F1362="Reopened",1,0)</f>
        <v>0</v>
      </c>
      <c r="V1362" s="7" t="n">
        <f aca="false">IF(AND(R1362=1,O1362&gt;Q1362),1,0)</f>
        <v>0</v>
      </c>
      <c r="W1362" s="7" t="n">
        <f aca="false">IF(AND(T1362=1,P1362&lt;&gt;"",P1362&lt;=Q1362),1,0)</f>
        <v>0</v>
      </c>
    </row>
    <row r="1363" customFormat="false" ht="15" hidden="false" customHeight="false" outlineLevel="0" collapsed="false">
      <c r="A1363" s="7" t="s">
        <v>1663</v>
      </c>
      <c r="B1363" s="7" t="s">
        <v>46</v>
      </c>
      <c r="C1363" s="7" t="s">
        <v>128</v>
      </c>
      <c r="D1363" s="7" t="s">
        <v>192</v>
      </c>
      <c r="E1363" s="7" t="s">
        <v>193</v>
      </c>
      <c r="F1363" s="7" t="s">
        <v>50</v>
      </c>
      <c r="G1363" s="7" t="s">
        <v>19</v>
      </c>
      <c r="H1363" s="9" t="n">
        <v>46106</v>
      </c>
      <c r="I1363" s="9" t="n">
        <v>46121</v>
      </c>
      <c r="J1363" s="7" t="n">
        <v>9.8</v>
      </c>
      <c r="K1363" s="7" t="s">
        <v>1392</v>
      </c>
      <c r="L1363" s="7" t="s">
        <v>22</v>
      </c>
      <c r="M1363" s="7" t="s">
        <v>1671</v>
      </c>
      <c r="N1363" s="7" t="s">
        <v>58</v>
      </c>
      <c r="O1363" s="10" t="n">
        <f aca="false">'Exec Summary'!$E$2-H1363</f>
        <v>128</v>
      </c>
      <c r="P1363" s="10" t="n">
        <f aca="false">IF(I1363="","",I1363-H1363)</f>
        <v>15</v>
      </c>
      <c r="Q1363" s="10" t="n">
        <f aca="false">VLOOKUP(G1363,$AA$2:$AB$5,2,FALSE())</f>
        <v>15</v>
      </c>
      <c r="R1363" s="7" t="n">
        <f aca="false">IF(OR(F1363="Open",F1363="Reopened"),1,0)</f>
        <v>0</v>
      </c>
      <c r="S1363" s="7" t="n">
        <f aca="false">IF(AND(H1363&gt;='Exec Summary'!$E$1,H1363&lt;='Exec Summary'!$E$2),1,0)</f>
        <v>0</v>
      </c>
      <c r="T1363" s="7" t="n">
        <f aca="false">IF(AND(F1363="Closed",I1363&lt;&gt;"",I1363&gt;='Exec Summary'!$E$1,I1363&lt;='Exec Summary'!$E$2),1,0)</f>
        <v>0</v>
      </c>
      <c r="U1363" s="7" t="n">
        <f aca="false">IF(F1363="Reopened",1,0)</f>
        <v>0</v>
      </c>
      <c r="V1363" s="7" t="n">
        <f aca="false">IF(AND(R1363=1,O1363&gt;Q1363),1,0)</f>
        <v>0</v>
      </c>
      <c r="W1363" s="7" t="n">
        <f aca="false">IF(AND(T1363=1,P1363&lt;&gt;"",P1363&lt;=Q1363),1,0)</f>
        <v>0</v>
      </c>
    </row>
    <row r="1364" customFormat="false" ht="15" hidden="false" customHeight="false" outlineLevel="0" collapsed="false">
      <c r="A1364" s="7" t="s">
        <v>1663</v>
      </c>
      <c r="B1364" s="7" t="s">
        <v>46</v>
      </c>
      <c r="C1364" s="7" t="s">
        <v>128</v>
      </c>
      <c r="D1364" s="7" t="s">
        <v>104</v>
      </c>
      <c r="E1364" s="7" t="s">
        <v>105</v>
      </c>
      <c r="F1364" s="7" t="s">
        <v>50</v>
      </c>
      <c r="G1364" s="7" t="s">
        <v>19</v>
      </c>
      <c r="H1364" s="9" t="n">
        <v>46200</v>
      </c>
      <c r="I1364" s="9" t="n">
        <v>46211</v>
      </c>
      <c r="J1364" s="7" t="n">
        <v>9.8</v>
      </c>
      <c r="K1364" s="7" t="s">
        <v>1392</v>
      </c>
      <c r="L1364" s="7" t="s">
        <v>22</v>
      </c>
      <c r="M1364" s="7" t="s">
        <v>1672</v>
      </c>
      <c r="N1364" s="7" t="s">
        <v>58</v>
      </c>
      <c r="O1364" s="10" t="n">
        <f aca="false">'Exec Summary'!$E$2-H1364</f>
        <v>34</v>
      </c>
      <c r="P1364" s="10" t="n">
        <f aca="false">IF(I1364="","",I1364-H1364)</f>
        <v>11</v>
      </c>
      <c r="Q1364" s="10" t="n">
        <f aca="false">VLOOKUP(G1364,$AA$2:$AB$5,2,FALSE())</f>
        <v>15</v>
      </c>
      <c r="R1364" s="7" t="n">
        <f aca="false">IF(OR(F1364="Open",F1364="Reopened"),1,0)</f>
        <v>0</v>
      </c>
      <c r="S1364" s="7" t="n">
        <f aca="false">IF(AND(H1364&gt;='Exec Summary'!$E$1,H1364&lt;='Exec Summary'!$E$2),1,0)</f>
        <v>0</v>
      </c>
      <c r="T1364" s="7" t="n">
        <f aca="false">IF(AND(F1364="Closed",I1364&lt;&gt;"",I1364&gt;='Exec Summary'!$E$1,I1364&lt;='Exec Summary'!$E$2),1,0)</f>
        <v>1</v>
      </c>
      <c r="U1364" s="7" t="n">
        <f aca="false">IF(F1364="Reopened",1,0)</f>
        <v>0</v>
      </c>
      <c r="V1364" s="7" t="n">
        <f aca="false">IF(AND(R1364=1,O1364&gt;Q1364),1,0)</f>
        <v>0</v>
      </c>
      <c r="W1364" s="7" t="n">
        <f aca="false">IF(AND(T1364=1,P1364&lt;&gt;"",P1364&lt;=Q1364),1,0)</f>
        <v>1</v>
      </c>
    </row>
    <row r="1365" customFormat="false" ht="15" hidden="false" customHeight="false" outlineLevel="0" collapsed="false">
      <c r="A1365" s="7" t="s">
        <v>1663</v>
      </c>
      <c r="B1365" s="7" t="s">
        <v>46</v>
      </c>
      <c r="C1365" s="7" t="s">
        <v>128</v>
      </c>
      <c r="D1365" s="7" t="s">
        <v>152</v>
      </c>
      <c r="E1365" s="7" t="s">
        <v>153</v>
      </c>
      <c r="F1365" s="7" t="s">
        <v>50</v>
      </c>
      <c r="G1365" s="7" t="s">
        <v>20</v>
      </c>
      <c r="H1365" s="9" t="n">
        <v>46024</v>
      </c>
      <c r="I1365" s="9" t="n">
        <v>46041</v>
      </c>
      <c r="J1365" s="7" t="n">
        <v>7.5</v>
      </c>
      <c r="K1365" s="7" t="s">
        <v>1392</v>
      </c>
      <c r="L1365" s="7" t="s">
        <v>22</v>
      </c>
      <c r="M1365" s="7" t="s">
        <v>1673</v>
      </c>
      <c r="N1365" s="7" t="s">
        <v>53</v>
      </c>
      <c r="O1365" s="10" t="n">
        <f aca="false">'Exec Summary'!$E$2-H1365</f>
        <v>210</v>
      </c>
      <c r="P1365" s="10" t="n">
        <f aca="false">IF(I1365="","",I1365-H1365)</f>
        <v>17</v>
      </c>
      <c r="Q1365" s="10" t="n">
        <f aca="false">VLOOKUP(G1365,$AA$2:$AB$5,2,FALSE())</f>
        <v>30</v>
      </c>
      <c r="R1365" s="7" t="n">
        <f aca="false">IF(OR(F1365="Open",F1365="Reopened"),1,0)</f>
        <v>0</v>
      </c>
      <c r="S1365" s="7" t="n">
        <f aca="false">IF(AND(H1365&gt;='Exec Summary'!$E$1,H1365&lt;='Exec Summary'!$E$2),1,0)</f>
        <v>0</v>
      </c>
      <c r="T1365" s="7" t="n">
        <f aca="false">IF(AND(F1365="Closed",I1365&lt;&gt;"",I1365&gt;='Exec Summary'!$E$1,I1365&lt;='Exec Summary'!$E$2),1,0)</f>
        <v>0</v>
      </c>
      <c r="U1365" s="7" t="n">
        <f aca="false">IF(F1365="Reopened",1,0)</f>
        <v>0</v>
      </c>
      <c r="V1365" s="7" t="n">
        <f aca="false">IF(AND(R1365=1,O1365&gt;Q1365),1,0)</f>
        <v>0</v>
      </c>
      <c r="W1365" s="7" t="n">
        <f aca="false">IF(AND(T1365=1,P1365&lt;&gt;"",P1365&lt;=Q1365),1,0)</f>
        <v>0</v>
      </c>
    </row>
    <row r="1366" customFormat="false" ht="15" hidden="false" customHeight="false" outlineLevel="0" collapsed="false">
      <c r="A1366" s="7" t="s">
        <v>1663</v>
      </c>
      <c r="B1366" s="7" t="s">
        <v>46</v>
      </c>
      <c r="C1366" s="7" t="s">
        <v>128</v>
      </c>
      <c r="D1366" s="7" t="s">
        <v>117</v>
      </c>
      <c r="E1366" s="7" t="s">
        <v>118</v>
      </c>
      <c r="F1366" s="7" t="s">
        <v>56</v>
      </c>
      <c r="G1366" s="7" t="s">
        <v>19</v>
      </c>
      <c r="H1366" s="9" t="n">
        <v>46005</v>
      </c>
      <c r="I1366" s="9"/>
      <c r="J1366" s="7" t="n">
        <v>10</v>
      </c>
      <c r="K1366" s="7" t="s">
        <v>1392</v>
      </c>
      <c r="L1366" s="7" t="s">
        <v>22</v>
      </c>
      <c r="M1366" s="7" t="s">
        <v>1674</v>
      </c>
      <c r="N1366" s="7" t="s">
        <v>58</v>
      </c>
      <c r="O1366" s="10" t="n">
        <f aca="false">'Exec Summary'!$E$2-H1366</f>
        <v>229</v>
      </c>
      <c r="P1366" s="10" t="str">
        <f aca="false">IF(I1366="","",I1366-H1366)</f>
        <v/>
      </c>
      <c r="Q1366" s="10" t="n">
        <f aca="false">VLOOKUP(G1366,$AA$2:$AB$5,2,FALSE())</f>
        <v>15</v>
      </c>
      <c r="R1366" s="7" t="n">
        <f aca="false">IF(OR(F1366="Open",F1366="Reopened"),1,0)</f>
        <v>1</v>
      </c>
      <c r="S1366" s="7" t="n">
        <f aca="false">IF(AND(H1366&gt;='Exec Summary'!$E$1,H1366&lt;='Exec Summary'!$E$2),1,0)</f>
        <v>0</v>
      </c>
      <c r="T1366" s="7" t="n">
        <f aca="false">IF(AND(F1366="Closed",I1366&lt;&gt;"",I1366&gt;='Exec Summary'!$E$1,I1366&lt;='Exec Summary'!$E$2),1,0)</f>
        <v>0</v>
      </c>
      <c r="U1366" s="7" t="n">
        <f aca="false">IF(F1366="Reopened",1,0)</f>
        <v>0</v>
      </c>
      <c r="V1366" s="7" t="n">
        <f aca="false">IF(AND(R1366=1,O1366&gt;Q1366),1,0)</f>
        <v>1</v>
      </c>
      <c r="W1366" s="7" t="n">
        <f aca="false">IF(AND(T1366=1,P1366&lt;&gt;"",P1366&lt;=Q1366),1,0)</f>
        <v>0</v>
      </c>
    </row>
    <row r="1367" customFormat="false" ht="15" hidden="false" customHeight="false" outlineLevel="0" collapsed="false">
      <c r="A1367" s="7" t="s">
        <v>1675</v>
      </c>
      <c r="B1367" s="7" t="s">
        <v>46</v>
      </c>
      <c r="C1367" s="7" t="s">
        <v>47</v>
      </c>
      <c r="D1367" s="7" t="s">
        <v>101</v>
      </c>
      <c r="E1367" s="7" t="s">
        <v>102</v>
      </c>
      <c r="F1367" s="7" t="s">
        <v>56</v>
      </c>
      <c r="G1367" s="7" t="s">
        <v>19</v>
      </c>
      <c r="H1367" s="9" t="n">
        <v>46033</v>
      </c>
      <c r="I1367" s="9"/>
      <c r="J1367" s="7" t="n">
        <v>10</v>
      </c>
      <c r="K1367" s="7" t="s">
        <v>1392</v>
      </c>
      <c r="L1367" s="7" t="s">
        <v>20</v>
      </c>
      <c r="M1367" s="7" t="s">
        <v>1676</v>
      </c>
      <c r="N1367" s="7" t="s">
        <v>58</v>
      </c>
      <c r="O1367" s="10" t="n">
        <f aca="false">'Exec Summary'!$E$2-H1367</f>
        <v>201</v>
      </c>
      <c r="P1367" s="10" t="str">
        <f aca="false">IF(I1367="","",I1367-H1367)</f>
        <v/>
      </c>
      <c r="Q1367" s="10" t="n">
        <f aca="false">VLOOKUP(G1367,$AA$2:$AB$5,2,FALSE())</f>
        <v>15</v>
      </c>
      <c r="R1367" s="7" t="n">
        <f aca="false">IF(OR(F1367="Open",F1367="Reopened"),1,0)</f>
        <v>1</v>
      </c>
      <c r="S1367" s="7" t="n">
        <f aca="false">IF(AND(H1367&gt;='Exec Summary'!$E$1,H1367&lt;='Exec Summary'!$E$2),1,0)</f>
        <v>0</v>
      </c>
      <c r="T1367" s="7" t="n">
        <f aca="false">IF(AND(F1367="Closed",I1367&lt;&gt;"",I1367&gt;='Exec Summary'!$E$1,I1367&lt;='Exec Summary'!$E$2),1,0)</f>
        <v>0</v>
      </c>
      <c r="U1367" s="7" t="n">
        <f aca="false">IF(F1367="Reopened",1,0)</f>
        <v>0</v>
      </c>
      <c r="V1367" s="7" t="n">
        <f aca="false">IF(AND(R1367=1,O1367&gt;Q1367),1,0)</f>
        <v>1</v>
      </c>
      <c r="W1367" s="7" t="n">
        <f aca="false">IF(AND(T1367=1,P1367&lt;&gt;"",P1367&lt;=Q1367),1,0)</f>
        <v>0</v>
      </c>
    </row>
    <row r="1368" customFormat="false" ht="15" hidden="false" customHeight="false" outlineLevel="0" collapsed="false">
      <c r="A1368" s="7" t="s">
        <v>1675</v>
      </c>
      <c r="B1368" s="7" t="s">
        <v>46</v>
      </c>
      <c r="C1368" s="7" t="s">
        <v>47</v>
      </c>
      <c r="D1368" s="7" t="s">
        <v>59</v>
      </c>
      <c r="E1368" s="7" t="s">
        <v>60</v>
      </c>
      <c r="F1368" s="7" t="s">
        <v>56</v>
      </c>
      <c r="G1368" s="7" t="s">
        <v>19</v>
      </c>
      <c r="H1368" s="9" t="n">
        <v>46113</v>
      </c>
      <c r="I1368" s="9"/>
      <c r="J1368" s="7" t="n">
        <v>7.8</v>
      </c>
      <c r="K1368" s="7" t="s">
        <v>1392</v>
      </c>
      <c r="L1368" s="7" t="s">
        <v>20</v>
      </c>
      <c r="M1368" s="7" t="s">
        <v>1677</v>
      </c>
      <c r="N1368" s="7" t="s">
        <v>58</v>
      </c>
      <c r="O1368" s="10" t="n">
        <f aca="false">'Exec Summary'!$E$2-H1368</f>
        <v>121</v>
      </c>
      <c r="P1368" s="10" t="str">
        <f aca="false">IF(I1368="","",I1368-H1368)</f>
        <v/>
      </c>
      <c r="Q1368" s="10" t="n">
        <f aca="false">VLOOKUP(G1368,$AA$2:$AB$5,2,FALSE())</f>
        <v>15</v>
      </c>
      <c r="R1368" s="7" t="n">
        <f aca="false">IF(OR(F1368="Open",F1368="Reopened"),1,0)</f>
        <v>1</v>
      </c>
      <c r="S1368" s="7" t="n">
        <f aca="false">IF(AND(H1368&gt;='Exec Summary'!$E$1,H1368&lt;='Exec Summary'!$E$2),1,0)</f>
        <v>0</v>
      </c>
      <c r="T1368" s="7" t="n">
        <f aca="false">IF(AND(F1368="Closed",I1368&lt;&gt;"",I1368&gt;='Exec Summary'!$E$1,I1368&lt;='Exec Summary'!$E$2),1,0)</f>
        <v>0</v>
      </c>
      <c r="U1368" s="7" t="n">
        <f aca="false">IF(F1368="Reopened",1,0)</f>
        <v>0</v>
      </c>
      <c r="V1368" s="7" t="n">
        <f aca="false">IF(AND(R1368=1,O1368&gt;Q1368),1,0)</f>
        <v>1</v>
      </c>
      <c r="W1368" s="7" t="n">
        <f aca="false">IF(AND(T1368=1,P1368&lt;&gt;"",P1368&lt;=Q1368),1,0)</f>
        <v>0</v>
      </c>
    </row>
    <row r="1369" customFormat="false" ht="15" hidden="false" customHeight="false" outlineLevel="0" collapsed="false">
      <c r="A1369" s="7" t="s">
        <v>1675</v>
      </c>
      <c r="B1369" s="7" t="s">
        <v>46</v>
      </c>
      <c r="C1369" s="7" t="s">
        <v>47</v>
      </c>
      <c r="D1369" s="7" t="s">
        <v>71</v>
      </c>
      <c r="E1369" s="7" t="s">
        <v>72</v>
      </c>
      <c r="F1369" s="7" t="s">
        <v>56</v>
      </c>
      <c r="G1369" s="7" t="s">
        <v>19</v>
      </c>
      <c r="H1369" s="9" t="n">
        <v>45934</v>
      </c>
      <c r="I1369" s="9"/>
      <c r="J1369" s="7" t="n">
        <v>9.8</v>
      </c>
      <c r="K1369" s="7" t="s">
        <v>1392</v>
      </c>
      <c r="L1369" s="7" t="s">
        <v>20</v>
      </c>
      <c r="M1369" s="7" t="s">
        <v>1678</v>
      </c>
      <c r="N1369" s="7" t="s">
        <v>58</v>
      </c>
      <c r="O1369" s="10" t="n">
        <f aca="false">'Exec Summary'!$E$2-H1369</f>
        <v>300</v>
      </c>
      <c r="P1369" s="10" t="str">
        <f aca="false">IF(I1369="","",I1369-H1369)</f>
        <v/>
      </c>
      <c r="Q1369" s="10" t="n">
        <f aca="false">VLOOKUP(G1369,$AA$2:$AB$5,2,FALSE())</f>
        <v>15</v>
      </c>
      <c r="R1369" s="7" t="n">
        <f aca="false">IF(OR(F1369="Open",F1369="Reopened"),1,0)</f>
        <v>1</v>
      </c>
      <c r="S1369" s="7" t="n">
        <f aca="false">IF(AND(H1369&gt;='Exec Summary'!$E$1,H1369&lt;='Exec Summary'!$E$2),1,0)</f>
        <v>0</v>
      </c>
      <c r="T1369" s="7" t="n">
        <f aca="false">IF(AND(F1369="Closed",I1369&lt;&gt;"",I1369&gt;='Exec Summary'!$E$1,I1369&lt;='Exec Summary'!$E$2),1,0)</f>
        <v>0</v>
      </c>
      <c r="U1369" s="7" t="n">
        <f aca="false">IF(F1369="Reopened",1,0)</f>
        <v>0</v>
      </c>
      <c r="V1369" s="7" t="n">
        <f aca="false">IF(AND(R1369=1,O1369&gt;Q1369),1,0)</f>
        <v>1</v>
      </c>
      <c r="W1369" s="7" t="n">
        <f aca="false">IF(AND(T1369=1,P1369&lt;&gt;"",P1369&lt;=Q1369),1,0)</f>
        <v>0</v>
      </c>
    </row>
    <row r="1370" customFormat="false" ht="15" hidden="false" customHeight="false" outlineLevel="0" collapsed="false">
      <c r="A1370" s="7" t="s">
        <v>1679</v>
      </c>
      <c r="B1370" s="7" t="s">
        <v>46</v>
      </c>
      <c r="C1370" s="7" t="s">
        <v>79</v>
      </c>
      <c r="D1370" s="7" t="s">
        <v>152</v>
      </c>
      <c r="E1370" s="7" t="s">
        <v>153</v>
      </c>
      <c r="F1370" s="7" t="s">
        <v>50</v>
      </c>
      <c r="G1370" s="7" t="s">
        <v>20</v>
      </c>
      <c r="H1370" s="9" t="n">
        <v>45983</v>
      </c>
      <c r="I1370" s="9" t="n">
        <v>46028</v>
      </c>
      <c r="J1370" s="7" t="n">
        <v>7.5</v>
      </c>
      <c r="K1370" s="7" t="s">
        <v>1392</v>
      </c>
      <c r="L1370" s="7" t="s">
        <v>21</v>
      </c>
      <c r="M1370" s="7" t="s">
        <v>1680</v>
      </c>
      <c r="N1370" s="7" t="s">
        <v>53</v>
      </c>
      <c r="O1370" s="10" t="n">
        <f aca="false">'Exec Summary'!$E$2-H1370</f>
        <v>251</v>
      </c>
      <c r="P1370" s="10" t="n">
        <f aca="false">IF(I1370="","",I1370-H1370)</f>
        <v>45</v>
      </c>
      <c r="Q1370" s="10" t="n">
        <f aca="false">VLOOKUP(G1370,$AA$2:$AB$5,2,FALSE())</f>
        <v>30</v>
      </c>
      <c r="R1370" s="7" t="n">
        <f aca="false">IF(OR(F1370="Open",F1370="Reopened"),1,0)</f>
        <v>0</v>
      </c>
      <c r="S1370" s="7" t="n">
        <f aca="false">IF(AND(H1370&gt;='Exec Summary'!$E$1,H1370&lt;='Exec Summary'!$E$2),1,0)</f>
        <v>0</v>
      </c>
      <c r="T1370" s="7" t="n">
        <f aca="false">IF(AND(F1370="Closed",I1370&lt;&gt;"",I1370&gt;='Exec Summary'!$E$1,I1370&lt;='Exec Summary'!$E$2),1,0)</f>
        <v>0</v>
      </c>
      <c r="U1370" s="7" t="n">
        <f aca="false">IF(F1370="Reopened",1,0)</f>
        <v>0</v>
      </c>
      <c r="V1370" s="7" t="n">
        <f aca="false">IF(AND(R1370=1,O1370&gt;Q1370),1,0)</f>
        <v>0</v>
      </c>
      <c r="W1370" s="7" t="n">
        <f aca="false">IF(AND(T1370=1,P1370&lt;&gt;"",P1370&lt;=Q1370),1,0)</f>
        <v>0</v>
      </c>
    </row>
    <row r="1371" customFormat="false" ht="15" hidden="false" customHeight="false" outlineLevel="0" collapsed="false">
      <c r="A1371" s="7" t="s">
        <v>1681</v>
      </c>
      <c r="B1371" s="7" t="s">
        <v>46</v>
      </c>
      <c r="C1371" s="7" t="s">
        <v>177</v>
      </c>
      <c r="D1371" s="7" t="s">
        <v>152</v>
      </c>
      <c r="E1371" s="7" t="s">
        <v>153</v>
      </c>
      <c r="F1371" s="7" t="s">
        <v>50</v>
      </c>
      <c r="G1371" s="7" t="s">
        <v>20</v>
      </c>
      <c r="H1371" s="9" t="n">
        <v>45947</v>
      </c>
      <c r="I1371" s="9" t="n">
        <v>45989</v>
      </c>
      <c r="J1371" s="7" t="n">
        <v>7.5</v>
      </c>
      <c r="K1371" s="7" t="s">
        <v>1392</v>
      </c>
      <c r="L1371" s="7" t="s">
        <v>21</v>
      </c>
      <c r="M1371" s="7" t="s">
        <v>1682</v>
      </c>
      <c r="N1371" s="7" t="s">
        <v>53</v>
      </c>
      <c r="O1371" s="10" t="n">
        <f aca="false">'Exec Summary'!$E$2-H1371</f>
        <v>287</v>
      </c>
      <c r="P1371" s="10" t="n">
        <f aca="false">IF(I1371="","",I1371-H1371)</f>
        <v>42</v>
      </c>
      <c r="Q1371" s="10" t="n">
        <f aca="false">VLOOKUP(G1371,$AA$2:$AB$5,2,FALSE())</f>
        <v>30</v>
      </c>
      <c r="R1371" s="7" t="n">
        <f aca="false">IF(OR(F1371="Open",F1371="Reopened"),1,0)</f>
        <v>0</v>
      </c>
      <c r="S1371" s="7" t="n">
        <f aca="false">IF(AND(H1371&gt;='Exec Summary'!$E$1,H1371&lt;='Exec Summary'!$E$2),1,0)</f>
        <v>0</v>
      </c>
      <c r="T1371" s="7" t="n">
        <f aca="false">IF(AND(F1371="Closed",I1371&lt;&gt;"",I1371&gt;='Exec Summary'!$E$1,I1371&lt;='Exec Summary'!$E$2),1,0)</f>
        <v>0</v>
      </c>
      <c r="U1371" s="7" t="n">
        <f aca="false">IF(F1371="Reopened",1,0)</f>
        <v>0</v>
      </c>
      <c r="V1371" s="7" t="n">
        <f aca="false">IF(AND(R1371=1,O1371&gt;Q1371),1,0)</f>
        <v>0</v>
      </c>
      <c r="W1371" s="7" t="n">
        <f aca="false">IF(AND(T1371=1,P1371&lt;&gt;"",P1371&lt;=Q1371),1,0)</f>
        <v>0</v>
      </c>
    </row>
    <row r="1372" customFormat="false" ht="15" hidden="false" customHeight="false" outlineLevel="0" collapsed="false">
      <c r="A1372" s="7" t="s">
        <v>1681</v>
      </c>
      <c r="B1372" s="7" t="s">
        <v>46</v>
      </c>
      <c r="C1372" s="7" t="s">
        <v>177</v>
      </c>
      <c r="D1372" s="7" t="s">
        <v>74</v>
      </c>
      <c r="E1372" s="7" t="s">
        <v>75</v>
      </c>
      <c r="F1372" s="7" t="s">
        <v>56</v>
      </c>
      <c r="G1372" s="7" t="s">
        <v>21</v>
      </c>
      <c r="H1372" s="9" t="n">
        <v>46180</v>
      </c>
      <c r="I1372" s="9"/>
      <c r="J1372" s="7" t="n">
        <v>6.5</v>
      </c>
      <c r="K1372" s="7" t="s">
        <v>1392</v>
      </c>
      <c r="L1372" s="7" t="s">
        <v>21</v>
      </c>
      <c r="M1372" s="7" t="s">
        <v>1683</v>
      </c>
      <c r="N1372" s="7" t="s">
        <v>77</v>
      </c>
      <c r="O1372" s="10" t="n">
        <f aca="false">'Exec Summary'!$E$2-H1372</f>
        <v>54</v>
      </c>
      <c r="P1372" s="10" t="str">
        <f aca="false">IF(I1372="","",I1372-H1372)</f>
        <v/>
      </c>
      <c r="Q1372" s="10" t="n">
        <f aca="false">VLOOKUP(G1372,$AA$2:$AB$5,2,FALSE())</f>
        <v>90</v>
      </c>
      <c r="R1372" s="7" t="n">
        <f aca="false">IF(OR(F1372="Open",F1372="Reopened"),1,0)</f>
        <v>1</v>
      </c>
      <c r="S1372" s="7" t="n">
        <f aca="false">IF(AND(H1372&gt;='Exec Summary'!$E$1,H1372&lt;='Exec Summary'!$E$2),1,0)</f>
        <v>0</v>
      </c>
      <c r="T1372" s="7" t="n">
        <f aca="false">IF(AND(F1372="Closed",I1372&lt;&gt;"",I1372&gt;='Exec Summary'!$E$1,I1372&lt;='Exec Summary'!$E$2),1,0)</f>
        <v>0</v>
      </c>
      <c r="U1372" s="7" t="n">
        <f aca="false">IF(F1372="Reopened",1,0)</f>
        <v>0</v>
      </c>
      <c r="V1372" s="7" t="n">
        <f aca="false">IF(AND(R1372=1,O1372&gt;Q1372),1,0)</f>
        <v>0</v>
      </c>
      <c r="W1372" s="7" t="n">
        <f aca="false">IF(AND(T1372=1,P1372&lt;&gt;"",P1372&lt;=Q1372),1,0)</f>
        <v>0</v>
      </c>
    </row>
    <row r="1373" customFormat="false" ht="15" hidden="false" customHeight="false" outlineLevel="0" collapsed="false">
      <c r="A1373" s="7" t="s">
        <v>1681</v>
      </c>
      <c r="B1373" s="7" t="s">
        <v>46</v>
      </c>
      <c r="C1373" s="7" t="s">
        <v>177</v>
      </c>
      <c r="D1373" s="7" t="s">
        <v>68</v>
      </c>
      <c r="E1373" s="7" t="s">
        <v>69</v>
      </c>
      <c r="F1373" s="7" t="s">
        <v>50</v>
      </c>
      <c r="G1373" s="7" t="s">
        <v>19</v>
      </c>
      <c r="H1373" s="9" t="n">
        <v>45997</v>
      </c>
      <c r="I1373" s="9" t="n">
        <v>46013</v>
      </c>
      <c r="J1373" s="7" t="n">
        <v>9.8</v>
      </c>
      <c r="K1373" s="7" t="s">
        <v>1392</v>
      </c>
      <c r="L1373" s="7" t="s">
        <v>21</v>
      </c>
      <c r="M1373" s="7" t="s">
        <v>1684</v>
      </c>
      <c r="N1373" s="7" t="s">
        <v>58</v>
      </c>
      <c r="O1373" s="10" t="n">
        <f aca="false">'Exec Summary'!$E$2-H1373</f>
        <v>237</v>
      </c>
      <c r="P1373" s="10" t="n">
        <f aca="false">IF(I1373="","",I1373-H1373)</f>
        <v>16</v>
      </c>
      <c r="Q1373" s="10" t="n">
        <f aca="false">VLOOKUP(G1373,$AA$2:$AB$5,2,FALSE())</f>
        <v>15</v>
      </c>
      <c r="R1373" s="7" t="n">
        <f aca="false">IF(OR(F1373="Open",F1373="Reopened"),1,0)</f>
        <v>0</v>
      </c>
      <c r="S1373" s="7" t="n">
        <f aca="false">IF(AND(H1373&gt;='Exec Summary'!$E$1,H1373&lt;='Exec Summary'!$E$2),1,0)</f>
        <v>0</v>
      </c>
      <c r="T1373" s="7" t="n">
        <f aca="false">IF(AND(F1373="Closed",I1373&lt;&gt;"",I1373&gt;='Exec Summary'!$E$1,I1373&lt;='Exec Summary'!$E$2),1,0)</f>
        <v>0</v>
      </c>
      <c r="U1373" s="7" t="n">
        <f aca="false">IF(F1373="Reopened",1,0)</f>
        <v>0</v>
      </c>
      <c r="V1373" s="7" t="n">
        <f aca="false">IF(AND(R1373=1,O1373&gt;Q1373),1,0)</f>
        <v>0</v>
      </c>
      <c r="W1373" s="7" t="n">
        <f aca="false">IF(AND(T1373=1,P1373&lt;&gt;"",P1373&lt;=Q1373),1,0)</f>
        <v>0</v>
      </c>
    </row>
    <row r="1374" customFormat="false" ht="15" hidden="false" customHeight="false" outlineLevel="0" collapsed="false">
      <c r="A1374" s="7" t="s">
        <v>1681</v>
      </c>
      <c r="B1374" s="7" t="s">
        <v>46</v>
      </c>
      <c r="C1374" s="7" t="s">
        <v>177</v>
      </c>
      <c r="D1374" s="7" t="s">
        <v>98</v>
      </c>
      <c r="E1374" s="7" t="s">
        <v>99</v>
      </c>
      <c r="F1374" s="7" t="s">
        <v>50</v>
      </c>
      <c r="G1374" s="7" t="s">
        <v>19</v>
      </c>
      <c r="H1374" s="9" t="n">
        <v>46219</v>
      </c>
      <c r="I1374" s="9" t="n">
        <v>46234</v>
      </c>
      <c r="J1374" s="7" t="n">
        <v>10</v>
      </c>
      <c r="K1374" s="7" t="s">
        <v>1392</v>
      </c>
      <c r="L1374" s="7" t="s">
        <v>21</v>
      </c>
      <c r="M1374" s="7" t="s">
        <v>1685</v>
      </c>
      <c r="N1374" s="7" t="s">
        <v>58</v>
      </c>
      <c r="O1374" s="10" t="n">
        <f aca="false">'Exec Summary'!$E$2-H1374</f>
        <v>15</v>
      </c>
      <c r="P1374" s="10" t="n">
        <f aca="false">IF(I1374="","",I1374-H1374)</f>
        <v>15</v>
      </c>
      <c r="Q1374" s="10" t="n">
        <f aca="false">VLOOKUP(G1374,$AA$2:$AB$5,2,FALSE())</f>
        <v>15</v>
      </c>
      <c r="R1374" s="7" t="n">
        <f aca="false">IF(OR(F1374="Open",F1374="Reopened"),1,0)</f>
        <v>0</v>
      </c>
      <c r="S1374" s="7" t="n">
        <f aca="false">IF(AND(H1374&gt;='Exec Summary'!$E$1,H1374&lt;='Exec Summary'!$E$2),1,0)</f>
        <v>1</v>
      </c>
      <c r="T1374" s="7" t="n">
        <f aca="false">IF(AND(F1374="Closed",I1374&lt;&gt;"",I1374&gt;='Exec Summary'!$E$1,I1374&lt;='Exec Summary'!$E$2),1,0)</f>
        <v>1</v>
      </c>
      <c r="U1374" s="7" t="n">
        <f aca="false">IF(F1374="Reopened",1,0)</f>
        <v>0</v>
      </c>
      <c r="V1374" s="7" t="n">
        <f aca="false">IF(AND(R1374=1,O1374&gt;Q1374),1,0)</f>
        <v>0</v>
      </c>
      <c r="W1374" s="7" t="n">
        <f aca="false">IF(AND(T1374=1,P1374&lt;&gt;"",P1374&lt;=Q1374),1,0)</f>
        <v>1</v>
      </c>
    </row>
    <row r="1375" customFormat="false" ht="15" hidden="false" customHeight="false" outlineLevel="0" collapsed="false">
      <c r="A1375" s="7" t="s">
        <v>1681</v>
      </c>
      <c r="B1375" s="7" t="s">
        <v>46</v>
      </c>
      <c r="C1375" s="7" t="s">
        <v>177</v>
      </c>
      <c r="D1375" s="7" t="s">
        <v>81</v>
      </c>
      <c r="E1375" s="7" t="s">
        <v>82</v>
      </c>
      <c r="F1375" s="7" t="s">
        <v>50</v>
      </c>
      <c r="G1375" s="7" t="s">
        <v>20</v>
      </c>
      <c r="H1375" s="9" t="n">
        <v>46154</v>
      </c>
      <c r="I1375" s="9" t="n">
        <v>46183</v>
      </c>
      <c r="J1375" s="7" t="n">
        <v>7.8</v>
      </c>
      <c r="K1375" s="7" t="s">
        <v>1392</v>
      </c>
      <c r="L1375" s="7" t="s">
        <v>21</v>
      </c>
      <c r="M1375" s="7" t="s">
        <v>1686</v>
      </c>
      <c r="N1375" s="7" t="s">
        <v>53</v>
      </c>
      <c r="O1375" s="10" t="n">
        <f aca="false">'Exec Summary'!$E$2-H1375</f>
        <v>80</v>
      </c>
      <c r="P1375" s="10" t="n">
        <f aca="false">IF(I1375="","",I1375-H1375)</f>
        <v>29</v>
      </c>
      <c r="Q1375" s="10" t="n">
        <f aca="false">VLOOKUP(G1375,$AA$2:$AB$5,2,FALSE())</f>
        <v>30</v>
      </c>
      <c r="R1375" s="7" t="n">
        <f aca="false">IF(OR(F1375="Open",F1375="Reopened"),1,0)</f>
        <v>0</v>
      </c>
      <c r="S1375" s="7" t="n">
        <f aca="false">IF(AND(H1375&gt;='Exec Summary'!$E$1,H1375&lt;='Exec Summary'!$E$2),1,0)</f>
        <v>0</v>
      </c>
      <c r="T1375" s="7" t="n">
        <f aca="false">IF(AND(F1375="Closed",I1375&lt;&gt;"",I1375&gt;='Exec Summary'!$E$1,I1375&lt;='Exec Summary'!$E$2),1,0)</f>
        <v>0</v>
      </c>
      <c r="U1375" s="7" t="n">
        <f aca="false">IF(F1375="Reopened",1,0)</f>
        <v>0</v>
      </c>
      <c r="V1375" s="7" t="n">
        <f aca="false">IF(AND(R1375=1,O1375&gt;Q1375),1,0)</f>
        <v>0</v>
      </c>
      <c r="W1375" s="7" t="n">
        <f aca="false">IF(AND(T1375=1,P1375&lt;&gt;"",P1375&lt;=Q1375),1,0)</f>
        <v>0</v>
      </c>
    </row>
    <row r="1376" customFormat="false" ht="15" hidden="false" customHeight="false" outlineLevel="0" collapsed="false">
      <c r="A1376" s="7" t="s">
        <v>1687</v>
      </c>
      <c r="B1376" s="7" t="s">
        <v>46</v>
      </c>
      <c r="C1376" s="7" t="s">
        <v>128</v>
      </c>
      <c r="D1376" s="7" t="s">
        <v>48</v>
      </c>
      <c r="E1376" s="7" t="s">
        <v>49</v>
      </c>
      <c r="F1376" s="7" t="s">
        <v>56</v>
      </c>
      <c r="G1376" s="7" t="s">
        <v>20</v>
      </c>
      <c r="H1376" s="9" t="n">
        <v>46119</v>
      </c>
      <c r="I1376" s="9"/>
      <c r="J1376" s="7" t="n">
        <v>7.5</v>
      </c>
      <c r="K1376" s="7" t="s">
        <v>1392</v>
      </c>
      <c r="L1376" s="7" t="s">
        <v>19</v>
      </c>
      <c r="M1376" s="7" t="s">
        <v>1688</v>
      </c>
      <c r="N1376" s="7" t="s">
        <v>53</v>
      </c>
      <c r="O1376" s="10" t="n">
        <f aca="false">'Exec Summary'!$E$2-H1376</f>
        <v>115</v>
      </c>
      <c r="P1376" s="10" t="str">
        <f aca="false">IF(I1376="","",I1376-H1376)</f>
        <v/>
      </c>
      <c r="Q1376" s="10" t="n">
        <f aca="false">VLOOKUP(G1376,$AA$2:$AB$5,2,FALSE())</f>
        <v>30</v>
      </c>
      <c r="R1376" s="7" t="n">
        <f aca="false">IF(OR(F1376="Open",F1376="Reopened"),1,0)</f>
        <v>1</v>
      </c>
      <c r="S1376" s="7" t="n">
        <f aca="false">IF(AND(H1376&gt;='Exec Summary'!$E$1,H1376&lt;='Exec Summary'!$E$2),1,0)</f>
        <v>0</v>
      </c>
      <c r="T1376" s="7" t="n">
        <f aca="false">IF(AND(F1376="Closed",I1376&lt;&gt;"",I1376&gt;='Exec Summary'!$E$1,I1376&lt;='Exec Summary'!$E$2),1,0)</f>
        <v>0</v>
      </c>
      <c r="U1376" s="7" t="n">
        <f aca="false">IF(F1376="Reopened",1,0)</f>
        <v>0</v>
      </c>
      <c r="V1376" s="7" t="n">
        <f aca="false">IF(AND(R1376=1,O1376&gt;Q1376),1,0)</f>
        <v>1</v>
      </c>
      <c r="W1376" s="7" t="n">
        <f aca="false">IF(AND(T1376=1,P1376&lt;&gt;"",P1376&lt;=Q1376),1,0)</f>
        <v>0</v>
      </c>
    </row>
    <row r="1377" customFormat="false" ht="15" hidden="false" customHeight="false" outlineLevel="0" collapsed="false">
      <c r="A1377" s="7" t="s">
        <v>1687</v>
      </c>
      <c r="B1377" s="7" t="s">
        <v>46</v>
      </c>
      <c r="C1377" s="7" t="s">
        <v>128</v>
      </c>
      <c r="D1377" s="7" t="s">
        <v>59</v>
      </c>
      <c r="E1377" s="7" t="s">
        <v>60</v>
      </c>
      <c r="F1377" s="7" t="s">
        <v>50</v>
      </c>
      <c r="G1377" s="7" t="s">
        <v>19</v>
      </c>
      <c r="H1377" s="9" t="n">
        <v>46188</v>
      </c>
      <c r="I1377" s="9" t="n">
        <v>46200</v>
      </c>
      <c r="J1377" s="7" t="n">
        <v>7.8</v>
      </c>
      <c r="K1377" s="7" t="s">
        <v>1392</v>
      </c>
      <c r="L1377" s="7" t="s">
        <v>19</v>
      </c>
      <c r="M1377" s="7" t="s">
        <v>1689</v>
      </c>
      <c r="N1377" s="7" t="s">
        <v>58</v>
      </c>
      <c r="O1377" s="10" t="n">
        <f aca="false">'Exec Summary'!$E$2-H1377</f>
        <v>46</v>
      </c>
      <c r="P1377" s="10" t="n">
        <f aca="false">IF(I1377="","",I1377-H1377)</f>
        <v>12</v>
      </c>
      <c r="Q1377" s="10" t="n">
        <f aca="false">VLOOKUP(G1377,$AA$2:$AB$5,2,FALSE())</f>
        <v>15</v>
      </c>
      <c r="R1377" s="7" t="n">
        <f aca="false">IF(OR(F1377="Open",F1377="Reopened"),1,0)</f>
        <v>0</v>
      </c>
      <c r="S1377" s="7" t="n">
        <f aca="false">IF(AND(H1377&gt;='Exec Summary'!$E$1,H1377&lt;='Exec Summary'!$E$2),1,0)</f>
        <v>0</v>
      </c>
      <c r="T1377" s="7" t="n">
        <f aca="false">IF(AND(F1377="Closed",I1377&lt;&gt;"",I1377&gt;='Exec Summary'!$E$1,I1377&lt;='Exec Summary'!$E$2),1,0)</f>
        <v>0</v>
      </c>
      <c r="U1377" s="7" t="n">
        <f aca="false">IF(F1377="Reopened",1,0)</f>
        <v>0</v>
      </c>
      <c r="V1377" s="7" t="n">
        <f aca="false">IF(AND(R1377=1,O1377&gt;Q1377),1,0)</f>
        <v>0</v>
      </c>
      <c r="W1377" s="7" t="n">
        <f aca="false">IF(AND(T1377=1,P1377&lt;&gt;"",P1377&lt;=Q1377),1,0)</f>
        <v>0</v>
      </c>
    </row>
    <row r="1378" customFormat="false" ht="15" hidden="false" customHeight="false" outlineLevel="0" collapsed="false">
      <c r="A1378" s="7" t="s">
        <v>1687</v>
      </c>
      <c r="B1378" s="7" t="s">
        <v>46</v>
      </c>
      <c r="C1378" s="7" t="s">
        <v>128</v>
      </c>
      <c r="D1378" s="7" t="s">
        <v>117</v>
      </c>
      <c r="E1378" s="7" t="s">
        <v>118</v>
      </c>
      <c r="F1378" s="7" t="s">
        <v>50</v>
      </c>
      <c r="G1378" s="7" t="s">
        <v>19</v>
      </c>
      <c r="H1378" s="9" t="n">
        <v>45967</v>
      </c>
      <c r="I1378" s="9" t="n">
        <v>45970</v>
      </c>
      <c r="J1378" s="7" t="n">
        <v>10</v>
      </c>
      <c r="K1378" s="7" t="s">
        <v>1392</v>
      </c>
      <c r="L1378" s="7" t="s">
        <v>19</v>
      </c>
      <c r="M1378" s="7" t="s">
        <v>1690</v>
      </c>
      <c r="N1378" s="7" t="s">
        <v>58</v>
      </c>
      <c r="O1378" s="10" t="n">
        <f aca="false">'Exec Summary'!$E$2-H1378</f>
        <v>267</v>
      </c>
      <c r="P1378" s="10" t="n">
        <f aca="false">IF(I1378="","",I1378-H1378)</f>
        <v>3</v>
      </c>
      <c r="Q1378" s="10" t="n">
        <f aca="false">VLOOKUP(G1378,$AA$2:$AB$5,2,FALSE())</f>
        <v>15</v>
      </c>
      <c r="R1378" s="7" t="n">
        <f aca="false">IF(OR(F1378="Open",F1378="Reopened"),1,0)</f>
        <v>0</v>
      </c>
      <c r="S1378" s="7" t="n">
        <f aca="false">IF(AND(H1378&gt;='Exec Summary'!$E$1,H1378&lt;='Exec Summary'!$E$2),1,0)</f>
        <v>0</v>
      </c>
      <c r="T1378" s="7" t="n">
        <f aca="false">IF(AND(F1378="Closed",I1378&lt;&gt;"",I1378&gt;='Exec Summary'!$E$1,I1378&lt;='Exec Summary'!$E$2),1,0)</f>
        <v>0</v>
      </c>
      <c r="U1378" s="7" t="n">
        <f aca="false">IF(F1378="Reopened",1,0)</f>
        <v>0</v>
      </c>
      <c r="V1378" s="7" t="n">
        <f aca="false">IF(AND(R1378=1,O1378&gt;Q1378),1,0)</f>
        <v>0</v>
      </c>
      <c r="W1378" s="7" t="n">
        <f aca="false">IF(AND(T1378=1,P1378&lt;&gt;"",P1378&lt;=Q1378),1,0)</f>
        <v>0</v>
      </c>
    </row>
    <row r="1379" customFormat="false" ht="15" hidden="false" customHeight="false" outlineLevel="0" collapsed="false">
      <c r="A1379" s="7" t="s">
        <v>1687</v>
      </c>
      <c r="B1379" s="7" t="s">
        <v>46</v>
      </c>
      <c r="C1379" s="7" t="s">
        <v>128</v>
      </c>
      <c r="D1379" s="7" t="s">
        <v>104</v>
      </c>
      <c r="E1379" s="7" t="s">
        <v>105</v>
      </c>
      <c r="F1379" s="7" t="s">
        <v>50</v>
      </c>
      <c r="G1379" s="7" t="s">
        <v>19</v>
      </c>
      <c r="H1379" s="9" t="n">
        <v>46124</v>
      </c>
      <c r="I1379" s="9" t="n">
        <v>46144</v>
      </c>
      <c r="J1379" s="7" t="n">
        <v>9.8</v>
      </c>
      <c r="K1379" s="7" t="s">
        <v>1392</v>
      </c>
      <c r="L1379" s="7" t="s">
        <v>19</v>
      </c>
      <c r="M1379" s="7" t="s">
        <v>1691</v>
      </c>
      <c r="N1379" s="7" t="s">
        <v>58</v>
      </c>
      <c r="O1379" s="10" t="n">
        <f aca="false">'Exec Summary'!$E$2-H1379</f>
        <v>110</v>
      </c>
      <c r="P1379" s="10" t="n">
        <f aca="false">IF(I1379="","",I1379-H1379)</f>
        <v>20</v>
      </c>
      <c r="Q1379" s="10" t="n">
        <f aca="false">VLOOKUP(G1379,$AA$2:$AB$5,2,FALSE())</f>
        <v>15</v>
      </c>
      <c r="R1379" s="7" t="n">
        <f aca="false">IF(OR(F1379="Open",F1379="Reopened"),1,0)</f>
        <v>0</v>
      </c>
      <c r="S1379" s="7" t="n">
        <f aca="false">IF(AND(H1379&gt;='Exec Summary'!$E$1,H1379&lt;='Exec Summary'!$E$2),1,0)</f>
        <v>0</v>
      </c>
      <c r="T1379" s="7" t="n">
        <f aca="false">IF(AND(F1379="Closed",I1379&lt;&gt;"",I1379&gt;='Exec Summary'!$E$1,I1379&lt;='Exec Summary'!$E$2),1,0)</f>
        <v>0</v>
      </c>
      <c r="U1379" s="7" t="n">
        <f aca="false">IF(F1379="Reopened",1,0)</f>
        <v>0</v>
      </c>
      <c r="V1379" s="7" t="n">
        <f aca="false">IF(AND(R1379=1,O1379&gt;Q1379),1,0)</f>
        <v>0</v>
      </c>
      <c r="W1379" s="7" t="n">
        <f aca="false">IF(AND(T1379=1,P1379&lt;&gt;"",P1379&lt;=Q1379),1,0)</f>
        <v>0</v>
      </c>
    </row>
    <row r="1380" customFormat="false" ht="15" hidden="false" customHeight="false" outlineLevel="0" collapsed="false">
      <c r="A1380" s="7" t="s">
        <v>1687</v>
      </c>
      <c r="B1380" s="7" t="s">
        <v>46</v>
      </c>
      <c r="C1380" s="7" t="s">
        <v>128</v>
      </c>
      <c r="D1380" s="7" t="s">
        <v>210</v>
      </c>
      <c r="E1380" s="7" t="s">
        <v>211</v>
      </c>
      <c r="F1380" s="7" t="s">
        <v>56</v>
      </c>
      <c r="G1380" s="7" t="s">
        <v>19</v>
      </c>
      <c r="H1380" s="9" t="n">
        <v>46004</v>
      </c>
      <c r="I1380" s="9"/>
      <c r="J1380" s="7" t="n">
        <v>9.8</v>
      </c>
      <c r="K1380" s="7" t="s">
        <v>1392</v>
      </c>
      <c r="L1380" s="7" t="s">
        <v>19</v>
      </c>
      <c r="M1380" s="7" t="s">
        <v>1692</v>
      </c>
      <c r="N1380" s="7" t="s">
        <v>58</v>
      </c>
      <c r="O1380" s="10" t="n">
        <f aca="false">'Exec Summary'!$E$2-H1380</f>
        <v>230</v>
      </c>
      <c r="P1380" s="10" t="str">
        <f aca="false">IF(I1380="","",I1380-H1380)</f>
        <v/>
      </c>
      <c r="Q1380" s="10" t="n">
        <f aca="false">VLOOKUP(G1380,$AA$2:$AB$5,2,FALSE())</f>
        <v>15</v>
      </c>
      <c r="R1380" s="7" t="n">
        <f aca="false">IF(OR(F1380="Open",F1380="Reopened"),1,0)</f>
        <v>1</v>
      </c>
      <c r="S1380" s="7" t="n">
        <f aca="false">IF(AND(H1380&gt;='Exec Summary'!$E$1,H1380&lt;='Exec Summary'!$E$2),1,0)</f>
        <v>0</v>
      </c>
      <c r="T1380" s="7" t="n">
        <f aca="false">IF(AND(F1380="Closed",I1380&lt;&gt;"",I1380&gt;='Exec Summary'!$E$1,I1380&lt;='Exec Summary'!$E$2),1,0)</f>
        <v>0</v>
      </c>
      <c r="U1380" s="7" t="n">
        <f aca="false">IF(F1380="Reopened",1,0)</f>
        <v>0</v>
      </c>
      <c r="V1380" s="7" t="n">
        <f aca="false">IF(AND(R1380=1,O1380&gt;Q1380),1,0)</f>
        <v>1</v>
      </c>
      <c r="W1380" s="7" t="n">
        <f aca="false">IF(AND(T1380=1,P1380&lt;&gt;"",P1380&lt;=Q1380),1,0)</f>
        <v>0</v>
      </c>
    </row>
    <row r="1381" customFormat="false" ht="15" hidden="false" customHeight="false" outlineLevel="0" collapsed="false">
      <c r="A1381" s="7" t="s">
        <v>1687</v>
      </c>
      <c r="B1381" s="7" t="s">
        <v>46</v>
      </c>
      <c r="C1381" s="7" t="s">
        <v>128</v>
      </c>
      <c r="D1381" s="7" t="s">
        <v>101</v>
      </c>
      <c r="E1381" s="7" t="s">
        <v>102</v>
      </c>
      <c r="F1381" s="7" t="s">
        <v>50</v>
      </c>
      <c r="G1381" s="7" t="s">
        <v>19</v>
      </c>
      <c r="H1381" s="9" t="n">
        <v>46170</v>
      </c>
      <c r="I1381" s="9" t="n">
        <v>46171</v>
      </c>
      <c r="J1381" s="7" t="n">
        <v>10</v>
      </c>
      <c r="K1381" s="7" t="s">
        <v>1392</v>
      </c>
      <c r="L1381" s="7" t="s">
        <v>19</v>
      </c>
      <c r="M1381" s="7" t="s">
        <v>1693</v>
      </c>
      <c r="N1381" s="7" t="s">
        <v>58</v>
      </c>
      <c r="O1381" s="10" t="n">
        <f aca="false">'Exec Summary'!$E$2-H1381</f>
        <v>64</v>
      </c>
      <c r="P1381" s="10" t="n">
        <f aca="false">IF(I1381="","",I1381-H1381)</f>
        <v>1</v>
      </c>
      <c r="Q1381" s="10" t="n">
        <f aca="false">VLOOKUP(G1381,$AA$2:$AB$5,2,FALSE())</f>
        <v>15</v>
      </c>
      <c r="R1381" s="7" t="n">
        <f aca="false">IF(OR(F1381="Open",F1381="Reopened"),1,0)</f>
        <v>0</v>
      </c>
      <c r="S1381" s="7" t="n">
        <f aca="false">IF(AND(H1381&gt;='Exec Summary'!$E$1,H1381&lt;='Exec Summary'!$E$2),1,0)</f>
        <v>0</v>
      </c>
      <c r="T1381" s="7" t="n">
        <f aca="false">IF(AND(F1381="Closed",I1381&lt;&gt;"",I1381&gt;='Exec Summary'!$E$1,I1381&lt;='Exec Summary'!$E$2),1,0)</f>
        <v>0</v>
      </c>
      <c r="U1381" s="7" t="n">
        <f aca="false">IF(F1381="Reopened",1,0)</f>
        <v>0</v>
      </c>
      <c r="V1381" s="7" t="n">
        <f aca="false">IF(AND(R1381=1,O1381&gt;Q1381),1,0)</f>
        <v>0</v>
      </c>
      <c r="W1381" s="7" t="n">
        <f aca="false">IF(AND(T1381=1,P1381&lt;&gt;"",P1381&lt;=Q1381),1,0)</f>
        <v>0</v>
      </c>
    </row>
    <row r="1382" customFormat="false" ht="15" hidden="false" customHeight="false" outlineLevel="0" collapsed="false">
      <c r="A1382" s="7" t="s">
        <v>1687</v>
      </c>
      <c r="B1382" s="7" t="s">
        <v>46</v>
      </c>
      <c r="C1382" s="7" t="s">
        <v>128</v>
      </c>
      <c r="D1382" s="7" t="s">
        <v>54</v>
      </c>
      <c r="E1382" s="7" t="s">
        <v>55</v>
      </c>
      <c r="F1382" s="7" t="s">
        <v>56</v>
      </c>
      <c r="G1382" s="7" t="s">
        <v>19</v>
      </c>
      <c r="H1382" s="9" t="n">
        <v>45994</v>
      </c>
      <c r="I1382" s="9"/>
      <c r="J1382" s="7" t="n">
        <v>9.8</v>
      </c>
      <c r="K1382" s="7" t="s">
        <v>1392</v>
      </c>
      <c r="L1382" s="7" t="s">
        <v>19</v>
      </c>
      <c r="M1382" s="7" t="s">
        <v>1694</v>
      </c>
      <c r="N1382" s="7" t="s">
        <v>58</v>
      </c>
      <c r="O1382" s="10" t="n">
        <f aca="false">'Exec Summary'!$E$2-H1382</f>
        <v>240</v>
      </c>
      <c r="P1382" s="10" t="str">
        <f aca="false">IF(I1382="","",I1382-H1382)</f>
        <v/>
      </c>
      <c r="Q1382" s="10" t="n">
        <f aca="false">VLOOKUP(G1382,$AA$2:$AB$5,2,FALSE())</f>
        <v>15</v>
      </c>
      <c r="R1382" s="7" t="n">
        <f aca="false">IF(OR(F1382="Open",F1382="Reopened"),1,0)</f>
        <v>1</v>
      </c>
      <c r="S1382" s="7" t="n">
        <f aca="false">IF(AND(H1382&gt;='Exec Summary'!$E$1,H1382&lt;='Exec Summary'!$E$2),1,0)</f>
        <v>0</v>
      </c>
      <c r="T1382" s="7" t="n">
        <f aca="false">IF(AND(F1382="Closed",I1382&lt;&gt;"",I1382&gt;='Exec Summary'!$E$1,I1382&lt;='Exec Summary'!$E$2),1,0)</f>
        <v>0</v>
      </c>
      <c r="U1382" s="7" t="n">
        <f aca="false">IF(F1382="Reopened",1,0)</f>
        <v>0</v>
      </c>
      <c r="V1382" s="7" t="n">
        <f aca="false">IF(AND(R1382=1,O1382&gt;Q1382),1,0)</f>
        <v>1</v>
      </c>
      <c r="W1382" s="7" t="n">
        <f aca="false">IF(AND(T1382=1,P1382&lt;&gt;"",P1382&lt;=Q1382),1,0)</f>
        <v>0</v>
      </c>
    </row>
    <row r="1383" customFormat="false" ht="15" hidden="false" customHeight="false" outlineLevel="0" collapsed="false">
      <c r="A1383" s="7" t="s">
        <v>1687</v>
      </c>
      <c r="B1383" s="7" t="s">
        <v>46</v>
      </c>
      <c r="C1383" s="7" t="s">
        <v>128</v>
      </c>
      <c r="D1383" s="7" t="s">
        <v>173</v>
      </c>
      <c r="E1383" s="7" t="s">
        <v>174</v>
      </c>
      <c r="F1383" s="7" t="s">
        <v>50</v>
      </c>
      <c r="G1383" s="7" t="s">
        <v>19</v>
      </c>
      <c r="H1383" s="9" t="n">
        <v>45996</v>
      </c>
      <c r="I1383" s="9" t="n">
        <v>46021</v>
      </c>
      <c r="J1383" s="7" t="n">
        <v>9.8</v>
      </c>
      <c r="K1383" s="7" t="s">
        <v>1392</v>
      </c>
      <c r="L1383" s="7" t="s">
        <v>19</v>
      </c>
      <c r="M1383" s="7" t="s">
        <v>1695</v>
      </c>
      <c r="N1383" s="7" t="s">
        <v>58</v>
      </c>
      <c r="O1383" s="10" t="n">
        <f aca="false">'Exec Summary'!$E$2-H1383</f>
        <v>238</v>
      </c>
      <c r="P1383" s="10" t="n">
        <f aca="false">IF(I1383="","",I1383-H1383)</f>
        <v>25</v>
      </c>
      <c r="Q1383" s="10" t="n">
        <f aca="false">VLOOKUP(G1383,$AA$2:$AB$5,2,FALSE())</f>
        <v>15</v>
      </c>
      <c r="R1383" s="7" t="n">
        <f aca="false">IF(OR(F1383="Open",F1383="Reopened"),1,0)</f>
        <v>0</v>
      </c>
      <c r="S1383" s="7" t="n">
        <f aca="false">IF(AND(H1383&gt;='Exec Summary'!$E$1,H1383&lt;='Exec Summary'!$E$2),1,0)</f>
        <v>0</v>
      </c>
      <c r="T1383" s="7" t="n">
        <f aca="false">IF(AND(F1383="Closed",I1383&lt;&gt;"",I1383&gt;='Exec Summary'!$E$1,I1383&lt;='Exec Summary'!$E$2),1,0)</f>
        <v>0</v>
      </c>
      <c r="U1383" s="7" t="n">
        <f aca="false">IF(F1383="Reopened",1,0)</f>
        <v>0</v>
      </c>
      <c r="V1383" s="7" t="n">
        <f aca="false">IF(AND(R1383=1,O1383&gt;Q1383),1,0)</f>
        <v>0</v>
      </c>
      <c r="W1383" s="7" t="n">
        <f aca="false">IF(AND(T1383=1,P1383&lt;&gt;"",P1383&lt;=Q1383),1,0)</f>
        <v>0</v>
      </c>
    </row>
    <row r="1384" customFormat="false" ht="15" hidden="false" customHeight="false" outlineLevel="0" collapsed="false">
      <c r="A1384" s="7" t="s">
        <v>1687</v>
      </c>
      <c r="B1384" s="7" t="s">
        <v>46</v>
      </c>
      <c r="C1384" s="7" t="s">
        <v>128</v>
      </c>
      <c r="D1384" s="7" t="s">
        <v>87</v>
      </c>
      <c r="E1384" s="7" t="s">
        <v>88</v>
      </c>
      <c r="F1384" s="7" t="s">
        <v>50</v>
      </c>
      <c r="G1384" s="7" t="s">
        <v>19</v>
      </c>
      <c r="H1384" s="9" t="n">
        <v>45985</v>
      </c>
      <c r="I1384" s="9" t="n">
        <v>45998</v>
      </c>
      <c r="J1384" s="7" t="n">
        <v>10</v>
      </c>
      <c r="K1384" s="7" t="s">
        <v>1392</v>
      </c>
      <c r="L1384" s="7" t="s">
        <v>19</v>
      </c>
      <c r="M1384" s="7" t="s">
        <v>1696</v>
      </c>
      <c r="N1384" s="7" t="s">
        <v>58</v>
      </c>
      <c r="O1384" s="10" t="n">
        <f aca="false">'Exec Summary'!$E$2-H1384</f>
        <v>249</v>
      </c>
      <c r="P1384" s="10" t="n">
        <f aca="false">IF(I1384="","",I1384-H1384)</f>
        <v>13</v>
      </c>
      <c r="Q1384" s="10" t="n">
        <f aca="false">VLOOKUP(G1384,$AA$2:$AB$5,2,FALSE())</f>
        <v>15</v>
      </c>
      <c r="R1384" s="7" t="n">
        <f aca="false">IF(OR(F1384="Open",F1384="Reopened"),1,0)</f>
        <v>0</v>
      </c>
      <c r="S1384" s="7" t="n">
        <f aca="false">IF(AND(H1384&gt;='Exec Summary'!$E$1,H1384&lt;='Exec Summary'!$E$2),1,0)</f>
        <v>0</v>
      </c>
      <c r="T1384" s="7" t="n">
        <f aca="false">IF(AND(F1384="Closed",I1384&lt;&gt;"",I1384&gt;='Exec Summary'!$E$1,I1384&lt;='Exec Summary'!$E$2),1,0)</f>
        <v>0</v>
      </c>
      <c r="U1384" s="7" t="n">
        <f aca="false">IF(F1384="Reopened",1,0)</f>
        <v>0</v>
      </c>
      <c r="V1384" s="7" t="n">
        <f aca="false">IF(AND(R1384=1,O1384&gt;Q1384),1,0)</f>
        <v>0</v>
      </c>
      <c r="W1384" s="7" t="n">
        <f aca="false">IF(AND(T1384=1,P1384&lt;&gt;"",P1384&lt;=Q1384),1,0)</f>
        <v>0</v>
      </c>
    </row>
    <row r="1385" customFormat="false" ht="15" hidden="false" customHeight="false" outlineLevel="0" collapsed="false">
      <c r="A1385" s="7" t="s">
        <v>1687</v>
      </c>
      <c r="B1385" s="7" t="s">
        <v>46</v>
      </c>
      <c r="C1385" s="7" t="s">
        <v>128</v>
      </c>
      <c r="D1385" s="7" t="s">
        <v>192</v>
      </c>
      <c r="E1385" s="7" t="s">
        <v>193</v>
      </c>
      <c r="F1385" s="7" t="s">
        <v>50</v>
      </c>
      <c r="G1385" s="7" t="s">
        <v>19</v>
      </c>
      <c r="H1385" s="9" t="n">
        <v>46184</v>
      </c>
      <c r="I1385" s="9" t="n">
        <v>46186</v>
      </c>
      <c r="J1385" s="7" t="n">
        <v>9.8</v>
      </c>
      <c r="K1385" s="7" t="s">
        <v>1392</v>
      </c>
      <c r="L1385" s="7" t="s">
        <v>19</v>
      </c>
      <c r="M1385" s="7" t="s">
        <v>1697</v>
      </c>
      <c r="N1385" s="7" t="s">
        <v>58</v>
      </c>
      <c r="O1385" s="10" t="n">
        <f aca="false">'Exec Summary'!$E$2-H1385</f>
        <v>50</v>
      </c>
      <c r="P1385" s="10" t="n">
        <f aca="false">IF(I1385="","",I1385-H1385)</f>
        <v>2</v>
      </c>
      <c r="Q1385" s="10" t="n">
        <f aca="false">VLOOKUP(G1385,$AA$2:$AB$5,2,FALSE())</f>
        <v>15</v>
      </c>
      <c r="R1385" s="7" t="n">
        <f aca="false">IF(OR(F1385="Open",F1385="Reopened"),1,0)</f>
        <v>0</v>
      </c>
      <c r="S1385" s="7" t="n">
        <f aca="false">IF(AND(H1385&gt;='Exec Summary'!$E$1,H1385&lt;='Exec Summary'!$E$2),1,0)</f>
        <v>0</v>
      </c>
      <c r="T1385" s="7" t="n">
        <f aca="false">IF(AND(F1385="Closed",I1385&lt;&gt;"",I1385&gt;='Exec Summary'!$E$1,I1385&lt;='Exec Summary'!$E$2),1,0)</f>
        <v>0</v>
      </c>
      <c r="U1385" s="7" t="n">
        <f aca="false">IF(F1385="Reopened",1,0)</f>
        <v>0</v>
      </c>
      <c r="V1385" s="7" t="n">
        <f aca="false">IF(AND(R1385=1,O1385&gt;Q1385),1,0)</f>
        <v>0</v>
      </c>
      <c r="W1385" s="7" t="n">
        <f aca="false">IF(AND(T1385=1,P1385&lt;&gt;"",P1385&lt;=Q1385),1,0)</f>
        <v>0</v>
      </c>
    </row>
    <row r="1386" customFormat="false" ht="15" hidden="false" customHeight="false" outlineLevel="0" collapsed="false">
      <c r="A1386" s="7" t="s">
        <v>1687</v>
      </c>
      <c r="B1386" s="7" t="s">
        <v>46</v>
      </c>
      <c r="C1386" s="7" t="s">
        <v>128</v>
      </c>
      <c r="D1386" s="7" t="s">
        <v>206</v>
      </c>
      <c r="E1386" s="7" t="s">
        <v>207</v>
      </c>
      <c r="F1386" s="7" t="s">
        <v>50</v>
      </c>
      <c r="G1386" s="7" t="s">
        <v>20</v>
      </c>
      <c r="H1386" s="9" t="n">
        <v>46163</v>
      </c>
      <c r="I1386" s="9" t="n">
        <v>46183</v>
      </c>
      <c r="J1386" s="7" t="n">
        <v>8.8</v>
      </c>
      <c r="K1386" s="7" t="s">
        <v>1392</v>
      </c>
      <c r="L1386" s="7" t="s">
        <v>19</v>
      </c>
      <c r="M1386" s="7" t="s">
        <v>1698</v>
      </c>
      <c r="N1386" s="7" t="s">
        <v>53</v>
      </c>
      <c r="O1386" s="10" t="n">
        <f aca="false">'Exec Summary'!$E$2-H1386</f>
        <v>71</v>
      </c>
      <c r="P1386" s="10" t="n">
        <f aca="false">IF(I1386="","",I1386-H1386)</f>
        <v>20</v>
      </c>
      <c r="Q1386" s="10" t="n">
        <f aca="false">VLOOKUP(G1386,$AA$2:$AB$5,2,FALSE())</f>
        <v>30</v>
      </c>
      <c r="R1386" s="7" t="n">
        <f aca="false">IF(OR(F1386="Open",F1386="Reopened"),1,0)</f>
        <v>0</v>
      </c>
      <c r="S1386" s="7" t="n">
        <f aca="false">IF(AND(H1386&gt;='Exec Summary'!$E$1,H1386&lt;='Exec Summary'!$E$2),1,0)</f>
        <v>0</v>
      </c>
      <c r="T1386" s="7" t="n">
        <f aca="false">IF(AND(F1386="Closed",I1386&lt;&gt;"",I1386&gt;='Exec Summary'!$E$1,I1386&lt;='Exec Summary'!$E$2),1,0)</f>
        <v>0</v>
      </c>
      <c r="U1386" s="7" t="n">
        <f aca="false">IF(F1386="Reopened",1,0)</f>
        <v>0</v>
      </c>
      <c r="V1386" s="7" t="n">
        <f aca="false">IF(AND(R1386=1,O1386&gt;Q1386),1,0)</f>
        <v>0</v>
      </c>
      <c r="W1386" s="7" t="n">
        <f aca="false">IF(AND(T1386=1,P1386&lt;&gt;"",P1386&lt;=Q1386),1,0)</f>
        <v>0</v>
      </c>
    </row>
    <row r="1387" customFormat="false" ht="15" hidden="false" customHeight="false" outlineLevel="0" collapsed="false">
      <c r="A1387" s="7" t="s">
        <v>1687</v>
      </c>
      <c r="B1387" s="7" t="s">
        <v>46</v>
      </c>
      <c r="C1387" s="7" t="s">
        <v>128</v>
      </c>
      <c r="D1387" s="7" t="s">
        <v>120</v>
      </c>
      <c r="E1387" s="7" t="s">
        <v>121</v>
      </c>
      <c r="F1387" s="7" t="s">
        <v>56</v>
      </c>
      <c r="G1387" s="7" t="s">
        <v>19</v>
      </c>
      <c r="H1387" s="9" t="n">
        <v>46109</v>
      </c>
      <c r="I1387" s="9"/>
      <c r="J1387" s="7" t="n">
        <v>8.8</v>
      </c>
      <c r="K1387" s="7" t="s">
        <v>1392</v>
      </c>
      <c r="L1387" s="7" t="s">
        <v>19</v>
      </c>
      <c r="M1387" s="7" t="s">
        <v>1699</v>
      </c>
      <c r="N1387" s="7" t="s">
        <v>58</v>
      </c>
      <c r="O1387" s="10" t="n">
        <f aca="false">'Exec Summary'!$E$2-H1387</f>
        <v>125</v>
      </c>
      <c r="P1387" s="10" t="str">
        <f aca="false">IF(I1387="","",I1387-H1387)</f>
        <v/>
      </c>
      <c r="Q1387" s="10" t="n">
        <f aca="false">VLOOKUP(G1387,$AA$2:$AB$5,2,FALSE())</f>
        <v>15</v>
      </c>
      <c r="R1387" s="7" t="n">
        <f aca="false">IF(OR(F1387="Open",F1387="Reopened"),1,0)</f>
        <v>1</v>
      </c>
      <c r="S1387" s="7" t="n">
        <f aca="false">IF(AND(H1387&gt;='Exec Summary'!$E$1,H1387&lt;='Exec Summary'!$E$2),1,0)</f>
        <v>0</v>
      </c>
      <c r="T1387" s="7" t="n">
        <f aca="false">IF(AND(F1387="Closed",I1387&lt;&gt;"",I1387&gt;='Exec Summary'!$E$1,I1387&lt;='Exec Summary'!$E$2),1,0)</f>
        <v>0</v>
      </c>
      <c r="U1387" s="7" t="n">
        <f aca="false">IF(F1387="Reopened",1,0)</f>
        <v>0</v>
      </c>
      <c r="V1387" s="7" t="n">
        <f aca="false">IF(AND(R1387=1,O1387&gt;Q1387),1,0)</f>
        <v>1</v>
      </c>
      <c r="W1387" s="7" t="n">
        <f aca="false">IF(AND(T1387=1,P1387&lt;&gt;"",P1387&lt;=Q1387),1,0)</f>
        <v>0</v>
      </c>
    </row>
    <row r="1388" customFormat="false" ht="15" hidden="false" customHeight="false" outlineLevel="0" collapsed="false">
      <c r="A1388" s="7" t="s">
        <v>1687</v>
      </c>
      <c r="B1388" s="7" t="s">
        <v>46</v>
      </c>
      <c r="C1388" s="7" t="s">
        <v>128</v>
      </c>
      <c r="D1388" s="7" t="s">
        <v>131</v>
      </c>
      <c r="E1388" s="7" t="s">
        <v>132</v>
      </c>
      <c r="F1388" s="7" t="s">
        <v>50</v>
      </c>
      <c r="G1388" s="7" t="s">
        <v>19</v>
      </c>
      <c r="H1388" s="9" t="n">
        <v>45977</v>
      </c>
      <c r="I1388" s="9" t="n">
        <v>45995</v>
      </c>
      <c r="J1388" s="7" t="n">
        <v>9.8</v>
      </c>
      <c r="K1388" s="7" t="s">
        <v>1392</v>
      </c>
      <c r="L1388" s="7" t="s">
        <v>19</v>
      </c>
      <c r="M1388" s="7" t="s">
        <v>1700</v>
      </c>
      <c r="N1388" s="7" t="s">
        <v>58</v>
      </c>
      <c r="O1388" s="10" t="n">
        <f aca="false">'Exec Summary'!$E$2-H1388</f>
        <v>257</v>
      </c>
      <c r="P1388" s="10" t="n">
        <f aca="false">IF(I1388="","",I1388-H1388)</f>
        <v>18</v>
      </c>
      <c r="Q1388" s="10" t="n">
        <f aca="false">VLOOKUP(G1388,$AA$2:$AB$5,2,FALSE())</f>
        <v>15</v>
      </c>
      <c r="R1388" s="7" t="n">
        <f aca="false">IF(OR(F1388="Open",F1388="Reopened"),1,0)</f>
        <v>0</v>
      </c>
      <c r="S1388" s="7" t="n">
        <f aca="false">IF(AND(H1388&gt;='Exec Summary'!$E$1,H1388&lt;='Exec Summary'!$E$2),1,0)</f>
        <v>0</v>
      </c>
      <c r="T1388" s="7" t="n">
        <f aca="false">IF(AND(F1388="Closed",I1388&lt;&gt;"",I1388&gt;='Exec Summary'!$E$1,I1388&lt;='Exec Summary'!$E$2),1,0)</f>
        <v>0</v>
      </c>
      <c r="U1388" s="7" t="n">
        <f aca="false">IF(F1388="Reopened",1,0)</f>
        <v>0</v>
      </c>
      <c r="V1388" s="7" t="n">
        <f aca="false">IF(AND(R1388=1,O1388&gt;Q1388),1,0)</f>
        <v>0</v>
      </c>
      <c r="W1388" s="7" t="n">
        <f aca="false">IF(AND(T1388=1,P1388&lt;&gt;"",P1388&lt;=Q1388),1,0)</f>
        <v>0</v>
      </c>
    </row>
    <row r="1389" customFormat="false" ht="15" hidden="false" customHeight="false" outlineLevel="0" collapsed="false">
      <c r="A1389" s="7" t="s">
        <v>1687</v>
      </c>
      <c r="B1389" s="7" t="s">
        <v>46</v>
      </c>
      <c r="C1389" s="7" t="s">
        <v>128</v>
      </c>
      <c r="D1389" s="7" t="s">
        <v>152</v>
      </c>
      <c r="E1389" s="7" t="s">
        <v>153</v>
      </c>
      <c r="F1389" s="7" t="s">
        <v>50</v>
      </c>
      <c r="G1389" s="7" t="s">
        <v>20</v>
      </c>
      <c r="H1389" s="9" t="n">
        <v>46051</v>
      </c>
      <c r="I1389" s="9" t="n">
        <v>46077</v>
      </c>
      <c r="J1389" s="7" t="n">
        <v>7.5</v>
      </c>
      <c r="K1389" s="7" t="s">
        <v>1392</v>
      </c>
      <c r="L1389" s="7" t="s">
        <v>19</v>
      </c>
      <c r="M1389" s="7" t="s">
        <v>1701</v>
      </c>
      <c r="N1389" s="7" t="s">
        <v>53</v>
      </c>
      <c r="O1389" s="10" t="n">
        <f aca="false">'Exec Summary'!$E$2-H1389</f>
        <v>183</v>
      </c>
      <c r="P1389" s="10" t="n">
        <f aca="false">IF(I1389="","",I1389-H1389)</f>
        <v>26</v>
      </c>
      <c r="Q1389" s="10" t="n">
        <f aca="false">VLOOKUP(G1389,$AA$2:$AB$5,2,FALSE())</f>
        <v>30</v>
      </c>
      <c r="R1389" s="7" t="n">
        <f aca="false">IF(OR(F1389="Open",F1389="Reopened"),1,0)</f>
        <v>0</v>
      </c>
      <c r="S1389" s="7" t="n">
        <f aca="false">IF(AND(H1389&gt;='Exec Summary'!$E$1,H1389&lt;='Exec Summary'!$E$2),1,0)</f>
        <v>0</v>
      </c>
      <c r="T1389" s="7" t="n">
        <f aca="false">IF(AND(F1389="Closed",I1389&lt;&gt;"",I1389&gt;='Exec Summary'!$E$1,I1389&lt;='Exec Summary'!$E$2),1,0)</f>
        <v>0</v>
      </c>
      <c r="U1389" s="7" t="n">
        <f aca="false">IF(F1389="Reopened",1,0)</f>
        <v>0</v>
      </c>
      <c r="V1389" s="7" t="n">
        <f aca="false">IF(AND(R1389=1,O1389&gt;Q1389),1,0)</f>
        <v>0</v>
      </c>
      <c r="W1389" s="7" t="n">
        <f aca="false">IF(AND(T1389=1,P1389&lt;&gt;"",P1389&lt;=Q1389),1,0)</f>
        <v>0</v>
      </c>
    </row>
    <row r="1390" customFormat="false" ht="15" hidden="false" customHeight="false" outlineLevel="0" collapsed="false">
      <c r="A1390" s="7" t="s">
        <v>1702</v>
      </c>
      <c r="B1390" s="7" t="s">
        <v>46</v>
      </c>
      <c r="C1390" s="7" t="s">
        <v>79</v>
      </c>
      <c r="D1390" s="7" t="s">
        <v>48</v>
      </c>
      <c r="E1390" s="7" t="s">
        <v>49</v>
      </c>
      <c r="F1390" s="7" t="s">
        <v>50</v>
      </c>
      <c r="G1390" s="7" t="s">
        <v>20</v>
      </c>
      <c r="H1390" s="9" t="n">
        <v>46156</v>
      </c>
      <c r="I1390" s="9" t="n">
        <v>46162</v>
      </c>
      <c r="J1390" s="7" t="n">
        <v>7.5</v>
      </c>
      <c r="K1390" s="7" t="s">
        <v>1392</v>
      </c>
      <c r="L1390" s="7" t="s">
        <v>22</v>
      </c>
      <c r="M1390" s="7" t="s">
        <v>1703</v>
      </c>
      <c r="N1390" s="7" t="s">
        <v>53</v>
      </c>
      <c r="O1390" s="10" t="n">
        <f aca="false">'Exec Summary'!$E$2-H1390</f>
        <v>78</v>
      </c>
      <c r="P1390" s="10" t="n">
        <f aca="false">IF(I1390="","",I1390-H1390)</f>
        <v>6</v>
      </c>
      <c r="Q1390" s="10" t="n">
        <f aca="false">VLOOKUP(G1390,$AA$2:$AB$5,2,FALSE())</f>
        <v>30</v>
      </c>
      <c r="R1390" s="7" t="n">
        <f aca="false">IF(OR(F1390="Open",F1390="Reopened"),1,0)</f>
        <v>0</v>
      </c>
      <c r="S1390" s="7" t="n">
        <f aca="false">IF(AND(H1390&gt;='Exec Summary'!$E$1,H1390&lt;='Exec Summary'!$E$2),1,0)</f>
        <v>0</v>
      </c>
      <c r="T1390" s="7" t="n">
        <f aca="false">IF(AND(F1390="Closed",I1390&lt;&gt;"",I1390&gt;='Exec Summary'!$E$1,I1390&lt;='Exec Summary'!$E$2),1,0)</f>
        <v>0</v>
      </c>
      <c r="U1390" s="7" t="n">
        <f aca="false">IF(F1390="Reopened",1,0)</f>
        <v>0</v>
      </c>
      <c r="V1390" s="7" t="n">
        <f aca="false">IF(AND(R1390=1,O1390&gt;Q1390),1,0)</f>
        <v>0</v>
      </c>
      <c r="W1390" s="7" t="n">
        <f aca="false">IF(AND(T1390=1,P1390&lt;&gt;"",P1390&lt;=Q1390),1,0)</f>
        <v>0</v>
      </c>
    </row>
    <row r="1391" customFormat="false" ht="15" hidden="false" customHeight="false" outlineLevel="0" collapsed="false">
      <c r="A1391" s="7" t="s">
        <v>1702</v>
      </c>
      <c r="B1391" s="7" t="s">
        <v>46</v>
      </c>
      <c r="C1391" s="7" t="s">
        <v>79</v>
      </c>
      <c r="D1391" s="7" t="s">
        <v>131</v>
      </c>
      <c r="E1391" s="7" t="s">
        <v>132</v>
      </c>
      <c r="F1391" s="7" t="s">
        <v>56</v>
      </c>
      <c r="G1391" s="7" t="s">
        <v>19</v>
      </c>
      <c r="H1391" s="9" t="n">
        <v>46153</v>
      </c>
      <c r="I1391" s="9"/>
      <c r="J1391" s="7" t="n">
        <v>9.8</v>
      </c>
      <c r="K1391" s="7" t="s">
        <v>1392</v>
      </c>
      <c r="L1391" s="7" t="s">
        <v>22</v>
      </c>
      <c r="M1391" s="7" t="s">
        <v>1704</v>
      </c>
      <c r="N1391" s="7" t="s">
        <v>58</v>
      </c>
      <c r="O1391" s="10" t="n">
        <f aca="false">'Exec Summary'!$E$2-H1391</f>
        <v>81</v>
      </c>
      <c r="P1391" s="10" t="str">
        <f aca="false">IF(I1391="","",I1391-H1391)</f>
        <v/>
      </c>
      <c r="Q1391" s="10" t="n">
        <f aca="false">VLOOKUP(G1391,$AA$2:$AB$5,2,FALSE())</f>
        <v>15</v>
      </c>
      <c r="R1391" s="7" t="n">
        <f aca="false">IF(OR(F1391="Open",F1391="Reopened"),1,0)</f>
        <v>1</v>
      </c>
      <c r="S1391" s="7" t="n">
        <f aca="false">IF(AND(H1391&gt;='Exec Summary'!$E$1,H1391&lt;='Exec Summary'!$E$2),1,0)</f>
        <v>0</v>
      </c>
      <c r="T1391" s="7" t="n">
        <f aca="false">IF(AND(F1391="Closed",I1391&lt;&gt;"",I1391&gt;='Exec Summary'!$E$1,I1391&lt;='Exec Summary'!$E$2),1,0)</f>
        <v>0</v>
      </c>
      <c r="U1391" s="7" t="n">
        <f aca="false">IF(F1391="Reopened",1,0)</f>
        <v>0</v>
      </c>
      <c r="V1391" s="7" t="n">
        <f aca="false">IF(AND(R1391=1,O1391&gt;Q1391),1,0)</f>
        <v>1</v>
      </c>
      <c r="W1391" s="7" t="n">
        <f aca="false">IF(AND(T1391=1,P1391&lt;&gt;"",P1391&lt;=Q1391),1,0)</f>
        <v>0</v>
      </c>
    </row>
    <row r="1392" customFormat="false" ht="15" hidden="false" customHeight="false" outlineLevel="0" collapsed="false">
      <c r="A1392" s="7" t="s">
        <v>1702</v>
      </c>
      <c r="B1392" s="7" t="s">
        <v>46</v>
      </c>
      <c r="C1392" s="7" t="s">
        <v>79</v>
      </c>
      <c r="D1392" s="7" t="s">
        <v>173</v>
      </c>
      <c r="E1392" s="7" t="s">
        <v>174</v>
      </c>
      <c r="F1392" s="7" t="s">
        <v>50</v>
      </c>
      <c r="G1392" s="7" t="s">
        <v>19</v>
      </c>
      <c r="H1392" s="9" t="n">
        <v>45949</v>
      </c>
      <c r="I1392" s="9" t="n">
        <v>45958</v>
      </c>
      <c r="J1392" s="7" t="n">
        <v>9.8</v>
      </c>
      <c r="K1392" s="7" t="s">
        <v>1392</v>
      </c>
      <c r="L1392" s="7" t="s">
        <v>22</v>
      </c>
      <c r="M1392" s="7" t="s">
        <v>1705</v>
      </c>
      <c r="N1392" s="7" t="s">
        <v>58</v>
      </c>
      <c r="O1392" s="10" t="n">
        <f aca="false">'Exec Summary'!$E$2-H1392</f>
        <v>285</v>
      </c>
      <c r="P1392" s="10" t="n">
        <f aca="false">IF(I1392="","",I1392-H1392)</f>
        <v>9</v>
      </c>
      <c r="Q1392" s="10" t="n">
        <f aca="false">VLOOKUP(G1392,$AA$2:$AB$5,2,FALSE())</f>
        <v>15</v>
      </c>
      <c r="R1392" s="7" t="n">
        <f aca="false">IF(OR(F1392="Open",F1392="Reopened"),1,0)</f>
        <v>0</v>
      </c>
      <c r="S1392" s="7" t="n">
        <f aca="false">IF(AND(H1392&gt;='Exec Summary'!$E$1,H1392&lt;='Exec Summary'!$E$2),1,0)</f>
        <v>0</v>
      </c>
      <c r="T1392" s="7" t="n">
        <f aca="false">IF(AND(F1392="Closed",I1392&lt;&gt;"",I1392&gt;='Exec Summary'!$E$1,I1392&lt;='Exec Summary'!$E$2),1,0)</f>
        <v>0</v>
      </c>
      <c r="U1392" s="7" t="n">
        <f aca="false">IF(F1392="Reopened",1,0)</f>
        <v>0</v>
      </c>
      <c r="V1392" s="7" t="n">
        <f aca="false">IF(AND(R1392=1,O1392&gt;Q1392),1,0)</f>
        <v>0</v>
      </c>
      <c r="W1392" s="7" t="n">
        <f aca="false">IF(AND(T1392=1,P1392&lt;&gt;"",P1392&lt;=Q1392),1,0)</f>
        <v>0</v>
      </c>
    </row>
    <row r="1393" customFormat="false" ht="15" hidden="false" customHeight="false" outlineLevel="0" collapsed="false">
      <c r="A1393" s="7" t="s">
        <v>1702</v>
      </c>
      <c r="B1393" s="7" t="s">
        <v>46</v>
      </c>
      <c r="C1393" s="7" t="s">
        <v>79</v>
      </c>
      <c r="D1393" s="7" t="s">
        <v>98</v>
      </c>
      <c r="E1393" s="7" t="s">
        <v>99</v>
      </c>
      <c r="F1393" s="7" t="s">
        <v>56</v>
      </c>
      <c r="G1393" s="7" t="s">
        <v>19</v>
      </c>
      <c r="H1393" s="9" t="n">
        <v>46035</v>
      </c>
      <c r="I1393" s="9"/>
      <c r="J1393" s="7" t="n">
        <v>10</v>
      </c>
      <c r="K1393" s="7" t="s">
        <v>1392</v>
      </c>
      <c r="L1393" s="7" t="s">
        <v>22</v>
      </c>
      <c r="M1393" s="7" t="s">
        <v>1706</v>
      </c>
      <c r="N1393" s="7" t="s">
        <v>58</v>
      </c>
      <c r="O1393" s="10" t="n">
        <f aca="false">'Exec Summary'!$E$2-H1393</f>
        <v>199</v>
      </c>
      <c r="P1393" s="10" t="str">
        <f aca="false">IF(I1393="","",I1393-H1393)</f>
        <v/>
      </c>
      <c r="Q1393" s="10" t="n">
        <f aca="false">VLOOKUP(G1393,$AA$2:$AB$5,2,FALSE())</f>
        <v>15</v>
      </c>
      <c r="R1393" s="7" t="n">
        <f aca="false">IF(OR(F1393="Open",F1393="Reopened"),1,0)</f>
        <v>1</v>
      </c>
      <c r="S1393" s="7" t="n">
        <f aca="false">IF(AND(H1393&gt;='Exec Summary'!$E$1,H1393&lt;='Exec Summary'!$E$2),1,0)</f>
        <v>0</v>
      </c>
      <c r="T1393" s="7" t="n">
        <f aca="false">IF(AND(F1393="Closed",I1393&lt;&gt;"",I1393&gt;='Exec Summary'!$E$1,I1393&lt;='Exec Summary'!$E$2),1,0)</f>
        <v>0</v>
      </c>
      <c r="U1393" s="7" t="n">
        <f aca="false">IF(F1393="Reopened",1,0)</f>
        <v>0</v>
      </c>
      <c r="V1393" s="7" t="n">
        <f aca="false">IF(AND(R1393=1,O1393&gt;Q1393),1,0)</f>
        <v>1</v>
      </c>
      <c r="W1393" s="7" t="n">
        <f aca="false">IF(AND(T1393=1,P1393&lt;&gt;"",P1393&lt;=Q1393),1,0)</f>
        <v>0</v>
      </c>
    </row>
    <row r="1394" customFormat="false" ht="15" hidden="false" customHeight="false" outlineLevel="0" collapsed="false">
      <c r="A1394" s="7" t="s">
        <v>1702</v>
      </c>
      <c r="B1394" s="7" t="s">
        <v>46</v>
      </c>
      <c r="C1394" s="7" t="s">
        <v>79</v>
      </c>
      <c r="D1394" s="7" t="s">
        <v>101</v>
      </c>
      <c r="E1394" s="7" t="s">
        <v>102</v>
      </c>
      <c r="F1394" s="7" t="s">
        <v>50</v>
      </c>
      <c r="G1394" s="7" t="s">
        <v>19</v>
      </c>
      <c r="H1394" s="9" t="n">
        <v>46140</v>
      </c>
      <c r="I1394" s="9" t="n">
        <v>46157</v>
      </c>
      <c r="J1394" s="7" t="n">
        <v>10</v>
      </c>
      <c r="K1394" s="7" t="s">
        <v>1392</v>
      </c>
      <c r="L1394" s="7" t="s">
        <v>22</v>
      </c>
      <c r="M1394" s="7" t="s">
        <v>1707</v>
      </c>
      <c r="N1394" s="7" t="s">
        <v>58</v>
      </c>
      <c r="O1394" s="10" t="n">
        <f aca="false">'Exec Summary'!$E$2-H1394</f>
        <v>94</v>
      </c>
      <c r="P1394" s="10" t="n">
        <f aca="false">IF(I1394="","",I1394-H1394)</f>
        <v>17</v>
      </c>
      <c r="Q1394" s="10" t="n">
        <f aca="false">VLOOKUP(G1394,$AA$2:$AB$5,2,FALSE())</f>
        <v>15</v>
      </c>
      <c r="R1394" s="7" t="n">
        <f aca="false">IF(OR(F1394="Open",F1394="Reopened"),1,0)</f>
        <v>0</v>
      </c>
      <c r="S1394" s="7" t="n">
        <f aca="false">IF(AND(H1394&gt;='Exec Summary'!$E$1,H1394&lt;='Exec Summary'!$E$2),1,0)</f>
        <v>0</v>
      </c>
      <c r="T1394" s="7" t="n">
        <f aca="false">IF(AND(F1394="Closed",I1394&lt;&gt;"",I1394&gt;='Exec Summary'!$E$1,I1394&lt;='Exec Summary'!$E$2),1,0)</f>
        <v>0</v>
      </c>
      <c r="U1394" s="7" t="n">
        <f aca="false">IF(F1394="Reopened",1,0)</f>
        <v>0</v>
      </c>
      <c r="V1394" s="7" t="n">
        <f aca="false">IF(AND(R1394=1,O1394&gt;Q1394),1,0)</f>
        <v>0</v>
      </c>
      <c r="W1394" s="7" t="n">
        <f aca="false">IF(AND(T1394=1,P1394&lt;&gt;"",P1394&lt;=Q1394),1,0)</f>
        <v>0</v>
      </c>
    </row>
    <row r="1395" customFormat="false" ht="15" hidden="false" customHeight="false" outlineLevel="0" collapsed="false">
      <c r="A1395" s="7" t="s">
        <v>1702</v>
      </c>
      <c r="B1395" s="7" t="s">
        <v>46</v>
      </c>
      <c r="C1395" s="7" t="s">
        <v>79</v>
      </c>
      <c r="D1395" s="7" t="s">
        <v>120</v>
      </c>
      <c r="E1395" s="7" t="s">
        <v>121</v>
      </c>
      <c r="F1395" s="7" t="s">
        <v>50</v>
      </c>
      <c r="G1395" s="7" t="s">
        <v>19</v>
      </c>
      <c r="H1395" s="9" t="n">
        <v>46135</v>
      </c>
      <c r="I1395" s="9" t="n">
        <v>46136</v>
      </c>
      <c r="J1395" s="7" t="n">
        <v>8.8</v>
      </c>
      <c r="K1395" s="7" t="s">
        <v>1392</v>
      </c>
      <c r="L1395" s="7" t="s">
        <v>22</v>
      </c>
      <c r="M1395" s="7" t="s">
        <v>1708</v>
      </c>
      <c r="N1395" s="7" t="s">
        <v>58</v>
      </c>
      <c r="O1395" s="10" t="n">
        <f aca="false">'Exec Summary'!$E$2-H1395</f>
        <v>99</v>
      </c>
      <c r="P1395" s="10" t="n">
        <f aca="false">IF(I1395="","",I1395-H1395)</f>
        <v>1</v>
      </c>
      <c r="Q1395" s="10" t="n">
        <f aca="false">VLOOKUP(G1395,$AA$2:$AB$5,2,FALSE())</f>
        <v>15</v>
      </c>
      <c r="R1395" s="7" t="n">
        <f aca="false">IF(OR(F1395="Open",F1395="Reopened"),1,0)</f>
        <v>0</v>
      </c>
      <c r="S1395" s="7" t="n">
        <f aca="false">IF(AND(H1395&gt;='Exec Summary'!$E$1,H1395&lt;='Exec Summary'!$E$2),1,0)</f>
        <v>0</v>
      </c>
      <c r="T1395" s="7" t="n">
        <f aca="false">IF(AND(F1395="Closed",I1395&lt;&gt;"",I1395&gt;='Exec Summary'!$E$1,I1395&lt;='Exec Summary'!$E$2),1,0)</f>
        <v>0</v>
      </c>
      <c r="U1395" s="7" t="n">
        <f aca="false">IF(F1395="Reopened",1,0)</f>
        <v>0</v>
      </c>
      <c r="V1395" s="7" t="n">
        <f aca="false">IF(AND(R1395=1,O1395&gt;Q1395),1,0)</f>
        <v>0</v>
      </c>
      <c r="W1395" s="7" t="n">
        <f aca="false">IF(AND(T1395=1,P1395&lt;&gt;"",P1395&lt;=Q1395),1,0)</f>
        <v>0</v>
      </c>
    </row>
    <row r="1396" customFormat="false" ht="15" hidden="false" customHeight="false" outlineLevel="0" collapsed="false">
      <c r="A1396" s="7" t="s">
        <v>1702</v>
      </c>
      <c r="B1396" s="7" t="s">
        <v>46</v>
      </c>
      <c r="C1396" s="7" t="s">
        <v>79</v>
      </c>
      <c r="D1396" s="7" t="s">
        <v>71</v>
      </c>
      <c r="E1396" s="7" t="s">
        <v>72</v>
      </c>
      <c r="F1396" s="7" t="s">
        <v>50</v>
      </c>
      <c r="G1396" s="7" t="s">
        <v>19</v>
      </c>
      <c r="H1396" s="9" t="n">
        <v>45966</v>
      </c>
      <c r="I1396" s="9" t="n">
        <v>45982</v>
      </c>
      <c r="J1396" s="7" t="n">
        <v>9.8</v>
      </c>
      <c r="K1396" s="7" t="s">
        <v>1392</v>
      </c>
      <c r="L1396" s="7" t="s">
        <v>22</v>
      </c>
      <c r="M1396" s="7" t="s">
        <v>1709</v>
      </c>
      <c r="N1396" s="7" t="s">
        <v>58</v>
      </c>
      <c r="O1396" s="10" t="n">
        <f aca="false">'Exec Summary'!$E$2-H1396</f>
        <v>268</v>
      </c>
      <c r="P1396" s="10" t="n">
        <f aca="false">IF(I1396="","",I1396-H1396)</f>
        <v>16</v>
      </c>
      <c r="Q1396" s="10" t="n">
        <f aca="false">VLOOKUP(G1396,$AA$2:$AB$5,2,FALSE())</f>
        <v>15</v>
      </c>
      <c r="R1396" s="7" t="n">
        <f aca="false">IF(OR(F1396="Open",F1396="Reopened"),1,0)</f>
        <v>0</v>
      </c>
      <c r="S1396" s="7" t="n">
        <f aca="false">IF(AND(H1396&gt;='Exec Summary'!$E$1,H1396&lt;='Exec Summary'!$E$2),1,0)</f>
        <v>0</v>
      </c>
      <c r="T1396" s="7" t="n">
        <f aca="false">IF(AND(F1396="Closed",I1396&lt;&gt;"",I1396&gt;='Exec Summary'!$E$1,I1396&lt;='Exec Summary'!$E$2),1,0)</f>
        <v>0</v>
      </c>
      <c r="U1396" s="7" t="n">
        <f aca="false">IF(F1396="Reopened",1,0)</f>
        <v>0</v>
      </c>
      <c r="V1396" s="7" t="n">
        <f aca="false">IF(AND(R1396=1,O1396&gt;Q1396),1,0)</f>
        <v>0</v>
      </c>
      <c r="W1396" s="7" t="n">
        <f aca="false">IF(AND(T1396=1,P1396&lt;&gt;"",P1396&lt;=Q1396),1,0)</f>
        <v>0</v>
      </c>
    </row>
    <row r="1397" customFormat="false" ht="15" hidden="false" customHeight="false" outlineLevel="0" collapsed="false">
      <c r="A1397" s="7" t="s">
        <v>1710</v>
      </c>
      <c r="B1397" s="7" t="s">
        <v>46</v>
      </c>
      <c r="C1397" s="7" t="s">
        <v>47</v>
      </c>
      <c r="D1397" s="7" t="s">
        <v>104</v>
      </c>
      <c r="E1397" s="7" t="s">
        <v>105</v>
      </c>
      <c r="F1397" s="7" t="s">
        <v>50</v>
      </c>
      <c r="G1397" s="7" t="s">
        <v>19</v>
      </c>
      <c r="H1397" s="9" t="n">
        <v>45959</v>
      </c>
      <c r="I1397" s="9" t="n">
        <v>45961</v>
      </c>
      <c r="J1397" s="7" t="n">
        <v>9.8</v>
      </c>
      <c r="K1397" s="7" t="s">
        <v>1392</v>
      </c>
      <c r="L1397" s="7" t="s">
        <v>21</v>
      </c>
      <c r="M1397" s="7" t="s">
        <v>1711</v>
      </c>
      <c r="N1397" s="7" t="s">
        <v>58</v>
      </c>
      <c r="O1397" s="10" t="n">
        <f aca="false">'Exec Summary'!$E$2-H1397</f>
        <v>275</v>
      </c>
      <c r="P1397" s="10" t="n">
        <f aca="false">IF(I1397="","",I1397-H1397)</f>
        <v>2</v>
      </c>
      <c r="Q1397" s="10" t="n">
        <f aca="false">VLOOKUP(G1397,$AA$2:$AB$5,2,FALSE())</f>
        <v>15</v>
      </c>
      <c r="R1397" s="7" t="n">
        <f aca="false">IF(OR(F1397="Open",F1397="Reopened"),1,0)</f>
        <v>0</v>
      </c>
      <c r="S1397" s="7" t="n">
        <f aca="false">IF(AND(H1397&gt;='Exec Summary'!$E$1,H1397&lt;='Exec Summary'!$E$2),1,0)</f>
        <v>0</v>
      </c>
      <c r="T1397" s="7" t="n">
        <f aca="false">IF(AND(F1397="Closed",I1397&lt;&gt;"",I1397&gt;='Exec Summary'!$E$1,I1397&lt;='Exec Summary'!$E$2),1,0)</f>
        <v>0</v>
      </c>
      <c r="U1397" s="7" t="n">
        <f aca="false">IF(F1397="Reopened",1,0)</f>
        <v>0</v>
      </c>
      <c r="V1397" s="7" t="n">
        <f aca="false">IF(AND(R1397=1,O1397&gt;Q1397),1,0)</f>
        <v>0</v>
      </c>
      <c r="W1397" s="7" t="n">
        <f aca="false">IF(AND(T1397=1,P1397&lt;&gt;"",P1397&lt;=Q1397),1,0)</f>
        <v>0</v>
      </c>
    </row>
    <row r="1398" customFormat="false" ht="15" hidden="false" customHeight="false" outlineLevel="0" collapsed="false">
      <c r="A1398" s="7" t="s">
        <v>1710</v>
      </c>
      <c r="B1398" s="7" t="s">
        <v>46</v>
      </c>
      <c r="C1398" s="7" t="s">
        <v>47</v>
      </c>
      <c r="D1398" s="7" t="s">
        <v>71</v>
      </c>
      <c r="E1398" s="7" t="s">
        <v>72</v>
      </c>
      <c r="F1398" s="7" t="s">
        <v>56</v>
      </c>
      <c r="G1398" s="7" t="s">
        <v>19</v>
      </c>
      <c r="H1398" s="9" t="n">
        <v>45997</v>
      </c>
      <c r="I1398" s="9"/>
      <c r="J1398" s="7" t="n">
        <v>9.8</v>
      </c>
      <c r="K1398" s="7" t="s">
        <v>1392</v>
      </c>
      <c r="L1398" s="7" t="s">
        <v>21</v>
      </c>
      <c r="M1398" s="7" t="s">
        <v>1712</v>
      </c>
      <c r="N1398" s="7" t="s">
        <v>58</v>
      </c>
      <c r="O1398" s="10" t="n">
        <f aca="false">'Exec Summary'!$E$2-H1398</f>
        <v>237</v>
      </c>
      <c r="P1398" s="10" t="str">
        <f aca="false">IF(I1398="","",I1398-H1398)</f>
        <v/>
      </c>
      <c r="Q1398" s="10" t="n">
        <f aca="false">VLOOKUP(G1398,$AA$2:$AB$5,2,FALSE())</f>
        <v>15</v>
      </c>
      <c r="R1398" s="7" t="n">
        <f aca="false">IF(OR(F1398="Open",F1398="Reopened"),1,0)</f>
        <v>1</v>
      </c>
      <c r="S1398" s="7" t="n">
        <f aca="false">IF(AND(H1398&gt;='Exec Summary'!$E$1,H1398&lt;='Exec Summary'!$E$2),1,0)</f>
        <v>0</v>
      </c>
      <c r="T1398" s="7" t="n">
        <f aca="false">IF(AND(F1398="Closed",I1398&lt;&gt;"",I1398&gt;='Exec Summary'!$E$1,I1398&lt;='Exec Summary'!$E$2),1,0)</f>
        <v>0</v>
      </c>
      <c r="U1398" s="7" t="n">
        <f aca="false">IF(F1398="Reopened",1,0)</f>
        <v>0</v>
      </c>
      <c r="V1398" s="7" t="n">
        <f aca="false">IF(AND(R1398=1,O1398&gt;Q1398),1,0)</f>
        <v>1</v>
      </c>
      <c r="W1398" s="7" t="n">
        <f aca="false">IF(AND(T1398=1,P1398&lt;&gt;"",P1398&lt;=Q1398),1,0)</f>
        <v>0</v>
      </c>
    </row>
    <row r="1399" customFormat="false" ht="15" hidden="false" customHeight="false" outlineLevel="0" collapsed="false">
      <c r="A1399" s="7" t="s">
        <v>1710</v>
      </c>
      <c r="B1399" s="7" t="s">
        <v>46</v>
      </c>
      <c r="C1399" s="7" t="s">
        <v>47</v>
      </c>
      <c r="D1399" s="7" t="s">
        <v>101</v>
      </c>
      <c r="E1399" s="7" t="s">
        <v>102</v>
      </c>
      <c r="F1399" s="7" t="s">
        <v>56</v>
      </c>
      <c r="G1399" s="7" t="s">
        <v>19</v>
      </c>
      <c r="H1399" s="9" t="n">
        <v>45944</v>
      </c>
      <c r="I1399" s="9"/>
      <c r="J1399" s="7" t="n">
        <v>10</v>
      </c>
      <c r="K1399" s="7" t="s">
        <v>1392</v>
      </c>
      <c r="L1399" s="7" t="s">
        <v>21</v>
      </c>
      <c r="M1399" s="7" t="s">
        <v>1713</v>
      </c>
      <c r="N1399" s="7" t="s">
        <v>58</v>
      </c>
      <c r="O1399" s="10" t="n">
        <f aca="false">'Exec Summary'!$E$2-H1399</f>
        <v>290</v>
      </c>
      <c r="P1399" s="10" t="str">
        <f aca="false">IF(I1399="","",I1399-H1399)</f>
        <v/>
      </c>
      <c r="Q1399" s="10" t="n">
        <f aca="false">VLOOKUP(G1399,$AA$2:$AB$5,2,FALSE())</f>
        <v>15</v>
      </c>
      <c r="R1399" s="7" t="n">
        <f aca="false">IF(OR(F1399="Open",F1399="Reopened"),1,0)</f>
        <v>1</v>
      </c>
      <c r="S1399" s="7" t="n">
        <f aca="false">IF(AND(H1399&gt;='Exec Summary'!$E$1,H1399&lt;='Exec Summary'!$E$2),1,0)</f>
        <v>0</v>
      </c>
      <c r="T1399" s="7" t="n">
        <f aca="false">IF(AND(F1399="Closed",I1399&lt;&gt;"",I1399&gt;='Exec Summary'!$E$1,I1399&lt;='Exec Summary'!$E$2),1,0)</f>
        <v>0</v>
      </c>
      <c r="U1399" s="7" t="n">
        <f aca="false">IF(F1399="Reopened",1,0)</f>
        <v>0</v>
      </c>
      <c r="V1399" s="7" t="n">
        <f aca="false">IF(AND(R1399=1,O1399&gt;Q1399),1,0)</f>
        <v>1</v>
      </c>
      <c r="W1399" s="7" t="n">
        <f aca="false">IF(AND(T1399=1,P1399&lt;&gt;"",P1399&lt;=Q1399),1,0)</f>
        <v>0</v>
      </c>
    </row>
    <row r="1400" customFormat="false" ht="15" hidden="false" customHeight="false" outlineLevel="0" collapsed="false">
      <c r="A1400" s="7" t="s">
        <v>1710</v>
      </c>
      <c r="B1400" s="7" t="s">
        <v>46</v>
      </c>
      <c r="C1400" s="7" t="s">
        <v>47</v>
      </c>
      <c r="D1400" s="7" t="s">
        <v>152</v>
      </c>
      <c r="E1400" s="7" t="s">
        <v>153</v>
      </c>
      <c r="F1400" s="7" t="s">
        <v>50</v>
      </c>
      <c r="G1400" s="7" t="s">
        <v>20</v>
      </c>
      <c r="H1400" s="9" t="n">
        <v>46054</v>
      </c>
      <c r="I1400" s="9" t="n">
        <v>46081</v>
      </c>
      <c r="J1400" s="7" t="n">
        <v>7.5</v>
      </c>
      <c r="K1400" s="7" t="s">
        <v>1392</v>
      </c>
      <c r="L1400" s="7" t="s">
        <v>21</v>
      </c>
      <c r="M1400" s="7" t="s">
        <v>1714</v>
      </c>
      <c r="N1400" s="7" t="s">
        <v>53</v>
      </c>
      <c r="O1400" s="10" t="n">
        <f aca="false">'Exec Summary'!$E$2-H1400</f>
        <v>180</v>
      </c>
      <c r="P1400" s="10" t="n">
        <f aca="false">IF(I1400="","",I1400-H1400)</f>
        <v>27</v>
      </c>
      <c r="Q1400" s="10" t="n">
        <f aca="false">VLOOKUP(G1400,$AA$2:$AB$5,2,FALSE())</f>
        <v>30</v>
      </c>
      <c r="R1400" s="7" t="n">
        <f aca="false">IF(OR(F1400="Open",F1400="Reopened"),1,0)</f>
        <v>0</v>
      </c>
      <c r="S1400" s="7" t="n">
        <f aca="false">IF(AND(H1400&gt;='Exec Summary'!$E$1,H1400&lt;='Exec Summary'!$E$2),1,0)</f>
        <v>0</v>
      </c>
      <c r="T1400" s="7" t="n">
        <f aca="false">IF(AND(F1400="Closed",I1400&lt;&gt;"",I1400&gt;='Exec Summary'!$E$1,I1400&lt;='Exec Summary'!$E$2),1,0)</f>
        <v>0</v>
      </c>
      <c r="U1400" s="7" t="n">
        <f aca="false">IF(F1400="Reopened",1,0)</f>
        <v>0</v>
      </c>
      <c r="V1400" s="7" t="n">
        <f aca="false">IF(AND(R1400=1,O1400&gt;Q1400),1,0)</f>
        <v>0</v>
      </c>
      <c r="W1400" s="7" t="n">
        <f aca="false">IF(AND(T1400=1,P1400&lt;&gt;"",P1400&lt;=Q1400),1,0)</f>
        <v>0</v>
      </c>
    </row>
    <row r="1401" customFormat="false" ht="15" hidden="false" customHeight="false" outlineLevel="0" collapsed="false">
      <c r="A1401" s="7" t="s">
        <v>1710</v>
      </c>
      <c r="B1401" s="7" t="s">
        <v>46</v>
      </c>
      <c r="C1401" s="7" t="s">
        <v>47</v>
      </c>
      <c r="D1401" s="7" t="s">
        <v>84</v>
      </c>
      <c r="E1401" s="7" t="s">
        <v>85</v>
      </c>
      <c r="F1401" s="7" t="s">
        <v>50</v>
      </c>
      <c r="G1401" s="7" t="s">
        <v>20</v>
      </c>
      <c r="H1401" s="9" t="n">
        <v>45935</v>
      </c>
      <c r="I1401" s="9" t="n">
        <v>45955</v>
      </c>
      <c r="J1401" s="7" t="n">
        <v>7.5</v>
      </c>
      <c r="K1401" s="7" t="s">
        <v>1392</v>
      </c>
      <c r="L1401" s="7" t="s">
        <v>21</v>
      </c>
      <c r="M1401" s="7" t="s">
        <v>1715</v>
      </c>
      <c r="N1401" s="7" t="s">
        <v>53</v>
      </c>
      <c r="O1401" s="10" t="n">
        <f aca="false">'Exec Summary'!$E$2-H1401</f>
        <v>299</v>
      </c>
      <c r="P1401" s="10" t="n">
        <f aca="false">IF(I1401="","",I1401-H1401)</f>
        <v>20</v>
      </c>
      <c r="Q1401" s="10" t="n">
        <f aca="false">VLOOKUP(G1401,$AA$2:$AB$5,2,FALSE())</f>
        <v>30</v>
      </c>
      <c r="R1401" s="7" t="n">
        <f aca="false">IF(OR(F1401="Open",F1401="Reopened"),1,0)</f>
        <v>0</v>
      </c>
      <c r="S1401" s="7" t="n">
        <f aca="false">IF(AND(H1401&gt;='Exec Summary'!$E$1,H1401&lt;='Exec Summary'!$E$2),1,0)</f>
        <v>0</v>
      </c>
      <c r="T1401" s="7" t="n">
        <f aca="false">IF(AND(F1401="Closed",I1401&lt;&gt;"",I1401&gt;='Exec Summary'!$E$1,I1401&lt;='Exec Summary'!$E$2),1,0)</f>
        <v>0</v>
      </c>
      <c r="U1401" s="7" t="n">
        <f aca="false">IF(F1401="Reopened",1,0)</f>
        <v>0</v>
      </c>
      <c r="V1401" s="7" t="n">
        <f aca="false">IF(AND(R1401=1,O1401&gt;Q1401),1,0)</f>
        <v>0</v>
      </c>
      <c r="W1401" s="7" t="n">
        <f aca="false">IF(AND(T1401=1,P1401&lt;&gt;"",P1401&lt;=Q1401),1,0)</f>
        <v>0</v>
      </c>
    </row>
    <row r="1402" customFormat="false" ht="15" hidden="false" customHeight="false" outlineLevel="0" collapsed="false">
      <c r="A1402" s="7" t="s">
        <v>1710</v>
      </c>
      <c r="B1402" s="7" t="s">
        <v>46</v>
      </c>
      <c r="C1402" s="7" t="s">
        <v>47</v>
      </c>
      <c r="D1402" s="7" t="s">
        <v>131</v>
      </c>
      <c r="E1402" s="7" t="s">
        <v>132</v>
      </c>
      <c r="F1402" s="7" t="s">
        <v>56</v>
      </c>
      <c r="G1402" s="7" t="s">
        <v>19</v>
      </c>
      <c r="H1402" s="9" t="n">
        <v>46096</v>
      </c>
      <c r="I1402" s="9"/>
      <c r="J1402" s="7" t="n">
        <v>9.8</v>
      </c>
      <c r="K1402" s="7" t="s">
        <v>1392</v>
      </c>
      <c r="L1402" s="7" t="s">
        <v>21</v>
      </c>
      <c r="M1402" s="7" t="s">
        <v>1716</v>
      </c>
      <c r="N1402" s="7" t="s">
        <v>58</v>
      </c>
      <c r="O1402" s="10" t="n">
        <f aca="false">'Exec Summary'!$E$2-H1402</f>
        <v>138</v>
      </c>
      <c r="P1402" s="10" t="str">
        <f aca="false">IF(I1402="","",I1402-H1402)</f>
        <v/>
      </c>
      <c r="Q1402" s="10" t="n">
        <f aca="false">VLOOKUP(G1402,$AA$2:$AB$5,2,FALSE())</f>
        <v>15</v>
      </c>
      <c r="R1402" s="7" t="n">
        <f aca="false">IF(OR(F1402="Open",F1402="Reopened"),1,0)</f>
        <v>1</v>
      </c>
      <c r="S1402" s="7" t="n">
        <f aca="false">IF(AND(H1402&gt;='Exec Summary'!$E$1,H1402&lt;='Exec Summary'!$E$2),1,0)</f>
        <v>0</v>
      </c>
      <c r="T1402" s="7" t="n">
        <f aca="false">IF(AND(F1402="Closed",I1402&lt;&gt;"",I1402&gt;='Exec Summary'!$E$1,I1402&lt;='Exec Summary'!$E$2),1,0)</f>
        <v>0</v>
      </c>
      <c r="U1402" s="7" t="n">
        <f aca="false">IF(F1402="Reopened",1,0)</f>
        <v>0</v>
      </c>
      <c r="V1402" s="7" t="n">
        <f aca="false">IF(AND(R1402=1,O1402&gt;Q1402),1,0)</f>
        <v>1</v>
      </c>
      <c r="W1402" s="7" t="n">
        <f aca="false">IF(AND(T1402=1,P1402&lt;&gt;"",P1402&lt;=Q1402),1,0)</f>
        <v>0</v>
      </c>
    </row>
    <row r="1403" customFormat="false" ht="15" hidden="false" customHeight="false" outlineLevel="0" collapsed="false">
      <c r="A1403" s="7" t="s">
        <v>1717</v>
      </c>
      <c r="B1403" s="7" t="s">
        <v>46</v>
      </c>
      <c r="C1403" s="7" t="s">
        <v>79</v>
      </c>
      <c r="D1403" s="7" t="s">
        <v>65</v>
      </c>
      <c r="E1403" s="7" t="s">
        <v>66</v>
      </c>
      <c r="F1403" s="7" t="s">
        <v>56</v>
      </c>
      <c r="G1403" s="7" t="s">
        <v>19</v>
      </c>
      <c r="H1403" s="9" t="n">
        <v>45995</v>
      </c>
      <c r="I1403" s="9"/>
      <c r="J1403" s="7" t="n">
        <v>9.8</v>
      </c>
      <c r="K1403" s="7" t="s">
        <v>1392</v>
      </c>
      <c r="L1403" s="7" t="s">
        <v>21</v>
      </c>
      <c r="M1403" s="7" t="s">
        <v>1718</v>
      </c>
      <c r="N1403" s="7" t="s">
        <v>58</v>
      </c>
      <c r="O1403" s="10" t="n">
        <f aca="false">'Exec Summary'!$E$2-H1403</f>
        <v>239</v>
      </c>
      <c r="P1403" s="10" t="str">
        <f aca="false">IF(I1403="","",I1403-H1403)</f>
        <v/>
      </c>
      <c r="Q1403" s="10" t="n">
        <f aca="false">VLOOKUP(G1403,$AA$2:$AB$5,2,FALSE())</f>
        <v>15</v>
      </c>
      <c r="R1403" s="7" t="n">
        <f aca="false">IF(OR(F1403="Open",F1403="Reopened"),1,0)</f>
        <v>1</v>
      </c>
      <c r="S1403" s="7" t="n">
        <f aca="false">IF(AND(H1403&gt;='Exec Summary'!$E$1,H1403&lt;='Exec Summary'!$E$2),1,0)</f>
        <v>0</v>
      </c>
      <c r="T1403" s="7" t="n">
        <f aca="false">IF(AND(F1403="Closed",I1403&lt;&gt;"",I1403&gt;='Exec Summary'!$E$1,I1403&lt;='Exec Summary'!$E$2),1,0)</f>
        <v>0</v>
      </c>
      <c r="U1403" s="7" t="n">
        <f aca="false">IF(F1403="Reopened",1,0)</f>
        <v>0</v>
      </c>
      <c r="V1403" s="7" t="n">
        <f aca="false">IF(AND(R1403=1,O1403&gt;Q1403),1,0)</f>
        <v>1</v>
      </c>
      <c r="W1403" s="7" t="n">
        <f aca="false">IF(AND(T1403=1,P1403&lt;&gt;"",P1403&lt;=Q1403),1,0)</f>
        <v>0</v>
      </c>
    </row>
    <row r="1404" customFormat="false" ht="15" hidden="false" customHeight="false" outlineLevel="0" collapsed="false">
      <c r="A1404" s="7" t="s">
        <v>1717</v>
      </c>
      <c r="B1404" s="7" t="s">
        <v>46</v>
      </c>
      <c r="C1404" s="7" t="s">
        <v>79</v>
      </c>
      <c r="D1404" s="7" t="s">
        <v>59</v>
      </c>
      <c r="E1404" s="7" t="s">
        <v>60</v>
      </c>
      <c r="F1404" s="7" t="s">
        <v>56</v>
      </c>
      <c r="G1404" s="7" t="s">
        <v>19</v>
      </c>
      <c r="H1404" s="9" t="n">
        <v>46218</v>
      </c>
      <c r="I1404" s="9"/>
      <c r="J1404" s="7" t="n">
        <v>7.8</v>
      </c>
      <c r="K1404" s="7" t="s">
        <v>1392</v>
      </c>
      <c r="L1404" s="7" t="s">
        <v>21</v>
      </c>
      <c r="M1404" s="7" t="s">
        <v>1719</v>
      </c>
      <c r="N1404" s="7" t="s">
        <v>58</v>
      </c>
      <c r="O1404" s="10" t="n">
        <f aca="false">'Exec Summary'!$E$2-H1404</f>
        <v>16</v>
      </c>
      <c r="P1404" s="10" t="str">
        <f aca="false">IF(I1404="","",I1404-H1404)</f>
        <v/>
      </c>
      <c r="Q1404" s="10" t="n">
        <f aca="false">VLOOKUP(G1404,$AA$2:$AB$5,2,FALSE())</f>
        <v>15</v>
      </c>
      <c r="R1404" s="7" t="n">
        <f aca="false">IF(OR(F1404="Open",F1404="Reopened"),1,0)</f>
        <v>1</v>
      </c>
      <c r="S1404" s="7" t="n">
        <f aca="false">IF(AND(H1404&gt;='Exec Summary'!$E$1,H1404&lt;='Exec Summary'!$E$2),1,0)</f>
        <v>1</v>
      </c>
      <c r="T1404" s="7" t="n">
        <f aca="false">IF(AND(F1404="Closed",I1404&lt;&gt;"",I1404&gt;='Exec Summary'!$E$1,I1404&lt;='Exec Summary'!$E$2),1,0)</f>
        <v>0</v>
      </c>
      <c r="U1404" s="7" t="n">
        <f aca="false">IF(F1404="Reopened",1,0)</f>
        <v>0</v>
      </c>
      <c r="V1404" s="7" t="n">
        <f aca="false">IF(AND(R1404=1,O1404&gt;Q1404),1,0)</f>
        <v>1</v>
      </c>
      <c r="W1404" s="7" t="n">
        <f aca="false">IF(AND(T1404=1,P1404&lt;&gt;"",P1404&lt;=Q1404),1,0)</f>
        <v>0</v>
      </c>
    </row>
    <row r="1405" customFormat="false" ht="15" hidden="false" customHeight="false" outlineLevel="0" collapsed="false">
      <c r="A1405" s="7" t="s">
        <v>1717</v>
      </c>
      <c r="B1405" s="7" t="s">
        <v>46</v>
      </c>
      <c r="C1405" s="7" t="s">
        <v>79</v>
      </c>
      <c r="D1405" s="7" t="s">
        <v>139</v>
      </c>
      <c r="E1405" s="7" t="s">
        <v>140</v>
      </c>
      <c r="F1405" s="7" t="s">
        <v>56</v>
      </c>
      <c r="G1405" s="7" t="s">
        <v>19</v>
      </c>
      <c r="H1405" s="9" t="n">
        <v>46144</v>
      </c>
      <c r="I1405" s="9"/>
      <c r="J1405" s="7" t="n">
        <v>9.8</v>
      </c>
      <c r="K1405" s="7" t="s">
        <v>1392</v>
      </c>
      <c r="L1405" s="7" t="s">
        <v>21</v>
      </c>
      <c r="M1405" s="7" t="s">
        <v>1720</v>
      </c>
      <c r="N1405" s="7" t="s">
        <v>58</v>
      </c>
      <c r="O1405" s="10" t="n">
        <f aca="false">'Exec Summary'!$E$2-H1405</f>
        <v>90</v>
      </c>
      <c r="P1405" s="10" t="str">
        <f aca="false">IF(I1405="","",I1405-H1405)</f>
        <v/>
      </c>
      <c r="Q1405" s="10" t="n">
        <f aca="false">VLOOKUP(G1405,$AA$2:$AB$5,2,FALSE())</f>
        <v>15</v>
      </c>
      <c r="R1405" s="7" t="n">
        <f aca="false">IF(OR(F1405="Open",F1405="Reopened"),1,0)</f>
        <v>1</v>
      </c>
      <c r="S1405" s="7" t="n">
        <f aca="false">IF(AND(H1405&gt;='Exec Summary'!$E$1,H1405&lt;='Exec Summary'!$E$2),1,0)</f>
        <v>0</v>
      </c>
      <c r="T1405" s="7" t="n">
        <f aca="false">IF(AND(F1405="Closed",I1405&lt;&gt;"",I1405&gt;='Exec Summary'!$E$1,I1405&lt;='Exec Summary'!$E$2),1,0)</f>
        <v>0</v>
      </c>
      <c r="U1405" s="7" t="n">
        <f aca="false">IF(F1405="Reopened",1,0)</f>
        <v>0</v>
      </c>
      <c r="V1405" s="7" t="n">
        <f aca="false">IF(AND(R1405=1,O1405&gt;Q1405),1,0)</f>
        <v>1</v>
      </c>
      <c r="W1405" s="7" t="n">
        <f aca="false">IF(AND(T1405=1,P1405&lt;&gt;"",P1405&lt;=Q1405),1,0)</f>
        <v>0</v>
      </c>
    </row>
    <row r="1406" customFormat="false" ht="15" hidden="false" customHeight="false" outlineLevel="0" collapsed="false">
      <c r="A1406" s="7" t="s">
        <v>1717</v>
      </c>
      <c r="B1406" s="7" t="s">
        <v>46</v>
      </c>
      <c r="C1406" s="7" t="s">
        <v>79</v>
      </c>
      <c r="D1406" s="7" t="s">
        <v>145</v>
      </c>
      <c r="E1406" s="7" t="s">
        <v>146</v>
      </c>
      <c r="F1406" s="7" t="s">
        <v>50</v>
      </c>
      <c r="G1406" s="7" t="s">
        <v>19</v>
      </c>
      <c r="H1406" s="9" t="n">
        <v>46010</v>
      </c>
      <c r="I1406" s="9" t="n">
        <v>46020</v>
      </c>
      <c r="J1406" s="7" t="n">
        <v>9.8</v>
      </c>
      <c r="K1406" s="7" t="s">
        <v>1392</v>
      </c>
      <c r="L1406" s="7" t="s">
        <v>21</v>
      </c>
      <c r="M1406" s="7" t="s">
        <v>1721</v>
      </c>
      <c r="N1406" s="7" t="s">
        <v>58</v>
      </c>
      <c r="O1406" s="10" t="n">
        <f aca="false">'Exec Summary'!$E$2-H1406</f>
        <v>224</v>
      </c>
      <c r="P1406" s="10" t="n">
        <f aca="false">IF(I1406="","",I1406-H1406)</f>
        <v>10</v>
      </c>
      <c r="Q1406" s="10" t="n">
        <f aca="false">VLOOKUP(G1406,$AA$2:$AB$5,2,FALSE())</f>
        <v>15</v>
      </c>
      <c r="R1406" s="7" t="n">
        <f aca="false">IF(OR(F1406="Open",F1406="Reopened"),1,0)</f>
        <v>0</v>
      </c>
      <c r="S1406" s="7" t="n">
        <f aca="false">IF(AND(H1406&gt;='Exec Summary'!$E$1,H1406&lt;='Exec Summary'!$E$2),1,0)</f>
        <v>0</v>
      </c>
      <c r="T1406" s="7" t="n">
        <f aca="false">IF(AND(F1406="Closed",I1406&lt;&gt;"",I1406&gt;='Exec Summary'!$E$1,I1406&lt;='Exec Summary'!$E$2),1,0)</f>
        <v>0</v>
      </c>
      <c r="U1406" s="7" t="n">
        <f aca="false">IF(F1406="Reopened",1,0)</f>
        <v>0</v>
      </c>
      <c r="V1406" s="7" t="n">
        <f aca="false">IF(AND(R1406=1,O1406&gt;Q1406),1,0)</f>
        <v>0</v>
      </c>
      <c r="W1406" s="7" t="n">
        <f aca="false">IF(AND(T1406=1,P1406&lt;&gt;"",P1406&lt;=Q1406),1,0)</f>
        <v>0</v>
      </c>
    </row>
    <row r="1407" customFormat="false" ht="15" hidden="false" customHeight="false" outlineLevel="0" collapsed="false">
      <c r="A1407" s="7" t="s">
        <v>1717</v>
      </c>
      <c r="B1407" s="7" t="s">
        <v>46</v>
      </c>
      <c r="C1407" s="7" t="s">
        <v>79</v>
      </c>
      <c r="D1407" s="7" t="s">
        <v>120</v>
      </c>
      <c r="E1407" s="7" t="s">
        <v>121</v>
      </c>
      <c r="F1407" s="7" t="s">
        <v>50</v>
      </c>
      <c r="G1407" s="7" t="s">
        <v>19</v>
      </c>
      <c r="H1407" s="9" t="n">
        <v>46061</v>
      </c>
      <c r="I1407" s="9" t="n">
        <v>46074</v>
      </c>
      <c r="J1407" s="7" t="n">
        <v>8.8</v>
      </c>
      <c r="K1407" s="7" t="s">
        <v>1392</v>
      </c>
      <c r="L1407" s="7" t="s">
        <v>21</v>
      </c>
      <c r="M1407" s="7" t="s">
        <v>1722</v>
      </c>
      <c r="N1407" s="7" t="s">
        <v>58</v>
      </c>
      <c r="O1407" s="10" t="n">
        <f aca="false">'Exec Summary'!$E$2-H1407</f>
        <v>173</v>
      </c>
      <c r="P1407" s="10" t="n">
        <f aca="false">IF(I1407="","",I1407-H1407)</f>
        <v>13</v>
      </c>
      <c r="Q1407" s="10" t="n">
        <f aca="false">VLOOKUP(G1407,$AA$2:$AB$5,2,FALSE())</f>
        <v>15</v>
      </c>
      <c r="R1407" s="7" t="n">
        <f aca="false">IF(OR(F1407="Open",F1407="Reopened"),1,0)</f>
        <v>0</v>
      </c>
      <c r="S1407" s="7" t="n">
        <f aca="false">IF(AND(H1407&gt;='Exec Summary'!$E$1,H1407&lt;='Exec Summary'!$E$2),1,0)</f>
        <v>0</v>
      </c>
      <c r="T1407" s="7" t="n">
        <f aca="false">IF(AND(F1407="Closed",I1407&lt;&gt;"",I1407&gt;='Exec Summary'!$E$1,I1407&lt;='Exec Summary'!$E$2),1,0)</f>
        <v>0</v>
      </c>
      <c r="U1407" s="7" t="n">
        <f aca="false">IF(F1407="Reopened",1,0)</f>
        <v>0</v>
      </c>
      <c r="V1407" s="7" t="n">
        <f aca="false">IF(AND(R1407=1,O1407&gt;Q1407),1,0)</f>
        <v>0</v>
      </c>
      <c r="W1407" s="7" t="n">
        <f aca="false">IF(AND(T1407=1,P1407&lt;&gt;"",P1407&lt;=Q1407),1,0)</f>
        <v>0</v>
      </c>
    </row>
    <row r="1408" customFormat="false" ht="15" hidden="false" customHeight="false" outlineLevel="0" collapsed="false">
      <c r="A1408" s="7" t="s">
        <v>1717</v>
      </c>
      <c r="B1408" s="7" t="s">
        <v>46</v>
      </c>
      <c r="C1408" s="7" t="s">
        <v>79</v>
      </c>
      <c r="D1408" s="7" t="s">
        <v>74</v>
      </c>
      <c r="E1408" s="7" t="s">
        <v>75</v>
      </c>
      <c r="F1408" s="7" t="s">
        <v>50</v>
      </c>
      <c r="G1408" s="7" t="s">
        <v>21</v>
      </c>
      <c r="H1408" s="9" t="n">
        <v>46157</v>
      </c>
      <c r="I1408" s="9" t="n">
        <v>46215</v>
      </c>
      <c r="J1408" s="7" t="n">
        <v>6.5</v>
      </c>
      <c r="K1408" s="7" t="s">
        <v>1392</v>
      </c>
      <c r="L1408" s="7" t="s">
        <v>21</v>
      </c>
      <c r="M1408" s="7" t="s">
        <v>1723</v>
      </c>
      <c r="N1408" s="7" t="s">
        <v>77</v>
      </c>
      <c r="O1408" s="10" t="n">
        <f aca="false">'Exec Summary'!$E$2-H1408</f>
        <v>77</v>
      </c>
      <c r="P1408" s="10" t="n">
        <f aca="false">IF(I1408="","",I1408-H1408)</f>
        <v>58</v>
      </c>
      <c r="Q1408" s="10" t="n">
        <f aca="false">VLOOKUP(G1408,$AA$2:$AB$5,2,FALSE())</f>
        <v>90</v>
      </c>
      <c r="R1408" s="7" t="n">
        <f aca="false">IF(OR(F1408="Open",F1408="Reopened"),1,0)</f>
        <v>0</v>
      </c>
      <c r="S1408" s="7" t="n">
        <f aca="false">IF(AND(H1408&gt;='Exec Summary'!$E$1,H1408&lt;='Exec Summary'!$E$2),1,0)</f>
        <v>0</v>
      </c>
      <c r="T1408" s="7" t="n">
        <f aca="false">IF(AND(F1408="Closed",I1408&lt;&gt;"",I1408&gt;='Exec Summary'!$E$1,I1408&lt;='Exec Summary'!$E$2),1,0)</f>
        <v>1</v>
      </c>
      <c r="U1408" s="7" t="n">
        <f aca="false">IF(F1408="Reopened",1,0)</f>
        <v>0</v>
      </c>
      <c r="V1408" s="7" t="n">
        <f aca="false">IF(AND(R1408=1,O1408&gt;Q1408),1,0)</f>
        <v>0</v>
      </c>
      <c r="W1408" s="7" t="n">
        <f aca="false">IF(AND(T1408=1,P1408&lt;&gt;"",P1408&lt;=Q1408),1,0)</f>
        <v>1</v>
      </c>
    </row>
    <row r="1409" customFormat="false" ht="15" hidden="false" customHeight="false" outlineLevel="0" collapsed="false">
      <c r="A1409" s="7" t="s">
        <v>1717</v>
      </c>
      <c r="B1409" s="7" t="s">
        <v>46</v>
      </c>
      <c r="C1409" s="7" t="s">
        <v>79</v>
      </c>
      <c r="D1409" s="7" t="s">
        <v>108</v>
      </c>
      <c r="E1409" s="7" t="s">
        <v>109</v>
      </c>
      <c r="F1409" s="7" t="s">
        <v>56</v>
      </c>
      <c r="G1409" s="7" t="s">
        <v>20</v>
      </c>
      <c r="H1409" s="9" t="n">
        <v>45992</v>
      </c>
      <c r="I1409" s="9"/>
      <c r="J1409" s="7" t="n">
        <v>8.6</v>
      </c>
      <c r="K1409" s="7" t="s">
        <v>1392</v>
      </c>
      <c r="L1409" s="7" t="s">
        <v>21</v>
      </c>
      <c r="M1409" s="7" t="s">
        <v>1724</v>
      </c>
      <c r="N1409" s="7" t="s">
        <v>53</v>
      </c>
      <c r="O1409" s="10" t="n">
        <f aca="false">'Exec Summary'!$E$2-H1409</f>
        <v>242</v>
      </c>
      <c r="P1409" s="10" t="str">
        <f aca="false">IF(I1409="","",I1409-H1409)</f>
        <v/>
      </c>
      <c r="Q1409" s="10" t="n">
        <f aca="false">VLOOKUP(G1409,$AA$2:$AB$5,2,FALSE())</f>
        <v>30</v>
      </c>
      <c r="R1409" s="7" t="n">
        <f aca="false">IF(OR(F1409="Open",F1409="Reopened"),1,0)</f>
        <v>1</v>
      </c>
      <c r="S1409" s="7" t="n">
        <f aca="false">IF(AND(H1409&gt;='Exec Summary'!$E$1,H1409&lt;='Exec Summary'!$E$2),1,0)</f>
        <v>0</v>
      </c>
      <c r="T1409" s="7" t="n">
        <f aca="false">IF(AND(F1409="Closed",I1409&lt;&gt;"",I1409&gt;='Exec Summary'!$E$1,I1409&lt;='Exec Summary'!$E$2),1,0)</f>
        <v>0</v>
      </c>
      <c r="U1409" s="7" t="n">
        <f aca="false">IF(F1409="Reopened",1,0)</f>
        <v>0</v>
      </c>
      <c r="V1409" s="7" t="n">
        <f aca="false">IF(AND(R1409=1,O1409&gt;Q1409),1,0)</f>
        <v>1</v>
      </c>
      <c r="W1409" s="7" t="n">
        <f aca="false">IF(AND(T1409=1,P1409&lt;&gt;"",P1409&lt;=Q1409),1,0)</f>
        <v>0</v>
      </c>
    </row>
    <row r="1410" customFormat="false" ht="15" hidden="false" customHeight="false" outlineLevel="0" collapsed="false">
      <c r="A1410" s="7" t="s">
        <v>1717</v>
      </c>
      <c r="B1410" s="7" t="s">
        <v>46</v>
      </c>
      <c r="C1410" s="7" t="s">
        <v>79</v>
      </c>
      <c r="D1410" s="7" t="s">
        <v>81</v>
      </c>
      <c r="E1410" s="7" t="s">
        <v>82</v>
      </c>
      <c r="F1410" s="7" t="s">
        <v>50</v>
      </c>
      <c r="G1410" s="7" t="s">
        <v>20</v>
      </c>
      <c r="H1410" s="9" t="n">
        <v>45941</v>
      </c>
      <c r="I1410" s="9" t="n">
        <v>45942</v>
      </c>
      <c r="J1410" s="7" t="n">
        <v>7.8</v>
      </c>
      <c r="K1410" s="7" t="s">
        <v>1392</v>
      </c>
      <c r="L1410" s="7" t="s">
        <v>21</v>
      </c>
      <c r="M1410" s="7" t="s">
        <v>1725</v>
      </c>
      <c r="N1410" s="7" t="s">
        <v>53</v>
      </c>
      <c r="O1410" s="10" t="n">
        <f aca="false">'Exec Summary'!$E$2-H1410</f>
        <v>293</v>
      </c>
      <c r="P1410" s="10" t="n">
        <f aca="false">IF(I1410="","",I1410-H1410)</f>
        <v>1</v>
      </c>
      <c r="Q1410" s="10" t="n">
        <f aca="false">VLOOKUP(G1410,$AA$2:$AB$5,2,FALSE())</f>
        <v>30</v>
      </c>
      <c r="R1410" s="7" t="n">
        <f aca="false">IF(OR(F1410="Open",F1410="Reopened"),1,0)</f>
        <v>0</v>
      </c>
      <c r="S1410" s="7" t="n">
        <f aca="false">IF(AND(H1410&gt;='Exec Summary'!$E$1,H1410&lt;='Exec Summary'!$E$2),1,0)</f>
        <v>0</v>
      </c>
      <c r="T1410" s="7" t="n">
        <f aca="false">IF(AND(F1410="Closed",I1410&lt;&gt;"",I1410&gt;='Exec Summary'!$E$1,I1410&lt;='Exec Summary'!$E$2),1,0)</f>
        <v>0</v>
      </c>
      <c r="U1410" s="7" t="n">
        <f aca="false">IF(F1410="Reopened",1,0)</f>
        <v>0</v>
      </c>
      <c r="V1410" s="7" t="n">
        <f aca="false">IF(AND(R1410=1,O1410&gt;Q1410),1,0)</f>
        <v>0</v>
      </c>
      <c r="W1410" s="7" t="n">
        <f aca="false">IF(AND(T1410=1,P1410&lt;&gt;"",P1410&lt;=Q1410),1,0)</f>
        <v>0</v>
      </c>
    </row>
    <row r="1411" customFormat="false" ht="15" hidden="false" customHeight="false" outlineLevel="0" collapsed="false">
      <c r="A1411" s="7" t="s">
        <v>1717</v>
      </c>
      <c r="B1411" s="7" t="s">
        <v>46</v>
      </c>
      <c r="C1411" s="7" t="s">
        <v>79</v>
      </c>
      <c r="D1411" s="7" t="s">
        <v>104</v>
      </c>
      <c r="E1411" s="7" t="s">
        <v>105</v>
      </c>
      <c r="F1411" s="7" t="s">
        <v>56</v>
      </c>
      <c r="G1411" s="7" t="s">
        <v>19</v>
      </c>
      <c r="H1411" s="9" t="n">
        <v>46018</v>
      </c>
      <c r="I1411" s="9"/>
      <c r="J1411" s="7" t="n">
        <v>9.8</v>
      </c>
      <c r="K1411" s="7" t="s">
        <v>1392</v>
      </c>
      <c r="L1411" s="7" t="s">
        <v>21</v>
      </c>
      <c r="M1411" s="7" t="s">
        <v>1726</v>
      </c>
      <c r="N1411" s="7" t="s">
        <v>58</v>
      </c>
      <c r="O1411" s="10" t="n">
        <f aca="false">'Exec Summary'!$E$2-H1411</f>
        <v>216</v>
      </c>
      <c r="P1411" s="10" t="str">
        <f aca="false">IF(I1411="","",I1411-H1411)</f>
        <v/>
      </c>
      <c r="Q1411" s="10" t="n">
        <f aca="false">VLOOKUP(G1411,$AA$2:$AB$5,2,FALSE())</f>
        <v>15</v>
      </c>
      <c r="R1411" s="7" t="n">
        <f aca="false">IF(OR(F1411="Open",F1411="Reopened"),1,0)</f>
        <v>1</v>
      </c>
      <c r="S1411" s="7" t="n">
        <f aca="false">IF(AND(H1411&gt;='Exec Summary'!$E$1,H1411&lt;='Exec Summary'!$E$2),1,0)</f>
        <v>0</v>
      </c>
      <c r="T1411" s="7" t="n">
        <f aca="false">IF(AND(F1411="Closed",I1411&lt;&gt;"",I1411&gt;='Exec Summary'!$E$1,I1411&lt;='Exec Summary'!$E$2),1,0)</f>
        <v>0</v>
      </c>
      <c r="U1411" s="7" t="n">
        <f aca="false">IF(F1411="Reopened",1,0)</f>
        <v>0</v>
      </c>
      <c r="V1411" s="7" t="n">
        <f aca="false">IF(AND(R1411=1,O1411&gt;Q1411),1,0)</f>
        <v>1</v>
      </c>
      <c r="W1411" s="7" t="n">
        <f aca="false">IF(AND(T1411=1,P1411&lt;&gt;"",P1411&lt;=Q1411),1,0)</f>
        <v>0</v>
      </c>
    </row>
    <row r="1412" customFormat="false" ht="15" hidden="false" customHeight="false" outlineLevel="0" collapsed="false">
      <c r="A1412" s="7" t="s">
        <v>1717</v>
      </c>
      <c r="B1412" s="7" t="s">
        <v>46</v>
      </c>
      <c r="C1412" s="7" t="s">
        <v>79</v>
      </c>
      <c r="D1412" s="7" t="s">
        <v>54</v>
      </c>
      <c r="E1412" s="7" t="s">
        <v>55</v>
      </c>
      <c r="F1412" s="7" t="s">
        <v>50</v>
      </c>
      <c r="G1412" s="7" t="s">
        <v>19</v>
      </c>
      <c r="H1412" s="9" t="n">
        <v>45947</v>
      </c>
      <c r="I1412" s="9" t="n">
        <v>45965</v>
      </c>
      <c r="J1412" s="7" t="n">
        <v>9.8</v>
      </c>
      <c r="K1412" s="7" t="s">
        <v>1392</v>
      </c>
      <c r="L1412" s="7" t="s">
        <v>21</v>
      </c>
      <c r="M1412" s="7" t="s">
        <v>1727</v>
      </c>
      <c r="N1412" s="7" t="s">
        <v>58</v>
      </c>
      <c r="O1412" s="10" t="n">
        <f aca="false">'Exec Summary'!$E$2-H1412</f>
        <v>287</v>
      </c>
      <c r="P1412" s="10" t="n">
        <f aca="false">IF(I1412="","",I1412-H1412)</f>
        <v>18</v>
      </c>
      <c r="Q1412" s="10" t="n">
        <f aca="false">VLOOKUP(G1412,$AA$2:$AB$5,2,FALSE())</f>
        <v>15</v>
      </c>
      <c r="R1412" s="7" t="n">
        <f aca="false">IF(OR(F1412="Open",F1412="Reopened"),1,0)</f>
        <v>0</v>
      </c>
      <c r="S1412" s="7" t="n">
        <f aca="false">IF(AND(H1412&gt;='Exec Summary'!$E$1,H1412&lt;='Exec Summary'!$E$2),1,0)</f>
        <v>0</v>
      </c>
      <c r="T1412" s="7" t="n">
        <f aca="false">IF(AND(F1412="Closed",I1412&lt;&gt;"",I1412&gt;='Exec Summary'!$E$1,I1412&lt;='Exec Summary'!$E$2),1,0)</f>
        <v>0</v>
      </c>
      <c r="U1412" s="7" t="n">
        <f aca="false">IF(F1412="Reopened",1,0)</f>
        <v>0</v>
      </c>
      <c r="V1412" s="7" t="n">
        <f aca="false">IF(AND(R1412=1,O1412&gt;Q1412),1,0)</f>
        <v>0</v>
      </c>
      <c r="W1412" s="7" t="n">
        <f aca="false">IF(AND(T1412=1,P1412&lt;&gt;"",P1412&lt;=Q1412),1,0)</f>
        <v>0</v>
      </c>
    </row>
    <row r="1413" customFormat="false" ht="15" hidden="false" customHeight="false" outlineLevel="0" collapsed="false">
      <c r="A1413" s="7" t="s">
        <v>1717</v>
      </c>
      <c r="B1413" s="7" t="s">
        <v>46</v>
      </c>
      <c r="C1413" s="7" t="s">
        <v>79</v>
      </c>
      <c r="D1413" s="7" t="s">
        <v>84</v>
      </c>
      <c r="E1413" s="7" t="s">
        <v>85</v>
      </c>
      <c r="F1413" s="7" t="s">
        <v>123</v>
      </c>
      <c r="G1413" s="7" t="s">
        <v>20</v>
      </c>
      <c r="H1413" s="9" t="n">
        <v>45988</v>
      </c>
      <c r="I1413" s="9" t="n">
        <v>46015</v>
      </c>
      <c r="J1413" s="7" t="n">
        <v>7.5</v>
      </c>
      <c r="K1413" s="7" t="s">
        <v>1392</v>
      </c>
      <c r="L1413" s="7" t="s">
        <v>21</v>
      </c>
      <c r="M1413" s="7" t="s">
        <v>1728</v>
      </c>
      <c r="N1413" s="7" t="s">
        <v>53</v>
      </c>
      <c r="O1413" s="10" t="n">
        <f aca="false">'Exec Summary'!$E$2-H1413</f>
        <v>246</v>
      </c>
      <c r="P1413" s="10" t="n">
        <f aca="false">IF(I1413="","",I1413-H1413)</f>
        <v>27</v>
      </c>
      <c r="Q1413" s="10" t="n">
        <f aca="false">VLOOKUP(G1413,$AA$2:$AB$5,2,FALSE())</f>
        <v>30</v>
      </c>
      <c r="R1413" s="7" t="n">
        <f aca="false">IF(OR(F1413="Open",F1413="Reopened"),1,0)</f>
        <v>1</v>
      </c>
      <c r="S1413" s="7" t="n">
        <f aca="false">IF(AND(H1413&gt;='Exec Summary'!$E$1,H1413&lt;='Exec Summary'!$E$2),1,0)</f>
        <v>0</v>
      </c>
      <c r="T1413" s="7" t="n">
        <f aca="false">IF(AND(F1413="Closed",I1413&lt;&gt;"",I1413&gt;='Exec Summary'!$E$1,I1413&lt;='Exec Summary'!$E$2),1,0)</f>
        <v>0</v>
      </c>
      <c r="U1413" s="7" t="n">
        <f aca="false">IF(F1413="Reopened",1,0)</f>
        <v>1</v>
      </c>
      <c r="V1413" s="7" t="n">
        <f aca="false">IF(AND(R1413=1,O1413&gt;Q1413),1,0)</f>
        <v>1</v>
      </c>
      <c r="W1413" s="7" t="n">
        <f aca="false">IF(AND(T1413=1,P1413&lt;&gt;"",P1413&lt;=Q1413),1,0)</f>
        <v>0</v>
      </c>
    </row>
    <row r="1414" customFormat="false" ht="15" hidden="false" customHeight="false" outlineLevel="0" collapsed="false">
      <c r="A1414" s="7" t="s">
        <v>1717</v>
      </c>
      <c r="B1414" s="7" t="s">
        <v>46</v>
      </c>
      <c r="C1414" s="7" t="s">
        <v>79</v>
      </c>
      <c r="D1414" s="7" t="s">
        <v>98</v>
      </c>
      <c r="E1414" s="7" t="s">
        <v>99</v>
      </c>
      <c r="F1414" s="7" t="s">
        <v>56</v>
      </c>
      <c r="G1414" s="7" t="s">
        <v>19</v>
      </c>
      <c r="H1414" s="9" t="n">
        <v>45948</v>
      </c>
      <c r="I1414" s="9"/>
      <c r="J1414" s="7" t="n">
        <v>10</v>
      </c>
      <c r="K1414" s="7" t="s">
        <v>1392</v>
      </c>
      <c r="L1414" s="7" t="s">
        <v>21</v>
      </c>
      <c r="M1414" s="7" t="s">
        <v>1729</v>
      </c>
      <c r="N1414" s="7" t="s">
        <v>58</v>
      </c>
      <c r="O1414" s="10" t="n">
        <f aca="false">'Exec Summary'!$E$2-H1414</f>
        <v>286</v>
      </c>
      <c r="P1414" s="10" t="str">
        <f aca="false">IF(I1414="","",I1414-H1414)</f>
        <v/>
      </c>
      <c r="Q1414" s="10" t="n">
        <f aca="false">VLOOKUP(G1414,$AA$2:$AB$5,2,FALSE())</f>
        <v>15</v>
      </c>
      <c r="R1414" s="7" t="n">
        <f aca="false">IF(OR(F1414="Open",F1414="Reopened"),1,0)</f>
        <v>1</v>
      </c>
      <c r="S1414" s="7" t="n">
        <f aca="false">IF(AND(H1414&gt;='Exec Summary'!$E$1,H1414&lt;='Exec Summary'!$E$2),1,0)</f>
        <v>0</v>
      </c>
      <c r="T1414" s="7" t="n">
        <f aca="false">IF(AND(F1414="Closed",I1414&lt;&gt;"",I1414&gt;='Exec Summary'!$E$1,I1414&lt;='Exec Summary'!$E$2),1,0)</f>
        <v>0</v>
      </c>
      <c r="U1414" s="7" t="n">
        <f aca="false">IF(F1414="Reopened",1,0)</f>
        <v>0</v>
      </c>
      <c r="V1414" s="7" t="n">
        <f aca="false">IF(AND(R1414=1,O1414&gt;Q1414),1,0)</f>
        <v>1</v>
      </c>
      <c r="W1414" s="7" t="n">
        <f aca="false">IF(AND(T1414=1,P1414&lt;&gt;"",P1414&lt;=Q1414),1,0)</f>
        <v>0</v>
      </c>
    </row>
    <row r="1415" customFormat="false" ht="15" hidden="false" customHeight="false" outlineLevel="0" collapsed="false">
      <c r="A1415" s="7" t="s">
        <v>1717</v>
      </c>
      <c r="B1415" s="7" t="s">
        <v>46</v>
      </c>
      <c r="C1415" s="7" t="s">
        <v>79</v>
      </c>
      <c r="D1415" s="7" t="s">
        <v>112</v>
      </c>
      <c r="E1415" s="7" t="s">
        <v>113</v>
      </c>
      <c r="F1415" s="7" t="s">
        <v>56</v>
      </c>
      <c r="G1415" s="7" t="s">
        <v>20</v>
      </c>
      <c r="H1415" s="9" t="n">
        <v>45982</v>
      </c>
      <c r="I1415" s="9"/>
      <c r="J1415" s="7" t="n">
        <v>7.8</v>
      </c>
      <c r="K1415" s="7" t="s">
        <v>1392</v>
      </c>
      <c r="L1415" s="7" t="s">
        <v>21</v>
      </c>
      <c r="M1415" s="7" t="s">
        <v>1730</v>
      </c>
      <c r="N1415" s="7" t="s">
        <v>53</v>
      </c>
      <c r="O1415" s="10" t="n">
        <f aca="false">'Exec Summary'!$E$2-H1415</f>
        <v>252</v>
      </c>
      <c r="P1415" s="10" t="str">
        <f aca="false">IF(I1415="","",I1415-H1415)</f>
        <v/>
      </c>
      <c r="Q1415" s="10" t="n">
        <f aca="false">VLOOKUP(G1415,$AA$2:$AB$5,2,FALSE())</f>
        <v>30</v>
      </c>
      <c r="R1415" s="7" t="n">
        <f aca="false">IF(OR(F1415="Open",F1415="Reopened"),1,0)</f>
        <v>1</v>
      </c>
      <c r="S1415" s="7" t="n">
        <f aca="false">IF(AND(H1415&gt;='Exec Summary'!$E$1,H1415&lt;='Exec Summary'!$E$2),1,0)</f>
        <v>0</v>
      </c>
      <c r="T1415" s="7" t="n">
        <f aca="false">IF(AND(F1415="Closed",I1415&lt;&gt;"",I1415&gt;='Exec Summary'!$E$1,I1415&lt;='Exec Summary'!$E$2),1,0)</f>
        <v>0</v>
      </c>
      <c r="U1415" s="7" t="n">
        <f aca="false">IF(F1415="Reopened",1,0)</f>
        <v>0</v>
      </c>
      <c r="V1415" s="7" t="n">
        <f aca="false">IF(AND(R1415=1,O1415&gt;Q1415),1,0)</f>
        <v>1</v>
      </c>
      <c r="W1415" s="7" t="n">
        <f aca="false">IF(AND(T1415=1,P1415&lt;&gt;"",P1415&lt;=Q1415),1,0)</f>
        <v>0</v>
      </c>
    </row>
    <row r="1416" customFormat="false" ht="15" hidden="false" customHeight="false" outlineLevel="0" collapsed="false">
      <c r="A1416" s="7" t="s">
        <v>1717</v>
      </c>
      <c r="B1416" s="7" t="s">
        <v>46</v>
      </c>
      <c r="C1416" s="7" t="s">
        <v>79</v>
      </c>
      <c r="D1416" s="7" t="s">
        <v>91</v>
      </c>
      <c r="E1416" s="7" t="s">
        <v>92</v>
      </c>
      <c r="F1416" s="7" t="s">
        <v>50</v>
      </c>
      <c r="G1416" s="7" t="s">
        <v>20</v>
      </c>
      <c r="H1416" s="9" t="n">
        <v>46054</v>
      </c>
      <c r="I1416" s="9" t="n">
        <v>46070</v>
      </c>
      <c r="J1416" s="7" t="n">
        <v>8.1</v>
      </c>
      <c r="K1416" s="7" t="s">
        <v>1392</v>
      </c>
      <c r="L1416" s="7" t="s">
        <v>21</v>
      </c>
      <c r="M1416" s="7" t="s">
        <v>1731</v>
      </c>
      <c r="N1416" s="7" t="s">
        <v>53</v>
      </c>
      <c r="O1416" s="10" t="n">
        <f aca="false">'Exec Summary'!$E$2-H1416</f>
        <v>180</v>
      </c>
      <c r="P1416" s="10" t="n">
        <f aca="false">IF(I1416="","",I1416-H1416)</f>
        <v>16</v>
      </c>
      <c r="Q1416" s="10" t="n">
        <f aca="false">VLOOKUP(G1416,$AA$2:$AB$5,2,FALSE())</f>
        <v>30</v>
      </c>
      <c r="R1416" s="7" t="n">
        <f aca="false">IF(OR(F1416="Open",F1416="Reopened"),1,0)</f>
        <v>0</v>
      </c>
      <c r="S1416" s="7" t="n">
        <f aca="false">IF(AND(H1416&gt;='Exec Summary'!$E$1,H1416&lt;='Exec Summary'!$E$2),1,0)</f>
        <v>0</v>
      </c>
      <c r="T1416" s="7" t="n">
        <f aca="false">IF(AND(F1416="Closed",I1416&lt;&gt;"",I1416&gt;='Exec Summary'!$E$1,I1416&lt;='Exec Summary'!$E$2),1,0)</f>
        <v>0</v>
      </c>
      <c r="U1416" s="7" t="n">
        <f aca="false">IF(F1416="Reopened",1,0)</f>
        <v>0</v>
      </c>
      <c r="V1416" s="7" t="n">
        <f aca="false">IF(AND(R1416=1,O1416&gt;Q1416),1,0)</f>
        <v>0</v>
      </c>
      <c r="W1416" s="7" t="n">
        <f aca="false">IF(AND(T1416=1,P1416&lt;&gt;"",P1416&lt;=Q1416),1,0)</f>
        <v>0</v>
      </c>
    </row>
    <row r="1417" customFormat="false" ht="15" hidden="false" customHeight="false" outlineLevel="0" collapsed="false">
      <c r="A1417" s="7" t="s">
        <v>1732</v>
      </c>
      <c r="B1417" s="7" t="s">
        <v>46</v>
      </c>
      <c r="C1417" s="7" t="s">
        <v>128</v>
      </c>
      <c r="D1417" s="7" t="s">
        <v>81</v>
      </c>
      <c r="E1417" s="7" t="s">
        <v>82</v>
      </c>
      <c r="F1417" s="7" t="s">
        <v>56</v>
      </c>
      <c r="G1417" s="7" t="s">
        <v>20</v>
      </c>
      <c r="H1417" s="9" t="n">
        <v>46118</v>
      </c>
      <c r="I1417" s="9"/>
      <c r="J1417" s="7" t="n">
        <v>7.8</v>
      </c>
      <c r="K1417" s="7" t="s">
        <v>1733</v>
      </c>
      <c r="L1417" s="7" t="s">
        <v>20</v>
      </c>
      <c r="M1417" s="7" t="s">
        <v>1734</v>
      </c>
      <c r="N1417" s="7" t="s">
        <v>53</v>
      </c>
      <c r="O1417" s="10" t="n">
        <f aca="false">'Exec Summary'!$E$2-H1417</f>
        <v>116</v>
      </c>
      <c r="P1417" s="10" t="str">
        <f aca="false">IF(I1417="","",I1417-H1417)</f>
        <v/>
      </c>
      <c r="Q1417" s="10" t="n">
        <f aca="false">VLOOKUP(G1417,$AA$2:$AB$5,2,FALSE())</f>
        <v>30</v>
      </c>
      <c r="R1417" s="7" t="n">
        <f aca="false">IF(OR(F1417="Open",F1417="Reopened"),1,0)</f>
        <v>1</v>
      </c>
      <c r="S1417" s="7" t="n">
        <f aca="false">IF(AND(H1417&gt;='Exec Summary'!$E$1,H1417&lt;='Exec Summary'!$E$2),1,0)</f>
        <v>0</v>
      </c>
      <c r="T1417" s="7" t="n">
        <f aca="false">IF(AND(F1417="Closed",I1417&lt;&gt;"",I1417&gt;='Exec Summary'!$E$1,I1417&lt;='Exec Summary'!$E$2),1,0)</f>
        <v>0</v>
      </c>
      <c r="U1417" s="7" t="n">
        <f aca="false">IF(F1417="Reopened",1,0)</f>
        <v>0</v>
      </c>
      <c r="V1417" s="7" t="n">
        <f aca="false">IF(AND(R1417=1,O1417&gt;Q1417),1,0)</f>
        <v>1</v>
      </c>
      <c r="W1417" s="7" t="n">
        <f aca="false">IF(AND(T1417=1,P1417&lt;&gt;"",P1417&lt;=Q1417),1,0)</f>
        <v>0</v>
      </c>
    </row>
    <row r="1418" customFormat="false" ht="15" hidden="false" customHeight="false" outlineLevel="0" collapsed="false">
      <c r="A1418" s="7" t="s">
        <v>1732</v>
      </c>
      <c r="B1418" s="7" t="s">
        <v>46</v>
      </c>
      <c r="C1418" s="7" t="s">
        <v>128</v>
      </c>
      <c r="D1418" s="7" t="s">
        <v>59</v>
      </c>
      <c r="E1418" s="7" t="s">
        <v>60</v>
      </c>
      <c r="F1418" s="7" t="s">
        <v>50</v>
      </c>
      <c r="G1418" s="7" t="s">
        <v>19</v>
      </c>
      <c r="H1418" s="9" t="n">
        <v>46040</v>
      </c>
      <c r="I1418" s="9" t="n">
        <v>46051</v>
      </c>
      <c r="J1418" s="7" t="n">
        <v>7.8</v>
      </c>
      <c r="K1418" s="7" t="s">
        <v>1733</v>
      </c>
      <c r="L1418" s="7" t="s">
        <v>20</v>
      </c>
      <c r="M1418" s="7" t="s">
        <v>1735</v>
      </c>
      <c r="N1418" s="7" t="s">
        <v>58</v>
      </c>
      <c r="O1418" s="10" t="n">
        <f aca="false">'Exec Summary'!$E$2-H1418</f>
        <v>194</v>
      </c>
      <c r="P1418" s="10" t="n">
        <f aca="false">IF(I1418="","",I1418-H1418)</f>
        <v>11</v>
      </c>
      <c r="Q1418" s="10" t="n">
        <f aca="false">VLOOKUP(G1418,$AA$2:$AB$5,2,FALSE())</f>
        <v>15</v>
      </c>
      <c r="R1418" s="7" t="n">
        <f aca="false">IF(OR(F1418="Open",F1418="Reopened"),1,0)</f>
        <v>0</v>
      </c>
      <c r="S1418" s="7" t="n">
        <f aca="false">IF(AND(H1418&gt;='Exec Summary'!$E$1,H1418&lt;='Exec Summary'!$E$2),1,0)</f>
        <v>0</v>
      </c>
      <c r="T1418" s="7" t="n">
        <f aca="false">IF(AND(F1418="Closed",I1418&lt;&gt;"",I1418&gt;='Exec Summary'!$E$1,I1418&lt;='Exec Summary'!$E$2),1,0)</f>
        <v>0</v>
      </c>
      <c r="U1418" s="7" t="n">
        <f aca="false">IF(F1418="Reopened",1,0)</f>
        <v>0</v>
      </c>
      <c r="V1418" s="7" t="n">
        <f aca="false">IF(AND(R1418=1,O1418&gt;Q1418),1,0)</f>
        <v>0</v>
      </c>
      <c r="W1418" s="7" t="n">
        <f aca="false">IF(AND(T1418=1,P1418&lt;&gt;"",P1418&lt;=Q1418),1,0)</f>
        <v>0</v>
      </c>
    </row>
    <row r="1419" customFormat="false" ht="15" hidden="false" customHeight="false" outlineLevel="0" collapsed="false">
      <c r="A1419" s="7" t="s">
        <v>1732</v>
      </c>
      <c r="B1419" s="7" t="s">
        <v>46</v>
      </c>
      <c r="C1419" s="7" t="s">
        <v>128</v>
      </c>
      <c r="D1419" s="7" t="s">
        <v>173</v>
      </c>
      <c r="E1419" s="7" t="s">
        <v>174</v>
      </c>
      <c r="F1419" s="7" t="s">
        <v>56</v>
      </c>
      <c r="G1419" s="7" t="s">
        <v>19</v>
      </c>
      <c r="H1419" s="9" t="n">
        <v>46014</v>
      </c>
      <c r="I1419" s="9"/>
      <c r="J1419" s="7" t="n">
        <v>9.8</v>
      </c>
      <c r="K1419" s="7" t="s">
        <v>1733</v>
      </c>
      <c r="L1419" s="7" t="s">
        <v>20</v>
      </c>
      <c r="M1419" s="7" t="s">
        <v>1736</v>
      </c>
      <c r="N1419" s="7" t="s">
        <v>58</v>
      </c>
      <c r="O1419" s="10" t="n">
        <f aca="false">'Exec Summary'!$E$2-H1419</f>
        <v>220</v>
      </c>
      <c r="P1419" s="10" t="str">
        <f aca="false">IF(I1419="","",I1419-H1419)</f>
        <v/>
      </c>
      <c r="Q1419" s="10" t="n">
        <f aca="false">VLOOKUP(G1419,$AA$2:$AB$5,2,FALSE())</f>
        <v>15</v>
      </c>
      <c r="R1419" s="7" t="n">
        <f aca="false">IF(OR(F1419="Open",F1419="Reopened"),1,0)</f>
        <v>1</v>
      </c>
      <c r="S1419" s="7" t="n">
        <f aca="false">IF(AND(H1419&gt;='Exec Summary'!$E$1,H1419&lt;='Exec Summary'!$E$2),1,0)</f>
        <v>0</v>
      </c>
      <c r="T1419" s="7" t="n">
        <f aca="false">IF(AND(F1419="Closed",I1419&lt;&gt;"",I1419&gt;='Exec Summary'!$E$1,I1419&lt;='Exec Summary'!$E$2),1,0)</f>
        <v>0</v>
      </c>
      <c r="U1419" s="7" t="n">
        <f aca="false">IF(F1419="Reopened",1,0)</f>
        <v>0</v>
      </c>
      <c r="V1419" s="7" t="n">
        <f aca="false">IF(AND(R1419=1,O1419&gt;Q1419),1,0)</f>
        <v>1</v>
      </c>
      <c r="W1419" s="7" t="n">
        <f aca="false">IF(AND(T1419=1,P1419&lt;&gt;"",P1419&lt;=Q1419),1,0)</f>
        <v>0</v>
      </c>
    </row>
    <row r="1420" customFormat="false" ht="15" hidden="false" customHeight="false" outlineLevel="0" collapsed="false">
      <c r="A1420" s="7" t="s">
        <v>1732</v>
      </c>
      <c r="B1420" s="7" t="s">
        <v>46</v>
      </c>
      <c r="C1420" s="7" t="s">
        <v>128</v>
      </c>
      <c r="D1420" s="7" t="s">
        <v>117</v>
      </c>
      <c r="E1420" s="7" t="s">
        <v>118</v>
      </c>
      <c r="F1420" s="7" t="s">
        <v>56</v>
      </c>
      <c r="G1420" s="7" t="s">
        <v>19</v>
      </c>
      <c r="H1420" s="9" t="n">
        <v>46146</v>
      </c>
      <c r="I1420" s="9"/>
      <c r="J1420" s="7" t="n">
        <v>10</v>
      </c>
      <c r="K1420" s="7" t="s">
        <v>1733</v>
      </c>
      <c r="L1420" s="7" t="s">
        <v>20</v>
      </c>
      <c r="M1420" s="7" t="s">
        <v>1737</v>
      </c>
      <c r="N1420" s="7" t="s">
        <v>58</v>
      </c>
      <c r="O1420" s="10" t="n">
        <f aca="false">'Exec Summary'!$E$2-H1420</f>
        <v>88</v>
      </c>
      <c r="P1420" s="10" t="str">
        <f aca="false">IF(I1420="","",I1420-H1420)</f>
        <v/>
      </c>
      <c r="Q1420" s="10" t="n">
        <f aca="false">VLOOKUP(G1420,$AA$2:$AB$5,2,FALSE())</f>
        <v>15</v>
      </c>
      <c r="R1420" s="7" t="n">
        <f aca="false">IF(OR(F1420="Open",F1420="Reopened"),1,0)</f>
        <v>1</v>
      </c>
      <c r="S1420" s="7" t="n">
        <f aca="false">IF(AND(H1420&gt;='Exec Summary'!$E$1,H1420&lt;='Exec Summary'!$E$2),1,0)</f>
        <v>0</v>
      </c>
      <c r="T1420" s="7" t="n">
        <f aca="false">IF(AND(F1420="Closed",I1420&lt;&gt;"",I1420&gt;='Exec Summary'!$E$1,I1420&lt;='Exec Summary'!$E$2),1,0)</f>
        <v>0</v>
      </c>
      <c r="U1420" s="7" t="n">
        <f aca="false">IF(F1420="Reopened",1,0)</f>
        <v>0</v>
      </c>
      <c r="V1420" s="7" t="n">
        <f aca="false">IF(AND(R1420=1,O1420&gt;Q1420),1,0)</f>
        <v>1</v>
      </c>
      <c r="W1420" s="7" t="n">
        <f aca="false">IF(AND(T1420=1,P1420&lt;&gt;"",P1420&lt;=Q1420),1,0)</f>
        <v>0</v>
      </c>
    </row>
    <row r="1421" customFormat="false" ht="15" hidden="false" customHeight="false" outlineLevel="0" collapsed="false">
      <c r="A1421" s="7" t="s">
        <v>1732</v>
      </c>
      <c r="B1421" s="7" t="s">
        <v>46</v>
      </c>
      <c r="C1421" s="7" t="s">
        <v>128</v>
      </c>
      <c r="D1421" s="7" t="s">
        <v>112</v>
      </c>
      <c r="E1421" s="7" t="s">
        <v>113</v>
      </c>
      <c r="F1421" s="7" t="s">
        <v>50</v>
      </c>
      <c r="G1421" s="7" t="s">
        <v>20</v>
      </c>
      <c r="H1421" s="9" t="n">
        <v>46089</v>
      </c>
      <c r="I1421" s="9" t="n">
        <v>46091</v>
      </c>
      <c r="J1421" s="7" t="n">
        <v>7.8</v>
      </c>
      <c r="K1421" s="7" t="s">
        <v>1733</v>
      </c>
      <c r="L1421" s="7" t="s">
        <v>20</v>
      </c>
      <c r="M1421" s="7" t="s">
        <v>1738</v>
      </c>
      <c r="N1421" s="7" t="s">
        <v>53</v>
      </c>
      <c r="O1421" s="10" t="n">
        <f aca="false">'Exec Summary'!$E$2-H1421</f>
        <v>145</v>
      </c>
      <c r="P1421" s="10" t="n">
        <f aca="false">IF(I1421="","",I1421-H1421)</f>
        <v>2</v>
      </c>
      <c r="Q1421" s="10" t="n">
        <f aca="false">VLOOKUP(G1421,$AA$2:$AB$5,2,FALSE())</f>
        <v>30</v>
      </c>
      <c r="R1421" s="7" t="n">
        <f aca="false">IF(OR(F1421="Open",F1421="Reopened"),1,0)</f>
        <v>0</v>
      </c>
      <c r="S1421" s="7" t="n">
        <f aca="false">IF(AND(H1421&gt;='Exec Summary'!$E$1,H1421&lt;='Exec Summary'!$E$2),1,0)</f>
        <v>0</v>
      </c>
      <c r="T1421" s="7" t="n">
        <f aca="false">IF(AND(F1421="Closed",I1421&lt;&gt;"",I1421&gt;='Exec Summary'!$E$1,I1421&lt;='Exec Summary'!$E$2),1,0)</f>
        <v>0</v>
      </c>
      <c r="U1421" s="7" t="n">
        <f aca="false">IF(F1421="Reopened",1,0)</f>
        <v>0</v>
      </c>
      <c r="V1421" s="7" t="n">
        <f aca="false">IF(AND(R1421=1,O1421&gt;Q1421),1,0)</f>
        <v>0</v>
      </c>
      <c r="W1421" s="7" t="n">
        <f aca="false">IF(AND(T1421=1,P1421&lt;&gt;"",P1421&lt;=Q1421),1,0)</f>
        <v>0</v>
      </c>
    </row>
    <row r="1422" customFormat="false" ht="15" hidden="false" customHeight="false" outlineLevel="0" collapsed="false">
      <c r="A1422" s="7" t="s">
        <v>1732</v>
      </c>
      <c r="B1422" s="7" t="s">
        <v>46</v>
      </c>
      <c r="C1422" s="7" t="s">
        <v>128</v>
      </c>
      <c r="D1422" s="7" t="s">
        <v>68</v>
      </c>
      <c r="E1422" s="7" t="s">
        <v>69</v>
      </c>
      <c r="F1422" s="7" t="s">
        <v>56</v>
      </c>
      <c r="G1422" s="7" t="s">
        <v>19</v>
      </c>
      <c r="H1422" s="9" t="n">
        <v>46117</v>
      </c>
      <c r="I1422" s="9"/>
      <c r="J1422" s="7" t="n">
        <v>9.8</v>
      </c>
      <c r="K1422" s="7" t="s">
        <v>1733</v>
      </c>
      <c r="L1422" s="7" t="s">
        <v>20</v>
      </c>
      <c r="M1422" s="7" t="s">
        <v>1739</v>
      </c>
      <c r="N1422" s="7" t="s">
        <v>58</v>
      </c>
      <c r="O1422" s="10" t="n">
        <f aca="false">'Exec Summary'!$E$2-H1422</f>
        <v>117</v>
      </c>
      <c r="P1422" s="10" t="str">
        <f aca="false">IF(I1422="","",I1422-H1422)</f>
        <v/>
      </c>
      <c r="Q1422" s="10" t="n">
        <f aca="false">VLOOKUP(G1422,$AA$2:$AB$5,2,FALSE())</f>
        <v>15</v>
      </c>
      <c r="R1422" s="7" t="n">
        <f aca="false">IF(OR(F1422="Open",F1422="Reopened"),1,0)</f>
        <v>1</v>
      </c>
      <c r="S1422" s="7" t="n">
        <f aca="false">IF(AND(H1422&gt;='Exec Summary'!$E$1,H1422&lt;='Exec Summary'!$E$2),1,0)</f>
        <v>0</v>
      </c>
      <c r="T1422" s="7" t="n">
        <f aca="false">IF(AND(F1422="Closed",I1422&lt;&gt;"",I1422&gt;='Exec Summary'!$E$1,I1422&lt;='Exec Summary'!$E$2),1,0)</f>
        <v>0</v>
      </c>
      <c r="U1422" s="7" t="n">
        <f aca="false">IF(F1422="Reopened",1,0)</f>
        <v>0</v>
      </c>
      <c r="V1422" s="7" t="n">
        <f aca="false">IF(AND(R1422=1,O1422&gt;Q1422),1,0)</f>
        <v>1</v>
      </c>
      <c r="W1422" s="7" t="n">
        <f aca="false">IF(AND(T1422=1,P1422&lt;&gt;"",P1422&lt;=Q1422),1,0)</f>
        <v>0</v>
      </c>
    </row>
    <row r="1423" customFormat="false" ht="15" hidden="false" customHeight="false" outlineLevel="0" collapsed="false">
      <c r="A1423" s="7" t="s">
        <v>1732</v>
      </c>
      <c r="B1423" s="7" t="s">
        <v>46</v>
      </c>
      <c r="C1423" s="7" t="s">
        <v>128</v>
      </c>
      <c r="D1423" s="7" t="s">
        <v>87</v>
      </c>
      <c r="E1423" s="7" t="s">
        <v>88</v>
      </c>
      <c r="F1423" s="7" t="s">
        <v>50</v>
      </c>
      <c r="G1423" s="7" t="s">
        <v>19</v>
      </c>
      <c r="H1423" s="9" t="n">
        <v>46015</v>
      </c>
      <c r="I1423" s="9" t="n">
        <v>46031</v>
      </c>
      <c r="J1423" s="7" t="n">
        <v>10</v>
      </c>
      <c r="K1423" s="7" t="s">
        <v>1733</v>
      </c>
      <c r="L1423" s="7" t="s">
        <v>20</v>
      </c>
      <c r="M1423" s="7" t="s">
        <v>1740</v>
      </c>
      <c r="N1423" s="7" t="s">
        <v>58</v>
      </c>
      <c r="O1423" s="10" t="n">
        <f aca="false">'Exec Summary'!$E$2-H1423</f>
        <v>219</v>
      </c>
      <c r="P1423" s="10" t="n">
        <f aca="false">IF(I1423="","",I1423-H1423)</f>
        <v>16</v>
      </c>
      <c r="Q1423" s="10" t="n">
        <f aca="false">VLOOKUP(G1423,$AA$2:$AB$5,2,FALSE())</f>
        <v>15</v>
      </c>
      <c r="R1423" s="7" t="n">
        <f aca="false">IF(OR(F1423="Open",F1423="Reopened"),1,0)</f>
        <v>0</v>
      </c>
      <c r="S1423" s="7" t="n">
        <f aca="false">IF(AND(H1423&gt;='Exec Summary'!$E$1,H1423&lt;='Exec Summary'!$E$2),1,0)</f>
        <v>0</v>
      </c>
      <c r="T1423" s="7" t="n">
        <f aca="false">IF(AND(F1423="Closed",I1423&lt;&gt;"",I1423&gt;='Exec Summary'!$E$1,I1423&lt;='Exec Summary'!$E$2),1,0)</f>
        <v>0</v>
      </c>
      <c r="U1423" s="7" t="n">
        <f aca="false">IF(F1423="Reopened",1,0)</f>
        <v>0</v>
      </c>
      <c r="V1423" s="7" t="n">
        <f aca="false">IF(AND(R1423=1,O1423&gt;Q1423),1,0)</f>
        <v>0</v>
      </c>
      <c r="W1423" s="7" t="n">
        <f aca="false">IF(AND(T1423=1,P1423&lt;&gt;"",P1423&lt;=Q1423),1,0)</f>
        <v>0</v>
      </c>
    </row>
    <row r="1424" customFormat="false" ht="15" hidden="false" customHeight="false" outlineLevel="0" collapsed="false">
      <c r="A1424" s="7" t="s">
        <v>1732</v>
      </c>
      <c r="B1424" s="7" t="s">
        <v>46</v>
      </c>
      <c r="C1424" s="7" t="s">
        <v>128</v>
      </c>
      <c r="D1424" s="7" t="s">
        <v>74</v>
      </c>
      <c r="E1424" s="7" t="s">
        <v>75</v>
      </c>
      <c r="F1424" s="7" t="s">
        <v>50</v>
      </c>
      <c r="G1424" s="7" t="s">
        <v>21</v>
      </c>
      <c r="H1424" s="9" t="n">
        <v>46154</v>
      </c>
      <c r="I1424" s="9" t="n">
        <v>46184</v>
      </c>
      <c r="J1424" s="7" t="n">
        <v>6.5</v>
      </c>
      <c r="K1424" s="7" t="s">
        <v>1733</v>
      </c>
      <c r="L1424" s="7" t="s">
        <v>20</v>
      </c>
      <c r="M1424" s="7" t="s">
        <v>1741</v>
      </c>
      <c r="N1424" s="7" t="s">
        <v>77</v>
      </c>
      <c r="O1424" s="10" t="n">
        <f aca="false">'Exec Summary'!$E$2-H1424</f>
        <v>80</v>
      </c>
      <c r="P1424" s="10" t="n">
        <f aca="false">IF(I1424="","",I1424-H1424)</f>
        <v>30</v>
      </c>
      <c r="Q1424" s="10" t="n">
        <f aca="false">VLOOKUP(G1424,$AA$2:$AB$5,2,FALSE())</f>
        <v>90</v>
      </c>
      <c r="R1424" s="7" t="n">
        <f aca="false">IF(OR(F1424="Open",F1424="Reopened"),1,0)</f>
        <v>0</v>
      </c>
      <c r="S1424" s="7" t="n">
        <f aca="false">IF(AND(H1424&gt;='Exec Summary'!$E$1,H1424&lt;='Exec Summary'!$E$2),1,0)</f>
        <v>0</v>
      </c>
      <c r="T1424" s="7" t="n">
        <f aca="false">IF(AND(F1424="Closed",I1424&lt;&gt;"",I1424&gt;='Exec Summary'!$E$1,I1424&lt;='Exec Summary'!$E$2),1,0)</f>
        <v>0</v>
      </c>
      <c r="U1424" s="7" t="n">
        <f aca="false">IF(F1424="Reopened",1,0)</f>
        <v>0</v>
      </c>
      <c r="V1424" s="7" t="n">
        <f aca="false">IF(AND(R1424=1,O1424&gt;Q1424),1,0)</f>
        <v>0</v>
      </c>
      <c r="W1424" s="7" t="n">
        <f aca="false">IF(AND(T1424=1,P1424&lt;&gt;"",P1424&lt;=Q1424),1,0)</f>
        <v>0</v>
      </c>
    </row>
    <row r="1425" customFormat="false" ht="15" hidden="false" customHeight="false" outlineLevel="0" collapsed="false">
      <c r="A1425" s="7" t="s">
        <v>1732</v>
      </c>
      <c r="B1425" s="7" t="s">
        <v>46</v>
      </c>
      <c r="C1425" s="7" t="s">
        <v>128</v>
      </c>
      <c r="D1425" s="7" t="s">
        <v>145</v>
      </c>
      <c r="E1425" s="7" t="s">
        <v>146</v>
      </c>
      <c r="F1425" s="7" t="s">
        <v>123</v>
      </c>
      <c r="G1425" s="7" t="s">
        <v>19</v>
      </c>
      <c r="H1425" s="9" t="n">
        <v>46183</v>
      </c>
      <c r="I1425" s="9" t="n">
        <v>46190</v>
      </c>
      <c r="J1425" s="7" t="n">
        <v>9.8</v>
      </c>
      <c r="K1425" s="7" t="s">
        <v>1733</v>
      </c>
      <c r="L1425" s="7" t="s">
        <v>20</v>
      </c>
      <c r="M1425" s="7" t="s">
        <v>1742</v>
      </c>
      <c r="N1425" s="7" t="s">
        <v>58</v>
      </c>
      <c r="O1425" s="10" t="n">
        <f aca="false">'Exec Summary'!$E$2-H1425</f>
        <v>51</v>
      </c>
      <c r="P1425" s="10" t="n">
        <f aca="false">IF(I1425="","",I1425-H1425)</f>
        <v>7</v>
      </c>
      <c r="Q1425" s="10" t="n">
        <f aca="false">VLOOKUP(G1425,$AA$2:$AB$5,2,FALSE())</f>
        <v>15</v>
      </c>
      <c r="R1425" s="7" t="n">
        <f aca="false">IF(OR(F1425="Open",F1425="Reopened"),1,0)</f>
        <v>1</v>
      </c>
      <c r="S1425" s="7" t="n">
        <f aca="false">IF(AND(H1425&gt;='Exec Summary'!$E$1,H1425&lt;='Exec Summary'!$E$2),1,0)</f>
        <v>0</v>
      </c>
      <c r="T1425" s="7" t="n">
        <f aca="false">IF(AND(F1425="Closed",I1425&lt;&gt;"",I1425&gt;='Exec Summary'!$E$1,I1425&lt;='Exec Summary'!$E$2),1,0)</f>
        <v>0</v>
      </c>
      <c r="U1425" s="7" t="n">
        <f aca="false">IF(F1425="Reopened",1,0)</f>
        <v>1</v>
      </c>
      <c r="V1425" s="7" t="n">
        <f aca="false">IF(AND(R1425=1,O1425&gt;Q1425),1,0)</f>
        <v>1</v>
      </c>
      <c r="W1425" s="7" t="n">
        <f aca="false">IF(AND(T1425=1,P1425&lt;&gt;"",P1425&lt;=Q1425),1,0)</f>
        <v>0</v>
      </c>
    </row>
    <row r="1426" customFormat="false" ht="15" hidden="false" customHeight="false" outlineLevel="0" collapsed="false">
      <c r="A1426" s="7" t="s">
        <v>1732</v>
      </c>
      <c r="B1426" s="7" t="s">
        <v>46</v>
      </c>
      <c r="C1426" s="7" t="s">
        <v>128</v>
      </c>
      <c r="D1426" s="7" t="s">
        <v>62</v>
      </c>
      <c r="E1426" s="7" t="s">
        <v>63</v>
      </c>
      <c r="F1426" s="7" t="s">
        <v>56</v>
      </c>
      <c r="G1426" s="7" t="s">
        <v>20</v>
      </c>
      <c r="H1426" s="9" t="n">
        <v>46011</v>
      </c>
      <c r="I1426" s="9"/>
      <c r="J1426" s="7" t="n">
        <v>8.1</v>
      </c>
      <c r="K1426" s="7" t="s">
        <v>1733</v>
      </c>
      <c r="L1426" s="7" t="s">
        <v>20</v>
      </c>
      <c r="M1426" s="7" t="s">
        <v>1743</v>
      </c>
      <c r="N1426" s="7" t="s">
        <v>53</v>
      </c>
      <c r="O1426" s="10" t="n">
        <f aca="false">'Exec Summary'!$E$2-H1426</f>
        <v>223</v>
      </c>
      <c r="P1426" s="10" t="str">
        <f aca="false">IF(I1426="","",I1426-H1426)</f>
        <v/>
      </c>
      <c r="Q1426" s="10" t="n">
        <f aca="false">VLOOKUP(G1426,$AA$2:$AB$5,2,FALSE())</f>
        <v>30</v>
      </c>
      <c r="R1426" s="7" t="n">
        <f aca="false">IF(OR(F1426="Open",F1426="Reopened"),1,0)</f>
        <v>1</v>
      </c>
      <c r="S1426" s="7" t="n">
        <f aca="false">IF(AND(H1426&gt;='Exec Summary'!$E$1,H1426&lt;='Exec Summary'!$E$2),1,0)</f>
        <v>0</v>
      </c>
      <c r="T1426" s="7" t="n">
        <f aca="false">IF(AND(F1426="Closed",I1426&lt;&gt;"",I1426&gt;='Exec Summary'!$E$1,I1426&lt;='Exec Summary'!$E$2),1,0)</f>
        <v>0</v>
      </c>
      <c r="U1426" s="7" t="n">
        <f aca="false">IF(F1426="Reopened",1,0)</f>
        <v>0</v>
      </c>
      <c r="V1426" s="7" t="n">
        <f aca="false">IF(AND(R1426=1,O1426&gt;Q1426),1,0)</f>
        <v>1</v>
      </c>
      <c r="W1426" s="7" t="n">
        <f aca="false">IF(AND(T1426=1,P1426&lt;&gt;"",P1426&lt;=Q1426),1,0)</f>
        <v>0</v>
      </c>
    </row>
    <row r="1427" customFormat="false" ht="15" hidden="false" customHeight="false" outlineLevel="0" collapsed="false">
      <c r="A1427" s="7" t="s">
        <v>1744</v>
      </c>
      <c r="B1427" s="7" t="s">
        <v>46</v>
      </c>
      <c r="C1427" s="7" t="s">
        <v>158</v>
      </c>
      <c r="D1427" s="7" t="s">
        <v>152</v>
      </c>
      <c r="E1427" s="7" t="s">
        <v>153</v>
      </c>
      <c r="F1427" s="7" t="s">
        <v>50</v>
      </c>
      <c r="G1427" s="7" t="s">
        <v>20</v>
      </c>
      <c r="H1427" s="9" t="n">
        <v>46119</v>
      </c>
      <c r="I1427" s="9" t="n">
        <v>46152</v>
      </c>
      <c r="J1427" s="7" t="n">
        <v>7.5</v>
      </c>
      <c r="K1427" s="7" t="s">
        <v>1733</v>
      </c>
      <c r="L1427" s="7" t="s">
        <v>22</v>
      </c>
      <c r="M1427" s="7" t="s">
        <v>1745</v>
      </c>
      <c r="N1427" s="7" t="s">
        <v>53</v>
      </c>
      <c r="O1427" s="10" t="n">
        <f aca="false">'Exec Summary'!$E$2-H1427</f>
        <v>115</v>
      </c>
      <c r="P1427" s="10" t="n">
        <f aca="false">IF(I1427="","",I1427-H1427)</f>
        <v>33</v>
      </c>
      <c r="Q1427" s="10" t="n">
        <f aca="false">VLOOKUP(G1427,$AA$2:$AB$5,2,FALSE())</f>
        <v>30</v>
      </c>
      <c r="R1427" s="7" t="n">
        <f aca="false">IF(OR(F1427="Open",F1427="Reopened"),1,0)</f>
        <v>0</v>
      </c>
      <c r="S1427" s="7" t="n">
        <f aca="false">IF(AND(H1427&gt;='Exec Summary'!$E$1,H1427&lt;='Exec Summary'!$E$2),1,0)</f>
        <v>0</v>
      </c>
      <c r="T1427" s="7" t="n">
        <f aca="false">IF(AND(F1427="Closed",I1427&lt;&gt;"",I1427&gt;='Exec Summary'!$E$1,I1427&lt;='Exec Summary'!$E$2),1,0)</f>
        <v>0</v>
      </c>
      <c r="U1427" s="7" t="n">
        <f aca="false">IF(F1427="Reopened",1,0)</f>
        <v>0</v>
      </c>
      <c r="V1427" s="7" t="n">
        <f aca="false">IF(AND(R1427=1,O1427&gt;Q1427),1,0)</f>
        <v>0</v>
      </c>
      <c r="W1427" s="7" t="n">
        <f aca="false">IF(AND(T1427=1,P1427&lt;&gt;"",P1427&lt;=Q1427),1,0)</f>
        <v>0</v>
      </c>
    </row>
    <row r="1428" customFormat="false" ht="15" hidden="false" customHeight="false" outlineLevel="0" collapsed="false">
      <c r="A1428" s="7" t="s">
        <v>1744</v>
      </c>
      <c r="B1428" s="7" t="s">
        <v>46</v>
      </c>
      <c r="C1428" s="7" t="s">
        <v>158</v>
      </c>
      <c r="D1428" s="7" t="s">
        <v>131</v>
      </c>
      <c r="E1428" s="7" t="s">
        <v>132</v>
      </c>
      <c r="F1428" s="7" t="s">
        <v>50</v>
      </c>
      <c r="G1428" s="7" t="s">
        <v>19</v>
      </c>
      <c r="H1428" s="9" t="n">
        <v>46193</v>
      </c>
      <c r="I1428" s="9" t="n">
        <v>46206</v>
      </c>
      <c r="J1428" s="7" t="n">
        <v>9.8</v>
      </c>
      <c r="K1428" s="7" t="s">
        <v>1733</v>
      </c>
      <c r="L1428" s="7" t="s">
        <v>22</v>
      </c>
      <c r="M1428" s="7" t="s">
        <v>1746</v>
      </c>
      <c r="N1428" s="7" t="s">
        <v>58</v>
      </c>
      <c r="O1428" s="10" t="n">
        <f aca="false">'Exec Summary'!$E$2-H1428</f>
        <v>41</v>
      </c>
      <c r="P1428" s="10" t="n">
        <f aca="false">IF(I1428="","",I1428-H1428)</f>
        <v>13</v>
      </c>
      <c r="Q1428" s="10" t="n">
        <f aca="false">VLOOKUP(G1428,$AA$2:$AB$5,2,FALSE())</f>
        <v>15</v>
      </c>
      <c r="R1428" s="7" t="n">
        <f aca="false">IF(OR(F1428="Open",F1428="Reopened"),1,0)</f>
        <v>0</v>
      </c>
      <c r="S1428" s="7" t="n">
        <f aca="false">IF(AND(H1428&gt;='Exec Summary'!$E$1,H1428&lt;='Exec Summary'!$E$2),1,0)</f>
        <v>0</v>
      </c>
      <c r="T1428" s="7" t="n">
        <f aca="false">IF(AND(F1428="Closed",I1428&lt;&gt;"",I1428&gt;='Exec Summary'!$E$1,I1428&lt;='Exec Summary'!$E$2),1,0)</f>
        <v>1</v>
      </c>
      <c r="U1428" s="7" t="n">
        <f aca="false">IF(F1428="Reopened",1,0)</f>
        <v>0</v>
      </c>
      <c r="V1428" s="7" t="n">
        <f aca="false">IF(AND(R1428=1,O1428&gt;Q1428),1,0)</f>
        <v>0</v>
      </c>
      <c r="W1428" s="7" t="n">
        <f aca="false">IF(AND(T1428=1,P1428&lt;&gt;"",P1428&lt;=Q1428),1,0)</f>
        <v>1</v>
      </c>
    </row>
    <row r="1429" customFormat="false" ht="15" hidden="false" customHeight="false" outlineLevel="0" collapsed="false">
      <c r="A1429" s="7" t="s">
        <v>1744</v>
      </c>
      <c r="B1429" s="7" t="s">
        <v>46</v>
      </c>
      <c r="C1429" s="7" t="s">
        <v>158</v>
      </c>
      <c r="D1429" s="7" t="s">
        <v>210</v>
      </c>
      <c r="E1429" s="7" t="s">
        <v>211</v>
      </c>
      <c r="F1429" s="7" t="s">
        <v>56</v>
      </c>
      <c r="G1429" s="7" t="s">
        <v>19</v>
      </c>
      <c r="H1429" s="9" t="n">
        <v>45996</v>
      </c>
      <c r="I1429" s="9"/>
      <c r="J1429" s="7" t="n">
        <v>9.8</v>
      </c>
      <c r="K1429" s="7" t="s">
        <v>1733</v>
      </c>
      <c r="L1429" s="7" t="s">
        <v>22</v>
      </c>
      <c r="M1429" s="7" t="s">
        <v>1747</v>
      </c>
      <c r="N1429" s="7" t="s">
        <v>58</v>
      </c>
      <c r="O1429" s="10" t="n">
        <f aca="false">'Exec Summary'!$E$2-H1429</f>
        <v>238</v>
      </c>
      <c r="P1429" s="10" t="str">
        <f aca="false">IF(I1429="","",I1429-H1429)</f>
        <v/>
      </c>
      <c r="Q1429" s="10" t="n">
        <f aca="false">VLOOKUP(G1429,$AA$2:$AB$5,2,FALSE())</f>
        <v>15</v>
      </c>
      <c r="R1429" s="7" t="n">
        <f aca="false">IF(OR(F1429="Open",F1429="Reopened"),1,0)</f>
        <v>1</v>
      </c>
      <c r="S1429" s="7" t="n">
        <f aca="false">IF(AND(H1429&gt;='Exec Summary'!$E$1,H1429&lt;='Exec Summary'!$E$2),1,0)</f>
        <v>0</v>
      </c>
      <c r="T1429" s="7" t="n">
        <f aca="false">IF(AND(F1429="Closed",I1429&lt;&gt;"",I1429&gt;='Exec Summary'!$E$1,I1429&lt;='Exec Summary'!$E$2),1,0)</f>
        <v>0</v>
      </c>
      <c r="U1429" s="7" t="n">
        <f aca="false">IF(F1429="Reopened",1,0)</f>
        <v>0</v>
      </c>
      <c r="V1429" s="7" t="n">
        <f aca="false">IF(AND(R1429=1,O1429&gt;Q1429),1,0)</f>
        <v>1</v>
      </c>
      <c r="W1429" s="7" t="n">
        <f aca="false">IF(AND(T1429=1,P1429&lt;&gt;"",P1429&lt;=Q1429),1,0)</f>
        <v>0</v>
      </c>
    </row>
    <row r="1430" customFormat="false" ht="15" hidden="false" customHeight="false" outlineLevel="0" collapsed="false">
      <c r="A1430" s="7" t="s">
        <v>1744</v>
      </c>
      <c r="B1430" s="7" t="s">
        <v>46</v>
      </c>
      <c r="C1430" s="7" t="s">
        <v>158</v>
      </c>
      <c r="D1430" s="7" t="s">
        <v>120</v>
      </c>
      <c r="E1430" s="7" t="s">
        <v>121</v>
      </c>
      <c r="F1430" s="7" t="s">
        <v>56</v>
      </c>
      <c r="G1430" s="7" t="s">
        <v>19</v>
      </c>
      <c r="H1430" s="9" t="n">
        <v>46146</v>
      </c>
      <c r="I1430" s="9"/>
      <c r="J1430" s="7" t="n">
        <v>8.8</v>
      </c>
      <c r="K1430" s="7" t="s">
        <v>1733</v>
      </c>
      <c r="L1430" s="7" t="s">
        <v>22</v>
      </c>
      <c r="M1430" s="7" t="s">
        <v>1748</v>
      </c>
      <c r="N1430" s="7" t="s">
        <v>58</v>
      </c>
      <c r="O1430" s="10" t="n">
        <f aca="false">'Exec Summary'!$E$2-H1430</f>
        <v>88</v>
      </c>
      <c r="P1430" s="10" t="str">
        <f aca="false">IF(I1430="","",I1430-H1430)</f>
        <v/>
      </c>
      <c r="Q1430" s="10" t="n">
        <f aca="false">VLOOKUP(G1430,$AA$2:$AB$5,2,FALSE())</f>
        <v>15</v>
      </c>
      <c r="R1430" s="7" t="n">
        <f aca="false">IF(OR(F1430="Open",F1430="Reopened"),1,0)</f>
        <v>1</v>
      </c>
      <c r="S1430" s="7" t="n">
        <f aca="false">IF(AND(H1430&gt;='Exec Summary'!$E$1,H1430&lt;='Exec Summary'!$E$2),1,0)</f>
        <v>0</v>
      </c>
      <c r="T1430" s="7" t="n">
        <f aca="false">IF(AND(F1430="Closed",I1430&lt;&gt;"",I1430&gt;='Exec Summary'!$E$1,I1430&lt;='Exec Summary'!$E$2),1,0)</f>
        <v>0</v>
      </c>
      <c r="U1430" s="7" t="n">
        <f aca="false">IF(F1430="Reopened",1,0)</f>
        <v>0</v>
      </c>
      <c r="V1430" s="7" t="n">
        <f aca="false">IF(AND(R1430=1,O1430&gt;Q1430),1,0)</f>
        <v>1</v>
      </c>
      <c r="W1430" s="7" t="n">
        <f aca="false">IF(AND(T1430=1,P1430&lt;&gt;"",P1430&lt;=Q1430),1,0)</f>
        <v>0</v>
      </c>
    </row>
    <row r="1431" customFormat="false" ht="15" hidden="false" customHeight="false" outlineLevel="0" collapsed="false">
      <c r="A1431" s="7" t="s">
        <v>1744</v>
      </c>
      <c r="B1431" s="7" t="s">
        <v>46</v>
      </c>
      <c r="C1431" s="7" t="s">
        <v>158</v>
      </c>
      <c r="D1431" s="7" t="s">
        <v>65</v>
      </c>
      <c r="E1431" s="7" t="s">
        <v>66</v>
      </c>
      <c r="F1431" s="7" t="s">
        <v>56</v>
      </c>
      <c r="G1431" s="7" t="s">
        <v>19</v>
      </c>
      <c r="H1431" s="9" t="n">
        <v>46059</v>
      </c>
      <c r="I1431" s="9"/>
      <c r="J1431" s="7" t="n">
        <v>9.8</v>
      </c>
      <c r="K1431" s="7" t="s">
        <v>1733</v>
      </c>
      <c r="L1431" s="7" t="s">
        <v>22</v>
      </c>
      <c r="M1431" s="7" t="s">
        <v>1749</v>
      </c>
      <c r="N1431" s="7" t="s">
        <v>58</v>
      </c>
      <c r="O1431" s="10" t="n">
        <f aca="false">'Exec Summary'!$E$2-H1431</f>
        <v>175</v>
      </c>
      <c r="P1431" s="10" t="str">
        <f aca="false">IF(I1431="","",I1431-H1431)</f>
        <v/>
      </c>
      <c r="Q1431" s="10" t="n">
        <f aca="false">VLOOKUP(G1431,$AA$2:$AB$5,2,FALSE())</f>
        <v>15</v>
      </c>
      <c r="R1431" s="7" t="n">
        <f aca="false">IF(OR(F1431="Open",F1431="Reopened"),1,0)</f>
        <v>1</v>
      </c>
      <c r="S1431" s="7" t="n">
        <f aca="false">IF(AND(H1431&gt;='Exec Summary'!$E$1,H1431&lt;='Exec Summary'!$E$2),1,0)</f>
        <v>0</v>
      </c>
      <c r="T1431" s="7" t="n">
        <f aca="false">IF(AND(F1431="Closed",I1431&lt;&gt;"",I1431&gt;='Exec Summary'!$E$1,I1431&lt;='Exec Summary'!$E$2),1,0)</f>
        <v>0</v>
      </c>
      <c r="U1431" s="7" t="n">
        <f aca="false">IF(F1431="Reopened",1,0)</f>
        <v>0</v>
      </c>
      <c r="V1431" s="7" t="n">
        <f aca="false">IF(AND(R1431=1,O1431&gt;Q1431),1,0)</f>
        <v>1</v>
      </c>
      <c r="W1431" s="7" t="n">
        <f aca="false">IF(AND(T1431=1,P1431&lt;&gt;"",P1431&lt;=Q1431),1,0)</f>
        <v>0</v>
      </c>
    </row>
    <row r="1432" customFormat="false" ht="15" hidden="false" customHeight="false" outlineLevel="0" collapsed="false">
      <c r="A1432" s="7" t="s">
        <v>1744</v>
      </c>
      <c r="B1432" s="7" t="s">
        <v>46</v>
      </c>
      <c r="C1432" s="7" t="s">
        <v>158</v>
      </c>
      <c r="D1432" s="7" t="s">
        <v>59</v>
      </c>
      <c r="E1432" s="7" t="s">
        <v>60</v>
      </c>
      <c r="F1432" s="7" t="s">
        <v>50</v>
      </c>
      <c r="G1432" s="7" t="s">
        <v>19</v>
      </c>
      <c r="H1432" s="9" t="n">
        <v>46108</v>
      </c>
      <c r="I1432" s="9" t="n">
        <v>46116</v>
      </c>
      <c r="J1432" s="7" t="n">
        <v>7.8</v>
      </c>
      <c r="K1432" s="7" t="s">
        <v>1733</v>
      </c>
      <c r="L1432" s="7" t="s">
        <v>22</v>
      </c>
      <c r="M1432" s="7" t="s">
        <v>1750</v>
      </c>
      <c r="N1432" s="7" t="s">
        <v>58</v>
      </c>
      <c r="O1432" s="10" t="n">
        <f aca="false">'Exec Summary'!$E$2-H1432</f>
        <v>126</v>
      </c>
      <c r="P1432" s="10" t="n">
        <f aca="false">IF(I1432="","",I1432-H1432)</f>
        <v>8</v>
      </c>
      <c r="Q1432" s="10" t="n">
        <f aca="false">VLOOKUP(G1432,$AA$2:$AB$5,2,FALSE())</f>
        <v>15</v>
      </c>
      <c r="R1432" s="7" t="n">
        <f aca="false">IF(OR(F1432="Open",F1432="Reopened"),1,0)</f>
        <v>0</v>
      </c>
      <c r="S1432" s="7" t="n">
        <f aca="false">IF(AND(H1432&gt;='Exec Summary'!$E$1,H1432&lt;='Exec Summary'!$E$2),1,0)</f>
        <v>0</v>
      </c>
      <c r="T1432" s="7" t="n">
        <f aca="false">IF(AND(F1432="Closed",I1432&lt;&gt;"",I1432&gt;='Exec Summary'!$E$1,I1432&lt;='Exec Summary'!$E$2),1,0)</f>
        <v>0</v>
      </c>
      <c r="U1432" s="7" t="n">
        <f aca="false">IF(F1432="Reopened",1,0)</f>
        <v>0</v>
      </c>
      <c r="V1432" s="7" t="n">
        <f aca="false">IF(AND(R1432=1,O1432&gt;Q1432),1,0)</f>
        <v>0</v>
      </c>
      <c r="W1432" s="7" t="n">
        <f aca="false">IF(AND(T1432=1,P1432&lt;&gt;"",P1432&lt;=Q1432),1,0)</f>
        <v>0</v>
      </c>
    </row>
    <row r="1433" customFormat="false" ht="15" hidden="false" customHeight="false" outlineLevel="0" collapsed="false">
      <c r="A1433" s="7" t="s">
        <v>1744</v>
      </c>
      <c r="B1433" s="7" t="s">
        <v>46</v>
      </c>
      <c r="C1433" s="7" t="s">
        <v>158</v>
      </c>
      <c r="D1433" s="7" t="s">
        <v>81</v>
      </c>
      <c r="E1433" s="7" t="s">
        <v>82</v>
      </c>
      <c r="F1433" s="7" t="s">
        <v>56</v>
      </c>
      <c r="G1433" s="7" t="s">
        <v>20</v>
      </c>
      <c r="H1433" s="9" t="n">
        <v>46124</v>
      </c>
      <c r="I1433" s="9"/>
      <c r="J1433" s="7" t="n">
        <v>7.8</v>
      </c>
      <c r="K1433" s="7" t="s">
        <v>1733</v>
      </c>
      <c r="L1433" s="7" t="s">
        <v>22</v>
      </c>
      <c r="M1433" s="7" t="s">
        <v>1751</v>
      </c>
      <c r="N1433" s="7" t="s">
        <v>53</v>
      </c>
      <c r="O1433" s="10" t="n">
        <f aca="false">'Exec Summary'!$E$2-H1433</f>
        <v>110</v>
      </c>
      <c r="P1433" s="10" t="str">
        <f aca="false">IF(I1433="","",I1433-H1433)</f>
        <v/>
      </c>
      <c r="Q1433" s="10" t="n">
        <f aca="false">VLOOKUP(G1433,$AA$2:$AB$5,2,FALSE())</f>
        <v>30</v>
      </c>
      <c r="R1433" s="7" t="n">
        <f aca="false">IF(OR(F1433="Open",F1433="Reopened"),1,0)</f>
        <v>1</v>
      </c>
      <c r="S1433" s="7" t="n">
        <f aca="false">IF(AND(H1433&gt;='Exec Summary'!$E$1,H1433&lt;='Exec Summary'!$E$2),1,0)</f>
        <v>0</v>
      </c>
      <c r="T1433" s="7" t="n">
        <f aca="false">IF(AND(F1433="Closed",I1433&lt;&gt;"",I1433&gt;='Exec Summary'!$E$1,I1433&lt;='Exec Summary'!$E$2),1,0)</f>
        <v>0</v>
      </c>
      <c r="U1433" s="7" t="n">
        <f aca="false">IF(F1433="Reopened",1,0)</f>
        <v>0</v>
      </c>
      <c r="V1433" s="7" t="n">
        <f aca="false">IF(AND(R1433=1,O1433&gt;Q1433),1,0)</f>
        <v>1</v>
      </c>
      <c r="W1433" s="7" t="n">
        <f aca="false">IF(AND(T1433=1,P1433&lt;&gt;"",P1433&lt;=Q1433),1,0)</f>
        <v>0</v>
      </c>
    </row>
    <row r="1434" customFormat="false" ht="15" hidden="false" customHeight="false" outlineLevel="0" collapsed="false">
      <c r="A1434" s="7" t="s">
        <v>1744</v>
      </c>
      <c r="B1434" s="7" t="s">
        <v>46</v>
      </c>
      <c r="C1434" s="7" t="s">
        <v>158</v>
      </c>
      <c r="D1434" s="7" t="s">
        <v>91</v>
      </c>
      <c r="E1434" s="7" t="s">
        <v>92</v>
      </c>
      <c r="F1434" s="7" t="s">
        <v>56</v>
      </c>
      <c r="G1434" s="7" t="s">
        <v>20</v>
      </c>
      <c r="H1434" s="9" t="n">
        <v>46118</v>
      </c>
      <c r="I1434" s="9"/>
      <c r="J1434" s="7" t="n">
        <v>8.1</v>
      </c>
      <c r="K1434" s="7" t="s">
        <v>1733</v>
      </c>
      <c r="L1434" s="7" t="s">
        <v>22</v>
      </c>
      <c r="M1434" s="7" t="s">
        <v>1752</v>
      </c>
      <c r="N1434" s="7" t="s">
        <v>53</v>
      </c>
      <c r="O1434" s="10" t="n">
        <f aca="false">'Exec Summary'!$E$2-H1434</f>
        <v>116</v>
      </c>
      <c r="P1434" s="10" t="str">
        <f aca="false">IF(I1434="","",I1434-H1434)</f>
        <v/>
      </c>
      <c r="Q1434" s="10" t="n">
        <f aca="false">VLOOKUP(G1434,$AA$2:$AB$5,2,FALSE())</f>
        <v>30</v>
      </c>
      <c r="R1434" s="7" t="n">
        <f aca="false">IF(OR(F1434="Open",F1434="Reopened"),1,0)</f>
        <v>1</v>
      </c>
      <c r="S1434" s="7" t="n">
        <f aca="false">IF(AND(H1434&gt;='Exec Summary'!$E$1,H1434&lt;='Exec Summary'!$E$2),1,0)</f>
        <v>0</v>
      </c>
      <c r="T1434" s="7" t="n">
        <f aca="false">IF(AND(F1434="Closed",I1434&lt;&gt;"",I1434&gt;='Exec Summary'!$E$1,I1434&lt;='Exec Summary'!$E$2),1,0)</f>
        <v>0</v>
      </c>
      <c r="U1434" s="7" t="n">
        <f aca="false">IF(F1434="Reopened",1,0)</f>
        <v>0</v>
      </c>
      <c r="V1434" s="7" t="n">
        <f aca="false">IF(AND(R1434=1,O1434&gt;Q1434),1,0)</f>
        <v>1</v>
      </c>
      <c r="W1434" s="7" t="n">
        <f aca="false">IF(AND(T1434=1,P1434&lt;&gt;"",P1434&lt;=Q1434),1,0)</f>
        <v>0</v>
      </c>
    </row>
    <row r="1435" customFormat="false" ht="15" hidden="false" customHeight="false" outlineLevel="0" collapsed="false">
      <c r="A1435" s="7" t="s">
        <v>1744</v>
      </c>
      <c r="B1435" s="7" t="s">
        <v>46</v>
      </c>
      <c r="C1435" s="7" t="s">
        <v>158</v>
      </c>
      <c r="D1435" s="7" t="s">
        <v>192</v>
      </c>
      <c r="E1435" s="7" t="s">
        <v>193</v>
      </c>
      <c r="F1435" s="7" t="s">
        <v>56</v>
      </c>
      <c r="G1435" s="7" t="s">
        <v>19</v>
      </c>
      <c r="H1435" s="9" t="n">
        <v>46011</v>
      </c>
      <c r="I1435" s="9"/>
      <c r="J1435" s="7" t="n">
        <v>9.8</v>
      </c>
      <c r="K1435" s="7" t="s">
        <v>1733</v>
      </c>
      <c r="L1435" s="7" t="s">
        <v>22</v>
      </c>
      <c r="M1435" s="7" t="s">
        <v>1753</v>
      </c>
      <c r="N1435" s="7" t="s">
        <v>58</v>
      </c>
      <c r="O1435" s="10" t="n">
        <f aca="false">'Exec Summary'!$E$2-H1435</f>
        <v>223</v>
      </c>
      <c r="P1435" s="10" t="str">
        <f aca="false">IF(I1435="","",I1435-H1435)</f>
        <v/>
      </c>
      <c r="Q1435" s="10" t="n">
        <f aca="false">VLOOKUP(G1435,$AA$2:$AB$5,2,FALSE())</f>
        <v>15</v>
      </c>
      <c r="R1435" s="7" t="n">
        <f aca="false">IF(OR(F1435="Open",F1435="Reopened"),1,0)</f>
        <v>1</v>
      </c>
      <c r="S1435" s="7" t="n">
        <f aca="false">IF(AND(H1435&gt;='Exec Summary'!$E$1,H1435&lt;='Exec Summary'!$E$2),1,0)</f>
        <v>0</v>
      </c>
      <c r="T1435" s="7" t="n">
        <f aca="false">IF(AND(F1435="Closed",I1435&lt;&gt;"",I1435&gt;='Exec Summary'!$E$1,I1435&lt;='Exec Summary'!$E$2),1,0)</f>
        <v>0</v>
      </c>
      <c r="U1435" s="7" t="n">
        <f aca="false">IF(F1435="Reopened",1,0)</f>
        <v>0</v>
      </c>
      <c r="V1435" s="7" t="n">
        <f aca="false">IF(AND(R1435=1,O1435&gt;Q1435),1,0)</f>
        <v>1</v>
      </c>
      <c r="W1435" s="7" t="n">
        <f aca="false">IF(AND(T1435=1,P1435&lt;&gt;"",P1435&lt;=Q1435),1,0)</f>
        <v>0</v>
      </c>
    </row>
    <row r="1436" customFormat="false" ht="15" hidden="false" customHeight="false" outlineLevel="0" collapsed="false">
      <c r="A1436" s="7" t="s">
        <v>1744</v>
      </c>
      <c r="B1436" s="7" t="s">
        <v>46</v>
      </c>
      <c r="C1436" s="7" t="s">
        <v>158</v>
      </c>
      <c r="D1436" s="7" t="s">
        <v>108</v>
      </c>
      <c r="E1436" s="7" t="s">
        <v>109</v>
      </c>
      <c r="F1436" s="7" t="s">
        <v>56</v>
      </c>
      <c r="G1436" s="7" t="s">
        <v>20</v>
      </c>
      <c r="H1436" s="9" t="n">
        <v>46149</v>
      </c>
      <c r="I1436" s="9"/>
      <c r="J1436" s="7" t="n">
        <v>8.6</v>
      </c>
      <c r="K1436" s="7" t="s">
        <v>1733</v>
      </c>
      <c r="L1436" s="7" t="s">
        <v>22</v>
      </c>
      <c r="M1436" s="7" t="s">
        <v>1754</v>
      </c>
      <c r="N1436" s="7" t="s">
        <v>53</v>
      </c>
      <c r="O1436" s="10" t="n">
        <f aca="false">'Exec Summary'!$E$2-H1436</f>
        <v>85</v>
      </c>
      <c r="P1436" s="10" t="str">
        <f aca="false">IF(I1436="","",I1436-H1436)</f>
        <v/>
      </c>
      <c r="Q1436" s="10" t="n">
        <f aca="false">VLOOKUP(G1436,$AA$2:$AB$5,2,FALSE())</f>
        <v>30</v>
      </c>
      <c r="R1436" s="7" t="n">
        <f aca="false">IF(OR(F1436="Open",F1436="Reopened"),1,0)</f>
        <v>1</v>
      </c>
      <c r="S1436" s="7" t="n">
        <f aca="false">IF(AND(H1436&gt;='Exec Summary'!$E$1,H1436&lt;='Exec Summary'!$E$2),1,0)</f>
        <v>0</v>
      </c>
      <c r="T1436" s="7" t="n">
        <f aca="false">IF(AND(F1436="Closed",I1436&lt;&gt;"",I1436&gt;='Exec Summary'!$E$1,I1436&lt;='Exec Summary'!$E$2),1,0)</f>
        <v>0</v>
      </c>
      <c r="U1436" s="7" t="n">
        <f aca="false">IF(F1436="Reopened",1,0)</f>
        <v>0</v>
      </c>
      <c r="V1436" s="7" t="n">
        <f aca="false">IF(AND(R1436=1,O1436&gt;Q1436),1,0)</f>
        <v>1</v>
      </c>
      <c r="W1436" s="7" t="n">
        <f aca="false">IF(AND(T1436=1,P1436&lt;&gt;"",P1436&lt;=Q1436),1,0)</f>
        <v>0</v>
      </c>
    </row>
    <row r="1437" customFormat="false" ht="15" hidden="false" customHeight="false" outlineLevel="0" collapsed="false">
      <c r="A1437" s="7" t="s">
        <v>1744</v>
      </c>
      <c r="B1437" s="7" t="s">
        <v>46</v>
      </c>
      <c r="C1437" s="7" t="s">
        <v>158</v>
      </c>
      <c r="D1437" s="7" t="s">
        <v>206</v>
      </c>
      <c r="E1437" s="7" t="s">
        <v>207</v>
      </c>
      <c r="F1437" s="7" t="s">
        <v>50</v>
      </c>
      <c r="G1437" s="7" t="s">
        <v>20</v>
      </c>
      <c r="H1437" s="9" t="n">
        <v>46153</v>
      </c>
      <c r="I1437" s="9" t="n">
        <v>46162</v>
      </c>
      <c r="J1437" s="7" t="n">
        <v>8.8</v>
      </c>
      <c r="K1437" s="7" t="s">
        <v>1733</v>
      </c>
      <c r="L1437" s="7" t="s">
        <v>22</v>
      </c>
      <c r="M1437" s="7" t="s">
        <v>1755</v>
      </c>
      <c r="N1437" s="7" t="s">
        <v>53</v>
      </c>
      <c r="O1437" s="10" t="n">
        <f aca="false">'Exec Summary'!$E$2-H1437</f>
        <v>81</v>
      </c>
      <c r="P1437" s="10" t="n">
        <f aca="false">IF(I1437="","",I1437-H1437)</f>
        <v>9</v>
      </c>
      <c r="Q1437" s="10" t="n">
        <f aca="false">VLOOKUP(G1437,$AA$2:$AB$5,2,FALSE())</f>
        <v>30</v>
      </c>
      <c r="R1437" s="7" t="n">
        <f aca="false">IF(OR(F1437="Open",F1437="Reopened"),1,0)</f>
        <v>0</v>
      </c>
      <c r="S1437" s="7" t="n">
        <f aca="false">IF(AND(H1437&gt;='Exec Summary'!$E$1,H1437&lt;='Exec Summary'!$E$2),1,0)</f>
        <v>0</v>
      </c>
      <c r="T1437" s="7" t="n">
        <f aca="false">IF(AND(F1437="Closed",I1437&lt;&gt;"",I1437&gt;='Exec Summary'!$E$1,I1437&lt;='Exec Summary'!$E$2),1,0)</f>
        <v>0</v>
      </c>
      <c r="U1437" s="7" t="n">
        <f aca="false">IF(F1437="Reopened",1,0)</f>
        <v>0</v>
      </c>
      <c r="V1437" s="7" t="n">
        <f aca="false">IF(AND(R1437=1,O1437&gt;Q1437),1,0)</f>
        <v>0</v>
      </c>
      <c r="W1437" s="7" t="n">
        <f aca="false">IF(AND(T1437=1,P1437&lt;&gt;"",P1437&lt;=Q1437),1,0)</f>
        <v>0</v>
      </c>
    </row>
    <row r="1438" customFormat="false" ht="15" hidden="false" customHeight="false" outlineLevel="0" collapsed="false">
      <c r="A1438" s="7" t="s">
        <v>1744</v>
      </c>
      <c r="B1438" s="7" t="s">
        <v>46</v>
      </c>
      <c r="C1438" s="7" t="s">
        <v>158</v>
      </c>
      <c r="D1438" s="7" t="s">
        <v>48</v>
      </c>
      <c r="E1438" s="7" t="s">
        <v>49</v>
      </c>
      <c r="F1438" s="7" t="s">
        <v>50</v>
      </c>
      <c r="G1438" s="7" t="s">
        <v>20</v>
      </c>
      <c r="H1438" s="9" t="n">
        <v>45949</v>
      </c>
      <c r="I1438" s="9" t="n">
        <v>45979</v>
      </c>
      <c r="J1438" s="7" t="n">
        <v>7.5</v>
      </c>
      <c r="K1438" s="7" t="s">
        <v>1733</v>
      </c>
      <c r="L1438" s="7" t="s">
        <v>22</v>
      </c>
      <c r="M1438" s="7" t="s">
        <v>1756</v>
      </c>
      <c r="N1438" s="7" t="s">
        <v>53</v>
      </c>
      <c r="O1438" s="10" t="n">
        <f aca="false">'Exec Summary'!$E$2-H1438</f>
        <v>285</v>
      </c>
      <c r="P1438" s="10" t="n">
        <f aca="false">IF(I1438="","",I1438-H1438)</f>
        <v>30</v>
      </c>
      <c r="Q1438" s="10" t="n">
        <f aca="false">VLOOKUP(G1438,$AA$2:$AB$5,2,FALSE())</f>
        <v>30</v>
      </c>
      <c r="R1438" s="7" t="n">
        <f aca="false">IF(OR(F1438="Open",F1438="Reopened"),1,0)</f>
        <v>0</v>
      </c>
      <c r="S1438" s="7" t="n">
        <f aca="false">IF(AND(H1438&gt;='Exec Summary'!$E$1,H1438&lt;='Exec Summary'!$E$2),1,0)</f>
        <v>0</v>
      </c>
      <c r="T1438" s="7" t="n">
        <f aca="false">IF(AND(F1438="Closed",I1438&lt;&gt;"",I1438&gt;='Exec Summary'!$E$1,I1438&lt;='Exec Summary'!$E$2),1,0)</f>
        <v>0</v>
      </c>
      <c r="U1438" s="7" t="n">
        <f aca="false">IF(F1438="Reopened",1,0)</f>
        <v>0</v>
      </c>
      <c r="V1438" s="7" t="n">
        <f aca="false">IF(AND(R1438=1,O1438&gt;Q1438),1,0)</f>
        <v>0</v>
      </c>
      <c r="W1438" s="7" t="n">
        <f aca="false">IF(AND(T1438=1,P1438&lt;&gt;"",P1438&lt;=Q1438),1,0)</f>
        <v>0</v>
      </c>
    </row>
    <row r="1439" customFormat="false" ht="15" hidden="false" customHeight="false" outlineLevel="0" collapsed="false">
      <c r="A1439" s="7" t="s">
        <v>1744</v>
      </c>
      <c r="B1439" s="7" t="s">
        <v>46</v>
      </c>
      <c r="C1439" s="7" t="s">
        <v>158</v>
      </c>
      <c r="D1439" s="7" t="s">
        <v>74</v>
      </c>
      <c r="E1439" s="7" t="s">
        <v>75</v>
      </c>
      <c r="F1439" s="7" t="s">
        <v>50</v>
      </c>
      <c r="G1439" s="7" t="s">
        <v>21</v>
      </c>
      <c r="H1439" s="9" t="n">
        <v>45969</v>
      </c>
      <c r="I1439" s="9" t="n">
        <v>45991</v>
      </c>
      <c r="J1439" s="7" t="n">
        <v>6.5</v>
      </c>
      <c r="K1439" s="7" t="s">
        <v>1733</v>
      </c>
      <c r="L1439" s="7" t="s">
        <v>22</v>
      </c>
      <c r="M1439" s="7" t="s">
        <v>1757</v>
      </c>
      <c r="N1439" s="7" t="s">
        <v>77</v>
      </c>
      <c r="O1439" s="10" t="n">
        <f aca="false">'Exec Summary'!$E$2-H1439</f>
        <v>265</v>
      </c>
      <c r="P1439" s="10" t="n">
        <f aca="false">IF(I1439="","",I1439-H1439)</f>
        <v>22</v>
      </c>
      <c r="Q1439" s="10" t="n">
        <f aca="false">VLOOKUP(G1439,$AA$2:$AB$5,2,FALSE())</f>
        <v>90</v>
      </c>
      <c r="R1439" s="7" t="n">
        <f aca="false">IF(OR(F1439="Open",F1439="Reopened"),1,0)</f>
        <v>0</v>
      </c>
      <c r="S1439" s="7" t="n">
        <f aca="false">IF(AND(H1439&gt;='Exec Summary'!$E$1,H1439&lt;='Exec Summary'!$E$2),1,0)</f>
        <v>0</v>
      </c>
      <c r="T1439" s="7" t="n">
        <f aca="false">IF(AND(F1439="Closed",I1439&lt;&gt;"",I1439&gt;='Exec Summary'!$E$1,I1439&lt;='Exec Summary'!$E$2),1,0)</f>
        <v>0</v>
      </c>
      <c r="U1439" s="7" t="n">
        <f aca="false">IF(F1439="Reopened",1,0)</f>
        <v>0</v>
      </c>
      <c r="V1439" s="7" t="n">
        <f aca="false">IF(AND(R1439=1,O1439&gt;Q1439),1,0)</f>
        <v>0</v>
      </c>
      <c r="W1439" s="7" t="n">
        <f aca="false">IF(AND(T1439=1,P1439&lt;&gt;"",P1439&lt;=Q1439),1,0)</f>
        <v>0</v>
      </c>
    </row>
    <row r="1440" customFormat="false" ht="15" hidden="false" customHeight="false" outlineLevel="0" collapsed="false">
      <c r="A1440" s="7" t="s">
        <v>1744</v>
      </c>
      <c r="B1440" s="7" t="s">
        <v>46</v>
      </c>
      <c r="C1440" s="7" t="s">
        <v>158</v>
      </c>
      <c r="D1440" s="7" t="s">
        <v>98</v>
      </c>
      <c r="E1440" s="7" t="s">
        <v>99</v>
      </c>
      <c r="F1440" s="7" t="s">
        <v>56</v>
      </c>
      <c r="G1440" s="7" t="s">
        <v>19</v>
      </c>
      <c r="H1440" s="9" t="n">
        <v>46135</v>
      </c>
      <c r="I1440" s="9"/>
      <c r="J1440" s="7" t="n">
        <v>10</v>
      </c>
      <c r="K1440" s="7" t="s">
        <v>1733</v>
      </c>
      <c r="L1440" s="7" t="s">
        <v>22</v>
      </c>
      <c r="M1440" s="7" t="s">
        <v>1758</v>
      </c>
      <c r="N1440" s="7" t="s">
        <v>58</v>
      </c>
      <c r="O1440" s="10" t="n">
        <f aca="false">'Exec Summary'!$E$2-H1440</f>
        <v>99</v>
      </c>
      <c r="P1440" s="10" t="str">
        <f aca="false">IF(I1440="","",I1440-H1440)</f>
        <v/>
      </c>
      <c r="Q1440" s="10" t="n">
        <f aca="false">VLOOKUP(G1440,$AA$2:$AB$5,2,FALSE())</f>
        <v>15</v>
      </c>
      <c r="R1440" s="7" t="n">
        <f aca="false">IF(OR(F1440="Open",F1440="Reopened"),1,0)</f>
        <v>1</v>
      </c>
      <c r="S1440" s="7" t="n">
        <f aca="false">IF(AND(H1440&gt;='Exec Summary'!$E$1,H1440&lt;='Exec Summary'!$E$2),1,0)</f>
        <v>0</v>
      </c>
      <c r="T1440" s="7" t="n">
        <f aca="false">IF(AND(F1440="Closed",I1440&lt;&gt;"",I1440&gt;='Exec Summary'!$E$1,I1440&lt;='Exec Summary'!$E$2),1,0)</f>
        <v>0</v>
      </c>
      <c r="U1440" s="7" t="n">
        <f aca="false">IF(F1440="Reopened",1,0)</f>
        <v>0</v>
      </c>
      <c r="V1440" s="7" t="n">
        <f aca="false">IF(AND(R1440=1,O1440&gt;Q1440),1,0)</f>
        <v>1</v>
      </c>
      <c r="W1440" s="7" t="n">
        <f aca="false">IF(AND(T1440=1,P1440&lt;&gt;"",P1440&lt;=Q1440),1,0)</f>
        <v>0</v>
      </c>
    </row>
    <row r="1441" customFormat="false" ht="15" hidden="false" customHeight="false" outlineLevel="0" collapsed="false">
      <c r="A1441" s="7" t="s">
        <v>1759</v>
      </c>
      <c r="B1441" s="7" t="s">
        <v>135</v>
      </c>
      <c r="C1441" s="7" t="s">
        <v>306</v>
      </c>
      <c r="D1441" s="7" t="s">
        <v>173</v>
      </c>
      <c r="E1441" s="7" t="s">
        <v>174</v>
      </c>
      <c r="F1441" s="7" t="s">
        <v>56</v>
      </c>
      <c r="G1441" s="7" t="s">
        <v>19</v>
      </c>
      <c r="H1441" s="9" t="n">
        <v>46009</v>
      </c>
      <c r="I1441" s="9"/>
      <c r="J1441" s="7" t="n">
        <v>9.8</v>
      </c>
      <c r="K1441" s="7" t="s">
        <v>1733</v>
      </c>
      <c r="L1441" s="7" t="s">
        <v>21</v>
      </c>
      <c r="M1441" s="7" t="s">
        <v>1760</v>
      </c>
      <c r="N1441" s="7" t="s">
        <v>58</v>
      </c>
      <c r="O1441" s="10" t="n">
        <f aca="false">'Exec Summary'!$E$2-H1441</f>
        <v>225</v>
      </c>
      <c r="P1441" s="10" t="str">
        <f aca="false">IF(I1441="","",I1441-H1441)</f>
        <v/>
      </c>
      <c r="Q1441" s="10" t="n">
        <f aca="false">VLOOKUP(G1441,$AA$2:$AB$5,2,FALSE())</f>
        <v>15</v>
      </c>
      <c r="R1441" s="7" t="n">
        <f aca="false">IF(OR(F1441="Open",F1441="Reopened"),1,0)</f>
        <v>1</v>
      </c>
      <c r="S1441" s="7" t="n">
        <f aca="false">IF(AND(H1441&gt;='Exec Summary'!$E$1,H1441&lt;='Exec Summary'!$E$2),1,0)</f>
        <v>0</v>
      </c>
      <c r="T1441" s="7" t="n">
        <f aca="false">IF(AND(F1441="Closed",I1441&lt;&gt;"",I1441&gt;='Exec Summary'!$E$1,I1441&lt;='Exec Summary'!$E$2),1,0)</f>
        <v>0</v>
      </c>
      <c r="U1441" s="7" t="n">
        <f aca="false">IF(F1441="Reopened",1,0)</f>
        <v>0</v>
      </c>
      <c r="V1441" s="7" t="n">
        <f aca="false">IF(AND(R1441=1,O1441&gt;Q1441),1,0)</f>
        <v>1</v>
      </c>
      <c r="W1441" s="7" t="n">
        <f aca="false">IF(AND(T1441=1,P1441&lt;&gt;"",P1441&lt;=Q1441),1,0)</f>
        <v>0</v>
      </c>
    </row>
    <row r="1442" customFormat="false" ht="15" hidden="false" customHeight="false" outlineLevel="0" collapsed="false">
      <c r="A1442" s="7" t="s">
        <v>1759</v>
      </c>
      <c r="B1442" s="7" t="s">
        <v>135</v>
      </c>
      <c r="C1442" s="7" t="s">
        <v>306</v>
      </c>
      <c r="D1442" s="7" t="s">
        <v>91</v>
      </c>
      <c r="E1442" s="7" t="s">
        <v>92</v>
      </c>
      <c r="F1442" s="7" t="s">
        <v>56</v>
      </c>
      <c r="G1442" s="7" t="s">
        <v>20</v>
      </c>
      <c r="H1442" s="9" t="n">
        <v>46039</v>
      </c>
      <c r="I1442" s="9"/>
      <c r="J1442" s="7" t="n">
        <v>8.1</v>
      </c>
      <c r="K1442" s="7" t="s">
        <v>1733</v>
      </c>
      <c r="L1442" s="7" t="s">
        <v>21</v>
      </c>
      <c r="M1442" s="7" t="s">
        <v>1761</v>
      </c>
      <c r="N1442" s="7" t="s">
        <v>53</v>
      </c>
      <c r="O1442" s="10" t="n">
        <f aca="false">'Exec Summary'!$E$2-H1442</f>
        <v>195</v>
      </c>
      <c r="P1442" s="10" t="str">
        <f aca="false">IF(I1442="","",I1442-H1442)</f>
        <v/>
      </c>
      <c r="Q1442" s="10" t="n">
        <f aca="false">VLOOKUP(G1442,$AA$2:$AB$5,2,FALSE())</f>
        <v>30</v>
      </c>
      <c r="R1442" s="7" t="n">
        <f aca="false">IF(OR(F1442="Open",F1442="Reopened"),1,0)</f>
        <v>1</v>
      </c>
      <c r="S1442" s="7" t="n">
        <f aca="false">IF(AND(H1442&gt;='Exec Summary'!$E$1,H1442&lt;='Exec Summary'!$E$2),1,0)</f>
        <v>0</v>
      </c>
      <c r="T1442" s="7" t="n">
        <f aca="false">IF(AND(F1442="Closed",I1442&lt;&gt;"",I1442&gt;='Exec Summary'!$E$1,I1442&lt;='Exec Summary'!$E$2),1,0)</f>
        <v>0</v>
      </c>
      <c r="U1442" s="7" t="n">
        <f aca="false">IF(F1442="Reopened",1,0)</f>
        <v>0</v>
      </c>
      <c r="V1442" s="7" t="n">
        <f aca="false">IF(AND(R1442=1,O1442&gt;Q1442),1,0)</f>
        <v>1</v>
      </c>
      <c r="W1442" s="7" t="n">
        <f aca="false">IF(AND(T1442=1,P1442&lt;&gt;"",P1442&lt;=Q1442),1,0)</f>
        <v>0</v>
      </c>
    </row>
    <row r="1443" customFormat="false" ht="15" hidden="false" customHeight="false" outlineLevel="0" collapsed="false">
      <c r="A1443" s="7" t="s">
        <v>1759</v>
      </c>
      <c r="B1443" s="7" t="s">
        <v>135</v>
      </c>
      <c r="C1443" s="7" t="s">
        <v>306</v>
      </c>
      <c r="D1443" s="7" t="s">
        <v>81</v>
      </c>
      <c r="E1443" s="7" t="s">
        <v>82</v>
      </c>
      <c r="F1443" s="7" t="s">
        <v>56</v>
      </c>
      <c r="G1443" s="7" t="s">
        <v>20</v>
      </c>
      <c r="H1443" s="9" t="n">
        <v>46110</v>
      </c>
      <c r="I1443" s="9"/>
      <c r="J1443" s="7" t="n">
        <v>7.8</v>
      </c>
      <c r="K1443" s="7" t="s">
        <v>1733</v>
      </c>
      <c r="L1443" s="7" t="s">
        <v>21</v>
      </c>
      <c r="M1443" s="7" t="s">
        <v>1762</v>
      </c>
      <c r="N1443" s="7" t="s">
        <v>53</v>
      </c>
      <c r="O1443" s="10" t="n">
        <f aca="false">'Exec Summary'!$E$2-H1443</f>
        <v>124</v>
      </c>
      <c r="P1443" s="10" t="str">
        <f aca="false">IF(I1443="","",I1443-H1443)</f>
        <v/>
      </c>
      <c r="Q1443" s="10" t="n">
        <f aca="false">VLOOKUP(G1443,$AA$2:$AB$5,2,FALSE())</f>
        <v>30</v>
      </c>
      <c r="R1443" s="7" t="n">
        <f aca="false">IF(OR(F1443="Open",F1443="Reopened"),1,0)</f>
        <v>1</v>
      </c>
      <c r="S1443" s="7" t="n">
        <f aca="false">IF(AND(H1443&gt;='Exec Summary'!$E$1,H1443&lt;='Exec Summary'!$E$2),1,0)</f>
        <v>0</v>
      </c>
      <c r="T1443" s="7" t="n">
        <f aca="false">IF(AND(F1443="Closed",I1443&lt;&gt;"",I1443&gt;='Exec Summary'!$E$1,I1443&lt;='Exec Summary'!$E$2),1,0)</f>
        <v>0</v>
      </c>
      <c r="U1443" s="7" t="n">
        <f aca="false">IF(F1443="Reopened",1,0)</f>
        <v>0</v>
      </c>
      <c r="V1443" s="7" t="n">
        <f aca="false">IF(AND(R1443=1,O1443&gt;Q1443),1,0)</f>
        <v>1</v>
      </c>
      <c r="W1443" s="7" t="n">
        <f aca="false">IF(AND(T1443=1,P1443&lt;&gt;"",P1443&lt;=Q1443),1,0)</f>
        <v>0</v>
      </c>
    </row>
    <row r="1444" customFormat="false" ht="15" hidden="false" customHeight="false" outlineLevel="0" collapsed="false">
      <c r="A1444" s="7" t="s">
        <v>1759</v>
      </c>
      <c r="B1444" s="7" t="s">
        <v>135</v>
      </c>
      <c r="C1444" s="7" t="s">
        <v>306</v>
      </c>
      <c r="D1444" s="7" t="s">
        <v>87</v>
      </c>
      <c r="E1444" s="7" t="s">
        <v>88</v>
      </c>
      <c r="F1444" s="7" t="s">
        <v>56</v>
      </c>
      <c r="G1444" s="7" t="s">
        <v>19</v>
      </c>
      <c r="H1444" s="9" t="n">
        <v>46035</v>
      </c>
      <c r="I1444" s="9"/>
      <c r="J1444" s="7" t="n">
        <v>10</v>
      </c>
      <c r="K1444" s="7" t="s">
        <v>1733</v>
      </c>
      <c r="L1444" s="7" t="s">
        <v>21</v>
      </c>
      <c r="M1444" s="7" t="s">
        <v>1763</v>
      </c>
      <c r="N1444" s="7" t="s">
        <v>58</v>
      </c>
      <c r="O1444" s="10" t="n">
        <f aca="false">'Exec Summary'!$E$2-H1444</f>
        <v>199</v>
      </c>
      <c r="P1444" s="10" t="str">
        <f aca="false">IF(I1444="","",I1444-H1444)</f>
        <v/>
      </c>
      <c r="Q1444" s="10" t="n">
        <f aca="false">VLOOKUP(G1444,$AA$2:$AB$5,2,FALSE())</f>
        <v>15</v>
      </c>
      <c r="R1444" s="7" t="n">
        <f aca="false">IF(OR(F1444="Open",F1444="Reopened"),1,0)</f>
        <v>1</v>
      </c>
      <c r="S1444" s="7" t="n">
        <f aca="false">IF(AND(H1444&gt;='Exec Summary'!$E$1,H1444&lt;='Exec Summary'!$E$2),1,0)</f>
        <v>0</v>
      </c>
      <c r="T1444" s="7" t="n">
        <f aca="false">IF(AND(F1444="Closed",I1444&lt;&gt;"",I1444&gt;='Exec Summary'!$E$1,I1444&lt;='Exec Summary'!$E$2),1,0)</f>
        <v>0</v>
      </c>
      <c r="U1444" s="7" t="n">
        <f aca="false">IF(F1444="Reopened",1,0)</f>
        <v>0</v>
      </c>
      <c r="V1444" s="7" t="n">
        <f aca="false">IF(AND(R1444=1,O1444&gt;Q1444),1,0)</f>
        <v>1</v>
      </c>
      <c r="W1444" s="7" t="n">
        <f aca="false">IF(AND(T1444=1,P1444&lt;&gt;"",P1444&lt;=Q1444),1,0)</f>
        <v>0</v>
      </c>
    </row>
    <row r="1445" customFormat="false" ht="15" hidden="false" customHeight="false" outlineLevel="0" collapsed="false">
      <c r="A1445" s="7" t="s">
        <v>1759</v>
      </c>
      <c r="B1445" s="7" t="s">
        <v>135</v>
      </c>
      <c r="C1445" s="7" t="s">
        <v>306</v>
      </c>
      <c r="D1445" s="7" t="s">
        <v>206</v>
      </c>
      <c r="E1445" s="7" t="s">
        <v>207</v>
      </c>
      <c r="F1445" s="7" t="s">
        <v>50</v>
      </c>
      <c r="G1445" s="7" t="s">
        <v>20</v>
      </c>
      <c r="H1445" s="9" t="n">
        <v>45952</v>
      </c>
      <c r="I1445" s="9" t="n">
        <v>46009</v>
      </c>
      <c r="J1445" s="7" t="n">
        <v>8.8</v>
      </c>
      <c r="K1445" s="7" t="s">
        <v>1733</v>
      </c>
      <c r="L1445" s="7" t="s">
        <v>21</v>
      </c>
      <c r="M1445" s="7" t="s">
        <v>1764</v>
      </c>
      <c r="N1445" s="7" t="s">
        <v>53</v>
      </c>
      <c r="O1445" s="10" t="n">
        <f aca="false">'Exec Summary'!$E$2-H1445</f>
        <v>282</v>
      </c>
      <c r="P1445" s="10" t="n">
        <f aca="false">IF(I1445="","",I1445-H1445)</f>
        <v>57</v>
      </c>
      <c r="Q1445" s="10" t="n">
        <f aca="false">VLOOKUP(G1445,$AA$2:$AB$5,2,FALSE())</f>
        <v>30</v>
      </c>
      <c r="R1445" s="7" t="n">
        <f aca="false">IF(OR(F1445="Open",F1445="Reopened"),1,0)</f>
        <v>0</v>
      </c>
      <c r="S1445" s="7" t="n">
        <f aca="false">IF(AND(H1445&gt;='Exec Summary'!$E$1,H1445&lt;='Exec Summary'!$E$2),1,0)</f>
        <v>0</v>
      </c>
      <c r="T1445" s="7" t="n">
        <f aca="false">IF(AND(F1445="Closed",I1445&lt;&gt;"",I1445&gt;='Exec Summary'!$E$1,I1445&lt;='Exec Summary'!$E$2),1,0)</f>
        <v>0</v>
      </c>
      <c r="U1445" s="7" t="n">
        <f aca="false">IF(F1445="Reopened",1,0)</f>
        <v>0</v>
      </c>
      <c r="V1445" s="7" t="n">
        <f aca="false">IF(AND(R1445=1,O1445&gt;Q1445),1,0)</f>
        <v>0</v>
      </c>
      <c r="W1445" s="7" t="n">
        <f aca="false">IF(AND(T1445=1,P1445&lt;&gt;"",P1445&lt;=Q1445),1,0)</f>
        <v>0</v>
      </c>
    </row>
    <row r="1446" customFormat="false" ht="15" hidden="false" customHeight="false" outlineLevel="0" collapsed="false">
      <c r="A1446" s="7" t="s">
        <v>1759</v>
      </c>
      <c r="B1446" s="7" t="s">
        <v>135</v>
      </c>
      <c r="C1446" s="7" t="s">
        <v>306</v>
      </c>
      <c r="D1446" s="7" t="s">
        <v>120</v>
      </c>
      <c r="E1446" s="7" t="s">
        <v>121</v>
      </c>
      <c r="F1446" s="7" t="s">
        <v>56</v>
      </c>
      <c r="G1446" s="7" t="s">
        <v>19</v>
      </c>
      <c r="H1446" s="9" t="n">
        <v>46200</v>
      </c>
      <c r="I1446" s="9"/>
      <c r="J1446" s="7" t="n">
        <v>8.8</v>
      </c>
      <c r="K1446" s="7" t="s">
        <v>1733</v>
      </c>
      <c r="L1446" s="7" t="s">
        <v>21</v>
      </c>
      <c r="M1446" s="7" t="s">
        <v>1765</v>
      </c>
      <c r="N1446" s="7" t="s">
        <v>58</v>
      </c>
      <c r="O1446" s="10" t="n">
        <f aca="false">'Exec Summary'!$E$2-H1446</f>
        <v>34</v>
      </c>
      <c r="P1446" s="10" t="str">
        <f aca="false">IF(I1446="","",I1446-H1446)</f>
        <v/>
      </c>
      <c r="Q1446" s="10" t="n">
        <f aca="false">VLOOKUP(G1446,$AA$2:$AB$5,2,FALSE())</f>
        <v>15</v>
      </c>
      <c r="R1446" s="7" t="n">
        <f aca="false">IF(OR(F1446="Open",F1446="Reopened"),1,0)</f>
        <v>1</v>
      </c>
      <c r="S1446" s="7" t="n">
        <f aca="false">IF(AND(H1446&gt;='Exec Summary'!$E$1,H1446&lt;='Exec Summary'!$E$2),1,0)</f>
        <v>0</v>
      </c>
      <c r="T1446" s="7" t="n">
        <f aca="false">IF(AND(F1446="Closed",I1446&lt;&gt;"",I1446&gt;='Exec Summary'!$E$1,I1446&lt;='Exec Summary'!$E$2),1,0)</f>
        <v>0</v>
      </c>
      <c r="U1446" s="7" t="n">
        <f aca="false">IF(F1446="Reopened",1,0)</f>
        <v>0</v>
      </c>
      <c r="V1446" s="7" t="n">
        <f aca="false">IF(AND(R1446=1,O1446&gt;Q1446),1,0)</f>
        <v>1</v>
      </c>
      <c r="W1446" s="7" t="n">
        <f aca="false">IF(AND(T1446=1,P1446&lt;&gt;"",P1446&lt;=Q1446),1,0)</f>
        <v>0</v>
      </c>
    </row>
    <row r="1447" customFormat="false" ht="15" hidden="false" customHeight="false" outlineLevel="0" collapsed="false">
      <c r="A1447" s="7" t="s">
        <v>1759</v>
      </c>
      <c r="B1447" s="7" t="s">
        <v>135</v>
      </c>
      <c r="C1447" s="7" t="s">
        <v>306</v>
      </c>
      <c r="D1447" s="7" t="s">
        <v>163</v>
      </c>
      <c r="E1447" s="7" t="s">
        <v>164</v>
      </c>
      <c r="F1447" s="7" t="s">
        <v>50</v>
      </c>
      <c r="G1447" s="7" t="s">
        <v>19</v>
      </c>
      <c r="H1447" s="9" t="n">
        <v>46043</v>
      </c>
      <c r="I1447" s="9" t="n">
        <v>46046</v>
      </c>
      <c r="J1447" s="7" t="n">
        <v>9.1</v>
      </c>
      <c r="K1447" s="7" t="s">
        <v>1733</v>
      </c>
      <c r="L1447" s="7" t="s">
        <v>21</v>
      </c>
      <c r="M1447" s="7" t="s">
        <v>1766</v>
      </c>
      <c r="N1447" s="7" t="s">
        <v>58</v>
      </c>
      <c r="O1447" s="10" t="n">
        <f aca="false">'Exec Summary'!$E$2-H1447</f>
        <v>191</v>
      </c>
      <c r="P1447" s="10" t="n">
        <f aca="false">IF(I1447="","",I1447-H1447)</f>
        <v>3</v>
      </c>
      <c r="Q1447" s="10" t="n">
        <f aca="false">VLOOKUP(G1447,$AA$2:$AB$5,2,FALSE())</f>
        <v>15</v>
      </c>
      <c r="R1447" s="7" t="n">
        <f aca="false">IF(OR(F1447="Open",F1447="Reopened"),1,0)</f>
        <v>0</v>
      </c>
      <c r="S1447" s="7" t="n">
        <f aca="false">IF(AND(H1447&gt;='Exec Summary'!$E$1,H1447&lt;='Exec Summary'!$E$2),1,0)</f>
        <v>0</v>
      </c>
      <c r="T1447" s="7" t="n">
        <f aca="false">IF(AND(F1447="Closed",I1447&lt;&gt;"",I1447&gt;='Exec Summary'!$E$1,I1447&lt;='Exec Summary'!$E$2),1,0)</f>
        <v>0</v>
      </c>
      <c r="U1447" s="7" t="n">
        <f aca="false">IF(F1447="Reopened",1,0)</f>
        <v>0</v>
      </c>
      <c r="V1447" s="7" t="n">
        <f aca="false">IF(AND(R1447=1,O1447&gt;Q1447),1,0)</f>
        <v>0</v>
      </c>
      <c r="W1447" s="7" t="n">
        <f aca="false">IF(AND(T1447=1,P1447&lt;&gt;"",P1447&lt;=Q1447),1,0)</f>
        <v>0</v>
      </c>
    </row>
    <row r="1448" customFormat="false" ht="15" hidden="false" customHeight="false" outlineLevel="0" collapsed="false">
      <c r="A1448" s="7" t="s">
        <v>1759</v>
      </c>
      <c r="B1448" s="7" t="s">
        <v>135</v>
      </c>
      <c r="C1448" s="7" t="s">
        <v>306</v>
      </c>
      <c r="D1448" s="7" t="s">
        <v>166</v>
      </c>
      <c r="E1448" s="7" t="s">
        <v>167</v>
      </c>
      <c r="F1448" s="7" t="s">
        <v>50</v>
      </c>
      <c r="G1448" s="7" t="s">
        <v>19</v>
      </c>
      <c r="H1448" s="9" t="n">
        <v>45945</v>
      </c>
      <c r="I1448" s="9" t="n">
        <v>45953</v>
      </c>
      <c r="J1448" s="7" t="n">
        <v>9.8</v>
      </c>
      <c r="K1448" s="7" t="s">
        <v>1733</v>
      </c>
      <c r="L1448" s="7" t="s">
        <v>21</v>
      </c>
      <c r="M1448" s="7" t="s">
        <v>1767</v>
      </c>
      <c r="N1448" s="7" t="s">
        <v>58</v>
      </c>
      <c r="O1448" s="10" t="n">
        <f aca="false">'Exec Summary'!$E$2-H1448</f>
        <v>289</v>
      </c>
      <c r="P1448" s="10" t="n">
        <f aca="false">IF(I1448="","",I1448-H1448)</f>
        <v>8</v>
      </c>
      <c r="Q1448" s="10" t="n">
        <f aca="false">VLOOKUP(G1448,$AA$2:$AB$5,2,FALSE())</f>
        <v>15</v>
      </c>
      <c r="R1448" s="7" t="n">
        <f aca="false">IF(OR(F1448="Open",F1448="Reopened"),1,0)</f>
        <v>0</v>
      </c>
      <c r="S1448" s="7" t="n">
        <f aca="false">IF(AND(H1448&gt;='Exec Summary'!$E$1,H1448&lt;='Exec Summary'!$E$2),1,0)</f>
        <v>0</v>
      </c>
      <c r="T1448" s="7" t="n">
        <f aca="false">IF(AND(F1448="Closed",I1448&lt;&gt;"",I1448&gt;='Exec Summary'!$E$1,I1448&lt;='Exec Summary'!$E$2),1,0)</f>
        <v>0</v>
      </c>
      <c r="U1448" s="7" t="n">
        <f aca="false">IF(F1448="Reopened",1,0)</f>
        <v>0</v>
      </c>
      <c r="V1448" s="7" t="n">
        <f aca="false">IF(AND(R1448=1,O1448&gt;Q1448),1,0)</f>
        <v>0</v>
      </c>
      <c r="W1448" s="7" t="n">
        <f aca="false">IF(AND(T1448=1,P1448&lt;&gt;"",P1448&lt;=Q1448),1,0)</f>
        <v>0</v>
      </c>
    </row>
    <row r="1449" customFormat="false" ht="15" hidden="false" customHeight="false" outlineLevel="0" collapsed="false">
      <c r="A1449" s="7" t="s">
        <v>1759</v>
      </c>
      <c r="B1449" s="7" t="s">
        <v>135</v>
      </c>
      <c r="C1449" s="7" t="s">
        <v>306</v>
      </c>
      <c r="D1449" s="7" t="s">
        <v>101</v>
      </c>
      <c r="E1449" s="7" t="s">
        <v>102</v>
      </c>
      <c r="F1449" s="7" t="s">
        <v>56</v>
      </c>
      <c r="G1449" s="7" t="s">
        <v>19</v>
      </c>
      <c r="H1449" s="9" t="n">
        <v>46057</v>
      </c>
      <c r="I1449" s="9"/>
      <c r="J1449" s="7" t="n">
        <v>10</v>
      </c>
      <c r="K1449" s="7" t="s">
        <v>1733</v>
      </c>
      <c r="L1449" s="7" t="s">
        <v>21</v>
      </c>
      <c r="M1449" s="7" t="s">
        <v>1768</v>
      </c>
      <c r="N1449" s="7" t="s">
        <v>58</v>
      </c>
      <c r="O1449" s="10" t="n">
        <f aca="false">'Exec Summary'!$E$2-H1449</f>
        <v>177</v>
      </c>
      <c r="P1449" s="10" t="str">
        <f aca="false">IF(I1449="","",I1449-H1449)</f>
        <v/>
      </c>
      <c r="Q1449" s="10" t="n">
        <f aca="false">VLOOKUP(G1449,$AA$2:$AB$5,2,FALSE())</f>
        <v>15</v>
      </c>
      <c r="R1449" s="7" t="n">
        <f aca="false">IF(OR(F1449="Open",F1449="Reopened"),1,0)</f>
        <v>1</v>
      </c>
      <c r="S1449" s="7" t="n">
        <f aca="false">IF(AND(H1449&gt;='Exec Summary'!$E$1,H1449&lt;='Exec Summary'!$E$2),1,0)</f>
        <v>0</v>
      </c>
      <c r="T1449" s="7" t="n">
        <f aca="false">IF(AND(F1449="Closed",I1449&lt;&gt;"",I1449&gt;='Exec Summary'!$E$1,I1449&lt;='Exec Summary'!$E$2),1,0)</f>
        <v>0</v>
      </c>
      <c r="U1449" s="7" t="n">
        <f aca="false">IF(F1449="Reopened",1,0)</f>
        <v>0</v>
      </c>
      <c r="V1449" s="7" t="n">
        <f aca="false">IF(AND(R1449=1,O1449&gt;Q1449),1,0)</f>
        <v>1</v>
      </c>
      <c r="W1449" s="7" t="n">
        <f aca="false">IF(AND(T1449=1,P1449&lt;&gt;"",P1449&lt;=Q1449),1,0)</f>
        <v>0</v>
      </c>
    </row>
    <row r="1450" customFormat="false" ht="15" hidden="false" customHeight="false" outlineLevel="0" collapsed="false">
      <c r="A1450" s="7" t="s">
        <v>1759</v>
      </c>
      <c r="B1450" s="7" t="s">
        <v>135</v>
      </c>
      <c r="C1450" s="7" t="s">
        <v>306</v>
      </c>
      <c r="D1450" s="7" t="s">
        <v>95</v>
      </c>
      <c r="E1450" s="7" t="s">
        <v>96</v>
      </c>
      <c r="F1450" s="7" t="s">
        <v>56</v>
      </c>
      <c r="G1450" s="7" t="s">
        <v>20</v>
      </c>
      <c r="H1450" s="9" t="n">
        <v>46150</v>
      </c>
      <c r="I1450" s="9"/>
      <c r="J1450" s="7" t="n">
        <v>8.8</v>
      </c>
      <c r="K1450" s="7" t="s">
        <v>1733</v>
      </c>
      <c r="L1450" s="7" t="s">
        <v>21</v>
      </c>
      <c r="M1450" s="7" t="s">
        <v>1769</v>
      </c>
      <c r="N1450" s="7" t="s">
        <v>53</v>
      </c>
      <c r="O1450" s="10" t="n">
        <f aca="false">'Exec Summary'!$E$2-H1450</f>
        <v>84</v>
      </c>
      <c r="P1450" s="10" t="str">
        <f aca="false">IF(I1450="","",I1450-H1450)</f>
        <v/>
      </c>
      <c r="Q1450" s="10" t="n">
        <f aca="false">VLOOKUP(G1450,$AA$2:$AB$5,2,FALSE())</f>
        <v>30</v>
      </c>
      <c r="R1450" s="7" t="n">
        <f aca="false">IF(OR(F1450="Open",F1450="Reopened"),1,0)</f>
        <v>1</v>
      </c>
      <c r="S1450" s="7" t="n">
        <f aca="false">IF(AND(H1450&gt;='Exec Summary'!$E$1,H1450&lt;='Exec Summary'!$E$2),1,0)</f>
        <v>0</v>
      </c>
      <c r="T1450" s="7" t="n">
        <f aca="false">IF(AND(F1450="Closed",I1450&lt;&gt;"",I1450&gt;='Exec Summary'!$E$1,I1450&lt;='Exec Summary'!$E$2),1,0)</f>
        <v>0</v>
      </c>
      <c r="U1450" s="7" t="n">
        <f aca="false">IF(F1450="Reopened",1,0)</f>
        <v>0</v>
      </c>
      <c r="V1450" s="7" t="n">
        <f aca="false">IF(AND(R1450=1,O1450&gt;Q1450),1,0)</f>
        <v>1</v>
      </c>
      <c r="W1450" s="7" t="n">
        <f aca="false">IF(AND(T1450=1,P1450&lt;&gt;"",P1450&lt;=Q1450),1,0)</f>
        <v>0</v>
      </c>
    </row>
    <row r="1451" customFormat="false" ht="15" hidden="false" customHeight="false" outlineLevel="0" collapsed="false">
      <c r="A1451" s="7" t="s">
        <v>1759</v>
      </c>
      <c r="B1451" s="7" t="s">
        <v>135</v>
      </c>
      <c r="C1451" s="7" t="s">
        <v>306</v>
      </c>
      <c r="D1451" s="7" t="s">
        <v>108</v>
      </c>
      <c r="E1451" s="7" t="s">
        <v>109</v>
      </c>
      <c r="F1451" s="7" t="s">
        <v>56</v>
      </c>
      <c r="G1451" s="7" t="s">
        <v>20</v>
      </c>
      <c r="H1451" s="9" t="n">
        <v>45964</v>
      </c>
      <c r="I1451" s="9"/>
      <c r="J1451" s="7" t="n">
        <v>8.6</v>
      </c>
      <c r="K1451" s="7" t="s">
        <v>1733</v>
      </c>
      <c r="L1451" s="7" t="s">
        <v>21</v>
      </c>
      <c r="M1451" s="7" t="s">
        <v>1770</v>
      </c>
      <c r="N1451" s="7" t="s">
        <v>53</v>
      </c>
      <c r="O1451" s="10" t="n">
        <f aca="false">'Exec Summary'!$E$2-H1451</f>
        <v>270</v>
      </c>
      <c r="P1451" s="10" t="str">
        <f aca="false">IF(I1451="","",I1451-H1451)</f>
        <v/>
      </c>
      <c r="Q1451" s="10" t="n">
        <f aca="false">VLOOKUP(G1451,$AA$2:$AB$5,2,FALSE())</f>
        <v>30</v>
      </c>
      <c r="R1451" s="7" t="n">
        <f aca="false">IF(OR(F1451="Open",F1451="Reopened"),1,0)</f>
        <v>1</v>
      </c>
      <c r="S1451" s="7" t="n">
        <f aca="false">IF(AND(H1451&gt;='Exec Summary'!$E$1,H1451&lt;='Exec Summary'!$E$2),1,0)</f>
        <v>0</v>
      </c>
      <c r="T1451" s="7" t="n">
        <f aca="false">IF(AND(F1451="Closed",I1451&lt;&gt;"",I1451&gt;='Exec Summary'!$E$1,I1451&lt;='Exec Summary'!$E$2),1,0)</f>
        <v>0</v>
      </c>
      <c r="U1451" s="7" t="n">
        <f aca="false">IF(F1451="Reopened",1,0)</f>
        <v>0</v>
      </c>
      <c r="V1451" s="7" t="n">
        <f aca="false">IF(AND(R1451=1,O1451&gt;Q1451),1,0)</f>
        <v>1</v>
      </c>
      <c r="W1451" s="7" t="n">
        <f aca="false">IF(AND(T1451=1,P1451&lt;&gt;"",P1451&lt;=Q1451),1,0)</f>
        <v>0</v>
      </c>
    </row>
    <row r="1452" customFormat="false" ht="15" hidden="false" customHeight="false" outlineLevel="0" collapsed="false">
      <c r="A1452" s="7" t="s">
        <v>1771</v>
      </c>
      <c r="B1452" s="7" t="s">
        <v>46</v>
      </c>
      <c r="C1452" s="7" t="s">
        <v>47</v>
      </c>
      <c r="D1452" s="7" t="s">
        <v>71</v>
      </c>
      <c r="E1452" s="7" t="s">
        <v>72</v>
      </c>
      <c r="F1452" s="7" t="s">
        <v>56</v>
      </c>
      <c r="G1452" s="7" t="s">
        <v>19</v>
      </c>
      <c r="H1452" s="9" t="n">
        <v>46054</v>
      </c>
      <c r="I1452" s="9"/>
      <c r="J1452" s="7" t="n">
        <v>9.8</v>
      </c>
      <c r="K1452" s="7" t="s">
        <v>1733</v>
      </c>
      <c r="L1452" s="7" t="s">
        <v>20</v>
      </c>
      <c r="M1452" s="7" t="s">
        <v>1772</v>
      </c>
      <c r="N1452" s="7" t="s">
        <v>58</v>
      </c>
      <c r="O1452" s="10" t="n">
        <f aca="false">'Exec Summary'!$E$2-H1452</f>
        <v>180</v>
      </c>
      <c r="P1452" s="10" t="str">
        <f aca="false">IF(I1452="","",I1452-H1452)</f>
        <v/>
      </c>
      <c r="Q1452" s="10" t="n">
        <f aca="false">VLOOKUP(G1452,$AA$2:$AB$5,2,FALSE())</f>
        <v>15</v>
      </c>
      <c r="R1452" s="7" t="n">
        <f aca="false">IF(OR(F1452="Open",F1452="Reopened"),1,0)</f>
        <v>1</v>
      </c>
      <c r="S1452" s="7" t="n">
        <f aca="false">IF(AND(H1452&gt;='Exec Summary'!$E$1,H1452&lt;='Exec Summary'!$E$2),1,0)</f>
        <v>0</v>
      </c>
      <c r="T1452" s="7" t="n">
        <f aca="false">IF(AND(F1452="Closed",I1452&lt;&gt;"",I1452&gt;='Exec Summary'!$E$1,I1452&lt;='Exec Summary'!$E$2),1,0)</f>
        <v>0</v>
      </c>
      <c r="U1452" s="7" t="n">
        <f aca="false">IF(F1452="Reopened",1,0)</f>
        <v>0</v>
      </c>
      <c r="V1452" s="7" t="n">
        <f aca="false">IF(AND(R1452=1,O1452&gt;Q1452),1,0)</f>
        <v>1</v>
      </c>
      <c r="W1452" s="7" t="n">
        <f aca="false">IF(AND(T1452=1,P1452&lt;&gt;"",P1452&lt;=Q1452),1,0)</f>
        <v>0</v>
      </c>
    </row>
    <row r="1453" customFormat="false" ht="15" hidden="false" customHeight="false" outlineLevel="0" collapsed="false">
      <c r="A1453" s="7" t="s">
        <v>1771</v>
      </c>
      <c r="B1453" s="7" t="s">
        <v>46</v>
      </c>
      <c r="C1453" s="7" t="s">
        <v>47</v>
      </c>
      <c r="D1453" s="7" t="s">
        <v>206</v>
      </c>
      <c r="E1453" s="7" t="s">
        <v>207</v>
      </c>
      <c r="F1453" s="7" t="s">
        <v>50</v>
      </c>
      <c r="G1453" s="7" t="s">
        <v>20</v>
      </c>
      <c r="H1453" s="9" t="n">
        <v>46053</v>
      </c>
      <c r="I1453" s="9" t="n">
        <v>46070</v>
      </c>
      <c r="J1453" s="7" t="n">
        <v>8.8</v>
      </c>
      <c r="K1453" s="7" t="s">
        <v>1733</v>
      </c>
      <c r="L1453" s="7" t="s">
        <v>20</v>
      </c>
      <c r="M1453" s="7" t="s">
        <v>1773</v>
      </c>
      <c r="N1453" s="7" t="s">
        <v>53</v>
      </c>
      <c r="O1453" s="10" t="n">
        <f aca="false">'Exec Summary'!$E$2-H1453</f>
        <v>181</v>
      </c>
      <c r="P1453" s="10" t="n">
        <f aca="false">IF(I1453="","",I1453-H1453)</f>
        <v>17</v>
      </c>
      <c r="Q1453" s="10" t="n">
        <f aca="false">VLOOKUP(G1453,$AA$2:$AB$5,2,FALSE())</f>
        <v>30</v>
      </c>
      <c r="R1453" s="7" t="n">
        <f aca="false">IF(OR(F1453="Open",F1453="Reopened"),1,0)</f>
        <v>0</v>
      </c>
      <c r="S1453" s="7" t="n">
        <f aca="false">IF(AND(H1453&gt;='Exec Summary'!$E$1,H1453&lt;='Exec Summary'!$E$2),1,0)</f>
        <v>0</v>
      </c>
      <c r="T1453" s="7" t="n">
        <f aca="false">IF(AND(F1453="Closed",I1453&lt;&gt;"",I1453&gt;='Exec Summary'!$E$1,I1453&lt;='Exec Summary'!$E$2),1,0)</f>
        <v>0</v>
      </c>
      <c r="U1453" s="7" t="n">
        <f aca="false">IF(F1453="Reopened",1,0)</f>
        <v>0</v>
      </c>
      <c r="V1453" s="7" t="n">
        <f aca="false">IF(AND(R1453=1,O1453&gt;Q1453),1,0)</f>
        <v>0</v>
      </c>
      <c r="W1453" s="7" t="n">
        <f aca="false">IF(AND(T1453=1,P1453&lt;&gt;"",P1453&lt;=Q1453),1,0)</f>
        <v>0</v>
      </c>
    </row>
    <row r="1454" customFormat="false" ht="15" hidden="false" customHeight="false" outlineLevel="0" collapsed="false">
      <c r="A1454" s="7" t="s">
        <v>1771</v>
      </c>
      <c r="B1454" s="7" t="s">
        <v>46</v>
      </c>
      <c r="C1454" s="7" t="s">
        <v>47</v>
      </c>
      <c r="D1454" s="7" t="s">
        <v>101</v>
      </c>
      <c r="E1454" s="7" t="s">
        <v>102</v>
      </c>
      <c r="F1454" s="7" t="s">
        <v>50</v>
      </c>
      <c r="G1454" s="7" t="s">
        <v>19</v>
      </c>
      <c r="H1454" s="9" t="n">
        <v>46127</v>
      </c>
      <c r="I1454" s="9" t="n">
        <v>46149</v>
      </c>
      <c r="J1454" s="7" t="n">
        <v>10</v>
      </c>
      <c r="K1454" s="7" t="s">
        <v>1733</v>
      </c>
      <c r="L1454" s="7" t="s">
        <v>20</v>
      </c>
      <c r="M1454" s="7" t="s">
        <v>1774</v>
      </c>
      <c r="N1454" s="7" t="s">
        <v>58</v>
      </c>
      <c r="O1454" s="10" t="n">
        <f aca="false">'Exec Summary'!$E$2-H1454</f>
        <v>107</v>
      </c>
      <c r="P1454" s="10" t="n">
        <f aca="false">IF(I1454="","",I1454-H1454)</f>
        <v>22</v>
      </c>
      <c r="Q1454" s="10" t="n">
        <f aca="false">VLOOKUP(G1454,$AA$2:$AB$5,2,FALSE())</f>
        <v>15</v>
      </c>
      <c r="R1454" s="7" t="n">
        <f aca="false">IF(OR(F1454="Open",F1454="Reopened"),1,0)</f>
        <v>0</v>
      </c>
      <c r="S1454" s="7" t="n">
        <f aca="false">IF(AND(H1454&gt;='Exec Summary'!$E$1,H1454&lt;='Exec Summary'!$E$2),1,0)</f>
        <v>0</v>
      </c>
      <c r="T1454" s="7" t="n">
        <f aca="false">IF(AND(F1454="Closed",I1454&lt;&gt;"",I1454&gt;='Exec Summary'!$E$1,I1454&lt;='Exec Summary'!$E$2),1,0)</f>
        <v>0</v>
      </c>
      <c r="U1454" s="7" t="n">
        <f aca="false">IF(F1454="Reopened",1,0)</f>
        <v>0</v>
      </c>
      <c r="V1454" s="7" t="n">
        <f aca="false">IF(AND(R1454=1,O1454&gt;Q1454),1,0)</f>
        <v>0</v>
      </c>
      <c r="W1454" s="7" t="n">
        <f aca="false">IF(AND(T1454=1,P1454&lt;&gt;"",P1454&lt;=Q1454),1,0)</f>
        <v>0</v>
      </c>
    </row>
    <row r="1455" customFormat="false" ht="15" hidden="false" customHeight="false" outlineLevel="0" collapsed="false">
      <c r="A1455" s="7" t="s">
        <v>1771</v>
      </c>
      <c r="B1455" s="7" t="s">
        <v>46</v>
      </c>
      <c r="C1455" s="7" t="s">
        <v>47</v>
      </c>
      <c r="D1455" s="7" t="s">
        <v>112</v>
      </c>
      <c r="E1455" s="7" t="s">
        <v>113</v>
      </c>
      <c r="F1455" s="7" t="s">
        <v>56</v>
      </c>
      <c r="G1455" s="7" t="s">
        <v>20</v>
      </c>
      <c r="H1455" s="9" t="n">
        <v>46198</v>
      </c>
      <c r="I1455" s="9"/>
      <c r="J1455" s="7" t="n">
        <v>7.8</v>
      </c>
      <c r="K1455" s="7" t="s">
        <v>1733</v>
      </c>
      <c r="L1455" s="7" t="s">
        <v>20</v>
      </c>
      <c r="M1455" s="7" t="s">
        <v>1775</v>
      </c>
      <c r="N1455" s="7" t="s">
        <v>53</v>
      </c>
      <c r="O1455" s="10" t="n">
        <f aca="false">'Exec Summary'!$E$2-H1455</f>
        <v>36</v>
      </c>
      <c r="P1455" s="10" t="str">
        <f aca="false">IF(I1455="","",I1455-H1455)</f>
        <v/>
      </c>
      <c r="Q1455" s="10" t="n">
        <f aca="false">VLOOKUP(G1455,$AA$2:$AB$5,2,FALSE())</f>
        <v>30</v>
      </c>
      <c r="R1455" s="7" t="n">
        <f aca="false">IF(OR(F1455="Open",F1455="Reopened"),1,0)</f>
        <v>1</v>
      </c>
      <c r="S1455" s="7" t="n">
        <f aca="false">IF(AND(H1455&gt;='Exec Summary'!$E$1,H1455&lt;='Exec Summary'!$E$2),1,0)</f>
        <v>0</v>
      </c>
      <c r="T1455" s="7" t="n">
        <f aca="false">IF(AND(F1455="Closed",I1455&lt;&gt;"",I1455&gt;='Exec Summary'!$E$1,I1455&lt;='Exec Summary'!$E$2),1,0)</f>
        <v>0</v>
      </c>
      <c r="U1455" s="7" t="n">
        <f aca="false">IF(F1455="Reopened",1,0)</f>
        <v>0</v>
      </c>
      <c r="V1455" s="7" t="n">
        <f aca="false">IF(AND(R1455=1,O1455&gt;Q1455),1,0)</f>
        <v>1</v>
      </c>
      <c r="W1455" s="7" t="n">
        <f aca="false">IF(AND(T1455=1,P1455&lt;&gt;"",P1455&lt;=Q1455),1,0)</f>
        <v>0</v>
      </c>
    </row>
    <row r="1456" customFormat="false" ht="15" hidden="false" customHeight="false" outlineLevel="0" collapsed="false">
      <c r="A1456" s="7" t="s">
        <v>1771</v>
      </c>
      <c r="B1456" s="7" t="s">
        <v>46</v>
      </c>
      <c r="C1456" s="7" t="s">
        <v>47</v>
      </c>
      <c r="D1456" s="7" t="s">
        <v>163</v>
      </c>
      <c r="E1456" s="7" t="s">
        <v>164</v>
      </c>
      <c r="F1456" s="7" t="s">
        <v>123</v>
      </c>
      <c r="G1456" s="7" t="s">
        <v>19</v>
      </c>
      <c r="H1456" s="9" t="n">
        <v>46166</v>
      </c>
      <c r="I1456" s="9" t="n">
        <v>46174</v>
      </c>
      <c r="J1456" s="7" t="n">
        <v>9.1</v>
      </c>
      <c r="K1456" s="7" t="s">
        <v>1733</v>
      </c>
      <c r="L1456" s="7" t="s">
        <v>20</v>
      </c>
      <c r="M1456" s="7" t="s">
        <v>1776</v>
      </c>
      <c r="N1456" s="7" t="s">
        <v>58</v>
      </c>
      <c r="O1456" s="10" t="n">
        <f aca="false">'Exec Summary'!$E$2-H1456</f>
        <v>68</v>
      </c>
      <c r="P1456" s="10" t="n">
        <f aca="false">IF(I1456="","",I1456-H1456)</f>
        <v>8</v>
      </c>
      <c r="Q1456" s="10" t="n">
        <f aca="false">VLOOKUP(G1456,$AA$2:$AB$5,2,FALSE())</f>
        <v>15</v>
      </c>
      <c r="R1456" s="7" t="n">
        <f aca="false">IF(OR(F1456="Open",F1456="Reopened"),1,0)</f>
        <v>1</v>
      </c>
      <c r="S1456" s="7" t="n">
        <f aca="false">IF(AND(H1456&gt;='Exec Summary'!$E$1,H1456&lt;='Exec Summary'!$E$2),1,0)</f>
        <v>0</v>
      </c>
      <c r="T1456" s="7" t="n">
        <f aca="false">IF(AND(F1456="Closed",I1456&lt;&gt;"",I1456&gt;='Exec Summary'!$E$1,I1456&lt;='Exec Summary'!$E$2),1,0)</f>
        <v>0</v>
      </c>
      <c r="U1456" s="7" t="n">
        <f aca="false">IF(F1456="Reopened",1,0)</f>
        <v>1</v>
      </c>
      <c r="V1456" s="7" t="n">
        <f aca="false">IF(AND(R1456=1,O1456&gt;Q1456),1,0)</f>
        <v>1</v>
      </c>
      <c r="W1456" s="7" t="n">
        <f aca="false">IF(AND(T1456=1,P1456&lt;&gt;"",P1456&lt;=Q1456),1,0)</f>
        <v>0</v>
      </c>
    </row>
    <row r="1457" customFormat="false" ht="15" hidden="false" customHeight="false" outlineLevel="0" collapsed="false">
      <c r="A1457" s="7" t="s">
        <v>1777</v>
      </c>
      <c r="B1457" s="7" t="s">
        <v>46</v>
      </c>
      <c r="C1457" s="7" t="s">
        <v>128</v>
      </c>
      <c r="D1457" s="7" t="s">
        <v>108</v>
      </c>
      <c r="E1457" s="7" t="s">
        <v>109</v>
      </c>
      <c r="F1457" s="7" t="s">
        <v>56</v>
      </c>
      <c r="G1457" s="7" t="s">
        <v>20</v>
      </c>
      <c r="H1457" s="9" t="n">
        <v>46159</v>
      </c>
      <c r="I1457" s="9"/>
      <c r="J1457" s="7" t="n">
        <v>8.6</v>
      </c>
      <c r="K1457" s="7" t="s">
        <v>1733</v>
      </c>
      <c r="L1457" s="7" t="s">
        <v>20</v>
      </c>
      <c r="M1457" s="7" t="s">
        <v>1778</v>
      </c>
      <c r="N1457" s="7" t="s">
        <v>53</v>
      </c>
      <c r="O1457" s="10" t="n">
        <f aca="false">'Exec Summary'!$E$2-H1457</f>
        <v>75</v>
      </c>
      <c r="P1457" s="10" t="str">
        <f aca="false">IF(I1457="","",I1457-H1457)</f>
        <v/>
      </c>
      <c r="Q1457" s="10" t="n">
        <f aca="false">VLOOKUP(G1457,$AA$2:$AB$5,2,FALSE())</f>
        <v>30</v>
      </c>
      <c r="R1457" s="7" t="n">
        <f aca="false">IF(OR(F1457="Open",F1457="Reopened"),1,0)</f>
        <v>1</v>
      </c>
      <c r="S1457" s="7" t="n">
        <f aca="false">IF(AND(H1457&gt;='Exec Summary'!$E$1,H1457&lt;='Exec Summary'!$E$2),1,0)</f>
        <v>0</v>
      </c>
      <c r="T1457" s="7" t="n">
        <f aca="false">IF(AND(F1457="Closed",I1457&lt;&gt;"",I1457&gt;='Exec Summary'!$E$1,I1457&lt;='Exec Summary'!$E$2),1,0)</f>
        <v>0</v>
      </c>
      <c r="U1457" s="7" t="n">
        <f aca="false">IF(F1457="Reopened",1,0)</f>
        <v>0</v>
      </c>
      <c r="V1457" s="7" t="n">
        <f aca="false">IF(AND(R1457=1,O1457&gt;Q1457),1,0)</f>
        <v>1</v>
      </c>
      <c r="W1457" s="7" t="n">
        <f aca="false">IF(AND(T1457=1,P1457&lt;&gt;"",P1457&lt;=Q1457),1,0)</f>
        <v>0</v>
      </c>
    </row>
    <row r="1458" customFormat="false" ht="15" hidden="false" customHeight="false" outlineLevel="0" collapsed="false">
      <c r="A1458" s="7" t="s">
        <v>1777</v>
      </c>
      <c r="B1458" s="7" t="s">
        <v>46</v>
      </c>
      <c r="C1458" s="7" t="s">
        <v>128</v>
      </c>
      <c r="D1458" s="7" t="s">
        <v>145</v>
      </c>
      <c r="E1458" s="7" t="s">
        <v>146</v>
      </c>
      <c r="F1458" s="7" t="s">
        <v>56</v>
      </c>
      <c r="G1458" s="7" t="s">
        <v>19</v>
      </c>
      <c r="H1458" s="9" t="n">
        <v>46147</v>
      </c>
      <c r="I1458" s="9"/>
      <c r="J1458" s="7" t="n">
        <v>9.8</v>
      </c>
      <c r="K1458" s="7" t="s">
        <v>1733</v>
      </c>
      <c r="L1458" s="7" t="s">
        <v>20</v>
      </c>
      <c r="M1458" s="7" t="s">
        <v>1779</v>
      </c>
      <c r="N1458" s="7" t="s">
        <v>58</v>
      </c>
      <c r="O1458" s="10" t="n">
        <f aca="false">'Exec Summary'!$E$2-H1458</f>
        <v>87</v>
      </c>
      <c r="P1458" s="10" t="str">
        <f aca="false">IF(I1458="","",I1458-H1458)</f>
        <v/>
      </c>
      <c r="Q1458" s="10" t="n">
        <f aca="false">VLOOKUP(G1458,$AA$2:$AB$5,2,FALSE())</f>
        <v>15</v>
      </c>
      <c r="R1458" s="7" t="n">
        <f aca="false">IF(OR(F1458="Open",F1458="Reopened"),1,0)</f>
        <v>1</v>
      </c>
      <c r="S1458" s="7" t="n">
        <f aca="false">IF(AND(H1458&gt;='Exec Summary'!$E$1,H1458&lt;='Exec Summary'!$E$2),1,0)</f>
        <v>0</v>
      </c>
      <c r="T1458" s="7" t="n">
        <f aca="false">IF(AND(F1458="Closed",I1458&lt;&gt;"",I1458&gt;='Exec Summary'!$E$1,I1458&lt;='Exec Summary'!$E$2),1,0)</f>
        <v>0</v>
      </c>
      <c r="U1458" s="7" t="n">
        <f aca="false">IF(F1458="Reopened",1,0)</f>
        <v>0</v>
      </c>
      <c r="V1458" s="7" t="n">
        <f aca="false">IF(AND(R1458=1,O1458&gt;Q1458),1,0)</f>
        <v>1</v>
      </c>
      <c r="W1458" s="7" t="n">
        <f aca="false">IF(AND(T1458=1,P1458&lt;&gt;"",P1458&lt;=Q1458),1,0)</f>
        <v>0</v>
      </c>
    </row>
    <row r="1459" customFormat="false" ht="15" hidden="false" customHeight="false" outlineLevel="0" collapsed="false">
      <c r="A1459" s="7" t="s">
        <v>1777</v>
      </c>
      <c r="B1459" s="7" t="s">
        <v>46</v>
      </c>
      <c r="C1459" s="7" t="s">
        <v>128</v>
      </c>
      <c r="D1459" s="7" t="s">
        <v>71</v>
      </c>
      <c r="E1459" s="7" t="s">
        <v>72</v>
      </c>
      <c r="F1459" s="7" t="s">
        <v>50</v>
      </c>
      <c r="G1459" s="7" t="s">
        <v>19</v>
      </c>
      <c r="H1459" s="9" t="n">
        <v>46192</v>
      </c>
      <c r="I1459" s="9" t="n">
        <v>46193</v>
      </c>
      <c r="J1459" s="7" t="n">
        <v>9.8</v>
      </c>
      <c r="K1459" s="7" t="s">
        <v>1733</v>
      </c>
      <c r="L1459" s="7" t="s">
        <v>20</v>
      </c>
      <c r="M1459" s="7" t="s">
        <v>1780</v>
      </c>
      <c r="N1459" s="7" t="s">
        <v>58</v>
      </c>
      <c r="O1459" s="10" t="n">
        <f aca="false">'Exec Summary'!$E$2-H1459</f>
        <v>42</v>
      </c>
      <c r="P1459" s="10" t="n">
        <f aca="false">IF(I1459="","",I1459-H1459)</f>
        <v>1</v>
      </c>
      <c r="Q1459" s="10" t="n">
        <f aca="false">VLOOKUP(G1459,$AA$2:$AB$5,2,FALSE())</f>
        <v>15</v>
      </c>
      <c r="R1459" s="7" t="n">
        <f aca="false">IF(OR(F1459="Open",F1459="Reopened"),1,0)</f>
        <v>0</v>
      </c>
      <c r="S1459" s="7" t="n">
        <f aca="false">IF(AND(H1459&gt;='Exec Summary'!$E$1,H1459&lt;='Exec Summary'!$E$2),1,0)</f>
        <v>0</v>
      </c>
      <c r="T1459" s="7" t="n">
        <f aca="false">IF(AND(F1459="Closed",I1459&lt;&gt;"",I1459&gt;='Exec Summary'!$E$1,I1459&lt;='Exec Summary'!$E$2),1,0)</f>
        <v>0</v>
      </c>
      <c r="U1459" s="7" t="n">
        <f aca="false">IF(F1459="Reopened",1,0)</f>
        <v>0</v>
      </c>
      <c r="V1459" s="7" t="n">
        <f aca="false">IF(AND(R1459=1,O1459&gt;Q1459),1,0)</f>
        <v>0</v>
      </c>
      <c r="W1459" s="7" t="n">
        <f aca="false">IF(AND(T1459=1,P1459&lt;&gt;"",P1459&lt;=Q1459),1,0)</f>
        <v>0</v>
      </c>
    </row>
    <row r="1460" customFormat="false" ht="15" hidden="false" customHeight="false" outlineLevel="0" collapsed="false">
      <c r="A1460" s="7" t="s">
        <v>1777</v>
      </c>
      <c r="B1460" s="7" t="s">
        <v>46</v>
      </c>
      <c r="C1460" s="7" t="s">
        <v>128</v>
      </c>
      <c r="D1460" s="7" t="s">
        <v>91</v>
      </c>
      <c r="E1460" s="7" t="s">
        <v>92</v>
      </c>
      <c r="F1460" s="7" t="s">
        <v>56</v>
      </c>
      <c r="G1460" s="7" t="s">
        <v>20</v>
      </c>
      <c r="H1460" s="9" t="n">
        <v>46196</v>
      </c>
      <c r="I1460" s="9"/>
      <c r="J1460" s="7" t="n">
        <v>8.1</v>
      </c>
      <c r="K1460" s="7" t="s">
        <v>1733</v>
      </c>
      <c r="L1460" s="7" t="s">
        <v>20</v>
      </c>
      <c r="M1460" s="7" t="s">
        <v>1781</v>
      </c>
      <c r="N1460" s="7" t="s">
        <v>53</v>
      </c>
      <c r="O1460" s="10" t="n">
        <f aca="false">'Exec Summary'!$E$2-H1460</f>
        <v>38</v>
      </c>
      <c r="P1460" s="10" t="str">
        <f aca="false">IF(I1460="","",I1460-H1460)</f>
        <v/>
      </c>
      <c r="Q1460" s="10" t="n">
        <f aca="false">VLOOKUP(G1460,$AA$2:$AB$5,2,FALSE())</f>
        <v>30</v>
      </c>
      <c r="R1460" s="7" t="n">
        <f aca="false">IF(OR(F1460="Open",F1460="Reopened"),1,0)</f>
        <v>1</v>
      </c>
      <c r="S1460" s="7" t="n">
        <f aca="false">IF(AND(H1460&gt;='Exec Summary'!$E$1,H1460&lt;='Exec Summary'!$E$2),1,0)</f>
        <v>0</v>
      </c>
      <c r="T1460" s="7" t="n">
        <f aca="false">IF(AND(F1460="Closed",I1460&lt;&gt;"",I1460&gt;='Exec Summary'!$E$1,I1460&lt;='Exec Summary'!$E$2),1,0)</f>
        <v>0</v>
      </c>
      <c r="U1460" s="7" t="n">
        <f aca="false">IF(F1460="Reopened",1,0)</f>
        <v>0</v>
      </c>
      <c r="V1460" s="7" t="n">
        <f aca="false">IF(AND(R1460=1,O1460&gt;Q1460),1,0)</f>
        <v>1</v>
      </c>
      <c r="W1460" s="7" t="n">
        <f aca="false">IF(AND(T1460=1,P1460&lt;&gt;"",P1460&lt;=Q1460),1,0)</f>
        <v>0</v>
      </c>
    </row>
    <row r="1461" customFormat="false" ht="15" hidden="false" customHeight="false" outlineLevel="0" collapsed="false">
      <c r="A1461" s="7" t="s">
        <v>1777</v>
      </c>
      <c r="B1461" s="7" t="s">
        <v>46</v>
      </c>
      <c r="C1461" s="7" t="s">
        <v>128</v>
      </c>
      <c r="D1461" s="7" t="s">
        <v>74</v>
      </c>
      <c r="E1461" s="7" t="s">
        <v>75</v>
      </c>
      <c r="F1461" s="7" t="s">
        <v>50</v>
      </c>
      <c r="G1461" s="7" t="s">
        <v>21</v>
      </c>
      <c r="H1461" s="9" t="n">
        <v>46042</v>
      </c>
      <c r="I1461" s="9" t="n">
        <v>46132</v>
      </c>
      <c r="J1461" s="7" t="n">
        <v>6.5</v>
      </c>
      <c r="K1461" s="7" t="s">
        <v>1733</v>
      </c>
      <c r="L1461" s="7" t="s">
        <v>20</v>
      </c>
      <c r="M1461" s="7" t="s">
        <v>1782</v>
      </c>
      <c r="N1461" s="7" t="s">
        <v>77</v>
      </c>
      <c r="O1461" s="10" t="n">
        <f aca="false">'Exec Summary'!$E$2-H1461</f>
        <v>192</v>
      </c>
      <c r="P1461" s="10" t="n">
        <f aca="false">IF(I1461="","",I1461-H1461)</f>
        <v>90</v>
      </c>
      <c r="Q1461" s="10" t="n">
        <f aca="false">VLOOKUP(G1461,$AA$2:$AB$5,2,FALSE())</f>
        <v>90</v>
      </c>
      <c r="R1461" s="7" t="n">
        <f aca="false">IF(OR(F1461="Open",F1461="Reopened"),1,0)</f>
        <v>0</v>
      </c>
      <c r="S1461" s="7" t="n">
        <f aca="false">IF(AND(H1461&gt;='Exec Summary'!$E$1,H1461&lt;='Exec Summary'!$E$2),1,0)</f>
        <v>0</v>
      </c>
      <c r="T1461" s="7" t="n">
        <f aca="false">IF(AND(F1461="Closed",I1461&lt;&gt;"",I1461&gt;='Exec Summary'!$E$1,I1461&lt;='Exec Summary'!$E$2),1,0)</f>
        <v>0</v>
      </c>
      <c r="U1461" s="7" t="n">
        <f aca="false">IF(F1461="Reopened",1,0)</f>
        <v>0</v>
      </c>
      <c r="V1461" s="7" t="n">
        <f aca="false">IF(AND(R1461=1,O1461&gt;Q1461),1,0)</f>
        <v>0</v>
      </c>
      <c r="W1461" s="7" t="n">
        <f aca="false">IF(AND(T1461=1,P1461&lt;&gt;"",P1461&lt;=Q1461),1,0)</f>
        <v>0</v>
      </c>
    </row>
    <row r="1462" customFormat="false" ht="15" hidden="false" customHeight="false" outlineLevel="0" collapsed="false">
      <c r="A1462" s="7" t="s">
        <v>1777</v>
      </c>
      <c r="B1462" s="7" t="s">
        <v>46</v>
      </c>
      <c r="C1462" s="7" t="s">
        <v>128</v>
      </c>
      <c r="D1462" s="7" t="s">
        <v>152</v>
      </c>
      <c r="E1462" s="7" t="s">
        <v>153</v>
      </c>
      <c r="F1462" s="7" t="s">
        <v>50</v>
      </c>
      <c r="G1462" s="7" t="s">
        <v>20</v>
      </c>
      <c r="H1462" s="9" t="n">
        <v>46143</v>
      </c>
      <c r="I1462" s="9" t="n">
        <v>46167</v>
      </c>
      <c r="J1462" s="7" t="n">
        <v>7.5</v>
      </c>
      <c r="K1462" s="7" t="s">
        <v>1733</v>
      </c>
      <c r="L1462" s="7" t="s">
        <v>20</v>
      </c>
      <c r="M1462" s="7" t="s">
        <v>1783</v>
      </c>
      <c r="N1462" s="7" t="s">
        <v>53</v>
      </c>
      <c r="O1462" s="10" t="n">
        <f aca="false">'Exec Summary'!$E$2-H1462</f>
        <v>91</v>
      </c>
      <c r="P1462" s="10" t="n">
        <f aca="false">IF(I1462="","",I1462-H1462)</f>
        <v>24</v>
      </c>
      <c r="Q1462" s="10" t="n">
        <f aca="false">VLOOKUP(G1462,$AA$2:$AB$5,2,FALSE())</f>
        <v>30</v>
      </c>
      <c r="R1462" s="7" t="n">
        <f aca="false">IF(OR(F1462="Open",F1462="Reopened"),1,0)</f>
        <v>0</v>
      </c>
      <c r="S1462" s="7" t="n">
        <f aca="false">IF(AND(H1462&gt;='Exec Summary'!$E$1,H1462&lt;='Exec Summary'!$E$2),1,0)</f>
        <v>0</v>
      </c>
      <c r="T1462" s="7" t="n">
        <f aca="false">IF(AND(F1462="Closed",I1462&lt;&gt;"",I1462&gt;='Exec Summary'!$E$1,I1462&lt;='Exec Summary'!$E$2),1,0)</f>
        <v>0</v>
      </c>
      <c r="U1462" s="7" t="n">
        <f aca="false">IF(F1462="Reopened",1,0)</f>
        <v>0</v>
      </c>
      <c r="V1462" s="7" t="n">
        <f aca="false">IF(AND(R1462=1,O1462&gt;Q1462),1,0)</f>
        <v>0</v>
      </c>
      <c r="W1462" s="7" t="n">
        <f aca="false">IF(AND(T1462=1,P1462&lt;&gt;"",P1462&lt;=Q1462),1,0)</f>
        <v>0</v>
      </c>
    </row>
    <row r="1463" customFormat="false" ht="15" hidden="false" customHeight="false" outlineLevel="0" collapsed="false">
      <c r="A1463" s="7" t="s">
        <v>1777</v>
      </c>
      <c r="B1463" s="7" t="s">
        <v>46</v>
      </c>
      <c r="C1463" s="7" t="s">
        <v>128</v>
      </c>
      <c r="D1463" s="7" t="s">
        <v>210</v>
      </c>
      <c r="E1463" s="7" t="s">
        <v>211</v>
      </c>
      <c r="F1463" s="7" t="s">
        <v>50</v>
      </c>
      <c r="G1463" s="7" t="s">
        <v>19</v>
      </c>
      <c r="H1463" s="9" t="n">
        <v>45954</v>
      </c>
      <c r="I1463" s="9" t="n">
        <v>45969</v>
      </c>
      <c r="J1463" s="7" t="n">
        <v>9.8</v>
      </c>
      <c r="K1463" s="7" t="s">
        <v>1733</v>
      </c>
      <c r="L1463" s="7" t="s">
        <v>20</v>
      </c>
      <c r="M1463" s="7" t="s">
        <v>1784</v>
      </c>
      <c r="N1463" s="7" t="s">
        <v>58</v>
      </c>
      <c r="O1463" s="10" t="n">
        <f aca="false">'Exec Summary'!$E$2-H1463</f>
        <v>280</v>
      </c>
      <c r="P1463" s="10" t="n">
        <f aca="false">IF(I1463="","",I1463-H1463)</f>
        <v>15</v>
      </c>
      <c r="Q1463" s="10" t="n">
        <f aca="false">VLOOKUP(G1463,$AA$2:$AB$5,2,FALSE())</f>
        <v>15</v>
      </c>
      <c r="R1463" s="7" t="n">
        <f aca="false">IF(OR(F1463="Open",F1463="Reopened"),1,0)</f>
        <v>0</v>
      </c>
      <c r="S1463" s="7" t="n">
        <f aca="false">IF(AND(H1463&gt;='Exec Summary'!$E$1,H1463&lt;='Exec Summary'!$E$2),1,0)</f>
        <v>0</v>
      </c>
      <c r="T1463" s="7" t="n">
        <f aca="false">IF(AND(F1463="Closed",I1463&lt;&gt;"",I1463&gt;='Exec Summary'!$E$1,I1463&lt;='Exec Summary'!$E$2),1,0)</f>
        <v>0</v>
      </c>
      <c r="U1463" s="7" t="n">
        <f aca="false">IF(F1463="Reopened",1,0)</f>
        <v>0</v>
      </c>
      <c r="V1463" s="7" t="n">
        <f aca="false">IF(AND(R1463=1,O1463&gt;Q1463),1,0)</f>
        <v>0</v>
      </c>
      <c r="W1463" s="7" t="n">
        <f aca="false">IF(AND(T1463=1,P1463&lt;&gt;"",P1463&lt;=Q1463),1,0)</f>
        <v>0</v>
      </c>
    </row>
    <row r="1464" customFormat="false" ht="15" hidden="false" customHeight="false" outlineLevel="0" collapsed="false">
      <c r="A1464" s="7" t="s">
        <v>1777</v>
      </c>
      <c r="B1464" s="7" t="s">
        <v>46</v>
      </c>
      <c r="C1464" s="7" t="s">
        <v>128</v>
      </c>
      <c r="D1464" s="7" t="s">
        <v>95</v>
      </c>
      <c r="E1464" s="7" t="s">
        <v>96</v>
      </c>
      <c r="F1464" s="7" t="s">
        <v>50</v>
      </c>
      <c r="G1464" s="7" t="s">
        <v>20</v>
      </c>
      <c r="H1464" s="9" t="n">
        <v>46182</v>
      </c>
      <c r="I1464" s="9" t="n">
        <v>46212</v>
      </c>
      <c r="J1464" s="7" t="n">
        <v>8.8</v>
      </c>
      <c r="K1464" s="7" t="s">
        <v>1733</v>
      </c>
      <c r="L1464" s="7" t="s">
        <v>20</v>
      </c>
      <c r="M1464" s="7" t="s">
        <v>1785</v>
      </c>
      <c r="N1464" s="7" t="s">
        <v>53</v>
      </c>
      <c r="O1464" s="10" t="n">
        <f aca="false">'Exec Summary'!$E$2-H1464</f>
        <v>52</v>
      </c>
      <c r="P1464" s="10" t="n">
        <f aca="false">IF(I1464="","",I1464-H1464)</f>
        <v>30</v>
      </c>
      <c r="Q1464" s="10" t="n">
        <f aca="false">VLOOKUP(G1464,$AA$2:$AB$5,2,FALSE())</f>
        <v>30</v>
      </c>
      <c r="R1464" s="7" t="n">
        <f aca="false">IF(OR(F1464="Open",F1464="Reopened"),1,0)</f>
        <v>0</v>
      </c>
      <c r="S1464" s="7" t="n">
        <f aca="false">IF(AND(H1464&gt;='Exec Summary'!$E$1,H1464&lt;='Exec Summary'!$E$2),1,0)</f>
        <v>0</v>
      </c>
      <c r="T1464" s="7" t="n">
        <f aca="false">IF(AND(F1464="Closed",I1464&lt;&gt;"",I1464&gt;='Exec Summary'!$E$1,I1464&lt;='Exec Summary'!$E$2),1,0)</f>
        <v>1</v>
      </c>
      <c r="U1464" s="7" t="n">
        <f aca="false">IF(F1464="Reopened",1,0)</f>
        <v>0</v>
      </c>
      <c r="V1464" s="7" t="n">
        <f aca="false">IF(AND(R1464=1,O1464&gt;Q1464),1,0)</f>
        <v>0</v>
      </c>
      <c r="W1464" s="7" t="n">
        <f aca="false">IF(AND(T1464=1,P1464&lt;&gt;"",P1464&lt;=Q1464),1,0)</f>
        <v>1</v>
      </c>
    </row>
    <row r="1465" customFormat="false" ht="15" hidden="false" customHeight="false" outlineLevel="0" collapsed="false">
      <c r="A1465" s="7" t="s">
        <v>1777</v>
      </c>
      <c r="B1465" s="7" t="s">
        <v>46</v>
      </c>
      <c r="C1465" s="7" t="s">
        <v>128</v>
      </c>
      <c r="D1465" s="7" t="s">
        <v>81</v>
      </c>
      <c r="E1465" s="7" t="s">
        <v>82</v>
      </c>
      <c r="F1465" s="7" t="s">
        <v>56</v>
      </c>
      <c r="G1465" s="7" t="s">
        <v>20</v>
      </c>
      <c r="H1465" s="9" t="n">
        <v>45958</v>
      </c>
      <c r="I1465" s="9"/>
      <c r="J1465" s="7" t="n">
        <v>7.8</v>
      </c>
      <c r="K1465" s="7" t="s">
        <v>1733</v>
      </c>
      <c r="L1465" s="7" t="s">
        <v>20</v>
      </c>
      <c r="M1465" s="7" t="s">
        <v>1786</v>
      </c>
      <c r="N1465" s="7" t="s">
        <v>53</v>
      </c>
      <c r="O1465" s="10" t="n">
        <f aca="false">'Exec Summary'!$E$2-H1465</f>
        <v>276</v>
      </c>
      <c r="P1465" s="10" t="str">
        <f aca="false">IF(I1465="","",I1465-H1465)</f>
        <v/>
      </c>
      <c r="Q1465" s="10" t="n">
        <f aca="false">VLOOKUP(G1465,$AA$2:$AB$5,2,FALSE())</f>
        <v>30</v>
      </c>
      <c r="R1465" s="7" t="n">
        <f aca="false">IF(OR(F1465="Open",F1465="Reopened"),1,0)</f>
        <v>1</v>
      </c>
      <c r="S1465" s="7" t="n">
        <f aca="false">IF(AND(H1465&gt;='Exec Summary'!$E$1,H1465&lt;='Exec Summary'!$E$2),1,0)</f>
        <v>0</v>
      </c>
      <c r="T1465" s="7" t="n">
        <f aca="false">IF(AND(F1465="Closed",I1465&lt;&gt;"",I1465&gt;='Exec Summary'!$E$1,I1465&lt;='Exec Summary'!$E$2),1,0)</f>
        <v>0</v>
      </c>
      <c r="U1465" s="7" t="n">
        <f aca="false">IF(F1465="Reopened",1,0)</f>
        <v>0</v>
      </c>
      <c r="V1465" s="7" t="n">
        <f aca="false">IF(AND(R1465=1,O1465&gt;Q1465),1,0)</f>
        <v>1</v>
      </c>
      <c r="W1465" s="7" t="n">
        <f aca="false">IF(AND(T1465=1,P1465&lt;&gt;"",P1465&lt;=Q1465),1,0)</f>
        <v>0</v>
      </c>
    </row>
    <row r="1466" customFormat="false" ht="15" hidden="false" customHeight="false" outlineLevel="0" collapsed="false">
      <c r="A1466" s="7" t="s">
        <v>1777</v>
      </c>
      <c r="B1466" s="7" t="s">
        <v>46</v>
      </c>
      <c r="C1466" s="7" t="s">
        <v>128</v>
      </c>
      <c r="D1466" s="7" t="s">
        <v>139</v>
      </c>
      <c r="E1466" s="7" t="s">
        <v>140</v>
      </c>
      <c r="F1466" s="7" t="s">
        <v>50</v>
      </c>
      <c r="G1466" s="7" t="s">
        <v>19</v>
      </c>
      <c r="H1466" s="9" t="n">
        <v>46079</v>
      </c>
      <c r="I1466" s="9" t="n">
        <v>46093</v>
      </c>
      <c r="J1466" s="7" t="n">
        <v>9.8</v>
      </c>
      <c r="K1466" s="7" t="s">
        <v>1733</v>
      </c>
      <c r="L1466" s="7" t="s">
        <v>20</v>
      </c>
      <c r="M1466" s="7" t="s">
        <v>1787</v>
      </c>
      <c r="N1466" s="7" t="s">
        <v>58</v>
      </c>
      <c r="O1466" s="10" t="n">
        <f aca="false">'Exec Summary'!$E$2-H1466</f>
        <v>155</v>
      </c>
      <c r="P1466" s="10" t="n">
        <f aca="false">IF(I1466="","",I1466-H1466)</f>
        <v>14</v>
      </c>
      <c r="Q1466" s="10" t="n">
        <f aca="false">VLOOKUP(G1466,$AA$2:$AB$5,2,FALSE())</f>
        <v>15</v>
      </c>
      <c r="R1466" s="7" t="n">
        <f aca="false">IF(OR(F1466="Open",F1466="Reopened"),1,0)</f>
        <v>0</v>
      </c>
      <c r="S1466" s="7" t="n">
        <f aca="false">IF(AND(H1466&gt;='Exec Summary'!$E$1,H1466&lt;='Exec Summary'!$E$2),1,0)</f>
        <v>0</v>
      </c>
      <c r="T1466" s="7" t="n">
        <f aca="false">IF(AND(F1466="Closed",I1466&lt;&gt;"",I1466&gt;='Exec Summary'!$E$1,I1466&lt;='Exec Summary'!$E$2),1,0)</f>
        <v>0</v>
      </c>
      <c r="U1466" s="7" t="n">
        <f aca="false">IF(F1466="Reopened",1,0)</f>
        <v>0</v>
      </c>
      <c r="V1466" s="7" t="n">
        <f aca="false">IF(AND(R1466=1,O1466&gt;Q1466),1,0)</f>
        <v>0</v>
      </c>
      <c r="W1466" s="7" t="n">
        <f aca="false">IF(AND(T1466=1,P1466&lt;&gt;"",P1466&lt;=Q1466),1,0)</f>
        <v>0</v>
      </c>
    </row>
    <row r="1467" customFormat="false" ht="15" hidden="false" customHeight="false" outlineLevel="0" collapsed="false">
      <c r="A1467" s="7" t="s">
        <v>1777</v>
      </c>
      <c r="B1467" s="7" t="s">
        <v>46</v>
      </c>
      <c r="C1467" s="7" t="s">
        <v>128</v>
      </c>
      <c r="D1467" s="7" t="s">
        <v>62</v>
      </c>
      <c r="E1467" s="7" t="s">
        <v>63</v>
      </c>
      <c r="F1467" s="7" t="s">
        <v>56</v>
      </c>
      <c r="G1467" s="7" t="s">
        <v>20</v>
      </c>
      <c r="H1467" s="9" t="n">
        <v>45968</v>
      </c>
      <c r="I1467" s="9"/>
      <c r="J1467" s="7" t="n">
        <v>8.1</v>
      </c>
      <c r="K1467" s="7" t="s">
        <v>1733</v>
      </c>
      <c r="L1467" s="7" t="s">
        <v>20</v>
      </c>
      <c r="M1467" s="7" t="s">
        <v>1788</v>
      </c>
      <c r="N1467" s="7" t="s">
        <v>53</v>
      </c>
      <c r="O1467" s="10" t="n">
        <f aca="false">'Exec Summary'!$E$2-H1467</f>
        <v>266</v>
      </c>
      <c r="P1467" s="10" t="str">
        <f aca="false">IF(I1467="","",I1467-H1467)</f>
        <v/>
      </c>
      <c r="Q1467" s="10" t="n">
        <f aca="false">VLOOKUP(G1467,$AA$2:$AB$5,2,FALSE())</f>
        <v>30</v>
      </c>
      <c r="R1467" s="7" t="n">
        <f aca="false">IF(OR(F1467="Open",F1467="Reopened"),1,0)</f>
        <v>1</v>
      </c>
      <c r="S1467" s="7" t="n">
        <f aca="false">IF(AND(H1467&gt;='Exec Summary'!$E$1,H1467&lt;='Exec Summary'!$E$2),1,0)</f>
        <v>0</v>
      </c>
      <c r="T1467" s="7" t="n">
        <f aca="false">IF(AND(F1467="Closed",I1467&lt;&gt;"",I1467&gt;='Exec Summary'!$E$1,I1467&lt;='Exec Summary'!$E$2),1,0)</f>
        <v>0</v>
      </c>
      <c r="U1467" s="7" t="n">
        <f aca="false">IF(F1467="Reopened",1,0)</f>
        <v>0</v>
      </c>
      <c r="V1467" s="7" t="n">
        <f aca="false">IF(AND(R1467=1,O1467&gt;Q1467),1,0)</f>
        <v>1</v>
      </c>
      <c r="W1467" s="7" t="n">
        <f aca="false">IF(AND(T1467=1,P1467&lt;&gt;"",P1467&lt;=Q1467),1,0)</f>
        <v>0</v>
      </c>
    </row>
    <row r="1468" customFormat="false" ht="15" hidden="false" customHeight="false" outlineLevel="0" collapsed="false">
      <c r="A1468" s="7" t="s">
        <v>1789</v>
      </c>
      <c r="B1468" s="7" t="s">
        <v>46</v>
      </c>
      <c r="C1468" s="7" t="s">
        <v>47</v>
      </c>
      <c r="D1468" s="7" t="s">
        <v>139</v>
      </c>
      <c r="E1468" s="7" t="s">
        <v>140</v>
      </c>
      <c r="F1468" s="7" t="s">
        <v>56</v>
      </c>
      <c r="G1468" s="7" t="s">
        <v>19</v>
      </c>
      <c r="H1468" s="9" t="n">
        <v>46192</v>
      </c>
      <c r="I1468" s="9"/>
      <c r="J1468" s="7" t="n">
        <v>9.8</v>
      </c>
      <c r="K1468" s="7" t="s">
        <v>1733</v>
      </c>
      <c r="L1468" s="7" t="s">
        <v>20</v>
      </c>
      <c r="M1468" s="7" t="s">
        <v>1790</v>
      </c>
      <c r="N1468" s="7" t="s">
        <v>58</v>
      </c>
      <c r="O1468" s="10" t="n">
        <f aca="false">'Exec Summary'!$E$2-H1468</f>
        <v>42</v>
      </c>
      <c r="P1468" s="10" t="str">
        <f aca="false">IF(I1468="","",I1468-H1468)</f>
        <v/>
      </c>
      <c r="Q1468" s="10" t="n">
        <f aca="false">VLOOKUP(G1468,$AA$2:$AB$5,2,FALSE())</f>
        <v>15</v>
      </c>
      <c r="R1468" s="7" t="n">
        <f aca="false">IF(OR(F1468="Open",F1468="Reopened"),1,0)</f>
        <v>1</v>
      </c>
      <c r="S1468" s="7" t="n">
        <f aca="false">IF(AND(H1468&gt;='Exec Summary'!$E$1,H1468&lt;='Exec Summary'!$E$2),1,0)</f>
        <v>0</v>
      </c>
      <c r="T1468" s="7" t="n">
        <f aca="false">IF(AND(F1468="Closed",I1468&lt;&gt;"",I1468&gt;='Exec Summary'!$E$1,I1468&lt;='Exec Summary'!$E$2),1,0)</f>
        <v>0</v>
      </c>
      <c r="U1468" s="7" t="n">
        <f aca="false">IF(F1468="Reopened",1,0)</f>
        <v>0</v>
      </c>
      <c r="V1468" s="7" t="n">
        <f aca="false">IF(AND(R1468=1,O1468&gt;Q1468),1,0)</f>
        <v>1</v>
      </c>
      <c r="W1468" s="7" t="n">
        <f aca="false">IF(AND(T1468=1,P1468&lt;&gt;"",P1468&lt;=Q1468),1,0)</f>
        <v>0</v>
      </c>
    </row>
    <row r="1469" customFormat="false" ht="15" hidden="false" customHeight="false" outlineLevel="0" collapsed="false">
      <c r="A1469" s="7" t="s">
        <v>1789</v>
      </c>
      <c r="B1469" s="7" t="s">
        <v>46</v>
      </c>
      <c r="C1469" s="7" t="s">
        <v>47</v>
      </c>
      <c r="D1469" s="7" t="s">
        <v>59</v>
      </c>
      <c r="E1469" s="7" t="s">
        <v>60</v>
      </c>
      <c r="F1469" s="7" t="s">
        <v>50</v>
      </c>
      <c r="G1469" s="7" t="s">
        <v>19</v>
      </c>
      <c r="H1469" s="9" t="n">
        <v>46163</v>
      </c>
      <c r="I1469" s="9" t="n">
        <v>46167</v>
      </c>
      <c r="J1469" s="7" t="n">
        <v>7.8</v>
      </c>
      <c r="K1469" s="7" t="s">
        <v>1733</v>
      </c>
      <c r="L1469" s="7" t="s">
        <v>20</v>
      </c>
      <c r="M1469" s="7" t="s">
        <v>1791</v>
      </c>
      <c r="N1469" s="7" t="s">
        <v>58</v>
      </c>
      <c r="O1469" s="10" t="n">
        <f aca="false">'Exec Summary'!$E$2-H1469</f>
        <v>71</v>
      </c>
      <c r="P1469" s="10" t="n">
        <f aca="false">IF(I1469="","",I1469-H1469)</f>
        <v>4</v>
      </c>
      <c r="Q1469" s="10" t="n">
        <f aca="false">VLOOKUP(G1469,$AA$2:$AB$5,2,FALSE())</f>
        <v>15</v>
      </c>
      <c r="R1469" s="7" t="n">
        <f aca="false">IF(OR(F1469="Open",F1469="Reopened"),1,0)</f>
        <v>0</v>
      </c>
      <c r="S1469" s="7" t="n">
        <f aca="false">IF(AND(H1469&gt;='Exec Summary'!$E$1,H1469&lt;='Exec Summary'!$E$2),1,0)</f>
        <v>0</v>
      </c>
      <c r="T1469" s="7" t="n">
        <f aca="false">IF(AND(F1469="Closed",I1469&lt;&gt;"",I1469&gt;='Exec Summary'!$E$1,I1469&lt;='Exec Summary'!$E$2),1,0)</f>
        <v>0</v>
      </c>
      <c r="U1469" s="7" t="n">
        <f aca="false">IF(F1469="Reopened",1,0)</f>
        <v>0</v>
      </c>
      <c r="V1469" s="7" t="n">
        <f aca="false">IF(AND(R1469=1,O1469&gt;Q1469),1,0)</f>
        <v>0</v>
      </c>
      <c r="W1469" s="7" t="n">
        <f aca="false">IF(AND(T1469=1,P1469&lt;&gt;"",P1469&lt;=Q1469),1,0)</f>
        <v>0</v>
      </c>
    </row>
    <row r="1470" customFormat="false" ht="15" hidden="false" customHeight="false" outlineLevel="0" collapsed="false">
      <c r="A1470" s="7" t="s">
        <v>1789</v>
      </c>
      <c r="B1470" s="7" t="s">
        <v>46</v>
      </c>
      <c r="C1470" s="7" t="s">
        <v>47</v>
      </c>
      <c r="D1470" s="7" t="s">
        <v>206</v>
      </c>
      <c r="E1470" s="7" t="s">
        <v>207</v>
      </c>
      <c r="F1470" s="7" t="s">
        <v>123</v>
      </c>
      <c r="G1470" s="7" t="s">
        <v>20</v>
      </c>
      <c r="H1470" s="9" t="n">
        <v>46143</v>
      </c>
      <c r="I1470" s="9" t="n">
        <v>46175</v>
      </c>
      <c r="J1470" s="7" t="n">
        <v>8.8</v>
      </c>
      <c r="K1470" s="7" t="s">
        <v>1733</v>
      </c>
      <c r="L1470" s="7" t="s">
        <v>20</v>
      </c>
      <c r="M1470" s="7" t="s">
        <v>1792</v>
      </c>
      <c r="N1470" s="7" t="s">
        <v>53</v>
      </c>
      <c r="O1470" s="10" t="n">
        <f aca="false">'Exec Summary'!$E$2-H1470</f>
        <v>91</v>
      </c>
      <c r="P1470" s="10" t="n">
        <f aca="false">IF(I1470="","",I1470-H1470)</f>
        <v>32</v>
      </c>
      <c r="Q1470" s="10" t="n">
        <f aca="false">VLOOKUP(G1470,$AA$2:$AB$5,2,FALSE())</f>
        <v>30</v>
      </c>
      <c r="R1470" s="7" t="n">
        <f aca="false">IF(OR(F1470="Open",F1470="Reopened"),1,0)</f>
        <v>1</v>
      </c>
      <c r="S1470" s="7" t="n">
        <f aca="false">IF(AND(H1470&gt;='Exec Summary'!$E$1,H1470&lt;='Exec Summary'!$E$2),1,0)</f>
        <v>0</v>
      </c>
      <c r="T1470" s="7" t="n">
        <f aca="false">IF(AND(F1470="Closed",I1470&lt;&gt;"",I1470&gt;='Exec Summary'!$E$1,I1470&lt;='Exec Summary'!$E$2),1,0)</f>
        <v>0</v>
      </c>
      <c r="U1470" s="7" t="n">
        <f aca="false">IF(F1470="Reopened",1,0)</f>
        <v>1</v>
      </c>
      <c r="V1470" s="7" t="n">
        <f aca="false">IF(AND(R1470=1,O1470&gt;Q1470),1,0)</f>
        <v>1</v>
      </c>
      <c r="W1470" s="7" t="n">
        <f aca="false">IF(AND(T1470=1,P1470&lt;&gt;"",P1470&lt;=Q1470),1,0)</f>
        <v>0</v>
      </c>
    </row>
    <row r="1471" customFormat="false" ht="15" hidden="false" customHeight="false" outlineLevel="0" collapsed="false">
      <c r="A1471" s="7" t="s">
        <v>1789</v>
      </c>
      <c r="B1471" s="7" t="s">
        <v>46</v>
      </c>
      <c r="C1471" s="7" t="s">
        <v>47</v>
      </c>
      <c r="D1471" s="7" t="s">
        <v>210</v>
      </c>
      <c r="E1471" s="7" t="s">
        <v>211</v>
      </c>
      <c r="F1471" s="7" t="s">
        <v>56</v>
      </c>
      <c r="G1471" s="7" t="s">
        <v>19</v>
      </c>
      <c r="H1471" s="9" t="n">
        <v>46076</v>
      </c>
      <c r="I1471" s="9"/>
      <c r="J1471" s="7" t="n">
        <v>9.8</v>
      </c>
      <c r="K1471" s="7" t="s">
        <v>1733</v>
      </c>
      <c r="L1471" s="7" t="s">
        <v>20</v>
      </c>
      <c r="M1471" s="7" t="s">
        <v>1793</v>
      </c>
      <c r="N1471" s="7" t="s">
        <v>58</v>
      </c>
      <c r="O1471" s="10" t="n">
        <f aca="false">'Exec Summary'!$E$2-H1471</f>
        <v>158</v>
      </c>
      <c r="P1471" s="10" t="str">
        <f aca="false">IF(I1471="","",I1471-H1471)</f>
        <v/>
      </c>
      <c r="Q1471" s="10" t="n">
        <f aca="false">VLOOKUP(G1471,$AA$2:$AB$5,2,FALSE())</f>
        <v>15</v>
      </c>
      <c r="R1471" s="7" t="n">
        <f aca="false">IF(OR(F1471="Open",F1471="Reopened"),1,0)</f>
        <v>1</v>
      </c>
      <c r="S1471" s="7" t="n">
        <f aca="false">IF(AND(H1471&gt;='Exec Summary'!$E$1,H1471&lt;='Exec Summary'!$E$2),1,0)</f>
        <v>0</v>
      </c>
      <c r="T1471" s="7" t="n">
        <f aca="false">IF(AND(F1471="Closed",I1471&lt;&gt;"",I1471&gt;='Exec Summary'!$E$1,I1471&lt;='Exec Summary'!$E$2),1,0)</f>
        <v>0</v>
      </c>
      <c r="U1471" s="7" t="n">
        <f aca="false">IF(F1471="Reopened",1,0)</f>
        <v>0</v>
      </c>
      <c r="V1471" s="7" t="n">
        <f aca="false">IF(AND(R1471=1,O1471&gt;Q1471),1,0)</f>
        <v>1</v>
      </c>
      <c r="W1471" s="7" t="n">
        <f aca="false">IF(AND(T1471=1,P1471&lt;&gt;"",P1471&lt;=Q1471),1,0)</f>
        <v>0</v>
      </c>
    </row>
    <row r="1472" customFormat="false" ht="15" hidden="false" customHeight="false" outlineLevel="0" collapsed="false">
      <c r="A1472" s="7" t="s">
        <v>1789</v>
      </c>
      <c r="B1472" s="7" t="s">
        <v>46</v>
      </c>
      <c r="C1472" s="7" t="s">
        <v>47</v>
      </c>
      <c r="D1472" s="7" t="s">
        <v>65</v>
      </c>
      <c r="E1472" s="7" t="s">
        <v>66</v>
      </c>
      <c r="F1472" s="7" t="s">
        <v>50</v>
      </c>
      <c r="G1472" s="7" t="s">
        <v>19</v>
      </c>
      <c r="H1472" s="9" t="n">
        <v>45946</v>
      </c>
      <c r="I1472" s="9" t="n">
        <v>45953</v>
      </c>
      <c r="J1472" s="7" t="n">
        <v>9.8</v>
      </c>
      <c r="K1472" s="7" t="s">
        <v>1733</v>
      </c>
      <c r="L1472" s="7" t="s">
        <v>20</v>
      </c>
      <c r="M1472" s="7" t="s">
        <v>1794</v>
      </c>
      <c r="N1472" s="7" t="s">
        <v>58</v>
      </c>
      <c r="O1472" s="10" t="n">
        <f aca="false">'Exec Summary'!$E$2-H1472</f>
        <v>288</v>
      </c>
      <c r="P1472" s="10" t="n">
        <f aca="false">IF(I1472="","",I1472-H1472)</f>
        <v>7</v>
      </c>
      <c r="Q1472" s="10" t="n">
        <f aca="false">VLOOKUP(G1472,$AA$2:$AB$5,2,FALSE())</f>
        <v>15</v>
      </c>
      <c r="R1472" s="7" t="n">
        <f aca="false">IF(OR(F1472="Open",F1472="Reopened"),1,0)</f>
        <v>0</v>
      </c>
      <c r="S1472" s="7" t="n">
        <f aca="false">IF(AND(H1472&gt;='Exec Summary'!$E$1,H1472&lt;='Exec Summary'!$E$2),1,0)</f>
        <v>0</v>
      </c>
      <c r="T1472" s="7" t="n">
        <f aca="false">IF(AND(F1472="Closed",I1472&lt;&gt;"",I1472&gt;='Exec Summary'!$E$1,I1472&lt;='Exec Summary'!$E$2),1,0)</f>
        <v>0</v>
      </c>
      <c r="U1472" s="7" t="n">
        <f aca="false">IF(F1472="Reopened",1,0)</f>
        <v>0</v>
      </c>
      <c r="V1472" s="7" t="n">
        <f aca="false">IF(AND(R1472=1,O1472&gt;Q1472),1,0)</f>
        <v>0</v>
      </c>
      <c r="W1472" s="7" t="n">
        <f aca="false">IF(AND(T1472=1,P1472&lt;&gt;"",P1472&lt;=Q1472),1,0)</f>
        <v>0</v>
      </c>
    </row>
    <row r="1473" customFormat="false" ht="15" hidden="false" customHeight="false" outlineLevel="0" collapsed="false">
      <c r="A1473" s="7" t="s">
        <v>1789</v>
      </c>
      <c r="B1473" s="7" t="s">
        <v>46</v>
      </c>
      <c r="C1473" s="7" t="s">
        <v>47</v>
      </c>
      <c r="D1473" s="7" t="s">
        <v>68</v>
      </c>
      <c r="E1473" s="7" t="s">
        <v>69</v>
      </c>
      <c r="F1473" s="7" t="s">
        <v>56</v>
      </c>
      <c r="G1473" s="7" t="s">
        <v>19</v>
      </c>
      <c r="H1473" s="9" t="n">
        <v>46221</v>
      </c>
      <c r="I1473" s="9"/>
      <c r="J1473" s="7" t="n">
        <v>9.8</v>
      </c>
      <c r="K1473" s="7" t="s">
        <v>1733</v>
      </c>
      <c r="L1473" s="7" t="s">
        <v>20</v>
      </c>
      <c r="M1473" s="7" t="s">
        <v>1795</v>
      </c>
      <c r="N1473" s="7" t="s">
        <v>58</v>
      </c>
      <c r="O1473" s="10" t="n">
        <f aca="false">'Exec Summary'!$E$2-H1473</f>
        <v>13</v>
      </c>
      <c r="P1473" s="10" t="str">
        <f aca="false">IF(I1473="","",I1473-H1473)</f>
        <v/>
      </c>
      <c r="Q1473" s="10" t="n">
        <f aca="false">VLOOKUP(G1473,$AA$2:$AB$5,2,FALSE())</f>
        <v>15</v>
      </c>
      <c r="R1473" s="7" t="n">
        <f aca="false">IF(OR(F1473="Open",F1473="Reopened"),1,0)</f>
        <v>1</v>
      </c>
      <c r="S1473" s="7" t="n">
        <f aca="false">IF(AND(H1473&gt;='Exec Summary'!$E$1,H1473&lt;='Exec Summary'!$E$2),1,0)</f>
        <v>1</v>
      </c>
      <c r="T1473" s="7" t="n">
        <f aca="false">IF(AND(F1473="Closed",I1473&lt;&gt;"",I1473&gt;='Exec Summary'!$E$1,I1473&lt;='Exec Summary'!$E$2),1,0)</f>
        <v>0</v>
      </c>
      <c r="U1473" s="7" t="n">
        <f aca="false">IF(F1473="Reopened",1,0)</f>
        <v>0</v>
      </c>
      <c r="V1473" s="7" t="n">
        <f aca="false">IF(AND(R1473=1,O1473&gt;Q1473),1,0)</f>
        <v>0</v>
      </c>
      <c r="W1473" s="7" t="n">
        <f aca="false">IF(AND(T1473=1,P1473&lt;&gt;"",P1473&lt;=Q1473),1,0)</f>
        <v>0</v>
      </c>
    </row>
    <row r="1474" customFormat="false" ht="15" hidden="false" customHeight="false" outlineLevel="0" collapsed="false">
      <c r="A1474" s="7" t="s">
        <v>1789</v>
      </c>
      <c r="B1474" s="7" t="s">
        <v>46</v>
      </c>
      <c r="C1474" s="7" t="s">
        <v>47</v>
      </c>
      <c r="D1474" s="7" t="s">
        <v>152</v>
      </c>
      <c r="E1474" s="7" t="s">
        <v>153</v>
      </c>
      <c r="F1474" s="7" t="s">
        <v>56</v>
      </c>
      <c r="G1474" s="7" t="s">
        <v>20</v>
      </c>
      <c r="H1474" s="9" t="n">
        <v>46032</v>
      </c>
      <c r="I1474" s="9"/>
      <c r="J1474" s="7" t="n">
        <v>7.5</v>
      </c>
      <c r="K1474" s="7" t="s">
        <v>1733</v>
      </c>
      <c r="L1474" s="7" t="s">
        <v>20</v>
      </c>
      <c r="M1474" s="7" t="s">
        <v>1796</v>
      </c>
      <c r="N1474" s="7" t="s">
        <v>53</v>
      </c>
      <c r="O1474" s="10" t="n">
        <f aca="false">'Exec Summary'!$E$2-H1474</f>
        <v>202</v>
      </c>
      <c r="P1474" s="10" t="str">
        <f aca="false">IF(I1474="","",I1474-H1474)</f>
        <v/>
      </c>
      <c r="Q1474" s="10" t="n">
        <f aca="false">VLOOKUP(G1474,$AA$2:$AB$5,2,FALSE())</f>
        <v>30</v>
      </c>
      <c r="R1474" s="7" t="n">
        <f aca="false">IF(OR(F1474="Open",F1474="Reopened"),1,0)</f>
        <v>1</v>
      </c>
      <c r="S1474" s="7" t="n">
        <f aca="false">IF(AND(H1474&gt;='Exec Summary'!$E$1,H1474&lt;='Exec Summary'!$E$2),1,0)</f>
        <v>0</v>
      </c>
      <c r="T1474" s="7" t="n">
        <f aca="false">IF(AND(F1474="Closed",I1474&lt;&gt;"",I1474&gt;='Exec Summary'!$E$1,I1474&lt;='Exec Summary'!$E$2),1,0)</f>
        <v>0</v>
      </c>
      <c r="U1474" s="7" t="n">
        <f aca="false">IF(F1474="Reopened",1,0)</f>
        <v>0</v>
      </c>
      <c r="V1474" s="7" t="n">
        <f aca="false">IF(AND(R1474=1,O1474&gt;Q1474),1,0)</f>
        <v>1</v>
      </c>
      <c r="W1474" s="7" t="n">
        <f aca="false">IF(AND(T1474=1,P1474&lt;&gt;"",P1474&lt;=Q1474),1,0)</f>
        <v>0</v>
      </c>
    </row>
    <row r="1475" customFormat="false" ht="15" hidden="false" customHeight="false" outlineLevel="0" collapsed="false">
      <c r="A1475" s="7" t="s">
        <v>1797</v>
      </c>
      <c r="B1475" s="7" t="s">
        <v>135</v>
      </c>
      <c r="C1475" s="7" t="s">
        <v>247</v>
      </c>
      <c r="D1475" s="7" t="s">
        <v>74</v>
      </c>
      <c r="E1475" s="7" t="s">
        <v>75</v>
      </c>
      <c r="F1475" s="7" t="s">
        <v>56</v>
      </c>
      <c r="G1475" s="7" t="s">
        <v>21</v>
      </c>
      <c r="H1475" s="9" t="n">
        <v>46207</v>
      </c>
      <c r="I1475" s="9"/>
      <c r="J1475" s="7" t="n">
        <v>6.5</v>
      </c>
      <c r="K1475" s="7" t="s">
        <v>1733</v>
      </c>
      <c r="L1475" s="7" t="s">
        <v>20</v>
      </c>
      <c r="M1475" s="7" t="s">
        <v>1798</v>
      </c>
      <c r="N1475" s="7" t="s">
        <v>77</v>
      </c>
      <c r="O1475" s="10" t="n">
        <f aca="false">'Exec Summary'!$E$2-H1475</f>
        <v>27</v>
      </c>
      <c r="P1475" s="10" t="str">
        <f aca="false">IF(I1475="","",I1475-H1475)</f>
        <v/>
      </c>
      <c r="Q1475" s="10" t="n">
        <f aca="false">VLOOKUP(G1475,$AA$2:$AB$5,2,FALSE())</f>
        <v>90</v>
      </c>
      <c r="R1475" s="7" t="n">
        <f aca="false">IF(OR(F1475="Open",F1475="Reopened"),1,0)</f>
        <v>1</v>
      </c>
      <c r="S1475" s="7" t="n">
        <f aca="false">IF(AND(H1475&gt;='Exec Summary'!$E$1,H1475&lt;='Exec Summary'!$E$2),1,0)</f>
        <v>1</v>
      </c>
      <c r="T1475" s="7" t="n">
        <f aca="false">IF(AND(F1475="Closed",I1475&lt;&gt;"",I1475&gt;='Exec Summary'!$E$1,I1475&lt;='Exec Summary'!$E$2),1,0)</f>
        <v>0</v>
      </c>
      <c r="U1475" s="7" t="n">
        <f aca="false">IF(F1475="Reopened",1,0)</f>
        <v>0</v>
      </c>
      <c r="V1475" s="7" t="n">
        <f aca="false">IF(AND(R1475=1,O1475&gt;Q1475),1,0)</f>
        <v>0</v>
      </c>
      <c r="W1475" s="7" t="n">
        <f aca="false">IF(AND(T1475=1,P1475&lt;&gt;"",P1475&lt;=Q1475),1,0)</f>
        <v>0</v>
      </c>
    </row>
    <row r="1476" customFormat="false" ht="15" hidden="false" customHeight="false" outlineLevel="0" collapsed="false">
      <c r="A1476" s="7" t="s">
        <v>1797</v>
      </c>
      <c r="B1476" s="7" t="s">
        <v>135</v>
      </c>
      <c r="C1476" s="7" t="s">
        <v>247</v>
      </c>
      <c r="D1476" s="7" t="s">
        <v>91</v>
      </c>
      <c r="E1476" s="7" t="s">
        <v>92</v>
      </c>
      <c r="F1476" s="7" t="s">
        <v>50</v>
      </c>
      <c r="G1476" s="7" t="s">
        <v>20</v>
      </c>
      <c r="H1476" s="9" t="n">
        <v>45957</v>
      </c>
      <c r="I1476" s="9" t="n">
        <v>45990</v>
      </c>
      <c r="J1476" s="7" t="n">
        <v>8.1</v>
      </c>
      <c r="K1476" s="7" t="s">
        <v>1733</v>
      </c>
      <c r="L1476" s="7" t="s">
        <v>20</v>
      </c>
      <c r="M1476" s="7" t="s">
        <v>1799</v>
      </c>
      <c r="N1476" s="7" t="s">
        <v>53</v>
      </c>
      <c r="O1476" s="10" t="n">
        <f aca="false">'Exec Summary'!$E$2-H1476</f>
        <v>277</v>
      </c>
      <c r="P1476" s="10" t="n">
        <f aca="false">IF(I1476="","",I1476-H1476)</f>
        <v>33</v>
      </c>
      <c r="Q1476" s="10" t="n">
        <f aca="false">VLOOKUP(G1476,$AA$2:$AB$5,2,FALSE())</f>
        <v>30</v>
      </c>
      <c r="R1476" s="7" t="n">
        <f aca="false">IF(OR(F1476="Open",F1476="Reopened"),1,0)</f>
        <v>0</v>
      </c>
      <c r="S1476" s="7" t="n">
        <f aca="false">IF(AND(H1476&gt;='Exec Summary'!$E$1,H1476&lt;='Exec Summary'!$E$2),1,0)</f>
        <v>0</v>
      </c>
      <c r="T1476" s="7" t="n">
        <f aca="false">IF(AND(F1476="Closed",I1476&lt;&gt;"",I1476&gt;='Exec Summary'!$E$1,I1476&lt;='Exec Summary'!$E$2),1,0)</f>
        <v>0</v>
      </c>
      <c r="U1476" s="7" t="n">
        <f aca="false">IF(F1476="Reopened",1,0)</f>
        <v>0</v>
      </c>
      <c r="V1476" s="7" t="n">
        <f aca="false">IF(AND(R1476=1,O1476&gt;Q1476),1,0)</f>
        <v>0</v>
      </c>
      <c r="W1476" s="7" t="n">
        <f aca="false">IF(AND(T1476=1,P1476&lt;&gt;"",P1476&lt;=Q1476),1,0)</f>
        <v>0</v>
      </c>
    </row>
    <row r="1477" customFormat="false" ht="15" hidden="false" customHeight="false" outlineLevel="0" collapsed="false">
      <c r="A1477" s="7" t="s">
        <v>1797</v>
      </c>
      <c r="B1477" s="7" t="s">
        <v>135</v>
      </c>
      <c r="C1477" s="7" t="s">
        <v>247</v>
      </c>
      <c r="D1477" s="7" t="s">
        <v>48</v>
      </c>
      <c r="E1477" s="7" t="s">
        <v>49</v>
      </c>
      <c r="F1477" s="7" t="s">
        <v>50</v>
      </c>
      <c r="G1477" s="7" t="s">
        <v>20</v>
      </c>
      <c r="H1477" s="9" t="n">
        <v>46204</v>
      </c>
      <c r="I1477" s="9" t="n">
        <v>46221</v>
      </c>
      <c r="J1477" s="7" t="n">
        <v>7.5</v>
      </c>
      <c r="K1477" s="7" t="s">
        <v>1733</v>
      </c>
      <c r="L1477" s="7" t="s">
        <v>20</v>
      </c>
      <c r="M1477" s="7" t="s">
        <v>1800</v>
      </c>
      <c r="N1477" s="7" t="s">
        <v>53</v>
      </c>
      <c r="O1477" s="10" t="n">
        <f aca="false">'Exec Summary'!$E$2-H1477</f>
        <v>30</v>
      </c>
      <c r="P1477" s="10" t="n">
        <f aca="false">IF(I1477="","",I1477-H1477)</f>
        <v>17</v>
      </c>
      <c r="Q1477" s="10" t="n">
        <f aca="false">VLOOKUP(G1477,$AA$2:$AB$5,2,FALSE())</f>
        <v>30</v>
      </c>
      <c r="R1477" s="7" t="n">
        <f aca="false">IF(OR(F1477="Open",F1477="Reopened"),1,0)</f>
        <v>0</v>
      </c>
      <c r="S1477" s="7" t="n">
        <f aca="false">IF(AND(H1477&gt;='Exec Summary'!$E$1,H1477&lt;='Exec Summary'!$E$2),1,0)</f>
        <v>1</v>
      </c>
      <c r="T1477" s="7" t="n">
        <f aca="false">IF(AND(F1477="Closed",I1477&lt;&gt;"",I1477&gt;='Exec Summary'!$E$1,I1477&lt;='Exec Summary'!$E$2),1,0)</f>
        <v>1</v>
      </c>
      <c r="U1477" s="7" t="n">
        <f aca="false">IF(F1477="Reopened",1,0)</f>
        <v>0</v>
      </c>
      <c r="V1477" s="7" t="n">
        <f aca="false">IF(AND(R1477=1,O1477&gt;Q1477),1,0)</f>
        <v>0</v>
      </c>
      <c r="W1477" s="7" t="n">
        <f aca="false">IF(AND(T1477=1,P1477&lt;&gt;"",P1477&lt;=Q1477),1,0)</f>
        <v>1</v>
      </c>
    </row>
    <row r="1478" customFormat="false" ht="15" hidden="false" customHeight="false" outlineLevel="0" collapsed="false">
      <c r="A1478" s="7" t="s">
        <v>1797</v>
      </c>
      <c r="B1478" s="7" t="s">
        <v>135</v>
      </c>
      <c r="C1478" s="7" t="s">
        <v>247</v>
      </c>
      <c r="D1478" s="7" t="s">
        <v>101</v>
      </c>
      <c r="E1478" s="7" t="s">
        <v>102</v>
      </c>
      <c r="F1478" s="7" t="s">
        <v>50</v>
      </c>
      <c r="G1478" s="7" t="s">
        <v>19</v>
      </c>
      <c r="H1478" s="9" t="n">
        <v>45984</v>
      </c>
      <c r="I1478" s="9" t="n">
        <v>45994</v>
      </c>
      <c r="J1478" s="7" t="n">
        <v>10</v>
      </c>
      <c r="K1478" s="7" t="s">
        <v>1733</v>
      </c>
      <c r="L1478" s="7" t="s">
        <v>20</v>
      </c>
      <c r="M1478" s="7" t="s">
        <v>1801</v>
      </c>
      <c r="N1478" s="7" t="s">
        <v>58</v>
      </c>
      <c r="O1478" s="10" t="n">
        <f aca="false">'Exec Summary'!$E$2-H1478</f>
        <v>250</v>
      </c>
      <c r="P1478" s="10" t="n">
        <f aca="false">IF(I1478="","",I1478-H1478)</f>
        <v>10</v>
      </c>
      <c r="Q1478" s="10" t="n">
        <f aca="false">VLOOKUP(G1478,$AA$2:$AB$5,2,FALSE())</f>
        <v>15</v>
      </c>
      <c r="R1478" s="7" t="n">
        <f aca="false">IF(OR(F1478="Open",F1478="Reopened"),1,0)</f>
        <v>0</v>
      </c>
      <c r="S1478" s="7" t="n">
        <f aca="false">IF(AND(H1478&gt;='Exec Summary'!$E$1,H1478&lt;='Exec Summary'!$E$2),1,0)</f>
        <v>0</v>
      </c>
      <c r="T1478" s="7" t="n">
        <f aca="false">IF(AND(F1478="Closed",I1478&lt;&gt;"",I1478&gt;='Exec Summary'!$E$1,I1478&lt;='Exec Summary'!$E$2),1,0)</f>
        <v>0</v>
      </c>
      <c r="U1478" s="7" t="n">
        <f aca="false">IF(F1478="Reopened",1,0)</f>
        <v>0</v>
      </c>
      <c r="V1478" s="7" t="n">
        <f aca="false">IF(AND(R1478=1,O1478&gt;Q1478),1,0)</f>
        <v>0</v>
      </c>
      <c r="W1478" s="7" t="n">
        <f aca="false">IF(AND(T1478=1,P1478&lt;&gt;"",P1478&lt;=Q1478),1,0)</f>
        <v>0</v>
      </c>
    </row>
    <row r="1479" customFormat="false" ht="15" hidden="false" customHeight="false" outlineLevel="0" collapsed="false">
      <c r="A1479" s="7" t="s">
        <v>1797</v>
      </c>
      <c r="B1479" s="7" t="s">
        <v>135</v>
      </c>
      <c r="C1479" s="7" t="s">
        <v>247</v>
      </c>
      <c r="D1479" s="7" t="s">
        <v>95</v>
      </c>
      <c r="E1479" s="7" t="s">
        <v>96</v>
      </c>
      <c r="F1479" s="7" t="s">
        <v>56</v>
      </c>
      <c r="G1479" s="7" t="s">
        <v>20</v>
      </c>
      <c r="H1479" s="9" t="n">
        <v>46091</v>
      </c>
      <c r="I1479" s="9"/>
      <c r="J1479" s="7" t="n">
        <v>8.8</v>
      </c>
      <c r="K1479" s="7" t="s">
        <v>1733</v>
      </c>
      <c r="L1479" s="7" t="s">
        <v>20</v>
      </c>
      <c r="M1479" s="7" t="s">
        <v>1802</v>
      </c>
      <c r="N1479" s="7" t="s">
        <v>53</v>
      </c>
      <c r="O1479" s="10" t="n">
        <f aca="false">'Exec Summary'!$E$2-H1479</f>
        <v>143</v>
      </c>
      <c r="P1479" s="10" t="str">
        <f aca="false">IF(I1479="","",I1479-H1479)</f>
        <v/>
      </c>
      <c r="Q1479" s="10" t="n">
        <f aca="false">VLOOKUP(G1479,$AA$2:$AB$5,2,FALSE())</f>
        <v>30</v>
      </c>
      <c r="R1479" s="7" t="n">
        <f aca="false">IF(OR(F1479="Open",F1479="Reopened"),1,0)</f>
        <v>1</v>
      </c>
      <c r="S1479" s="7" t="n">
        <f aca="false">IF(AND(H1479&gt;='Exec Summary'!$E$1,H1479&lt;='Exec Summary'!$E$2),1,0)</f>
        <v>0</v>
      </c>
      <c r="T1479" s="7" t="n">
        <f aca="false">IF(AND(F1479="Closed",I1479&lt;&gt;"",I1479&gt;='Exec Summary'!$E$1,I1479&lt;='Exec Summary'!$E$2),1,0)</f>
        <v>0</v>
      </c>
      <c r="U1479" s="7" t="n">
        <f aca="false">IF(F1479="Reopened",1,0)</f>
        <v>0</v>
      </c>
      <c r="V1479" s="7" t="n">
        <f aca="false">IF(AND(R1479=1,O1479&gt;Q1479),1,0)</f>
        <v>1</v>
      </c>
      <c r="W1479" s="7" t="n">
        <f aca="false">IF(AND(T1479=1,P1479&lt;&gt;"",P1479&lt;=Q1479),1,0)</f>
        <v>0</v>
      </c>
    </row>
    <row r="1480" customFormat="false" ht="15" hidden="false" customHeight="false" outlineLevel="0" collapsed="false">
      <c r="A1480" s="7" t="s">
        <v>1797</v>
      </c>
      <c r="B1480" s="7" t="s">
        <v>135</v>
      </c>
      <c r="C1480" s="7" t="s">
        <v>247</v>
      </c>
      <c r="D1480" s="7" t="s">
        <v>98</v>
      </c>
      <c r="E1480" s="7" t="s">
        <v>99</v>
      </c>
      <c r="F1480" s="7" t="s">
        <v>56</v>
      </c>
      <c r="G1480" s="7" t="s">
        <v>19</v>
      </c>
      <c r="H1480" s="9" t="n">
        <v>45964</v>
      </c>
      <c r="I1480" s="9"/>
      <c r="J1480" s="7" t="n">
        <v>10</v>
      </c>
      <c r="K1480" s="7" t="s">
        <v>1733</v>
      </c>
      <c r="L1480" s="7" t="s">
        <v>20</v>
      </c>
      <c r="M1480" s="7" t="s">
        <v>1803</v>
      </c>
      <c r="N1480" s="7" t="s">
        <v>58</v>
      </c>
      <c r="O1480" s="10" t="n">
        <f aca="false">'Exec Summary'!$E$2-H1480</f>
        <v>270</v>
      </c>
      <c r="P1480" s="10" t="str">
        <f aca="false">IF(I1480="","",I1480-H1480)</f>
        <v/>
      </c>
      <c r="Q1480" s="10" t="n">
        <f aca="false">VLOOKUP(G1480,$AA$2:$AB$5,2,FALSE())</f>
        <v>15</v>
      </c>
      <c r="R1480" s="7" t="n">
        <f aca="false">IF(OR(F1480="Open",F1480="Reopened"),1,0)</f>
        <v>1</v>
      </c>
      <c r="S1480" s="7" t="n">
        <f aca="false">IF(AND(H1480&gt;='Exec Summary'!$E$1,H1480&lt;='Exec Summary'!$E$2),1,0)</f>
        <v>0</v>
      </c>
      <c r="T1480" s="7" t="n">
        <f aca="false">IF(AND(F1480="Closed",I1480&lt;&gt;"",I1480&gt;='Exec Summary'!$E$1,I1480&lt;='Exec Summary'!$E$2),1,0)</f>
        <v>0</v>
      </c>
      <c r="U1480" s="7" t="n">
        <f aca="false">IF(F1480="Reopened",1,0)</f>
        <v>0</v>
      </c>
      <c r="V1480" s="7" t="n">
        <f aca="false">IF(AND(R1480=1,O1480&gt;Q1480),1,0)</f>
        <v>1</v>
      </c>
      <c r="W1480" s="7" t="n">
        <f aca="false">IF(AND(T1480=1,P1480&lt;&gt;"",P1480&lt;=Q1480),1,0)</f>
        <v>0</v>
      </c>
    </row>
    <row r="1481" customFormat="false" ht="15" hidden="false" customHeight="false" outlineLevel="0" collapsed="false">
      <c r="A1481" s="7" t="s">
        <v>1797</v>
      </c>
      <c r="B1481" s="7" t="s">
        <v>135</v>
      </c>
      <c r="C1481" s="7" t="s">
        <v>247</v>
      </c>
      <c r="D1481" s="7" t="s">
        <v>54</v>
      </c>
      <c r="E1481" s="7" t="s">
        <v>55</v>
      </c>
      <c r="F1481" s="7" t="s">
        <v>123</v>
      </c>
      <c r="G1481" s="7" t="s">
        <v>19</v>
      </c>
      <c r="H1481" s="9" t="n">
        <v>46026</v>
      </c>
      <c r="I1481" s="9" t="n">
        <v>46041</v>
      </c>
      <c r="J1481" s="7" t="n">
        <v>9.8</v>
      </c>
      <c r="K1481" s="7" t="s">
        <v>1733</v>
      </c>
      <c r="L1481" s="7" t="s">
        <v>20</v>
      </c>
      <c r="M1481" s="7" t="s">
        <v>1804</v>
      </c>
      <c r="N1481" s="7" t="s">
        <v>58</v>
      </c>
      <c r="O1481" s="10" t="n">
        <f aca="false">'Exec Summary'!$E$2-H1481</f>
        <v>208</v>
      </c>
      <c r="P1481" s="10" t="n">
        <f aca="false">IF(I1481="","",I1481-H1481)</f>
        <v>15</v>
      </c>
      <c r="Q1481" s="10" t="n">
        <f aca="false">VLOOKUP(G1481,$AA$2:$AB$5,2,FALSE())</f>
        <v>15</v>
      </c>
      <c r="R1481" s="7" t="n">
        <f aca="false">IF(OR(F1481="Open",F1481="Reopened"),1,0)</f>
        <v>1</v>
      </c>
      <c r="S1481" s="7" t="n">
        <f aca="false">IF(AND(H1481&gt;='Exec Summary'!$E$1,H1481&lt;='Exec Summary'!$E$2),1,0)</f>
        <v>0</v>
      </c>
      <c r="T1481" s="7" t="n">
        <f aca="false">IF(AND(F1481="Closed",I1481&lt;&gt;"",I1481&gt;='Exec Summary'!$E$1,I1481&lt;='Exec Summary'!$E$2),1,0)</f>
        <v>0</v>
      </c>
      <c r="U1481" s="7" t="n">
        <f aca="false">IF(F1481="Reopened",1,0)</f>
        <v>1</v>
      </c>
      <c r="V1481" s="7" t="n">
        <f aca="false">IF(AND(R1481=1,O1481&gt;Q1481),1,0)</f>
        <v>1</v>
      </c>
      <c r="W1481" s="7" t="n">
        <f aca="false">IF(AND(T1481=1,P1481&lt;&gt;"",P1481&lt;=Q1481),1,0)</f>
        <v>0</v>
      </c>
    </row>
    <row r="1482" customFormat="false" ht="15" hidden="false" customHeight="false" outlineLevel="0" collapsed="false">
      <c r="A1482" s="7" t="s">
        <v>1797</v>
      </c>
      <c r="B1482" s="7" t="s">
        <v>135</v>
      </c>
      <c r="C1482" s="7" t="s">
        <v>247</v>
      </c>
      <c r="D1482" s="7" t="s">
        <v>173</v>
      </c>
      <c r="E1482" s="7" t="s">
        <v>174</v>
      </c>
      <c r="F1482" s="7" t="s">
        <v>50</v>
      </c>
      <c r="G1482" s="7" t="s">
        <v>19</v>
      </c>
      <c r="H1482" s="9" t="n">
        <v>45984</v>
      </c>
      <c r="I1482" s="9" t="n">
        <v>45990</v>
      </c>
      <c r="J1482" s="7" t="n">
        <v>9.8</v>
      </c>
      <c r="K1482" s="7" t="s">
        <v>1733</v>
      </c>
      <c r="L1482" s="7" t="s">
        <v>20</v>
      </c>
      <c r="M1482" s="7" t="s">
        <v>1805</v>
      </c>
      <c r="N1482" s="7" t="s">
        <v>58</v>
      </c>
      <c r="O1482" s="10" t="n">
        <f aca="false">'Exec Summary'!$E$2-H1482</f>
        <v>250</v>
      </c>
      <c r="P1482" s="10" t="n">
        <f aca="false">IF(I1482="","",I1482-H1482)</f>
        <v>6</v>
      </c>
      <c r="Q1482" s="10" t="n">
        <f aca="false">VLOOKUP(G1482,$AA$2:$AB$5,2,FALSE())</f>
        <v>15</v>
      </c>
      <c r="R1482" s="7" t="n">
        <f aca="false">IF(OR(F1482="Open",F1482="Reopened"),1,0)</f>
        <v>0</v>
      </c>
      <c r="S1482" s="7" t="n">
        <f aca="false">IF(AND(H1482&gt;='Exec Summary'!$E$1,H1482&lt;='Exec Summary'!$E$2),1,0)</f>
        <v>0</v>
      </c>
      <c r="T1482" s="7" t="n">
        <f aca="false">IF(AND(F1482="Closed",I1482&lt;&gt;"",I1482&gt;='Exec Summary'!$E$1,I1482&lt;='Exec Summary'!$E$2),1,0)</f>
        <v>0</v>
      </c>
      <c r="U1482" s="7" t="n">
        <f aca="false">IF(F1482="Reopened",1,0)</f>
        <v>0</v>
      </c>
      <c r="V1482" s="7" t="n">
        <f aca="false">IF(AND(R1482=1,O1482&gt;Q1482),1,0)</f>
        <v>0</v>
      </c>
      <c r="W1482" s="7" t="n">
        <f aca="false">IF(AND(T1482=1,P1482&lt;&gt;"",P1482&lt;=Q1482),1,0)</f>
        <v>0</v>
      </c>
    </row>
    <row r="1483" customFormat="false" ht="15" hidden="false" customHeight="false" outlineLevel="0" collapsed="false">
      <c r="A1483" s="7" t="s">
        <v>1797</v>
      </c>
      <c r="B1483" s="7" t="s">
        <v>135</v>
      </c>
      <c r="C1483" s="7" t="s">
        <v>247</v>
      </c>
      <c r="D1483" s="7" t="s">
        <v>71</v>
      </c>
      <c r="E1483" s="7" t="s">
        <v>72</v>
      </c>
      <c r="F1483" s="7" t="s">
        <v>50</v>
      </c>
      <c r="G1483" s="7" t="s">
        <v>19</v>
      </c>
      <c r="H1483" s="9" t="n">
        <v>45960</v>
      </c>
      <c r="I1483" s="9" t="n">
        <v>45974</v>
      </c>
      <c r="J1483" s="7" t="n">
        <v>9.8</v>
      </c>
      <c r="K1483" s="7" t="s">
        <v>1733</v>
      </c>
      <c r="L1483" s="7" t="s">
        <v>20</v>
      </c>
      <c r="M1483" s="7" t="s">
        <v>1806</v>
      </c>
      <c r="N1483" s="7" t="s">
        <v>58</v>
      </c>
      <c r="O1483" s="10" t="n">
        <f aca="false">'Exec Summary'!$E$2-H1483</f>
        <v>274</v>
      </c>
      <c r="P1483" s="10" t="n">
        <f aca="false">IF(I1483="","",I1483-H1483)</f>
        <v>14</v>
      </c>
      <c r="Q1483" s="10" t="n">
        <f aca="false">VLOOKUP(G1483,$AA$2:$AB$5,2,FALSE())</f>
        <v>15</v>
      </c>
      <c r="R1483" s="7" t="n">
        <f aca="false">IF(OR(F1483="Open",F1483="Reopened"),1,0)</f>
        <v>0</v>
      </c>
      <c r="S1483" s="7" t="n">
        <f aca="false">IF(AND(H1483&gt;='Exec Summary'!$E$1,H1483&lt;='Exec Summary'!$E$2),1,0)</f>
        <v>0</v>
      </c>
      <c r="T1483" s="7" t="n">
        <f aca="false">IF(AND(F1483="Closed",I1483&lt;&gt;"",I1483&gt;='Exec Summary'!$E$1,I1483&lt;='Exec Summary'!$E$2),1,0)</f>
        <v>0</v>
      </c>
      <c r="U1483" s="7" t="n">
        <f aca="false">IF(F1483="Reopened",1,0)</f>
        <v>0</v>
      </c>
      <c r="V1483" s="7" t="n">
        <f aca="false">IF(AND(R1483=1,O1483&gt;Q1483),1,0)</f>
        <v>0</v>
      </c>
      <c r="W1483" s="7" t="n">
        <f aca="false">IF(AND(T1483=1,P1483&lt;&gt;"",P1483&lt;=Q1483),1,0)</f>
        <v>0</v>
      </c>
    </row>
    <row r="1484" customFormat="false" ht="15" hidden="false" customHeight="false" outlineLevel="0" collapsed="false">
      <c r="A1484" s="7" t="s">
        <v>1797</v>
      </c>
      <c r="B1484" s="7" t="s">
        <v>135</v>
      </c>
      <c r="C1484" s="7" t="s">
        <v>247</v>
      </c>
      <c r="D1484" s="7" t="s">
        <v>112</v>
      </c>
      <c r="E1484" s="7" t="s">
        <v>113</v>
      </c>
      <c r="F1484" s="7" t="s">
        <v>50</v>
      </c>
      <c r="G1484" s="7" t="s">
        <v>20</v>
      </c>
      <c r="H1484" s="9" t="n">
        <v>46186</v>
      </c>
      <c r="I1484" s="9" t="n">
        <v>46187</v>
      </c>
      <c r="J1484" s="7" t="n">
        <v>7.8</v>
      </c>
      <c r="K1484" s="7" t="s">
        <v>1733</v>
      </c>
      <c r="L1484" s="7" t="s">
        <v>20</v>
      </c>
      <c r="M1484" s="7" t="s">
        <v>1807</v>
      </c>
      <c r="N1484" s="7" t="s">
        <v>53</v>
      </c>
      <c r="O1484" s="10" t="n">
        <f aca="false">'Exec Summary'!$E$2-H1484</f>
        <v>48</v>
      </c>
      <c r="P1484" s="10" t="n">
        <f aca="false">IF(I1484="","",I1484-H1484)</f>
        <v>1</v>
      </c>
      <c r="Q1484" s="10" t="n">
        <f aca="false">VLOOKUP(G1484,$AA$2:$AB$5,2,FALSE())</f>
        <v>30</v>
      </c>
      <c r="R1484" s="7" t="n">
        <f aca="false">IF(OR(F1484="Open",F1484="Reopened"),1,0)</f>
        <v>0</v>
      </c>
      <c r="S1484" s="7" t="n">
        <f aca="false">IF(AND(H1484&gt;='Exec Summary'!$E$1,H1484&lt;='Exec Summary'!$E$2),1,0)</f>
        <v>0</v>
      </c>
      <c r="T1484" s="7" t="n">
        <f aca="false">IF(AND(F1484="Closed",I1484&lt;&gt;"",I1484&gt;='Exec Summary'!$E$1,I1484&lt;='Exec Summary'!$E$2),1,0)</f>
        <v>0</v>
      </c>
      <c r="U1484" s="7" t="n">
        <f aca="false">IF(F1484="Reopened",1,0)</f>
        <v>0</v>
      </c>
      <c r="V1484" s="7" t="n">
        <f aca="false">IF(AND(R1484=1,O1484&gt;Q1484),1,0)</f>
        <v>0</v>
      </c>
      <c r="W1484" s="7" t="n">
        <f aca="false">IF(AND(T1484=1,P1484&lt;&gt;"",P1484&lt;=Q1484),1,0)</f>
        <v>0</v>
      </c>
    </row>
    <row r="1485" customFormat="false" ht="15" hidden="false" customHeight="false" outlineLevel="0" collapsed="false">
      <c r="A1485" s="7" t="s">
        <v>1797</v>
      </c>
      <c r="B1485" s="7" t="s">
        <v>135</v>
      </c>
      <c r="C1485" s="7" t="s">
        <v>247</v>
      </c>
      <c r="D1485" s="7" t="s">
        <v>84</v>
      </c>
      <c r="E1485" s="7" t="s">
        <v>85</v>
      </c>
      <c r="F1485" s="7" t="s">
        <v>123</v>
      </c>
      <c r="G1485" s="7" t="s">
        <v>20</v>
      </c>
      <c r="H1485" s="9" t="n">
        <v>46171</v>
      </c>
      <c r="I1485" s="9" t="n">
        <v>46192</v>
      </c>
      <c r="J1485" s="7" t="n">
        <v>7.5</v>
      </c>
      <c r="K1485" s="7" t="s">
        <v>1733</v>
      </c>
      <c r="L1485" s="7" t="s">
        <v>20</v>
      </c>
      <c r="M1485" s="7" t="s">
        <v>1808</v>
      </c>
      <c r="N1485" s="7" t="s">
        <v>53</v>
      </c>
      <c r="O1485" s="10" t="n">
        <f aca="false">'Exec Summary'!$E$2-H1485</f>
        <v>63</v>
      </c>
      <c r="P1485" s="10" t="n">
        <f aca="false">IF(I1485="","",I1485-H1485)</f>
        <v>21</v>
      </c>
      <c r="Q1485" s="10" t="n">
        <f aca="false">VLOOKUP(G1485,$AA$2:$AB$5,2,FALSE())</f>
        <v>30</v>
      </c>
      <c r="R1485" s="7" t="n">
        <f aca="false">IF(OR(F1485="Open",F1485="Reopened"),1,0)</f>
        <v>1</v>
      </c>
      <c r="S1485" s="7" t="n">
        <f aca="false">IF(AND(H1485&gt;='Exec Summary'!$E$1,H1485&lt;='Exec Summary'!$E$2),1,0)</f>
        <v>0</v>
      </c>
      <c r="T1485" s="7" t="n">
        <f aca="false">IF(AND(F1485="Closed",I1485&lt;&gt;"",I1485&gt;='Exec Summary'!$E$1,I1485&lt;='Exec Summary'!$E$2),1,0)</f>
        <v>0</v>
      </c>
      <c r="U1485" s="7" t="n">
        <f aca="false">IF(F1485="Reopened",1,0)</f>
        <v>1</v>
      </c>
      <c r="V1485" s="7" t="n">
        <f aca="false">IF(AND(R1485=1,O1485&gt;Q1485),1,0)</f>
        <v>1</v>
      </c>
      <c r="W1485" s="7" t="n">
        <f aca="false">IF(AND(T1485=1,P1485&lt;&gt;"",P1485&lt;=Q1485),1,0)</f>
        <v>0</v>
      </c>
    </row>
    <row r="1486" customFormat="false" ht="15" hidden="false" customHeight="false" outlineLevel="0" collapsed="false">
      <c r="A1486" s="7" t="s">
        <v>1809</v>
      </c>
      <c r="B1486" s="7" t="s">
        <v>46</v>
      </c>
      <c r="C1486" s="7" t="s">
        <v>128</v>
      </c>
      <c r="D1486" s="7" t="s">
        <v>91</v>
      </c>
      <c r="E1486" s="7" t="s">
        <v>92</v>
      </c>
      <c r="F1486" s="7" t="s">
        <v>50</v>
      </c>
      <c r="G1486" s="7" t="s">
        <v>20</v>
      </c>
      <c r="H1486" s="9" t="n">
        <v>46125</v>
      </c>
      <c r="I1486" s="9" t="n">
        <v>46152</v>
      </c>
      <c r="J1486" s="7" t="n">
        <v>8.1</v>
      </c>
      <c r="K1486" s="7" t="s">
        <v>1733</v>
      </c>
      <c r="L1486" s="7" t="s">
        <v>19</v>
      </c>
      <c r="M1486" s="7" t="s">
        <v>1810</v>
      </c>
      <c r="N1486" s="7" t="s">
        <v>53</v>
      </c>
      <c r="O1486" s="10" t="n">
        <f aca="false">'Exec Summary'!$E$2-H1486</f>
        <v>109</v>
      </c>
      <c r="P1486" s="10" t="n">
        <f aca="false">IF(I1486="","",I1486-H1486)</f>
        <v>27</v>
      </c>
      <c r="Q1486" s="10" t="n">
        <f aca="false">VLOOKUP(G1486,$AA$2:$AB$5,2,FALSE())</f>
        <v>30</v>
      </c>
      <c r="R1486" s="7" t="n">
        <f aca="false">IF(OR(F1486="Open",F1486="Reopened"),1,0)</f>
        <v>0</v>
      </c>
      <c r="S1486" s="7" t="n">
        <f aca="false">IF(AND(H1486&gt;='Exec Summary'!$E$1,H1486&lt;='Exec Summary'!$E$2),1,0)</f>
        <v>0</v>
      </c>
      <c r="T1486" s="7" t="n">
        <f aca="false">IF(AND(F1486="Closed",I1486&lt;&gt;"",I1486&gt;='Exec Summary'!$E$1,I1486&lt;='Exec Summary'!$E$2),1,0)</f>
        <v>0</v>
      </c>
      <c r="U1486" s="7" t="n">
        <f aca="false">IF(F1486="Reopened",1,0)</f>
        <v>0</v>
      </c>
      <c r="V1486" s="7" t="n">
        <f aca="false">IF(AND(R1486=1,O1486&gt;Q1486),1,0)</f>
        <v>0</v>
      </c>
      <c r="W1486" s="7" t="n">
        <f aca="false">IF(AND(T1486=1,P1486&lt;&gt;"",P1486&lt;=Q1486),1,0)</f>
        <v>0</v>
      </c>
    </row>
    <row r="1487" customFormat="false" ht="15" hidden="false" customHeight="false" outlineLevel="0" collapsed="false">
      <c r="A1487" s="7" t="s">
        <v>1809</v>
      </c>
      <c r="B1487" s="7" t="s">
        <v>46</v>
      </c>
      <c r="C1487" s="7" t="s">
        <v>128</v>
      </c>
      <c r="D1487" s="7" t="s">
        <v>104</v>
      </c>
      <c r="E1487" s="7" t="s">
        <v>105</v>
      </c>
      <c r="F1487" s="7" t="s">
        <v>50</v>
      </c>
      <c r="G1487" s="7" t="s">
        <v>19</v>
      </c>
      <c r="H1487" s="9" t="n">
        <v>45955</v>
      </c>
      <c r="I1487" s="9" t="n">
        <v>45970</v>
      </c>
      <c r="J1487" s="7" t="n">
        <v>9.8</v>
      </c>
      <c r="K1487" s="7" t="s">
        <v>1733</v>
      </c>
      <c r="L1487" s="7" t="s">
        <v>19</v>
      </c>
      <c r="M1487" s="7" t="s">
        <v>1811</v>
      </c>
      <c r="N1487" s="7" t="s">
        <v>58</v>
      </c>
      <c r="O1487" s="10" t="n">
        <f aca="false">'Exec Summary'!$E$2-H1487</f>
        <v>279</v>
      </c>
      <c r="P1487" s="10" t="n">
        <f aca="false">IF(I1487="","",I1487-H1487)</f>
        <v>15</v>
      </c>
      <c r="Q1487" s="10" t="n">
        <f aca="false">VLOOKUP(G1487,$AA$2:$AB$5,2,FALSE())</f>
        <v>15</v>
      </c>
      <c r="R1487" s="7" t="n">
        <f aca="false">IF(OR(F1487="Open",F1487="Reopened"),1,0)</f>
        <v>0</v>
      </c>
      <c r="S1487" s="7" t="n">
        <f aca="false">IF(AND(H1487&gt;='Exec Summary'!$E$1,H1487&lt;='Exec Summary'!$E$2),1,0)</f>
        <v>0</v>
      </c>
      <c r="T1487" s="7" t="n">
        <f aca="false">IF(AND(F1487="Closed",I1487&lt;&gt;"",I1487&gt;='Exec Summary'!$E$1,I1487&lt;='Exec Summary'!$E$2),1,0)</f>
        <v>0</v>
      </c>
      <c r="U1487" s="7" t="n">
        <f aca="false">IF(F1487="Reopened",1,0)</f>
        <v>0</v>
      </c>
      <c r="V1487" s="7" t="n">
        <f aca="false">IF(AND(R1487=1,O1487&gt;Q1487),1,0)</f>
        <v>0</v>
      </c>
      <c r="W1487" s="7" t="n">
        <f aca="false">IF(AND(T1487=1,P1487&lt;&gt;"",P1487&lt;=Q1487),1,0)</f>
        <v>0</v>
      </c>
    </row>
    <row r="1488" customFormat="false" ht="15" hidden="false" customHeight="false" outlineLevel="0" collapsed="false">
      <c r="A1488" s="7" t="s">
        <v>1809</v>
      </c>
      <c r="B1488" s="7" t="s">
        <v>46</v>
      </c>
      <c r="C1488" s="7" t="s">
        <v>128</v>
      </c>
      <c r="D1488" s="7" t="s">
        <v>120</v>
      </c>
      <c r="E1488" s="7" t="s">
        <v>121</v>
      </c>
      <c r="F1488" s="7" t="s">
        <v>50</v>
      </c>
      <c r="G1488" s="7" t="s">
        <v>19</v>
      </c>
      <c r="H1488" s="9" t="n">
        <v>46019</v>
      </c>
      <c r="I1488" s="9" t="n">
        <v>46037</v>
      </c>
      <c r="J1488" s="7" t="n">
        <v>8.8</v>
      </c>
      <c r="K1488" s="7" t="s">
        <v>1733</v>
      </c>
      <c r="L1488" s="7" t="s">
        <v>19</v>
      </c>
      <c r="M1488" s="7" t="s">
        <v>1812</v>
      </c>
      <c r="N1488" s="7" t="s">
        <v>58</v>
      </c>
      <c r="O1488" s="10" t="n">
        <f aca="false">'Exec Summary'!$E$2-H1488</f>
        <v>215</v>
      </c>
      <c r="P1488" s="10" t="n">
        <f aca="false">IF(I1488="","",I1488-H1488)</f>
        <v>18</v>
      </c>
      <c r="Q1488" s="10" t="n">
        <f aca="false">VLOOKUP(G1488,$AA$2:$AB$5,2,FALSE())</f>
        <v>15</v>
      </c>
      <c r="R1488" s="7" t="n">
        <f aca="false">IF(OR(F1488="Open",F1488="Reopened"),1,0)</f>
        <v>0</v>
      </c>
      <c r="S1488" s="7" t="n">
        <f aca="false">IF(AND(H1488&gt;='Exec Summary'!$E$1,H1488&lt;='Exec Summary'!$E$2),1,0)</f>
        <v>0</v>
      </c>
      <c r="T1488" s="7" t="n">
        <f aca="false">IF(AND(F1488="Closed",I1488&lt;&gt;"",I1488&gt;='Exec Summary'!$E$1,I1488&lt;='Exec Summary'!$E$2),1,0)</f>
        <v>0</v>
      </c>
      <c r="U1488" s="7" t="n">
        <f aca="false">IF(F1488="Reopened",1,0)</f>
        <v>0</v>
      </c>
      <c r="V1488" s="7" t="n">
        <f aca="false">IF(AND(R1488=1,O1488&gt;Q1488),1,0)</f>
        <v>0</v>
      </c>
      <c r="W1488" s="7" t="n">
        <f aca="false">IF(AND(T1488=1,P1488&lt;&gt;"",P1488&lt;=Q1488),1,0)</f>
        <v>0</v>
      </c>
    </row>
    <row r="1489" customFormat="false" ht="15" hidden="false" customHeight="false" outlineLevel="0" collapsed="false">
      <c r="A1489" s="7" t="s">
        <v>1809</v>
      </c>
      <c r="B1489" s="7" t="s">
        <v>46</v>
      </c>
      <c r="C1489" s="7" t="s">
        <v>128</v>
      </c>
      <c r="D1489" s="7" t="s">
        <v>68</v>
      </c>
      <c r="E1489" s="7" t="s">
        <v>69</v>
      </c>
      <c r="F1489" s="7" t="s">
        <v>56</v>
      </c>
      <c r="G1489" s="7" t="s">
        <v>19</v>
      </c>
      <c r="H1489" s="9" t="n">
        <v>46113</v>
      </c>
      <c r="I1489" s="9"/>
      <c r="J1489" s="7" t="n">
        <v>9.8</v>
      </c>
      <c r="K1489" s="7" t="s">
        <v>1733</v>
      </c>
      <c r="L1489" s="7" t="s">
        <v>19</v>
      </c>
      <c r="M1489" s="7" t="s">
        <v>1813</v>
      </c>
      <c r="N1489" s="7" t="s">
        <v>58</v>
      </c>
      <c r="O1489" s="10" t="n">
        <f aca="false">'Exec Summary'!$E$2-H1489</f>
        <v>121</v>
      </c>
      <c r="P1489" s="10" t="str">
        <f aca="false">IF(I1489="","",I1489-H1489)</f>
        <v/>
      </c>
      <c r="Q1489" s="10" t="n">
        <f aca="false">VLOOKUP(G1489,$AA$2:$AB$5,2,FALSE())</f>
        <v>15</v>
      </c>
      <c r="R1489" s="7" t="n">
        <f aca="false">IF(OR(F1489="Open",F1489="Reopened"),1,0)</f>
        <v>1</v>
      </c>
      <c r="S1489" s="7" t="n">
        <f aca="false">IF(AND(H1489&gt;='Exec Summary'!$E$1,H1489&lt;='Exec Summary'!$E$2),1,0)</f>
        <v>0</v>
      </c>
      <c r="T1489" s="7" t="n">
        <f aca="false">IF(AND(F1489="Closed",I1489&lt;&gt;"",I1489&gt;='Exec Summary'!$E$1,I1489&lt;='Exec Summary'!$E$2),1,0)</f>
        <v>0</v>
      </c>
      <c r="U1489" s="7" t="n">
        <f aca="false">IF(F1489="Reopened",1,0)</f>
        <v>0</v>
      </c>
      <c r="V1489" s="7" t="n">
        <f aca="false">IF(AND(R1489=1,O1489&gt;Q1489),1,0)</f>
        <v>1</v>
      </c>
      <c r="W1489" s="7" t="n">
        <f aca="false">IF(AND(T1489=1,P1489&lt;&gt;"",P1489&lt;=Q1489),1,0)</f>
        <v>0</v>
      </c>
    </row>
    <row r="1490" customFormat="false" ht="15" hidden="false" customHeight="false" outlineLevel="0" collapsed="false">
      <c r="A1490" s="7" t="s">
        <v>1809</v>
      </c>
      <c r="B1490" s="7" t="s">
        <v>46</v>
      </c>
      <c r="C1490" s="7" t="s">
        <v>128</v>
      </c>
      <c r="D1490" s="7" t="s">
        <v>87</v>
      </c>
      <c r="E1490" s="7" t="s">
        <v>88</v>
      </c>
      <c r="F1490" s="7" t="s">
        <v>50</v>
      </c>
      <c r="G1490" s="7" t="s">
        <v>19</v>
      </c>
      <c r="H1490" s="9" t="n">
        <v>46195</v>
      </c>
      <c r="I1490" s="9" t="n">
        <v>46203</v>
      </c>
      <c r="J1490" s="7" t="n">
        <v>10</v>
      </c>
      <c r="K1490" s="7" t="s">
        <v>1733</v>
      </c>
      <c r="L1490" s="7" t="s">
        <v>19</v>
      </c>
      <c r="M1490" s="7" t="s">
        <v>1814</v>
      </c>
      <c r="N1490" s="7" t="s">
        <v>58</v>
      </c>
      <c r="O1490" s="10" t="n">
        <f aca="false">'Exec Summary'!$E$2-H1490</f>
        <v>39</v>
      </c>
      <c r="P1490" s="10" t="n">
        <f aca="false">IF(I1490="","",I1490-H1490)</f>
        <v>8</v>
      </c>
      <c r="Q1490" s="10" t="n">
        <f aca="false">VLOOKUP(G1490,$AA$2:$AB$5,2,FALSE())</f>
        <v>15</v>
      </c>
      <c r="R1490" s="7" t="n">
        <f aca="false">IF(OR(F1490="Open",F1490="Reopened"),1,0)</f>
        <v>0</v>
      </c>
      <c r="S1490" s="7" t="n">
        <f aca="false">IF(AND(H1490&gt;='Exec Summary'!$E$1,H1490&lt;='Exec Summary'!$E$2),1,0)</f>
        <v>0</v>
      </c>
      <c r="T1490" s="7" t="n">
        <f aca="false">IF(AND(F1490="Closed",I1490&lt;&gt;"",I1490&gt;='Exec Summary'!$E$1,I1490&lt;='Exec Summary'!$E$2),1,0)</f>
        <v>0</v>
      </c>
      <c r="U1490" s="7" t="n">
        <f aca="false">IF(F1490="Reopened",1,0)</f>
        <v>0</v>
      </c>
      <c r="V1490" s="7" t="n">
        <f aca="false">IF(AND(R1490=1,O1490&gt;Q1490),1,0)</f>
        <v>0</v>
      </c>
      <c r="W1490" s="7" t="n">
        <f aca="false">IF(AND(T1490=1,P1490&lt;&gt;"",P1490&lt;=Q1490),1,0)</f>
        <v>0</v>
      </c>
    </row>
    <row r="1491" customFormat="false" ht="15" hidden="false" customHeight="false" outlineLevel="0" collapsed="false">
      <c r="A1491" s="7" t="s">
        <v>1809</v>
      </c>
      <c r="B1491" s="7" t="s">
        <v>46</v>
      </c>
      <c r="C1491" s="7" t="s">
        <v>128</v>
      </c>
      <c r="D1491" s="7" t="s">
        <v>71</v>
      </c>
      <c r="E1491" s="7" t="s">
        <v>72</v>
      </c>
      <c r="F1491" s="7" t="s">
        <v>50</v>
      </c>
      <c r="G1491" s="7" t="s">
        <v>19</v>
      </c>
      <c r="H1491" s="9" t="n">
        <v>46222</v>
      </c>
      <c r="I1491" s="9" t="n">
        <v>46234</v>
      </c>
      <c r="J1491" s="7" t="n">
        <v>9.8</v>
      </c>
      <c r="K1491" s="7" t="s">
        <v>1733</v>
      </c>
      <c r="L1491" s="7" t="s">
        <v>19</v>
      </c>
      <c r="M1491" s="7" t="s">
        <v>1815</v>
      </c>
      <c r="N1491" s="7" t="s">
        <v>58</v>
      </c>
      <c r="O1491" s="10" t="n">
        <f aca="false">'Exec Summary'!$E$2-H1491</f>
        <v>12</v>
      </c>
      <c r="P1491" s="10" t="n">
        <f aca="false">IF(I1491="","",I1491-H1491)</f>
        <v>12</v>
      </c>
      <c r="Q1491" s="10" t="n">
        <f aca="false">VLOOKUP(G1491,$AA$2:$AB$5,2,FALSE())</f>
        <v>15</v>
      </c>
      <c r="R1491" s="7" t="n">
        <f aca="false">IF(OR(F1491="Open",F1491="Reopened"),1,0)</f>
        <v>0</v>
      </c>
      <c r="S1491" s="7" t="n">
        <f aca="false">IF(AND(H1491&gt;='Exec Summary'!$E$1,H1491&lt;='Exec Summary'!$E$2),1,0)</f>
        <v>1</v>
      </c>
      <c r="T1491" s="7" t="n">
        <f aca="false">IF(AND(F1491="Closed",I1491&lt;&gt;"",I1491&gt;='Exec Summary'!$E$1,I1491&lt;='Exec Summary'!$E$2),1,0)</f>
        <v>1</v>
      </c>
      <c r="U1491" s="7" t="n">
        <f aca="false">IF(F1491="Reopened",1,0)</f>
        <v>0</v>
      </c>
      <c r="V1491" s="7" t="n">
        <f aca="false">IF(AND(R1491=1,O1491&gt;Q1491),1,0)</f>
        <v>0</v>
      </c>
      <c r="W1491" s="7" t="n">
        <f aca="false">IF(AND(T1491=1,P1491&lt;&gt;"",P1491&lt;=Q1491),1,0)</f>
        <v>1</v>
      </c>
    </row>
    <row r="1492" customFormat="false" ht="15" hidden="false" customHeight="false" outlineLevel="0" collapsed="false">
      <c r="A1492" s="7" t="s">
        <v>1809</v>
      </c>
      <c r="B1492" s="7" t="s">
        <v>46</v>
      </c>
      <c r="C1492" s="7" t="s">
        <v>128</v>
      </c>
      <c r="D1492" s="7" t="s">
        <v>62</v>
      </c>
      <c r="E1492" s="7" t="s">
        <v>63</v>
      </c>
      <c r="F1492" s="7" t="s">
        <v>50</v>
      </c>
      <c r="G1492" s="7" t="s">
        <v>20</v>
      </c>
      <c r="H1492" s="9" t="n">
        <v>46155</v>
      </c>
      <c r="I1492" s="9" t="n">
        <v>46188</v>
      </c>
      <c r="J1492" s="7" t="n">
        <v>8.1</v>
      </c>
      <c r="K1492" s="7" t="s">
        <v>1733</v>
      </c>
      <c r="L1492" s="7" t="s">
        <v>19</v>
      </c>
      <c r="M1492" s="7" t="s">
        <v>1816</v>
      </c>
      <c r="N1492" s="7" t="s">
        <v>53</v>
      </c>
      <c r="O1492" s="10" t="n">
        <f aca="false">'Exec Summary'!$E$2-H1492</f>
        <v>79</v>
      </c>
      <c r="P1492" s="10" t="n">
        <f aca="false">IF(I1492="","",I1492-H1492)</f>
        <v>33</v>
      </c>
      <c r="Q1492" s="10" t="n">
        <f aca="false">VLOOKUP(G1492,$AA$2:$AB$5,2,FALSE())</f>
        <v>30</v>
      </c>
      <c r="R1492" s="7" t="n">
        <f aca="false">IF(OR(F1492="Open",F1492="Reopened"),1,0)</f>
        <v>0</v>
      </c>
      <c r="S1492" s="7" t="n">
        <f aca="false">IF(AND(H1492&gt;='Exec Summary'!$E$1,H1492&lt;='Exec Summary'!$E$2),1,0)</f>
        <v>0</v>
      </c>
      <c r="T1492" s="7" t="n">
        <f aca="false">IF(AND(F1492="Closed",I1492&lt;&gt;"",I1492&gt;='Exec Summary'!$E$1,I1492&lt;='Exec Summary'!$E$2),1,0)</f>
        <v>0</v>
      </c>
      <c r="U1492" s="7" t="n">
        <f aca="false">IF(F1492="Reopened",1,0)</f>
        <v>0</v>
      </c>
      <c r="V1492" s="7" t="n">
        <f aca="false">IF(AND(R1492=1,O1492&gt;Q1492),1,0)</f>
        <v>0</v>
      </c>
      <c r="W1492" s="7" t="n">
        <f aca="false">IF(AND(T1492=1,P1492&lt;&gt;"",P1492&lt;=Q1492),1,0)</f>
        <v>0</v>
      </c>
    </row>
    <row r="1493" customFormat="false" ht="15" hidden="false" customHeight="false" outlineLevel="0" collapsed="false">
      <c r="A1493" s="7" t="s">
        <v>1809</v>
      </c>
      <c r="B1493" s="7" t="s">
        <v>46</v>
      </c>
      <c r="C1493" s="7" t="s">
        <v>128</v>
      </c>
      <c r="D1493" s="7" t="s">
        <v>112</v>
      </c>
      <c r="E1493" s="7" t="s">
        <v>113</v>
      </c>
      <c r="F1493" s="7" t="s">
        <v>56</v>
      </c>
      <c r="G1493" s="7" t="s">
        <v>20</v>
      </c>
      <c r="H1493" s="9" t="n">
        <v>46109</v>
      </c>
      <c r="I1493" s="9"/>
      <c r="J1493" s="7" t="n">
        <v>7.8</v>
      </c>
      <c r="K1493" s="7" t="s">
        <v>1733</v>
      </c>
      <c r="L1493" s="7" t="s">
        <v>19</v>
      </c>
      <c r="M1493" s="7" t="s">
        <v>1817</v>
      </c>
      <c r="N1493" s="7" t="s">
        <v>53</v>
      </c>
      <c r="O1493" s="10" t="n">
        <f aca="false">'Exec Summary'!$E$2-H1493</f>
        <v>125</v>
      </c>
      <c r="P1493" s="10" t="str">
        <f aca="false">IF(I1493="","",I1493-H1493)</f>
        <v/>
      </c>
      <c r="Q1493" s="10" t="n">
        <f aca="false">VLOOKUP(G1493,$AA$2:$AB$5,2,FALSE())</f>
        <v>30</v>
      </c>
      <c r="R1493" s="7" t="n">
        <f aca="false">IF(OR(F1493="Open",F1493="Reopened"),1,0)</f>
        <v>1</v>
      </c>
      <c r="S1493" s="7" t="n">
        <f aca="false">IF(AND(H1493&gt;='Exec Summary'!$E$1,H1493&lt;='Exec Summary'!$E$2),1,0)</f>
        <v>0</v>
      </c>
      <c r="T1493" s="7" t="n">
        <f aca="false">IF(AND(F1493="Closed",I1493&lt;&gt;"",I1493&gt;='Exec Summary'!$E$1,I1493&lt;='Exec Summary'!$E$2),1,0)</f>
        <v>0</v>
      </c>
      <c r="U1493" s="7" t="n">
        <f aca="false">IF(F1493="Reopened",1,0)</f>
        <v>0</v>
      </c>
      <c r="V1493" s="7" t="n">
        <f aca="false">IF(AND(R1493=1,O1493&gt;Q1493),1,0)</f>
        <v>1</v>
      </c>
      <c r="W1493" s="7" t="n">
        <f aca="false">IF(AND(T1493=1,P1493&lt;&gt;"",P1493&lt;=Q1493),1,0)</f>
        <v>0</v>
      </c>
    </row>
    <row r="1494" customFormat="false" ht="15" hidden="false" customHeight="false" outlineLevel="0" collapsed="false">
      <c r="A1494" s="7" t="s">
        <v>1809</v>
      </c>
      <c r="B1494" s="7" t="s">
        <v>46</v>
      </c>
      <c r="C1494" s="7" t="s">
        <v>128</v>
      </c>
      <c r="D1494" s="7" t="s">
        <v>84</v>
      </c>
      <c r="E1494" s="7" t="s">
        <v>85</v>
      </c>
      <c r="F1494" s="7" t="s">
        <v>50</v>
      </c>
      <c r="G1494" s="7" t="s">
        <v>20</v>
      </c>
      <c r="H1494" s="9" t="n">
        <v>46073</v>
      </c>
      <c r="I1494" s="9" t="n">
        <v>46107</v>
      </c>
      <c r="J1494" s="7" t="n">
        <v>7.5</v>
      </c>
      <c r="K1494" s="7" t="s">
        <v>1733</v>
      </c>
      <c r="L1494" s="7" t="s">
        <v>19</v>
      </c>
      <c r="M1494" s="7" t="s">
        <v>1818</v>
      </c>
      <c r="N1494" s="7" t="s">
        <v>53</v>
      </c>
      <c r="O1494" s="10" t="n">
        <f aca="false">'Exec Summary'!$E$2-H1494</f>
        <v>161</v>
      </c>
      <c r="P1494" s="10" t="n">
        <f aca="false">IF(I1494="","",I1494-H1494)</f>
        <v>34</v>
      </c>
      <c r="Q1494" s="10" t="n">
        <f aca="false">VLOOKUP(G1494,$AA$2:$AB$5,2,FALSE())</f>
        <v>30</v>
      </c>
      <c r="R1494" s="7" t="n">
        <f aca="false">IF(OR(F1494="Open",F1494="Reopened"),1,0)</f>
        <v>0</v>
      </c>
      <c r="S1494" s="7" t="n">
        <f aca="false">IF(AND(H1494&gt;='Exec Summary'!$E$1,H1494&lt;='Exec Summary'!$E$2),1,0)</f>
        <v>0</v>
      </c>
      <c r="T1494" s="7" t="n">
        <f aca="false">IF(AND(F1494="Closed",I1494&lt;&gt;"",I1494&gt;='Exec Summary'!$E$1,I1494&lt;='Exec Summary'!$E$2),1,0)</f>
        <v>0</v>
      </c>
      <c r="U1494" s="7" t="n">
        <f aca="false">IF(F1494="Reopened",1,0)</f>
        <v>0</v>
      </c>
      <c r="V1494" s="7" t="n">
        <f aca="false">IF(AND(R1494=1,O1494&gt;Q1494),1,0)</f>
        <v>0</v>
      </c>
      <c r="W1494" s="7" t="n">
        <f aca="false">IF(AND(T1494=1,P1494&lt;&gt;"",P1494&lt;=Q1494),1,0)</f>
        <v>0</v>
      </c>
    </row>
    <row r="1495" customFormat="false" ht="15" hidden="false" customHeight="false" outlineLevel="0" collapsed="false">
      <c r="A1495" s="7" t="s">
        <v>1809</v>
      </c>
      <c r="B1495" s="7" t="s">
        <v>46</v>
      </c>
      <c r="C1495" s="7" t="s">
        <v>128</v>
      </c>
      <c r="D1495" s="7" t="s">
        <v>210</v>
      </c>
      <c r="E1495" s="7" t="s">
        <v>211</v>
      </c>
      <c r="F1495" s="7" t="s">
        <v>56</v>
      </c>
      <c r="G1495" s="7" t="s">
        <v>19</v>
      </c>
      <c r="H1495" s="9" t="n">
        <v>45942</v>
      </c>
      <c r="I1495" s="9"/>
      <c r="J1495" s="7" t="n">
        <v>9.8</v>
      </c>
      <c r="K1495" s="7" t="s">
        <v>1733</v>
      </c>
      <c r="L1495" s="7" t="s">
        <v>19</v>
      </c>
      <c r="M1495" s="7" t="s">
        <v>1819</v>
      </c>
      <c r="N1495" s="7" t="s">
        <v>58</v>
      </c>
      <c r="O1495" s="10" t="n">
        <f aca="false">'Exec Summary'!$E$2-H1495</f>
        <v>292</v>
      </c>
      <c r="P1495" s="10" t="str">
        <f aca="false">IF(I1495="","",I1495-H1495)</f>
        <v/>
      </c>
      <c r="Q1495" s="10" t="n">
        <f aca="false">VLOOKUP(G1495,$AA$2:$AB$5,2,FALSE())</f>
        <v>15</v>
      </c>
      <c r="R1495" s="7" t="n">
        <f aca="false">IF(OR(F1495="Open",F1495="Reopened"),1,0)</f>
        <v>1</v>
      </c>
      <c r="S1495" s="7" t="n">
        <f aca="false">IF(AND(H1495&gt;='Exec Summary'!$E$1,H1495&lt;='Exec Summary'!$E$2),1,0)</f>
        <v>0</v>
      </c>
      <c r="T1495" s="7" t="n">
        <f aca="false">IF(AND(F1495="Closed",I1495&lt;&gt;"",I1495&gt;='Exec Summary'!$E$1,I1495&lt;='Exec Summary'!$E$2),1,0)</f>
        <v>0</v>
      </c>
      <c r="U1495" s="7" t="n">
        <f aca="false">IF(F1495="Reopened",1,0)</f>
        <v>0</v>
      </c>
      <c r="V1495" s="7" t="n">
        <f aca="false">IF(AND(R1495=1,O1495&gt;Q1495),1,0)</f>
        <v>1</v>
      </c>
      <c r="W1495" s="7" t="n">
        <f aca="false">IF(AND(T1495=1,P1495&lt;&gt;"",P1495&lt;=Q1495),1,0)</f>
        <v>0</v>
      </c>
    </row>
    <row r="1496" customFormat="false" ht="15" hidden="false" customHeight="false" outlineLevel="0" collapsed="false">
      <c r="A1496" s="7" t="s">
        <v>1809</v>
      </c>
      <c r="B1496" s="7" t="s">
        <v>46</v>
      </c>
      <c r="C1496" s="7" t="s">
        <v>128</v>
      </c>
      <c r="D1496" s="7" t="s">
        <v>108</v>
      </c>
      <c r="E1496" s="7" t="s">
        <v>109</v>
      </c>
      <c r="F1496" s="7" t="s">
        <v>56</v>
      </c>
      <c r="G1496" s="7" t="s">
        <v>20</v>
      </c>
      <c r="H1496" s="9" t="n">
        <v>45935</v>
      </c>
      <c r="I1496" s="9"/>
      <c r="J1496" s="7" t="n">
        <v>8.6</v>
      </c>
      <c r="K1496" s="7" t="s">
        <v>1733</v>
      </c>
      <c r="L1496" s="7" t="s">
        <v>19</v>
      </c>
      <c r="M1496" s="7" t="s">
        <v>1820</v>
      </c>
      <c r="N1496" s="7" t="s">
        <v>53</v>
      </c>
      <c r="O1496" s="10" t="n">
        <f aca="false">'Exec Summary'!$E$2-H1496</f>
        <v>299</v>
      </c>
      <c r="P1496" s="10" t="str">
        <f aca="false">IF(I1496="","",I1496-H1496)</f>
        <v/>
      </c>
      <c r="Q1496" s="10" t="n">
        <f aca="false">VLOOKUP(G1496,$AA$2:$AB$5,2,FALSE())</f>
        <v>30</v>
      </c>
      <c r="R1496" s="7" t="n">
        <f aca="false">IF(OR(F1496="Open",F1496="Reopened"),1,0)</f>
        <v>1</v>
      </c>
      <c r="S1496" s="7" t="n">
        <f aca="false">IF(AND(H1496&gt;='Exec Summary'!$E$1,H1496&lt;='Exec Summary'!$E$2),1,0)</f>
        <v>0</v>
      </c>
      <c r="T1496" s="7" t="n">
        <f aca="false">IF(AND(F1496="Closed",I1496&lt;&gt;"",I1496&gt;='Exec Summary'!$E$1,I1496&lt;='Exec Summary'!$E$2),1,0)</f>
        <v>0</v>
      </c>
      <c r="U1496" s="7" t="n">
        <f aca="false">IF(F1496="Reopened",1,0)</f>
        <v>0</v>
      </c>
      <c r="V1496" s="7" t="n">
        <f aca="false">IF(AND(R1496=1,O1496&gt;Q1496),1,0)</f>
        <v>1</v>
      </c>
      <c r="W1496" s="7" t="n">
        <f aca="false">IF(AND(T1496=1,P1496&lt;&gt;"",P1496&lt;=Q1496),1,0)</f>
        <v>0</v>
      </c>
    </row>
    <row r="1497" customFormat="false" ht="15" hidden="false" customHeight="false" outlineLevel="0" collapsed="false">
      <c r="A1497" s="7" t="s">
        <v>1809</v>
      </c>
      <c r="B1497" s="7" t="s">
        <v>46</v>
      </c>
      <c r="C1497" s="7" t="s">
        <v>128</v>
      </c>
      <c r="D1497" s="7" t="s">
        <v>98</v>
      </c>
      <c r="E1497" s="7" t="s">
        <v>99</v>
      </c>
      <c r="F1497" s="7" t="s">
        <v>56</v>
      </c>
      <c r="G1497" s="7" t="s">
        <v>19</v>
      </c>
      <c r="H1497" s="9" t="n">
        <v>45938</v>
      </c>
      <c r="I1497" s="9"/>
      <c r="J1497" s="7" t="n">
        <v>10</v>
      </c>
      <c r="K1497" s="7" t="s">
        <v>1733</v>
      </c>
      <c r="L1497" s="7" t="s">
        <v>19</v>
      </c>
      <c r="M1497" s="7" t="s">
        <v>1821</v>
      </c>
      <c r="N1497" s="7" t="s">
        <v>58</v>
      </c>
      <c r="O1497" s="10" t="n">
        <f aca="false">'Exec Summary'!$E$2-H1497</f>
        <v>296</v>
      </c>
      <c r="P1497" s="10" t="str">
        <f aca="false">IF(I1497="","",I1497-H1497)</f>
        <v/>
      </c>
      <c r="Q1497" s="10" t="n">
        <f aca="false">VLOOKUP(G1497,$AA$2:$AB$5,2,FALSE())</f>
        <v>15</v>
      </c>
      <c r="R1497" s="7" t="n">
        <f aca="false">IF(OR(F1497="Open",F1497="Reopened"),1,0)</f>
        <v>1</v>
      </c>
      <c r="S1497" s="7" t="n">
        <f aca="false">IF(AND(H1497&gt;='Exec Summary'!$E$1,H1497&lt;='Exec Summary'!$E$2),1,0)</f>
        <v>0</v>
      </c>
      <c r="T1497" s="7" t="n">
        <f aca="false">IF(AND(F1497="Closed",I1497&lt;&gt;"",I1497&gt;='Exec Summary'!$E$1,I1497&lt;='Exec Summary'!$E$2),1,0)</f>
        <v>0</v>
      </c>
      <c r="U1497" s="7" t="n">
        <f aca="false">IF(F1497="Reopened",1,0)</f>
        <v>0</v>
      </c>
      <c r="V1497" s="7" t="n">
        <f aca="false">IF(AND(R1497=1,O1497&gt;Q1497),1,0)</f>
        <v>1</v>
      </c>
      <c r="W1497" s="7" t="n">
        <f aca="false">IF(AND(T1497=1,P1497&lt;&gt;"",P1497&lt;=Q1497),1,0)</f>
        <v>0</v>
      </c>
    </row>
    <row r="1498" customFormat="false" ht="15" hidden="false" customHeight="false" outlineLevel="0" collapsed="false">
      <c r="A1498" s="7" t="s">
        <v>1809</v>
      </c>
      <c r="B1498" s="7" t="s">
        <v>46</v>
      </c>
      <c r="C1498" s="7" t="s">
        <v>128</v>
      </c>
      <c r="D1498" s="7" t="s">
        <v>59</v>
      </c>
      <c r="E1498" s="7" t="s">
        <v>60</v>
      </c>
      <c r="F1498" s="7" t="s">
        <v>56</v>
      </c>
      <c r="G1498" s="7" t="s">
        <v>19</v>
      </c>
      <c r="H1498" s="9" t="n">
        <v>46218</v>
      </c>
      <c r="I1498" s="9"/>
      <c r="J1498" s="7" t="n">
        <v>7.8</v>
      </c>
      <c r="K1498" s="7" t="s">
        <v>1733</v>
      </c>
      <c r="L1498" s="7" t="s">
        <v>19</v>
      </c>
      <c r="M1498" s="7" t="s">
        <v>1822</v>
      </c>
      <c r="N1498" s="7" t="s">
        <v>58</v>
      </c>
      <c r="O1498" s="10" t="n">
        <f aca="false">'Exec Summary'!$E$2-H1498</f>
        <v>16</v>
      </c>
      <c r="P1498" s="10" t="str">
        <f aca="false">IF(I1498="","",I1498-H1498)</f>
        <v/>
      </c>
      <c r="Q1498" s="10" t="n">
        <f aca="false">VLOOKUP(G1498,$AA$2:$AB$5,2,FALSE())</f>
        <v>15</v>
      </c>
      <c r="R1498" s="7" t="n">
        <f aca="false">IF(OR(F1498="Open",F1498="Reopened"),1,0)</f>
        <v>1</v>
      </c>
      <c r="S1498" s="7" t="n">
        <f aca="false">IF(AND(H1498&gt;='Exec Summary'!$E$1,H1498&lt;='Exec Summary'!$E$2),1,0)</f>
        <v>1</v>
      </c>
      <c r="T1498" s="7" t="n">
        <f aca="false">IF(AND(F1498="Closed",I1498&lt;&gt;"",I1498&gt;='Exec Summary'!$E$1,I1498&lt;='Exec Summary'!$E$2),1,0)</f>
        <v>0</v>
      </c>
      <c r="U1498" s="7" t="n">
        <f aca="false">IF(F1498="Reopened",1,0)</f>
        <v>0</v>
      </c>
      <c r="V1498" s="7" t="n">
        <f aca="false">IF(AND(R1498=1,O1498&gt;Q1498),1,0)</f>
        <v>1</v>
      </c>
      <c r="W1498" s="7" t="n">
        <f aca="false">IF(AND(T1498=1,P1498&lt;&gt;"",P1498&lt;=Q1498),1,0)</f>
        <v>0</v>
      </c>
    </row>
    <row r="1499" customFormat="false" ht="15" hidden="false" customHeight="false" outlineLevel="0" collapsed="false">
      <c r="A1499" s="7" t="s">
        <v>1823</v>
      </c>
      <c r="B1499" s="7" t="s">
        <v>135</v>
      </c>
      <c r="C1499" s="7" t="s">
        <v>247</v>
      </c>
      <c r="D1499" s="7" t="s">
        <v>210</v>
      </c>
      <c r="E1499" s="7" t="s">
        <v>211</v>
      </c>
      <c r="F1499" s="7" t="s">
        <v>56</v>
      </c>
      <c r="G1499" s="7" t="s">
        <v>19</v>
      </c>
      <c r="H1499" s="9" t="n">
        <v>46161</v>
      </c>
      <c r="I1499" s="9"/>
      <c r="J1499" s="7" t="n">
        <v>9.8</v>
      </c>
      <c r="K1499" s="7" t="s">
        <v>1733</v>
      </c>
      <c r="L1499" s="7" t="s">
        <v>20</v>
      </c>
      <c r="M1499" s="7" t="s">
        <v>1824</v>
      </c>
      <c r="N1499" s="7" t="s">
        <v>58</v>
      </c>
      <c r="O1499" s="10" t="n">
        <f aca="false">'Exec Summary'!$E$2-H1499</f>
        <v>73</v>
      </c>
      <c r="P1499" s="10" t="str">
        <f aca="false">IF(I1499="","",I1499-H1499)</f>
        <v/>
      </c>
      <c r="Q1499" s="10" t="n">
        <f aca="false">VLOOKUP(G1499,$AA$2:$AB$5,2,FALSE())</f>
        <v>15</v>
      </c>
      <c r="R1499" s="7" t="n">
        <f aca="false">IF(OR(F1499="Open",F1499="Reopened"),1,0)</f>
        <v>1</v>
      </c>
      <c r="S1499" s="7" t="n">
        <f aca="false">IF(AND(H1499&gt;='Exec Summary'!$E$1,H1499&lt;='Exec Summary'!$E$2),1,0)</f>
        <v>0</v>
      </c>
      <c r="T1499" s="7" t="n">
        <f aca="false">IF(AND(F1499="Closed",I1499&lt;&gt;"",I1499&gt;='Exec Summary'!$E$1,I1499&lt;='Exec Summary'!$E$2),1,0)</f>
        <v>0</v>
      </c>
      <c r="U1499" s="7" t="n">
        <f aca="false">IF(F1499="Reopened",1,0)</f>
        <v>0</v>
      </c>
      <c r="V1499" s="7" t="n">
        <f aca="false">IF(AND(R1499=1,O1499&gt;Q1499),1,0)</f>
        <v>1</v>
      </c>
      <c r="W1499" s="7" t="n">
        <f aca="false">IF(AND(T1499=1,P1499&lt;&gt;"",P1499&lt;=Q1499),1,0)</f>
        <v>0</v>
      </c>
    </row>
    <row r="1500" customFormat="false" ht="15" hidden="false" customHeight="false" outlineLevel="0" collapsed="false">
      <c r="A1500" s="7" t="s">
        <v>1825</v>
      </c>
      <c r="B1500" s="7" t="s">
        <v>135</v>
      </c>
      <c r="C1500" s="7" t="s">
        <v>136</v>
      </c>
      <c r="D1500" s="7" t="s">
        <v>120</v>
      </c>
      <c r="E1500" s="7" t="s">
        <v>121</v>
      </c>
      <c r="F1500" s="7" t="s">
        <v>50</v>
      </c>
      <c r="G1500" s="7" t="s">
        <v>19</v>
      </c>
      <c r="H1500" s="9" t="n">
        <v>46032</v>
      </c>
      <c r="I1500" s="9" t="n">
        <v>46042</v>
      </c>
      <c r="J1500" s="7" t="n">
        <v>8.8</v>
      </c>
      <c r="K1500" s="7" t="s">
        <v>1733</v>
      </c>
      <c r="L1500" s="7" t="s">
        <v>21</v>
      </c>
      <c r="M1500" s="7" t="s">
        <v>1826</v>
      </c>
      <c r="N1500" s="7" t="s">
        <v>58</v>
      </c>
      <c r="O1500" s="10" t="n">
        <f aca="false">'Exec Summary'!$E$2-H1500</f>
        <v>202</v>
      </c>
      <c r="P1500" s="10" t="n">
        <f aca="false">IF(I1500="","",I1500-H1500)</f>
        <v>10</v>
      </c>
      <c r="Q1500" s="10" t="n">
        <f aca="false">VLOOKUP(G1500,$AA$2:$AB$5,2,FALSE())</f>
        <v>15</v>
      </c>
      <c r="R1500" s="7" t="n">
        <f aca="false">IF(OR(F1500="Open",F1500="Reopened"),1,0)</f>
        <v>0</v>
      </c>
      <c r="S1500" s="7" t="n">
        <f aca="false">IF(AND(H1500&gt;='Exec Summary'!$E$1,H1500&lt;='Exec Summary'!$E$2),1,0)</f>
        <v>0</v>
      </c>
      <c r="T1500" s="7" t="n">
        <f aca="false">IF(AND(F1500="Closed",I1500&lt;&gt;"",I1500&gt;='Exec Summary'!$E$1,I1500&lt;='Exec Summary'!$E$2),1,0)</f>
        <v>0</v>
      </c>
      <c r="U1500" s="7" t="n">
        <f aca="false">IF(F1500="Reopened",1,0)</f>
        <v>0</v>
      </c>
      <c r="V1500" s="7" t="n">
        <f aca="false">IF(AND(R1500=1,O1500&gt;Q1500),1,0)</f>
        <v>0</v>
      </c>
      <c r="W1500" s="7" t="n">
        <f aca="false">IF(AND(T1500=1,P1500&lt;&gt;"",P1500&lt;=Q1500),1,0)</f>
        <v>0</v>
      </c>
    </row>
    <row r="1501" customFormat="false" ht="15" hidden="false" customHeight="false" outlineLevel="0" collapsed="false">
      <c r="A1501" s="7" t="s">
        <v>1825</v>
      </c>
      <c r="B1501" s="7" t="s">
        <v>135</v>
      </c>
      <c r="C1501" s="7" t="s">
        <v>136</v>
      </c>
      <c r="D1501" s="7" t="s">
        <v>173</v>
      </c>
      <c r="E1501" s="7" t="s">
        <v>174</v>
      </c>
      <c r="F1501" s="7" t="s">
        <v>50</v>
      </c>
      <c r="G1501" s="7" t="s">
        <v>19</v>
      </c>
      <c r="H1501" s="9" t="n">
        <v>46047</v>
      </c>
      <c r="I1501" s="9" t="n">
        <v>46051</v>
      </c>
      <c r="J1501" s="7" t="n">
        <v>9.8</v>
      </c>
      <c r="K1501" s="7" t="s">
        <v>1733</v>
      </c>
      <c r="L1501" s="7" t="s">
        <v>21</v>
      </c>
      <c r="M1501" s="7" t="s">
        <v>1827</v>
      </c>
      <c r="N1501" s="7" t="s">
        <v>58</v>
      </c>
      <c r="O1501" s="10" t="n">
        <f aca="false">'Exec Summary'!$E$2-H1501</f>
        <v>187</v>
      </c>
      <c r="P1501" s="10" t="n">
        <f aca="false">IF(I1501="","",I1501-H1501)</f>
        <v>4</v>
      </c>
      <c r="Q1501" s="10" t="n">
        <f aca="false">VLOOKUP(G1501,$AA$2:$AB$5,2,FALSE())</f>
        <v>15</v>
      </c>
      <c r="R1501" s="7" t="n">
        <f aca="false">IF(OR(F1501="Open",F1501="Reopened"),1,0)</f>
        <v>0</v>
      </c>
      <c r="S1501" s="7" t="n">
        <f aca="false">IF(AND(H1501&gt;='Exec Summary'!$E$1,H1501&lt;='Exec Summary'!$E$2),1,0)</f>
        <v>0</v>
      </c>
      <c r="T1501" s="7" t="n">
        <f aca="false">IF(AND(F1501="Closed",I1501&lt;&gt;"",I1501&gt;='Exec Summary'!$E$1,I1501&lt;='Exec Summary'!$E$2),1,0)</f>
        <v>0</v>
      </c>
      <c r="U1501" s="7" t="n">
        <f aca="false">IF(F1501="Reopened",1,0)</f>
        <v>0</v>
      </c>
      <c r="V1501" s="7" t="n">
        <f aca="false">IF(AND(R1501=1,O1501&gt;Q1501),1,0)</f>
        <v>0</v>
      </c>
      <c r="W1501" s="7" t="n">
        <f aca="false">IF(AND(T1501=1,P1501&lt;&gt;"",P1501&lt;=Q1501),1,0)</f>
        <v>0</v>
      </c>
    </row>
    <row r="1502" customFormat="false" ht="15" hidden="false" customHeight="false" outlineLevel="0" collapsed="false">
      <c r="A1502" s="7" t="s">
        <v>1825</v>
      </c>
      <c r="B1502" s="7" t="s">
        <v>135</v>
      </c>
      <c r="C1502" s="7" t="s">
        <v>136</v>
      </c>
      <c r="D1502" s="7" t="s">
        <v>101</v>
      </c>
      <c r="E1502" s="7" t="s">
        <v>102</v>
      </c>
      <c r="F1502" s="7" t="s">
        <v>50</v>
      </c>
      <c r="G1502" s="7" t="s">
        <v>19</v>
      </c>
      <c r="H1502" s="9" t="n">
        <v>45937</v>
      </c>
      <c r="I1502" s="9" t="n">
        <v>45948</v>
      </c>
      <c r="J1502" s="7" t="n">
        <v>10</v>
      </c>
      <c r="K1502" s="7" t="s">
        <v>1733</v>
      </c>
      <c r="L1502" s="7" t="s">
        <v>21</v>
      </c>
      <c r="M1502" s="7" t="s">
        <v>1828</v>
      </c>
      <c r="N1502" s="7" t="s">
        <v>58</v>
      </c>
      <c r="O1502" s="10" t="n">
        <f aca="false">'Exec Summary'!$E$2-H1502</f>
        <v>297</v>
      </c>
      <c r="P1502" s="10" t="n">
        <f aca="false">IF(I1502="","",I1502-H1502)</f>
        <v>11</v>
      </c>
      <c r="Q1502" s="10" t="n">
        <f aca="false">VLOOKUP(G1502,$AA$2:$AB$5,2,FALSE())</f>
        <v>15</v>
      </c>
      <c r="R1502" s="7" t="n">
        <f aca="false">IF(OR(F1502="Open",F1502="Reopened"),1,0)</f>
        <v>0</v>
      </c>
      <c r="S1502" s="7" t="n">
        <f aca="false">IF(AND(H1502&gt;='Exec Summary'!$E$1,H1502&lt;='Exec Summary'!$E$2),1,0)</f>
        <v>0</v>
      </c>
      <c r="T1502" s="7" t="n">
        <f aca="false">IF(AND(F1502="Closed",I1502&lt;&gt;"",I1502&gt;='Exec Summary'!$E$1,I1502&lt;='Exec Summary'!$E$2),1,0)</f>
        <v>0</v>
      </c>
      <c r="U1502" s="7" t="n">
        <f aca="false">IF(F1502="Reopened",1,0)</f>
        <v>0</v>
      </c>
      <c r="V1502" s="7" t="n">
        <f aca="false">IF(AND(R1502=1,O1502&gt;Q1502),1,0)</f>
        <v>0</v>
      </c>
      <c r="W1502" s="7" t="n">
        <f aca="false">IF(AND(T1502=1,P1502&lt;&gt;"",P1502&lt;=Q1502),1,0)</f>
        <v>0</v>
      </c>
    </row>
    <row r="1503" customFormat="false" ht="15" hidden="false" customHeight="false" outlineLevel="0" collapsed="false">
      <c r="A1503" s="7" t="s">
        <v>1825</v>
      </c>
      <c r="B1503" s="7" t="s">
        <v>135</v>
      </c>
      <c r="C1503" s="7" t="s">
        <v>136</v>
      </c>
      <c r="D1503" s="7" t="s">
        <v>131</v>
      </c>
      <c r="E1503" s="7" t="s">
        <v>132</v>
      </c>
      <c r="F1503" s="7" t="s">
        <v>56</v>
      </c>
      <c r="G1503" s="7" t="s">
        <v>19</v>
      </c>
      <c r="H1503" s="9" t="n">
        <v>45990</v>
      </c>
      <c r="I1503" s="9"/>
      <c r="J1503" s="7" t="n">
        <v>9.8</v>
      </c>
      <c r="K1503" s="7" t="s">
        <v>1733</v>
      </c>
      <c r="L1503" s="7" t="s">
        <v>21</v>
      </c>
      <c r="M1503" s="7" t="s">
        <v>1829</v>
      </c>
      <c r="N1503" s="7" t="s">
        <v>58</v>
      </c>
      <c r="O1503" s="10" t="n">
        <f aca="false">'Exec Summary'!$E$2-H1503</f>
        <v>244</v>
      </c>
      <c r="P1503" s="10" t="str">
        <f aca="false">IF(I1503="","",I1503-H1503)</f>
        <v/>
      </c>
      <c r="Q1503" s="10" t="n">
        <f aca="false">VLOOKUP(G1503,$AA$2:$AB$5,2,FALSE())</f>
        <v>15</v>
      </c>
      <c r="R1503" s="7" t="n">
        <f aca="false">IF(OR(F1503="Open",F1503="Reopened"),1,0)</f>
        <v>1</v>
      </c>
      <c r="S1503" s="7" t="n">
        <f aca="false">IF(AND(H1503&gt;='Exec Summary'!$E$1,H1503&lt;='Exec Summary'!$E$2),1,0)</f>
        <v>0</v>
      </c>
      <c r="T1503" s="7" t="n">
        <f aca="false">IF(AND(F1503="Closed",I1503&lt;&gt;"",I1503&gt;='Exec Summary'!$E$1,I1503&lt;='Exec Summary'!$E$2),1,0)</f>
        <v>0</v>
      </c>
      <c r="U1503" s="7" t="n">
        <f aca="false">IF(F1503="Reopened",1,0)</f>
        <v>0</v>
      </c>
      <c r="V1503" s="7" t="n">
        <f aca="false">IF(AND(R1503=1,O1503&gt;Q1503),1,0)</f>
        <v>1</v>
      </c>
      <c r="W1503" s="7" t="n">
        <f aca="false">IF(AND(T1503=1,P1503&lt;&gt;"",P1503&lt;=Q1503),1,0)</f>
        <v>0</v>
      </c>
    </row>
    <row r="1504" customFormat="false" ht="15" hidden="false" customHeight="false" outlineLevel="0" collapsed="false">
      <c r="A1504" s="7" t="s">
        <v>1825</v>
      </c>
      <c r="B1504" s="7" t="s">
        <v>135</v>
      </c>
      <c r="C1504" s="7" t="s">
        <v>136</v>
      </c>
      <c r="D1504" s="7" t="s">
        <v>112</v>
      </c>
      <c r="E1504" s="7" t="s">
        <v>113</v>
      </c>
      <c r="F1504" s="7" t="s">
        <v>50</v>
      </c>
      <c r="G1504" s="7" t="s">
        <v>20</v>
      </c>
      <c r="H1504" s="9" t="n">
        <v>46186</v>
      </c>
      <c r="I1504" s="9" t="n">
        <v>46216</v>
      </c>
      <c r="J1504" s="7" t="n">
        <v>7.8</v>
      </c>
      <c r="K1504" s="7" t="s">
        <v>1733</v>
      </c>
      <c r="L1504" s="7" t="s">
        <v>21</v>
      </c>
      <c r="M1504" s="7" t="s">
        <v>1830</v>
      </c>
      <c r="N1504" s="7" t="s">
        <v>53</v>
      </c>
      <c r="O1504" s="10" t="n">
        <f aca="false">'Exec Summary'!$E$2-H1504</f>
        <v>48</v>
      </c>
      <c r="P1504" s="10" t="n">
        <f aca="false">IF(I1504="","",I1504-H1504)</f>
        <v>30</v>
      </c>
      <c r="Q1504" s="10" t="n">
        <f aca="false">VLOOKUP(G1504,$AA$2:$AB$5,2,FALSE())</f>
        <v>30</v>
      </c>
      <c r="R1504" s="7" t="n">
        <f aca="false">IF(OR(F1504="Open",F1504="Reopened"),1,0)</f>
        <v>0</v>
      </c>
      <c r="S1504" s="7" t="n">
        <f aca="false">IF(AND(H1504&gt;='Exec Summary'!$E$1,H1504&lt;='Exec Summary'!$E$2),1,0)</f>
        <v>0</v>
      </c>
      <c r="T1504" s="7" t="n">
        <f aca="false">IF(AND(F1504="Closed",I1504&lt;&gt;"",I1504&gt;='Exec Summary'!$E$1,I1504&lt;='Exec Summary'!$E$2),1,0)</f>
        <v>1</v>
      </c>
      <c r="U1504" s="7" t="n">
        <f aca="false">IF(F1504="Reopened",1,0)</f>
        <v>0</v>
      </c>
      <c r="V1504" s="7" t="n">
        <f aca="false">IF(AND(R1504=1,O1504&gt;Q1504),1,0)</f>
        <v>0</v>
      </c>
      <c r="W1504" s="7" t="n">
        <f aca="false">IF(AND(T1504=1,P1504&lt;&gt;"",P1504&lt;=Q1504),1,0)</f>
        <v>1</v>
      </c>
    </row>
    <row r="1505" customFormat="false" ht="15" hidden="false" customHeight="false" outlineLevel="0" collapsed="false">
      <c r="A1505" s="7" t="s">
        <v>1825</v>
      </c>
      <c r="B1505" s="7" t="s">
        <v>135</v>
      </c>
      <c r="C1505" s="7" t="s">
        <v>136</v>
      </c>
      <c r="D1505" s="7" t="s">
        <v>166</v>
      </c>
      <c r="E1505" s="7" t="s">
        <v>167</v>
      </c>
      <c r="F1505" s="7" t="s">
        <v>56</v>
      </c>
      <c r="G1505" s="7" t="s">
        <v>19</v>
      </c>
      <c r="H1505" s="9" t="n">
        <v>45967</v>
      </c>
      <c r="I1505" s="9"/>
      <c r="J1505" s="7" t="n">
        <v>9.8</v>
      </c>
      <c r="K1505" s="7" t="s">
        <v>1733</v>
      </c>
      <c r="L1505" s="7" t="s">
        <v>21</v>
      </c>
      <c r="M1505" s="7" t="s">
        <v>1831</v>
      </c>
      <c r="N1505" s="7" t="s">
        <v>58</v>
      </c>
      <c r="O1505" s="10" t="n">
        <f aca="false">'Exec Summary'!$E$2-H1505</f>
        <v>267</v>
      </c>
      <c r="P1505" s="10" t="str">
        <f aca="false">IF(I1505="","",I1505-H1505)</f>
        <v/>
      </c>
      <c r="Q1505" s="10" t="n">
        <f aca="false">VLOOKUP(G1505,$AA$2:$AB$5,2,FALSE())</f>
        <v>15</v>
      </c>
      <c r="R1505" s="7" t="n">
        <f aca="false">IF(OR(F1505="Open",F1505="Reopened"),1,0)</f>
        <v>1</v>
      </c>
      <c r="S1505" s="7" t="n">
        <f aca="false">IF(AND(H1505&gt;='Exec Summary'!$E$1,H1505&lt;='Exec Summary'!$E$2),1,0)</f>
        <v>0</v>
      </c>
      <c r="T1505" s="7" t="n">
        <f aca="false">IF(AND(F1505="Closed",I1505&lt;&gt;"",I1505&gt;='Exec Summary'!$E$1,I1505&lt;='Exec Summary'!$E$2),1,0)</f>
        <v>0</v>
      </c>
      <c r="U1505" s="7" t="n">
        <f aca="false">IF(F1505="Reopened",1,0)</f>
        <v>0</v>
      </c>
      <c r="V1505" s="7" t="n">
        <f aca="false">IF(AND(R1505=1,O1505&gt;Q1505),1,0)</f>
        <v>1</v>
      </c>
      <c r="W1505" s="7" t="n">
        <f aca="false">IF(AND(T1505=1,P1505&lt;&gt;"",P1505&lt;=Q1505),1,0)</f>
        <v>0</v>
      </c>
    </row>
    <row r="1506" customFormat="false" ht="15" hidden="false" customHeight="false" outlineLevel="0" collapsed="false">
      <c r="A1506" s="7" t="s">
        <v>1825</v>
      </c>
      <c r="B1506" s="7" t="s">
        <v>135</v>
      </c>
      <c r="C1506" s="7" t="s">
        <v>136</v>
      </c>
      <c r="D1506" s="7" t="s">
        <v>98</v>
      </c>
      <c r="E1506" s="7" t="s">
        <v>99</v>
      </c>
      <c r="F1506" s="7" t="s">
        <v>50</v>
      </c>
      <c r="G1506" s="7" t="s">
        <v>19</v>
      </c>
      <c r="H1506" s="9" t="n">
        <v>45999</v>
      </c>
      <c r="I1506" s="9" t="n">
        <v>46020</v>
      </c>
      <c r="J1506" s="7" t="n">
        <v>10</v>
      </c>
      <c r="K1506" s="7" t="s">
        <v>1733</v>
      </c>
      <c r="L1506" s="7" t="s">
        <v>21</v>
      </c>
      <c r="M1506" s="7" t="s">
        <v>1832</v>
      </c>
      <c r="N1506" s="7" t="s">
        <v>58</v>
      </c>
      <c r="O1506" s="10" t="n">
        <f aca="false">'Exec Summary'!$E$2-H1506</f>
        <v>235</v>
      </c>
      <c r="P1506" s="10" t="n">
        <f aca="false">IF(I1506="","",I1506-H1506)</f>
        <v>21</v>
      </c>
      <c r="Q1506" s="10" t="n">
        <f aca="false">VLOOKUP(G1506,$AA$2:$AB$5,2,FALSE())</f>
        <v>15</v>
      </c>
      <c r="R1506" s="7" t="n">
        <f aca="false">IF(OR(F1506="Open",F1506="Reopened"),1,0)</f>
        <v>0</v>
      </c>
      <c r="S1506" s="7" t="n">
        <f aca="false">IF(AND(H1506&gt;='Exec Summary'!$E$1,H1506&lt;='Exec Summary'!$E$2),1,0)</f>
        <v>0</v>
      </c>
      <c r="T1506" s="7" t="n">
        <f aca="false">IF(AND(F1506="Closed",I1506&lt;&gt;"",I1506&gt;='Exec Summary'!$E$1,I1506&lt;='Exec Summary'!$E$2),1,0)</f>
        <v>0</v>
      </c>
      <c r="U1506" s="7" t="n">
        <f aca="false">IF(F1506="Reopened",1,0)</f>
        <v>0</v>
      </c>
      <c r="V1506" s="7" t="n">
        <f aca="false">IF(AND(R1506=1,O1506&gt;Q1506),1,0)</f>
        <v>0</v>
      </c>
      <c r="W1506" s="7" t="n">
        <f aca="false">IF(AND(T1506=1,P1506&lt;&gt;"",P1506&lt;=Q1506),1,0)</f>
        <v>0</v>
      </c>
    </row>
    <row r="1507" customFormat="false" ht="15" hidden="false" customHeight="false" outlineLevel="0" collapsed="false">
      <c r="A1507" s="7" t="s">
        <v>1825</v>
      </c>
      <c r="B1507" s="7" t="s">
        <v>135</v>
      </c>
      <c r="C1507" s="7" t="s">
        <v>136</v>
      </c>
      <c r="D1507" s="7" t="s">
        <v>74</v>
      </c>
      <c r="E1507" s="7" t="s">
        <v>75</v>
      </c>
      <c r="F1507" s="7" t="s">
        <v>56</v>
      </c>
      <c r="G1507" s="7" t="s">
        <v>21</v>
      </c>
      <c r="H1507" s="9" t="n">
        <v>46201</v>
      </c>
      <c r="I1507" s="9"/>
      <c r="J1507" s="7" t="n">
        <v>6.5</v>
      </c>
      <c r="K1507" s="7" t="s">
        <v>1733</v>
      </c>
      <c r="L1507" s="7" t="s">
        <v>21</v>
      </c>
      <c r="M1507" s="7" t="s">
        <v>1833</v>
      </c>
      <c r="N1507" s="7" t="s">
        <v>77</v>
      </c>
      <c r="O1507" s="10" t="n">
        <f aca="false">'Exec Summary'!$E$2-H1507</f>
        <v>33</v>
      </c>
      <c r="P1507" s="10" t="str">
        <f aca="false">IF(I1507="","",I1507-H1507)</f>
        <v/>
      </c>
      <c r="Q1507" s="10" t="n">
        <f aca="false">VLOOKUP(G1507,$AA$2:$AB$5,2,FALSE())</f>
        <v>90</v>
      </c>
      <c r="R1507" s="7" t="n">
        <f aca="false">IF(OR(F1507="Open",F1507="Reopened"),1,0)</f>
        <v>1</v>
      </c>
      <c r="S1507" s="7" t="n">
        <f aca="false">IF(AND(H1507&gt;='Exec Summary'!$E$1,H1507&lt;='Exec Summary'!$E$2),1,0)</f>
        <v>0</v>
      </c>
      <c r="T1507" s="7" t="n">
        <f aca="false">IF(AND(F1507="Closed",I1507&lt;&gt;"",I1507&gt;='Exec Summary'!$E$1,I1507&lt;='Exec Summary'!$E$2),1,0)</f>
        <v>0</v>
      </c>
      <c r="U1507" s="7" t="n">
        <f aca="false">IF(F1507="Reopened",1,0)</f>
        <v>0</v>
      </c>
      <c r="V1507" s="7" t="n">
        <f aca="false">IF(AND(R1507=1,O1507&gt;Q1507),1,0)</f>
        <v>0</v>
      </c>
      <c r="W1507" s="7" t="n">
        <f aca="false">IF(AND(T1507=1,P1507&lt;&gt;"",P1507&lt;=Q1507),1,0)</f>
        <v>0</v>
      </c>
    </row>
    <row r="1508" customFormat="false" ht="15" hidden="false" customHeight="false" outlineLevel="0" collapsed="false">
      <c r="A1508" s="7" t="s">
        <v>1825</v>
      </c>
      <c r="B1508" s="7" t="s">
        <v>135</v>
      </c>
      <c r="C1508" s="7" t="s">
        <v>136</v>
      </c>
      <c r="D1508" s="7" t="s">
        <v>81</v>
      </c>
      <c r="E1508" s="7" t="s">
        <v>82</v>
      </c>
      <c r="F1508" s="7" t="s">
        <v>56</v>
      </c>
      <c r="G1508" s="7" t="s">
        <v>20</v>
      </c>
      <c r="H1508" s="9" t="n">
        <v>46032</v>
      </c>
      <c r="I1508" s="9"/>
      <c r="J1508" s="7" t="n">
        <v>7.8</v>
      </c>
      <c r="K1508" s="7" t="s">
        <v>1733</v>
      </c>
      <c r="L1508" s="7" t="s">
        <v>21</v>
      </c>
      <c r="M1508" s="7" t="s">
        <v>1834</v>
      </c>
      <c r="N1508" s="7" t="s">
        <v>53</v>
      </c>
      <c r="O1508" s="10" t="n">
        <f aca="false">'Exec Summary'!$E$2-H1508</f>
        <v>202</v>
      </c>
      <c r="P1508" s="10" t="str">
        <f aca="false">IF(I1508="","",I1508-H1508)</f>
        <v/>
      </c>
      <c r="Q1508" s="10" t="n">
        <f aca="false">VLOOKUP(G1508,$AA$2:$AB$5,2,FALSE())</f>
        <v>30</v>
      </c>
      <c r="R1508" s="7" t="n">
        <f aca="false">IF(OR(F1508="Open",F1508="Reopened"),1,0)</f>
        <v>1</v>
      </c>
      <c r="S1508" s="7" t="n">
        <f aca="false">IF(AND(H1508&gt;='Exec Summary'!$E$1,H1508&lt;='Exec Summary'!$E$2),1,0)</f>
        <v>0</v>
      </c>
      <c r="T1508" s="7" t="n">
        <f aca="false">IF(AND(F1508="Closed",I1508&lt;&gt;"",I1508&gt;='Exec Summary'!$E$1,I1508&lt;='Exec Summary'!$E$2),1,0)</f>
        <v>0</v>
      </c>
      <c r="U1508" s="7" t="n">
        <f aca="false">IF(F1508="Reopened",1,0)</f>
        <v>0</v>
      </c>
      <c r="V1508" s="7" t="n">
        <f aca="false">IF(AND(R1508=1,O1508&gt;Q1508),1,0)</f>
        <v>1</v>
      </c>
      <c r="W1508" s="7" t="n">
        <f aca="false">IF(AND(T1508=1,P1508&lt;&gt;"",P1508&lt;=Q1508),1,0)</f>
        <v>0</v>
      </c>
    </row>
    <row r="1509" customFormat="false" ht="15" hidden="false" customHeight="false" outlineLevel="0" collapsed="false">
      <c r="A1509" s="7" t="s">
        <v>1825</v>
      </c>
      <c r="B1509" s="7" t="s">
        <v>135</v>
      </c>
      <c r="C1509" s="7" t="s">
        <v>136</v>
      </c>
      <c r="D1509" s="7" t="s">
        <v>54</v>
      </c>
      <c r="E1509" s="7" t="s">
        <v>55</v>
      </c>
      <c r="F1509" s="7" t="s">
        <v>56</v>
      </c>
      <c r="G1509" s="7" t="s">
        <v>19</v>
      </c>
      <c r="H1509" s="9" t="n">
        <v>46206</v>
      </c>
      <c r="I1509" s="9"/>
      <c r="J1509" s="7" t="n">
        <v>9.8</v>
      </c>
      <c r="K1509" s="7" t="s">
        <v>1733</v>
      </c>
      <c r="L1509" s="7" t="s">
        <v>21</v>
      </c>
      <c r="M1509" s="7" t="s">
        <v>1835</v>
      </c>
      <c r="N1509" s="7" t="s">
        <v>58</v>
      </c>
      <c r="O1509" s="10" t="n">
        <f aca="false">'Exec Summary'!$E$2-H1509</f>
        <v>28</v>
      </c>
      <c r="P1509" s="10" t="str">
        <f aca="false">IF(I1509="","",I1509-H1509)</f>
        <v/>
      </c>
      <c r="Q1509" s="10" t="n">
        <f aca="false">VLOOKUP(G1509,$AA$2:$AB$5,2,FALSE())</f>
        <v>15</v>
      </c>
      <c r="R1509" s="7" t="n">
        <f aca="false">IF(OR(F1509="Open",F1509="Reopened"),1,0)</f>
        <v>1</v>
      </c>
      <c r="S1509" s="7" t="n">
        <f aca="false">IF(AND(H1509&gt;='Exec Summary'!$E$1,H1509&lt;='Exec Summary'!$E$2),1,0)</f>
        <v>1</v>
      </c>
      <c r="T1509" s="7" t="n">
        <f aca="false">IF(AND(F1509="Closed",I1509&lt;&gt;"",I1509&gt;='Exec Summary'!$E$1,I1509&lt;='Exec Summary'!$E$2),1,0)</f>
        <v>0</v>
      </c>
      <c r="U1509" s="7" t="n">
        <f aca="false">IF(F1509="Reopened",1,0)</f>
        <v>0</v>
      </c>
      <c r="V1509" s="7" t="n">
        <f aca="false">IF(AND(R1509=1,O1509&gt;Q1509),1,0)</f>
        <v>1</v>
      </c>
      <c r="W1509" s="7" t="n">
        <f aca="false">IF(AND(T1509=1,P1509&lt;&gt;"",P1509&lt;=Q1509),1,0)</f>
        <v>0</v>
      </c>
    </row>
    <row r="1510" customFormat="false" ht="15" hidden="false" customHeight="false" outlineLevel="0" collapsed="false">
      <c r="A1510" s="7" t="s">
        <v>1825</v>
      </c>
      <c r="B1510" s="7" t="s">
        <v>135</v>
      </c>
      <c r="C1510" s="7" t="s">
        <v>136</v>
      </c>
      <c r="D1510" s="7" t="s">
        <v>117</v>
      </c>
      <c r="E1510" s="7" t="s">
        <v>118</v>
      </c>
      <c r="F1510" s="7" t="s">
        <v>56</v>
      </c>
      <c r="G1510" s="7" t="s">
        <v>19</v>
      </c>
      <c r="H1510" s="9" t="n">
        <v>45935</v>
      </c>
      <c r="I1510" s="9"/>
      <c r="J1510" s="7" t="n">
        <v>10</v>
      </c>
      <c r="K1510" s="7" t="s">
        <v>1733</v>
      </c>
      <c r="L1510" s="7" t="s">
        <v>21</v>
      </c>
      <c r="M1510" s="7" t="s">
        <v>1836</v>
      </c>
      <c r="N1510" s="7" t="s">
        <v>58</v>
      </c>
      <c r="O1510" s="10" t="n">
        <f aca="false">'Exec Summary'!$E$2-H1510</f>
        <v>299</v>
      </c>
      <c r="P1510" s="10" t="str">
        <f aca="false">IF(I1510="","",I1510-H1510)</f>
        <v/>
      </c>
      <c r="Q1510" s="10" t="n">
        <f aca="false">VLOOKUP(G1510,$AA$2:$AB$5,2,FALSE())</f>
        <v>15</v>
      </c>
      <c r="R1510" s="7" t="n">
        <f aca="false">IF(OR(F1510="Open",F1510="Reopened"),1,0)</f>
        <v>1</v>
      </c>
      <c r="S1510" s="7" t="n">
        <f aca="false">IF(AND(H1510&gt;='Exec Summary'!$E$1,H1510&lt;='Exec Summary'!$E$2),1,0)</f>
        <v>0</v>
      </c>
      <c r="T1510" s="7" t="n">
        <f aca="false">IF(AND(F1510="Closed",I1510&lt;&gt;"",I1510&gt;='Exec Summary'!$E$1,I1510&lt;='Exec Summary'!$E$2),1,0)</f>
        <v>0</v>
      </c>
      <c r="U1510" s="7" t="n">
        <f aca="false">IF(F1510="Reopened",1,0)</f>
        <v>0</v>
      </c>
      <c r="V1510" s="7" t="n">
        <f aca="false">IF(AND(R1510=1,O1510&gt;Q1510),1,0)</f>
        <v>1</v>
      </c>
      <c r="W1510" s="7" t="n">
        <f aca="false">IF(AND(T1510=1,P1510&lt;&gt;"",P1510&lt;=Q1510),1,0)</f>
        <v>0</v>
      </c>
    </row>
    <row r="1511" customFormat="false" ht="15" hidden="false" customHeight="false" outlineLevel="0" collapsed="false">
      <c r="A1511" s="7" t="s">
        <v>1825</v>
      </c>
      <c r="B1511" s="7" t="s">
        <v>135</v>
      </c>
      <c r="C1511" s="7" t="s">
        <v>136</v>
      </c>
      <c r="D1511" s="7" t="s">
        <v>95</v>
      </c>
      <c r="E1511" s="7" t="s">
        <v>96</v>
      </c>
      <c r="F1511" s="7" t="s">
        <v>50</v>
      </c>
      <c r="G1511" s="7" t="s">
        <v>20</v>
      </c>
      <c r="H1511" s="9" t="n">
        <v>46099</v>
      </c>
      <c r="I1511" s="9" t="n">
        <v>46132</v>
      </c>
      <c r="J1511" s="7" t="n">
        <v>8.8</v>
      </c>
      <c r="K1511" s="7" t="s">
        <v>1733</v>
      </c>
      <c r="L1511" s="7" t="s">
        <v>21</v>
      </c>
      <c r="M1511" s="7" t="s">
        <v>1837</v>
      </c>
      <c r="N1511" s="7" t="s">
        <v>53</v>
      </c>
      <c r="O1511" s="10" t="n">
        <f aca="false">'Exec Summary'!$E$2-H1511</f>
        <v>135</v>
      </c>
      <c r="P1511" s="10" t="n">
        <f aca="false">IF(I1511="","",I1511-H1511)</f>
        <v>33</v>
      </c>
      <c r="Q1511" s="10" t="n">
        <f aca="false">VLOOKUP(G1511,$AA$2:$AB$5,2,FALSE())</f>
        <v>30</v>
      </c>
      <c r="R1511" s="7" t="n">
        <f aca="false">IF(OR(F1511="Open",F1511="Reopened"),1,0)</f>
        <v>0</v>
      </c>
      <c r="S1511" s="7" t="n">
        <f aca="false">IF(AND(H1511&gt;='Exec Summary'!$E$1,H1511&lt;='Exec Summary'!$E$2),1,0)</f>
        <v>0</v>
      </c>
      <c r="T1511" s="7" t="n">
        <f aca="false">IF(AND(F1511="Closed",I1511&lt;&gt;"",I1511&gt;='Exec Summary'!$E$1,I1511&lt;='Exec Summary'!$E$2),1,0)</f>
        <v>0</v>
      </c>
      <c r="U1511" s="7" t="n">
        <f aca="false">IF(F1511="Reopened",1,0)</f>
        <v>0</v>
      </c>
      <c r="V1511" s="7" t="n">
        <f aca="false">IF(AND(R1511=1,O1511&gt;Q1511),1,0)</f>
        <v>0</v>
      </c>
      <c r="W1511" s="7" t="n">
        <f aca="false">IF(AND(T1511=1,P1511&lt;&gt;"",P1511&lt;=Q1511),1,0)</f>
        <v>0</v>
      </c>
    </row>
    <row r="1512" customFormat="false" ht="15" hidden="false" customHeight="false" outlineLevel="0" collapsed="false">
      <c r="A1512" s="7" t="s">
        <v>1825</v>
      </c>
      <c r="B1512" s="7" t="s">
        <v>135</v>
      </c>
      <c r="C1512" s="7" t="s">
        <v>136</v>
      </c>
      <c r="D1512" s="7" t="s">
        <v>152</v>
      </c>
      <c r="E1512" s="7" t="s">
        <v>153</v>
      </c>
      <c r="F1512" s="7" t="s">
        <v>50</v>
      </c>
      <c r="G1512" s="7" t="s">
        <v>20</v>
      </c>
      <c r="H1512" s="9" t="n">
        <v>46187</v>
      </c>
      <c r="I1512" s="9" t="n">
        <v>46209</v>
      </c>
      <c r="J1512" s="7" t="n">
        <v>7.5</v>
      </c>
      <c r="K1512" s="7" t="s">
        <v>1733</v>
      </c>
      <c r="L1512" s="7" t="s">
        <v>21</v>
      </c>
      <c r="M1512" s="7" t="s">
        <v>1838</v>
      </c>
      <c r="N1512" s="7" t="s">
        <v>53</v>
      </c>
      <c r="O1512" s="10" t="n">
        <f aca="false">'Exec Summary'!$E$2-H1512</f>
        <v>47</v>
      </c>
      <c r="P1512" s="10" t="n">
        <f aca="false">IF(I1512="","",I1512-H1512)</f>
        <v>22</v>
      </c>
      <c r="Q1512" s="10" t="n">
        <f aca="false">VLOOKUP(G1512,$AA$2:$AB$5,2,FALSE())</f>
        <v>30</v>
      </c>
      <c r="R1512" s="7" t="n">
        <f aca="false">IF(OR(F1512="Open",F1512="Reopened"),1,0)</f>
        <v>0</v>
      </c>
      <c r="S1512" s="7" t="n">
        <f aca="false">IF(AND(H1512&gt;='Exec Summary'!$E$1,H1512&lt;='Exec Summary'!$E$2),1,0)</f>
        <v>0</v>
      </c>
      <c r="T1512" s="7" t="n">
        <f aca="false">IF(AND(F1512="Closed",I1512&lt;&gt;"",I1512&gt;='Exec Summary'!$E$1,I1512&lt;='Exec Summary'!$E$2),1,0)</f>
        <v>1</v>
      </c>
      <c r="U1512" s="7" t="n">
        <f aca="false">IF(F1512="Reopened",1,0)</f>
        <v>0</v>
      </c>
      <c r="V1512" s="7" t="n">
        <f aca="false">IF(AND(R1512=1,O1512&gt;Q1512),1,0)</f>
        <v>0</v>
      </c>
      <c r="W1512" s="7" t="n">
        <f aca="false">IF(AND(T1512=1,P1512&lt;&gt;"",P1512&lt;=Q1512),1,0)</f>
        <v>1</v>
      </c>
    </row>
    <row r="1513" customFormat="false" ht="15" hidden="false" customHeight="false" outlineLevel="0" collapsed="false">
      <c r="A1513" s="7" t="s">
        <v>1839</v>
      </c>
      <c r="B1513" s="7" t="s">
        <v>46</v>
      </c>
      <c r="C1513" s="7" t="s">
        <v>177</v>
      </c>
      <c r="D1513" s="7" t="s">
        <v>163</v>
      </c>
      <c r="E1513" s="7" t="s">
        <v>164</v>
      </c>
      <c r="F1513" s="7" t="s">
        <v>56</v>
      </c>
      <c r="G1513" s="7" t="s">
        <v>19</v>
      </c>
      <c r="H1513" s="9" t="n">
        <v>45946</v>
      </c>
      <c r="I1513" s="9"/>
      <c r="J1513" s="7" t="n">
        <v>9.1</v>
      </c>
      <c r="K1513" s="7" t="s">
        <v>1733</v>
      </c>
      <c r="L1513" s="7" t="s">
        <v>20</v>
      </c>
      <c r="M1513" s="7" t="s">
        <v>1840</v>
      </c>
      <c r="N1513" s="7" t="s">
        <v>58</v>
      </c>
      <c r="O1513" s="10" t="n">
        <f aca="false">'Exec Summary'!$E$2-H1513</f>
        <v>288</v>
      </c>
      <c r="P1513" s="10" t="str">
        <f aca="false">IF(I1513="","",I1513-H1513)</f>
        <v/>
      </c>
      <c r="Q1513" s="10" t="n">
        <f aca="false">VLOOKUP(G1513,$AA$2:$AB$5,2,FALSE())</f>
        <v>15</v>
      </c>
      <c r="R1513" s="7" t="n">
        <f aca="false">IF(OR(F1513="Open",F1513="Reopened"),1,0)</f>
        <v>1</v>
      </c>
      <c r="S1513" s="7" t="n">
        <f aca="false">IF(AND(H1513&gt;='Exec Summary'!$E$1,H1513&lt;='Exec Summary'!$E$2),1,0)</f>
        <v>0</v>
      </c>
      <c r="T1513" s="7" t="n">
        <f aca="false">IF(AND(F1513="Closed",I1513&lt;&gt;"",I1513&gt;='Exec Summary'!$E$1,I1513&lt;='Exec Summary'!$E$2),1,0)</f>
        <v>0</v>
      </c>
      <c r="U1513" s="7" t="n">
        <f aca="false">IF(F1513="Reopened",1,0)</f>
        <v>0</v>
      </c>
      <c r="V1513" s="7" t="n">
        <f aca="false">IF(AND(R1513=1,O1513&gt;Q1513),1,0)</f>
        <v>1</v>
      </c>
      <c r="W1513" s="7" t="n">
        <f aca="false">IF(AND(T1513=1,P1513&lt;&gt;"",P1513&lt;=Q1513),1,0)</f>
        <v>0</v>
      </c>
    </row>
    <row r="1514" customFormat="false" ht="15" hidden="false" customHeight="false" outlineLevel="0" collapsed="false">
      <c r="A1514" s="7" t="s">
        <v>1839</v>
      </c>
      <c r="B1514" s="7" t="s">
        <v>46</v>
      </c>
      <c r="C1514" s="7" t="s">
        <v>177</v>
      </c>
      <c r="D1514" s="7" t="s">
        <v>84</v>
      </c>
      <c r="E1514" s="7" t="s">
        <v>85</v>
      </c>
      <c r="F1514" s="7" t="s">
        <v>56</v>
      </c>
      <c r="G1514" s="7" t="s">
        <v>20</v>
      </c>
      <c r="H1514" s="9" t="n">
        <v>46150</v>
      </c>
      <c r="I1514" s="9"/>
      <c r="J1514" s="7" t="n">
        <v>7.5</v>
      </c>
      <c r="K1514" s="7" t="s">
        <v>1733</v>
      </c>
      <c r="L1514" s="7" t="s">
        <v>20</v>
      </c>
      <c r="M1514" s="7" t="s">
        <v>1841</v>
      </c>
      <c r="N1514" s="7" t="s">
        <v>53</v>
      </c>
      <c r="O1514" s="10" t="n">
        <f aca="false">'Exec Summary'!$E$2-H1514</f>
        <v>84</v>
      </c>
      <c r="P1514" s="10" t="str">
        <f aca="false">IF(I1514="","",I1514-H1514)</f>
        <v/>
      </c>
      <c r="Q1514" s="10" t="n">
        <f aca="false">VLOOKUP(G1514,$AA$2:$AB$5,2,FALSE())</f>
        <v>30</v>
      </c>
      <c r="R1514" s="7" t="n">
        <f aca="false">IF(OR(F1514="Open",F1514="Reopened"),1,0)</f>
        <v>1</v>
      </c>
      <c r="S1514" s="7" t="n">
        <f aca="false">IF(AND(H1514&gt;='Exec Summary'!$E$1,H1514&lt;='Exec Summary'!$E$2),1,0)</f>
        <v>0</v>
      </c>
      <c r="T1514" s="7" t="n">
        <f aca="false">IF(AND(F1514="Closed",I1514&lt;&gt;"",I1514&gt;='Exec Summary'!$E$1,I1514&lt;='Exec Summary'!$E$2),1,0)</f>
        <v>0</v>
      </c>
      <c r="U1514" s="7" t="n">
        <f aca="false">IF(F1514="Reopened",1,0)</f>
        <v>0</v>
      </c>
      <c r="V1514" s="7" t="n">
        <f aca="false">IF(AND(R1514=1,O1514&gt;Q1514),1,0)</f>
        <v>1</v>
      </c>
      <c r="W1514" s="7" t="n">
        <f aca="false">IF(AND(T1514=1,P1514&lt;&gt;"",P1514&lt;=Q1514),1,0)</f>
        <v>0</v>
      </c>
    </row>
    <row r="1515" customFormat="false" ht="15" hidden="false" customHeight="false" outlineLevel="0" collapsed="false">
      <c r="A1515" s="7" t="s">
        <v>1839</v>
      </c>
      <c r="B1515" s="7" t="s">
        <v>46</v>
      </c>
      <c r="C1515" s="7" t="s">
        <v>177</v>
      </c>
      <c r="D1515" s="7" t="s">
        <v>210</v>
      </c>
      <c r="E1515" s="7" t="s">
        <v>211</v>
      </c>
      <c r="F1515" s="7" t="s">
        <v>123</v>
      </c>
      <c r="G1515" s="7" t="s">
        <v>19</v>
      </c>
      <c r="H1515" s="9" t="n">
        <v>46034</v>
      </c>
      <c r="I1515" s="9" t="n">
        <v>46041</v>
      </c>
      <c r="J1515" s="7" t="n">
        <v>9.8</v>
      </c>
      <c r="K1515" s="7" t="s">
        <v>1733</v>
      </c>
      <c r="L1515" s="7" t="s">
        <v>20</v>
      </c>
      <c r="M1515" s="7" t="s">
        <v>1842</v>
      </c>
      <c r="N1515" s="7" t="s">
        <v>58</v>
      </c>
      <c r="O1515" s="10" t="n">
        <f aca="false">'Exec Summary'!$E$2-H1515</f>
        <v>200</v>
      </c>
      <c r="P1515" s="10" t="n">
        <f aca="false">IF(I1515="","",I1515-H1515)</f>
        <v>7</v>
      </c>
      <c r="Q1515" s="10" t="n">
        <f aca="false">VLOOKUP(G1515,$AA$2:$AB$5,2,FALSE())</f>
        <v>15</v>
      </c>
      <c r="R1515" s="7" t="n">
        <f aca="false">IF(OR(F1515="Open",F1515="Reopened"),1,0)</f>
        <v>1</v>
      </c>
      <c r="S1515" s="7" t="n">
        <f aca="false">IF(AND(H1515&gt;='Exec Summary'!$E$1,H1515&lt;='Exec Summary'!$E$2),1,0)</f>
        <v>0</v>
      </c>
      <c r="T1515" s="7" t="n">
        <f aca="false">IF(AND(F1515="Closed",I1515&lt;&gt;"",I1515&gt;='Exec Summary'!$E$1,I1515&lt;='Exec Summary'!$E$2),1,0)</f>
        <v>0</v>
      </c>
      <c r="U1515" s="7" t="n">
        <f aca="false">IF(F1515="Reopened",1,0)</f>
        <v>1</v>
      </c>
      <c r="V1515" s="7" t="n">
        <f aca="false">IF(AND(R1515=1,O1515&gt;Q1515),1,0)</f>
        <v>1</v>
      </c>
      <c r="W1515" s="7" t="n">
        <f aca="false">IF(AND(T1515=1,P1515&lt;&gt;"",P1515&lt;=Q1515),1,0)</f>
        <v>0</v>
      </c>
    </row>
    <row r="1516" customFormat="false" ht="15" hidden="false" customHeight="false" outlineLevel="0" collapsed="false">
      <c r="A1516" s="7" t="s">
        <v>1839</v>
      </c>
      <c r="B1516" s="7" t="s">
        <v>46</v>
      </c>
      <c r="C1516" s="7" t="s">
        <v>177</v>
      </c>
      <c r="D1516" s="7" t="s">
        <v>71</v>
      </c>
      <c r="E1516" s="7" t="s">
        <v>72</v>
      </c>
      <c r="F1516" s="7" t="s">
        <v>56</v>
      </c>
      <c r="G1516" s="7" t="s">
        <v>19</v>
      </c>
      <c r="H1516" s="9" t="n">
        <v>46155</v>
      </c>
      <c r="I1516" s="9"/>
      <c r="J1516" s="7" t="n">
        <v>9.8</v>
      </c>
      <c r="K1516" s="7" t="s">
        <v>1733</v>
      </c>
      <c r="L1516" s="7" t="s">
        <v>20</v>
      </c>
      <c r="M1516" s="7" t="s">
        <v>1843</v>
      </c>
      <c r="N1516" s="7" t="s">
        <v>58</v>
      </c>
      <c r="O1516" s="10" t="n">
        <f aca="false">'Exec Summary'!$E$2-H1516</f>
        <v>79</v>
      </c>
      <c r="P1516" s="10" t="str">
        <f aca="false">IF(I1516="","",I1516-H1516)</f>
        <v/>
      </c>
      <c r="Q1516" s="10" t="n">
        <f aca="false">VLOOKUP(G1516,$AA$2:$AB$5,2,FALSE())</f>
        <v>15</v>
      </c>
      <c r="R1516" s="7" t="n">
        <f aca="false">IF(OR(F1516="Open",F1516="Reopened"),1,0)</f>
        <v>1</v>
      </c>
      <c r="S1516" s="7" t="n">
        <f aca="false">IF(AND(H1516&gt;='Exec Summary'!$E$1,H1516&lt;='Exec Summary'!$E$2),1,0)</f>
        <v>0</v>
      </c>
      <c r="T1516" s="7" t="n">
        <f aca="false">IF(AND(F1516="Closed",I1516&lt;&gt;"",I1516&gt;='Exec Summary'!$E$1,I1516&lt;='Exec Summary'!$E$2),1,0)</f>
        <v>0</v>
      </c>
      <c r="U1516" s="7" t="n">
        <f aca="false">IF(F1516="Reopened",1,0)</f>
        <v>0</v>
      </c>
      <c r="V1516" s="7" t="n">
        <f aca="false">IF(AND(R1516=1,O1516&gt;Q1516),1,0)</f>
        <v>1</v>
      </c>
      <c r="W1516" s="7" t="n">
        <f aca="false">IF(AND(T1516=1,P1516&lt;&gt;"",P1516&lt;=Q1516),1,0)</f>
        <v>0</v>
      </c>
    </row>
    <row r="1517" customFormat="false" ht="15" hidden="false" customHeight="false" outlineLevel="0" collapsed="false">
      <c r="A1517" s="7" t="s">
        <v>1844</v>
      </c>
      <c r="B1517" s="7" t="s">
        <v>135</v>
      </c>
      <c r="C1517" s="7" t="s">
        <v>306</v>
      </c>
      <c r="D1517" s="7" t="s">
        <v>59</v>
      </c>
      <c r="E1517" s="7" t="s">
        <v>60</v>
      </c>
      <c r="F1517" s="7" t="s">
        <v>50</v>
      </c>
      <c r="G1517" s="7" t="s">
        <v>19</v>
      </c>
      <c r="H1517" s="9" t="n">
        <v>46104</v>
      </c>
      <c r="I1517" s="9" t="n">
        <v>46124</v>
      </c>
      <c r="J1517" s="7" t="n">
        <v>7.8</v>
      </c>
      <c r="K1517" s="7" t="s">
        <v>1733</v>
      </c>
      <c r="L1517" s="7" t="s">
        <v>20</v>
      </c>
      <c r="M1517" s="7" t="s">
        <v>1845</v>
      </c>
      <c r="N1517" s="7" t="s">
        <v>58</v>
      </c>
      <c r="O1517" s="10" t="n">
        <f aca="false">'Exec Summary'!$E$2-H1517</f>
        <v>130</v>
      </c>
      <c r="P1517" s="10" t="n">
        <f aca="false">IF(I1517="","",I1517-H1517)</f>
        <v>20</v>
      </c>
      <c r="Q1517" s="10" t="n">
        <f aca="false">VLOOKUP(G1517,$AA$2:$AB$5,2,FALSE())</f>
        <v>15</v>
      </c>
      <c r="R1517" s="7" t="n">
        <f aca="false">IF(OR(F1517="Open",F1517="Reopened"),1,0)</f>
        <v>0</v>
      </c>
      <c r="S1517" s="7" t="n">
        <f aca="false">IF(AND(H1517&gt;='Exec Summary'!$E$1,H1517&lt;='Exec Summary'!$E$2),1,0)</f>
        <v>0</v>
      </c>
      <c r="T1517" s="7" t="n">
        <f aca="false">IF(AND(F1517="Closed",I1517&lt;&gt;"",I1517&gt;='Exec Summary'!$E$1,I1517&lt;='Exec Summary'!$E$2),1,0)</f>
        <v>0</v>
      </c>
      <c r="U1517" s="7" t="n">
        <f aca="false">IF(F1517="Reopened",1,0)</f>
        <v>0</v>
      </c>
      <c r="V1517" s="7" t="n">
        <f aca="false">IF(AND(R1517=1,O1517&gt;Q1517),1,0)</f>
        <v>0</v>
      </c>
      <c r="W1517" s="7" t="n">
        <f aca="false">IF(AND(T1517=1,P1517&lt;&gt;"",P1517&lt;=Q1517),1,0)</f>
        <v>0</v>
      </c>
    </row>
    <row r="1518" customFormat="false" ht="15" hidden="false" customHeight="false" outlineLevel="0" collapsed="false">
      <c r="A1518" s="7" t="s">
        <v>1846</v>
      </c>
      <c r="B1518" s="7" t="s">
        <v>135</v>
      </c>
      <c r="C1518" s="7" t="s">
        <v>247</v>
      </c>
      <c r="D1518" s="7" t="s">
        <v>84</v>
      </c>
      <c r="E1518" s="7" t="s">
        <v>85</v>
      </c>
      <c r="F1518" s="7" t="s">
        <v>50</v>
      </c>
      <c r="G1518" s="7" t="s">
        <v>20</v>
      </c>
      <c r="H1518" s="9" t="n">
        <v>45951</v>
      </c>
      <c r="I1518" s="9" t="n">
        <v>45989</v>
      </c>
      <c r="J1518" s="7" t="n">
        <v>7.5</v>
      </c>
      <c r="K1518" s="7" t="s">
        <v>1733</v>
      </c>
      <c r="L1518" s="7" t="s">
        <v>20</v>
      </c>
      <c r="M1518" s="7" t="s">
        <v>1847</v>
      </c>
      <c r="N1518" s="7" t="s">
        <v>53</v>
      </c>
      <c r="O1518" s="10" t="n">
        <f aca="false">'Exec Summary'!$E$2-H1518</f>
        <v>283</v>
      </c>
      <c r="P1518" s="10" t="n">
        <f aca="false">IF(I1518="","",I1518-H1518)</f>
        <v>38</v>
      </c>
      <c r="Q1518" s="10" t="n">
        <f aca="false">VLOOKUP(G1518,$AA$2:$AB$5,2,FALSE())</f>
        <v>30</v>
      </c>
      <c r="R1518" s="7" t="n">
        <f aca="false">IF(OR(F1518="Open",F1518="Reopened"),1,0)</f>
        <v>0</v>
      </c>
      <c r="S1518" s="7" t="n">
        <f aca="false">IF(AND(H1518&gt;='Exec Summary'!$E$1,H1518&lt;='Exec Summary'!$E$2),1,0)</f>
        <v>0</v>
      </c>
      <c r="T1518" s="7" t="n">
        <f aca="false">IF(AND(F1518="Closed",I1518&lt;&gt;"",I1518&gt;='Exec Summary'!$E$1,I1518&lt;='Exec Summary'!$E$2),1,0)</f>
        <v>0</v>
      </c>
      <c r="U1518" s="7" t="n">
        <f aca="false">IF(F1518="Reopened",1,0)</f>
        <v>0</v>
      </c>
      <c r="V1518" s="7" t="n">
        <f aca="false">IF(AND(R1518=1,O1518&gt;Q1518),1,0)</f>
        <v>0</v>
      </c>
      <c r="W1518" s="7" t="n">
        <f aca="false">IF(AND(T1518=1,P1518&lt;&gt;"",P1518&lt;=Q1518),1,0)</f>
        <v>0</v>
      </c>
    </row>
    <row r="1519" customFormat="false" ht="15" hidden="false" customHeight="false" outlineLevel="0" collapsed="false">
      <c r="A1519" s="7" t="s">
        <v>1846</v>
      </c>
      <c r="B1519" s="7" t="s">
        <v>135</v>
      </c>
      <c r="C1519" s="7" t="s">
        <v>247</v>
      </c>
      <c r="D1519" s="7" t="s">
        <v>192</v>
      </c>
      <c r="E1519" s="7" t="s">
        <v>193</v>
      </c>
      <c r="F1519" s="7" t="s">
        <v>50</v>
      </c>
      <c r="G1519" s="7" t="s">
        <v>19</v>
      </c>
      <c r="H1519" s="9" t="n">
        <v>46160</v>
      </c>
      <c r="I1519" s="9" t="n">
        <v>46164</v>
      </c>
      <c r="J1519" s="7" t="n">
        <v>9.8</v>
      </c>
      <c r="K1519" s="7" t="s">
        <v>1733</v>
      </c>
      <c r="L1519" s="7" t="s">
        <v>20</v>
      </c>
      <c r="M1519" s="7" t="s">
        <v>1848</v>
      </c>
      <c r="N1519" s="7" t="s">
        <v>58</v>
      </c>
      <c r="O1519" s="10" t="n">
        <f aca="false">'Exec Summary'!$E$2-H1519</f>
        <v>74</v>
      </c>
      <c r="P1519" s="10" t="n">
        <f aca="false">IF(I1519="","",I1519-H1519)</f>
        <v>4</v>
      </c>
      <c r="Q1519" s="10" t="n">
        <f aca="false">VLOOKUP(G1519,$AA$2:$AB$5,2,FALSE())</f>
        <v>15</v>
      </c>
      <c r="R1519" s="7" t="n">
        <f aca="false">IF(OR(F1519="Open",F1519="Reopened"),1,0)</f>
        <v>0</v>
      </c>
      <c r="S1519" s="7" t="n">
        <f aca="false">IF(AND(H1519&gt;='Exec Summary'!$E$1,H1519&lt;='Exec Summary'!$E$2),1,0)</f>
        <v>0</v>
      </c>
      <c r="T1519" s="7" t="n">
        <f aca="false">IF(AND(F1519="Closed",I1519&lt;&gt;"",I1519&gt;='Exec Summary'!$E$1,I1519&lt;='Exec Summary'!$E$2),1,0)</f>
        <v>0</v>
      </c>
      <c r="U1519" s="7" t="n">
        <f aca="false">IF(F1519="Reopened",1,0)</f>
        <v>0</v>
      </c>
      <c r="V1519" s="7" t="n">
        <f aca="false">IF(AND(R1519=1,O1519&gt;Q1519),1,0)</f>
        <v>0</v>
      </c>
      <c r="W1519" s="7" t="n">
        <f aca="false">IF(AND(T1519=1,P1519&lt;&gt;"",P1519&lt;=Q1519),1,0)</f>
        <v>0</v>
      </c>
    </row>
    <row r="1520" customFormat="false" ht="15" hidden="false" customHeight="false" outlineLevel="0" collapsed="false">
      <c r="A1520" s="7" t="s">
        <v>1849</v>
      </c>
      <c r="B1520" s="7" t="s">
        <v>46</v>
      </c>
      <c r="C1520" s="7" t="s">
        <v>158</v>
      </c>
      <c r="D1520" s="7" t="s">
        <v>65</v>
      </c>
      <c r="E1520" s="7" t="s">
        <v>66</v>
      </c>
      <c r="F1520" s="7" t="s">
        <v>123</v>
      </c>
      <c r="G1520" s="7" t="s">
        <v>19</v>
      </c>
      <c r="H1520" s="9" t="n">
        <v>46144</v>
      </c>
      <c r="I1520" s="9" t="n">
        <v>46147</v>
      </c>
      <c r="J1520" s="7" t="n">
        <v>9.8</v>
      </c>
      <c r="K1520" s="7" t="s">
        <v>1733</v>
      </c>
      <c r="L1520" s="7" t="s">
        <v>20</v>
      </c>
      <c r="M1520" s="7" t="s">
        <v>1850</v>
      </c>
      <c r="N1520" s="7" t="s">
        <v>58</v>
      </c>
      <c r="O1520" s="10" t="n">
        <f aca="false">'Exec Summary'!$E$2-H1520</f>
        <v>90</v>
      </c>
      <c r="P1520" s="10" t="n">
        <f aca="false">IF(I1520="","",I1520-H1520)</f>
        <v>3</v>
      </c>
      <c r="Q1520" s="10" t="n">
        <f aca="false">VLOOKUP(G1520,$AA$2:$AB$5,2,FALSE())</f>
        <v>15</v>
      </c>
      <c r="R1520" s="7" t="n">
        <f aca="false">IF(OR(F1520="Open",F1520="Reopened"),1,0)</f>
        <v>1</v>
      </c>
      <c r="S1520" s="7" t="n">
        <f aca="false">IF(AND(H1520&gt;='Exec Summary'!$E$1,H1520&lt;='Exec Summary'!$E$2),1,0)</f>
        <v>0</v>
      </c>
      <c r="T1520" s="7" t="n">
        <f aca="false">IF(AND(F1520="Closed",I1520&lt;&gt;"",I1520&gt;='Exec Summary'!$E$1,I1520&lt;='Exec Summary'!$E$2),1,0)</f>
        <v>0</v>
      </c>
      <c r="U1520" s="7" t="n">
        <f aca="false">IF(F1520="Reopened",1,0)</f>
        <v>1</v>
      </c>
      <c r="V1520" s="7" t="n">
        <f aca="false">IF(AND(R1520=1,O1520&gt;Q1520),1,0)</f>
        <v>1</v>
      </c>
      <c r="W1520" s="7" t="n">
        <f aca="false">IF(AND(T1520=1,P1520&lt;&gt;"",P1520&lt;=Q1520),1,0)</f>
        <v>0</v>
      </c>
    </row>
    <row r="1521" customFormat="false" ht="15" hidden="false" customHeight="false" outlineLevel="0" collapsed="false">
      <c r="A1521" s="7" t="s">
        <v>1849</v>
      </c>
      <c r="B1521" s="7" t="s">
        <v>46</v>
      </c>
      <c r="C1521" s="7" t="s">
        <v>158</v>
      </c>
      <c r="D1521" s="7" t="s">
        <v>152</v>
      </c>
      <c r="E1521" s="7" t="s">
        <v>153</v>
      </c>
      <c r="F1521" s="7" t="s">
        <v>56</v>
      </c>
      <c r="G1521" s="7" t="s">
        <v>20</v>
      </c>
      <c r="H1521" s="9" t="n">
        <v>46171</v>
      </c>
      <c r="I1521" s="9"/>
      <c r="J1521" s="7" t="n">
        <v>7.5</v>
      </c>
      <c r="K1521" s="7" t="s">
        <v>1733</v>
      </c>
      <c r="L1521" s="7" t="s">
        <v>20</v>
      </c>
      <c r="M1521" s="7" t="s">
        <v>1851</v>
      </c>
      <c r="N1521" s="7" t="s">
        <v>53</v>
      </c>
      <c r="O1521" s="10" t="n">
        <f aca="false">'Exec Summary'!$E$2-H1521</f>
        <v>63</v>
      </c>
      <c r="P1521" s="10" t="str">
        <f aca="false">IF(I1521="","",I1521-H1521)</f>
        <v/>
      </c>
      <c r="Q1521" s="10" t="n">
        <f aca="false">VLOOKUP(G1521,$AA$2:$AB$5,2,FALSE())</f>
        <v>30</v>
      </c>
      <c r="R1521" s="7" t="n">
        <f aca="false">IF(OR(F1521="Open",F1521="Reopened"),1,0)</f>
        <v>1</v>
      </c>
      <c r="S1521" s="7" t="n">
        <f aca="false">IF(AND(H1521&gt;='Exec Summary'!$E$1,H1521&lt;='Exec Summary'!$E$2),1,0)</f>
        <v>0</v>
      </c>
      <c r="T1521" s="7" t="n">
        <f aca="false">IF(AND(F1521="Closed",I1521&lt;&gt;"",I1521&gt;='Exec Summary'!$E$1,I1521&lt;='Exec Summary'!$E$2),1,0)</f>
        <v>0</v>
      </c>
      <c r="U1521" s="7" t="n">
        <f aca="false">IF(F1521="Reopened",1,0)</f>
        <v>0</v>
      </c>
      <c r="V1521" s="7" t="n">
        <f aca="false">IF(AND(R1521=1,O1521&gt;Q1521),1,0)</f>
        <v>1</v>
      </c>
      <c r="W1521" s="7" t="n">
        <f aca="false">IF(AND(T1521=1,P1521&lt;&gt;"",P1521&lt;=Q1521),1,0)</f>
        <v>0</v>
      </c>
    </row>
    <row r="1522" customFormat="false" ht="15" hidden="false" customHeight="false" outlineLevel="0" collapsed="false">
      <c r="A1522" s="7" t="s">
        <v>1852</v>
      </c>
      <c r="B1522" s="7" t="s">
        <v>46</v>
      </c>
      <c r="C1522" s="7" t="s">
        <v>158</v>
      </c>
      <c r="D1522" s="7" t="s">
        <v>101</v>
      </c>
      <c r="E1522" s="7" t="s">
        <v>102</v>
      </c>
      <c r="F1522" s="7" t="s">
        <v>56</v>
      </c>
      <c r="G1522" s="7" t="s">
        <v>19</v>
      </c>
      <c r="H1522" s="9" t="n">
        <v>45968</v>
      </c>
      <c r="I1522" s="9"/>
      <c r="J1522" s="7" t="n">
        <v>10</v>
      </c>
      <c r="K1522" s="7" t="s">
        <v>1733</v>
      </c>
      <c r="L1522" s="7" t="s">
        <v>20</v>
      </c>
      <c r="M1522" s="7" t="s">
        <v>1853</v>
      </c>
      <c r="N1522" s="7" t="s">
        <v>58</v>
      </c>
      <c r="O1522" s="10" t="n">
        <f aca="false">'Exec Summary'!$E$2-H1522</f>
        <v>266</v>
      </c>
      <c r="P1522" s="10" t="str">
        <f aca="false">IF(I1522="","",I1522-H1522)</f>
        <v/>
      </c>
      <c r="Q1522" s="10" t="n">
        <f aca="false">VLOOKUP(G1522,$AA$2:$AB$5,2,FALSE())</f>
        <v>15</v>
      </c>
      <c r="R1522" s="7" t="n">
        <f aca="false">IF(OR(F1522="Open",F1522="Reopened"),1,0)</f>
        <v>1</v>
      </c>
      <c r="S1522" s="7" t="n">
        <f aca="false">IF(AND(H1522&gt;='Exec Summary'!$E$1,H1522&lt;='Exec Summary'!$E$2),1,0)</f>
        <v>0</v>
      </c>
      <c r="T1522" s="7" t="n">
        <f aca="false">IF(AND(F1522="Closed",I1522&lt;&gt;"",I1522&gt;='Exec Summary'!$E$1,I1522&lt;='Exec Summary'!$E$2),1,0)</f>
        <v>0</v>
      </c>
      <c r="U1522" s="7" t="n">
        <f aca="false">IF(F1522="Reopened",1,0)</f>
        <v>0</v>
      </c>
      <c r="V1522" s="7" t="n">
        <f aca="false">IF(AND(R1522=1,O1522&gt;Q1522),1,0)</f>
        <v>1</v>
      </c>
      <c r="W1522" s="7" t="n">
        <f aca="false">IF(AND(T1522=1,P1522&lt;&gt;"",P1522&lt;=Q1522),1,0)</f>
        <v>0</v>
      </c>
    </row>
    <row r="1523" customFormat="false" ht="15" hidden="false" customHeight="false" outlineLevel="0" collapsed="false">
      <c r="A1523" s="7" t="s">
        <v>1852</v>
      </c>
      <c r="B1523" s="7" t="s">
        <v>46</v>
      </c>
      <c r="C1523" s="7" t="s">
        <v>158</v>
      </c>
      <c r="D1523" s="7" t="s">
        <v>65</v>
      </c>
      <c r="E1523" s="7" t="s">
        <v>66</v>
      </c>
      <c r="F1523" s="7" t="s">
        <v>56</v>
      </c>
      <c r="G1523" s="7" t="s">
        <v>19</v>
      </c>
      <c r="H1523" s="9" t="n">
        <v>45998</v>
      </c>
      <c r="I1523" s="9"/>
      <c r="J1523" s="7" t="n">
        <v>9.8</v>
      </c>
      <c r="K1523" s="7" t="s">
        <v>1733</v>
      </c>
      <c r="L1523" s="7" t="s">
        <v>20</v>
      </c>
      <c r="M1523" s="7" t="s">
        <v>1854</v>
      </c>
      <c r="N1523" s="7" t="s">
        <v>58</v>
      </c>
      <c r="O1523" s="10" t="n">
        <f aca="false">'Exec Summary'!$E$2-H1523</f>
        <v>236</v>
      </c>
      <c r="P1523" s="10" t="str">
        <f aca="false">IF(I1523="","",I1523-H1523)</f>
        <v/>
      </c>
      <c r="Q1523" s="10" t="n">
        <f aca="false">VLOOKUP(G1523,$AA$2:$AB$5,2,FALSE())</f>
        <v>15</v>
      </c>
      <c r="R1523" s="7" t="n">
        <f aca="false">IF(OR(F1523="Open",F1523="Reopened"),1,0)</f>
        <v>1</v>
      </c>
      <c r="S1523" s="7" t="n">
        <f aca="false">IF(AND(H1523&gt;='Exec Summary'!$E$1,H1523&lt;='Exec Summary'!$E$2),1,0)</f>
        <v>0</v>
      </c>
      <c r="T1523" s="7" t="n">
        <f aca="false">IF(AND(F1523="Closed",I1523&lt;&gt;"",I1523&gt;='Exec Summary'!$E$1,I1523&lt;='Exec Summary'!$E$2),1,0)</f>
        <v>0</v>
      </c>
      <c r="U1523" s="7" t="n">
        <f aca="false">IF(F1523="Reopened",1,0)</f>
        <v>0</v>
      </c>
      <c r="V1523" s="7" t="n">
        <f aca="false">IF(AND(R1523=1,O1523&gt;Q1523),1,0)</f>
        <v>1</v>
      </c>
      <c r="W1523" s="7" t="n">
        <f aca="false">IF(AND(T1523=1,P1523&lt;&gt;"",P1523&lt;=Q1523),1,0)</f>
        <v>0</v>
      </c>
    </row>
    <row r="1524" customFormat="false" ht="15" hidden="false" customHeight="false" outlineLevel="0" collapsed="false">
      <c r="A1524" s="7" t="s">
        <v>1855</v>
      </c>
      <c r="B1524" s="7" t="s">
        <v>46</v>
      </c>
      <c r="C1524" s="7" t="s">
        <v>177</v>
      </c>
      <c r="D1524" s="7" t="s">
        <v>192</v>
      </c>
      <c r="E1524" s="7" t="s">
        <v>193</v>
      </c>
      <c r="F1524" s="7" t="s">
        <v>50</v>
      </c>
      <c r="G1524" s="7" t="s">
        <v>19</v>
      </c>
      <c r="H1524" s="9" t="n">
        <v>46009</v>
      </c>
      <c r="I1524" s="9" t="n">
        <v>46014</v>
      </c>
      <c r="J1524" s="7" t="n">
        <v>9.8</v>
      </c>
      <c r="K1524" s="7" t="s">
        <v>1733</v>
      </c>
      <c r="L1524" s="7" t="s">
        <v>22</v>
      </c>
      <c r="M1524" s="7" t="s">
        <v>1856</v>
      </c>
      <c r="N1524" s="7" t="s">
        <v>58</v>
      </c>
      <c r="O1524" s="10" t="n">
        <f aca="false">'Exec Summary'!$E$2-H1524</f>
        <v>225</v>
      </c>
      <c r="P1524" s="10" t="n">
        <f aca="false">IF(I1524="","",I1524-H1524)</f>
        <v>5</v>
      </c>
      <c r="Q1524" s="10" t="n">
        <f aca="false">VLOOKUP(G1524,$AA$2:$AB$5,2,FALSE())</f>
        <v>15</v>
      </c>
      <c r="R1524" s="7" t="n">
        <f aca="false">IF(OR(F1524="Open",F1524="Reopened"),1,0)</f>
        <v>0</v>
      </c>
      <c r="S1524" s="7" t="n">
        <f aca="false">IF(AND(H1524&gt;='Exec Summary'!$E$1,H1524&lt;='Exec Summary'!$E$2),1,0)</f>
        <v>0</v>
      </c>
      <c r="T1524" s="7" t="n">
        <f aca="false">IF(AND(F1524="Closed",I1524&lt;&gt;"",I1524&gt;='Exec Summary'!$E$1,I1524&lt;='Exec Summary'!$E$2),1,0)</f>
        <v>0</v>
      </c>
      <c r="U1524" s="7" t="n">
        <f aca="false">IF(F1524="Reopened",1,0)</f>
        <v>0</v>
      </c>
      <c r="V1524" s="7" t="n">
        <f aca="false">IF(AND(R1524=1,O1524&gt;Q1524),1,0)</f>
        <v>0</v>
      </c>
      <c r="W1524" s="7" t="n">
        <f aca="false">IF(AND(T1524=1,P1524&lt;&gt;"",P1524&lt;=Q1524),1,0)</f>
        <v>0</v>
      </c>
    </row>
    <row r="1525" customFormat="false" ht="15" hidden="false" customHeight="false" outlineLevel="0" collapsed="false">
      <c r="A1525" s="7" t="s">
        <v>1855</v>
      </c>
      <c r="B1525" s="7" t="s">
        <v>46</v>
      </c>
      <c r="C1525" s="7" t="s">
        <v>177</v>
      </c>
      <c r="D1525" s="7" t="s">
        <v>74</v>
      </c>
      <c r="E1525" s="7" t="s">
        <v>75</v>
      </c>
      <c r="F1525" s="7" t="s">
        <v>56</v>
      </c>
      <c r="G1525" s="7" t="s">
        <v>21</v>
      </c>
      <c r="H1525" s="9" t="n">
        <v>46122</v>
      </c>
      <c r="I1525" s="9"/>
      <c r="J1525" s="7" t="n">
        <v>6.5</v>
      </c>
      <c r="K1525" s="7" t="s">
        <v>1733</v>
      </c>
      <c r="L1525" s="7" t="s">
        <v>22</v>
      </c>
      <c r="M1525" s="7" t="s">
        <v>1857</v>
      </c>
      <c r="N1525" s="7" t="s">
        <v>77</v>
      </c>
      <c r="O1525" s="10" t="n">
        <f aca="false">'Exec Summary'!$E$2-H1525</f>
        <v>112</v>
      </c>
      <c r="P1525" s="10" t="str">
        <f aca="false">IF(I1525="","",I1525-H1525)</f>
        <v/>
      </c>
      <c r="Q1525" s="10" t="n">
        <f aca="false">VLOOKUP(G1525,$AA$2:$AB$5,2,FALSE())</f>
        <v>90</v>
      </c>
      <c r="R1525" s="7" t="n">
        <f aca="false">IF(OR(F1525="Open",F1525="Reopened"),1,0)</f>
        <v>1</v>
      </c>
      <c r="S1525" s="7" t="n">
        <f aca="false">IF(AND(H1525&gt;='Exec Summary'!$E$1,H1525&lt;='Exec Summary'!$E$2),1,0)</f>
        <v>0</v>
      </c>
      <c r="T1525" s="7" t="n">
        <f aca="false">IF(AND(F1525="Closed",I1525&lt;&gt;"",I1525&gt;='Exec Summary'!$E$1,I1525&lt;='Exec Summary'!$E$2),1,0)</f>
        <v>0</v>
      </c>
      <c r="U1525" s="7" t="n">
        <f aca="false">IF(F1525="Reopened",1,0)</f>
        <v>0</v>
      </c>
      <c r="V1525" s="7" t="n">
        <f aca="false">IF(AND(R1525=1,O1525&gt;Q1525),1,0)</f>
        <v>1</v>
      </c>
      <c r="W1525" s="7" t="n">
        <f aca="false">IF(AND(T1525=1,P1525&lt;&gt;"",P1525&lt;=Q1525),1,0)</f>
        <v>0</v>
      </c>
    </row>
    <row r="1526" customFormat="false" ht="15" hidden="false" customHeight="false" outlineLevel="0" collapsed="false">
      <c r="A1526" s="7" t="s">
        <v>1855</v>
      </c>
      <c r="B1526" s="7" t="s">
        <v>46</v>
      </c>
      <c r="C1526" s="7" t="s">
        <v>177</v>
      </c>
      <c r="D1526" s="7" t="s">
        <v>68</v>
      </c>
      <c r="E1526" s="7" t="s">
        <v>69</v>
      </c>
      <c r="F1526" s="7" t="s">
        <v>50</v>
      </c>
      <c r="G1526" s="7" t="s">
        <v>19</v>
      </c>
      <c r="H1526" s="9" t="n">
        <v>46008</v>
      </c>
      <c r="I1526" s="9" t="n">
        <v>46009</v>
      </c>
      <c r="J1526" s="7" t="n">
        <v>9.8</v>
      </c>
      <c r="K1526" s="7" t="s">
        <v>1733</v>
      </c>
      <c r="L1526" s="7" t="s">
        <v>22</v>
      </c>
      <c r="M1526" s="7" t="s">
        <v>1858</v>
      </c>
      <c r="N1526" s="7" t="s">
        <v>58</v>
      </c>
      <c r="O1526" s="10" t="n">
        <f aca="false">'Exec Summary'!$E$2-H1526</f>
        <v>226</v>
      </c>
      <c r="P1526" s="10" t="n">
        <f aca="false">IF(I1526="","",I1526-H1526)</f>
        <v>1</v>
      </c>
      <c r="Q1526" s="10" t="n">
        <f aca="false">VLOOKUP(G1526,$AA$2:$AB$5,2,FALSE())</f>
        <v>15</v>
      </c>
      <c r="R1526" s="7" t="n">
        <f aca="false">IF(OR(F1526="Open",F1526="Reopened"),1,0)</f>
        <v>0</v>
      </c>
      <c r="S1526" s="7" t="n">
        <f aca="false">IF(AND(H1526&gt;='Exec Summary'!$E$1,H1526&lt;='Exec Summary'!$E$2),1,0)</f>
        <v>0</v>
      </c>
      <c r="T1526" s="7" t="n">
        <f aca="false">IF(AND(F1526="Closed",I1526&lt;&gt;"",I1526&gt;='Exec Summary'!$E$1,I1526&lt;='Exec Summary'!$E$2),1,0)</f>
        <v>0</v>
      </c>
      <c r="U1526" s="7" t="n">
        <f aca="false">IF(F1526="Reopened",1,0)</f>
        <v>0</v>
      </c>
      <c r="V1526" s="7" t="n">
        <f aca="false">IF(AND(R1526=1,O1526&gt;Q1526),1,0)</f>
        <v>0</v>
      </c>
      <c r="W1526" s="7" t="n">
        <f aca="false">IF(AND(T1526=1,P1526&lt;&gt;"",P1526&lt;=Q1526),1,0)</f>
        <v>0</v>
      </c>
    </row>
    <row r="1527" customFormat="false" ht="15" hidden="false" customHeight="false" outlineLevel="0" collapsed="false">
      <c r="A1527" s="7" t="s">
        <v>1855</v>
      </c>
      <c r="B1527" s="7" t="s">
        <v>46</v>
      </c>
      <c r="C1527" s="7" t="s">
        <v>177</v>
      </c>
      <c r="D1527" s="7" t="s">
        <v>87</v>
      </c>
      <c r="E1527" s="7" t="s">
        <v>88</v>
      </c>
      <c r="F1527" s="7" t="s">
        <v>50</v>
      </c>
      <c r="G1527" s="7" t="s">
        <v>19</v>
      </c>
      <c r="H1527" s="9" t="n">
        <v>46110</v>
      </c>
      <c r="I1527" s="9" t="n">
        <v>46120</v>
      </c>
      <c r="J1527" s="7" t="n">
        <v>10</v>
      </c>
      <c r="K1527" s="7" t="s">
        <v>1733</v>
      </c>
      <c r="L1527" s="7" t="s">
        <v>22</v>
      </c>
      <c r="M1527" s="7" t="s">
        <v>1859</v>
      </c>
      <c r="N1527" s="7" t="s">
        <v>58</v>
      </c>
      <c r="O1527" s="10" t="n">
        <f aca="false">'Exec Summary'!$E$2-H1527</f>
        <v>124</v>
      </c>
      <c r="P1527" s="10" t="n">
        <f aca="false">IF(I1527="","",I1527-H1527)</f>
        <v>10</v>
      </c>
      <c r="Q1527" s="10" t="n">
        <f aca="false">VLOOKUP(G1527,$AA$2:$AB$5,2,FALSE())</f>
        <v>15</v>
      </c>
      <c r="R1527" s="7" t="n">
        <f aca="false">IF(OR(F1527="Open",F1527="Reopened"),1,0)</f>
        <v>0</v>
      </c>
      <c r="S1527" s="7" t="n">
        <f aca="false">IF(AND(H1527&gt;='Exec Summary'!$E$1,H1527&lt;='Exec Summary'!$E$2),1,0)</f>
        <v>0</v>
      </c>
      <c r="T1527" s="7" t="n">
        <f aca="false">IF(AND(F1527="Closed",I1527&lt;&gt;"",I1527&gt;='Exec Summary'!$E$1,I1527&lt;='Exec Summary'!$E$2),1,0)</f>
        <v>0</v>
      </c>
      <c r="U1527" s="7" t="n">
        <f aca="false">IF(F1527="Reopened",1,0)</f>
        <v>0</v>
      </c>
      <c r="V1527" s="7" t="n">
        <f aca="false">IF(AND(R1527=1,O1527&gt;Q1527),1,0)</f>
        <v>0</v>
      </c>
      <c r="W1527" s="7" t="n">
        <f aca="false">IF(AND(T1527=1,P1527&lt;&gt;"",P1527&lt;=Q1527),1,0)</f>
        <v>0</v>
      </c>
    </row>
    <row r="1528" customFormat="false" ht="15" hidden="false" customHeight="false" outlineLevel="0" collapsed="false">
      <c r="A1528" s="7" t="s">
        <v>1855</v>
      </c>
      <c r="B1528" s="7" t="s">
        <v>46</v>
      </c>
      <c r="C1528" s="7" t="s">
        <v>177</v>
      </c>
      <c r="D1528" s="7" t="s">
        <v>71</v>
      </c>
      <c r="E1528" s="7" t="s">
        <v>72</v>
      </c>
      <c r="F1528" s="7" t="s">
        <v>50</v>
      </c>
      <c r="G1528" s="7" t="s">
        <v>19</v>
      </c>
      <c r="H1528" s="9" t="n">
        <v>45969</v>
      </c>
      <c r="I1528" s="9" t="n">
        <v>45975</v>
      </c>
      <c r="J1528" s="7" t="n">
        <v>9.8</v>
      </c>
      <c r="K1528" s="7" t="s">
        <v>1733</v>
      </c>
      <c r="L1528" s="7" t="s">
        <v>22</v>
      </c>
      <c r="M1528" s="7" t="s">
        <v>1860</v>
      </c>
      <c r="N1528" s="7" t="s">
        <v>58</v>
      </c>
      <c r="O1528" s="10" t="n">
        <f aca="false">'Exec Summary'!$E$2-H1528</f>
        <v>265</v>
      </c>
      <c r="P1528" s="10" t="n">
        <f aca="false">IF(I1528="","",I1528-H1528)</f>
        <v>6</v>
      </c>
      <c r="Q1528" s="10" t="n">
        <f aca="false">VLOOKUP(G1528,$AA$2:$AB$5,2,FALSE())</f>
        <v>15</v>
      </c>
      <c r="R1528" s="7" t="n">
        <f aca="false">IF(OR(F1528="Open",F1528="Reopened"),1,0)</f>
        <v>0</v>
      </c>
      <c r="S1528" s="7" t="n">
        <f aca="false">IF(AND(H1528&gt;='Exec Summary'!$E$1,H1528&lt;='Exec Summary'!$E$2),1,0)</f>
        <v>0</v>
      </c>
      <c r="T1528" s="7" t="n">
        <f aca="false">IF(AND(F1528="Closed",I1528&lt;&gt;"",I1528&gt;='Exec Summary'!$E$1,I1528&lt;='Exec Summary'!$E$2),1,0)</f>
        <v>0</v>
      </c>
      <c r="U1528" s="7" t="n">
        <f aca="false">IF(F1528="Reopened",1,0)</f>
        <v>0</v>
      </c>
      <c r="V1528" s="7" t="n">
        <f aca="false">IF(AND(R1528=1,O1528&gt;Q1528),1,0)</f>
        <v>0</v>
      </c>
      <c r="W1528" s="7" t="n">
        <f aca="false">IF(AND(T1528=1,P1528&lt;&gt;"",P1528&lt;=Q1528),1,0)</f>
        <v>0</v>
      </c>
    </row>
    <row r="1529" customFormat="false" ht="15" hidden="false" customHeight="false" outlineLevel="0" collapsed="false">
      <c r="A1529" s="7" t="s">
        <v>1855</v>
      </c>
      <c r="B1529" s="7" t="s">
        <v>46</v>
      </c>
      <c r="C1529" s="7" t="s">
        <v>177</v>
      </c>
      <c r="D1529" s="7" t="s">
        <v>62</v>
      </c>
      <c r="E1529" s="7" t="s">
        <v>63</v>
      </c>
      <c r="F1529" s="7" t="s">
        <v>56</v>
      </c>
      <c r="G1529" s="7" t="s">
        <v>20</v>
      </c>
      <c r="H1529" s="9" t="n">
        <v>46223</v>
      </c>
      <c r="I1529" s="9"/>
      <c r="J1529" s="7" t="n">
        <v>8.1</v>
      </c>
      <c r="K1529" s="7" t="s">
        <v>1733</v>
      </c>
      <c r="L1529" s="7" t="s">
        <v>22</v>
      </c>
      <c r="M1529" s="7" t="s">
        <v>1861</v>
      </c>
      <c r="N1529" s="7" t="s">
        <v>53</v>
      </c>
      <c r="O1529" s="10" t="n">
        <f aca="false">'Exec Summary'!$E$2-H1529</f>
        <v>11</v>
      </c>
      <c r="P1529" s="10" t="str">
        <f aca="false">IF(I1529="","",I1529-H1529)</f>
        <v/>
      </c>
      <c r="Q1529" s="10" t="n">
        <f aca="false">VLOOKUP(G1529,$AA$2:$AB$5,2,FALSE())</f>
        <v>30</v>
      </c>
      <c r="R1529" s="7" t="n">
        <f aca="false">IF(OR(F1529="Open",F1529="Reopened"),1,0)</f>
        <v>1</v>
      </c>
      <c r="S1529" s="7" t="n">
        <f aca="false">IF(AND(H1529&gt;='Exec Summary'!$E$1,H1529&lt;='Exec Summary'!$E$2),1,0)</f>
        <v>1</v>
      </c>
      <c r="T1529" s="7" t="n">
        <f aca="false">IF(AND(F1529="Closed",I1529&lt;&gt;"",I1529&gt;='Exec Summary'!$E$1,I1529&lt;='Exec Summary'!$E$2),1,0)</f>
        <v>0</v>
      </c>
      <c r="U1529" s="7" t="n">
        <f aca="false">IF(F1529="Reopened",1,0)</f>
        <v>0</v>
      </c>
      <c r="V1529" s="7" t="n">
        <f aca="false">IF(AND(R1529=1,O1529&gt;Q1529),1,0)</f>
        <v>0</v>
      </c>
      <c r="W1529" s="7" t="n">
        <f aca="false">IF(AND(T1529=1,P1529&lt;&gt;"",P1529&lt;=Q1529),1,0)</f>
        <v>0</v>
      </c>
    </row>
    <row r="1530" customFormat="false" ht="15" hidden="false" customHeight="false" outlineLevel="0" collapsed="false">
      <c r="A1530" s="7" t="s">
        <v>1855</v>
      </c>
      <c r="B1530" s="7" t="s">
        <v>46</v>
      </c>
      <c r="C1530" s="7" t="s">
        <v>177</v>
      </c>
      <c r="D1530" s="7" t="s">
        <v>108</v>
      </c>
      <c r="E1530" s="7" t="s">
        <v>109</v>
      </c>
      <c r="F1530" s="7" t="s">
        <v>50</v>
      </c>
      <c r="G1530" s="7" t="s">
        <v>20</v>
      </c>
      <c r="H1530" s="9" t="n">
        <v>46148</v>
      </c>
      <c r="I1530" s="9" t="n">
        <v>46152</v>
      </c>
      <c r="J1530" s="7" t="n">
        <v>8.6</v>
      </c>
      <c r="K1530" s="7" t="s">
        <v>1733</v>
      </c>
      <c r="L1530" s="7" t="s">
        <v>22</v>
      </c>
      <c r="M1530" s="7" t="s">
        <v>1862</v>
      </c>
      <c r="N1530" s="7" t="s">
        <v>53</v>
      </c>
      <c r="O1530" s="10" t="n">
        <f aca="false">'Exec Summary'!$E$2-H1530</f>
        <v>86</v>
      </c>
      <c r="P1530" s="10" t="n">
        <f aca="false">IF(I1530="","",I1530-H1530)</f>
        <v>4</v>
      </c>
      <c r="Q1530" s="10" t="n">
        <f aca="false">VLOOKUP(G1530,$AA$2:$AB$5,2,FALSE())</f>
        <v>30</v>
      </c>
      <c r="R1530" s="7" t="n">
        <f aca="false">IF(OR(F1530="Open",F1530="Reopened"),1,0)</f>
        <v>0</v>
      </c>
      <c r="S1530" s="7" t="n">
        <f aca="false">IF(AND(H1530&gt;='Exec Summary'!$E$1,H1530&lt;='Exec Summary'!$E$2),1,0)</f>
        <v>0</v>
      </c>
      <c r="T1530" s="7" t="n">
        <f aca="false">IF(AND(F1530="Closed",I1530&lt;&gt;"",I1530&gt;='Exec Summary'!$E$1,I1530&lt;='Exec Summary'!$E$2),1,0)</f>
        <v>0</v>
      </c>
      <c r="U1530" s="7" t="n">
        <f aca="false">IF(F1530="Reopened",1,0)</f>
        <v>0</v>
      </c>
      <c r="V1530" s="7" t="n">
        <f aca="false">IF(AND(R1530=1,O1530&gt;Q1530),1,0)</f>
        <v>0</v>
      </c>
      <c r="W1530" s="7" t="n">
        <f aca="false">IF(AND(T1530=1,P1530&lt;&gt;"",P1530&lt;=Q1530),1,0)</f>
        <v>0</v>
      </c>
    </row>
    <row r="1531" customFormat="false" ht="15" hidden="false" customHeight="false" outlineLevel="0" collapsed="false">
      <c r="A1531" s="7" t="s">
        <v>1855</v>
      </c>
      <c r="B1531" s="7" t="s">
        <v>46</v>
      </c>
      <c r="C1531" s="7" t="s">
        <v>177</v>
      </c>
      <c r="D1531" s="7" t="s">
        <v>104</v>
      </c>
      <c r="E1531" s="7" t="s">
        <v>105</v>
      </c>
      <c r="F1531" s="7" t="s">
        <v>50</v>
      </c>
      <c r="G1531" s="7" t="s">
        <v>19</v>
      </c>
      <c r="H1531" s="9" t="n">
        <v>46187</v>
      </c>
      <c r="I1531" s="9" t="n">
        <v>46203</v>
      </c>
      <c r="J1531" s="7" t="n">
        <v>9.8</v>
      </c>
      <c r="K1531" s="7" t="s">
        <v>1733</v>
      </c>
      <c r="L1531" s="7" t="s">
        <v>22</v>
      </c>
      <c r="M1531" s="7" t="s">
        <v>1863</v>
      </c>
      <c r="N1531" s="7" t="s">
        <v>58</v>
      </c>
      <c r="O1531" s="10" t="n">
        <f aca="false">'Exec Summary'!$E$2-H1531</f>
        <v>47</v>
      </c>
      <c r="P1531" s="10" t="n">
        <f aca="false">IF(I1531="","",I1531-H1531)</f>
        <v>16</v>
      </c>
      <c r="Q1531" s="10" t="n">
        <f aca="false">VLOOKUP(G1531,$AA$2:$AB$5,2,FALSE())</f>
        <v>15</v>
      </c>
      <c r="R1531" s="7" t="n">
        <f aca="false">IF(OR(F1531="Open",F1531="Reopened"),1,0)</f>
        <v>0</v>
      </c>
      <c r="S1531" s="7" t="n">
        <f aca="false">IF(AND(H1531&gt;='Exec Summary'!$E$1,H1531&lt;='Exec Summary'!$E$2),1,0)</f>
        <v>0</v>
      </c>
      <c r="T1531" s="7" t="n">
        <f aca="false">IF(AND(F1531="Closed",I1531&lt;&gt;"",I1531&gt;='Exec Summary'!$E$1,I1531&lt;='Exec Summary'!$E$2),1,0)</f>
        <v>0</v>
      </c>
      <c r="U1531" s="7" t="n">
        <f aca="false">IF(F1531="Reopened",1,0)</f>
        <v>0</v>
      </c>
      <c r="V1531" s="7" t="n">
        <f aca="false">IF(AND(R1531=1,O1531&gt;Q1531),1,0)</f>
        <v>0</v>
      </c>
      <c r="W1531" s="7" t="n">
        <f aca="false">IF(AND(T1531=1,P1531&lt;&gt;"",P1531&lt;=Q1531),1,0)</f>
        <v>0</v>
      </c>
    </row>
    <row r="1532" customFormat="false" ht="15" hidden="false" customHeight="false" outlineLevel="0" collapsed="false">
      <c r="A1532" s="7" t="s">
        <v>1855</v>
      </c>
      <c r="B1532" s="7" t="s">
        <v>46</v>
      </c>
      <c r="C1532" s="7" t="s">
        <v>177</v>
      </c>
      <c r="D1532" s="7" t="s">
        <v>166</v>
      </c>
      <c r="E1532" s="7" t="s">
        <v>167</v>
      </c>
      <c r="F1532" s="7" t="s">
        <v>50</v>
      </c>
      <c r="G1532" s="7" t="s">
        <v>19</v>
      </c>
      <c r="H1532" s="9" t="n">
        <v>46056</v>
      </c>
      <c r="I1532" s="9" t="n">
        <v>46067</v>
      </c>
      <c r="J1532" s="7" t="n">
        <v>9.8</v>
      </c>
      <c r="K1532" s="7" t="s">
        <v>1733</v>
      </c>
      <c r="L1532" s="7" t="s">
        <v>22</v>
      </c>
      <c r="M1532" s="7" t="s">
        <v>1864</v>
      </c>
      <c r="N1532" s="7" t="s">
        <v>58</v>
      </c>
      <c r="O1532" s="10" t="n">
        <f aca="false">'Exec Summary'!$E$2-H1532</f>
        <v>178</v>
      </c>
      <c r="P1532" s="10" t="n">
        <f aca="false">IF(I1532="","",I1532-H1532)</f>
        <v>11</v>
      </c>
      <c r="Q1532" s="10" t="n">
        <f aca="false">VLOOKUP(G1532,$AA$2:$AB$5,2,FALSE())</f>
        <v>15</v>
      </c>
      <c r="R1532" s="7" t="n">
        <f aca="false">IF(OR(F1532="Open",F1532="Reopened"),1,0)</f>
        <v>0</v>
      </c>
      <c r="S1532" s="7" t="n">
        <f aca="false">IF(AND(H1532&gt;='Exec Summary'!$E$1,H1532&lt;='Exec Summary'!$E$2),1,0)</f>
        <v>0</v>
      </c>
      <c r="T1532" s="7" t="n">
        <f aca="false">IF(AND(F1532="Closed",I1532&lt;&gt;"",I1532&gt;='Exec Summary'!$E$1,I1532&lt;='Exec Summary'!$E$2),1,0)</f>
        <v>0</v>
      </c>
      <c r="U1532" s="7" t="n">
        <f aca="false">IF(F1532="Reopened",1,0)</f>
        <v>0</v>
      </c>
      <c r="V1532" s="7" t="n">
        <f aca="false">IF(AND(R1532=1,O1532&gt;Q1532),1,0)</f>
        <v>0</v>
      </c>
      <c r="W1532" s="7" t="n">
        <f aca="false">IF(AND(T1532=1,P1532&lt;&gt;"",P1532&lt;=Q1532),1,0)</f>
        <v>0</v>
      </c>
    </row>
    <row r="1533" customFormat="false" ht="15" hidden="false" customHeight="false" outlineLevel="0" collapsed="false">
      <c r="A1533" s="7" t="s">
        <v>1855</v>
      </c>
      <c r="B1533" s="7" t="s">
        <v>46</v>
      </c>
      <c r="C1533" s="7" t="s">
        <v>177</v>
      </c>
      <c r="D1533" s="7" t="s">
        <v>59</v>
      </c>
      <c r="E1533" s="7" t="s">
        <v>60</v>
      </c>
      <c r="F1533" s="7" t="s">
        <v>50</v>
      </c>
      <c r="G1533" s="7" t="s">
        <v>19</v>
      </c>
      <c r="H1533" s="9" t="n">
        <v>46126</v>
      </c>
      <c r="I1533" s="9" t="n">
        <v>46145</v>
      </c>
      <c r="J1533" s="7" t="n">
        <v>7.8</v>
      </c>
      <c r="K1533" s="7" t="s">
        <v>1733</v>
      </c>
      <c r="L1533" s="7" t="s">
        <v>22</v>
      </c>
      <c r="M1533" s="7" t="s">
        <v>1865</v>
      </c>
      <c r="N1533" s="7" t="s">
        <v>58</v>
      </c>
      <c r="O1533" s="10" t="n">
        <f aca="false">'Exec Summary'!$E$2-H1533</f>
        <v>108</v>
      </c>
      <c r="P1533" s="10" t="n">
        <f aca="false">IF(I1533="","",I1533-H1533)</f>
        <v>19</v>
      </c>
      <c r="Q1533" s="10" t="n">
        <f aca="false">VLOOKUP(G1533,$AA$2:$AB$5,2,FALSE())</f>
        <v>15</v>
      </c>
      <c r="R1533" s="7" t="n">
        <f aca="false">IF(OR(F1533="Open",F1533="Reopened"),1,0)</f>
        <v>0</v>
      </c>
      <c r="S1533" s="7" t="n">
        <f aca="false">IF(AND(H1533&gt;='Exec Summary'!$E$1,H1533&lt;='Exec Summary'!$E$2),1,0)</f>
        <v>0</v>
      </c>
      <c r="T1533" s="7" t="n">
        <f aca="false">IF(AND(F1533="Closed",I1533&lt;&gt;"",I1533&gt;='Exec Summary'!$E$1,I1533&lt;='Exec Summary'!$E$2),1,0)</f>
        <v>0</v>
      </c>
      <c r="U1533" s="7" t="n">
        <f aca="false">IF(F1533="Reopened",1,0)</f>
        <v>0</v>
      </c>
      <c r="V1533" s="7" t="n">
        <f aca="false">IF(AND(R1533=1,O1533&gt;Q1533),1,0)</f>
        <v>0</v>
      </c>
      <c r="W1533" s="7" t="n">
        <f aca="false">IF(AND(T1533=1,P1533&lt;&gt;"",P1533&lt;=Q1533),1,0)</f>
        <v>0</v>
      </c>
    </row>
    <row r="1534" customFormat="false" ht="15" hidden="false" customHeight="false" outlineLevel="0" collapsed="false">
      <c r="A1534" s="7" t="s">
        <v>1855</v>
      </c>
      <c r="B1534" s="7" t="s">
        <v>46</v>
      </c>
      <c r="C1534" s="7" t="s">
        <v>177</v>
      </c>
      <c r="D1534" s="7" t="s">
        <v>120</v>
      </c>
      <c r="E1534" s="7" t="s">
        <v>121</v>
      </c>
      <c r="F1534" s="7" t="s">
        <v>50</v>
      </c>
      <c r="G1534" s="7" t="s">
        <v>19</v>
      </c>
      <c r="H1534" s="9" t="n">
        <v>46117</v>
      </c>
      <c r="I1534" s="9" t="n">
        <v>46146</v>
      </c>
      <c r="J1534" s="7" t="n">
        <v>8.8</v>
      </c>
      <c r="K1534" s="7" t="s">
        <v>1733</v>
      </c>
      <c r="L1534" s="7" t="s">
        <v>22</v>
      </c>
      <c r="M1534" s="7" t="s">
        <v>1866</v>
      </c>
      <c r="N1534" s="7" t="s">
        <v>58</v>
      </c>
      <c r="O1534" s="10" t="n">
        <f aca="false">'Exec Summary'!$E$2-H1534</f>
        <v>117</v>
      </c>
      <c r="P1534" s="10" t="n">
        <f aca="false">IF(I1534="","",I1534-H1534)</f>
        <v>29</v>
      </c>
      <c r="Q1534" s="10" t="n">
        <f aca="false">VLOOKUP(G1534,$AA$2:$AB$5,2,FALSE())</f>
        <v>15</v>
      </c>
      <c r="R1534" s="7" t="n">
        <f aca="false">IF(OR(F1534="Open",F1534="Reopened"),1,0)</f>
        <v>0</v>
      </c>
      <c r="S1534" s="7" t="n">
        <f aca="false">IF(AND(H1534&gt;='Exec Summary'!$E$1,H1534&lt;='Exec Summary'!$E$2),1,0)</f>
        <v>0</v>
      </c>
      <c r="T1534" s="7" t="n">
        <f aca="false">IF(AND(F1534="Closed",I1534&lt;&gt;"",I1534&gt;='Exec Summary'!$E$1,I1534&lt;='Exec Summary'!$E$2),1,0)</f>
        <v>0</v>
      </c>
      <c r="U1534" s="7" t="n">
        <f aca="false">IF(F1534="Reopened",1,0)</f>
        <v>0</v>
      </c>
      <c r="V1534" s="7" t="n">
        <f aca="false">IF(AND(R1534=1,O1534&gt;Q1534),1,0)</f>
        <v>0</v>
      </c>
      <c r="W1534" s="7" t="n">
        <f aca="false">IF(AND(T1534=1,P1534&lt;&gt;"",P1534&lt;=Q1534),1,0)</f>
        <v>0</v>
      </c>
    </row>
    <row r="1535" customFormat="false" ht="15" hidden="false" customHeight="false" outlineLevel="0" collapsed="false">
      <c r="A1535" s="7" t="s">
        <v>1855</v>
      </c>
      <c r="B1535" s="7" t="s">
        <v>46</v>
      </c>
      <c r="C1535" s="7" t="s">
        <v>177</v>
      </c>
      <c r="D1535" s="7" t="s">
        <v>91</v>
      </c>
      <c r="E1535" s="7" t="s">
        <v>92</v>
      </c>
      <c r="F1535" s="7" t="s">
        <v>123</v>
      </c>
      <c r="G1535" s="7" t="s">
        <v>20</v>
      </c>
      <c r="H1535" s="9" t="n">
        <v>46159</v>
      </c>
      <c r="I1535" s="9" t="n">
        <v>46161</v>
      </c>
      <c r="J1535" s="7" t="n">
        <v>8.1</v>
      </c>
      <c r="K1535" s="7" t="s">
        <v>1733</v>
      </c>
      <c r="L1535" s="7" t="s">
        <v>22</v>
      </c>
      <c r="M1535" s="7" t="s">
        <v>1867</v>
      </c>
      <c r="N1535" s="7" t="s">
        <v>53</v>
      </c>
      <c r="O1535" s="10" t="n">
        <f aca="false">'Exec Summary'!$E$2-H1535</f>
        <v>75</v>
      </c>
      <c r="P1535" s="10" t="n">
        <f aca="false">IF(I1535="","",I1535-H1535)</f>
        <v>2</v>
      </c>
      <c r="Q1535" s="10" t="n">
        <f aca="false">VLOOKUP(G1535,$AA$2:$AB$5,2,FALSE())</f>
        <v>30</v>
      </c>
      <c r="R1535" s="7" t="n">
        <f aca="false">IF(OR(F1535="Open",F1535="Reopened"),1,0)</f>
        <v>1</v>
      </c>
      <c r="S1535" s="7" t="n">
        <f aca="false">IF(AND(H1535&gt;='Exec Summary'!$E$1,H1535&lt;='Exec Summary'!$E$2),1,0)</f>
        <v>0</v>
      </c>
      <c r="T1535" s="7" t="n">
        <f aca="false">IF(AND(F1535="Closed",I1535&lt;&gt;"",I1535&gt;='Exec Summary'!$E$1,I1535&lt;='Exec Summary'!$E$2),1,0)</f>
        <v>0</v>
      </c>
      <c r="U1535" s="7" t="n">
        <f aca="false">IF(F1535="Reopened",1,0)</f>
        <v>1</v>
      </c>
      <c r="V1535" s="7" t="n">
        <f aca="false">IF(AND(R1535=1,O1535&gt;Q1535),1,0)</f>
        <v>1</v>
      </c>
      <c r="W1535" s="7" t="n">
        <f aca="false">IF(AND(T1535=1,P1535&lt;&gt;"",P1535&lt;=Q1535),1,0)</f>
        <v>0</v>
      </c>
    </row>
    <row r="1536" customFormat="false" ht="15" hidden="false" customHeight="false" outlineLevel="0" collapsed="false">
      <c r="A1536" s="7" t="s">
        <v>1855</v>
      </c>
      <c r="B1536" s="7" t="s">
        <v>46</v>
      </c>
      <c r="C1536" s="7" t="s">
        <v>177</v>
      </c>
      <c r="D1536" s="7" t="s">
        <v>81</v>
      </c>
      <c r="E1536" s="7" t="s">
        <v>82</v>
      </c>
      <c r="F1536" s="7" t="s">
        <v>50</v>
      </c>
      <c r="G1536" s="7" t="s">
        <v>20</v>
      </c>
      <c r="H1536" s="9" t="n">
        <v>46035</v>
      </c>
      <c r="I1536" s="9" t="n">
        <v>46045</v>
      </c>
      <c r="J1536" s="7" t="n">
        <v>7.8</v>
      </c>
      <c r="K1536" s="7" t="s">
        <v>1733</v>
      </c>
      <c r="L1536" s="7" t="s">
        <v>22</v>
      </c>
      <c r="M1536" s="7" t="s">
        <v>1868</v>
      </c>
      <c r="N1536" s="7" t="s">
        <v>53</v>
      </c>
      <c r="O1536" s="10" t="n">
        <f aca="false">'Exec Summary'!$E$2-H1536</f>
        <v>199</v>
      </c>
      <c r="P1536" s="10" t="n">
        <f aca="false">IF(I1536="","",I1536-H1536)</f>
        <v>10</v>
      </c>
      <c r="Q1536" s="10" t="n">
        <f aca="false">VLOOKUP(G1536,$AA$2:$AB$5,2,FALSE())</f>
        <v>30</v>
      </c>
      <c r="R1536" s="7" t="n">
        <f aca="false">IF(OR(F1536="Open",F1536="Reopened"),1,0)</f>
        <v>0</v>
      </c>
      <c r="S1536" s="7" t="n">
        <f aca="false">IF(AND(H1536&gt;='Exec Summary'!$E$1,H1536&lt;='Exec Summary'!$E$2),1,0)</f>
        <v>0</v>
      </c>
      <c r="T1536" s="7" t="n">
        <f aca="false">IF(AND(F1536="Closed",I1536&lt;&gt;"",I1536&gt;='Exec Summary'!$E$1,I1536&lt;='Exec Summary'!$E$2),1,0)</f>
        <v>0</v>
      </c>
      <c r="U1536" s="7" t="n">
        <f aca="false">IF(F1536="Reopened",1,0)</f>
        <v>0</v>
      </c>
      <c r="V1536" s="7" t="n">
        <f aca="false">IF(AND(R1536=1,O1536&gt;Q1536),1,0)</f>
        <v>0</v>
      </c>
      <c r="W1536" s="7" t="n">
        <f aca="false">IF(AND(T1536=1,P1536&lt;&gt;"",P1536&lt;=Q1536),1,0)</f>
        <v>0</v>
      </c>
    </row>
    <row r="1537" customFormat="false" ht="15" hidden="false" customHeight="false" outlineLevel="0" collapsed="false">
      <c r="A1537" s="7" t="s">
        <v>1869</v>
      </c>
      <c r="B1537" s="7" t="s">
        <v>46</v>
      </c>
      <c r="C1537" s="7" t="s">
        <v>47</v>
      </c>
      <c r="D1537" s="7" t="s">
        <v>59</v>
      </c>
      <c r="E1537" s="7" t="s">
        <v>60</v>
      </c>
      <c r="F1537" s="7" t="s">
        <v>50</v>
      </c>
      <c r="G1537" s="7" t="s">
        <v>19</v>
      </c>
      <c r="H1537" s="9" t="n">
        <v>45985</v>
      </c>
      <c r="I1537" s="9" t="n">
        <v>45993</v>
      </c>
      <c r="J1537" s="7" t="n">
        <v>7.8</v>
      </c>
      <c r="K1537" s="7" t="s">
        <v>1733</v>
      </c>
      <c r="L1537" s="7" t="s">
        <v>20</v>
      </c>
      <c r="M1537" s="7" t="s">
        <v>1870</v>
      </c>
      <c r="N1537" s="7" t="s">
        <v>58</v>
      </c>
      <c r="O1537" s="10" t="n">
        <f aca="false">'Exec Summary'!$E$2-H1537</f>
        <v>249</v>
      </c>
      <c r="P1537" s="10" t="n">
        <f aca="false">IF(I1537="","",I1537-H1537)</f>
        <v>8</v>
      </c>
      <c r="Q1537" s="10" t="n">
        <f aca="false">VLOOKUP(G1537,$AA$2:$AB$5,2,FALSE())</f>
        <v>15</v>
      </c>
      <c r="R1537" s="7" t="n">
        <f aca="false">IF(OR(F1537="Open",F1537="Reopened"),1,0)</f>
        <v>0</v>
      </c>
      <c r="S1537" s="7" t="n">
        <f aca="false">IF(AND(H1537&gt;='Exec Summary'!$E$1,H1537&lt;='Exec Summary'!$E$2),1,0)</f>
        <v>0</v>
      </c>
      <c r="T1537" s="7" t="n">
        <f aca="false">IF(AND(F1537="Closed",I1537&lt;&gt;"",I1537&gt;='Exec Summary'!$E$1,I1537&lt;='Exec Summary'!$E$2),1,0)</f>
        <v>0</v>
      </c>
      <c r="U1537" s="7" t="n">
        <f aca="false">IF(F1537="Reopened",1,0)</f>
        <v>0</v>
      </c>
      <c r="V1537" s="7" t="n">
        <f aca="false">IF(AND(R1537=1,O1537&gt;Q1537),1,0)</f>
        <v>0</v>
      </c>
      <c r="W1537" s="7" t="n">
        <f aca="false">IF(AND(T1537=1,P1537&lt;&gt;"",P1537&lt;=Q1537),1,0)</f>
        <v>0</v>
      </c>
    </row>
    <row r="1538" customFormat="false" ht="15" hidden="false" customHeight="false" outlineLevel="0" collapsed="false">
      <c r="A1538" s="7" t="s">
        <v>1869</v>
      </c>
      <c r="B1538" s="7" t="s">
        <v>46</v>
      </c>
      <c r="C1538" s="7" t="s">
        <v>47</v>
      </c>
      <c r="D1538" s="7" t="s">
        <v>95</v>
      </c>
      <c r="E1538" s="7" t="s">
        <v>96</v>
      </c>
      <c r="F1538" s="7" t="s">
        <v>56</v>
      </c>
      <c r="G1538" s="7" t="s">
        <v>20</v>
      </c>
      <c r="H1538" s="9" t="n">
        <v>46107</v>
      </c>
      <c r="I1538" s="9"/>
      <c r="J1538" s="7" t="n">
        <v>8.8</v>
      </c>
      <c r="K1538" s="7" t="s">
        <v>1733</v>
      </c>
      <c r="L1538" s="7" t="s">
        <v>20</v>
      </c>
      <c r="M1538" s="7" t="s">
        <v>1871</v>
      </c>
      <c r="N1538" s="7" t="s">
        <v>53</v>
      </c>
      <c r="O1538" s="10" t="n">
        <f aca="false">'Exec Summary'!$E$2-H1538</f>
        <v>127</v>
      </c>
      <c r="P1538" s="10" t="str">
        <f aca="false">IF(I1538="","",I1538-H1538)</f>
        <v/>
      </c>
      <c r="Q1538" s="10" t="n">
        <f aca="false">VLOOKUP(G1538,$AA$2:$AB$5,2,FALSE())</f>
        <v>30</v>
      </c>
      <c r="R1538" s="7" t="n">
        <f aca="false">IF(OR(F1538="Open",F1538="Reopened"),1,0)</f>
        <v>1</v>
      </c>
      <c r="S1538" s="7" t="n">
        <f aca="false">IF(AND(H1538&gt;='Exec Summary'!$E$1,H1538&lt;='Exec Summary'!$E$2),1,0)</f>
        <v>0</v>
      </c>
      <c r="T1538" s="7" t="n">
        <f aca="false">IF(AND(F1538="Closed",I1538&lt;&gt;"",I1538&gt;='Exec Summary'!$E$1,I1538&lt;='Exec Summary'!$E$2),1,0)</f>
        <v>0</v>
      </c>
      <c r="U1538" s="7" t="n">
        <f aca="false">IF(F1538="Reopened",1,0)</f>
        <v>0</v>
      </c>
      <c r="V1538" s="7" t="n">
        <f aca="false">IF(AND(R1538=1,O1538&gt;Q1538),1,0)</f>
        <v>1</v>
      </c>
      <c r="W1538" s="7" t="n">
        <f aca="false">IF(AND(T1538=1,P1538&lt;&gt;"",P1538&lt;=Q1538),1,0)</f>
        <v>0</v>
      </c>
    </row>
    <row r="1539" customFormat="false" ht="15" hidden="false" customHeight="false" outlineLevel="0" collapsed="false">
      <c r="A1539" s="7" t="s">
        <v>1869</v>
      </c>
      <c r="B1539" s="7" t="s">
        <v>46</v>
      </c>
      <c r="C1539" s="7" t="s">
        <v>47</v>
      </c>
      <c r="D1539" s="7" t="s">
        <v>74</v>
      </c>
      <c r="E1539" s="7" t="s">
        <v>75</v>
      </c>
      <c r="F1539" s="7" t="s">
        <v>50</v>
      </c>
      <c r="G1539" s="7" t="s">
        <v>21</v>
      </c>
      <c r="H1539" s="9" t="n">
        <v>46167</v>
      </c>
      <c r="I1539" s="9" t="n">
        <v>46199</v>
      </c>
      <c r="J1539" s="7" t="n">
        <v>6.5</v>
      </c>
      <c r="K1539" s="7" t="s">
        <v>1733</v>
      </c>
      <c r="L1539" s="7" t="s">
        <v>20</v>
      </c>
      <c r="M1539" s="7" t="s">
        <v>1872</v>
      </c>
      <c r="N1539" s="7" t="s">
        <v>77</v>
      </c>
      <c r="O1539" s="10" t="n">
        <f aca="false">'Exec Summary'!$E$2-H1539</f>
        <v>67</v>
      </c>
      <c r="P1539" s="10" t="n">
        <f aca="false">IF(I1539="","",I1539-H1539)</f>
        <v>32</v>
      </c>
      <c r="Q1539" s="10" t="n">
        <f aca="false">VLOOKUP(G1539,$AA$2:$AB$5,2,FALSE())</f>
        <v>90</v>
      </c>
      <c r="R1539" s="7" t="n">
        <f aca="false">IF(OR(F1539="Open",F1539="Reopened"),1,0)</f>
        <v>0</v>
      </c>
      <c r="S1539" s="7" t="n">
        <f aca="false">IF(AND(H1539&gt;='Exec Summary'!$E$1,H1539&lt;='Exec Summary'!$E$2),1,0)</f>
        <v>0</v>
      </c>
      <c r="T1539" s="7" t="n">
        <f aca="false">IF(AND(F1539="Closed",I1539&lt;&gt;"",I1539&gt;='Exec Summary'!$E$1,I1539&lt;='Exec Summary'!$E$2),1,0)</f>
        <v>0</v>
      </c>
      <c r="U1539" s="7" t="n">
        <f aca="false">IF(F1539="Reopened",1,0)</f>
        <v>0</v>
      </c>
      <c r="V1539" s="7" t="n">
        <f aca="false">IF(AND(R1539=1,O1539&gt;Q1539),1,0)</f>
        <v>0</v>
      </c>
      <c r="W1539" s="7" t="n">
        <f aca="false">IF(AND(T1539=1,P1539&lt;&gt;"",P1539&lt;=Q1539),1,0)</f>
        <v>0</v>
      </c>
    </row>
    <row r="1540" customFormat="false" ht="15" hidden="false" customHeight="false" outlineLevel="0" collapsed="false">
      <c r="A1540" s="7" t="s">
        <v>1873</v>
      </c>
      <c r="B1540" s="7" t="s">
        <v>135</v>
      </c>
      <c r="C1540" s="7" t="s">
        <v>247</v>
      </c>
      <c r="D1540" s="7" t="s">
        <v>120</v>
      </c>
      <c r="E1540" s="7" t="s">
        <v>121</v>
      </c>
      <c r="F1540" s="7" t="s">
        <v>56</v>
      </c>
      <c r="G1540" s="7" t="s">
        <v>19</v>
      </c>
      <c r="H1540" s="9" t="n">
        <v>46127</v>
      </c>
      <c r="I1540" s="9"/>
      <c r="J1540" s="7" t="n">
        <v>8.8</v>
      </c>
      <c r="K1540" s="7" t="s">
        <v>1733</v>
      </c>
      <c r="L1540" s="7" t="s">
        <v>19</v>
      </c>
      <c r="M1540" s="7" t="s">
        <v>1874</v>
      </c>
      <c r="N1540" s="7" t="s">
        <v>58</v>
      </c>
      <c r="O1540" s="10" t="n">
        <f aca="false">'Exec Summary'!$E$2-H1540</f>
        <v>107</v>
      </c>
      <c r="P1540" s="10" t="str">
        <f aca="false">IF(I1540="","",I1540-H1540)</f>
        <v/>
      </c>
      <c r="Q1540" s="10" t="n">
        <f aca="false">VLOOKUP(G1540,$AA$2:$AB$5,2,FALSE())</f>
        <v>15</v>
      </c>
      <c r="R1540" s="7" t="n">
        <f aca="false">IF(OR(F1540="Open",F1540="Reopened"),1,0)</f>
        <v>1</v>
      </c>
      <c r="S1540" s="7" t="n">
        <f aca="false">IF(AND(H1540&gt;='Exec Summary'!$E$1,H1540&lt;='Exec Summary'!$E$2),1,0)</f>
        <v>0</v>
      </c>
      <c r="T1540" s="7" t="n">
        <f aca="false">IF(AND(F1540="Closed",I1540&lt;&gt;"",I1540&gt;='Exec Summary'!$E$1,I1540&lt;='Exec Summary'!$E$2),1,0)</f>
        <v>0</v>
      </c>
      <c r="U1540" s="7" t="n">
        <f aca="false">IF(F1540="Reopened",1,0)</f>
        <v>0</v>
      </c>
      <c r="V1540" s="7" t="n">
        <f aca="false">IF(AND(R1540=1,O1540&gt;Q1540),1,0)</f>
        <v>1</v>
      </c>
      <c r="W1540" s="7" t="n">
        <f aca="false">IF(AND(T1540=1,P1540&lt;&gt;"",P1540&lt;=Q1540),1,0)</f>
        <v>0</v>
      </c>
    </row>
    <row r="1541" customFormat="false" ht="15" hidden="false" customHeight="false" outlineLevel="0" collapsed="false">
      <c r="A1541" s="7" t="s">
        <v>1873</v>
      </c>
      <c r="B1541" s="7" t="s">
        <v>135</v>
      </c>
      <c r="C1541" s="7" t="s">
        <v>247</v>
      </c>
      <c r="D1541" s="7" t="s">
        <v>98</v>
      </c>
      <c r="E1541" s="7" t="s">
        <v>99</v>
      </c>
      <c r="F1541" s="7" t="s">
        <v>56</v>
      </c>
      <c r="G1541" s="7" t="s">
        <v>19</v>
      </c>
      <c r="H1541" s="9" t="n">
        <v>46153</v>
      </c>
      <c r="I1541" s="9"/>
      <c r="J1541" s="7" t="n">
        <v>10</v>
      </c>
      <c r="K1541" s="7" t="s">
        <v>1733</v>
      </c>
      <c r="L1541" s="7" t="s">
        <v>19</v>
      </c>
      <c r="M1541" s="7" t="s">
        <v>1875</v>
      </c>
      <c r="N1541" s="7" t="s">
        <v>58</v>
      </c>
      <c r="O1541" s="10" t="n">
        <f aca="false">'Exec Summary'!$E$2-H1541</f>
        <v>81</v>
      </c>
      <c r="P1541" s="10" t="str">
        <f aca="false">IF(I1541="","",I1541-H1541)</f>
        <v/>
      </c>
      <c r="Q1541" s="10" t="n">
        <f aca="false">VLOOKUP(G1541,$AA$2:$AB$5,2,FALSE())</f>
        <v>15</v>
      </c>
      <c r="R1541" s="7" t="n">
        <f aca="false">IF(OR(F1541="Open",F1541="Reopened"),1,0)</f>
        <v>1</v>
      </c>
      <c r="S1541" s="7" t="n">
        <f aca="false">IF(AND(H1541&gt;='Exec Summary'!$E$1,H1541&lt;='Exec Summary'!$E$2),1,0)</f>
        <v>0</v>
      </c>
      <c r="T1541" s="7" t="n">
        <f aca="false">IF(AND(F1541="Closed",I1541&lt;&gt;"",I1541&gt;='Exec Summary'!$E$1,I1541&lt;='Exec Summary'!$E$2),1,0)</f>
        <v>0</v>
      </c>
      <c r="U1541" s="7" t="n">
        <f aca="false">IF(F1541="Reopened",1,0)</f>
        <v>0</v>
      </c>
      <c r="V1541" s="7" t="n">
        <f aca="false">IF(AND(R1541=1,O1541&gt;Q1541),1,0)</f>
        <v>1</v>
      </c>
      <c r="W1541" s="7" t="n">
        <f aca="false">IF(AND(T1541=1,P1541&lt;&gt;"",P1541&lt;=Q1541),1,0)</f>
        <v>0</v>
      </c>
    </row>
    <row r="1542" customFormat="false" ht="15" hidden="false" customHeight="false" outlineLevel="0" collapsed="false">
      <c r="A1542" s="7" t="s">
        <v>1873</v>
      </c>
      <c r="B1542" s="7" t="s">
        <v>135</v>
      </c>
      <c r="C1542" s="7" t="s">
        <v>247</v>
      </c>
      <c r="D1542" s="7" t="s">
        <v>91</v>
      </c>
      <c r="E1542" s="7" t="s">
        <v>92</v>
      </c>
      <c r="F1542" s="7" t="s">
        <v>56</v>
      </c>
      <c r="G1542" s="7" t="s">
        <v>20</v>
      </c>
      <c r="H1542" s="9" t="n">
        <v>45957</v>
      </c>
      <c r="I1542" s="9"/>
      <c r="J1542" s="7" t="n">
        <v>8.1</v>
      </c>
      <c r="K1542" s="7" t="s">
        <v>1733</v>
      </c>
      <c r="L1542" s="7" t="s">
        <v>19</v>
      </c>
      <c r="M1542" s="7" t="s">
        <v>1876</v>
      </c>
      <c r="N1542" s="7" t="s">
        <v>53</v>
      </c>
      <c r="O1542" s="10" t="n">
        <f aca="false">'Exec Summary'!$E$2-H1542</f>
        <v>277</v>
      </c>
      <c r="P1542" s="10" t="str">
        <f aca="false">IF(I1542="","",I1542-H1542)</f>
        <v/>
      </c>
      <c r="Q1542" s="10" t="n">
        <f aca="false">VLOOKUP(G1542,$AA$2:$AB$5,2,FALSE())</f>
        <v>30</v>
      </c>
      <c r="R1542" s="7" t="n">
        <f aca="false">IF(OR(F1542="Open",F1542="Reopened"),1,0)</f>
        <v>1</v>
      </c>
      <c r="S1542" s="7" t="n">
        <f aca="false">IF(AND(H1542&gt;='Exec Summary'!$E$1,H1542&lt;='Exec Summary'!$E$2),1,0)</f>
        <v>0</v>
      </c>
      <c r="T1542" s="7" t="n">
        <f aca="false">IF(AND(F1542="Closed",I1542&lt;&gt;"",I1542&gt;='Exec Summary'!$E$1,I1542&lt;='Exec Summary'!$E$2),1,0)</f>
        <v>0</v>
      </c>
      <c r="U1542" s="7" t="n">
        <f aca="false">IF(F1542="Reopened",1,0)</f>
        <v>0</v>
      </c>
      <c r="V1542" s="7" t="n">
        <f aca="false">IF(AND(R1542=1,O1542&gt;Q1542),1,0)</f>
        <v>1</v>
      </c>
      <c r="W1542" s="7" t="n">
        <f aca="false">IF(AND(T1542=1,P1542&lt;&gt;"",P1542&lt;=Q1542),1,0)</f>
        <v>0</v>
      </c>
    </row>
    <row r="1543" customFormat="false" ht="15" hidden="false" customHeight="false" outlineLevel="0" collapsed="false">
      <c r="A1543" s="7" t="s">
        <v>1877</v>
      </c>
      <c r="B1543" s="7" t="s">
        <v>135</v>
      </c>
      <c r="C1543" s="7" t="s">
        <v>136</v>
      </c>
      <c r="D1543" s="7" t="s">
        <v>95</v>
      </c>
      <c r="E1543" s="7" t="s">
        <v>96</v>
      </c>
      <c r="F1543" s="7" t="s">
        <v>56</v>
      </c>
      <c r="G1543" s="7" t="s">
        <v>20</v>
      </c>
      <c r="H1543" s="9" t="n">
        <v>46132</v>
      </c>
      <c r="I1543" s="9"/>
      <c r="J1543" s="7" t="n">
        <v>8.8</v>
      </c>
      <c r="K1543" s="7" t="s">
        <v>1733</v>
      </c>
      <c r="L1543" s="7" t="s">
        <v>21</v>
      </c>
      <c r="M1543" s="7" t="s">
        <v>1878</v>
      </c>
      <c r="N1543" s="7" t="s">
        <v>53</v>
      </c>
      <c r="O1543" s="10" t="n">
        <f aca="false">'Exec Summary'!$E$2-H1543</f>
        <v>102</v>
      </c>
      <c r="P1543" s="10" t="str">
        <f aca="false">IF(I1543="","",I1543-H1543)</f>
        <v/>
      </c>
      <c r="Q1543" s="10" t="n">
        <f aca="false">VLOOKUP(G1543,$AA$2:$AB$5,2,FALSE())</f>
        <v>30</v>
      </c>
      <c r="R1543" s="7" t="n">
        <f aca="false">IF(OR(F1543="Open",F1543="Reopened"),1,0)</f>
        <v>1</v>
      </c>
      <c r="S1543" s="7" t="n">
        <f aca="false">IF(AND(H1543&gt;='Exec Summary'!$E$1,H1543&lt;='Exec Summary'!$E$2),1,0)</f>
        <v>0</v>
      </c>
      <c r="T1543" s="7" t="n">
        <f aca="false">IF(AND(F1543="Closed",I1543&lt;&gt;"",I1543&gt;='Exec Summary'!$E$1,I1543&lt;='Exec Summary'!$E$2),1,0)</f>
        <v>0</v>
      </c>
      <c r="U1543" s="7" t="n">
        <f aca="false">IF(F1543="Reopened",1,0)</f>
        <v>0</v>
      </c>
      <c r="V1543" s="7" t="n">
        <f aca="false">IF(AND(R1543=1,O1543&gt;Q1543),1,0)</f>
        <v>1</v>
      </c>
      <c r="W1543" s="7" t="n">
        <f aca="false">IF(AND(T1543=1,P1543&lt;&gt;"",P1543&lt;=Q1543),1,0)</f>
        <v>0</v>
      </c>
    </row>
    <row r="1544" customFormat="false" ht="15" hidden="false" customHeight="false" outlineLevel="0" collapsed="false">
      <c r="A1544" s="7" t="s">
        <v>1877</v>
      </c>
      <c r="B1544" s="7" t="s">
        <v>135</v>
      </c>
      <c r="C1544" s="7" t="s">
        <v>136</v>
      </c>
      <c r="D1544" s="7" t="s">
        <v>81</v>
      </c>
      <c r="E1544" s="7" t="s">
        <v>82</v>
      </c>
      <c r="F1544" s="7" t="s">
        <v>50</v>
      </c>
      <c r="G1544" s="7" t="s">
        <v>20</v>
      </c>
      <c r="H1544" s="9" t="n">
        <v>46125</v>
      </c>
      <c r="I1544" s="9" t="n">
        <v>46135</v>
      </c>
      <c r="J1544" s="7" t="n">
        <v>7.8</v>
      </c>
      <c r="K1544" s="7" t="s">
        <v>1733</v>
      </c>
      <c r="L1544" s="7" t="s">
        <v>21</v>
      </c>
      <c r="M1544" s="7" t="s">
        <v>1879</v>
      </c>
      <c r="N1544" s="7" t="s">
        <v>53</v>
      </c>
      <c r="O1544" s="10" t="n">
        <f aca="false">'Exec Summary'!$E$2-H1544</f>
        <v>109</v>
      </c>
      <c r="P1544" s="10" t="n">
        <f aca="false">IF(I1544="","",I1544-H1544)</f>
        <v>10</v>
      </c>
      <c r="Q1544" s="10" t="n">
        <f aca="false">VLOOKUP(G1544,$AA$2:$AB$5,2,FALSE())</f>
        <v>30</v>
      </c>
      <c r="R1544" s="7" t="n">
        <f aca="false">IF(OR(F1544="Open",F1544="Reopened"),1,0)</f>
        <v>0</v>
      </c>
      <c r="S1544" s="7" t="n">
        <f aca="false">IF(AND(H1544&gt;='Exec Summary'!$E$1,H1544&lt;='Exec Summary'!$E$2),1,0)</f>
        <v>0</v>
      </c>
      <c r="T1544" s="7" t="n">
        <f aca="false">IF(AND(F1544="Closed",I1544&lt;&gt;"",I1544&gt;='Exec Summary'!$E$1,I1544&lt;='Exec Summary'!$E$2),1,0)</f>
        <v>0</v>
      </c>
      <c r="U1544" s="7" t="n">
        <f aca="false">IF(F1544="Reopened",1,0)</f>
        <v>0</v>
      </c>
      <c r="V1544" s="7" t="n">
        <f aca="false">IF(AND(R1544=1,O1544&gt;Q1544),1,0)</f>
        <v>0</v>
      </c>
      <c r="W1544" s="7" t="n">
        <f aca="false">IF(AND(T1544=1,P1544&lt;&gt;"",P1544&lt;=Q1544),1,0)</f>
        <v>0</v>
      </c>
    </row>
    <row r="1545" customFormat="false" ht="15" hidden="false" customHeight="false" outlineLevel="0" collapsed="false">
      <c r="A1545" s="7" t="s">
        <v>1877</v>
      </c>
      <c r="B1545" s="7" t="s">
        <v>135</v>
      </c>
      <c r="C1545" s="7" t="s">
        <v>136</v>
      </c>
      <c r="D1545" s="7" t="s">
        <v>68</v>
      </c>
      <c r="E1545" s="7" t="s">
        <v>69</v>
      </c>
      <c r="F1545" s="7" t="s">
        <v>50</v>
      </c>
      <c r="G1545" s="7" t="s">
        <v>19</v>
      </c>
      <c r="H1545" s="9" t="n">
        <v>46187</v>
      </c>
      <c r="I1545" s="9" t="n">
        <v>46199</v>
      </c>
      <c r="J1545" s="7" t="n">
        <v>9.8</v>
      </c>
      <c r="K1545" s="7" t="s">
        <v>1733</v>
      </c>
      <c r="L1545" s="7" t="s">
        <v>21</v>
      </c>
      <c r="M1545" s="7" t="s">
        <v>1880</v>
      </c>
      <c r="N1545" s="7" t="s">
        <v>58</v>
      </c>
      <c r="O1545" s="10" t="n">
        <f aca="false">'Exec Summary'!$E$2-H1545</f>
        <v>47</v>
      </c>
      <c r="P1545" s="10" t="n">
        <f aca="false">IF(I1545="","",I1545-H1545)</f>
        <v>12</v>
      </c>
      <c r="Q1545" s="10" t="n">
        <f aca="false">VLOOKUP(G1545,$AA$2:$AB$5,2,FALSE())</f>
        <v>15</v>
      </c>
      <c r="R1545" s="7" t="n">
        <f aca="false">IF(OR(F1545="Open",F1545="Reopened"),1,0)</f>
        <v>0</v>
      </c>
      <c r="S1545" s="7" t="n">
        <f aca="false">IF(AND(H1545&gt;='Exec Summary'!$E$1,H1545&lt;='Exec Summary'!$E$2),1,0)</f>
        <v>0</v>
      </c>
      <c r="T1545" s="7" t="n">
        <f aca="false">IF(AND(F1545="Closed",I1545&lt;&gt;"",I1545&gt;='Exec Summary'!$E$1,I1545&lt;='Exec Summary'!$E$2),1,0)</f>
        <v>0</v>
      </c>
      <c r="U1545" s="7" t="n">
        <f aca="false">IF(F1545="Reopened",1,0)</f>
        <v>0</v>
      </c>
      <c r="V1545" s="7" t="n">
        <f aca="false">IF(AND(R1545=1,O1545&gt;Q1545),1,0)</f>
        <v>0</v>
      </c>
      <c r="W1545" s="7" t="n">
        <f aca="false">IF(AND(T1545=1,P1545&lt;&gt;"",P1545&lt;=Q1545),1,0)</f>
        <v>0</v>
      </c>
    </row>
    <row r="1546" customFormat="false" ht="15" hidden="false" customHeight="false" outlineLevel="0" collapsed="false">
      <c r="A1546" s="7" t="s">
        <v>1877</v>
      </c>
      <c r="B1546" s="7" t="s">
        <v>135</v>
      </c>
      <c r="C1546" s="7" t="s">
        <v>136</v>
      </c>
      <c r="D1546" s="7" t="s">
        <v>108</v>
      </c>
      <c r="E1546" s="7" t="s">
        <v>109</v>
      </c>
      <c r="F1546" s="7" t="s">
        <v>50</v>
      </c>
      <c r="G1546" s="7" t="s">
        <v>20</v>
      </c>
      <c r="H1546" s="9" t="n">
        <v>46040</v>
      </c>
      <c r="I1546" s="9" t="n">
        <v>46070</v>
      </c>
      <c r="J1546" s="7" t="n">
        <v>8.6</v>
      </c>
      <c r="K1546" s="7" t="s">
        <v>1733</v>
      </c>
      <c r="L1546" s="7" t="s">
        <v>21</v>
      </c>
      <c r="M1546" s="7" t="s">
        <v>1881</v>
      </c>
      <c r="N1546" s="7" t="s">
        <v>53</v>
      </c>
      <c r="O1546" s="10" t="n">
        <f aca="false">'Exec Summary'!$E$2-H1546</f>
        <v>194</v>
      </c>
      <c r="P1546" s="10" t="n">
        <f aca="false">IF(I1546="","",I1546-H1546)</f>
        <v>30</v>
      </c>
      <c r="Q1546" s="10" t="n">
        <f aca="false">VLOOKUP(G1546,$AA$2:$AB$5,2,FALSE())</f>
        <v>30</v>
      </c>
      <c r="R1546" s="7" t="n">
        <f aca="false">IF(OR(F1546="Open",F1546="Reopened"),1,0)</f>
        <v>0</v>
      </c>
      <c r="S1546" s="7" t="n">
        <f aca="false">IF(AND(H1546&gt;='Exec Summary'!$E$1,H1546&lt;='Exec Summary'!$E$2),1,0)</f>
        <v>0</v>
      </c>
      <c r="T1546" s="7" t="n">
        <f aca="false">IF(AND(F1546="Closed",I1546&lt;&gt;"",I1546&gt;='Exec Summary'!$E$1,I1546&lt;='Exec Summary'!$E$2),1,0)</f>
        <v>0</v>
      </c>
      <c r="U1546" s="7" t="n">
        <f aca="false">IF(F1546="Reopened",1,0)</f>
        <v>0</v>
      </c>
      <c r="V1546" s="7" t="n">
        <f aca="false">IF(AND(R1546=1,O1546&gt;Q1546),1,0)</f>
        <v>0</v>
      </c>
      <c r="W1546" s="7" t="n">
        <f aca="false">IF(AND(T1546=1,P1546&lt;&gt;"",P1546&lt;=Q1546),1,0)</f>
        <v>0</v>
      </c>
    </row>
    <row r="1547" customFormat="false" ht="15" hidden="false" customHeight="false" outlineLevel="0" collapsed="false">
      <c r="A1547" s="7" t="s">
        <v>1877</v>
      </c>
      <c r="B1547" s="7" t="s">
        <v>135</v>
      </c>
      <c r="C1547" s="7" t="s">
        <v>136</v>
      </c>
      <c r="D1547" s="7" t="s">
        <v>71</v>
      </c>
      <c r="E1547" s="7" t="s">
        <v>72</v>
      </c>
      <c r="F1547" s="7" t="s">
        <v>56</v>
      </c>
      <c r="G1547" s="7" t="s">
        <v>19</v>
      </c>
      <c r="H1547" s="9" t="n">
        <v>46151</v>
      </c>
      <c r="I1547" s="9"/>
      <c r="J1547" s="7" t="n">
        <v>9.8</v>
      </c>
      <c r="K1547" s="7" t="s">
        <v>1733</v>
      </c>
      <c r="L1547" s="7" t="s">
        <v>21</v>
      </c>
      <c r="M1547" s="7" t="s">
        <v>1882</v>
      </c>
      <c r="N1547" s="7" t="s">
        <v>58</v>
      </c>
      <c r="O1547" s="10" t="n">
        <f aca="false">'Exec Summary'!$E$2-H1547</f>
        <v>83</v>
      </c>
      <c r="P1547" s="10" t="str">
        <f aca="false">IF(I1547="","",I1547-H1547)</f>
        <v/>
      </c>
      <c r="Q1547" s="10" t="n">
        <f aca="false">VLOOKUP(G1547,$AA$2:$AB$5,2,FALSE())</f>
        <v>15</v>
      </c>
      <c r="R1547" s="7" t="n">
        <f aca="false">IF(OR(F1547="Open",F1547="Reopened"),1,0)</f>
        <v>1</v>
      </c>
      <c r="S1547" s="7" t="n">
        <f aca="false">IF(AND(H1547&gt;='Exec Summary'!$E$1,H1547&lt;='Exec Summary'!$E$2),1,0)</f>
        <v>0</v>
      </c>
      <c r="T1547" s="7" t="n">
        <f aca="false">IF(AND(F1547="Closed",I1547&lt;&gt;"",I1547&gt;='Exec Summary'!$E$1,I1547&lt;='Exec Summary'!$E$2),1,0)</f>
        <v>0</v>
      </c>
      <c r="U1547" s="7" t="n">
        <f aca="false">IF(F1547="Reopened",1,0)</f>
        <v>0</v>
      </c>
      <c r="V1547" s="7" t="n">
        <f aca="false">IF(AND(R1547=1,O1547&gt;Q1547),1,0)</f>
        <v>1</v>
      </c>
      <c r="W1547" s="7" t="n">
        <f aca="false">IF(AND(T1547=1,P1547&lt;&gt;"",P1547&lt;=Q1547),1,0)</f>
        <v>0</v>
      </c>
    </row>
    <row r="1548" customFormat="false" ht="15" hidden="false" customHeight="false" outlineLevel="0" collapsed="false">
      <c r="A1548" s="7" t="s">
        <v>1877</v>
      </c>
      <c r="B1548" s="7" t="s">
        <v>135</v>
      </c>
      <c r="C1548" s="7" t="s">
        <v>136</v>
      </c>
      <c r="D1548" s="7" t="s">
        <v>139</v>
      </c>
      <c r="E1548" s="7" t="s">
        <v>140</v>
      </c>
      <c r="F1548" s="7" t="s">
        <v>123</v>
      </c>
      <c r="G1548" s="7" t="s">
        <v>19</v>
      </c>
      <c r="H1548" s="9" t="n">
        <v>46125</v>
      </c>
      <c r="I1548" s="9" t="n">
        <v>46149</v>
      </c>
      <c r="J1548" s="7" t="n">
        <v>9.8</v>
      </c>
      <c r="K1548" s="7" t="s">
        <v>1733</v>
      </c>
      <c r="L1548" s="7" t="s">
        <v>21</v>
      </c>
      <c r="M1548" s="7" t="s">
        <v>1883</v>
      </c>
      <c r="N1548" s="7" t="s">
        <v>58</v>
      </c>
      <c r="O1548" s="10" t="n">
        <f aca="false">'Exec Summary'!$E$2-H1548</f>
        <v>109</v>
      </c>
      <c r="P1548" s="10" t="n">
        <f aca="false">IF(I1548="","",I1548-H1548)</f>
        <v>24</v>
      </c>
      <c r="Q1548" s="10" t="n">
        <f aca="false">VLOOKUP(G1548,$AA$2:$AB$5,2,FALSE())</f>
        <v>15</v>
      </c>
      <c r="R1548" s="7" t="n">
        <f aca="false">IF(OR(F1548="Open",F1548="Reopened"),1,0)</f>
        <v>1</v>
      </c>
      <c r="S1548" s="7" t="n">
        <f aca="false">IF(AND(H1548&gt;='Exec Summary'!$E$1,H1548&lt;='Exec Summary'!$E$2),1,0)</f>
        <v>0</v>
      </c>
      <c r="T1548" s="7" t="n">
        <f aca="false">IF(AND(F1548="Closed",I1548&lt;&gt;"",I1548&gt;='Exec Summary'!$E$1,I1548&lt;='Exec Summary'!$E$2),1,0)</f>
        <v>0</v>
      </c>
      <c r="U1548" s="7" t="n">
        <f aca="false">IF(F1548="Reopened",1,0)</f>
        <v>1</v>
      </c>
      <c r="V1548" s="7" t="n">
        <f aca="false">IF(AND(R1548=1,O1548&gt;Q1548),1,0)</f>
        <v>1</v>
      </c>
      <c r="W1548" s="7" t="n">
        <f aca="false">IF(AND(T1548=1,P1548&lt;&gt;"",P1548&lt;=Q1548),1,0)</f>
        <v>0</v>
      </c>
    </row>
    <row r="1549" customFormat="false" ht="15" hidden="false" customHeight="false" outlineLevel="0" collapsed="false">
      <c r="A1549" s="7" t="s">
        <v>1877</v>
      </c>
      <c r="B1549" s="7" t="s">
        <v>135</v>
      </c>
      <c r="C1549" s="7" t="s">
        <v>136</v>
      </c>
      <c r="D1549" s="7" t="s">
        <v>98</v>
      </c>
      <c r="E1549" s="7" t="s">
        <v>99</v>
      </c>
      <c r="F1549" s="7" t="s">
        <v>50</v>
      </c>
      <c r="G1549" s="7" t="s">
        <v>19</v>
      </c>
      <c r="H1549" s="9" t="n">
        <v>46085</v>
      </c>
      <c r="I1549" s="9" t="n">
        <v>46090</v>
      </c>
      <c r="J1549" s="7" t="n">
        <v>10</v>
      </c>
      <c r="K1549" s="7" t="s">
        <v>1733</v>
      </c>
      <c r="L1549" s="7" t="s">
        <v>21</v>
      </c>
      <c r="M1549" s="7" t="s">
        <v>1884</v>
      </c>
      <c r="N1549" s="7" t="s">
        <v>58</v>
      </c>
      <c r="O1549" s="10" t="n">
        <f aca="false">'Exec Summary'!$E$2-H1549</f>
        <v>149</v>
      </c>
      <c r="P1549" s="10" t="n">
        <f aca="false">IF(I1549="","",I1549-H1549)</f>
        <v>5</v>
      </c>
      <c r="Q1549" s="10" t="n">
        <f aca="false">VLOOKUP(G1549,$AA$2:$AB$5,2,FALSE())</f>
        <v>15</v>
      </c>
      <c r="R1549" s="7" t="n">
        <f aca="false">IF(OR(F1549="Open",F1549="Reopened"),1,0)</f>
        <v>0</v>
      </c>
      <c r="S1549" s="7" t="n">
        <f aca="false">IF(AND(H1549&gt;='Exec Summary'!$E$1,H1549&lt;='Exec Summary'!$E$2),1,0)</f>
        <v>0</v>
      </c>
      <c r="T1549" s="7" t="n">
        <f aca="false">IF(AND(F1549="Closed",I1549&lt;&gt;"",I1549&gt;='Exec Summary'!$E$1,I1549&lt;='Exec Summary'!$E$2),1,0)</f>
        <v>0</v>
      </c>
      <c r="U1549" s="7" t="n">
        <f aca="false">IF(F1549="Reopened",1,0)</f>
        <v>0</v>
      </c>
      <c r="V1549" s="7" t="n">
        <f aca="false">IF(AND(R1549=1,O1549&gt;Q1549),1,0)</f>
        <v>0</v>
      </c>
      <c r="W1549" s="7" t="n">
        <f aca="false">IF(AND(T1549=1,P1549&lt;&gt;"",P1549&lt;=Q1549),1,0)</f>
        <v>0</v>
      </c>
    </row>
    <row r="1550" customFormat="false" ht="15" hidden="false" customHeight="false" outlineLevel="0" collapsed="false">
      <c r="A1550" s="7" t="s">
        <v>1877</v>
      </c>
      <c r="B1550" s="7" t="s">
        <v>135</v>
      </c>
      <c r="C1550" s="7" t="s">
        <v>136</v>
      </c>
      <c r="D1550" s="7" t="s">
        <v>84</v>
      </c>
      <c r="E1550" s="7" t="s">
        <v>85</v>
      </c>
      <c r="F1550" s="7" t="s">
        <v>50</v>
      </c>
      <c r="G1550" s="7" t="s">
        <v>20</v>
      </c>
      <c r="H1550" s="9" t="n">
        <v>46152</v>
      </c>
      <c r="I1550" s="9" t="n">
        <v>46188</v>
      </c>
      <c r="J1550" s="7" t="n">
        <v>7.5</v>
      </c>
      <c r="K1550" s="7" t="s">
        <v>1733</v>
      </c>
      <c r="L1550" s="7" t="s">
        <v>21</v>
      </c>
      <c r="M1550" s="7" t="s">
        <v>1885</v>
      </c>
      <c r="N1550" s="7" t="s">
        <v>53</v>
      </c>
      <c r="O1550" s="10" t="n">
        <f aca="false">'Exec Summary'!$E$2-H1550</f>
        <v>82</v>
      </c>
      <c r="P1550" s="10" t="n">
        <f aca="false">IF(I1550="","",I1550-H1550)</f>
        <v>36</v>
      </c>
      <c r="Q1550" s="10" t="n">
        <f aca="false">VLOOKUP(G1550,$AA$2:$AB$5,2,FALSE())</f>
        <v>30</v>
      </c>
      <c r="R1550" s="7" t="n">
        <f aca="false">IF(OR(F1550="Open",F1550="Reopened"),1,0)</f>
        <v>0</v>
      </c>
      <c r="S1550" s="7" t="n">
        <f aca="false">IF(AND(H1550&gt;='Exec Summary'!$E$1,H1550&lt;='Exec Summary'!$E$2),1,0)</f>
        <v>0</v>
      </c>
      <c r="T1550" s="7" t="n">
        <f aca="false">IF(AND(F1550="Closed",I1550&lt;&gt;"",I1550&gt;='Exec Summary'!$E$1,I1550&lt;='Exec Summary'!$E$2),1,0)</f>
        <v>0</v>
      </c>
      <c r="U1550" s="7" t="n">
        <f aca="false">IF(F1550="Reopened",1,0)</f>
        <v>0</v>
      </c>
      <c r="V1550" s="7" t="n">
        <f aca="false">IF(AND(R1550=1,O1550&gt;Q1550),1,0)</f>
        <v>0</v>
      </c>
      <c r="W1550" s="7" t="n">
        <f aca="false">IF(AND(T1550=1,P1550&lt;&gt;"",P1550&lt;=Q1550),1,0)</f>
        <v>0</v>
      </c>
    </row>
    <row r="1551" customFormat="false" ht="15" hidden="false" customHeight="false" outlineLevel="0" collapsed="false">
      <c r="A1551" s="7" t="s">
        <v>1877</v>
      </c>
      <c r="B1551" s="7" t="s">
        <v>135</v>
      </c>
      <c r="C1551" s="7" t="s">
        <v>136</v>
      </c>
      <c r="D1551" s="7" t="s">
        <v>152</v>
      </c>
      <c r="E1551" s="7" t="s">
        <v>153</v>
      </c>
      <c r="F1551" s="7" t="s">
        <v>50</v>
      </c>
      <c r="G1551" s="7" t="s">
        <v>20</v>
      </c>
      <c r="H1551" s="9" t="n">
        <v>46188</v>
      </c>
      <c r="I1551" s="9" t="n">
        <v>46204</v>
      </c>
      <c r="J1551" s="7" t="n">
        <v>7.5</v>
      </c>
      <c r="K1551" s="7" t="s">
        <v>1733</v>
      </c>
      <c r="L1551" s="7" t="s">
        <v>21</v>
      </c>
      <c r="M1551" s="7" t="s">
        <v>1886</v>
      </c>
      <c r="N1551" s="7" t="s">
        <v>53</v>
      </c>
      <c r="O1551" s="10" t="n">
        <f aca="false">'Exec Summary'!$E$2-H1551</f>
        <v>46</v>
      </c>
      <c r="P1551" s="10" t="n">
        <f aca="false">IF(I1551="","",I1551-H1551)</f>
        <v>16</v>
      </c>
      <c r="Q1551" s="10" t="n">
        <f aca="false">VLOOKUP(G1551,$AA$2:$AB$5,2,FALSE())</f>
        <v>30</v>
      </c>
      <c r="R1551" s="7" t="n">
        <f aca="false">IF(OR(F1551="Open",F1551="Reopened"),1,0)</f>
        <v>0</v>
      </c>
      <c r="S1551" s="7" t="n">
        <f aca="false">IF(AND(H1551&gt;='Exec Summary'!$E$1,H1551&lt;='Exec Summary'!$E$2),1,0)</f>
        <v>0</v>
      </c>
      <c r="T1551" s="7" t="n">
        <f aca="false">IF(AND(F1551="Closed",I1551&lt;&gt;"",I1551&gt;='Exec Summary'!$E$1,I1551&lt;='Exec Summary'!$E$2),1,0)</f>
        <v>1</v>
      </c>
      <c r="U1551" s="7" t="n">
        <f aca="false">IF(F1551="Reopened",1,0)</f>
        <v>0</v>
      </c>
      <c r="V1551" s="7" t="n">
        <f aca="false">IF(AND(R1551=1,O1551&gt;Q1551),1,0)</f>
        <v>0</v>
      </c>
      <c r="W1551" s="7" t="n">
        <f aca="false">IF(AND(T1551=1,P1551&lt;&gt;"",P1551&lt;=Q1551),1,0)</f>
        <v>1</v>
      </c>
    </row>
    <row r="1552" customFormat="false" ht="15" hidden="false" customHeight="false" outlineLevel="0" collapsed="false">
      <c r="A1552" s="7" t="s">
        <v>1877</v>
      </c>
      <c r="B1552" s="7" t="s">
        <v>135</v>
      </c>
      <c r="C1552" s="7" t="s">
        <v>136</v>
      </c>
      <c r="D1552" s="7" t="s">
        <v>65</v>
      </c>
      <c r="E1552" s="7" t="s">
        <v>66</v>
      </c>
      <c r="F1552" s="7" t="s">
        <v>56</v>
      </c>
      <c r="G1552" s="7" t="s">
        <v>19</v>
      </c>
      <c r="H1552" s="9" t="n">
        <v>46117</v>
      </c>
      <c r="I1552" s="9"/>
      <c r="J1552" s="7" t="n">
        <v>9.8</v>
      </c>
      <c r="K1552" s="7" t="s">
        <v>1733</v>
      </c>
      <c r="L1552" s="7" t="s">
        <v>21</v>
      </c>
      <c r="M1552" s="7" t="s">
        <v>1887</v>
      </c>
      <c r="N1552" s="7" t="s">
        <v>58</v>
      </c>
      <c r="O1552" s="10" t="n">
        <f aca="false">'Exec Summary'!$E$2-H1552</f>
        <v>117</v>
      </c>
      <c r="P1552" s="10" t="str">
        <f aca="false">IF(I1552="","",I1552-H1552)</f>
        <v/>
      </c>
      <c r="Q1552" s="10" t="n">
        <f aca="false">VLOOKUP(G1552,$AA$2:$AB$5,2,FALSE())</f>
        <v>15</v>
      </c>
      <c r="R1552" s="7" t="n">
        <f aca="false">IF(OR(F1552="Open",F1552="Reopened"),1,0)</f>
        <v>1</v>
      </c>
      <c r="S1552" s="7" t="n">
        <f aca="false">IF(AND(H1552&gt;='Exec Summary'!$E$1,H1552&lt;='Exec Summary'!$E$2),1,0)</f>
        <v>0</v>
      </c>
      <c r="T1552" s="7" t="n">
        <f aca="false">IF(AND(F1552="Closed",I1552&lt;&gt;"",I1552&gt;='Exec Summary'!$E$1,I1552&lt;='Exec Summary'!$E$2),1,0)</f>
        <v>0</v>
      </c>
      <c r="U1552" s="7" t="n">
        <f aca="false">IF(F1552="Reopened",1,0)</f>
        <v>0</v>
      </c>
      <c r="V1552" s="7" t="n">
        <f aca="false">IF(AND(R1552=1,O1552&gt;Q1552),1,0)</f>
        <v>1</v>
      </c>
      <c r="W1552" s="7" t="n">
        <f aca="false">IF(AND(T1552=1,P1552&lt;&gt;"",P1552&lt;=Q1552),1,0)</f>
        <v>0</v>
      </c>
    </row>
    <row r="1553" customFormat="false" ht="15" hidden="false" customHeight="false" outlineLevel="0" collapsed="false">
      <c r="A1553" s="7" t="s">
        <v>1877</v>
      </c>
      <c r="B1553" s="7" t="s">
        <v>135</v>
      </c>
      <c r="C1553" s="7" t="s">
        <v>136</v>
      </c>
      <c r="D1553" s="7" t="s">
        <v>173</v>
      </c>
      <c r="E1553" s="7" t="s">
        <v>174</v>
      </c>
      <c r="F1553" s="7" t="s">
        <v>50</v>
      </c>
      <c r="G1553" s="7" t="s">
        <v>19</v>
      </c>
      <c r="H1553" s="9" t="n">
        <v>46190</v>
      </c>
      <c r="I1553" s="9" t="n">
        <v>46204</v>
      </c>
      <c r="J1553" s="7" t="n">
        <v>9.8</v>
      </c>
      <c r="K1553" s="7" t="s">
        <v>1733</v>
      </c>
      <c r="L1553" s="7" t="s">
        <v>21</v>
      </c>
      <c r="M1553" s="7" t="s">
        <v>1888</v>
      </c>
      <c r="N1553" s="7" t="s">
        <v>58</v>
      </c>
      <c r="O1553" s="10" t="n">
        <f aca="false">'Exec Summary'!$E$2-H1553</f>
        <v>44</v>
      </c>
      <c r="P1553" s="10" t="n">
        <f aca="false">IF(I1553="","",I1553-H1553)</f>
        <v>14</v>
      </c>
      <c r="Q1553" s="10" t="n">
        <f aca="false">VLOOKUP(G1553,$AA$2:$AB$5,2,FALSE())</f>
        <v>15</v>
      </c>
      <c r="R1553" s="7" t="n">
        <f aca="false">IF(OR(F1553="Open",F1553="Reopened"),1,0)</f>
        <v>0</v>
      </c>
      <c r="S1553" s="7" t="n">
        <f aca="false">IF(AND(H1553&gt;='Exec Summary'!$E$1,H1553&lt;='Exec Summary'!$E$2),1,0)</f>
        <v>0</v>
      </c>
      <c r="T1553" s="7" t="n">
        <f aca="false">IF(AND(F1553="Closed",I1553&lt;&gt;"",I1553&gt;='Exec Summary'!$E$1,I1553&lt;='Exec Summary'!$E$2),1,0)</f>
        <v>1</v>
      </c>
      <c r="U1553" s="7" t="n">
        <f aca="false">IF(F1553="Reopened",1,0)</f>
        <v>0</v>
      </c>
      <c r="V1553" s="7" t="n">
        <f aca="false">IF(AND(R1553=1,O1553&gt;Q1553),1,0)</f>
        <v>0</v>
      </c>
      <c r="W1553" s="7" t="n">
        <f aca="false">IF(AND(T1553=1,P1553&lt;&gt;"",P1553&lt;=Q1553),1,0)</f>
        <v>1</v>
      </c>
    </row>
    <row r="1554" customFormat="false" ht="15" hidden="false" customHeight="false" outlineLevel="0" collapsed="false">
      <c r="A1554" s="7" t="s">
        <v>1877</v>
      </c>
      <c r="B1554" s="7" t="s">
        <v>135</v>
      </c>
      <c r="C1554" s="7" t="s">
        <v>136</v>
      </c>
      <c r="D1554" s="7" t="s">
        <v>48</v>
      </c>
      <c r="E1554" s="7" t="s">
        <v>49</v>
      </c>
      <c r="F1554" s="7" t="s">
        <v>50</v>
      </c>
      <c r="G1554" s="7" t="s">
        <v>20</v>
      </c>
      <c r="H1554" s="9" t="n">
        <v>46050</v>
      </c>
      <c r="I1554" s="9" t="n">
        <v>46075</v>
      </c>
      <c r="J1554" s="7" t="n">
        <v>7.5</v>
      </c>
      <c r="K1554" s="7" t="s">
        <v>1733</v>
      </c>
      <c r="L1554" s="7" t="s">
        <v>21</v>
      </c>
      <c r="M1554" s="7" t="s">
        <v>1889</v>
      </c>
      <c r="N1554" s="7" t="s">
        <v>53</v>
      </c>
      <c r="O1554" s="10" t="n">
        <f aca="false">'Exec Summary'!$E$2-H1554</f>
        <v>184</v>
      </c>
      <c r="P1554" s="10" t="n">
        <f aca="false">IF(I1554="","",I1554-H1554)</f>
        <v>25</v>
      </c>
      <c r="Q1554" s="10" t="n">
        <f aca="false">VLOOKUP(G1554,$AA$2:$AB$5,2,FALSE())</f>
        <v>30</v>
      </c>
      <c r="R1554" s="7" t="n">
        <f aca="false">IF(OR(F1554="Open",F1554="Reopened"),1,0)</f>
        <v>0</v>
      </c>
      <c r="S1554" s="7" t="n">
        <f aca="false">IF(AND(H1554&gt;='Exec Summary'!$E$1,H1554&lt;='Exec Summary'!$E$2),1,0)</f>
        <v>0</v>
      </c>
      <c r="T1554" s="7" t="n">
        <f aca="false">IF(AND(F1554="Closed",I1554&lt;&gt;"",I1554&gt;='Exec Summary'!$E$1,I1554&lt;='Exec Summary'!$E$2),1,0)</f>
        <v>0</v>
      </c>
      <c r="U1554" s="7" t="n">
        <f aca="false">IF(F1554="Reopened",1,0)</f>
        <v>0</v>
      </c>
      <c r="V1554" s="7" t="n">
        <f aca="false">IF(AND(R1554=1,O1554&gt;Q1554),1,0)</f>
        <v>0</v>
      </c>
      <c r="W1554" s="7" t="n">
        <f aca="false">IF(AND(T1554=1,P1554&lt;&gt;"",P1554&lt;=Q1554),1,0)</f>
        <v>0</v>
      </c>
    </row>
    <row r="1555" customFormat="false" ht="15" hidden="false" customHeight="false" outlineLevel="0" collapsed="false">
      <c r="A1555" s="7" t="s">
        <v>1877</v>
      </c>
      <c r="B1555" s="7" t="s">
        <v>135</v>
      </c>
      <c r="C1555" s="7" t="s">
        <v>136</v>
      </c>
      <c r="D1555" s="7" t="s">
        <v>59</v>
      </c>
      <c r="E1555" s="7" t="s">
        <v>60</v>
      </c>
      <c r="F1555" s="7" t="s">
        <v>50</v>
      </c>
      <c r="G1555" s="7" t="s">
        <v>19</v>
      </c>
      <c r="H1555" s="9" t="n">
        <v>46102</v>
      </c>
      <c r="I1555" s="9" t="n">
        <v>46114</v>
      </c>
      <c r="J1555" s="7" t="n">
        <v>7.8</v>
      </c>
      <c r="K1555" s="7" t="s">
        <v>1733</v>
      </c>
      <c r="L1555" s="7" t="s">
        <v>21</v>
      </c>
      <c r="M1555" s="7" t="s">
        <v>1890</v>
      </c>
      <c r="N1555" s="7" t="s">
        <v>58</v>
      </c>
      <c r="O1555" s="10" t="n">
        <f aca="false">'Exec Summary'!$E$2-H1555</f>
        <v>132</v>
      </c>
      <c r="P1555" s="10" t="n">
        <f aca="false">IF(I1555="","",I1555-H1555)</f>
        <v>12</v>
      </c>
      <c r="Q1555" s="10" t="n">
        <f aca="false">VLOOKUP(G1555,$AA$2:$AB$5,2,FALSE())</f>
        <v>15</v>
      </c>
      <c r="R1555" s="7" t="n">
        <f aca="false">IF(OR(F1555="Open",F1555="Reopened"),1,0)</f>
        <v>0</v>
      </c>
      <c r="S1555" s="7" t="n">
        <f aca="false">IF(AND(H1555&gt;='Exec Summary'!$E$1,H1555&lt;='Exec Summary'!$E$2),1,0)</f>
        <v>0</v>
      </c>
      <c r="T1555" s="7" t="n">
        <f aca="false">IF(AND(F1555="Closed",I1555&lt;&gt;"",I1555&gt;='Exec Summary'!$E$1,I1555&lt;='Exec Summary'!$E$2),1,0)</f>
        <v>0</v>
      </c>
      <c r="U1555" s="7" t="n">
        <f aca="false">IF(F1555="Reopened",1,0)</f>
        <v>0</v>
      </c>
      <c r="V1555" s="7" t="n">
        <f aca="false">IF(AND(R1555=1,O1555&gt;Q1555),1,0)</f>
        <v>0</v>
      </c>
      <c r="W1555" s="7" t="n">
        <f aca="false">IF(AND(T1555=1,P1555&lt;&gt;"",P1555&lt;=Q1555),1,0)</f>
        <v>0</v>
      </c>
    </row>
    <row r="1556" customFormat="false" ht="15" hidden="false" customHeight="false" outlineLevel="0" collapsed="false">
      <c r="A1556" s="7" t="s">
        <v>1891</v>
      </c>
      <c r="B1556" s="7" t="s">
        <v>46</v>
      </c>
      <c r="C1556" s="7" t="s">
        <v>79</v>
      </c>
      <c r="D1556" s="7" t="s">
        <v>166</v>
      </c>
      <c r="E1556" s="7" t="s">
        <v>167</v>
      </c>
      <c r="F1556" s="7" t="s">
        <v>56</v>
      </c>
      <c r="G1556" s="7" t="s">
        <v>19</v>
      </c>
      <c r="H1556" s="9" t="n">
        <v>46050</v>
      </c>
      <c r="I1556" s="9"/>
      <c r="J1556" s="7" t="n">
        <v>9.8</v>
      </c>
      <c r="K1556" s="7" t="s">
        <v>1733</v>
      </c>
      <c r="L1556" s="7" t="s">
        <v>21</v>
      </c>
      <c r="M1556" s="7" t="s">
        <v>1892</v>
      </c>
      <c r="N1556" s="7" t="s">
        <v>58</v>
      </c>
      <c r="O1556" s="10" t="n">
        <f aca="false">'Exec Summary'!$E$2-H1556</f>
        <v>184</v>
      </c>
      <c r="P1556" s="10" t="str">
        <f aca="false">IF(I1556="","",I1556-H1556)</f>
        <v/>
      </c>
      <c r="Q1556" s="10" t="n">
        <f aca="false">VLOOKUP(G1556,$AA$2:$AB$5,2,FALSE())</f>
        <v>15</v>
      </c>
      <c r="R1556" s="7" t="n">
        <f aca="false">IF(OR(F1556="Open",F1556="Reopened"),1,0)</f>
        <v>1</v>
      </c>
      <c r="S1556" s="7" t="n">
        <f aca="false">IF(AND(H1556&gt;='Exec Summary'!$E$1,H1556&lt;='Exec Summary'!$E$2),1,0)</f>
        <v>0</v>
      </c>
      <c r="T1556" s="7" t="n">
        <f aca="false">IF(AND(F1556="Closed",I1556&lt;&gt;"",I1556&gt;='Exec Summary'!$E$1,I1556&lt;='Exec Summary'!$E$2),1,0)</f>
        <v>0</v>
      </c>
      <c r="U1556" s="7" t="n">
        <f aca="false">IF(F1556="Reopened",1,0)</f>
        <v>0</v>
      </c>
      <c r="V1556" s="7" t="n">
        <f aca="false">IF(AND(R1556=1,O1556&gt;Q1556),1,0)</f>
        <v>1</v>
      </c>
      <c r="W1556" s="7" t="n">
        <f aca="false">IF(AND(T1556=1,P1556&lt;&gt;"",P1556&lt;=Q1556),1,0)</f>
        <v>0</v>
      </c>
    </row>
    <row r="1557" customFormat="false" ht="15" hidden="false" customHeight="false" outlineLevel="0" collapsed="false">
      <c r="A1557" s="7" t="s">
        <v>1891</v>
      </c>
      <c r="B1557" s="7" t="s">
        <v>46</v>
      </c>
      <c r="C1557" s="7" t="s">
        <v>79</v>
      </c>
      <c r="D1557" s="7" t="s">
        <v>120</v>
      </c>
      <c r="E1557" s="7" t="s">
        <v>121</v>
      </c>
      <c r="F1557" s="7" t="s">
        <v>50</v>
      </c>
      <c r="G1557" s="7" t="s">
        <v>19</v>
      </c>
      <c r="H1557" s="9" t="n">
        <v>46176</v>
      </c>
      <c r="I1557" s="9" t="n">
        <v>46179</v>
      </c>
      <c r="J1557" s="7" t="n">
        <v>8.8</v>
      </c>
      <c r="K1557" s="7" t="s">
        <v>1733</v>
      </c>
      <c r="L1557" s="7" t="s">
        <v>21</v>
      </c>
      <c r="M1557" s="7" t="s">
        <v>1893</v>
      </c>
      <c r="N1557" s="7" t="s">
        <v>58</v>
      </c>
      <c r="O1557" s="10" t="n">
        <f aca="false">'Exec Summary'!$E$2-H1557</f>
        <v>58</v>
      </c>
      <c r="P1557" s="10" t="n">
        <f aca="false">IF(I1557="","",I1557-H1557)</f>
        <v>3</v>
      </c>
      <c r="Q1557" s="10" t="n">
        <f aca="false">VLOOKUP(G1557,$AA$2:$AB$5,2,FALSE())</f>
        <v>15</v>
      </c>
      <c r="R1557" s="7" t="n">
        <f aca="false">IF(OR(F1557="Open",F1557="Reopened"),1,0)</f>
        <v>0</v>
      </c>
      <c r="S1557" s="7" t="n">
        <f aca="false">IF(AND(H1557&gt;='Exec Summary'!$E$1,H1557&lt;='Exec Summary'!$E$2),1,0)</f>
        <v>0</v>
      </c>
      <c r="T1557" s="7" t="n">
        <f aca="false">IF(AND(F1557="Closed",I1557&lt;&gt;"",I1557&gt;='Exec Summary'!$E$1,I1557&lt;='Exec Summary'!$E$2),1,0)</f>
        <v>0</v>
      </c>
      <c r="U1557" s="7" t="n">
        <f aca="false">IF(F1557="Reopened",1,0)</f>
        <v>0</v>
      </c>
      <c r="V1557" s="7" t="n">
        <f aca="false">IF(AND(R1557=1,O1557&gt;Q1557),1,0)</f>
        <v>0</v>
      </c>
      <c r="W1557" s="7" t="n">
        <f aca="false">IF(AND(T1557=1,P1557&lt;&gt;"",P1557&lt;=Q1557),1,0)</f>
        <v>0</v>
      </c>
    </row>
    <row r="1558" customFormat="false" ht="15" hidden="false" customHeight="false" outlineLevel="0" collapsed="false">
      <c r="A1558" s="7" t="s">
        <v>1891</v>
      </c>
      <c r="B1558" s="7" t="s">
        <v>46</v>
      </c>
      <c r="C1558" s="7" t="s">
        <v>79</v>
      </c>
      <c r="D1558" s="7" t="s">
        <v>145</v>
      </c>
      <c r="E1558" s="7" t="s">
        <v>146</v>
      </c>
      <c r="F1558" s="7" t="s">
        <v>56</v>
      </c>
      <c r="G1558" s="7" t="s">
        <v>19</v>
      </c>
      <c r="H1558" s="9" t="n">
        <v>46108</v>
      </c>
      <c r="I1558" s="9"/>
      <c r="J1558" s="7" t="n">
        <v>9.8</v>
      </c>
      <c r="K1558" s="7" t="s">
        <v>1733</v>
      </c>
      <c r="L1558" s="7" t="s">
        <v>21</v>
      </c>
      <c r="M1558" s="7" t="s">
        <v>1894</v>
      </c>
      <c r="N1558" s="7" t="s">
        <v>58</v>
      </c>
      <c r="O1558" s="10" t="n">
        <f aca="false">'Exec Summary'!$E$2-H1558</f>
        <v>126</v>
      </c>
      <c r="P1558" s="10" t="str">
        <f aca="false">IF(I1558="","",I1558-H1558)</f>
        <v/>
      </c>
      <c r="Q1558" s="10" t="n">
        <f aca="false">VLOOKUP(G1558,$AA$2:$AB$5,2,FALSE())</f>
        <v>15</v>
      </c>
      <c r="R1558" s="7" t="n">
        <f aca="false">IF(OR(F1558="Open",F1558="Reopened"),1,0)</f>
        <v>1</v>
      </c>
      <c r="S1558" s="7" t="n">
        <f aca="false">IF(AND(H1558&gt;='Exec Summary'!$E$1,H1558&lt;='Exec Summary'!$E$2),1,0)</f>
        <v>0</v>
      </c>
      <c r="T1558" s="7" t="n">
        <f aca="false">IF(AND(F1558="Closed",I1558&lt;&gt;"",I1558&gt;='Exec Summary'!$E$1,I1558&lt;='Exec Summary'!$E$2),1,0)</f>
        <v>0</v>
      </c>
      <c r="U1558" s="7" t="n">
        <f aca="false">IF(F1558="Reopened",1,0)</f>
        <v>0</v>
      </c>
      <c r="V1558" s="7" t="n">
        <f aca="false">IF(AND(R1558=1,O1558&gt;Q1558),1,0)</f>
        <v>1</v>
      </c>
      <c r="W1558" s="7" t="n">
        <f aca="false">IF(AND(T1558=1,P1558&lt;&gt;"",P1558&lt;=Q1558),1,0)</f>
        <v>0</v>
      </c>
    </row>
    <row r="1559" customFormat="false" ht="15" hidden="false" customHeight="false" outlineLevel="0" collapsed="false">
      <c r="A1559" s="7" t="s">
        <v>1891</v>
      </c>
      <c r="B1559" s="7" t="s">
        <v>46</v>
      </c>
      <c r="C1559" s="7" t="s">
        <v>79</v>
      </c>
      <c r="D1559" s="7" t="s">
        <v>81</v>
      </c>
      <c r="E1559" s="7" t="s">
        <v>82</v>
      </c>
      <c r="F1559" s="7" t="s">
        <v>50</v>
      </c>
      <c r="G1559" s="7" t="s">
        <v>20</v>
      </c>
      <c r="H1559" s="9" t="n">
        <v>46030</v>
      </c>
      <c r="I1559" s="9" t="n">
        <v>46043</v>
      </c>
      <c r="J1559" s="7" t="n">
        <v>7.8</v>
      </c>
      <c r="K1559" s="7" t="s">
        <v>1733</v>
      </c>
      <c r="L1559" s="7" t="s">
        <v>21</v>
      </c>
      <c r="M1559" s="7" t="s">
        <v>1895</v>
      </c>
      <c r="N1559" s="7" t="s">
        <v>53</v>
      </c>
      <c r="O1559" s="10" t="n">
        <f aca="false">'Exec Summary'!$E$2-H1559</f>
        <v>204</v>
      </c>
      <c r="P1559" s="10" t="n">
        <f aca="false">IF(I1559="","",I1559-H1559)</f>
        <v>13</v>
      </c>
      <c r="Q1559" s="10" t="n">
        <f aca="false">VLOOKUP(G1559,$AA$2:$AB$5,2,FALSE())</f>
        <v>30</v>
      </c>
      <c r="R1559" s="7" t="n">
        <f aca="false">IF(OR(F1559="Open",F1559="Reopened"),1,0)</f>
        <v>0</v>
      </c>
      <c r="S1559" s="7" t="n">
        <f aca="false">IF(AND(H1559&gt;='Exec Summary'!$E$1,H1559&lt;='Exec Summary'!$E$2),1,0)</f>
        <v>0</v>
      </c>
      <c r="T1559" s="7" t="n">
        <f aca="false">IF(AND(F1559="Closed",I1559&lt;&gt;"",I1559&gt;='Exec Summary'!$E$1,I1559&lt;='Exec Summary'!$E$2),1,0)</f>
        <v>0</v>
      </c>
      <c r="U1559" s="7" t="n">
        <f aca="false">IF(F1559="Reopened",1,0)</f>
        <v>0</v>
      </c>
      <c r="V1559" s="7" t="n">
        <f aca="false">IF(AND(R1559=1,O1559&gt;Q1559),1,0)</f>
        <v>0</v>
      </c>
      <c r="W1559" s="7" t="n">
        <f aca="false">IF(AND(T1559=1,P1559&lt;&gt;"",P1559&lt;=Q1559),1,0)</f>
        <v>0</v>
      </c>
    </row>
    <row r="1560" customFormat="false" ht="15" hidden="false" customHeight="false" outlineLevel="0" collapsed="false">
      <c r="A1560" s="7" t="s">
        <v>1891</v>
      </c>
      <c r="B1560" s="7" t="s">
        <v>46</v>
      </c>
      <c r="C1560" s="7" t="s">
        <v>79</v>
      </c>
      <c r="D1560" s="7" t="s">
        <v>71</v>
      </c>
      <c r="E1560" s="7" t="s">
        <v>72</v>
      </c>
      <c r="F1560" s="7" t="s">
        <v>50</v>
      </c>
      <c r="G1560" s="7" t="s">
        <v>19</v>
      </c>
      <c r="H1560" s="9" t="n">
        <v>46041</v>
      </c>
      <c r="I1560" s="9" t="n">
        <v>46053</v>
      </c>
      <c r="J1560" s="7" t="n">
        <v>9.8</v>
      </c>
      <c r="K1560" s="7" t="s">
        <v>1733</v>
      </c>
      <c r="L1560" s="7" t="s">
        <v>21</v>
      </c>
      <c r="M1560" s="7" t="s">
        <v>1896</v>
      </c>
      <c r="N1560" s="7" t="s">
        <v>58</v>
      </c>
      <c r="O1560" s="10" t="n">
        <f aca="false">'Exec Summary'!$E$2-H1560</f>
        <v>193</v>
      </c>
      <c r="P1560" s="10" t="n">
        <f aca="false">IF(I1560="","",I1560-H1560)</f>
        <v>12</v>
      </c>
      <c r="Q1560" s="10" t="n">
        <f aca="false">VLOOKUP(G1560,$AA$2:$AB$5,2,FALSE())</f>
        <v>15</v>
      </c>
      <c r="R1560" s="7" t="n">
        <f aca="false">IF(OR(F1560="Open",F1560="Reopened"),1,0)</f>
        <v>0</v>
      </c>
      <c r="S1560" s="7" t="n">
        <f aca="false">IF(AND(H1560&gt;='Exec Summary'!$E$1,H1560&lt;='Exec Summary'!$E$2),1,0)</f>
        <v>0</v>
      </c>
      <c r="T1560" s="7" t="n">
        <f aca="false">IF(AND(F1560="Closed",I1560&lt;&gt;"",I1560&gt;='Exec Summary'!$E$1,I1560&lt;='Exec Summary'!$E$2),1,0)</f>
        <v>0</v>
      </c>
      <c r="U1560" s="7" t="n">
        <f aca="false">IF(F1560="Reopened",1,0)</f>
        <v>0</v>
      </c>
      <c r="V1560" s="7" t="n">
        <f aca="false">IF(AND(R1560=1,O1560&gt;Q1560),1,0)</f>
        <v>0</v>
      </c>
      <c r="W1560" s="7" t="n">
        <f aca="false">IF(AND(T1560=1,P1560&lt;&gt;"",P1560&lt;=Q1560),1,0)</f>
        <v>0</v>
      </c>
    </row>
    <row r="1561" customFormat="false" ht="15" hidden="false" customHeight="false" outlineLevel="0" collapsed="false">
      <c r="A1561" s="7" t="s">
        <v>1891</v>
      </c>
      <c r="B1561" s="7" t="s">
        <v>46</v>
      </c>
      <c r="C1561" s="7" t="s">
        <v>79</v>
      </c>
      <c r="D1561" s="7" t="s">
        <v>152</v>
      </c>
      <c r="E1561" s="7" t="s">
        <v>153</v>
      </c>
      <c r="F1561" s="7" t="s">
        <v>56</v>
      </c>
      <c r="G1561" s="7" t="s">
        <v>20</v>
      </c>
      <c r="H1561" s="9" t="n">
        <v>46090</v>
      </c>
      <c r="I1561" s="9"/>
      <c r="J1561" s="7" t="n">
        <v>7.5</v>
      </c>
      <c r="K1561" s="7" t="s">
        <v>1733</v>
      </c>
      <c r="L1561" s="7" t="s">
        <v>21</v>
      </c>
      <c r="M1561" s="7" t="s">
        <v>1897</v>
      </c>
      <c r="N1561" s="7" t="s">
        <v>53</v>
      </c>
      <c r="O1561" s="10" t="n">
        <f aca="false">'Exec Summary'!$E$2-H1561</f>
        <v>144</v>
      </c>
      <c r="P1561" s="10" t="str">
        <f aca="false">IF(I1561="","",I1561-H1561)</f>
        <v/>
      </c>
      <c r="Q1561" s="10" t="n">
        <f aca="false">VLOOKUP(G1561,$AA$2:$AB$5,2,FALSE())</f>
        <v>30</v>
      </c>
      <c r="R1561" s="7" t="n">
        <f aca="false">IF(OR(F1561="Open",F1561="Reopened"),1,0)</f>
        <v>1</v>
      </c>
      <c r="S1561" s="7" t="n">
        <f aca="false">IF(AND(H1561&gt;='Exec Summary'!$E$1,H1561&lt;='Exec Summary'!$E$2),1,0)</f>
        <v>0</v>
      </c>
      <c r="T1561" s="7" t="n">
        <f aca="false">IF(AND(F1561="Closed",I1561&lt;&gt;"",I1561&gt;='Exec Summary'!$E$1,I1561&lt;='Exec Summary'!$E$2),1,0)</f>
        <v>0</v>
      </c>
      <c r="U1561" s="7" t="n">
        <f aca="false">IF(F1561="Reopened",1,0)</f>
        <v>0</v>
      </c>
      <c r="V1561" s="7" t="n">
        <f aca="false">IF(AND(R1561=1,O1561&gt;Q1561),1,0)</f>
        <v>1</v>
      </c>
      <c r="W1561" s="7" t="n">
        <f aca="false">IF(AND(T1561=1,P1561&lt;&gt;"",P1561&lt;=Q1561),1,0)</f>
        <v>0</v>
      </c>
    </row>
    <row r="1562" customFormat="false" ht="15" hidden="false" customHeight="false" outlineLevel="0" collapsed="false">
      <c r="A1562" s="7" t="s">
        <v>1891</v>
      </c>
      <c r="B1562" s="7" t="s">
        <v>46</v>
      </c>
      <c r="C1562" s="7" t="s">
        <v>79</v>
      </c>
      <c r="D1562" s="7" t="s">
        <v>104</v>
      </c>
      <c r="E1562" s="7" t="s">
        <v>105</v>
      </c>
      <c r="F1562" s="7" t="s">
        <v>56</v>
      </c>
      <c r="G1562" s="7" t="s">
        <v>19</v>
      </c>
      <c r="H1562" s="9" t="n">
        <v>46189</v>
      </c>
      <c r="I1562" s="9"/>
      <c r="J1562" s="7" t="n">
        <v>9.8</v>
      </c>
      <c r="K1562" s="7" t="s">
        <v>1733</v>
      </c>
      <c r="L1562" s="7" t="s">
        <v>21</v>
      </c>
      <c r="M1562" s="7" t="s">
        <v>1898</v>
      </c>
      <c r="N1562" s="7" t="s">
        <v>58</v>
      </c>
      <c r="O1562" s="10" t="n">
        <f aca="false">'Exec Summary'!$E$2-H1562</f>
        <v>45</v>
      </c>
      <c r="P1562" s="10" t="str">
        <f aca="false">IF(I1562="","",I1562-H1562)</f>
        <v/>
      </c>
      <c r="Q1562" s="10" t="n">
        <f aca="false">VLOOKUP(G1562,$AA$2:$AB$5,2,FALSE())</f>
        <v>15</v>
      </c>
      <c r="R1562" s="7" t="n">
        <f aca="false">IF(OR(F1562="Open",F1562="Reopened"),1,0)</f>
        <v>1</v>
      </c>
      <c r="S1562" s="7" t="n">
        <f aca="false">IF(AND(H1562&gt;='Exec Summary'!$E$1,H1562&lt;='Exec Summary'!$E$2),1,0)</f>
        <v>0</v>
      </c>
      <c r="T1562" s="7" t="n">
        <f aca="false">IF(AND(F1562="Closed",I1562&lt;&gt;"",I1562&gt;='Exec Summary'!$E$1,I1562&lt;='Exec Summary'!$E$2),1,0)</f>
        <v>0</v>
      </c>
      <c r="U1562" s="7" t="n">
        <f aca="false">IF(F1562="Reopened",1,0)</f>
        <v>0</v>
      </c>
      <c r="V1562" s="7" t="n">
        <f aca="false">IF(AND(R1562=1,O1562&gt;Q1562),1,0)</f>
        <v>1</v>
      </c>
      <c r="W1562" s="7" t="n">
        <f aca="false">IF(AND(T1562=1,P1562&lt;&gt;"",P1562&lt;=Q1562),1,0)</f>
        <v>0</v>
      </c>
    </row>
    <row r="1563" customFormat="false" ht="15" hidden="false" customHeight="false" outlineLevel="0" collapsed="false">
      <c r="A1563" s="7" t="s">
        <v>1891</v>
      </c>
      <c r="B1563" s="7" t="s">
        <v>46</v>
      </c>
      <c r="C1563" s="7" t="s">
        <v>79</v>
      </c>
      <c r="D1563" s="7" t="s">
        <v>101</v>
      </c>
      <c r="E1563" s="7" t="s">
        <v>102</v>
      </c>
      <c r="F1563" s="7" t="s">
        <v>50</v>
      </c>
      <c r="G1563" s="7" t="s">
        <v>19</v>
      </c>
      <c r="H1563" s="9" t="n">
        <v>46107</v>
      </c>
      <c r="I1563" s="9" t="n">
        <v>46116</v>
      </c>
      <c r="J1563" s="7" t="n">
        <v>10</v>
      </c>
      <c r="K1563" s="7" t="s">
        <v>1733</v>
      </c>
      <c r="L1563" s="7" t="s">
        <v>21</v>
      </c>
      <c r="M1563" s="7" t="s">
        <v>1899</v>
      </c>
      <c r="N1563" s="7" t="s">
        <v>58</v>
      </c>
      <c r="O1563" s="10" t="n">
        <f aca="false">'Exec Summary'!$E$2-H1563</f>
        <v>127</v>
      </c>
      <c r="P1563" s="10" t="n">
        <f aca="false">IF(I1563="","",I1563-H1563)</f>
        <v>9</v>
      </c>
      <c r="Q1563" s="10" t="n">
        <f aca="false">VLOOKUP(G1563,$AA$2:$AB$5,2,FALSE())</f>
        <v>15</v>
      </c>
      <c r="R1563" s="7" t="n">
        <f aca="false">IF(OR(F1563="Open",F1563="Reopened"),1,0)</f>
        <v>0</v>
      </c>
      <c r="S1563" s="7" t="n">
        <f aca="false">IF(AND(H1563&gt;='Exec Summary'!$E$1,H1563&lt;='Exec Summary'!$E$2),1,0)</f>
        <v>0</v>
      </c>
      <c r="T1563" s="7" t="n">
        <f aca="false">IF(AND(F1563="Closed",I1563&lt;&gt;"",I1563&gt;='Exec Summary'!$E$1,I1563&lt;='Exec Summary'!$E$2),1,0)</f>
        <v>0</v>
      </c>
      <c r="U1563" s="7" t="n">
        <f aca="false">IF(F1563="Reopened",1,0)</f>
        <v>0</v>
      </c>
      <c r="V1563" s="7" t="n">
        <f aca="false">IF(AND(R1563=1,O1563&gt;Q1563),1,0)</f>
        <v>0</v>
      </c>
      <c r="W1563" s="7" t="n">
        <f aca="false">IF(AND(T1563=1,P1563&lt;&gt;"",P1563&lt;=Q1563),1,0)</f>
        <v>0</v>
      </c>
    </row>
    <row r="1564" customFormat="false" ht="15" hidden="false" customHeight="false" outlineLevel="0" collapsed="false">
      <c r="A1564" s="7" t="s">
        <v>1891</v>
      </c>
      <c r="B1564" s="7" t="s">
        <v>46</v>
      </c>
      <c r="C1564" s="7" t="s">
        <v>79</v>
      </c>
      <c r="D1564" s="7" t="s">
        <v>139</v>
      </c>
      <c r="E1564" s="7" t="s">
        <v>140</v>
      </c>
      <c r="F1564" s="7" t="s">
        <v>123</v>
      </c>
      <c r="G1564" s="7" t="s">
        <v>19</v>
      </c>
      <c r="H1564" s="9" t="n">
        <v>46209</v>
      </c>
      <c r="I1564" s="9" t="n">
        <v>46212</v>
      </c>
      <c r="J1564" s="7" t="n">
        <v>9.8</v>
      </c>
      <c r="K1564" s="7" t="s">
        <v>1733</v>
      </c>
      <c r="L1564" s="7" t="s">
        <v>21</v>
      </c>
      <c r="M1564" s="7" t="s">
        <v>1900</v>
      </c>
      <c r="N1564" s="7" t="s">
        <v>58</v>
      </c>
      <c r="O1564" s="10" t="n">
        <f aca="false">'Exec Summary'!$E$2-H1564</f>
        <v>25</v>
      </c>
      <c r="P1564" s="10" t="n">
        <f aca="false">IF(I1564="","",I1564-H1564)</f>
        <v>3</v>
      </c>
      <c r="Q1564" s="10" t="n">
        <f aca="false">VLOOKUP(G1564,$AA$2:$AB$5,2,FALSE())</f>
        <v>15</v>
      </c>
      <c r="R1564" s="7" t="n">
        <f aca="false">IF(OR(F1564="Open",F1564="Reopened"),1,0)</f>
        <v>1</v>
      </c>
      <c r="S1564" s="7" t="n">
        <f aca="false">IF(AND(H1564&gt;='Exec Summary'!$E$1,H1564&lt;='Exec Summary'!$E$2),1,0)</f>
        <v>1</v>
      </c>
      <c r="T1564" s="7" t="n">
        <f aca="false">IF(AND(F1564="Closed",I1564&lt;&gt;"",I1564&gt;='Exec Summary'!$E$1,I1564&lt;='Exec Summary'!$E$2),1,0)</f>
        <v>0</v>
      </c>
      <c r="U1564" s="7" t="n">
        <f aca="false">IF(F1564="Reopened",1,0)</f>
        <v>1</v>
      </c>
      <c r="V1564" s="7" t="n">
        <f aca="false">IF(AND(R1564=1,O1564&gt;Q1564),1,0)</f>
        <v>1</v>
      </c>
      <c r="W1564" s="7" t="n">
        <f aca="false">IF(AND(T1564=1,P1564&lt;&gt;"",P1564&lt;=Q1564),1,0)</f>
        <v>0</v>
      </c>
    </row>
    <row r="1565" customFormat="false" ht="15" hidden="false" customHeight="false" outlineLevel="0" collapsed="false">
      <c r="A1565" s="7" t="s">
        <v>1891</v>
      </c>
      <c r="B1565" s="7" t="s">
        <v>46</v>
      </c>
      <c r="C1565" s="7" t="s">
        <v>79</v>
      </c>
      <c r="D1565" s="7" t="s">
        <v>206</v>
      </c>
      <c r="E1565" s="7" t="s">
        <v>207</v>
      </c>
      <c r="F1565" s="7" t="s">
        <v>56</v>
      </c>
      <c r="G1565" s="7" t="s">
        <v>20</v>
      </c>
      <c r="H1565" s="9" t="n">
        <v>46012</v>
      </c>
      <c r="I1565" s="9"/>
      <c r="J1565" s="7" t="n">
        <v>8.8</v>
      </c>
      <c r="K1565" s="7" t="s">
        <v>1733</v>
      </c>
      <c r="L1565" s="7" t="s">
        <v>21</v>
      </c>
      <c r="M1565" s="7" t="s">
        <v>1901</v>
      </c>
      <c r="N1565" s="7" t="s">
        <v>53</v>
      </c>
      <c r="O1565" s="10" t="n">
        <f aca="false">'Exec Summary'!$E$2-H1565</f>
        <v>222</v>
      </c>
      <c r="P1565" s="10" t="str">
        <f aca="false">IF(I1565="","",I1565-H1565)</f>
        <v/>
      </c>
      <c r="Q1565" s="10" t="n">
        <f aca="false">VLOOKUP(G1565,$AA$2:$AB$5,2,FALSE())</f>
        <v>30</v>
      </c>
      <c r="R1565" s="7" t="n">
        <f aca="false">IF(OR(F1565="Open",F1565="Reopened"),1,0)</f>
        <v>1</v>
      </c>
      <c r="S1565" s="7" t="n">
        <f aca="false">IF(AND(H1565&gt;='Exec Summary'!$E$1,H1565&lt;='Exec Summary'!$E$2),1,0)</f>
        <v>0</v>
      </c>
      <c r="T1565" s="7" t="n">
        <f aca="false">IF(AND(F1565="Closed",I1565&lt;&gt;"",I1565&gt;='Exec Summary'!$E$1,I1565&lt;='Exec Summary'!$E$2),1,0)</f>
        <v>0</v>
      </c>
      <c r="U1565" s="7" t="n">
        <f aca="false">IF(F1565="Reopened",1,0)</f>
        <v>0</v>
      </c>
      <c r="V1565" s="7" t="n">
        <f aca="false">IF(AND(R1565=1,O1565&gt;Q1565),1,0)</f>
        <v>1</v>
      </c>
      <c r="W1565" s="7" t="n">
        <f aca="false">IF(AND(T1565=1,P1565&lt;&gt;"",P1565&lt;=Q1565),1,0)</f>
        <v>0</v>
      </c>
    </row>
    <row r="1566" customFormat="false" ht="15" hidden="false" customHeight="false" outlineLevel="0" collapsed="false">
      <c r="A1566" s="7" t="s">
        <v>1891</v>
      </c>
      <c r="B1566" s="7" t="s">
        <v>46</v>
      </c>
      <c r="C1566" s="7" t="s">
        <v>79</v>
      </c>
      <c r="D1566" s="7" t="s">
        <v>108</v>
      </c>
      <c r="E1566" s="7" t="s">
        <v>109</v>
      </c>
      <c r="F1566" s="7" t="s">
        <v>56</v>
      </c>
      <c r="G1566" s="7" t="s">
        <v>20</v>
      </c>
      <c r="H1566" s="9" t="n">
        <v>46224</v>
      </c>
      <c r="I1566" s="9"/>
      <c r="J1566" s="7" t="n">
        <v>8.6</v>
      </c>
      <c r="K1566" s="7" t="s">
        <v>1733</v>
      </c>
      <c r="L1566" s="7" t="s">
        <v>21</v>
      </c>
      <c r="M1566" s="7" t="s">
        <v>1902</v>
      </c>
      <c r="N1566" s="7" t="s">
        <v>53</v>
      </c>
      <c r="O1566" s="10" t="n">
        <f aca="false">'Exec Summary'!$E$2-H1566</f>
        <v>10</v>
      </c>
      <c r="P1566" s="10" t="str">
        <f aca="false">IF(I1566="","",I1566-H1566)</f>
        <v/>
      </c>
      <c r="Q1566" s="10" t="n">
        <f aca="false">VLOOKUP(G1566,$AA$2:$AB$5,2,FALSE())</f>
        <v>30</v>
      </c>
      <c r="R1566" s="7" t="n">
        <f aca="false">IF(OR(F1566="Open",F1566="Reopened"),1,0)</f>
        <v>1</v>
      </c>
      <c r="S1566" s="7" t="n">
        <f aca="false">IF(AND(H1566&gt;='Exec Summary'!$E$1,H1566&lt;='Exec Summary'!$E$2),1,0)</f>
        <v>1</v>
      </c>
      <c r="T1566" s="7" t="n">
        <f aca="false">IF(AND(F1566="Closed",I1566&lt;&gt;"",I1566&gt;='Exec Summary'!$E$1,I1566&lt;='Exec Summary'!$E$2),1,0)</f>
        <v>0</v>
      </c>
      <c r="U1566" s="7" t="n">
        <f aca="false">IF(F1566="Reopened",1,0)</f>
        <v>0</v>
      </c>
      <c r="V1566" s="7" t="n">
        <f aca="false">IF(AND(R1566=1,O1566&gt;Q1566),1,0)</f>
        <v>0</v>
      </c>
      <c r="W1566" s="7" t="n">
        <f aca="false">IF(AND(T1566=1,P1566&lt;&gt;"",P1566&lt;=Q1566),1,0)</f>
        <v>0</v>
      </c>
    </row>
    <row r="1567" customFormat="false" ht="15" hidden="false" customHeight="false" outlineLevel="0" collapsed="false">
      <c r="A1567" s="7" t="s">
        <v>1891</v>
      </c>
      <c r="B1567" s="7" t="s">
        <v>46</v>
      </c>
      <c r="C1567" s="7" t="s">
        <v>79</v>
      </c>
      <c r="D1567" s="7" t="s">
        <v>68</v>
      </c>
      <c r="E1567" s="7" t="s">
        <v>69</v>
      </c>
      <c r="F1567" s="7" t="s">
        <v>50</v>
      </c>
      <c r="G1567" s="7" t="s">
        <v>19</v>
      </c>
      <c r="H1567" s="9" t="n">
        <v>46129</v>
      </c>
      <c r="I1567" s="9" t="n">
        <v>46135</v>
      </c>
      <c r="J1567" s="7" t="n">
        <v>9.8</v>
      </c>
      <c r="K1567" s="7" t="s">
        <v>1733</v>
      </c>
      <c r="L1567" s="7" t="s">
        <v>21</v>
      </c>
      <c r="M1567" s="7" t="s">
        <v>1903</v>
      </c>
      <c r="N1567" s="7" t="s">
        <v>58</v>
      </c>
      <c r="O1567" s="10" t="n">
        <f aca="false">'Exec Summary'!$E$2-H1567</f>
        <v>105</v>
      </c>
      <c r="P1567" s="10" t="n">
        <f aca="false">IF(I1567="","",I1567-H1567)</f>
        <v>6</v>
      </c>
      <c r="Q1567" s="10" t="n">
        <f aca="false">VLOOKUP(G1567,$AA$2:$AB$5,2,FALSE())</f>
        <v>15</v>
      </c>
      <c r="R1567" s="7" t="n">
        <f aca="false">IF(OR(F1567="Open",F1567="Reopened"),1,0)</f>
        <v>0</v>
      </c>
      <c r="S1567" s="7" t="n">
        <f aca="false">IF(AND(H1567&gt;='Exec Summary'!$E$1,H1567&lt;='Exec Summary'!$E$2),1,0)</f>
        <v>0</v>
      </c>
      <c r="T1567" s="7" t="n">
        <f aca="false">IF(AND(F1567="Closed",I1567&lt;&gt;"",I1567&gt;='Exec Summary'!$E$1,I1567&lt;='Exec Summary'!$E$2),1,0)</f>
        <v>0</v>
      </c>
      <c r="U1567" s="7" t="n">
        <f aca="false">IF(F1567="Reopened",1,0)</f>
        <v>0</v>
      </c>
      <c r="V1567" s="7" t="n">
        <f aca="false">IF(AND(R1567=1,O1567&gt;Q1567),1,0)</f>
        <v>0</v>
      </c>
      <c r="W1567" s="7" t="n">
        <f aca="false">IF(AND(T1567=1,P1567&lt;&gt;"",P1567&lt;=Q1567),1,0)</f>
        <v>0</v>
      </c>
    </row>
    <row r="1568" customFormat="false" ht="15" hidden="false" customHeight="false" outlineLevel="0" collapsed="false">
      <c r="A1568" s="7" t="s">
        <v>1891</v>
      </c>
      <c r="B1568" s="7" t="s">
        <v>46</v>
      </c>
      <c r="C1568" s="7" t="s">
        <v>79</v>
      </c>
      <c r="D1568" s="7" t="s">
        <v>59</v>
      </c>
      <c r="E1568" s="7" t="s">
        <v>60</v>
      </c>
      <c r="F1568" s="7" t="s">
        <v>50</v>
      </c>
      <c r="G1568" s="7" t="s">
        <v>19</v>
      </c>
      <c r="H1568" s="9" t="n">
        <v>46131</v>
      </c>
      <c r="I1568" s="9" t="n">
        <v>46149</v>
      </c>
      <c r="J1568" s="7" t="n">
        <v>7.8</v>
      </c>
      <c r="K1568" s="7" t="s">
        <v>1733</v>
      </c>
      <c r="L1568" s="7" t="s">
        <v>21</v>
      </c>
      <c r="M1568" s="7" t="s">
        <v>1904</v>
      </c>
      <c r="N1568" s="7" t="s">
        <v>58</v>
      </c>
      <c r="O1568" s="10" t="n">
        <f aca="false">'Exec Summary'!$E$2-H1568</f>
        <v>103</v>
      </c>
      <c r="P1568" s="10" t="n">
        <f aca="false">IF(I1568="","",I1568-H1568)</f>
        <v>18</v>
      </c>
      <c r="Q1568" s="10" t="n">
        <f aca="false">VLOOKUP(G1568,$AA$2:$AB$5,2,FALSE())</f>
        <v>15</v>
      </c>
      <c r="R1568" s="7" t="n">
        <f aca="false">IF(OR(F1568="Open",F1568="Reopened"),1,0)</f>
        <v>0</v>
      </c>
      <c r="S1568" s="7" t="n">
        <f aca="false">IF(AND(H1568&gt;='Exec Summary'!$E$1,H1568&lt;='Exec Summary'!$E$2),1,0)</f>
        <v>0</v>
      </c>
      <c r="T1568" s="7" t="n">
        <f aca="false">IF(AND(F1568="Closed",I1568&lt;&gt;"",I1568&gt;='Exec Summary'!$E$1,I1568&lt;='Exec Summary'!$E$2),1,0)</f>
        <v>0</v>
      </c>
      <c r="U1568" s="7" t="n">
        <f aca="false">IF(F1568="Reopened",1,0)</f>
        <v>0</v>
      </c>
      <c r="V1568" s="7" t="n">
        <f aca="false">IF(AND(R1568=1,O1568&gt;Q1568),1,0)</f>
        <v>0</v>
      </c>
      <c r="W1568" s="7" t="n">
        <f aca="false">IF(AND(T1568=1,P1568&lt;&gt;"",P1568&lt;=Q1568),1,0)</f>
        <v>0</v>
      </c>
    </row>
    <row r="1569" customFormat="false" ht="15" hidden="false" customHeight="false" outlineLevel="0" collapsed="false">
      <c r="A1569" s="7" t="s">
        <v>1891</v>
      </c>
      <c r="B1569" s="7" t="s">
        <v>46</v>
      </c>
      <c r="C1569" s="7" t="s">
        <v>79</v>
      </c>
      <c r="D1569" s="7" t="s">
        <v>54</v>
      </c>
      <c r="E1569" s="7" t="s">
        <v>55</v>
      </c>
      <c r="F1569" s="7" t="s">
        <v>50</v>
      </c>
      <c r="G1569" s="7" t="s">
        <v>19</v>
      </c>
      <c r="H1569" s="9" t="n">
        <v>45981</v>
      </c>
      <c r="I1569" s="9" t="n">
        <v>45997</v>
      </c>
      <c r="J1569" s="7" t="n">
        <v>9.8</v>
      </c>
      <c r="K1569" s="7" t="s">
        <v>1733</v>
      </c>
      <c r="L1569" s="7" t="s">
        <v>21</v>
      </c>
      <c r="M1569" s="7" t="s">
        <v>1905</v>
      </c>
      <c r="N1569" s="7" t="s">
        <v>58</v>
      </c>
      <c r="O1569" s="10" t="n">
        <f aca="false">'Exec Summary'!$E$2-H1569</f>
        <v>253</v>
      </c>
      <c r="P1569" s="10" t="n">
        <f aca="false">IF(I1569="","",I1569-H1569)</f>
        <v>16</v>
      </c>
      <c r="Q1569" s="10" t="n">
        <f aca="false">VLOOKUP(G1569,$AA$2:$AB$5,2,FALSE())</f>
        <v>15</v>
      </c>
      <c r="R1569" s="7" t="n">
        <f aca="false">IF(OR(F1569="Open",F1569="Reopened"),1,0)</f>
        <v>0</v>
      </c>
      <c r="S1569" s="7" t="n">
        <f aca="false">IF(AND(H1569&gt;='Exec Summary'!$E$1,H1569&lt;='Exec Summary'!$E$2),1,0)</f>
        <v>0</v>
      </c>
      <c r="T1569" s="7" t="n">
        <f aca="false">IF(AND(F1569="Closed",I1569&lt;&gt;"",I1569&gt;='Exec Summary'!$E$1,I1569&lt;='Exec Summary'!$E$2),1,0)</f>
        <v>0</v>
      </c>
      <c r="U1569" s="7" t="n">
        <f aca="false">IF(F1569="Reopened",1,0)</f>
        <v>0</v>
      </c>
      <c r="V1569" s="7" t="n">
        <f aca="false">IF(AND(R1569=1,O1569&gt;Q1569),1,0)</f>
        <v>0</v>
      </c>
      <c r="W1569" s="7" t="n">
        <f aca="false">IF(AND(T1569=1,P1569&lt;&gt;"",P1569&lt;=Q1569),1,0)</f>
        <v>0</v>
      </c>
    </row>
    <row r="1570" customFormat="false" ht="15" hidden="false" customHeight="false" outlineLevel="0" collapsed="false">
      <c r="A1570" s="7" t="s">
        <v>1906</v>
      </c>
      <c r="B1570" s="7" t="s">
        <v>46</v>
      </c>
      <c r="C1570" s="7" t="s">
        <v>79</v>
      </c>
      <c r="D1570" s="7" t="s">
        <v>87</v>
      </c>
      <c r="E1570" s="7" t="s">
        <v>88</v>
      </c>
      <c r="F1570" s="7" t="s">
        <v>50</v>
      </c>
      <c r="G1570" s="7" t="s">
        <v>19</v>
      </c>
      <c r="H1570" s="9" t="n">
        <v>46166</v>
      </c>
      <c r="I1570" s="9" t="n">
        <v>46173</v>
      </c>
      <c r="J1570" s="7" t="n">
        <v>10</v>
      </c>
      <c r="K1570" s="7" t="s">
        <v>1733</v>
      </c>
      <c r="L1570" s="7" t="s">
        <v>20</v>
      </c>
      <c r="M1570" s="7" t="s">
        <v>1907</v>
      </c>
      <c r="N1570" s="7" t="s">
        <v>58</v>
      </c>
      <c r="O1570" s="10" t="n">
        <f aca="false">'Exec Summary'!$E$2-H1570</f>
        <v>68</v>
      </c>
      <c r="P1570" s="10" t="n">
        <f aca="false">IF(I1570="","",I1570-H1570)</f>
        <v>7</v>
      </c>
      <c r="Q1570" s="10" t="n">
        <f aca="false">VLOOKUP(G1570,$AA$2:$AB$5,2,FALSE())</f>
        <v>15</v>
      </c>
      <c r="R1570" s="7" t="n">
        <f aca="false">IF(OR(F1570="Open",F1570="Reopened"),1,0)</f>
        <v>0</v>
      </c>
      <c r="S1570" s="7" t="n">
        <f aca="false">IF(AND(H1570&gt;='Exec Summary'!$E$1,H1570&lt;='Exec Summary'!$E$2),1,0)</f>
        <v>0</v>
      </c>
      <c r="T1570" s="7" t="n">
        <f aca="false">IF(AND(F1570="Closed",I1570&lt;&gt;"",I1570&gt;='Exec Summary'!$E$1,I1570&lt;='Exec Summary'!$E$2),1,0)</f>
        <v>0</v>
      </c>
      <c r="U1570" s="7" t="n">
        <f aca="false">IF(F1570="Reopened",1,0)</f>
        <v>0</v>
      </c>
      <c r="V1570" s="7" t="n">
        <f aca="false">IF(AND(R1570=1,O1570&gt;Q1570),1,0)</f>
        <v>0</v>
      </c>
      <c r="W1570" s="7" t="n">
        <f aca="false">IF(AND(T1570=1,P1570&lt;&gt;"",P1570&lt;=Q1570),1,0)</f>
        <v>0</v>
      </c>
    </row>
    <row r="1571" customFormat="false" ht="15" hidden="false" customHeight="false" outlineLevel="0" collapsed="false">
      <c r="A1571" s="7" t="s">
        <v>1906</v>
      </c>
      <c r="B1571" s="7" t="s">
        <v>46</v>
      </c>
      <c r="C1571" s="7" t="s">
        <v>79</v>
      </c>
      <c r="D1571" s="7" t="s">
        <v>98</v>
      </c>
      <c r="E1571" s="7" t="s">
        <v>99</v>
      </c>
      <c r="F1571" s="7" t="s">
        <v>50</v>
      </c>
      <c r="G1571" s="7" t="s">
        <v>19</v>
      </c>
      <c r="H1571" s="9" t="n">
        <v>46134</v>
      </c>
      <c r="I1571" s="9" t="n">
        <v>46144</v>
      </c>
      <c r="J1571" s="7" t="n">
        <v>10</v>
      </c>
      <c r="K1571" s="7" t="s">
        <v>1733</v>
      </c>
      <c r="L1571" s="7" t="s">
        <v>20</v>
      </c>
      <c r="M1571" s="7" t="s">
        <v>1908</v>
      </c>
      <c r="N1571" s="7" t="s">
        <v>58</v>
      </c>
      <c r="O1571" s="10" t="n">
        <f aca="false">'Exec Summary'!$E$2-H1571</f>
        <v>100</v>
      </c>
      <c r="P1571" s="10" t="n">
        <f aca="false">IF(I1571="","",I1571-H1571)</f>
        <v>10</v>
      </c>
      <c r="Q1571" s="10" t="n">
        <f aca="false">VLOOKUP(G1571,$AA$2:$AB$5,2,FALSE())</f>
        <v>15</v>
      </c>
      <c r="R1571" s="7" t="n">
        <f aca="false">IF(OR(F1571="Open",F1571="Reopened"),1,0)</f>
        <v>0</v>
      </c>
      <c r="S1571" s="7" t="n">
        <f aca="false">IF(AND(H1571&gt;='Exec Summary'!$E$1,H1571&lt;='Exec Summary'!$E$2),1,0)</f>
        <v>0</v>
      </c>
      <c r="T1571" s="7" t="n">
        <f aca="false">IF(AND(F1571="Closed",I1571&lt;&gt;"",I1571&gt;='Exec Summary'!$E$1,I1571&lt;='Exec Summary'!$E$2),1,0)</f>
        <v>0</v>
      </c>
      <c r="U1571" s="7" t="n">
        <f aca="false">IF(F1571="Reopened",1,0)</f>
        <v>0</v>
      </c>
      <c r="V1571" s="7" t="n">
        <f aca="false">IF(AND(R1571=1,O1571&gt;Q1571),1,0)</f>
        <v>0</v>
      </c>
      <c r="W1571" s="7" t="n">
        <f aca="false">IF(AND(T1571=1,P1571&lt;&gt;"",P1571&lt;=Q1571),1,0)</f>
        <v>0</v>
      </c>
    </row>
    <row r="1572" customFormat="false" ht="15" hidden="false" customHeight="false" outlineLevel="0" collapsed="false">
      <c r="A1572" s="7" t="s">
        <v>1906</v>
      </c>
      <c r="B1572" s="7" t="s">
        <v>46</v>
      </c>
      <c r="C1572" s="7" t="s">
        <v>79</v>
      </c>
      <c r="D1572" s="7" t="s">
        <v>54</v>
      </c>
      <c r="E1572" s="7" t="s">
        <v>55</v>
      </c>
      <c r="F1572" s="7" t="s">
        <v>56</v>
      </c>
      <c r="G1572" s="7" t="s">
        <v>19</v>
      </c>
      <c r="H1572" s="9" t="n">
        <v>46178</v>
      </c>
      <c r="I1572" s="9"/>
      <c r="J1572" s="7" t="n">
        <v>9.8</v>
      </c>
      <c r="K1572" s="7" t="s">
        <v>1733</v>
      </c>
      <c r="L1572" s="7" t="s">
        <v>20</v>
      </c>
      <c r="M1572" s="7" t="s">
        <v>1909</v>
      </c>
      <c r="N1572" s="7" t="s">
        <v>58</v>
      </c>
      <c r="O1572" s="10" t="n">
        <f aca="false">'Exec Summary'!$E$2-H1572</f>
        <v>56</v>
      </c>
      <c r="P1572" s="10" t="str">
        <f aca="false">IF(I1572="","",I1572-H1572)</f>
        <v/>
      </c>
      <c r="Q1572" s="10" t="n">
        <f aca="false">VLOOKUP(G1572,$AA$2:$AB$5,2,FALSE())</f>
        <v>15</v>
      </c>
      <c r="R1572" s="7" t="n">
        <f aca="false">IF(OR(F1572="Open",F1572="Reopened"),1,0)</f>
        <v>1</v>
      </c>
      <c r="S1572" s="7" t="n">
        <f aca="false">IF(AND(H1572&gt;='Exec Summary'!$E$1,H1572&lt;='Exec Summary'!$E$2),1,0)</f>
        <v>0</v>
      </c>
      <c r="T1572" s="7" t="n">
        <f aca="false">IF(AND(F1572="Closed",I1572&lt;&gt;"",I1572&gt;='Exec Summary'!$E$1,I1572&lt;='Exec Summary'!$E$2),1,0)</f>
        <v>0</v>
      </c>
      <c r="U1572" s="7" t="n">
        <f aca="false">IF(F1572="Reopened",1,0)</f>
        <v>0</v>
      </c>
      <c r="V1572" s="7" t="n">
        <f aca="false">IF(AND(R1572=1,O1572&gt;Q1572),1,0)</f>
        <v>1</v>
      </c>
      <c r="W1572" s="7" t="n">
        <f aca="false">IF(AND(T1572=1,P1572&lt;&gt;"",P1572&lt;=Q1572),1,0)</f>
        <v>0</v>
      </c>
    </row>
    <row r="1573" customFormat="false" ht="15" hidden="false" customHeight="false" outlineLevel="0" collapsed="false">
      <c r="A1573" s="7" t="s">
        <v>1906</v>
      </c>
      <c r="B1573" s="7" t="s">
        <v>46</v>
      </c>
      <c r="C1573" s="7" t="s">
        <v>79</v>
      </c>
      <c r="D1573" s="7" t="s">
        <v>74</v>
      </c>
      <c r="E1573" s="7" t="s">
        <v>75</v>
      </c>
      <c r="F1573" s="7" t="s">
        <v>50</v>
      </c>
      <c r="G1573" s="7" t="s">
        <v>21</v>
      </c>
      <c r="H1573" s="9" t="n">
        <v>46039</v>
      </c>
      <c r="I1573" s="9" t="n">
        <v>46118</v>
      </c>
      <c r="J1573" s="7" t="n">
        <v>6.5</v>
      </c>
      <c r="K1573" s="7" t="s">
        <v>1733</v>
      </c>
      <c r="L1573" s="7" t="s">
        <v>20</v>
      </c>
      <c r="M1573" s="7" t="s">
        <v>1910</v>
      </c>
      <c r="N1573" s="7" t="s">
        <v>77</v>
      </c>
      <c r="O1573" s="10" t="n">
        <f aca="false">'Exec Summary'!$E$2-H1573</f>
        <v>195</v>
      </c>
      <c r="P1573" s="10" t="n">
        <f aca="false">IF(I1573="","",I1573-H1573)</f>
        <v>79</v>
      </c>
      <c r="Q1573" s="10" t="n">
        <f aca="false">VLOOKUP(G1573,$AA$2:$AB$5,2,FALSE())</f>
        <v>90</v>
      </c>
      <c r="R1573" s="7" t="n">
        <f aca="false">IF(OR(F1573="Open",F1573="Reopened"),1,0)</f>
        <v>0</v>
      </c>
      <c r="S1573" s="7" t="n">
        <f aca="false">IF(AND(H1573&gt;='Exec Summary'!$E$1,H1573&lt;='Exec Summary'!$E$2),1,0)</f>
        <v>0</v>
      </c>
      <c r="T1573" s="7" t="n">
        <f aca="false">IF(AND(F1573="Closed",I1573&lt;&gt;"",I1573&gt;='Exec Summary'!$E$1,I1573&lt;='Exec Summary'!$E$2),1,0)</f>
        <v>0</v>
      </c>
      <c r="U1573" s="7" t="n">
        <f aca="false">IF(F1573="Reopened",1,0)</f>
        <v>0</v>
      </c>
      <c r="V1573" s="7" t="n">
        <f aca="false">IF(AND(R1573=1,O1573&gt;Q1573),1,0)</f>
        <v>0</v>
      </c>
      <c r="W1573" s="7" t="n">
        <f aca="false">IF(AND(T1573=1,P1573&lt;&gt;"",P1573&lt;=Q1573),1,0)</f>
        <v>0</v>
      </c>
    </row>
    <row r="1574" customFormat="false" ht="15" hidden="false" customHeight="false" outlineLevel="0" collapsed="false">
      <c r="A1574" s="7" t="s">
        <v>1906</v>
      </c>
      <c r="B1574" s="7" t="s">
        <v>46</v>
      </c>
      <c r="C1574" s="7" t="s">
        <v>79</v>
      </c>
      <c r="D1574" s="7" t="s">
        <v>117</v>
      </c>
      <c r="E1574" s="7" t="s">
        <v>118</v>
      </c>
      <c r="F1574" s="7" t="s">
        <v>56</v>
      </c>
      <c r="G1574" s="7" t="s">
        <v>19</v>
      </c>
      <c r="H1574" s="9" t="n">
        <v>46015</v>
      </c>
      <c r="I1574" s="9"/>
      <c r="J1574" s="7" t="n">
        <v>10</v>
      </c>
      <c r="K1574" s="7" t="s">
        <v>1733</v>
      </c>
      <c r="L1574" s="7" t="s">
        <v>20</v>
      </c>
      <c r="M1574" s="7" t="s">
        <v>1911</v>
      </c>
      <c r="N1574" s="7" t="s">
        <v>58</v>
      </c>
      <c r="O1574" s="10" t="n">
        <f aca="false">'Exec Summary'!$E$2-H1574</f>
        <v>219</v>
      </c>
      <c r="P1574" s="10" t="str">
        <f aca="false">IF(I1574="","",I1574-H1574)</f>
        <v/>
      </c>
      <c r="Q1574" s="10" t="n">
        <f aca="false">VLOOKUP(G1574,$AA$2:$AB$5,2,FALSE())</f>
        <v>15</v>
      </c>
      <c r="R1574" s="7" t="n">
        <f aca="false">IF(OR(F1574="Open",F1574="Reopened"),1,0)</f>
        <v>1</v>
      </c>
      <c r="S1574" s="7" t="n">
        <f aca="false">IF(AND(H1574&gt;='Exec Summary'!$E$1,H1574&lt;='Exec Summary'!$E$2),1,0)</f>
        <v>0</v>
      </c>
      <c r="T1574" s="7" t="n">
        <f aca="false">IF(AND(F1574="Closed",I1574&lt;&gt;"",I1574&gt;='Exec Summary'!$E$1,I1574&lt;='Exec Summary'!$E$2),1,0)</f>
        <v>0</v>
      </c>
      <c r="U1574" s="7" t="n">
        <f aca="false">IF(F1574="Reopened",1,0)</f>
        <v>0</v>
      </c>
      <c r="V1574" s="7" t="n">
        <f aca="false">IF(AND(R1574=1,O1574&gt;Q1574),1,0)</f>
        <v>1</v>
      </c>
      <c r="W1574" s="7" t="n">
        <f aca="false">IF(AND(T1574=1,P1574&lt;&gt;"",P1574&lt;=Q1574),1,0)</f>
        <v>0</v>
      </c>
    </row>
    <row r="1575" customFormat="false" ht="15" hidden="false" customHeight="false" outlineLevel="0" collapsed="false">
      <c r="A1575" s="7" t="s">
        <v>1906</v>
      </c>
      <c r="B1575" s="7" t="s">
        <v>46</v>
      </c>
      <c r="C1575" s="7" t="s">
        <v>79</v>
      </c>
      <c r="D1575" s="7" t="s">
        <v>108</v>
      </c>
      <c r="E1575" s="7" t="s">
        <v>109</v>
      </c>
      <c r="F1575" s="7" t="s">
        <v>50</v>
      </c>
      <c r="G1575" s="7" t="s">
        <v>20</v>
      </c>
      <c r="H1575" s="9" t="n">
        <v>46037</v>
      </c>
      <c r="I1575" s="9" t="n">
        <v>46073</v>
      </c>
      <c r="J1575" s="7" t="n">
        <v>8.6</v>
      </c>
      <c r="K1575" s="7" t="s">
        <v>1733</v>
      </c>
      <c r="L1575" s="7" t="s">
        <v>20</v>
      </c>
      <c r="M1575" s="7" t="s">
        <v>1912</v>
      </c>
      <c r="N1575" s="7" t="s">
        <v>53</v>
      </c>
      <c r="O1575" s="10" t="n">
        <f aca="false">'Exec Summary'!$E$2-H1575</f>
        <v>197</v>
      </c>
      <c r="P1575" s="10" t="n">
        <f aca="false">IF(I1575="","",I1575-H1575)</f>
        <v>36</v>
      </c>
      <c r="Q1575" s="10" t="n">
        <f aca="false">VLOOKUP(G1575,$AA$2:$AB$5,2,FALSE())</f>
        <v>30</v>
      </c>
      <c r="R1575" s="7" t="n">
        <f aca="false">IF(OR(F1575="Open",F1575="Reopened"),1,0)</f>
        <v>0</v>
      </c>
      <c r="S1575" s="7" t="n">
        <f aca="false">IF(AND(H1575&gt;='Exec Summary'!$E$1,H1575&lt;='Exec Summary'!$E$2),1,0)</f>
        <v>0</v>
      </c>
      <c r="T1575" s="7" t="n">
        <f aca="false">IF(AND(F1575="Closed",I1575&lt;&gt;"",I1575&gt;='Exec Summary'!$E$1,I1575&lt;='Exec Summary'!$E$2),1,0)</f>
        <v>0</v>
      </c>
      <c r="U1575" s="7" t="n">
        <f aca="false">IF(F1575="Reopened",1,0)</f>
        <v>0</v>
      </c>
      <c r="V1575" s="7" t="n">
        <f aca="false">IF(AND(R1575=1,O1575&gt;Q1575),1,0)</f>
        <v>0</v>
      </c>
      <c r="W1575" s="7" t="n">
        <f aca="false">IF(AND(T1575=1,P1575&lt;&gt;"",P1575&lt;=Q1575),1,0)</f>
        <v>0</v>
      </c>
    </row>
    <row r="1576" customFormat="false" ht="15" hidden="false" customHeight="false" outlineLevel="0" collapsed="false">
      <c r="A1576" s="7" t="s">
        <v>1906</v>
      </c>
      <c r="B1576" s="7" t="s">
        <v>46</v>
      </c>
      <c r="C1576" s="7" t="s">
        <v>79</v>
      </c>
      <c r="D1576" s="7" t="s">
        <v>84</v>
      </c>
      <c r="E1576" s="7" t="s">
        <v>85</v>
      </c>
      <c r="F1576" s="7" t="s">
        <v>50</v>
      </c>
      <c r="G1576" s="7" t="s">
        <v>20</v>
      </c>
      <c r="H1576" s="9" t="n">
        <v>46037</v>
      </c>
      <c r="I1576" s="9" t="n">
        <v>46062</v>
      </c>
      <c r="J1576" s="7" t="n">
        <v>7.5</v>
      </c>
      <c r="K1576" s="7" t="s">
        <v>1733</v>
      </c>
      <c r="L1576" s="7" t="s">
        <v>20</v>
      </c>
      <c r="M1576" s="7" t="s">
        <v>1913</v>
      </c>
      <c r="N1576" s="7" t="s">
        <v>53</v>
      </c>
      <c r="O1576" s="10" t="n">
        <f aca="false">'Exec Summary'!$E$2-H1576</f>
        <v>197</v>
      </c>
      <c r="P1576" s="10" t="n">
        <f aca="false">IF(I1576="","",I1576-H1576)</f>
        <v>25</v>
      </c>
      <c r="Q1576" s="10" t="n">
        <f aca="false">VLOOKUP(G1576,$AA$2:$AB$5,2,FALSE())</f>
        <v>30</v>
      </c>
      <c r="R1576" s="7" t="n">
        <f aca="false">IF(OR(F1576="Open",F1576="Reopened"),1,0)</f>
        <v>0</v>
      </c>
      <c r="S1576" s="7" t="n">
        <f aca="false">IF(AND(H1576&gt;='Exec Summary'!$E$1,H1576&lt;='Exec Summary'!$E$2),1,0)</f>
        <v>0</v>
      </c>
      <c r="T1576" s="7" t="n">
        <f aca="false">IF(AND(F1576="Closed",I1576&lt;&gt;"",I1576&gt;='Exec Summary'!$E$1,I1576&lt;='Exec Summary'!$E$2),1,0)</f>
        <v>0</v>
      </c>
      <c r="U1576" s="7" t="n">
        <f aca="false">IF(F1576="Reopened",1,0)</f>
        <v>0</v>
      </c>
      <c r="V1576" s="7" t="n">
        <f aca="false">IF(AND(R1576=1,O1576&gt;Q1576),1,0)</f>
        <v>0</v>
      </c>
      <c r="W1576" s="7" t="n">
        <f aca="false">IF(AND(T1576=1,P1576&lt;&gt;"",P1576&lt;=Q1576),1,0)</f>
        <v>0</v>
      </c>
    </row>
    <row r="1577" customFormat="false" ht="15" hidden="false" customHeight="false" outlineLevel="0" collapsed="false">
      <c r="A1577" s="7" t="s">
        <v>1914</v>
      </c>
      <c r="B1577" s="7" t="s">
        <v>46</v>
      </c>
      <c r="C1577" s="7" t="s">
        <v>79</v>
      </c>
      <c r="D1577" s="7" t="s">
        <v>87</v>
      </c>
      <c r="E1577" s="7" t="s">
        <v>88</v>
      </c>
      <c r="F1577" s="7" t="s">
        <v>50</v>
      </c>
      <c r="G1577" s="7" t="s">
        <v>19</v>
      </c>
      <c r="H1577" s="9" t="n">
        <v>46167</v>
      </c>
      <c r="I1577" s="9" t="n">
        <v>46180</v>
      </c>
      <c r="J1577" s="7" t="n">
        <v>10</v>
      </c>
      <c r="K1577" s="7" t="s">
        <v>1733</v>
      </c>
      <c r="L1577" s="7" t="s">
        <v>22</v>
      </c>
      <c r="M1577" s="7" t="s">
        <v>1915</v>
      </c>
      <c r="N1577" s="7" t="s">
        <v>58</v>
      </c>
      <c r="O1577" s="10" t="n">
        <f aca="false">'Exec Summary'!$E$2-H1577</f>
        <v>67</v>
      </c>
      <c r="P1577" s="10" t="n">
        <f aca="false">IF(I1577="","",I1577-H1577)</f>
        <v>13</v>
      </c>
      <c r="Q1577" s="10" t="n">
        <f aca="false">VLOOKUP(G1577,$AA$2:$AB$5,2,FALSE())</f>
        <v>15</v>
      </c>
      <c r="R1577" s="7" t="n">
        <f aca="false">IF(OR(F1577="Open",F1577="Reopened"),1,0)</f>
        <v>0</v>
      </c>
      <c r="S1577" s="7" t="n">
        <f aca="false">IF(AND(H1577&gt;='Exec Summary'!$E$1,H1577&lt;='Exec Summary'!$E$2),1,0)</f>
        <v>0</v>
      </c>
      <c r="T1577" s="7" t="n">
        <f aca="false">IF(AND(F1577="Closed",I1577&lt;&gt;"",I1577&gt;='Exec Summary'!$E$1,I1577&lt;='Exec Summary'!$E$2),1,0)</f>
        <v>0</v>
      </c>
      <c r="U1577" s="7" t="n">
        <f aca="false">IF(F1577="Reopened",1,0)</f>
        <v>0</v>
      </c>
      <c r="V1577" s="7" t="n">
        <f aca="false">IF(AND(R1577=1,O1577&gt;Q1577),1,0)</f>
        <v>0</v>
      </c>
      <c r="W1577" s="7" t="n">
        <f aca="false">IF(AND(T1577=1,P1577&lt;&gt;"",P1577&lt;=Q1577),1,0)</f>
        <v>0</v>
      </c>
    </row>
    <row r="1578" customFormat="false" ht="15" hidden="false" customHeight="false" outlineLevel="0" collapsed="false">
      <c r="A1578" s="7" t="s">
        <v>1914</v>
      </c>
      <c r="B1578" s="7" t="s">
        <v>46</v>
      </c>
      <c r="C1578" s="7" t="s">
        <v>79</v>
      </c>
      <c r="D1578" s="7" t="s">
        <v>104</v>
      </c>
      <c r="E1578" s="7" t="s">
        <v>105</v>
      </c>
      <c r="F1578" s="7" t="s">
        <v>56</v>
      </c>
      <c r="G1578" s="7" t="s">
        <v>19</v>
      </c>
      <c r="H1578" s="9" t="n">
        <v>46134</v>
      </c>
      <c r="I1578" s="9"/>
      <c r="J1578" s="7" t="n">
        <v>9.8</v>
      </c>
      <c r="K1578" s="7" t="s">
        <v>1733</v>
      </c>
      <c r="L1578" s="7" t="s">
        <v>22</v>
      </c>
      <c r="M1578" s="7" t="s">
        <v>1916</v>
      </c>
      <c r="N1578" s="7" t="s">
        <v>58</v>
      </c>
      <c r="O1578" s="10" t="n">
        <f aca="false">'Exec Summary'!$E$2-H1578</f>
        <v>100</v>
      </c>
      <c r="P1578" s="10" t="str">
        <f aca="false">IF(I1578="","",I1578-H1578)</f>
        <v/>
      </c>
      <c r="Q1578" s="10" t="n">
        <f aca="false">VLOOKUP(G1578,$AA$2:$AB$5,2,FALSE())</f>
        <v>15</v>
      </c>
      <c r="R1578" s="7" t="n">
        <f aca="false">IF(OR(F1578="Open",F1578="Reopened"),1,0)</f>
        <v>1</v>
      </c>
      <c r="S1578" s="7" t="n">
        <f aca="false">IF(AND(H1578&gt;='Exec Summary'!$E$1,H1578&lt;='Exec Summary'!$E$2),1,0)</f>
        <v>0</v>
      </c>
      <c r="T1578" s="7" t="n">
        <f aca="false">IF(AND(F1578="Closed",I1578&lt;&gt;"",I1578&gt;='Exec Summary'!$E$1,I1578&lt;='Exec Summary'!$E$2),1,0)</f>
        <v>0</v>
      </c>
      <c r="U1578" s="7" t="n">
        <f aca="false">IF(F1578="Reopened",1,0)</f>
        <v>0</v>
      </c>
      <c r="V1578" s="7" t="n">
        <f aca="false">IF(AND(R1578=1,O1578&gt;Q1578),1,0)</f>
        <v>1</v>
      </c>
      <c r="W1578" s="7" t="n">
        <f aca="false">IF(AND(T1578=1,P1578&lt;&gt;"",P1578&lt;=Q1578),1,0)</f>
        <v>0</v>
      </c>
    </row>
    <row r="1579" customFormat="false" ht="15" hidden="false" customHeight="false" outlineLevel="0" collapsed="false">
      <c r="A1579" s="7" t="s">
        <v>1917</v>
      </c>
      <c r="B1579" s="7" t="s">
        <v>46</v>
      </c>
      <c r="C1579" s="7" t="s">
        <v>128</v>
      </c>
      <c r="D1579" s="7" t="s">
        <v>48</v>
      </c>
      <c r="E1579" s="7" t="s">
        <v>49</v>
      </c>
      <c r="F1579" s="7" t="s">
        <v>56</v>
      </c>
      <c r="G1579" s="7" t="s">
        <v>20</v>
      </c>
      <c r="H1579" s="9" t="n">
        <v>46083</v>
      </c>
      <c r="I1579" s="9"/>
      <c r="J1579" s="7" t="n">
        <v>7.5</v>
      </c>
      <c r="K1579" s="7" t="s">
        <v>1733</v>
      </c>
      <c r="L1579" s="7" t="s">
        <v>22</v>
      </c>
      <c r="M1579" s="7" t="s">
        <v>1918</v>
      </c>
      <c r="N1579" s="7" t="s">
        <v>53</v>
      </c>
      <c r="O1579" s="10" t="n">
        <f aca="false">'Exec Summary'!$E$2-H1579</f>
        <v>151</v>
      </c>
      <c r="P1579" s="10" t="str">
        <f aca="false">IF(I1579="","",I1579-H1579)</f>
        <v/>
      </c>
      <c r="Q1579" s="10" t="n">
        <f aca="false">VLOOKUP(G1579,$AA$2:$AB$5,2,FALSE())</f>
        <v>30</v>
      </c>
      <c r="R1579" s="7" t="n">
        <f aca="false">IF(OR(F1579="Open",F1579="Reopened"),1,0)</f>
        <v>1</v>
      </c>
      <c r="S1579" s="7" t="n">
        <f aca="false">IF(AND(H1579&gt;='Exec Summary'!$E$1,H1579&lt;='Exec Summary'!$E$2),1,0)</f>
        <v>0</v>
      </c>
      <c r="T1579" s="7" t="n">
        <f aca="false">IF(AND(F1579="Closed",I1579&lt;&gt;"",I1579&gt;='Exec Summary'!$E$1,I1579&lt;='Exec Summary'!$E$2),1,0)</f>
        <v>0</v>
      </c>
      <c r="U1579" s="7" t="n">
        <f aca="false">IF(F1579="Reopened",1,0)</f>
        <v>0</v>
      </c>
      <c r="V1579" s="7" t="n">
        <f aca="false">IF(AND(R1579=1,O1579&gt;Q1579),1,0)</f>
        <v>1</v>
      </c>
      <c r="W1579" s="7" t="n">
        <f aca="false">IF(AND(T1579=1,P1579&lt;&gt;"",P1579&lt;=Q1579),1,0)</f>
        <v>0</v>
      </c>
    </row>
    <row r="1580" customFormat="false" ht="15" hidden="false" customHeight="false" outlineLevel="0" collapsed="false">
      <c r="A1580" s="7" t="s">
        <v>1917</v>
      </c>
      <c r="B1580" s="7" t="s">
        <v>46</v>
      </c>
      <c r="C1580" s="7" t="s">
        <v>128</v>
      </c>
      <c r="D1580" s="7" t="s">
        <v>173</v>
      </c>
      <c r="E1580" s="7" t="s">
        <v>174</v>
      </c>
      <c r="F1580" s="7" t="s">
        <v>56</v>
      </c>
      <c r="G1580" s="7" t="s">
        <v>19</v>
      </c>
      <c r="H1580" s="9" t="n">
        <v>46045</v>
      </c>
      <c r="I1580" s="9"/>
      <c r="J1580" s="7" t="n">
        <v>9.8</v>
      </c>
      <c r="K1580" s="7" t="s">
        <v>1733</v>
      </c>
      <c r="L1580" s="7" t="s">
        <v>22</v>
      </c>
      <c r="M1580" s="7" t="s">
        <v>1919</v>
      </c>
      <c r="N1580" s="7" t="s">
        <v>58</v>
      </c>
      <c r="O1580" s="10" t="n">
        <f aca="false">'Exec Summary'!$E$2-H1580</f>
        <v>189</v>
      </c>
      <c r="P1580" s="10" t="str">
        <f aca="false">IF(I1580="","",I1580-H1580)</f>
        <v/>
      </c>
      <c r="Q1580" s="10" t="n">
        <f aca="false">VLOOKUP(G1580,$AA$2:$AB$5,2,FALSE())</f>
        <v>15</v>
      </c>
      <c r="R1580" s="7" t="n">
        <f aca="false">IF(OR(F1580="Open",F1580="Reopened"),1,0)</f>
        <v>1</v>
      </c>
      <c r="S1580" s="7" t="n">
        <f aca="false">IF(AND(H1580&gt;='Exec Summary'!$E$1,H1580&lt;='Exec Summary'!$E$2),1,0)</f>
        <v>0</v>
      </c>
      <c r="T1580" s="7" t="n">
        <f aca="false">IF(AND(F1580="Closed",I1580&lt;&gt;"",I1580&gt;='Exec Summary'!$E$1,I1580&lt;='Exec Summary'!$E$2),1,0)</f>
        <v>0</v>
      </c>
      <c r="U1580" s="7" t="n">
        <f aca="false">IF(F1580="Reopened",1,0)</f>
        <v>0</v>
      </c>
      <c r="V1580" s="7" t="n">
        <f aca="false">IF(AND(R1580=1,O1580&gt;Q1580),1,0)</f>
        <v>1</v>
      </c>
      <c r="W1580" s="7" t="n">
        <f aca="false">IF(AND(T1580=1,P1580&lt;&gt;"",P1580&lt;=Q1580),1,0)</f>
        <v>0</v>
      </c>
    </row>
    <row r="1581" customFormat="false" ht="15" hidden="false" customHeight="false" outlineLevel="0" collapsed="false">
      <c r="A1581" s="7" t="s">
        <v>1917</v>
      </c>
      <c r="B1581" s="7" t="s">
        <v>46</v>
      </c>
      <c r="C1581" s="7" t="s">
        <v>128</v>
      </c>
      <c r="D1581" s="7" t="s">
        <v>71</v>
      </c>
      <c r="E1581" s="7" t="s">
        <v>72</v>
      </c>
      <c r="F1581" s="7" t="s">
        <v>50</v>
      </c>
      <c r="G1581" s="7" t="s">
        <v>19</v>
      </c>
      <c r="H1581" s="9" t="n">
        <v>46217</v>
      </c>
      <c r="I1581" s="9" t="n">
        <v>46220</v>
      </c>
      <c r="J1581" s="7" t="n">
        <v>9.8</v>
      </c>
      <c r="K1581" s="7" t="s">
        <v>1733</v>
      </c>
      <c r="L1581" s="7" t="s">
        <v>22</v>
      </c>
      <c r="M1581" s="7" t="s">
        <v>1920</v>
      </c>
      <c r="N1581" s="7" t="s">
        <v>58</v>
      </c>
      <c r="O1581" s="10" t="n">
        <f aca="false">'Exec Summary'!$E$2-H1581</f>
        <v>17</v>
      </c>
      <c r="P1581" s="10" t="n">
        <f aca="false">IF(I1581="","",I1581-H1581)</f>
        <v>3</v>
      </c>
      <c r="Q1581" s="10" t="n">
        <f aca="false">VLOOKUP(G1581,$AA$2:$AB$5,2,FALSE())</f>
        <v>15</v>
      </c>
      <c r="R1581" s="7" t="n">
        <f aca="false">IF(OR(F1581="Open",F1581="Reopened"),1,0)</f>
        <v>0</v>
      </c>
      <c r="S1581" s="7" t="n">
        <f aca="false">IF(AND(H1581&gt;='Exec Summary'!$E$1,H1581&lt;='Exec Summary'!$E$2),1,0)</f>
        <v>1</v>
      </c>
      <c r="T1581" s="7" t="n">
        <f aca="false">IF(AND(F1581="Closed",I1581&lt;&gt;"",I1581&gt;='Exec Summary'!$E$1,I1581&lt;='Exec Summary'!$E$2),1,0)</f>
        <v>1</v>
      </c>
      <c r="U1581" s="7" t="n">
        <f aca="false">IF(F1581="Reopened",1,0)</f>
        <v>0</v>
      </c>
      <c r="V1581" s="7" t="n">
        <f aca="false">IF(AND(R1581=1,O1581&gt;Q1581),1,0)</f>
        <v>0</v>
      </c>
      <c r="W1581" s="7" t="n">
        <f aca="false">IF(AND(T1581=1,P1581&lt;&gt;"",P1581&lt;=Q1581),1,0)</f>
        <v>1</v>
      </c>
    </row>
    <row r="1582" customFormat="false" ht="15" hidden="false" customHeight="false" outlineLevel="0" collapsed="false">
      <c r="A1582" s="7" t="s">
        <v>1917</v>
      </c>
      <c r="B1582" s="7" t="s">
        <v>46</v>
      </c>
      <c r="C1582" s="7" t="s">
        <v>128</v>
      </c>
      <c r="D1582" s="7" t="s">
        <v>131</v>
      </c>
      <c r="E1582" s="7" t="s">
        <v>132</v>
      </c>
      <c r="F1582" s="7" t="s">
        <v>50</v>
      </c>
      <c r="G1582" s="7" t="s">
        <v>19</v>
      </c>
      <c r="H1582" s="9" t="n">
        <v>46143</v>
      </c>
      <c r="I1582" s="9" t="n">
        <v>46162</v>
      </c>
      <c r="J1582" s="7" t="n">
        <v>9.8</v>
      </c>
      <c r="K1582" s="7" t="s">
        <v>1733</v>
      </c>
      <c r="L1582" s="7" t="s">
        <v>22</v>
      </c>
      <c r="M1582" s="7" t="s">
        <v>1921</v>
      </c>
      <c r="N1582" s="7" t="s">
        <v>58</v>
      </c>
      <c r="O1582" s="10" t="n">
        <f aca="false">'Exec Summary'!$E$2-H1582</f>
        <v>91</v>
      </c>
      <c r="P1582" s="10" t="n">
        <f aca="false">IF(I1582="","",I1582-H1582)</f>
        <v>19</v>
      </c>
      <c r="Q1582" s="10" t="n">
        <f aca="false">VLOOKUP(G1582,$AA$2:$AB$5,2,FALSE())</f>
        <v>15</v>
      </c>
      <c r="R1582" s="7" t="n">
        <f aca="false">IF(OR(F1582="Open",F1582="Reopened"),1,0)</f>
        <v>0</v>
      </c>
      <c r="S1582" s="7" t="n">
        <f aca="false">IF(AND(H1582&gt;='Exec Summary'!$E$1,H1582&lt;='Exec Summary'!$E$2),1,0)</f>
        <v>0</v>
      </c>
      <c r="T1582" s="7" t="n">
        <f aca="false">IF(AND(F1582="Closed",I1582&lt;&gt;"",I1582&gt;='Exec Summary'!$E$1,I1582&lt;='Exec Summary'!$E$2),1,0)</f>
        <v>0</v>
      </c>
      <c r="U1582" s="7" t="n">
        <f aca="false">IF(F1582="Reopened",1,0)</f>
        <v>0</v>
      </c>
      <c r="V1582" s="7" t="n">
        <f aca="false">IF(AND(R1582=1,O1582&gt;Q1582),1,0)</f>
        <v>0</v>
      </c>
      <c r="W1582" s="7" t="n">
        <f aca="false">IF(AND(T1582=1,P1582&lt;&gt;"",P1582&lt;=Q1582),1,0)</f>
        <v>0</v>
      </c>
    </row>
    <row r="1583" customFormat="false" ht="15" hidden="false" customHeight="false" outlineLevel="0" collapsed="false">
      <c r="A1583" s="7" t="s">
        <v>1917</v>
      </c>
      <c r="B1583" s="7" t="s">
        <v>46</v>
      </c>
      <c r="C1583" s="7" t="s">
        <v>128</v>
      </c>
      <c r="D1583" s="7" t="s">
        <v>145</v>
      </c>
      <c r="E1583" s="7" t="s">
        <v>146</v>
      </c>
      <c r="F1583" s="7" t="s">
        <v>50</v>
      </c>
      <c r="G1583" s="7" t="s">
        <v>19</v>
      </c>
      <c r="H1583" s="9" t="n">
        <v>45956</v>
      </c>
      <c r="I1583" s="9" t="n">
        <v>45976</v>
      </c>
      <c r="J1583" s="7" t="n">
        <v>9.8</v>
      </c>
      <c r="K1583" s="7" t="s">
        <v>1733</v>
      </c>
      <c r="L1583" s="7" t="s">
        <v>22</v>
      </c>
      <c r="M1583" s="7" t="s">
        <v>1922</v>
      </c>
      <c r="N1583" s="7" t="s">
        <v>58</v>
      </c>
      <c r="O1583" s="10" t="n">
        <f aca="false">'Exec Summary'!$E$2-H1583</f>
        <v>278</v>
      </c>
      <c r="P1583" s="10" t="n">
        <f aca="false">IF(I1583="","",I1583-H1583)</f>
        <v>20</v>
      </c>
      <c r="Q1583" s="10" t="n">
        <f aca="false">VLOOKUP(G1583,$AA$2:$AB$5,2,FALSE())</f>
        <v>15</v>
      </c>
      <c r="R1583" s="7" t="n">
        <f aca="false">IF(OR(F1583="Open",F1583="Reopened"),1,0)</f>
        <v>0</v>
      </c>
      <c r="S1583" s="7" t="n">
        <f aca="false">IF(AND(H1583&gt;='Exec Summary'!$E$1,H1583&lt;='Exec Summary'!$E$2),1,0)</f>
        <v>0</v>
      </c>
      <c r="T1583" s="7" t="n">
        <f aca="false">IF(AND(F1583="Closed",I1583&lt;&gt;"",I1583&gt;='Exec Summary'!$E$1,I1583&lt;='Exec Summary'!$E$2),1,0)</f>
        <v>0</v>
      </c>
      <c r="U1583" s="7" t="n">
        <f aca="false">IF(F1583="Reopened",1,0)</f>
        <v>0</v>
      </c>
      <c r="V1583" s="7" t="n">
        <f aca="false">IF(AND(R1583=1,O1583&gt;Q1583),1,0)</f>
        <v>0</v>
      </c>
      <c r="W1583" s="7" t="n">
        <f aca="false">IF(AND(T1583=1,P1583&lt;&gt;"",P1583&lt;=Q1583),1,0)</f>
        <v>0</v>
      </c>
    </row>
    <row r="1584" customFormat="false" ht="15" hidden="false" customHeight="false" outlineLevel="0" collapsed="false">
      <c r="A1584" s="7" t="s">
        <v>1917</v>
      </c>
      <c r="B1584" s="7" t="s">
        <v>46</v>
      </c>
      <c r="C1584" s="7" t="s">
        <v>128</v>
      </c>
      <c r="D1584" s="7" t="s">
        <v>210</v>
      </c>
      <c r="E1584" s="7" t="s">
        <v>211</v>
      </c>
      <c r="F1584" s="7" t="s">
        <v>56</v>
      </c>
      <c r="G1584" s="7" t="s">
        <v>19</v>
      </c>
      <c r="H1584" s="9" t="n">
        <v>46109</v>
      </c>
      <c r="I1584" s="9"/>
      <c r="J1584" s="7" t="n">
        <v>9.8</v>
      </c>
      <c r="K1584" s="7" t="s">
        <v>1733</v>
      </c>
      <c r="L1584" s="7" t="s">
        <v>22</v>
      </c>
      <c r="M1584" s="7" t="s">
        <v>1923</v>
      </c>
      <c r="N1584" s="7" t="s">
        <v>58</v>
      </c>
      <c r="O1584" s="10" t="n">
        <f aca="false">'Exec Summary'!$E$2-H1584</f>
        <v>125</v>
      </c>
      <c r="P1584" s="10" t="str">
        <f aca="false">IF(I1584="","",I1584-H1584)</f>
        <v/>
      </c>
      <c r="Q1584" s="10" t="n">
        <f aca="false">VLOOKUP(G1584,$AA$2:$AB$5,2,FALSE())</f>
        <v>15</v>
      </c>
      <c r="R1584" s="7" t="n">
        <f aca="false">IF(OR(F1584="Open",F1584="Reopened"),1,0)</f>
        <v>1</v>
      </c>
      <c r="S1584" s="7" t="n">
        <f aca="false">IF(AND(H1584&gt;='Exec Summary'!$E$1,H1584&lt;='Exec Summary'!$E$2),1,0)</f>
        <v>0</v>
      </c>
      <c r="T1584" s="7" t="n">
        <f aca="false">IF(AND(F1584="Closed",I1584&lt;&gt;"",I1584&gt;='Exec Summary'!$E$1,I1584&lt;='Exec Summary'!$E$2),1,0)</f>
        <v>0</v>
      </c>
      <c r="U1584" s="7" t="n">
        <f aca="false">IF(F1584="Reopened",1,0)</f>
        <v>0</v>
      </c>
      <c r="V1584" s="7" t="n">
        <f aca="false">IF(AND(R1584=1,O1584&gt;Q1584),1,0)</f>
        <v>1</v>
      </c>
      <c r="W1584" s="7" t="n">
        <f aca="false">IF(AND(T1584=1,P1584&lt;&gt;"",P1584&lt;=Q1584),1,0)</f>
        <v>0</v>
      </c>
    </row>
    <row r="1585" customFormat="false" ht="15" hidden="false" customHeight="false" outlineLevel="0" collapsed="false">
      <c r="A1585" s="7" t="s">
        <v>1917</v>
      </c>
      <c r="B1585" s="7" t="s">
        <v>46</v>
      </c>
      <c r="C1585" s="7" t="s">
        <v>128</v>
      </c>
      <c r="D1585" s="7" t="s">
        <v>192</v>
      </c>
      <c r="E1585" s="7" t="s">
        <v>193</v>
      </c>
      <c r="F1585" s="7" t="s">
        <v>50</v>
      </c>
      <c r="G1585" s="7" t="s">
        <v>19</v>
      </c>
      <c r="H1585" s="9" t="n">
        <v>46137</v>
      </c>
      <c r="I1585" s="9" t="n">
        <v>46152</v>
      </c>
      <c r="J1585" s="7" t="n">
        <v>9.8</v>
      </c>
      <c r="K1585" s="7" t="s">
        <v>1733</v>
      </c>
      <c r="L1585" s="7" t="s">
        <v>22</v>
      </c>
      <c r="M1585" s="7" t="s">
        <v>1924</v>
      </c>
      <c r="N1585" s="7" t="s">
        <v>58</v>
      </c>
      <c r="O1585" s="10" t="n">
        <f aca="false">'Exec Summary'!$E$2-H1585</f>
        <v>97</v>
      </c>
      <c r="P1585" s="10" t="n">
        <f aca="false">IF(I1585="","",I1585-H1585)</f>
        <v>15</v>
      </c>
      <c r="Q1585" s="10" t="n">
        <f aca="false">VLOOKUP(G1585,$AA$2:$AB$5,2,FALSE())</f>
        <v>15</v>
      </c>
      <c r="R1585" s="7" t="n">
        <f aca="false">IF(OR(F1585="Open",F1585="Reopened"),1,0)</f>
        <v>0</v>
      </c>
      <c r="S1585" s="7" t="n">
        <f aca="false">IF(AND(H1585&gt;='Exec Summary'!$E$1,H1585&lt;='Exec Summary'!$E$2),1,0)</f>
        <v>0</v>
      </c>
      <c r="T1585" s="7" t="n">
        <f aca="false">IF(AND(F1585="Closed",I1585&lt;&gt;"",I1585&gt;='Exec Summary'!$E$1,I1585&lt;='Exec Summary'!$E$2),1,0)</f>
        <v>0</v>
      </c>
      <c r="U1585" s="7" t="n">
        <f aca="false">IF(F1585="Reopened",1,0)</f>
        <v>0</v>
      </c>
      <c r="V1585" s="7" t="n">
        <f aca="false">IF(AND(R1585=1,O1585&gt;Q1585),1,0)</f>
        <v>0</v>
      </c>
      <c r="W1585" s="7" t="n">
        <f aca="false">IF(AND(T1585=1,P1585&lt;&gt;"",P1585&lt;=Q1585),1,0)</f>
        <v>0</v>
      </c>
    </row>
    <row r="1586" customFormat="false" ht="15" hidden="false" customHeight="false" outlineLevel="0" collapsed="false">
      <c r="A1586" s="7" t="s">
        <v>1917</v>
      </c>
      <c r="B1586" s="7" t="s">
        <v>46</v>
      </c>
      <c r="C1586" s="7" t="s">
        <v>128</v>
      </c>
      <c r="D1586" s="7" t="s">
        <v>54</v>
      </c>
      <c r="E1586" s="7" t="s">
        <v>55</v>
      </c>
      <c r="F1586" s="7" t="s">
        <v>56</v>
      </c>
      <c r="G1586" s="7" t="s">
        <v>19</v>
      </c>
      <c r="H1586" s="9" t="n">
        <v>46101</v>
      </c>
      <c r="I1586" s="9"/>
      <c r="J1586" s="7" t="n">
        <v>9.8</v>
      </c>
      <c r="K1586" s="7" t="s">
        <v>1733</v>
      </c>
      <c r="L1586" s="7" t="s">
        <v>22</v>
      </c>
      <c r="M1586" s="7" t="s">
        <v>1925</v>
      </c>
      <c r="N1586" s="7" t="s">
        <v>58</v>
      </c>
      <c r="O1586" s="10" t="n">
        <f aca="false">'Exec Summary'!$E$2-H1586</f>
        <v>133</v>
      </c>
      <c r="P1586" s="10" t="str">
        <f aca="false">IF(I1586="","",I1586-H1586)</f>
        <v/>
      </c>
      <c r="Q1586" s="10" t="n">
        <f aca="false">VLOOKUP(G1586,$AA$2:$AB$5,2,FALSE())</f>
        <v>15</v>
      </c>
      <c r="R1586" s="7" t="n">
        <f aca="false">IF(OR(F1586="Open",F1586="Reopened"),1,0)</f>
        <v>1</v>
      </c>
      <c r="S1586" s="7" t="n">
        <f aca="false">IF(AND(H1586&gt;='Exec Summary'!$E$1,H1586&lt;='Exec Summary'!$E$2),1,0)</f>
        <v>0</v>
      </c>
      <c r="T1586" s="7" t="n">
        <f aca="false">IF(AND(F1586="Closed",I1586&lt;&gt;"",I1586&gt;='Exec Summary'!$E$1,I1586&lt;='Exec Summary'!$E$2),1,0)</f>
        <v>0</v>
      </c>
      <c r="U1586" s="7" t="n">
        <f aca="false">IF(F1586="Reopened",1,0)</f>
        <v>0</v>
      </c>
      <c r="V1586" s="7" t="n">
        <f aca="false">IF(AND(R1586=1,O1586&gt;Q1586),1,0)</f>
        <v>1</v>
      </c>
      <c r="W1586" s="7" t="n">
        <f aca="false">IF(AND(T1586=1,P1586&lt;&gt;"",P1586&lt;=Q1586),1,0)</f>
        <v>0</v>
      </c>
    </row>
    <row r="1587" customFormat="false" ht="15" hidden="false" customHeight="false" outlineLevel="0" collapsed="false">
      <c r="A1587" s="7" t="s">
        <v>1917</v>
      </c>
      <c r="B1587" s="7" t="s">
        <v>46</v>
      </c>
      <c r="C1587" s="7" t="s">
        <v>128</v>
      </c>
      <c r="D1587" s="7" t="s">
        <v>74</v>
      </c>
      <c r="E1587" s="7" t="s">
        <v>75</v>
      </c>
      <c r="F1587" s="7" t="s">
        <v>50</v>
      </c>
      <c r="G1587" s="7" t="s">
        <v>21</v>
      </c>
      <c r="H1587" s="9" t="n">
        <v>46182</v>
      </c>
      <c r="I1587" s="9" t="n">
        <v>46234</v>
      </c>
      <c r="J1587" s="7" t="n">
        <v>6.5</v>
      </c>
      <c r="K1587" s="7" t="s">
        <v>1733</v>
      </c>
      <c r="L1587" s="7" t="s">
        <v>22</v>
      </c>
      <c r="M1587" s="7" t="s">
        <v>1926</v>
      </c>
      <c r="N1587" s="7" t="s">
        <v>77</v>
      </c>
      <c r="O1587" s="10" t="n">
        <f aca="false">'Exec Summary'!$E$2-H1587</f>
        <v>52</v>
      </c>
      <c r="P1587" s="10" t="n">
        <f aca="false">IF(I1587="","",I1587-H1587)</f>
        <v>52</v>
      </c>
      <c r="Q1587" s="10" t="n">
        <f aca="false">VLOOKUP(G1587,$AA$2:$AB$5,2,FALSE())</f>
        <v>90</v>
      </c>
      <c r="R1587" s="7" t="n">
        <f aca="false">IF(OR(F1587="Open",F1587="Reopened"),1,0)</f>
        <v>0</v>
      </c>
      <c r="S1587" s="7" t="n">
        <f aca="false">IF(AND(H1587&gt;='Exec Summary'!$E$1,H1587&lt;='Exec Summary'!$E$2),1,0)</f>
        <v>0</v>
      </c>
      <c r="T1587" s="7" t="n">
        <f aca="false">IF(AND(F1587="Closed",I1587&lt;&gt;"",I1587&gt;='Exec Summary'!$E$1,I1587&lt;='Exec Summary'!$E$2),1,0)</f>
        <v>1</v>
      </c>
      <c r="U1587" s="7" t="n">
        <f aca="false">IF(F1587="Reopened",1,0)</f>
        <v>0</v>
      </c>
      <c r="V1587" s="7" t="n">
        <f aca="false">IF(AND(R1587=1,O1587&gt;Q1587),1,0)</f>
        <v>0</v>
      </c>
      <c r="W1587" s="7" t="n">
        <f aca="false">IF(AND(T1587=1,P1587&lt;&gt;"",P1587&lt;=Q1587),1,0)</f>
        <v>1</v>
      </c>
    </row>
    <row r="1588" customFormat="false" ht="15" hidden="false" customHeight="false" outlineLevel="0" collapsed="false">
      <c r="A1588" s="7" t="s">
        <v>1917</v>
      </c>
      <c r="B1588" s="7" t="s">
        <v>46</v>
      </c>
      <c r="C1588" s="7" t="s">
        <v>128</v>
      </c>
      <c r="D1588" s="7" t="s">
        <v>95</v>
      </c>
      <c r="E1588" s="7" t="s">
        <v>96</v>
      </c>
      <c r="F1588" s="7" t="s">
        <v>50</v>
      </c>
      <c r="G1588" s="7" t="s">
        <v>20</v>
      </c>
      <c r="H1588" s="9" t="n">
        <v>46005</v>
      </c>
      <c r="I1588" s="9" t="n">
        <v>46037</v>
      </c>
      <c r="J1588" s="7" t="n">
        <v>8.8</v>
      </c>
      <c r="K1588" s="7" t="s">
        <v>1733</v>
      </c>
      <c r="L1588" s="7" t="s">
        <v>22</v>
      </c>
      <c r="M1588" s="7" t="s">
        <v>1927</v>
      </c>
      <c r="N1588" s="7" t="s">
        <v>53</v>
      </c>
      <c r="O1588" s="10" t="n">
        <f aca="false">'Exec Summary'!$E$2-H1588</f>
        <v>229</v>
      </c>
      <c r="P1588" s="10" t="n">
        <f aca="false">IF(I1588="","",I1588-H1588)</f>
        <v>32</v>
      </c>
      <c r="Q1588" s="10" t="n">
        <f aca="false">VLOOKUP(G1588,$AA$2:$AB$5,2,FALSE())</f>
        <v>30</v>
      </c>
      <c r="R1588" s="7" t="n">
        <f aca="false">IF(OR(F1588="Open",F1588="Reopened"),1,0)</f>
        <v>0</v>
      </c>
      <c r="S1588" s="7" t="n">
        <f aca="false">IF(AND(H1588&gt;='Exec Summary'!$E$1,H1588&lt;='Exec Summary'!$E$2),1,0)</f>
        <v>0</v>
      </c>
      <c r="T1588" s="7" t="n">
        <f aca="false">IF(AND(F1588="Closed",I1588&lt;&gt;"",I1588&gt;='Exec Summary'!$E$1,I1588&lt;='Exec Summary'!$E$2),1,0)</f>
        <v>0</v>
      </c>
      <c r="U1588" s="7" t="n">
        <f aca="false">IF(F1588="Reopened",1,0)</f>
        <v>0</v>
      </c>
      <c r="V1588" s="7" t="n">
        <f aca="false">IF(AND(R1588=1,O1588&gt;Q1588),1,0)</f>
        <v>0</v>
      </c>
      <c r="W1588" s="7" t="n">
        <f aca="false">IF(AND(T1588=1,P1588&lt;&gt;"",P1588&lt;=Q1588),1,0)</f>
        <v>0</v>
      </c>
    </row>
    <row r="1589" customFormat="false" ht="15" hidden="false" customHeight="false" outlineLevel="0" collapsed="false">
      <c r="A1589" s="7" t="s">
        <v>1917</v>
      </c>
      <c r="B1589" s="7" t="s">
        <v>46</v>
      </c>
      <c r="C1589" s="7" t="s">
        <v>128</v>
      </c>
      <c r="D1589" s="7" t="s">
        <v>91</v>
      </c>
      <c r="E1589" s="7" t="s">
        <v>92</v>
      </c>
      <c r="F1589" s="7" t="s">
        <v>56</v>
      </c>
      <c r="G1589" s="7" t="s">
        <v>20</v>
      </c>
      <c r="H1589" s="9" t="n">
        <v>46021</v>
      </c>
      <c r="I1589" s="9"/>
      <c r="J1589" s="7" t="n">
        <v>8.1</v>
      </c>
      <c r="K1589" s="7" t="s">
        <v>1733</v>
      </c>
      <c r="L1589" s="7" t="s">
        <v>22</v>
      </c>
      <c r="M1589" s="7" t="s">
        <v>1928</v>
      </c>
      <c r="N1589" s="7" t="s">
        <v>53</v>
      </c>
      <c r="O1589" s="10" t="n">
        <f aca="false">'Exec Summary'!$E$2-H1589</f>
        <v>213</v>
      </c>
      <c r="P1589" s="10" t="str">
        <f aca="false">IF(I1589="","",I1589-H1589)</f>
        <v/>
      </c>
      <c r="Q1589" s="10" t="n">
        <f aca="false">VLOOKUP(G1589,$AA$2:$AB$5,2,FALSE())</f>
        <v>30</v>
      </c>
      <c r="R1589" s="7" t="n">
        <f aca="false">IF(OR(F1589="Open",F1589="Reopened"),1,0)</f>
        <v>1</v>
      </c>
      <c r="S1589" s="7" t="n">
        <f aca="false">IF(AND(H1589&gt;='Exec Summary'!$E$1,H1589&lt;='Exec Summary'!$E$2),1,0)</f>
        <v>0</v>
      </c>
      <c r="T1589" s="7" t="n">
        <f aca="false">IF(AND(F1589="Closed",I1589&lt;&gt;"",I1589&gt;='Exec Summary'!$E$1,I1589&lt;='Exec Summary'!$E$2),1,0)</f>
        <v>0</v>
      </c>
      <c r="U1589" s="7" t="n">
        <f aca="false">IF(F1589="Reopened",1,0)</f>
        <v>0</v>
      </c>
      <c r="V1589" s="7" t="n">
        <f aca="false">IF(AND(R1589=1,O1589&gt;Q1589),1,0)</f>
        <v>1</v>
      </c>
      <c r="W1589" s="7" t="n">
        <f aca="false">IF(AND(T1589=1,P1589&lt;&gt;"",P1589&lt;=Q1589),1,0)</f>
        <v>0</v>
      </c>
    </row>
    <row r="1590" customFormat="false" ht="15" hidden="false" customHeight="false" outlineLevel="0" collapsed="false">
      <c r="A1590" s="7" t="s">
        <v>1929</v>
      </c>
      <c r="B1590" s="7" t="s">
        <v>46</v>
      </c>
      <c r="C1590" s="7" t="s">
        <v>158</v>
      </c>
      <c r="D1590" s="7" t="s">
        <v>152</v>
      </c>
      <c r="E1590" s="7" t="s">
        <v>153</v>
      </c>
      <c r="F1590" s="7" t="s">
        <v>50</v>
      </c>
      <c r="G1590" s="7" t="s">
        <v>20</v>
      </c>
      <c r="H1590" s="9" t="n">
        <v>46044</v>
      </c>
      <c r="I1590" s="9" t="n">
        <v>46084</v>
      </c>
      <c r="J1590" s="7" t="n">
        <v>7.5</v>
      </c>
      <c r="K1590" s="7" t="s">
        <v>1733</v>
      </c>
      <c r="L1590" s="7" t="s">
        <v>20</v>
      </c>
      <c r="M1590" s="7" t="s">
        <v>1930</v>
      </c>
      <c r="N1590" s="7" t="s">
        <v>53</v>
      </c>
      <c r="O1590" s="10" t="n">
        <f aca="false">'Exec Summary'!$E$2-H1590</f>
        <v>190</v>
      </c>
      <c r="P1590" s="10" t="n">
        <f aca="false">IF(I1590="","",I1590-H1590)</f>
        <v>40</v>
      </c>
      <c r="Q1590" s="10" t="n">
        <f aca="false">VLOOKUP(G1590,$AA$2:$AB$5,2,FALSE())</f>
        <v>30</v>
      </c>
      <c r="R1590" s="7" t="n">
        <f aca="false">IF(OR(F1590="Open",F1590="Reopened"),1,0)</f>
        <v>0</v>
      </c>
      <c r="S1590" s="7" t="n">
        <f aca="false">IF(AND(H1590&gt;='Exec Summary'!$E$1,H1590&lt;='Exec Summary'!$E$2),1,0)</f>
        <v>0</v>
      </c>
      <c r="T1590" s="7" t="n">
        <f aca="false">IF(AND(F1590="Closed",I1590&lt;&gt;"",I1590&gt;='Exec Summary'!$E$1,I1590&lt;='Exec Summary'!$E$2),1,0)</f>
        <v>0</v>
      </c>
      <c r="U1590" s="7" t="n">
        <f aca="false">IF(F1590="Reopened",1,0)</f>
        <v>0</v>
      </c>
      <c r="V1590" s="7" t="n">
        <f aca="false">IF(AND(R1590=1,O1590&gt;Q1590),1,0)</f>
        <v>0</v>
      </c>
      <c r="W1590" s="7" t="n">
        <f aca="false">IF(AND(T1590=1,P1590&lt;&gt;"",P1590&lt;=Q1590),1,0)</f>
        <v>0</v>
      </c>
    </row>
    <row r="1591" customFormat="false" ht="15" hidden="false" customHeight="false" outlineLevel="0" collapsed="false">
      <c r="A1591" s="7" t="s">
        <v>1929</v>
      </c>
      <c r="B1591" s="7" t="s">
        <v>46</v>
      </c>
      <c r="C1591" s="7" t="s">
        <v>158</v>
      </c>
      <c r="D1591" s="7" t="s">
        <v>101</v>
      </c>
      <c r="E1591" s="7" t="s">
        <v>102</v>
      </c>
      <c r="F1591" s="7" t="s">
        <v>56</v>
      </c>
      <c r="G1591" s="7" t="s">
        <v>19</v>
      </c>
      <c r="H1591" s="9" t="n">
        <v>46133</v>
      </c>
      <c r="I1591" s="9"/>
      <c r="J1591" s="7" t="n">
        <v>10</v>
      </c>
      <c r="K1591" s="7" t="s">
        <v>1733</v>
      </c>
      <c r="L1591" s="7" t="s">
        <v>20</v>
      </c>
      <c r="M1591" s="7" t="s">
        <v>1931</v>
      </c>
      <c r="N1591" s="7" t="s">
        <v>58</v>
      </c>
      <c r="O1591" s="10" t="n">
        <f aca="false">'Exec Summary'!$E$2-H1591</f>
        <v>101</v>
      </c>
      <c r="P1591" s="10" t="str">
        <f aca="false">IF(I1591="","",I1591-H1591)</f>
        <v/>
      </c>
      <c r="Q1591" s="10" t="n">
        <f aca="false">VLOOKUP(G1591,$AA$2:$AB$5,2,FALSE())</f>
        <v>15</v>
      </c>
      <c r="R1591" s="7" t="n">
        <f aca="false">IF(OR(F1591="Open",F1591="Reopened"),1,0)</f>
        <v>1</v>
      </c>
      <c r="S1591" s="7" t="n">
        <f aca="false">IF(AND(H1591&gt;='Exec Summary'!$E$1,H1591&lt;='Exec Summary'!$E$2),1,0)</f>
        <v>0</v>
      </c>
      <c r="T1591" s="7" t="n">
        <f aca="false">IF(AND(F1591="Closed",I1591&lt;&gt;"",I1591&gt;='Exec Summary'!$E$1,I1591&lt;='Exec Summary'!$E$2),1,0)</f>
        <v>0</v>
      </c>
      <c r="U1591" s="7" t="n">
        <f aca="false">IF(F1591="Reopened",1,0)</f>
        <v>0</v>
      </c>
      <c r="V1591" s="7" t="n">
        <f aca="false">IF(AND(R1591=1,O1591&gt;Q1591),1,0)</f>
        <v>1</v>
      </c>
      <c r="W1591" s="7" t="n">
        <f aca="false">IF(AND(T1591=1,P1591&lt;&gt;"",P1591&lt;=Q1591),1,0)</f>
        <v>0</v>
      </c>
    </row>
    <row r="1592" customFormat="false" ht="15" hidden="false" customHeight="false" outlineLevel="0" collapsed="false">
      <c r="A1592" s="7" t="s">
        <v>1929</v>
      </c>
      <c r="B1592" s="7" t="s">
        <v>46</v>
      </c>
      <c r="C1592" s="7" t="s">
        <v>158</v>
      </c>
      <c r="D1592" s="7" t="s">
        <v>117</v>
      </c>
      <c r="E1592" s="7" t="s">
        <v>118</v>
      </c>
      <c r="F1592" s="7" t="s">
        <v>56</v>
      </c>
      <c r="G1592" s="7" t="s">
        <v>19</v>
      </c>
      <c r="H1592" s="9" t="n">
        <v>45960</v>
      </c>
      <c r="I1592" s="9"/>
      <c r="J1592" s="7" t="n">
        <v>10</v>
      </c>
      <c r="K1592" s="7" t="s">
        <v>1733</v>
      </c>
      <c r="L1592" s="7" t="s">
        <v>20</v>
      </c>
      <c r="M1592" s="7" t="s">
        <v>1932</v>
      </c>
      <c r="N1592" s="7" t="s">
        <v>58</v>
      </c>
      <c r="O1592" s="10" t="n">
        <f aca="false">'Exec Summary'!$E$2-H1592</f>
        <v>274</v>
      </c>
      <c r="P1592" s="10" t="str">
        <f aca="false">IF(I1592="","",I1592-H1592)</f>
        <v/>
      </c>
      <c r="Q1592" s="10" t="n">
        <f aca="false">VLOOKUP(G1592,$AA$2:$AB$5,2,FALSE())</f>
        <v>15</v>
      </c>
      <c r="R1592" s="7" t="n">
        <f aca="false">IF(OR(F1592="Open",F1592="Reopened"),1,0)</f>
        <v>1</v>
      </c>
      <c r="S1592" s="7" t="n">
        <f aca="false">IF(AND(H1592&gt;='Exec Summary'!$E$1,H1592&lt;='Exec Summary'!$E$2),1,0)</f>
        <v>0</v>
      </c>
      <c r="T1592" s="7" t="n">
        <f aca="false">IF(AND(F1592="Closed",I1592&lt;&gt;"",I1592&gt;='Exec Summary'!$E$1,I1592&lt;='Exec Summary'!$E$2),1,0)</f>
        <v>0</v>
      </c>
      <c r="U1592" s="7" t="n">
        <f aca="false">IF(F1592="Reopened",1,0)</f>
        <v>0</v>
      </c>
      <c r="V1592" s="7" t="n">
        <f aca="false">IF(AND(R1592=1,O1592&gt;Q1592),1,0)</f>
        <v>1</v>
      </c>
      <c r="W1592" s="7" t="n">
        <f aca="false">IF(AND(T1592=1,P1592&lt;&gt;"",P1592&lt;=Q1592),1,0)</f>
        <v>0</v>
      </c>
    </row>
    <row r="1593" customFormat="false" ht="15" hidden="false" customHeight="false" outlineLevel="0" collapsed="false">
      <c r="A1593" s="7" t="s">
        <v>1929</v>
      </c>
      <c r="B1593" s="7" t="s">
        <v>46</v>
      </c>
      <c r="C1593" s="7" t="s">
        <v>158</v>
      </c>
      <c r="D1593" s="7" t="s">
        <v>95</v>
      </c>
      <c r="E1593" s="7" t="s">
        <v>96</v>
      </c>
      <c r="F1593" s="7" t="s">
        <v>56</v>
      </c>
      <c r="G1593" s="7" t="s">
        <v>20</v>
      </c>
      <c r="H1593" s="9" t="n">
        <v>46127</v>
      </c>
      <c r="I1593" s="9"/>
      <c r="J1593" s="7" t="n">
        <v>8.8</v>
      </c>
      <c r="K1593" s="7" t="s">
        <v>1733</v>
      </c>
      <c r="L1593" s="7" t="s">
        <v>20</v>
      </c>
      <c r="M1593" s="7" t="s">
        <v>1933</v>
      </c>
      <c r="N1593" s="7" t="s">
        <v>53</v>
      </c>
      <c r="O1593" s="10" t="n">
        <f aca="false">'Exec Summary'!$E$2-H1593</f>
        <v>107</v>
      </c>
      <c r="P1593" s="10" t="str">
        <f aca="false">IF(I1593="","",I1593-H1593)</f>
        <v/>
      </c>
      <c r="Q1593" s="10" t="n">
        <f aca="false">VLOOKUP(G1593,$AA$2:$AB$5,2,FALSE())</f>
        <v>30</v>
      </c>
      <c r="R1593" s="7" t="n">
        <f aca="false">IF(OR(F1593="Open",F1593="Reopened"),1,0)</f>
        <v>1</v>
      </c>
      <c r="S1593" s="7" t="n">
        <f aca="false">IF(AND(H1593&gt;='Exec Summary'!$E$1,H1593&lt;='Exec Summary'!$E$2),1,0)</f>
        <v>0</v>
      </c>
      <c r="T1593" s="7" t="n">
        <f aca="false">IF(AND(F1593="Closed",I1593&lt;&gt;"",I1593&gt;='Exec Summary'!$E$1,I1593&lt;='Exec Summary'!$E$2),1,0)</f>
        <v>0</v>
      </c>
      <c r="U1593" s="7" t="n">
        <f aca="false">IF(F1593="Reopened",1,0)</f>
        <v>0</v>
      </c>
      <c r="V1593" s="7" t="n">
        <f aca="false">IF(AND(R1593=1,O1593&gt;Q1593),1,0)</f>
        <v>1</v>
      </c>
      <c r="W1593" s="7" t="n">
        <f aca="false">IF(AND(T1593=1,P1593&lt;&gt;"",P1593&lt;=Q1593),1,0)</f>
        <v>0</v>
      </c>
    </row>
    <row r="1594" customFormat="false" ht="15" hidden="false" customHeight="false" outlineLevel="0" collapsed="false">
      <c r="A1594" s="7" t="s">
        <v>1929</v>
      </c>
      <c r="B1594" s="7" t="s">
        <v>46</v>
      </c>
      <c r="C1594" s="7" t="s">
        <v>158</v>
      </c>
      <c r="D1594" s="7" t="s">
        <v>68</v>
      </c>
      <c r="E1594" s="7" t="s">
        <v>69</v>
      </c>
      <c r="F1594" s="7" t="s">
        <v>56</v>
      </c>
      <c r="G1594" s="7" t="s">
        <v>19</v>
      </c>
      <c r="H1594" s="9" t="n">
        <v>46125</v>
      </c>
      <c r="I1594" s="9"/>
      <c r="J1594" s="7" t="n">
        <v>9.8</v>
      </c>
      <c r="K1594" s="7" t="s">
        <v>1733</v>
      </c>
      <c r="L1594" s="7" t="s">
        <v>20</v>
      </c>
      <c r="M1594" s="7" t="s">
        <v>1934</v>
      </c>
      <c r="N1594" s="7" t="s">
        <v>58</v>
      </c>
      <c r="O1594" s="10" t="n">
        <f aca="false">'Exec Summary'!$E$2-H1594</f>
        <v>109</v>
      </c>
      <c r="P1594" s="10" t="str">
        <f aca="false">IF(I1594="","",I1594-H1594)</f>
        <v/>
      </c>
      <c r="Q1594" s="10" t="n">
        <f aca="false">VLOOKUP(G1594,$AA$2:$AB$5,2,FALSE())</f>
        <v>15</v>
      </c>
      <c r="R1594" s="7" t="n">
        <f aca="false">IF(OR(F1594="Open",F1594="Reopened"),1,0)</f>
        <v>1</v>
      </c>
      <c r="S1594" s="7" t="n">
        <f aca="false">IF(AND(H1594&gt;='Exec Summary'!$E$1,H1594&lt;='Exec Summary'!$E$2),1,0)</f>
        <v>0</v>
      </c>
      <c r="T1594" s="7" t="n">
        <f aca="false">IF(AND(F1594="Closed",I1594&lt;&gt;"",I1594&gt;='Exec Summary'!$E$1,I1594&lt;='Exec Summary'!$E$2),1,0)</f>
        <v>0</v>
      </c>
      <c r="U1594" s="7" t="n">
        <f aca="false">IF(F1594="Reopened",1,0)</f>
        <v>0</v>
      </c>
      <c r="V1594" s="7" t="n">
        <f aca="false">IF(AND(R1594=1,O1594&gt;Q1594),1,0)</f>
        <v>1</v>
      </c>
      <c r="W1594" s="7" t="n">
        <f aca="false">IF(AND(T1594=1,P1594&lt;&gt;"",P1594&lt;=Q1594),1,0)</f>
        <v>0</v>
      </c>
    </row>
    <row r="1595" customFormat="false" ht="15" hidden="false" customHeight="false" outlineLevel="0" collapsed="false">
      <c r="A1595" s="7" t="s">
        <v>1929</v>
      </c>
      <c r="B1595" s="7" t="s">
        <v>46</v>
      </c>
      <c r="C1595" s="7" t="s">
        <v>158</v>
      </c>
      <c r="D1595" s="7" t="s">
        <v>112</v>
      </c>
      <c r="E1595" s="7" t="s">
        <v>113</v>
      </c>
      <c r="F1595" s="7" t="s">
        <v>123</v>
      </c>
      <c r="G1595" s="7" t="s">
        <v>20</v>
      </c>
      <c r="H1595" s="9" t="n">
        <v>45980</v>
      </c>
      <c r="I1595" s="9" t="n">
        <v>46008</v>
      </c>
      <c r="J1595" s="7" t="n">
        <v>7.8</v>
      </c>
      <c r="K1595" s="7" t="s">
        <v>1733</v>
      </c>
      <c r="L1595" s="7" t="s">
        <v>20</v>
      </c>
      <c r="M1595" s="7" t="s">
        <v>1935</v>
      </c>
      <c r="N1595" s="7" t="s">
        <v>53</v>
      </c>
      <c r="O1595" s="10" t="n">
        <f aca="false">'Exec Summary'!$E$2-H1595</f>
        <v>254</v>
      </c>
      <c r="P1595" s="10" t="n">
        <f aca="false">IF(I1595="","",I1595-H1595)</f>
        <v>28</v>
      </c>
      <c r="Q1595" s="10" t="n">
        <f aca="false">VLOOKUP(G1595,$AA$2:$AB$5,2,FALSE())</f>
        <v>30</v>
      </c>
      <c r="R1595" s="7" t="n">
        <f aca="false">IF(OR(F1595="Open",F1595="Reopened"),1,0)</f>
        <v>1</v>
      </c>
      <c r="S1595" s="7" t="n">
        <f aca="false">IF(AND(H1595&gt;='Exec Summary'!$E$1,H1595&lt;='Exec Summary'!$E$2),1,0)</f>
        <v>0</v>
      </c>
      <c r="T1595" s="7" t="n">
        <f aca="false">IF(AND(F1595="Closed",I1595&lt;&gt;"",I1595&gt;='Exec Summary'!$E$1,I1595&lt;='Exec Summary'!$E$2),1,0)</f>
        <v>0</v>
      </c>
      <c r="U1595" s="7" t="n">
        <f aca="false">IF(F1595="Reopened",1,0)</f>
        <v>1</v>
      </c>
      <c r="V1595" s="7" t="n">
        <f aca="false">IF(AND(R1595=1,O1595&gt;Q1595),1,0)</f>
        <v>1</v>
      </c>
      <c r="W1595" s="7" t="n">
        <f aca="false">IF(AND(T1595=1,P1595&lt;&gt;"",P1595&lt;=Q1595),1,0)</f>
        <v>0</v>
      </c>
    </row>
    <row r="1596" customFormat="false" ht="15" hidden="false" customHeight="false" outlineLevel="0" collapsed="false">
      <c r="A1596" s="7" t="s">
        <v>1929</v>
      </c>
      <c r="B1596" s="7" t="s">
        <v>46</v>
      </c>
      <c r="C1596" s="7" t="s">
        <v>158</v>
      </c>
      <c r="D1596" s="7" t="s">
        <v>166</v>
      </c>
      <c r="E1596" s="7" t="s">
        <v>167</v>
      </c>
      <c r="F1596" s="7" t="s">
        <v>56</v>
      </c>
      <c r="G1596" s="7" t="s">
        <v>19</v>
      </c>
      <c r="H1596" s="9" t="n">
        <v>46106</v>
      </c>
      <c r="I1596" s="9"/>
      <c r="J1596" s="7" t="n">
        <v>9.8</v>
      </c>
      <c r="K1596" s="7" t="s">
        <v>1733</v>
      </c>
      <c r="L1596" s="7" t="s">
        <v>20</v>
      </c>
      <c r="M1596" s="7" t="s">
        <v>1936</v>
      </c>
      <c r="N1596" s="7" t="s">
        <v>58</v>
      </c>
      <c r="O1596" s="10" t="n">
        <f aca="false">'Exec Summary'!$E$2-H1596</f>
        <v>128</v>
      </c>
      <c r="P1596" s="10" t="str">
        <f aca="false">IF(I1596="","",I1596-H1596)</f>
        <v/>
      </c>
      <c r="Q1596" s="10" t="n">
        <f aca="false">VLOOKUP(G1596,$AA$2:$AB$5,2,FALSE())</f>
        <v>15</v>
      </c>
      <c r="R1596" s="7" t="n">
        <f aca="false">IF(OR(F1596="Open",F1596="Reopened"),1,0)</f>
        <v>1</v>
      </c>
      <c r="S1596" s="7" t="n">
        <f aca="false">IF(AND(H1596&gt;='Exec Summary'!$E$1,H1596&lt;='Exec Summary'!$E$2),1,0)</f>
        <v>0</v>
      </c>
      <c r="T1596" s="7" t="n">
        <f aca="false">IF(AND(F1596="Closed",I1596&lt;&gt;"",I1596&gt;='Exec Summary'!$E$1,I1596&lt;='Exec Summary'!$E$2),1,0)</f>
        <v>0</v>
      </c>
      <c r="U1596" s="7" t="n">
        <f aca="false">IF(F1596="Reopened",1,0)</f>
        <v>0</v>
      </c>
      <c r="V1596" s="7" t="n">
        <f aca="false">IF(AND(R1596=1,O1596&gt;Q1596),1,0)</f>
        <v>1</v>
      </c>
      <c r="W1596" s="7" t="n">
        <f aca="false">IF(AND(T1596=1,P1596&lt;&gt;"",P1596&lt;=Q1596),1,0)</f>
        <v>0</v>
      </c>
    </row>
    <row r="1597" customFormat="false" ht="15" hidden="false" customHeight="false" outlineLevel="0" collapsed="false">
      <c r="A1597" s="7" t="s">
        <v>1929</v>
      </c>
      <c r="B1597" s="7" t="s">
        <v>46</v>
      </c>
      <c r="C1597" s="7" t="s">
        <v>158</v>
      </c>
      <c r="D1597" s="7" t="s">
        <v>48</v>
      </c>
      <c r="E1597" s="7" t="s">
        <v>49</v>
      </c>
      <c r="F1597" s="7" t="s">
        <v>56</v>
      </c>
      <c r="G1597" s="7" t="s">
        <v>20</v>
      </c>
      <c r="H1597" s="9" t="n">
        <v>46046</v>
      </c>
      <c r="I1597" s="9"/>
      <c r="J1597" s="7" t="n">
        <v>7.5</v>
      </c>
      <c r="K1597" s="7" t="s">
        <v>1733</v>
      </c>
      <c r="L1597" s="7" t="s">
        <v>20</v>
      </c>
      <c r="M1597" s="7" t="s">
        <v>1937</v>
      </c>
      <c r="N1597" s="7" t="s">
        <v>53</v>
      </c>
      <c r="O1597" s="10" t="n">
        <f aca="false">'Exec Summary'!$E$2-H1597</f>
        <v>188</v>
      </c>
      <c r="P1597" s="10" t="str">
        <f aca="false">IF(I1597="","",I1597-H1597)</f>
        <v/>
      </c>
      <c r="Q1597" s="10" t="n">
        <f aca="false">VLOOKUP(G1597,$AA$2:$AB$5,2,FALSE())</f>
        <v>30</v>
      </c>
      <c r="R1597" s="7" t="n">
        <f aca="false">IF(OR(F1597="Open",F1597="Reopened"),1,0)</f>
        <v>1</v>
      </c>
      <c r="S1597" s="7" t="n">
        <f aca="false">IF(AND(H1597&gt;='Exec Summary'!$E$1,H1597&lt;='Exec Summary'!$E$2),1,0)</f>
        <v>0</v>
      </c>
      <c r="T1597" s="7" t="n">
        <f aca="false">IF(AND(F1597="Closed",I1597&lt;&gt;"",I1597&gt;='Exec Summary'!$E$1,I1597&lt;='Exec Summary'!$E$2),1,0)</f>
        <v>0</v>
      </c>
      <c r="U1597" s="7" t="n">
        <f aca="false">IF(F1597="Reopened",1,0)</f>
        <v>0</v>
      </c>
      <c r="V1597" s="7" t="n">
        <f aca="false">IF(AND(R1597=1,O1597&gt;Q1597),1,0)</f>
        <v>1</v>
      </c>
      <c r="W1597" s="7" t="n">
        <f aca="false">IF(AND(T1597=1,P1597&lt;&gt;"",P1597&lt;=Q1597),1,0)</f>
        <v>0</v>
      </c>
    </row>
    <row r="1598" customFormat="false" ht="15" hidden="false" customHeight="false" outlineLevel="0" collapsed="false">
      <c r="A1598" s="7" t="s">
        <v>1929</v>
      </c>
      <c r="B1598" s="7" t="s">
        <v>46</v>
      </c>
      <c r="C1598" s="7" t="s">
        <v>158</v>
      </c>
      <c r="D1598" s="7" t="s">
        <v>98</v>
      </c>
      <c r="E1598" s="7" t="s">
        <v>99</v>
      </c>
      <c r="F1598" s="7" t="s">
        <v>56</v>
      </c>
      <c r="G1598" s="7" t="s">
        <v>19</v>
      </c>
      <c r="H1598" s="9" t="n">
        <v>46019</v>
      </c>
      <c r="I1598" s="9"/>
      <c r="J1598" s="7" t="n">
        <v>10</v>
      </c>
      <c r="K1598" s="7" t="s">
        <v>1733</v>
      </c>
      <c r="L1598" s="7" t="s">
        <v>20</v>
      </c>
      <c r="M1598" s="7" t="s">
        <v>1938</v>
      </c>
      <c r="N1598" s="7" t="s">
        <v>58</v>
      </c>
      <c r="O1598" s="10" t="n">
        <f aca="false">'Exec Summary'!$E$2-H1598</f>
        <v>215</v>
      </c>
      <c r="P1598" s="10" t="str">
        <f aca="false">IF(I1598="","",I1598-H1598)</f>
        <v/>
      </c>
      <c r="Q1598" s="10" t="n">
        <f aca="false">VLOOKUP(G1598,$AA$2:$AB$5,2,FALSE())</f>
        <v>15</v>
      </c>
      <c r="R1598" s="7" t="n">
        <f aca="false">IF(OR(F1598="Open",F1598="Reopened"),1,0)</f>
        <v>1</v>
      </c>
      <c r="S1598" s="7" t="n">
        <f aca="false">IF(AND(H1598&gt;='Exec Summary'!$E$1,H1598&lt;='Exec Summary'!$E$2),1,0)</f>
        <v>0</v>
      </c>
      <c r="T1598" s="7" t="n">
        <f aca="false">IF(AND(F1598="Closed",I1598&lt;&gt;"",I1598&gt;='Exec Summary'!$E$1,I1598&lt;='Exec Summary'!$E$2),1,0)</f>
        <v>0</v>
      </c>
      <c r="U1598" s="7" t="n">
        <f aca="false">IF(F1598="Reopened",1,0)</f>
        <v>0</v>
      </c>
      <c r="V1598" s="7" t="n">
        <f aca="false">IF(AND(R1598=1,O1598&gt;Q1598),1,0)</f>
        <v>1</v>
      </c>
      <c r="W1598" s="7" t="n">
        <f aca="false">IF(AND(T1598=1,P1598&lt;&gt;"",P1598&lt;=Q1598),1,0)</f>
        <v>0</v>
      </c>
    </row>
    <row r="1599" customFormat="false" ht="15" hidden="false" customHeight="false" outlineLevel="0" collapsed="false">
      <c r="A1599" s="7" t="s">
        <v>1929</v>
      </c>
      <c r="B1599" s="7" t="s">
        <v>46</v>
      </c>
      <c r="C1599" s="7" t="s">
        <v>158</v>
      </c>
      <c r="D1599" s="7" t="s">
        <v>192</v>
      </c>
      <c r="E1599" s="7" t="s">
        <v>193</v>
      </c>
      <c r="F1599" s="7" t="s">
        <v>50</v>
      </c>
      <c r="G1599" s="7" t="s">
        <v>19</v>
      </c>
      <c r="H1599" s="9" t="n">
        <v>46146</v>
      </c>
      <c r="I1599" s="9" t="n">
        <v>46159</v>
      </c>
      <c r="J1599" s="7" t="n">
        <v>9.8</v>
      </c>
      <c r="K1599" s="7" t="s">
        <v>1733</v>
      </c>
      <c r="L1599" s="7" t="s">
        <v>20</v>
      </c>
      <c r="M1599" s="7" t="s">
        <v>1939</v>
      </c>
      <c r="N1599" s="7" t="s">
        <v>58</v>
      </c>
      <c r="O1599" s="10" t="n">
        <f aca="false">'Exec Summary'!$E$2-H1599</f>
        <v>88</v>
      </c>
      <c r="P1599" s="10" t="n">
        <f aca="false">IF(I1599="","",I1599-H1599)</f>
        <v>13</v>
      </c>
      <c r="Q1599" s="10" t="n">
        <f aca="false">VLOOKUP(G1599,$AA$2:$AB$5,2,FALSE())</f>
        <v>15</v>
      </c>
      <c r="R1599" s="7" t="n">
        <f aca="false">IF(OR(F1599="Open",F1599="Reopened"),1,0)</f>
        <v>0</v>
      </c>
      <c r="S1599" s="7" t="n">
        <f aca="false">IF(AND(H1599&gt;='Exec Summary'!$E$1,H1599&lt;='Exec Summary'!$E$2),1,0)</f>
        <v>0</v>
      </c>
      <c r="T1599" s="7" t="n">
        <f aca="false">IF(AND(F1599="Closed",I1599&lt;&gt;"",I1599&gt;='Exec Summary'!$E$1,I1599&lt;='Exec Summary'!$E$2),1,0)</f>
        <v>0</v>
      </c>
      <c r="U1599" s="7" t="n">
        <f aca="false">IF(F1599="Reopened",1,0)</f>
        <v>0</v>
      </c>
      <c r="V1599" s="7" t="n">
        <f aca="false">IF(AND(R1599=1,O1599&gt;Q1599),1,0)</f>
        <v>0</v>
      </c>
      <c r="W1599" s="7" t="n">
        <f aca="false">IF(AND(T1599=1,P1599&lt;&gt;"",P1599&lt;=Q1599),1,0)</f>
        <v>0</v>
      </c>
    </row>
    <row r="1600" customFormat="false" ht="15" hidden="false" customHeight="false" outlineLevel="0" collapsed="false">
      <c r="A1600" s="7" t="s">
        <v>1929</v>
      </c>
      <c r="B1600" s="7" t="s">
        <v>46</v>
      </c>
      <c r="C1600" s="7" t="s">
        <v>158</v>
      </c>
      <c r="D1600" s="7" t="s">
        <v>91</v>
      </c>
      <c r="E1600" s="7" t="s">
        <v>92</v>
      </c>
      <c r="F1600" s="7" t="s">
        <v>50</v>
      </c>
      <c r="G1600" s="7" t="s">
        <v>20</v>
      </c>
      <c r="H1600" s="9" t="n">
        <v>46211</v>
      </c>
      <c r="I1600" s="9" t="n">
        <v>46222</v>
      </c>
      <c r="J1600" s="7" t="n">
        <v>8.1</v>
      </c>
      <c r="K1600" s="7" t="s">
        <v>1733</v>
      </c>
      <c r="L1600" s="7" t="s">
        <v>20</v>
      </c>
      <c r="M1600" s="7" t="s">
        <v>1940</v>
      </c>
      <c r="N1600" s="7" t="s">
        <v>53</v>
      </c>
      <c r="O1600" s="10" t="n">
        <f aca="false">'Exec Summary'!$E$2-H1600</f>
        <v>23</v>
      </c>
      <c r="P1600" s="10" t="n">
        <f aca="false">IF(I1600="","",I1600-H1600)</f>
        <v>11</v>
      </c>
      <c r="Q1600" s="10" t="n">
        <f aca="false">VLOOKUP(G1600,$AA$2:$AB$5,2,FALSE())</f>
        <v>30</v>
      </c>
      <c r="R1600" s="7" t="n">
        <f aca="false">IF(OR(F1600="Open",F1600="Reopened"),1,0)</f>
        <v>0</v>
      </c>
      <c r="S1600" s="7" t="n">
        <f aca="false">IF(AND(H1600&gt;='Exec Summary'!$E$1,H1600&lt;='Exec Summary'!$E$2),1,0)</f>
        <v>1</v>
      </c>
      <c r="T1600" s="7" t="n">
        <f aca="false">IF(AND(F1600="Closed",I1600&lt;&gt;"",I1600&gt;='Exec Summary'!$E$1,I1600&lt;='Exec Summary'!$E$2),1,0)</f>
        <v>1</v>
      </c>
      <c r="U1600" s="7" t="n">
        <f aca="false">IF(F1600="Reopened",1,0)</f>
        <v>0</v>
      </c>
      <c r="V1600" s="7" t="n">
        <f aca="false">IF(AND(R1600=1,O1600&gt;Q1600),1,0)</f>
        <v>0</v>
      </c>
      <c r="W1600" s="7" t="n">
        <f aca="false">IF(AND(T1600=1,P1600&lt;&gt;"",P1600&lt;=Q1600),1,0)</f>
        <v>1</v>
      </c>
    </row>
    <row r="1601" customFormat="false" ht="15" hidden="false" customHeight="false" outlineLevel="0" collapsed="false">
      <c r="A1601" s="7" t="s">
        <v>1941</v>
      </c>
      <c r="B1601" s="7" t="s">
        <v>46</v>
      </c>
      <c r="C1601" s="7" t="s">
        <v>47</v>
      </c>
      <c r="D1601" s="7" t="s">
        <v>101</v>
      </c>
      <c r="E1601" s="7" t="s">
        <v>102</v>
      </c>
      <c r="F1601" s="7" t="s">
        <v>56</v>
      </c>
      <c r="G1601" s="7" t="s">
        <v>19</v>
      </c>
      <c r="H1601" s="9" t="n">
        <v>46076</v>
      </c>
      <c r="I1601" s="9"/>
      <c r="J1601" s="7" t="n">
        <v>10</v>
      </c>
      <c r="K1601" s="7" t="s">
        <v>1733</v>
      </c>
      <c r="L1601" s="7" t="s">
        <v>20</v>
      </c>
      <c r="M1601" s="7" t="s">
        <v>1942</v>
      </c>
      <c r="N1601" s="7" t="s">
        <v>58</v>
      </c>
      <c r="O1601" s="10" t="n">
        <f aca="false">'Exec Summary'!$E$2-H1601</f>
        <v>158</v>
      </c>
      <c r="P1601" s="10" t="str">
        <f aca="false">IF(I1601="","",I1601-H1601)</f>
        <v/>
      </c>
      <c r="Q1601" s="10" t="n">
        <f aca="false">VLOOKUP(G1601,$AA$2:$AB$5,2,FALSE())</f>
        <v>15</v>
      </c>
      <c r="R1601" s="7" t="n">
        <f aca="false">IF(OR(F1601="Open",F1601="Reopened"),1,0)</f>
        <v>1</v>
      </c>
      <c r="S1601" s="7" t="n">
        <f aca="false">IF(AND(H1601&gt;='Exec Summary'!$E$1,H1601&lt;='Exec Summary'!$E$2),1,0)</f>
        <v>0</v>
      </c>
      <c r="T1601" s="7" t="n">
        <f aca="false">IF(AND(F1601="Closed",I1601&lt;&gt;"",I1601&gt;='Exec Summary'!$E$1,I1601&lt;='Exec Summary'!$E$2),1,0)</f>
        <v>0</v>
      </c>
      <c r="U1601" s="7" t="n">
        <f aca="false">IF(F1601="Reopened",1,0)</f>
        <v>0</v>
      </c>
      <c r="V1601" s="7" t="n">
        <f aca="false">IF(AND(R1601=1,O1601&gt;Q1601),1,0)</f>
        <v>1</v>
      </c>
      <c r="W1601" s="7" t="n">
        <f aca="false">IF(AND(T1601=1,P1601&lt;&gt;"",P1601&lt;=Q1601),1,0)</f>
        <v>0</v>
      </c>
    </row>
    <row r="1602" customFormat="false" ht="15" hidden="false" customHeight="false" outlineLevel="0" collapsed="false">
      <c r="A1602" s="7" t="s">
        <v>1941</v>
      </c>
      <c r="B1602" s="7" t="s">
        <v>46</v>
      </c>
      <c r="C1602" s="7" t="s">
        <v>47</v>
      </c>
      <c r="D1602" s="7" t="s">
        <v>145</v>
      </c>
      <c r="E1602" s="7" t="s">
        <v>146</v>
      </c>
      <c r="F1602" s="7" t="s">
        <v>50</v>
      </c>
      <c r="G1602" s="7" t="s">
        <v>19</v>
      </c>
      <c r="H1602" s="9" t="n">
        <v>45956</v>
      </c>
      <c r="I1602" s="9" t="n">
        <v>45968</v>
      </c>
      <c r="J1602" s="7" t="n">
        <v>9.8</v>
      </c>
      <c r="K1602" s="7" t="s">
        <v>1733</v>
      </c>
      <c r="L1602" s="7" t="s">
        <v>20</v>
      </c>
      <c r="M1602" s="7" t="s">
        <v>1943</v>
      </c>
      <c r="N1602" s="7" t="s">
        <v>58</v>
      </c>
      <c r="O1602" s="10" t="n">
        <f aca="false">'Exec Summary'!$E$2-H1602</f>
        <v>278</v>
      </c>
      <c r="P1602" s="10" t="n">
        <f aca="false">IF(I1602="","",I1602-H1602)</f>
        <v>12</v>
      </c>
      <c r="Q1602" s="10" t="n">
        <f aca="false">VLOOKUP(G1602,$AA$2:$AB$5,2,FALSE())</f>
        <v>15</v>
      </c>
      <c r="R1602" s="7" t="n">
        <f aca="false">IF(OR(F1602="Open",F1602="Reopened"),1,0)</f>
        <v>0</v>
      </c>
      <c r="S1602" s="7" t="n">
        <f aca="false">IF(AND(H1602&gt;='Exec Summary'!$E$1,H1602&lt;='Exec Summary'!$E$2),1,0)</f>
        <v>0</v>
      </c>
      <c r="T1602" s="7" t="n">
        <f aca="false">IF(AND(F1602="Closed",I1602&lt;&gt;"",I1602&gt;='Exec Summary'!$E$1,I1602&lt;='Exec Summary'!$E$2),1,0)</f>
        <v>0</v>
      </c>
      <c r="U1602" s="7" t="n">
        <f aca="false">IF(F1602="Reopened",1,0)</f>
        <v>0</v>
      </c>
      <c r="V1602" s="7" t="n">
        <f aca="false">IF(AND(R1602=1,O1602&gt;Q1602),1,0)</f>
        <v>0</v>
      </c>
      <c r="W1602" s="7" t="n">
        <f aca="false">IF(AND(T1602=1,P1602&lt;&gt;"",P1602&lt;=Q1602),1,0)</f>
        <v>0</v>
      </c>
    </row>
    <row r="1603" customFormat="false" ht="15" hidden="false" customHeight="false" outlineLevel="0" collapsed="false">
      <c r="A1603" s="7" t="s">
        <v>1941</v>
      </c>
      <c r="B1603" s="7" t="s">
        <v>46</v>
      </c>
      <c r="C1603" s="7" t="s">
        <v>47</v>
      </c>
      <c r="D1603" s="7" t="s">
        <v>98</v>
      </c>
      <c r="E1603" s="7" t="s">
        <v>99</v>
      </c>
      <c r="F1603" s="7" t="s">
        <v>56</v>
      </c>
      <c r="G1603" s="7" t="s">
        <v>19</v>
      </c>
      <c r="H1603" s="9" t="n">
        <v>46208</v>
      </c>
      <c r="I1603" s="9"/>
      <c r="J1603" s="7" t="n">
        <v>10</v>
      </c>
      <c r="K1603" s="7" t="s">
        <v>1733</v>
      </c>
      <c r="L1603" s="7" t="s">
        <v>20</v>
      </c>
      <c r="M1603" s="7" t="s">
        <v>1944</v>
      </c>
      <c r="N1603" s="7" t="s">
        <v>58</v>
      </c>
      <c r="O1603" s="10" t="n">
        <f aca="false">'Exec Summary'!$E$2-H1603</f>
        <v>26</v>
      </c>
      <c r="P1603" s="10" t="str">
        <f aca="false">IF(I1603="","",I1603-H1603)</f>
        <v/>
      </c>
      <c r="Q1603" s="10" t="n">
        <f aca="false">VLOOKUP(G1603,$AA$2:$AB$5,2,FALSE())</f>
        <v>15</v>
      </c>
      <c r="R1603" s="7" t="n">
        <f aca="false">IF(OR(F1603="Open",F1603="Reopened"),1,0)</f>
        <v>1</v>
      </c>
      <c r="S1603" s="7" t="n">
        <f aca="false">IF(AND(H1603&gt;='Exec Summary'!$E$1,H1603&lt;='Exec Summary'!$E$2),1,0)</f>
        <v>1</v>
      </c>
      <c r="T1603" s="7" t="n">
        <f aca="false">IF(AND(F1603="Closed",I1603&lt;&gt;"",I1603&gt;='Exec Summary'!$E$1,I1603&lt;='Exec Summary'!$E$2),1,0)</f>
        <v>0</v>
      </c>
      <c r="U1603" s="7" t="n">
        <f aca="false">IF(F1603="Reopened",1,0)</f>
        <v>0</v>
      </c>
      <c r="V1603" s="7" t="n">
        <f aca="false">IF(AND(R1603=1,O1603&gt;Q1603),1,0)</f>
        <v>1</v>
      </c>
      <c r="W1603" s="7" t="n">
        <f aca="false">IF(AND(T1603=1,P1603&lt;&gt;"",P1603&lt;=Q1603),1,0)</f>
        <v>0</v>
      </c>
    </row>
    <row r="1604" customFormat="false" ht="15" hidden="false" customHeight="false" outlineLevel="0" collapsed="false">
      <c r="A1604" s="7" t="s">
        <v>1941</v>
      </c>
      <c r="B1604" s="7" t="s">
        <v>46</v>
      </c>
      <c r="C1604" s="7" t="s">
        <v>47</v>
      </c>
      <c r="D1604" s="7" t="s">
        <v>112</v>
      </c>
      <c r="E1604" s="7" t="s">
        <v>113</v>
      </c>
      <c r="F1604" s="7" t="s">
        <v>56</v>
      </c>
      <c r="G1604" s="7" t="s">
        <v>20</v>
      </c>
      <c r="H1604" s="9" t="n">
        <v>46062</v>
      </c>
      <c r="I1604" s="9"/>
      <c r="J1604" s="7" t="n">
        <v>7.8</v>
      </c>
      <c r="K1604" s="7" t="s">
        <v>1733</v>
      </c>
      <c r="L1604" s="7" t="s">
        <v>20</v>
      </c>
      <c r="M1604" s="7" t="s">
        <v>1945</v>
      </c>
      <c r="N1604" s="7" t="s">
        <v>53</v>
      </c>
      <c r="O1604" s="10" t="n">
        <f aca="false">'Exec Summary'!$E$2-H1604</f>
        <v>172</v>
      </c>
      <c r="P1604" s="10" t="str">
        <f aca="false">IF(I1604="","",I1604-H1604)</f>
        <v/>
      </c>
      <c r="Q1604" s="10" t="n">
        <f aca="false">VLOOKUP(G1604,$AA$2:$AB$5,2,FALSE())</f>
        <v>30</v>
      </c>
      <c r="R1604" s="7" t="n">
        <f aca="false">IF(OR(F1604="Open",F1604="Reopened"),1,0)</f>
        <v>1</v>
      </c>
      <c r="S1604" s="7" t="n">
        <f aca="false">IF(AND(H1604&gt;='Exec Summary'!$E$1,H1604&lt;='Exec Summary'!$E$2),1,0)</f>
        <v>0</v>
      </c>
      <c r="T1604" s="7" t="n">
        <f aca="false">IF(AND(F1604="Closed",I1604&lt;&gt;"",I1604&gt;='Exec Summary'!$E$1,I1604&lt;='Exec Summary'!$E$2),1,0)</f>
        <v>0</v>
      </c>
      <c r="U1604" s="7" t="n">
        <f aca="false">IF(F1604="Reopened",1,0)</f>
        <v>0</v>
      </c>
      <c r="V1604" s="7" t="n">
        <f aca="false">IF(AND(R1604=1,O1604&gt;Q1604),1,0)</f>
        <v>1</v>
      </c>
      <c r="W1604" s="7" t="n">
        <f aca="false">IF(AND(T1604=1,P1604&lt;&gt;"",P1604&lt;=Q1604),1,0)</f>
        <v>0</v>
      </c>
    </row>
    <row r="1605" customFormat="false" ht="15" hidden="false" customHeight="false" outlineLevel="0" collapsed="false">
      <c r="A1605" s="7" t="s">
        <v>1941</v>
      </c>
      <c r="B1605" s="7" t="s">
        <v>46</v>
      </c>
      <c r="C1605" s="7" t="s">
        <v>47</v>
      </c>
      <c r="D1605" s="7" t="s">
        <v>54</v>
      </c>
      <c r="E1605" s="7" t="s">
        <v>55</v>
      </c>
      <c r="F1605" s="7" t="s">
        <v>56</v>
      </c>
      <c r="G1605" s="7" t="s">
        <v>19</v>
      </c>
      <c r="H1605" s="9" t="n">
        <v>46132</v>
      </c>
      <c r="I1605" s="9"/>
      <c r="J1605" s="7" t="n">
        <v>9.8</v>
      </c>
      <c r="K1605" s="7" t="s">
        <v>1733</v>
      </c>
      <c r="L1605" s="7" t="s">
        <v>20</v>
      </c>
      <c r="M1605" s="7" t="s">
        <v>1946</v>
      </c>
      <c r="N1605" s="7" t="s">
        <v>58</v>
      </c>
      <c r="O1605" s="10" t="n">
        <f aca="false">'Exec Summary'!$E$2-H1605</f>
        <v>102</v>
      </c>
      <c r="P1605" s="10" t="str">
        <f aca="false">IF(I1605="","",I1605-H1605)</f>
        <v/>
      </c>
      <c r="Q1605" s="10" t="n">
        <f aca="false">VLOOKUP(G1605,$AA$2:$AB$5,2,FALSE())</f>
        <v>15</v>
      </c>
      <c r="R1605" s="7" t="n">
        <f aca="false">IF(OR(F1605="Open",F1605="Reopened"),1,0)</f>
        <v>1</v>
      </c>
      <c r="S1605" s="7" t="n">
        <f aca="false">IF(AND(H1605&gt;='Exec Summary'!$E$1,H1605&lt;='Exec Summary'!$E$2),1,0)</f>
        <v>0</v>
      </c>
      <c r="T1605" s="7" t="n">
        <f aca="false">IF(AND(F1605="Closed",I1605&lt;&gt;"",I1605&gt;='Exec Summary'!$E$1,I1605&lt;='Exec Summary'!$E$2),1,0)</f>
        <v>0</v>
      </c>
      <c r="U1605" s="7" t="n">
        <f aca="false">IF(F1605="Reopened",1,0)</f>
        <v>0</v>
      </c>
      <c r="V1605" s="7" t="n">
        <f aca="false">IF(AND(R1605=1,O1605&gt;Q1605),1,0)</f>
        <v>1</v>
      </c>
      <c r="W1605" s="7" t="n">
        <f aca="false">IF(AND(T1605=1,P1605&lt;&gt;"",P1605&lt;=Q1605),1,0)</f>
        <v>0</v>
      </c>
    </row>
    <row r="1606" customFormat="false" ht="15" hidden="false" customHeight="false" outlineLevel="0" collapsed="false">
      <c r="A1606" s="7" t="s">
        <v>1941</v>
      </c>
      <c r="B1606" s="7" t="s">
        <v>46</v>
      </c>
      <c r="C1606" s="7" t="s">
        <v>47</v>
      </c>
      <c r="D1606" s="7" t="s">
        <v>84</v>
      </c>
      <c r="E1606" s="7" t="s">
        <v>85</v>
      </c>
      <c r="F1606" s="7" t="s">
        <v>50</v>
      </c>
      <c r="G1606" s="7" t="s">
        <v>20</v>
      </c>
      <c r="H1606" s="9" t="n">
        <v>46104</v>
      </c>
      <c r="I1606" s="9" t="n">
        <v>46137</v>
      </c>
      <c r="J1606" s="7" t="n">
        <v>7.5</v>
      </c>
      <c r="K1606" s="7" t="s">
        <v>1733</v>
      </c>
      <c r="L1606" s="7" t="s">
        <v>20</v>
      </c>
      <c r="M1606" s="7" t="s">
        <v>1947</v>
      </c>
      <c r="N1606" s="7" t="s">
        <v>53</v>
      </c>
      <c r="O1606" s="10" t="n">
        <f aca="false">'Exec Summary'!$E$2-H1606</f>
        <v>130</v>
      </c>
      <c r="P1606" s="10" t="n">
        <f aca="false">IF(I1606="","",I1606-H1606)</f>
        <v>33</v>
      </c>
      <c r="Q1606" s="10" t="n">
        <f aca="false">VLOOKUP(G1606,$AA$2:$AB$5,2,FALSE())</f>
        <v>30</v>
      </c>
      <c r="R1606" s="7" t="n">
        <f aca="false">IF(OR(F1606="Open",F1606="Reopened"),1,0)</f>
        <v>0</v>
      </c>
      <c r="S1606" s="7" t="n">
        <f aca="false">IF(AND(H1606&gt;='Exec Summary'!$E$1,H1606&lt;='Exec Summary'!$E$2),1,0)</f>
        <v>0</v>
      </c>
      <c r="T1606" s="7" t="n">
        <f aca="false">IF(AND(F1606="Closed",I1606&lt;&gt;"",I1606&gt;='Exec Summary'!$E$1,I1606&lt;='Exec Summary'!$E$2),1,0)</f>
        <v>0</v>
      </c>
      <c r="U1606" s="7" t="n">
        <f aca="false">IF(F1606="Reopened",1,0)</f>
        <v>0</v>
      </c>
      <c r="V1606" s="7" t="n">
        <f aca="false">IF(AND(R1606=1,O1606&gt;Q1606),1,0)</f>
        <v>0</v>
      </c>
      <c r="W1606" s="7" t="n">
        <f aca="false">IF(AND(T1606=1,P1606&lt;&gt;"",P1606&lt;=Q1606),1,0)</f>
        <v>0</v>
      </c>
    </row>
    <row r="1607" customFormat="false" ht="15" hidden="false" customHeight="false" outlineLevel="0" collapsed="false">
      <c r="A1607" s="7" t="s">
        <v>1948</v>
      </c>
      <c r="B1607" s="7" t="s">
        <v>135</v>
      </c>
      <c r="C1607" s="7" t="s">
        <v>247</v>
      </c>
      <c r="D1607" s="7" t="s">
        <v>112</v>
      </c>
      <c r="E1607" s="7" t="s">
        <v>113</v>
      </c>
      <c r="F1607" s="7" t="s">
        <v>56</v>
      </c>
      <c r="G1607" s="7" t="s">
        <v>20</v>
      </c>
      <c r="H1607" s="9" t="n">
        <v>45944</v>
      </c>
      <c r="I1607" s="9"/>
      <c r="J1607" s="7" t="n">
        <v>7.8</v>
      </c>
      <c r="K1607" s="7" t="s">
        <v>1733</v>
      </c>
      <c r="L1607" s="7" t="s">
        <v>20</v>
      </c>
      <c r="M1607" s="7" t="s">
        <v>1949</v>
      </c>
      <c r="N1607" s="7" t="s">
        <v>53</v>
      </c>
      <c r="O1607" s="10" t="n">
        <f aca="false">'Exec Summary'!$E$2-H1607</f>
        <v>290</v>
      </c>
      <c r="P1607" s="10" t="str">
        <f aca="false">IF(I1607="","",I1607-H1607)</f>
        <v/>
      </c>
      <c r="Q1607" s="10" t="n">
        <f aca="false">VLOOKUP(G1607,$AA$2:$AB$5,2,FALSE())</f>
        <v>30</v>
      </c>
      <c r="R1607" s="7" t="n">
        <f aca="false">IF(OR(F1607="Open",F1607="Reopened"),1,0)</f>
        <v>1</v>
      </c>
      <c r="S1607" s="7" t="n">
        <f aca="false">IF(AND(H1607&gt;='Exec Summary'!$E$1,H1607&lt;='Exec Summary'!$E$2),1,0)</f>
        <v>0</v>
      </c>
      <c r="T1607" s="7" t="n">
        <f aca="false">IF(AND(F1607="Closed",I1607&lt;&gt;"",I1607&gt;='Exec Summary'!$E$1,I1607&lt;='Exec Summary'!$E$2),1,0)</f>
        <v>0</v>
      </c>
      <c r="U1607" s="7" t="n">
        <f aca="false">IF(F1607="Reopened",1,0)</f>
        <v>0</v>
      </c>
      <c r="V1607" s="7" t="n">
        <f aca="false">IF(AND(R1607=1,O1607&gt;Q1607),1,0)</f>
        <v>1</v>
      </c>
      <c r="W1607" s="7" t="n">
        <f aca="false">IF(AND(T1607=1,P1607&lt;&gt;"",P1607&lt;=Q1607),1,0)</f>
        <v>0</v>
      </c>
    </row>
    <row r="1608" customFormat="false" ht="15" hidden="false" customHeight="false" outlineLevel="0" collapsed="false">
      <c r="A1608" s="7" t="s">
        <v>1948</v>
      </c>
      <c r="B1608" s="7" t="s">
        <v>135</v>
      </c>
      <c r="C1608" s="7" t="s">
        <v>247</v>
      </c>
      <c r="D1608" s="7" t="s">
        <v>145</v>
      </c>
      <c r="E1608" s="7" t="s">
        <v>146</v>
      </c>
      <c r="F1608" s="7" t="s">
        <v>123</v>
      </c>
      <c r="G1608" s="7" t="s">
        <v>19</v>
      </c>
      <c r="H1608" s="9" t="n">
        <v>46092</v>
      </c>
      <c r="I1608" s="9" t="n">
        <v>46098</v>
      </c>
      <c r="J1608" s="7" t="n">
        <v>9.8</v>
      </c>
      <c r="K1608" s="7" t="s">
        <v>1733</v>
      </c>
      <c r="L1608" s="7" t="s">
        <v>20</v>
      </c>
      <c r="M1608" s="7" t="s">
        <v>1950</v>
      </c>
      <c r="N1608" s="7" t="s">
        <v>58</v>
      </c>
      <c r="O1608" s="10" t="n">
        <f aca="false">'Exec Summary'!$E$2-H1608</f>
        <v>142</v>
      </c>
      <c r="P1608" s="10" t="n">
        <f aca="false">IF(I1608="","",I1608-H1608)</f>
        <v>6</v>
      </c>
      <c r="Q1608" s="10" t="n">
        <f aca="false">VLOOKUP(G1608,$AA$2:$AB$5,2,FALSE())</f>
        <v>15</v>
      </c>
      <c r="R1608" s="7" t="n">
        <f aca="false">IF(OR(F1608="Open",F1608="Reopened"),1,0)</f>
        <v>1</v>
      </c>
      <c r="S1608" s="7" t="n">
        <f aca="false">IF(AND(H1608&gt;='Exec Summary'!$E$1,H1608&lt;='Exec Summary'!$E$2),1,0)</f>
        <v>0</v>
      </c>
      <c r="T1608" s="7" t="n">
        <f aca="false">IF(AND(F1608="Closed",I1608&lt;&gt;"",I1608&gt;='Exec Summary'!$E$1,I1608&lt;='Exec Summary'!$E$2),1,0)</f>
        <v>0</v>
      </c>
      <c r="U1608" s="7" t="n">
        <f aca="false">IF(F1608="Reopened",1,0)</f>
        <v>1</v>
      </c>
      <c r="V1608" s="7" t="n">
        <f aca="false">IF(AND(R1608=1,O1608&gt;Q1608),1,0)</f>
        <v>1</v>
      </c>
      <c r="W1608" s="7" t="n">
        <f aca="false">IF(AND(T1608=1,P1608&lt;&gt;"",P1608&lt;=Q1608),1,0)</f>
        <v>0</v>
      </c>
    </row>
    <row r="1609" customFormat="false" ht="15" hidden="false" customHeight="false" outlineLevel="0" collapsed="false">
      <c r="A1609" s="7" t="s">
        <v>1948</v>
      </c>
      <c r="B1609" s="7" t="s">
        <v>135</v>
      </c>
      <c r="C1609" s="7" t="s">
        <v>247</v>
      </c>
      <c r="D1609" s="7" t="s">
        <v>108</v>
      </c>
      <c r="E1609" s="7" t="s">
        <v>109</v>
      </c>
      <c r="F1609" s="7" t="s">
        <v>50</v>
      </c>
      <c r="G1609" s="7" t="s">
        <v>20</v>
      </c>
      <c r="H1609" s="9" t="n">
        <v>46125</v>
      </c>
      <c r="I1609" s="9" t="n">
        <v>46151</v>
      </c>
      <c r="J1609" s="7" t="n">
        <v>8.6</v>
      </c>
      <c r="K1609" s="7" t="s">
        <v>1733</v>
      </c>
      <c r="L1609" s="7" t="s">
        <v>20</v>
      </c>
      <c r="M1609" s="7" t="s">
        <v>1951</v>
      </c>
      <c r="N1609" s="7" t="s">
        <v>53</v>
      </c>
      <c r="O1609" s="10" t="n">
        <f aca="false">'Exec Summary'!$E$2-H1609</f>
        <v>109</v>
      </c>
      <c r="P1609" s="10" t="n">
        <f aca="false">IF(I1609="","",I1609-H1609)</f>
        <v>26</v>
      </c>
      <c r="Q1609" s="10" t="n">
        <f aca="false">VLOOKUP(G1609,$AA$2:$AB$5,2,FALSE())</f>
        <v>30</v>
      </c>
      <c r="R1609" s="7" t="n">
        <f aca="false">IF(OR(F1609="Open",F1609="Reopened"),1,0)</f>
        <v>0</v>
      </c>
      <c r="S1609" s="7" t="n">
        <f aca="false">IF(AND(H1609&gt;='Exec Summary'!$E$1,H1609&lt;='Exec Summary'!$E$2),1,0)</f>
        <v>0</v>
      </c>
      <c r="T1609" s="7" t="n">
        <f aca="false">IF(AND(F1609="Closed",I1609&lt;&gt;"",I1609&gt;='Exec Summary'!$E$1,I1609&lt;='Exec Summary'!$E$2),1,0)</f>
        <v>0</v>
      </c>
      <c r="U1609" s="7" t="n">
        <f aca="false">IF(F1609="Reopened",1,0)</f>
        <v>0</v>
      </c>
      <c r="V1609" s="7" t="n">
        <f aca="false">IF(AND(R1609=1,O1609&gt;Q1609),1,0)</f>
        <v>0</v>
      </c>
      <c r="W1609" s="7" t="n">
        <f aca="false">IF(AND(T1609=1,P1609&lt;&gt;"",P1609&lt;=Q1609),1,0)</f>
        <v>0</v>
      </c>
    </row>
    <row r="1610" customFormat="false" ht="15" hidden="false" customHeight="false" outlineLevel="0" collapsed="false">
      <c r="A1610" s="7" t="s">
        <v>1948</v>
      </c>
      <c r="B1610" s="7" t="s">
        <v>135</v>
      </c>
      <c r="C1610" s="7" t="s">
        <v>247</v>
      </c>
      <c r="D1610" s="7" t="s">
        <v>104</v>
      </c>
      <c r="E1610" s="7" t="s">
        <v>105</v>
      </c>
      <c r="F1610" s="7" t="s">
        <v>56</v>
      </c>
      <c r="G1610" s="7" t="s">
        <v>19</v>
      </c>
      <c r="H1610" s="9" t="n">
        <v>46038</v>
      </c>
      <c r="I1610" s="9"/>
      <c r="J1610" s="7" t="n">
        <v>9.8</v>
      </c>
      <c r="K1610" s="7" t="s">
        <v>1733</v>
      </c>
      <c r="L1610" s="7" t="s">
        <v>20</v>
      </c>
      <c r="M1610" s="7" t="s">
        <v>1952</v>
      </c>
      <c r="N1610" s="7" t="s">
        <v>58</v>
      </c>
      <c r="O1610" s="10" t="n">
        <f aca="false">'Exec Summary'!$E$2-H1610</f>
        <v>196</v>
      </c>
      <c r="P1610" s="10" t="str">
        <f aca="false">IF(I1610="","",I1610-H1610)</f>
        <v/>
      </c>
      <c r="Q1610" s="10" t="n">
        <f aca="false">VLOOKUP(G1610,$AA$2:$AB$5,2,FALSE())</f>
        <v>15</v>
      </c>
      <c r="R1610" s="7" t="n">
        <f aca="false">IF(OR(F1610="Open",F1610="Reopened"),1,0)</f>
        <v>1</v>
      </c>
      <c r="S1610" s="7" t="n">
        <f aca="false">IF(AND(H1610&gt;='Exec Summary'!$E$1,H1610&lt;='Exec Summary'!$E$2),1,0)</f>
        <v>0</v>
      </c>
      <c r="T1610" s="7" t="n">
        <f aca="false">IF(AND(F1610="Closed",I1610&lt;&gt;"",I1610&gt;='Exec Summary'!$E$1,I1610&lt;='Exec Summary'!$E$2),1,0)</f>
        <v>0</v>
      </c>
      <c r="U1610" s="7" t="n">
        <f aca="false">IF(F1610="Reopened",1,0)</f>
        <v>0</v>
      </c>
      <c r="V1610" s="7" t="n">
        <f aca="false">IF(AND(R1610=1,O1610&gt;Q1610),1,0)</f>
        <v>1</v>
      </c>
      <c r="W1610" s="7" t="n">
        <f aca="false">IF(AND(T1610=1,P1610&lt;&gt;"",P1610&lt;=Q1610),1,0)</f>
        <v>0</v>
      </c>
    </row>
    <row r="1611" customFormat="false" ht="15" hidden="false" customHeight="false" outlineLevel="0" collapsed="false">
      <c r="A1611" s="7" t="s">
        <v>1948</v>
      </c>
      <c r="B1611" s="7" t="s">
        <v>135</v>
      </c>
      <c r="C1611" s="7" t="s">
        <v>247</v>
      </c>
      <c r="D1611" s="7" t="s">
        <v>206</v>
      </c>
      <c r="E1611" s="7" t="s">
        <v>207</v>
      </c>
      <c r="F1611" s="7" t="s">
        <v>56</v>
      </c>
      <c r="G1611" s="7" t="s">
        <v>20</v>
      </c>
      <c r="H1611" s="9" t="n">
        <v>46161</v>
      </c>
      <c r="I1611" s="9"/>
      <c r="J1611" s="7" t="n">
        <v>8.8</v>
      </c>
      <c r="K1611" s="7" t="s">
        <v>1733</v>
      </c>
      <c r="L1611" s="7" t="s">
        <v>20</v>
      </c>
      <c r="M1611" s="7" t="s">
        <v>1953</v>
      </c>
      <c r="N1611" s="7" t="s">
        <v>53</v>
      </c>
      <c r="O1611" s="10" t="n">
        <f aca="false">'Exec Summary'!$E$2-H1611</f>
        <v>73</v>
      </c>
      <c r="P1611" s="10" t="str">
        <f aca="false">IF(I1611="","",I1611-H1611)</f>
        <v/>
      </c>
      <c r="Q1611" s="10" t="n">
        <f aca="false">VLOOKUP(G1611,$AA$2:$AB$5,2,FALSE())</f>
        <v>30</v>
      </c>
      <c r="R1611" s="7" t="n">
        <f aca="false">IF(OR(F1611="Open",F1611="Reopened"),1,0)</f>
        <v>1</v>
      </c>
      <c r="S1611" s="7" t="n">
        <f aca="false">IF(AND(H1611&gt;='Exec Summary'!$E$1,H1611&lt;='Exec Summary'!$E$2),1,0)</f>
        <v>0</v>
      </c>
      <c r="T1611" s="7" t="n">
        <f aca="false">IF(AND(F1611="Closed",I1611&lt;&gt;"",I1611&gt;='Exec Summary'!$E$1,I1611&lt;='Exec Summary'!$E$2),1,0)</f>
        <v>0</v>
      </c>
      <c r="U1611" s="7" t="n">
        <f aca="false">IF(F1611="Reopened",1,0)</f>
        <v>0</v>
      </c>
      <c r="V1611" s="7" t="n">
        <f aca="false">IF(AND(R1611=1,O1611&gt;Q1611),1,0)</f>
        <v>1</v>
      </c>
      <c r="W1611" s="7" t="n">
        <f aca="false">IF(AND(T1611=1,P1611&lt;&gt;"",P1611&lt;=Q1611),1,0)</f>
        <v>0</v>
      </c>
    </row>
    <row r="1612" customFormat="false" ht="15" hidden="false" customHeight="false" outlineLevel="0" collapsed="false">
      <c r="A1612" s="7" t="s">
        <v>1948</v>
      </c>
      <c r="B1612" s="7" t="s">
        <v>135</v>
      </c>
      <c r="C1612" s="7" t="s">
        <v>247</v>
      </c>
      <c r="D1612" s="7" t="s">
        <v>54</v>
      </c>
      <c r="E1612" s="7" t="s">
        <v>55</v>
      </c>
      <c r="F1612" s="7" t="s">
        <v>50</v>
      </c>
      <c r="G1612" s="7" t="s">
        <v>19</v>
      </c>
      <c r="H1612" s="9" t="n">
        <v>46002</v>
      </c>
      <c r="I1612" s="9" t="n">
        <v>46006</v>
      </c>
      <c r="J1612" s="7" t="n">
        <v>9.8</v>
      </c>
      <c r="K1612" s="7" t="s">
        <v>1733</v>
      </c>
      <c r="L1612" s="7" t="s">
        <v>20</v>
      </c>
      <c r="M1612" s="7" t="s">
        <v>1954</v>
      </c>
      <c r="N1612" s="7" t="s">
        <v>58</v>
      </c>
      <c r="O1612" s="10" t="n">
        <f aca="false">'Exec Summary'!$E$2-H1612</f>
        <v>232</v>
      </c>
      <c r="P1612" s="10" t="n">
        <f aca="false">IF(I1612="","",I1612-H1612)</f>
        <v>4</v>
      </c>
      <c r="Q1612" s="10" t="n">
        <f aca="false">VLOOKUP(G1612,$AA$2:$AB$5,2,FALSE())</f>
        <v>15</v>
      </c>
      <c r="R1612" s="7" t="n">
        <f aca="false">IF(OR(F1612="Open",F1612="Reopened"),1,0)</f>
        <v>0</v>
      </c>
      <c r="S1612" s="7" t="n">
        <f aca="false">IF(AND(H1612&gt;='Exec Summary'!$E$1,H1612&lt;='Exec Summary'!$E$2),1,0)</f>
        <v>0</v>
      </c>
      <c r="T1612" s="7" t="n">
        <f aca="false">IF(AND(F1612="Closed",I1612&lt;&gt;"",I1612&gt;='Exec Summary'!$E$1,I1612&lt;='Exec Summary'!$E$2),1,0)</f>
        <v>0</v>
      </c>
      <c r="U1612" s="7" t="n">
        <f aca="false">IF(F1612="Reopened",1,0)</f>
        <v>0</v>
      </c>
      <c r="V1612" s="7" t="n">
        <f aca="false">IF(AND(R1612=1,O1612&gt;Q1612),1,0)</f>
        <v>0</v>
      </c>
      <c r="W1612" s="7" t="n">
        <f aca="false">IF(AND(T1612=1,P1612&lt;&gt;"",P1612&lt;=Q1612),1,0)</f>
        <v>0</v>
      </c>
    </row>
    <row r="1613" customFormat="false" ht="15" hidden="false" customHeight="false" outlineLevel="0" collapsed="false">
      <c r="A1613" s="7" t="s">
        <v>1948</v>
      </c>
      <c r="B1613" s="7" t="s">
        <v>135</v>
      </c>
      <c r="C1613" s="7" t="s">
        <v>247</v>
      </c>
      <c r="D1613" s="7" t="s">
        <v>81</v>
      </c>
      <c r="E1613" s="7" t="s">
        <v>82</v>
      </c>
      <c r="F1613" s="7" t="s">
        <v>56</v>
      </c>
      <c r="G1613" s="7" t="s">
        <v>20</v>
      </c>
      <c r="H1613" s="9" t="n">
        <v>46081</v>
      </c>
      <c r="I1613" s="9"/>
      <c r="J1613" s="7" t="n">
        <v>7.8</v>
      </c>
      <c r="K1613" s="7" t="s">
        <v>1733</v>
      </c>
      <c r="L1613" s="7" t="s">
        <v>20</v>
      </c>
      <c r="M1613" s="7" t="s">
        <v>1955</v>
      </c>
      <c r="N1613" s="7" t="s">
        <v>53</v>
      </c>
      <c r="O1613" s="10" t="n">
        <f aca="false">'Exec Summary'!$E$2-H1613</f>
        <v>153</v>
      </c>
      <c r="P1613" s="10" t="str">
        <f aca="false">IF(I1613="","",I1613-H1613)</f>
        <v/>
      </c>
      <c r="Q1613" s="10" t="n">
        <f aca="false">VLOOKUP(G1613,$AA$2:$AB$5,2,FALSE())</f>
        <v>30</v>
      </c>
      <c r="R1613" s="7" t="n">
        <f aca="false">IF(OR(F1613="Open",F1613="Reopened"),1,0)</f>
        <v>1</v>
      </c>
      <c r="S1613" s="7" t="n">
        <f aca="false">IF(AND(H1613&gt;='Exec Summary'!$E$1,H1613&lt;='Exec Summary'!$E$2),1,0)</f>
        <v>0</v>
      </c>
      <c r="T1613" s="7" t="n">
        <f aca="false">IF(AND(F1613="Closed",I1613&lt;&gt;"",I1613&gt;='Exec Summary'!$E$1,I1613&lt;='Exec Summary'!$E$2),1,0)</f>
        <v>0</v>
      </c>
      <c r="U1613" s="7" t="n">
        <f aca="false">IF(F1613="Reopened",1,0)</f>
        <v>0</v>
      </c>
      <c r="V1613" s="7" t="n">
        <f aca="false">IF(AND(R1613=1,O1613&gt;Q1613),1,0)</f>
        <v>1</v>
      </c>
      <c r="W1613" s="7" t="n">
        <f aca="false">IF(AND(T1613=1,P1613&lt;&gt;"",P1613&lt;=Q1613),1,0)</f>
        <v>0</v>
      </c>
    </row>
    <row r="1614" customFormat="false" ht="15" hidden="false" customHeight="false" outlineLevel="0" collapsed="false">
      <c r="A1614" s="7" t="s">
        <v>1948</v>
      </c>
      <c r="B1614" s="7" t="s">
        <v>135</v>
      </c>
      <c r="C1614" s="7" t="s">
        <v>247</v>
      </c>
      <c r="D1614" s="7" t="s">
        <v>71</v>
      </c>
      <c r="E1614" s="7" t="s">
        <v>72</v>
      </c>
      <c r="F1614" s="7" t="s">
        <v>50</v>
      </c>
      <c r="G1614" s="7" t="s">
        <v>19</v>
      </c>
      <c r="H1614" s="9" t="n">
        <v>46103</v>
      </c>
      <c r="I1614" s="9" t="n">
        <v>46105</v>
      </c>
      <c r="J1614" s="7" t="n">
        <v>9.8</v>
      </c>
      <c r="K1614" s="7" t="s">
        <v>1733</v>
      </c>
      <c r="L1614" s="7" t="s">
        <v>20</v>
      </c>
      <c r="M1614" s="7" t="s">
        <v>1956</v>
      </c>
      <c r="N1614" s="7" t="s">
        <v>58</v>
      </c>
      <c r="O1614" s="10" t="n">
        <f aca="false">'Exec Summary'!$E$2-H1614</f>
        <v>131</v>
      </c>
      <c r="P1614" s="10" t="n">
        <f aca="false">IF(I1614="","",I1614-H1614)</f>
        <v>2</v>
      </c>
      <c r="Q1614" s="10" t="n">
        <f aca="false">VLOOKUP(G1614,$AA$2:$AB$5,2,FALSE())</f>
        <v>15</v>
      </c>
      <c r="R1614" s="7" t="n">
        <f aca="false">IF(OR(F1614="Open",F1614="Reopened"),1,0)</f>
        <v>0</v>
      </c>
      <c r="S1614" s="7" t="n">
        <f aca="false">IF(AND(H1614&gt;='Exec Summary'!$E$1,H1614&lt;='Exec Summary'!$E$2),1,0)</f>
        <v>0</v>
      </c>
      <c r="T1614" s="7" t="n">
        <f aca="false">IF(AND(F1614="Closed",I1614&lt;&gt;"",I1614&gt;='Exec Summary'!$E$1,I1614&lt;='Exec Summary'!$E$2),1,0)</f>
        <v>0</v>
      </c>
      <c r="U1614" s="7" t="n">
        <f aca="false">IF(F1614="Reopened",1,0)</f>
        <v>0</v>
      </c>
      <c r="V1614" s="7" t="n">
        <f aca="false">IF(AND(R1614=1,O1614&gt;Q1614),1,0)</f>
        <v>0</v>
      </c>
      <c r="W1614" s="7" t="n">
        <f aca="false">IF(AND(T1614=1,P1614&lt;&gt;"",P1614&lt;=Q1614),1,0)</f>
        <v>0</v>
      </c>
    </row>
    <row r="1615" customFormat="false" ht="15" hidden="false" customHeight="false" outlineLevel="0" collapsed="false">
      <c r="A1615" s="7" t="s">
        <v>1948</v>
      </c>
      <c r="B1615" s="7" t="s">
        <v>135</v>
      </c>
      <c r="C1615" s="7" t="s">
        <v>247</v>
      </c>
      <c r="D1615" s="7" t="s">
        <v>101</v>
      </c>
      <c r="E1615" s="7" t="s">
        <v>102</v>
      </c>
      <c r="F1615" s="7" t="s">
        <v>56</v>
      </c>
      <c r="G1615" s="7" t="s">
        <v>19</v>
      </c>
      <c r="H1615" s="9" t="n">
        <v>46061</v>
      </c>
      <c r="I1615" s="9"/>
      <c r="J1615" s="7" t="n">
        <v>10</v>
      </c>
      <c r="K1615" s="7" t="s">
        <v>1733</v>
      </c>
      <c r="L1615" s="7" t="s">
        <v>20</v>
      </c>
      <c r="M1615" s="7" t="s">
        <v>1957</v>
      </c>
      <c r="N1615" s="7" t="s">
        <v>58</v>
      </c>
      <c r="O1615" s="10" t="n">
        <f aca="false">'Exec Summary'!$E$2-H1615</f>
        <v>173</v>
      </c>
      <c r="P1615" s="10" t="str">
        <f aca="false">IF(I1615="","",I1615-H1615)</f>
        <v/>
      </c>
      <c r="Q1615" s="10" t="n">
        <f aca="false">VLOOKUP(G1615,$AA$2:$AB$5,2,FALSE())</f>
        <v>15</v>
      </c>
      <c r="R1615" s="7" t="n">
        <f aca="false">IF(OR(F1615="Open",F1615="Reopened"),1,0)</f>
        <v>1</v>
      </c>
      <c r="S1615" s="7" t="n">
        <f aca="false">IF(AND(H1615&gt;='Exec Summary'!$E$1,H1615&lt;='Exec Summary'!$E$2),1,0)</f>
        <v>0</v>
      </c>
      <c r="T1615" s="7" t="n">
        <f aca="false">IF(AND(F1615="Closed",I1615&lt;&gt;"",I1615&gt;='Exec Summary'!$E$1,I1615&lt;='Exec Summary'!$E$2),1,0)</f>
        <v>0</v>
      </c>
      <c r="U1615" s="7" t="n">
        <f aca="false">IF(F1615="Reopened",1,0)</f>
        <v>0</v>
      </c>
      <c r="V1615" s="7" t="n">
        <f aca="false">IF(AND(R1615=1,O1615&gt;Q1615),1,0)</f>
        <v>1</v>
      </c>
      <c r="W1615" s="7" t="n">
        <f aca="false">IF(AND(T1615=1,P1615&lt;&gt;"",P1615&lt;=Q1615),1,0)</f>
        <v>0</v>
      </c>
    </row>
    <row r="1616" customFormat="false" ht="15" hidden="false" customHeight="false" outlineLevel="0" collapsed="false">
      <c r="A1616" s="7" t="s">
        <v>1948</v>
      </c>
      <c r="B1616" s="7" t="s">
        <v>135</v>
      </c>
      <c r="C1616" s="7" t="s">
        <v>247</v>
      </c>
      <c r="D1616" s="7" t="s">
        <v>152</v>
      </c>
      <c r="E1616" s="7" t="s">
        <v>153</v>
      </c>
      <c r="F1616" s="7" t="s">
        <v>123</v>
      </c>
      <c r="G1616" s="7" t="s">
        <v>20</v>
      </c>
      <c r="H1616" s="9" t="n">
        <v>46129</v>
      </c>
      <c r="I1616" s="9" t="n">
        <v>46159</v>
      </c>
      <c r="J1616" s="7" t="n">
        <v>7.5</v>
      </c>
      <c r="K1616" s="7" t="s">
        <v>1733</v>
      </c>
      <c r="L1616" s="7" t="s">
        <v>20</v>
      </c>
      <c r="M1616" s="7" t="s">
        <v>1958</v>
      </c>
      <c r="N1616" s="7" t="s">
        <v>53</v>
      </c>
      <c r="O1616" s="10" t="n">
        <f aca="false">'Exec Summary'!$E$2-H1616</f>
        <v>105</v>
      </c>
      <c r="P1616" s="10" t="n">
        <f aca="false">IF(I1616="","",I1616-H1616)</f>
        <v>30</v>
      </c>
      <c r="Q1616" s="10" t="n">
        <f aca="false">VLOOKUP(G1616,$AA$2:$AB$5,2,FALSE())</f>
        <v>30</v>
      </c>
      <c r="R1616" s="7" t="n">
        <f aca="false">IF(OR(F1616="Open",F1616="Reopened"),1,0)</f>
        <v>1</v>
      </c>
      <c r="S1616" s="7" t="n">
        <f aca="false">IF(AND(H1616&gt;='Exec Summary'!$E$1,H1616&lt;='Exec Summary'!$E$2),1,0)</f>
        <v>0</v>
      </c>
      <c r="T1616" s="7" t="n">
        <f aca="false">IF(AND(F1616="Closed",I1616&lt;&gt;"",I1616&gt;='Exec Summary'!$E$1,I1616&lt;='Exec Summary'!$E$2),1,0)</f>
        <v>0</v>
      </c>
      <c r="U1616" s="7" t="n">
        <f aca="false">IF(F1616="Reopened",1,0)</f>
        <v>1</v>
      </c>
      <c r="V1616" s="7" t="n">
        <f aca="false">IF(AND(R1616=1,O1616&gt;Q1616),1,0)</f>
        <v>1</v>
      </c>
      <c r="W1616" s="7" t="n">
        <f aca="false">IF(AND(T1616=1,P1616&lt;&gt;"",P1616&lt;=Q1616),1,0)</f>
        <v>0</v>
      </c>
    </row>
    <row r="1617" customFormat="false" ht="15" hidden="false" customHeight="false" outlineLevel="0" collapsed="false">
      <c r="A1617" s="7" t="s">
        <v>1959</v>
      </c>
      <c r="B1617" s="7" t="s">
        <v>46</v>
      </c>
      <c r="C1617" s="7" t="s">
        <v>128</v>
      </c>
      <c r="D1617" s="7" t="s">
        <v>48</v>
      </c>
      <c r="E1617" s="7" t="s">
        <v>49</v>
      </c>
      <c r="F1617" s="7" t="s">
        <v>56</v>
      </c>
      <c r="G1617" s="7" t="s">
        <v>20</v>
      </c>
      <c r="H1617" s="9" t="n">
        <v>46215</v>
      </c>
      <c r="I1617" s="9"/>
      <c r="J1617" s="7" t="n">
        <v>7.5</v>
      </c>
      <c r="K1617" s="7" t="s">
        <v>1733</v>
      </c>
      <c r="L1617" s="7" t="s">
        <v>20</v>
      </c>
      <c r="M1617" s="7" t="s">
        <v>1960</v>
      </c>
      <c r="N1617" s="7" t="s">
        <v>53</v>
      </c>
      <c r="O1617" s="10" t="n">
        <f aca="false">'Exec Summary'!$E$2-H1617</f>
        <v>19</v>
      </c>
      <c r="P1617" s="10" t="str">
        <f aca="false">IF(I1617="","",I1617-H1617)</f>
        <v/>
      </c>
      <c r="Q1617" s="10" t="n">
        <f aca="false">VLOOKUP(G1617,$AA$2:$AB$5,2,FALSE())</f>
        <v>30</v>
      </c>
      <c r="R1617" s="7" t="n">
        <f aca="false">IF(OR(F1617="Open",F1617="Reopened"),1,0)</f>
        <v>1</v>
      </c>
      <c r="S1617" s="7" t="n">
        <f aca="false">IF(AND(H1617&gt;='Exec Summary'!$E$1,H1617&lt;='Exec Summary'!$E$2),1,0)</f>
        <v>1</v>
      </c>
      <c r="T1617" s="7" t="n">
        <f aca="false">IF(AND(F1617="Closed",I1617&lt;&gt;"",I1617&gt;='Exec Summary'!$E$1,I1617&lt;='Exec Summary'!$E$2),1,0)</f>
        <v>0</v>
      </c>
      <c r="U1617" s="7" t="n">
        <f aca="false">IF(F1617="Reopened",1,0)</f>
        <v>0</v>
      </c>
      <c r="V1617" s="7" t="n">
        <f aca="false">IF(AND(R1617=1,O1617&gt;Q1617),1,0)</f>
        <v>0</v>
      </c>
      <c r="W1617" s="7" t="n">
        <f aca="false">IF(AND(T1617=1,P1617&lt;&gt;"",P1617&lt;=Q1617),1,0)</f>
        <v>0</v>
      </c>
    </row>
    <row r="1618" customFormat="false" ht="15" hidden="false" customHeight="false" outlineLevel="0" collapsed="false">
      <c r="A1618" s="7" t="s">
        <v>1959</v>
      </c>
      <c r="B1618" s="7" t="s">
        <v>46</v>
      </c>
      <c r="C1618" s="7" t="s">
        <v>128</v>
      </c>
      <c r="D1618" s="7" t="s">
        <v>71</v>
      </c>
      <c r="E1618" s="7" t="s">
        <v>72</v>
      </c>
      <c r="F1618" s="7" t="s">
        <v>50</v>
      </c>
      <c r="G1618" s="7" t="s">
        <v>19</v>
      </c>
      <c r="H1618" s="9" t="n">
        <v>46054</v>
      </c>
      <c r="I1618" s="9" t="n">
        <v>46073</v>
      </c>
      <c r="J1618" s="7" t="n">
        <v>9.8</v>
      </c>
      <c r="K1618" s="7" t="s">
        <v>1733</v>
      </c>
      <c r="L1618" s="7" t="s">
        <v>20</v>
      </c>
      <c r="M1618" s="7" t="s">
        <v>1961</v>
      </c>
      <c r="N1618" s="7" t="s">
        <v>58</v>
      </c>
      <c r="O1618" s="10" t="n">
        <f aca="false">'Exec Summary'!$E$2-H1618</f>
        <v>180</v>
      </c>
      <c r="P1618" s="10" t="n">
        <f aca="false">IF(I1618="","",I1618-H1618)</f>
        <v>19</v>
      </c>
      <c r="Q1618" s="10" t="n">
        <f aca="false">VLOOKUP(G1618,$AA$2:$AB$5,2,FALSE())</f>
        <v>15</v>
      </c>
      <c r="R1618" s="7" t="n">
        <f aca="false">IF(OR(F1618="Open",F1618="Reopened"),1,0)</f>
        <v>0</v>
      </c>
      <c r="S1618" s="7" t="n">
        <f aca="false">IF(AND(H1618&gt;='Exec Summary'!$E$1,H1618&lt;='Exec Summary'!$E$2),1,0)</f>
        <v>0</v>
      </c>
      <c r="T1618" s="7" t="n">
        <f aca="false">IF(AND(F1618="Closed",I1618&lt;&gt;"",I1618&gt;='Exec Summary'!$E$1,I1618&lt;='Exec Summary'!$E$2),1,0)</f>
        <v>0</v>
      </c>
      <c r="U1618" s="7" t="n">
        <f aca="false">IF(F1618="Reopened",1,0)</f>
        <v>0</v>
      </c>
      <c r="V1618" s="7" t="n">
        <f aca="false">IF(AND(R1618=1,O1618&gt;Q1618),1,0)</f>
        <v>0</v>
      </c>
      <c r="W1618" s="7" t="n">
        <f aca="false">IF(AND(T1618=1,P1618&lt;&gt;"",P1618&lt;=Q1618),1,0)</f>
        <v>0</v>
      </c>
    </row>
    <row r="1619" customFormat="false" ht="15" hidden="false" customHeight="false" outlineLevel="0" collapsed="false">
      <c r="A1619" s="7" t="s">
        <v>1962</v>
      </c>
      <c r="B1619" s="7" t="s">
        <v>46</v>
      </c>
      <c r="C1619" s="7" t="s">
        <v>128</v>
      </c>
      <c r="D1619" s="7" t="s">
        <v>71</v>
      </c>
      <c r="E1619" s="7" t="s">
        <v>72</v>
      </c>
      <c r="F1619" s="7" t="s">
        <v>50</v>
      </c>
      <c r="G1619" s="7" t="s">
        <v>19</v>
      </c>
      <c r="H1619" s="9" t="n">
        <v>46180</v>
      </c>
      <c r="I1619" s="9" t="n">
        <v>46197</v>
      </c>
      <c r="J1619" s="7" t="n">
        <v>9.8</v>
      </c>
      <c r="K1619" s="7" t="s">
        <v>1733</v>
      </c>
      <c r="L1619" s="7" t="s">
        <v>20</v>
      </c>
      <c r="M1619" s="7" t="s">
        <v>1963</v>
      </c>
      <c r="N1619" s="7" t="s">
        <v>58</v>
      </c>
      <c r="O1619" s="10" t="n">
        <f aca="false">'Exec Summary'!$E$2-H1619</f>
        <v>54</v>
      </c>
      <c r="P1619" s="10" t="n">
        <f aca="false">IF(I1619="","",I1619-H1619)</f>
        <v>17</v>
      </c>
      <c r="Q1619" s="10" t="n">
        <f aca="false">VLOOKUP(G1619,$AA$2:$AB$5,2,FALSE())</f>
        <v>15</v>
      </c>
      <c r="R1619" s="7" t="n">
        <f aca="false">IF(OR(F1619="Open",F1619="Reopened"),1,0)</f>
        <v>0</v>
      </c>
      <c r="S1619" s="7" t="n">
        <f aca="false">IF(AND(H1619&gt;='Exec Summary'!$E$1,H1619&lt;='Exec Summary'!$E$2),1,0)</f>
        <v>0</v>
      </c>
      <c r="T1619" s="7" t="n">
        <f aca="false">IF(AND(F1619="Closed",I1619&lt;&gt;"",I1619&gt;='Exec Summary'!$E$1,I1619&lt;='Exec Summary'!$E$2),1,0)</f>
        <v>0</v>
      </c>
      <c r="U1619" s="7" t="n">
        <f aca="false">IF(F1619="Reopened",1,0)</f>
        <v>0</v>
      </c>
      <c r="V1619" s="7" t="n">
        <f aca="false">IF(AND(R1619=1,O1619&gt;Q1619),1,0)</f>
        <v>0</v>
      </c>
      <c r="W1619" s="7" t="n">
        <f aca="false">IF(AND(T1619=1,P1619&lt;&gt;"",P1619&lt;=Q1619),1,0)</f>
        <v>0</v>
      </c>
    </row>
    <row r="1620" customFormat="false" ht="15" hidden="false" customHeight="false" outlineLevel="0" collapsed="false">
      <c r="A1620" s="7" t="s">
        <v>1962</v>
      </c>
      <c r="B1620" s="7" t="s">
        <v>46</v>
      </c>
      <c r="C1620" s="7" t="s">
        <v>128</v>
      </c>
      <c r="D1620" s="7" t="s">
        <v>112</v>
      </c>
      <c r="E1620" s="7" t="s">
        <v>113</v>
      </c>
      <c r="F1620" s="7" t="s">
        <v>50</v>
      </c>
      <c r="G1620" s="7" t="s">
        <v>20</v>
      </c>
      <c r="H1620" s="9" t="n">
        <v>46150</v>
      </c>
      <c r="I1620" s="9" t="n">
        <v>46170</v>
      </c>
      <c r="J1620" s="7" t="n">
        <v>7.8</v>
      </c>
      <c r="K1620" s="7" t="s">
        <v>1733</v>
      </c>
      <c r="L1620" s="7" t="s">
        <v>20</v>
      </c>
      <c r="M1620" s="7" t="s">
        <v>1964</v>
      </c>
      <c r="N1620" s="7" t="s">
        <v>53</v>
      </c>
      <c r="O1620" s="10" t="n">
        <f aca="false">'Exec Summary'!$E$2-H1620</f>
        <v>84</v>
      </c>
      <c r="P1620" s="10" t="n">
        <f aca="false">IF(I1620="","",I1620-H1620)</f>
        <v>20</v>
      </c>
      <c r="Q1620" s="10" t="n">
        <f aca="false">VLOOKUP(G1620,$AA$2:$AB$5,2,FALSE())</f>
        <v>30</v>
      </c>
      <c r="R1620" s="7" t="n">
        <f aca="false">IF(OR(F1620="Open",F1620="Reopened"),1,0)</f>
        <v>0</v>
      </c>
      <c r="S1620" s="7" t="n">
        <f aca="false">IF(AND(H1620&gt;='Exec Summary'!$E$1,H1620&lt;='Exec Summary'!$E$2),1,0)</f>
        <v>0</v>
      </c>
      <c r="T1620" s="7" t="n">
        <f aca="false">IF(AND(F1620="Closed",I1620&lt;&gt;"",I1620&gt;='Exec Summary'!$E$1,I1620&lt;='Exec Summary'!$E$2),1,0)</f>
        <v>0</v>
      </c>
      <c r="U1620" s="7" t="n">
        <f aca="false">IF(F1620="Reopened",1,0)</f>
        <v>0</v>
      </c>
      <c r="V1620" s="7" t="n">
        <f aca="false">IF(AND(R1620=1,O1620&gt;Q1620),1,0)</f>
        <v>0</v>
      </c>
      <c r="W1620" s="7" t="n">
        <f aca="false">IF(AND(T1620=1,P1620&lt;&gt;"",P1620&lt;=Q1620),1,0)</f>
        <v>0</v>
      </c>
    </row>
    <row r="1621" customFormat="false" ht="15" hidden="false" customHeight="false" outlineLevel="0" collapsed="false">
      <c r="A1621" s="7" t="s">
        <v>1962</v>
      </c>
      <c r="B1621" s="7" t="s">
        <v>46</v>
      </c>
      <c r="C1621" s="7" t="s">
        <v>128</v>
      </c>
      <c r="D1621" s="7" t="s">
        <v>104</v>
      </c>
      <c r="E1621" s="7" t="s">
        <v>105</v>
      </c>
      <c r="F1621" s="7" t="s">
        <v>50</v>
      </c>
      <c r="G1621" s="7" t="s">
        <v>19</v>
      </c>
      <c r="H1621" s="9" t="n">
        <v>46180</v>
      </c>
      <c r="I1621" s="9" t="n">
        <v>46181</v>
      </c>
      <c r="J1621" s="7" t="n">
        <v>9.8</v>
      </c>
      <c r="K1621" s="7" t="s">
        <v>1733</v>
      </c>
      <c r="L1621" s="7" t="s">
        <v>20</v>
      </c>
      <c r="M1621" s="7" t="s">
        <v>1965</v>
      </c>
      <c r="N1621" s="7" t="s">
        <v>58</v>
      </c>
      <c r="O1621" s="10" t="n">
        <f aca="false">'Exec Summary'!$E$2-H1621</f>
        <v>54</v>
      </c>
      <c r="P1621" s="10" t="n">
        <f aca="false">IF(I1621="","",I1621-H1621)</f>
        <v>1</v>
      </c>
      <c r="Q1621" s="10" t="n">
        <f aca="false">VLOOKUP(G1621,$AA$2:$AB$5,2,FALSE())</f>
        <v>15</v>
      </c>
      <c r="R1621" s="7" t="n">
        <f aca="false">IF(OR(F1621="Open",F1621="Reopened"),1,0)</f>
        <v>0</v>
      </c>
      <c r="S1621" s="7" t="n">
        <f aca="false">IF(AND(H1621&gt;='Exec Summary'!$E$1,H1621&lt;='Exec Summary'!$E$2),1,0)</f>
        <v>0</v>
      </c>
      <c r="T1621" s="7" t="n">
        <f aca="false">IF(AND(F1621="Closed",I1621&lt;&gt;"",I1621&gt;='Exec Summary'!$E$1,I1621&lt;='Exec Summary'!$E$2),1,0)</f>
        <v>0</v>
      </c>
      <c r="U1621" s="7" t="n">
        <f aca="false">IF(F1621="Reopened",1,0)</f>
        <v>0</v>
      </c>
      <c r="V1621" s="7" t="n">
        <f aca="false">IF(AND(R1621=1,O1621&gt;Q1621),1,0)</f>
        <v>0</v>
      </c>
      <c r="W1621" s="7" t="n">
        <f aca="false">IF(AND(T1621=1,P1621&lt;&gt;"",P1621&lt;=Q1621),1,0)</f>
        <v>0</v>
      </c>
    </row>
    <row r="1622" customFormat="false" ht="15" hidden="false" customHeight="false" outlineLevel="0" collapsed="false">
      <c r="A1622" s="7" t="s">
        <v>1962</v>
      </c>
      <c r="B1622" s="7" t="s">
        <v>46</v>
      </c>
      <c r="C1622" s="7" t="s">
        <v>128</v>
      </c>
      <c r="D1622" s="7" t="s">
        <v>98</v>
      </c>
      <c r="E1622" s="7" t="s">
        <v>99</v>
      </c>
      <c r="F1622" s="7" t="s">
        <v>50</v>
      </c>
      <c r="G1622" s="7" t="s">
        <v>19</v>
      </c>
      <c r="H1622" s="9" t="n">
        <v>46209</v>
      </c>
      <c r="I1622" s="9" t="n">
        <v>46229</v>
      </c>
      <c r="J1622" s="7" t="n">
        <v>10</v>
      </c>
      <c r="K1622" s="7" t="s">
        <v>1733</v>
      </c>
      <c r="L1622" s="7" t="s">
        <v>20</v>
      </c>
      <c r="M1622" s="7" t="s">
        <v>1966</v>
      </c>
      <c r="N1622" s="7" t="s">
        <v>58</v>
      </c>
      <c r="O1622" s="10" t="n">
        <f aca="false">'Exec Summary'!$E$2-H1622</f>
        <v>25</v>
      </c>
      <c r="P1622" s="10" t="n">
        <f aca="false">IF(I1622="","",I1622-H1622)</f>
        <v>20</v>
      </c>
      <c r="Q1622" s="10" t="n">
        <f aca="false">VLOOKUP(G1622,$AA$2:$AB$5,2,FALSE())</f>
        <v>15</v>
      </c>
      <c r="R1622" s="7" t="n">
        <f aca="false">IF(OR(F1622="Open",F1622="Reopened"),1,0)</f>
        <v>0</v>
      </c>
      <c r="S1622" s="7" t="n">
        <f aca="false">IF(AND(H1622&gt;='Exec Summary'!$E$1,H1622&lt;='Exec Summary'!$E$2),1,0)</f>
        <v>1</v>
      </c>
      <c r="T1622" s="7" t="n">
        <f aca="false">IF(AND(F1622="Closed",I1622&lt;&gt;"",I1622&gt;='Exec Summary'!$E$1,I1622&lt;='Exec Summary'!$E$2),1,0)</f>
        <v>1</v>
      </c>
      <c r="U1622" s="7" t="n">
        <f aca="false">IF(F1622="Reopened",1,0)</f>
        <v>0</v>
      </c>
      <c r="V1622" s="7" t="n">
        <f aca="false">IF(AND(R1622=1,O1622&gt;Q1622),1,0)</f>
        <v>0</v>
      </c>
      <c r="W1622" s="7" t="n">
        <f aca="false">IF(AND(T1622=1,P1622&lt;&gt;"",P1622&lt;=Q1622),1,0)</f>
        <v>0</v>
      </c>
    </row>
    <row r="1623" customFormat="false" ht="15" hidden="false" customHeight="false" outlineLevel="0" collapsed="false">
      <c r="A1623" s="7" t="s">
        <v>1962</v>
      </c>
      <c r="B1623" s="7" t="s">
        <v>46</v>
      </c>
      <c r="C1623" s="7" t="s">
        <v>128</v>
      </c>
      <c r="D1623" s="7" t="s">
        <v>95</v>
      </c>
      <c r="E1623" s="7" t="s">
        <v>96</v>
      </c>
      <c r="F1623" s="7" t="s">
        <v>50</v>
      </c>
      <c r="G1623" s="7" t="s">
        <v>20</v>
      </c>
      <c r="H1623" s="9" t="n">
        <v>46128</v>
      </c>
      <c r="I1623" s="9" t="n">
        <v>46137</v>
      </c>
      <c r="J1623" s="7" t="n">
        <v>8.8</v>
      </c>
      <c r="K1623" s="7" t="s">
        <v>1733</v>
      </c>
      <c r="L1623" s="7" t="s">
        <v>20</v>
      </c>
      <c r="M1623" s="7" t="s">
        <v>1967</v>
      </c>
      <c r="N1623" s="7" t="s">
        <v>53</v>
      </c>
      <c r="O1623" s="10" t="n">
        <f aca="false">'Exec Summary'!$E$2-H1623</f>
        <v>106</v>
      </c>
      <c r="P1623" s="10" t="n">
        <f aca="false">IF(I1623="","",I1623-H1623)</f>
        <v>9</v>
      </c>
      <c r="Q1623" s="10" t="n">
        <f aca="false">VLOOKUP(G1623,$AA$2:$AB$5,2,FALSE())</f>
        <v>30</v>
      </c>
      <c r="R1623" s="7" t="n">
        <f aca="false">IF(OR(F1623="Open",F1623="Reopened"),1,0)</f>
        <v>0</v>
      </c>
      <c r="S1623" s="7" t="n">
        <f aca="false">IF(AND(H1623&gt;='Exec Summary'!$E$1,H1623&lt;='Exec Summary'!$E$2),1,0)</f>
        <v>0</v>
      </c>
      <c r="T1623" s="7" t="n">
        <f aca="false">IF(AND(F1623="Closed",I1623&lt;&gt;"",I1623&gt;='Exec Summary'!$E$1,I1623&lt;='Exec Summary'!$E$2),1,0)</f>
        <v>0</v>
      </c>
      <c r="U1623" s="7" t="n">
        <f aca="false">IF(F1623="Reopened",1,0)</f>
        <v>0</v>
      </c>
      <c r="V1623" s="7" t="n">
        <f aca="false">IF(AND(R1623=1,O1623&gt;Q1623),1,0)</f>
        <v>0</v>
      </c>
      <c r="W1623" s="7" t="n">
        <f aca="false">IF(AND(T1623=1,P1623&lt;&gt;"",P1623&lt;=Q1623),1,0)</f>
        <v>0</v>
      </c>
    </row>
    <row r="1624" customFormat="false" ht="15" hidden="false" customHeight="false" outlineLevel="0" collapsed="false">
      <c r="A1624" s="7" t="s">
        <v>1968</v>
      </c>
      <c r="B1624" s="7" t="s">
        <v>46</v>
      </c>
      <c r="C1624" s="7" t="s">
        <v>177</v>
      </c>
      <c r="D1624" s="7" t="s">
        <v>81</v>
      </c>
      <c r="E1624" s="7" t="s">
        <v>82</v>
      </c>
      <c r="F1624" s="7" t="s">
        <v>56</v>
      </c>
      <c r="G1624" s="7" t="s">
        <v>20</v>
      </c>
      <c r="H1624" s="9" t="n">
        <v>46190</v>
      </c>
      <c r="I1624" s="9"/>
      <c r="J1624" s="7" t="n">
        <v>7.8</v>
      </c>
      <c r="K1624" s="7" t="s">
        <v>1733</v>
      </c>
      <c r="L1624" s="7" t="s">
        <v>20</v>
      </c>
      <c r="M1624" s="7" t="s">
        <v>1969</v>
      </c>
      <c r="N1624" s="7" t="s">
        <v>53</v>
      </c>
      <c r="O1624" s="10" t="n">
        <f aca="false">'Exec Summary'!$E$2-H1624</f>
        <v>44</v>
      </c>
      <c r="P1624" s="10" t="str">
        <f aca="false">IF(I1624="","",I1624-H1624)</f>
        <v/>
      </c>
      <c r="Q1624" s="10" t="n">
        <f aca="false">VLOOKUP(G1624,$AA$2:$AB$5,2,FALSE())</f>
        <v>30</v>
      </c>
      <c r="R1624" s="7" t="n">
        <f aca="false">IF(OR(F1624="Open",F1624="Reopened"),1,0)</f>
        <v>1</v>
      </c>
      <c r="S1624" s="7" t="n">
        <f aca="false">IF(AND(H1624&gt;='Exec Summary'!$E$1,H1624&lt;='Exec Summary'!$E$2),1,0)</f>
        <v>0</v>
      </c>
      <c r="T1624" s="7" t="n">
        <f aca="false">IF(AND(F1624="Closed",I1624&lt;&gt;"",I1624&gt;='Exec Summary'!$E$1,I1624&lt;='Exec Summary'!$E$2),1,0)</f>
        <v>0</v>
      </c>
      <c r="U1624" s="7" t="n">
        <f aca="false">IF(F1624="Reopened",1,0)</f>
        <v>0</v>
      </c>
      <c r="V1624" s="7" t="n">
        <f aca="false">IF(AND(R1624=1,O1624&gt;Q1624),1,0)</f>
        <v>1</v>
      </c>
      <c r="W1624" s="7" t="n">
        <f aca="false">IF(AND(T1624=1,P1624&lt;&gt;"",P1624&lt;=Q1624),1,0)</f>
        <v>0</v>
      </c>
    </row>
    <row r="1625" customFormat="false" ht="15" hidden="false" customHeight="false" outlineLevel="0" collapsed="false">
      <c r="A1625" s="7" t="s">
        <v>1970</v>
      </c>
      <c r="B1625" s="7" t="s">
        <v>46</v>
      </c>
      <c r="C1625" s="7" t="s">
        <v>128</v>
      </c>
      <c r="D1625" s="7" t="s">
        <v>74</v>
      </c>
      <c r="E1625" s="7" t="s">
        <v>75</v>
      </c>
      <c r="F1625" s="7" t="s">
        <v>50</v>
      </c>
      <c r="G1625" s="7" t="s">
        <v>21</v>
      </c>
      <c r="H1625" s="9" t="n">
        <v>45981</v>
      </c>
      <c r="I1625" s="9" t="n">
        <v>46118</v>
      </c>
      <c r="J1625" s="7" t="n">
        <v>6.5</v>
      </c>
      <c r="K1625" s="7" t="s">
        <v>1971</v>
      </c>
      <c r="L1625" s="7" t="s">
        <v>19</v>
      </c>
      <c r="M1625" s="7" t="s">
        <v>1972</v>
      </c>
      <c r="N1625" s="7" t="s">
        <v>77</v>
      </c>
      <c r="O1625" s="10" t="n">
        <f aca="false">'Exec Summary'!$E$2-H1625</f>
        <v>253</v>
      </c>
      <c r="P1625" s="10" t="n">
        <f aca="false">IF(I1625="","",I1625-H1625)</f>
        <v>137</v>
      </c>
      <c r="Q1625" s="10" t="n">
        <f aca="false">VLOOKUP(G1625,$AA$2:$AB$5,2,FALSE())</f>
        <v>90</v>
      </c>
      <c r="R1625" s="7" t="n">
        <f aca="false">IF(OR(F1625="Open",F1625="Reopened"),1,0)</f>
        <v>0</v>
      </c>
      <c r="S1625" s="7" t="n">
        <f aca="false">IF(AND(H1625&gt;='Exec Summary'!$E$1,H1625&lt;='Exec Summary'!$E$2),1,0)</f>
        <v>0</v>
      </c>
      <c r="T1625" s="7" t="n">
        <f aca="false">IF(AND(F1625="Closed",I1625&lt;&gt;"",I1625&gt;='Exec Summary'!$E$1,I1625&lt;='Exec Summary'!$E$2),1,0)</f>
        <v>0</v>
      </c>
      <c r="U1625" s="7" t="n">
        <f aca="false">IF(F1625="Reopened",1,0)</f>
        <v>0</v>
      </c>
      <c r="V1625" s="7" t="n">
        <f aca="false">IF(AND(R1625=1,O1625&gt;Q1625),1,0)</f>
        <v>0</v>
      </c>
      <c r="W1625" s="7" t="n">
        <f aca="false">IF(AND(T1625=1,P1625&lt;&gt;"",P1625&lt;=Q1625),1,0)</f>
        <v>0</v>
      </c>
    </row>
    <row r="1626" customFormat="false" ht="15" hidden="false" customHeight="false" outlineLevel="0" collapsed="false">
      <c r="A1626" s="7" t="s">
        <v>1970</v>
      </c>
      <c r="B1626" s="7" t="s">
        <v>46</v>
      </c>
      <c r="C1626" s="7" t="s">
        <v>128</v>
      </c>
      <c r="D1626" s="7" t="s">
        <v>65</v>
      </c>
      <c r="E1626" s="7" t="s">
        <v>66</v>
      </c>
      <c r="F1626" s="7" t="s">
        <v>50</v>
      </c>
      <c r="G1626" s="7" t="s">
        <v>19</v>
      </c>
      <c r="H1626" s="9" t="n">
        <v>46134</v>
      </c>
      <c r="I1626" s="9" t="n">
        <v>46147</v>
      </c>
      <c r="J1626" s="7" t="n">
        <v>9.8</v>
      </c>
      <c r="K1626" s="7" t="s">
        <v>1971</v>
      </c>
      <c r="L1626" s="7" t="s">
        <v>19</v>
      </c>
      <c r="M1626" s="7" t="s">
        <v>1973</v>
      </c>
      <c r="N1626" s="7" t="s">
        <v>58</v>
      </c>
      <c r="O1626" s="10" t="n">
        <f aca="false">'Exec Summary'!$E$2-H1626</f>
        <v>100</v>
      </c>
      <c r="P1626" s="10" t="n">
        <f aca="false">IF(I1626="","",I1626-H1626)</f>
        <v>13</v>
      </c>
      <c r="Q1626" s="10" t="n">
        <f aca="false">VLOOKUP(G1626,$AA$2:$AB$5,2,FALSE())</f>
        <v>15</v>
      </c>
      <c r="R1626" s="7" t="n">
        <f aca="false">IF(OR(F1626="Open",F1626="Reopened"),1,0)</f>
        <v>0</v>
      </c>
      <c r="S1626" s="7" t="n">
        <f aca="false">IF(AND(H1626&gt;='Exec Summary'!$E$1,H1626&lt;='Exec Summary'!$E$2),1,0)</f>
        <v>0</v>
      </c>
      <c r="T1626" s="7" t="n">
        <f aca="false">IF(AND(F1626="Closed",I1626&lt;&gt;"",I1626&gt;='Exec Summary'!$E$1,I1626&lt;='Exec Summary'!$E$2),1,0)</f>
        <v>0</v>
      </c>
      <c r="U1626" s="7" t="n">
        <f aca="false">IF(F1626="Reopened",1,0)</f>
        <v>0</v>
      </c>
      <c r="V1626" s="7" t="n">
        <f aca="false">IF(AND(R1626=1,O1626&gt;Q1626),1,0)</f>
        <v>0</v>
      </c>
      <c r="W1626" s="7" t="n">
        <f aca="false">IF(AND(T1626=1,P1626&lt;&gt;"",P1626&lt;=Q1626),1,0)</f>
        <v>0</v>
      </c>
    </row>
    <row r="1627" customFormat="false" ht="15" hidden="false" customHeight="false" outlineLevel="0" collapsed="false">
      <c r="A1627" s="7" t="s">
        <v>1970</v>
      </c>
      <c r="B1627" s="7" t="s">
        <v>46</v>
      </c>
      <c r="C1627" s="7" t="s">
        <v>128</v>
      </c>
      <c r="D1627" s="7" t="s">
        <v>131</v>
      </c>
      <c r="E1627" s="7" t="s">
        <v>132</v>
      </c>
      <c r="F1627" s="7" t="s">
        <v>56</v>
      </c>
      <c r="G1627" s="7" t="s">
        <v>19</v>
      </c>
      <c r="H1627" s="9" t="n">
        <v>46041</v>
      </c>
      <c r="I1627" s="9"/>
      <c r="J1627" s="7" t="n">
        <v>9.8</v>
      </c>
      <c r="K1627" s="7" t="s">
        <v>1971</v>
      </c>
      <c r="L1627" s="7" t="s">
        <v>19</v>
      </c>
      <c r="M1627" s="7" t="s">
        <v>1974</v>
      </c>
      <c r="N1627" s="7" t="s">
        <v>58</v>
      </c>
      <c r="O1627" s="10" t="n">
        <f aca="false">'Exec Summary'!$E$2-H1627</f>
        <v>193</v>
      </c>
      <c r="P1627" s="10" t="str">
        <f aca="false">IF(I1627="","",I1627-H1627)</f>
        <v/>
      </c>
      <c r="Q1627" s="10" t="n">
        <f aca="false">VLOOKUP(G1627,$AA$2:$AB$5,2,FALSE())</f>
        <v>15</v>
      </c>
      <c r="R1627" s="7" t="n">
        <f aca="false">IF(OR(F1627="Open",F1627="Reopened"),1,0)</f>
        <v>1</v>
      </c>
      <c r="S1627" s="7" t="n">
        <f aca="false">IF(AND(H1627&gt;='Exec Summary'!$E$1,H1627&lt;='Exec Summary'!$E$2),1,0)</f>
        <v>0</v>
      </c>
      <c r="T1627" s="7" t="n">
        <f aca="false">IF(AND(F1627="Closed",I1627&lt;&gt;"",I1627&gt;='Exec Summary'!$E$1,I1627&lt;='Exec Summary'!$E$2),1,0)</f>
        <v>0</v>
      </c>
      <c r="U1627" s="7" t="n">
        <f aca="false">IF(F1627="Reopened",1,0)</f>
        <v>0</v>
      </c>
      <c r="V1627" s="7" t="n">
        <f aca="false">IF(AND(R1627=1,O1627&gt;Q1627),1,0)</f>
        <v>1</v>
      </c>
      <c r="W1627" s="7" t="n">
        <f aca="false">IF(AND(T1627=1,P1627&lt;&gt;"",P1627&lt;=Q1627),1,0)</f>
        <v>0</v>
      </c>
    </row>
    <row r="1628" customFormat="false" ht="15" hidden="false" customHeight="false" outlineLevel="0" collapsed="false">
      <c r="A1628" s="7" t="s">
        <v>1970</v>
      </c>
      <c r="B1628" s="7" t="s">
        <v>46</v>
      </c>
      <c r="C1628" s="7" t="s">
        <v>128</v>
      </c>
      <c r="D1628" s="7" t="s">
        <v>81</v>
      </c>
      <c r="E1628" s="7" t="s">
        <v>82</v>
      </c>
      <c r="F1628" s="7" t="s">
        <v>56</v>
      </c>
      <c r="G1628" s="7" t="s">
        <v>20</v>
      </c>
      <c r="H1628" s="9" t="n">
        <v>46094</v>
      </c>
      <c r="I1628" s="9"/>
      <c r="J1628" s="7" t="n">
        <v>7.8</v>
      </c>
      <c r="K1628" s="7" t="s">
        <v>1971</v>
      </c>
      <c r="L1628" s="7" t="s">
        <v>19</v>
      </c>
      <c r="M1628" s="7" t="s">
        <v>1975</v>
      </c>
      <c r="N1628" s="7" t="s">
        <v>53</v>
      </c>
      <c r="O1628" s="10" t="n">
        <f aca="false">'Exec Summary'!$E$2-H1628</f>
        <v>140</v>
      </c>
      <c r="P1628" s="10" t="str">
        <f aca="false">IF(I1628="","",I1628-H1628)</f>
        <v/>
      </c>
      <c r="Q1628" s="10" t="n">
        <f aca="false">VLOOKUP(G1628,$AA$2:$AB$5,2,FALSE())</f>
        <v>30</v>
      </c>
      <c r="R1628" s="7" t="n">
        <f aca="false">IF(OR(F1628="Open",F1628="Reopened"),1,0)</f>
        <v>1</v>
      </c>
      <c r="S1628" s="7" t="n">
        <f aca="false">IF(AND(H1628&gt;='Exec Summary'!$E$1,H1628&lt;='Exec Summary'!$E$2),1,0)</f>
        <v>0</v>
      </c>
      <c r="T1628" s="7" t="n">
        <f aca="false">IF(AND(F1628="Closed",I1628&lt;&gt;"",I1628&gt;='Exec Summary'!$E$1,I1628&lt;='Exec Summary'!$E$2),1,0)</f>
        <v>0</v>
      </c>
      <c r="U1628" s="7" t="n">
        <f aca="false">IF(F1628="Reopened",1,0)</f>
        <v>0</v>
      </c>
      <c r="V1628" s="7" t="n">
        <f aca="false">IF(AND(R1628=1,O1628&gt;Q1628),1,0)</f>
        <v>1</v>
      </c>
      <c r="W1628" s="7" t="n">
        <f aca="false">IF(AND(T1628=1,P1628&lt;&gt;"",P1628&lt;=Q1628),1,0)</f>
        <v>0</v>
      </c>
    </row>
    <row r="1629" customFormat="false" ht="15" hidden="false" customHeight="false" outlineLevel="0" collapsed="false">
      <c r="A1629" s="7" t="s">
        <v>1970</v>
      </c>
      <c r="B1629" s="7" t="s">
        <v>46</v>
      </c>
      <c r="C1629" s="7" t="s">
        <v>128</v>
      </c>
      <c r="D1629" s="7" t="s">
        <v>68</v>
      </c>
      <c r="E1629" s="7" t="s">
        <v>69</v>
      </c>
      <c r="F1629" s="7" t="s">
        <v>123</v>
      </c>
      <c r="G1629" s="7" t="s">
        <v>19</v>
      </c>
      <c r="H1629" s="9" t="n">
        <v>46016</v>
      </c>
      <c r="I1629" s="9" t="n">
        <v>46020</v>
      </c>
      <c r="J1629" s="7" t="n">
        <v>9.8</v>
      </c>
      <c r="K1629" s="7" t="s">
        <v>1971</v>
      </c>
      <c r="L1629" s="7" t="s">
        <v>19</v>
      </c>
      <c r="M1629" s="7" t="s">
        <v>1976</v>
      </c>
      <c r="N1629" s="7" t="s">
        <v>58</v>
      </c>
      <c r="O1629" s="10" t="n">
        <f aca="false">'Exec Summary'!$E$2-H1629</f>
        <v>218</v>
      </c>
      <c r="P1629" s="10" t="n">
        <f aca="false">IF(I1629="","",I1629-H1629)</f>
        <v>4</v>
      </c>
      <c r="Q1629" s="10" t="n">
        <f aca="false">VLOOKUP(G1629,$AA$2:$AB$5,2,FALSE())</f>
        <v>15</v>
      </c>
      <c r="R1629" s="7" t="n">
        <f aca="false">IF(OR(F1629="Open",F1629="Reopened"),1,0)</f>
        <v>1</v>
      </c>
      <c r="S1629" s="7" t="n">
        <f aca="false">IF(AND(H1629&gt;='Exec Summary'!$E$1,H1629&lt;='Exec Summary'!$E$2),1,0)</f>
        <v>0</v>
      </c>
      <c r="T1629" s="7" t="n">
        <f aca="false">IF(AND(F1629="Closed",I1629&lt;&gt;"",I1629&gt;='Exec Summary'!$E$1,I1629&lt;='Exec Summary'!$E$2),1,0)</f>
        <v>0</v>
      </c>
      <c r="U1629" s="7" t="n">
        <f aca="false">IF(F1629="Reopened",1,0)</f>
        <v>1</v>
      </c>
      <c r="V1629" s="7" t="n">
        <f aca="false">IF(AND(R1629=1,O1629&gt;Q1629),1,0)</f>
        <v>1</v>
      </c>
      <c r="W1629" s="7" t="n">
        <f aca="false">IF(AND(T1629=1,P1629&lt;&gt;"",P1629&lt;=Q1629),1,0)</f>
        <v>0</v>
      </c>
    </row>
    <row r="1630" customFormat="false" ht="15" hidden="false" customHeight="false" outlineLevel="0" collapsed="false">
      <c r="A1630" s="7" t="s">
        <v>1970</v>
      </c>
      <c r="B1630" s="7" t="s">
        <v>46</v>
      </c>
      <c r="C1630" s="7" t="s">
        <v>128</v>
      </c>
      <c r="D1630" s="7" t="s">
        <v>87</v>
      </c>
      <c r="E1630" s="7" t="s">
        <v>88</v>
      </c>
      <c r="F1630" s="7" t="s">
        <v>56</v>
      </c>
      <c r="G1630" s="7" t="s">
        <v>19</v>
      </c>
      <c r="H1630" s="9" t="n">
        <v>46224</v>
      </c>
      <c r="I1630" s="9"/>
      <c r="J1630" s="7" t="n">
        <v>10</v>
      </c>
      <c r="K1630" s="7" t="s">
        <v>1971</v>
      </c>
      <c r="L1630" s="7" t="s">
        <v>19</v>
      </c>
      <c r="M1630" s="7" t="s">
        <v>1977</v>
      </c>
      <c r="N1630" s="7" t="s">
        <v>58</v>
      </c>
      <c r="O1630" s="10" t="n">
        <f aca="false">'Exec Summary'!$E$2-H1630</f>
        <v>10</v>
      </c>
      <c r="P1630" s="10" t="str">
        <f aca="false">IF(I1630="","",I1630-H1630)</f>
        <v/>
      </c>
      <c r="Q1630" s="10" t="n">
        <f aca="false">VLOOKUP(G1630,$AA$2:$AB$5,2,FALSE())</f>
        <v>15</v>
      </c>
      <c r="R1630" s="7" t="n">
        <f aca="false">IF(OR(F1630="Open",F1630="Reopened"),1,0)</f>
        <v>1</v>
      </c>
      <c r="S1630" s="7" t="n">
        <f aca="false">IF(AND(H1630&gt;='Exec Summary'!$E$1,H1630&lt;='Exec Summary'!$E$2),1,0)</f>
        <v>1</v>
      </c>
      <c r="T1630" s="7" t="n">
        <f aca="false">IF(AND(F1630="Closed",I1630&lt;&gt;"",I1630&gt;='Exec Summary'!$E$1,I1630&lt;='Exec Summary'!$E$2),1,0)</f>
        <v>0</v>
      </c>
      <c r="U1630" s="7" t="n">
        <f aca="false">IF(F1630="Reopened",1,0)</f>
        <v>0</v>
      </c>
      <c r="V1630" s="7" t="n">
        <f aca="false">IF(AND(R1630=1,O1630&gt;Q1630),1,0)</f>
        <v>0</v>
      </c>
      <c r="W1630" s="7" t="n">
        <f aca="false">IF(AND(T1630=1,P1630&lt;&gt;"",P1630&lt;=Q1630),1,0)</f>
        <v>0</v>
      </c>
    </row>
    <row r="1631" customFormat="false" ht="15" hidden="false" customHeight="false" outlineLevel="0" collapsed="false">
      <c r="A1631" s="7" t="s">
        <v>1970</v>
      </c>
      <c r="B1631" s="7" t="s">
        <v>46</v>
      </c>
      <c r="C1631" s="7" t="s">
        <v>128</v>
      </c>
      <c r="D1631" s="7" t="s">
        <v>95</v>
      </c>
      <c r="E1631" s="7" t="s">
        <v>96</v>
      </c>
      <c r="F1631" s="7" t="s">
        <v>56</v>
      </c>
      <c r="G1631" s="7" t="s">
        <v>20</v>
      </c>
      <c r="H1631" s="9" t="n">
        <v>45994</v>
      </c>
      <c r="I1631" s="9"/>
      <c r="J1631" s="7" t="n">
        <v>8.8</v>
      </c>
      <c r="K1631" s="7" t="s">
        <v>1971</v>
      </c>
      <c r="L1631" s="7" t="s">
        <v>19</v>
      </c>
      <c r="M1631" s="7" t="s">
        <v>1978</v>
      </c>
      <c r="N1631" s="7" t="s">
        <v>53</v>
      </c>
      <c r="O1631" s="10" t="n">
        <f aca="false">'Exec Summary'!$E$2-H1631</f>
        <v>240</v>
      </c>
      <c r="P1631" s="10" t="str">
        <f aca="false">IF(I1631="","",I1631-H1631)</f>
        <v/>
      </c>
      <c r="Q1631" s="10" t="n">
        <f aca="false">VLOOKUP(G1631,$AA$2:$AB$5,2,FALSE())</f>
        <v>30</v>
      </c>
      <c r="R1631" s="7" t="n">
        <f aca="false">IF(OR(F1631="Open",F1631="Reopened"),1,0)</f>
        <v>1</v>
      </c>
      <c r="S1631" s="7" t="n">
        <f aca="false">IF(AND(H1631&gt;='Exec Summary'!$E$1,H1631&lt;='Exec Summary'!$E$2),1,0)</f>
        <v>0</v>
      </c>
      <c r="T1631" s="7" t="n">
        <f aca="false">IF(AND(F1631="Closed",I1631&lt;&gt;"",I1631&gt;='Exec Summary'!$E$1,I1631&lt;='Exec Summary'!$E$2),1,0)</f>
        <v>0</v>
      </c>
      <c r="U1631" s="7" t="n">
        <f aca="false">IF(F1631="Reopened",1,0)</f>
        <v>0</v>
      </c>
      <c r="V1631" s="7" t="n">
        <f aca="false">IF(AND(R1631=1,O1631&gt;Q1631),1,0)</f>
        <v>1</v>
      </c>
      <c r="W1631" s="7" t="n">
        <f aca="false">IF(AND(T1631=1,P1631&lt;&gt;"",P1631&lt;=Q1631),1,0)</f>
        <v>0</v>
      </c>
    </row>
    <row r="1632" customFormat="false" ht="15" hidden="false" customHeight="false" outlineLevel="0" collapsed="false">
      <c r="A1632" s="7" t="s">
        <v>1970</v>
      </c>
      <c r="B1632" s="7" t="s">
        <v>46</v>
      </c>
      <c r="C1632" s="7" t="s">
        <v>128</v>
      </c>
      <c r="D1632" s="7" t="s">
        <v>48</v>
      </c>
      <c r="E1632" s="7" t="s">
        <v>49</v>
      </c>
      <c r="F1632" s="7" t="s">
        <v>56</v>
      </c>
      <c r="G1632" s="7" t="s">
        <v>20</v>
      </c>
      <c r="H1632" s="9" t="n">
        <v>46181</v>
      </c>
      <c r="I1632" s="9"/>
      <c r="J1632" s="7" t="n">
        <v>7.5</v>
      </c>
      <c r="K1632" s="7" t="s">
        <v>1971</v>
      </c>
      <c r="L1632" s="7" t="s">
        <v>19</v>
      </c>
      <c r="M1632" s="7" t="s">
        <v>1979</v>
      </c>
      <c r="N1632" s="7" t="s">
        <v>53</v>
      </c>
      <c r="O1632" s="10" t="n">
        <f aca="false">'Exec Summary'!$E$2-H1632</f>
        <v>53</v>
      </c>
      <c r="P1632" s="10" t="str">
        <f aca="false">IF(I1632="","",I1632-H1632)</f>
        <v/>
      </c>
      <c r="Q1632" s="10" t="n">
        <f aca="false">VLOOKUP(G1632,$AA$2:$AB$5,2,FALSE())</f>
        <v>30</v>
      </c>
      <c r="R1632" s="7" t="n">
        <f aca="false">IF(OR(F1632="Open",F1632="Reopened"),1,0)</f>
        <v>1</v>
      </c>
      <c r="S1632" s="7" t="n">
        <f aca="false">IF(AND(H1632&gt;='Exec Summary'!$E$1,H1632&lt;='Exec Summary'!$E$2),1,0)</f>
        <v>0</v>
      </c>
      <c r="T1632" s="7" t="n">
        <f aca="false">IF(AND(F1632="Closed",I1632&lt;&gt;"",I1632&gt;='Exec Summary'!$E$1,I1632&lt;='Exec Summary'!$E$2),1,0)</f>
        <v>0</v>
      </c>
      <c r="U1632" s="7" t="n">
        <f aca="false">IF(F1632="Reopened",1,0)</f>
        <v>0</v>
      </c>
      <c r="V1632" s="7" t="n">
        <f aca="false">IF(AND(R1632=1,O1632&gt;Q1632),1,0)</f>
        <v>1</v>
      </c>
      <c r="W1632" s="7" t="n">
        <f aca="false">IF(AND(T1632=1,P1632&lt;&gt;"",P1632&lt;=Q1632),1,0)</f>
        <v>0</v>
      </c>
    </row>
    <row r="1633" customFormat="false" ht="15" hidden="false" customHeight="false" outlineLevel="0" collapsed="false">
      <c r="A1633" s="7" t="s">
        <v>1980</v>
      </c>
      <c r="B1633" s="7" t="s">
        <v>46</v>
      </c>
      <c r="C1633" s="7" t="s">
        <v>47</v>
      </c>
      <c r="D1633" s="7" t="s">
        <v>108</v>
      </c>
      <c r="E1633" s="7" t="s">
        <v>109</v>
      </c>
      <c r="F1633" s="7" t="s">
        <v>56</v>
      </c>
      <c r="G1633" s="7" t="s">
        <v>20</v>
      </c>
      <c r="H1633" s="9" t="n">
        <v>46196</v>
      </c>
      <c r="I1633" s="9"/>
      <c r="J1633" s="7" t="n">
        <v>8.6</v>
      </c>
      <c r="K1633" s="7" t="s">
        <v>1971</v>
      </c>
      <c r="L1633" s="7" t="s">
        <v>20</v>
      </c>
      <c r="M1633" s="7" t="s">
        <v>1981</v>
      </c>
      <c r="N1633" s="7" t="s">
        <v>53</v>
      </c>
      <c r="O1633" s="10" t="n">
        <f aca="false">'Exec Summary'!$E$2-H1633</f>
        <v>38</v>
      </c>
      <c r="P1633" s="10" t="str">
        <f aca="false">IF(I1633="","",I1633-H1633)</f>
        <v/>
      </c>
      <c r="Q1633" s="10" t="n">
        <f aca="false">VLOOKUP(G1633,$AA$2:$AB$5,2,FALSE())</f>
        <v>30</v>
      </c>
      <c r="R1633" s="7" t="n">
        <f aca="false">IF(OR(F1633="Open",F1633="Reopened"),1,0)</f>
        <v>1</v>
      </c>
      <c r="S1633" s="7" t="n">
        <f aca="false">IF(AND(H1633&gt;='Exec Summary'!$E$1,H1633&lt;='Exec Summary'!$E$2),1,0)</f>
        <v>0</v>
      </c>
      <c r="T1633" s="7" t="n">
        <f aca="false">IF(AND(F1633="Closed",I1633&lt;&gt;"",I1633&gt;='Exec Summary'!$E$1,I1633&lt;='Exec Summary'!$E$2),1,0)</f>
        <v>0</v>
      </c>
      <c r="U1633" s="7" t="n">
        <f aca="false">IF(F1633="Reopened",1,0)</f>
        <v>0</v>
      </c>
      <c r="V1633" s="7" t="n">
        <f aca="false">IF(AND(R1633=1,O1633&gt;Q1633),1,0)</f>
        <v>1</v>
      </c>
      <c r="W1633" s="7" t="n">
        <f aca="false">IF(AND(T1633=1,P1633&lt;&gt;"",P1633&lt;=Q1633),1,0)</f>
        <v>0</v>
      </c>
    </row>
    <row r="1634" customFormat="false" ht="15" hidden="false" customHeight="false" outlineLevel="0" collapsed="false">
      <c r="A1634" s="7" t="s">
        <v>1982</v>
      </c>
      <c r="B1634" s="7" t="s">
        <v>135</v>
      </c>
      <c r="C1634" s="7" t="s">
        <v>306</v>
      </c>
      <c r="D1634" s="7" t="s">
        <v>206</v>
      </c>
      <c r="E1634" s="7" t="s">
        <v>207</v>
      </c>
      <c r="F1634" s="7" t="s">
        <v>50</v>
      </c>
      <c r="G1634" s="7" t="s">
        <v>20</v>
      </c>
      <c r="H1634" s="9" t="n">
        <v>45998</v>
      </c>
      <c r="I1634" s="9" t="n">
        <v>45999</v>
      </c>
      <c r="J1634" s="7" t="n">
        <v>8.8</v>
      </c>
      <c r="K1634" s="7" t="s">
        <v>1971</v>
      </c>
      <c r="L1634" s="7" t="s">
        <v>19</v>
      </c>
      <c r="M1634" s="7" t="s">
        <v>1983</v>
      </c>
      <c r="N1634" s="7" t="s">
        <v>53</v>
      </c>
      <c r="O1634" s="10" t="n">
        <f aca="false">'Exec Summary'!$E$2-H1634</f>
        <v>236</v>
      </c>
      <c r="P1634" s="10" t="n">
        <f aca="false">IF(I1634="","",I1634-H1634)</f>
        <v>1</v>
      </c>
      <c r="Q1634" s="10" t="n">
        <f aca="false">VLOOKUP(G1634,$AA$2:$AB$5,2,FALSE())</f>
        <v>30</v>
      </c>
      <c r="R1634" s="7" t="n">
        <f aca="false">IF(OR(F1634="Open",F1634="Reopened"),1,0)</f>
        <v>0</v>
      </c>
      <c r="S1634" s="7" t="n">
        <f aca="false">IF(AND(H1634&gt;='Exec Summary'!$E$1,H1634&lt;='Exec Summary'!$E$2),1,0)</f>
        <v>0</v>
      </c>
      <c r="T1634" s="7" t="n">
        <f aca="false">IF(AND(F1634="Closed",I1634&lt;&gt;"",I1634&gt;='Exec Summary'!$E$1,I1634&lt;='Exec Summary'!$E$2),1,0)</f>
        <v>0</v>
      </c>
      <c r="U1634" s="7" t="n">
        <f aca="false">IF(F1634="Reopened",1,0)</f>
        <v>0</v>
      </c>
      <c r="V1634" s="7" t="n">
        <f aca="false">IF(AND(R1634=1,O1634&gt;Q1634),1,0)</f>
        <v>0</v>
      </c>
      <c r="W1634" s="7" t="n">
        <f aca="false">IF(AND(T1634=1,P1634&lt;&gt;"",P1634&lt;=Q1634),1,0)</f>
        <v>0</v>
      </c>
    </row>
    <row r="1635" customFormat="false" ht="15" hidden="false" customHeight="false" outlineLevel="0" collapsed="false">
      <c r="A1635" s="7" t="s">
        <v>1982</v>
      </c>
      <c r="B1635" s="7" t="s">
        <v>135</v>
      </c>
      <c r="C1635" s="7" t="s">
        <v>306</v>
      </c>
      <c r="D1635" s="7" t="s">
        <v>173</v>
      </c>
      <c r="E1635" s="7" t="s">
        <v>174</v>
      </c>
      <c r="F1635" s="7" t="s">
        <v>56</v>
      </c>
      <c r="G1635" s="7" t="s">
        <v>19</v>
      </c>
      <c r="H1635" s="9" t="n">
        <v>46173</v>
      </c>
      <c r="I1635" s="9"/>
      <c r="J1635" s="7" t="n">
        <v>9.8</v>
      </c>
      <c r="K1635" s="7" t="s">
        <v>1971</v>
      </c>
      <c r="L1635" s="7" t="s">
        <v>19</v>
      </c>
      <c r="M1635" s="7" t="s">
        <v>1984</v>
      </c>
      <c r="N1635" s="7" t="s">
        <v>58</v>
      </c>
      <c r="O1635" s="10" t="n">
        <f aca="false">'Exec Summary'!$E$2-H1635</f>
        <v>61</v>
      </c>
      <c r="P1635" s="10" t="str">
        <f aca="false">IF(I1635="","",I1635-H1635)</f>
        <v/>
      </c>
      <c r="Q1635" s="10" t="n">
        <f aca="false">VLOOKUP(G1635,$AA$2:$AB$5,2,FALSE())</f>
        <v>15</v>
      </c>
      <c r="R1635" s="7" t="n">
        <f aca="false">IF(OR(F1635="Open",F1635="Reopened"),1,0)</f>
        <v>1</v>
      </c>
      <c r="S1635" s="7" t="n">
        <f aca="false">IF(AND(H1635&gt;='Exec Summary'!$E$1,H1635&lt;='Exec Summary'!$E$2),1,0)</f>
        <v>0</v>
      </c>
      <c r="T1635" s="7" t="n">
        <f aca="false">IF(AND(F1635="Closed",I1635&lt;&gt;"",I1635&gt;='Exec Summary'!$E$1,I1635&lt;='Exec Summary'!$E$2),1,0)</f>
        <v>0</v>
      </c>
      <c r="U1635" s="7" t="n">
        <f aca="false">IF(F1635="Reopened",1,0)</f>
        <v>0</v>
      </c>
      <c r="V1635" s="7" t="n">
        <f aca="false">IF(AND(R1635=1,O1635&gt;Q1635),1,0)</f>
        <v>1</v>
      </c>
      <c r="W1635" s="7" t="n">
        <f aca="false">IF(AND(T1635=1,P1635&lt;&gt;"",P1635&lt;=Q1635),1,0)</f>
        <v>0</v>
      </c>
    </row>
    <row r="1636" customFormat="false" ht="15" hidden="false" customHeight="false" outlineLevel="0" collapsed="false">
      <c r="A1636" s="7" t="s">
        <v>1985</v>
      </c>
      <c r="B1636" s="7" t="s">
        <v>46</v>
      </c>
      <c r="C1636" s="7" t="s">
        <v>177</v>
      </c>
      <c r="D1636" s="7" t="s">
        <v>210</v>
      </c>
      <c r="E1636" s="7" t="s">
        <v>211</v>
      </c>
      <c r="F1636" s="7" t="s">
        <v>56</v>
      </c>
      <c r="G1636" s="7" t="s">
        <v>19</v>
      </c>
      <c r="H1636" s="9" t="n">
        <v>46073</v>
      </c>
      <c r="I1636" s="9"/>
      <c r="J1636" s="7" t="n">
        <v>9.8</v>
      </c>
      <c r="K1636" s="7" t="s">
        <v>1971</v>
      </c>
      <c r="L1636" s="7" t="s">
        <v>21</v>
      </c>
      <c r="M1636" s="7" t="s">
        <v>1986</v>
      </c>
      <c r="N1636" s="7" t="s">
        <v>58</v>
      </c>
      <c r="O1636" s="10" t="n">
        <f aca="false">'Exec Summary'!$E$2-H1636</f>
        <v>161</v>
      </c>
      <c r="P1636" s="10" t="str">
        <f aca="false">IF(I1636="","",I1636-H1636)</f>
        <v/>
      </c>
      <c r="Q1636" s="10" t="n">
        <f aca="false">VLOOKUP(G1636,$AA$2:$AB$5,2,FALSE())</f>
        <v>15</v>
      </c>
      <c r="R1636" s="7" t="n">
        <f aca="false">IF(OR(F1636="Open",F1636="Reopened"),1,0)</f>
        <v>1</v>
      </c>
      <c r="S1636" s="7" t="n">
        <f aca="false">IF(AND(H1636&gt;='Exec Summary'!$E$1,H1636&lt;='Exec Summary'!$E$2),1,0)</f>
        <v>0</v>
      </c>
      <c r="T1636" s="7" t="n">
        <f aca="false">IF(AND(F1636="Closed",I1636&lt;&gt;"",I1636&gt;='Exec Summary'!$E$1,I1636&lt;='Exec Summary'!$E$2),1,0)</f>
        <v>0</v>
      </c>
      <c r="U1636" s="7" t="n">
        <f aca="false">IF(F1636="Reopened",1,0)</f>
        <v>0</v>
      </c>
      <c r="V1636" s="7" t="n">
        <f aca="false">IF(AND(R1636=1,O1636&gt;Q1636),1,0)</f>
        <v>1</v>
      </c>
      <c r="W1636" s="7" t="n">
        <f aca="false">IF(AND(T1636=1,P1636&lt;&gt;"",P1636&lt;=Q1636),1,0)</f>
        <v>0</v>
      </c>
    </row>
    <row r="1637" customFormat="false" ht="15" hidden="false" customHeight="false" outlineLevel="0" collapsed="false">
      <c r="A1637" s="7" t="s">
        <v>1985</v>
      </c>
      <c r="B1637" s="7" t="s">
        <v>46</v>
      </c>
      <c r="C1637" s="7" t="s">
        <v>177</v>
      </c>
      <c r="D1637" s="7" t="s">
        <v>173</v>
      </c>
      <c r="E1637" s="7" t="s">
        <v>174</v>
      </c>
      <c r="F1637" s="7" t="s">
        <v>50</v>
      </c>
      <c r="G1637" s="7" t="s">
        <v>19</v>
      </c>
      <c r="H1637" s="9" t="n">
        <v>46130</v>
      </c>
      <c r="I1637" s="9" t="n">
        <v>46143</v>
      </c>
      <c r="J1637" s="7" t="n">
        <v>9.8</v>
      </c>
      <c r="K1637" s="7" t="s">
        <v>1971</v>
      </c>
      <c r="L1637" s="7" t="s">
        <v>21</v>
      </c>
      <c r="M1637" s="7" t="s">
        <v>1987</v>
      </c>
      <c r="N1637" s="7" t="s">
        <v>58</v>
      </c>
      <c r="O1637" s="10" t="n">
        <f aca="false">'Exec Summary'!$E$2-H1637</f>
        <v>104</v>
      </c>
      <c r="P1637" s="10" t="n">
        <f aca="false">IF(I1637="","",I1637-H1637)</f>
        <v>13</v>
      </c>
      <c r="Q1637" s="10" t="n">
        <f aca="false">VLOOKUP(G1637,$AA$2:$AB$5,2,FALSE())</f>
        <v>15</v>
      </c>
      <c r="R1637" s="7" t="n">
        <f aca="false">IF(OR(F1637="Open",F1637="Reopened"),1,0)</f>
        <v>0</v>
      </c>
      <c r="S1637" s="7" t="n">
        <f aca="false">IF(AND(H1637&gt;='Exec Summary'!$E$1,H1637&lt;='Exec Summary'!$E$2),1,0)</f>
        <v>0</v>
      </c>
      <c r="T1637" s="7" t="n">
        <f aca="false">IF(AND(F1637="Closed",I1637&lt;&gt;"",I1637&gt;='Exec Summary'!$E$1,I1637&lt;='Exec Summary'!$E$2),1,0)</f>
        <v>0</v>
      </c>
      <c r="U1637" s="7" t="n">
        <f aca="false">IF(F1637="Reopened",1,0)</f>
        <v>0</v>
      </c>
      <c r="V1637" s="7" t="n">
        <f aca="false">IF(AND(R1637=1,O1637&gt;Q1637),1,0)</f>
        <v>0</v>
      </c>
      <c r="W1637" s="7" t="n">
        <f aca="false">IF(AND(T1637=1,P1637&lt;&gt;"",P1637&lt;=Q1637),1,0)</f>
        <v>0</v>
      </c>
    </row>
    <row r="1638" customFormat="false" ht="15" hidden="false" customHeight="false" outlineLevel="0" collapsed="false">
      <c r="A1638" s="7" t="s">
        <v>1985</v>
      </c>
      <c r="B1638" s="7" t="s">
        <v>46</v>
      </c>
      <c r="C1638" s="7" t="s">
        <v>177</v>
      </c>
      <c r="D1638" s="7" t="s">
        <v>95</v>
      </c>
      <c r="E1638" s="7" t="s">
        <v>96</v>
      </c>
      <c r="F1638" s="7" t="s">
        <v>50</v>
      </c>
      <c r="G1638" s="7" t="s">
        <v>20</v>
      </c>
      <c r="H1638" s="9" t="n">
        <v>45966</v>
      </c>
      <c r="I1638" s="9" t="n">
        <v>46014</v>
      </c>
      <c r="J1638" s="7" t="n">
        <v>8.8</v>
      </c>
      <c r="K1638" s="7" t="s">
        <v>1971</v>
      </c>
      <c r="L1638" s="7" t="s">
        <v>21</v>
      </c>
      <c r="M1638" s="7" t="s">
        <v>1988</v>
      </c>
      <c r="N1638" s="7" t="s">
        <v>53</v>
      </c>
      <c r="O1638" s="10" t="n">
        <f aca="false">'Exec Summary'!$E$2-H1638</f>
        <v>268</v>
      </c>
      <c r="P1638" s="10" t="n">
        <f aca="false">IF(I1638="","",I1638-H1638)</f>
        <v>48</v>
      </c>
      <c r="Q1638" s="10" t="n">
        <f aca="false">VLOOKUP(G1638,$AA$2:$AB$5,2,FALSE())</f>
        <v>30</v>
      </c>
      <c r="R1638" s="7" t="n">
        <f aca="false">IF(OR(F1638="Open",F1638="Reopened"),1,0)</f>
        <v>0</v>
      </c>
      <c r="S1638" s="7" t="n">
        <f aca="false">IF(AND(H1638&gt;='Exec Summary'!$E$1,H1638&lt;='Exec Summary'!$E$2),1,0)</f>
        <v>0</v>
      </c>
      <c r="T1638" s="7" t="n">
        <f aca="false">IF(AND(F1638="Closed",I1638&lt;&gt;"",I1638&gt;='Exec Summary'!$E$1,I1638&lt;='Exec Summary'!$E$2),1,0)</f>
        <v>0</v>
      </c>
      <c r="U1638" s="7" t="n">
        <f aca="false">IF(F1638="Reopened",1,0)</f>
        <v>0</v>
      </c>
      <c r="V1638" s="7" t="n">
        <f aca="false">IF(AND(R1638=1,O1638&gt;Q1638),1,0)</f>
        <v>0</v>
      </c>
      <c r="W1638" s="7" t="n">
        <f aca="false">IF(AND(T1638=1,P1638&lt;&gt;"",P1638&lt;=Q1638),1,0)</f>
        <v>0</v>
      </c>
    </row>
    <row r="1639" customFormat="false" ht="15" hidden="false" customHeight="false" outlineLevel="0" collapsed="false">
      <c r="A1639" s="7" t="s">
        <v>1985</v>
      </c>
      <c r="B1639" s="7" t="s">
        <v>46</v>
      </c>
      <c r="C1639" s="7" t="s">
        <v>177</v>
      </c>
      <c r="D1639" s="7" t="s">
        <v>145</v>
      </c>
      <c r="E1639" s="7" t="s">
        <v>146</v>
      </c>
      <c r="F1639" s="7" t="s">
        <v>56</v>
      </c>
      <c r="G1639" s="7" t="s">
        <v>19</v>
      </c>
      <c r="H1639" s="9" t="n">
        <v>46084</v>
      </c>
      <c r="I1639" s="9"/>
      <c r="J1639" s="7" t="n">
        <v>9.8</v>
      </c>
      <c r="K1639" s="7" t="s">
        <v>1971</v>
      </c>
      <c r="L1639" s="7" t="s">
        <v>21</v>
      </c>
      <c r="M1639" s="7" t="s">
        <v>1989</v>
      </c>
      <c r="N1639" s="7" t="s">
        <v>58</v>
      </c>
      <c r="O1639" s="10" t="n">
        <f aca="false">'Exec Summary'!$E$2-H1639</f>
        <v>150</v>
      </c>
      <c r="P1639" s="10" t="str">
        <f aca="false">IF(I1639="","",I1639-H1639)</f>
        <v/>
      </c>
      <c r="Q1639" s="10" t="n">
        <f aca="false">VLOOKUP(G1639,$AA$2:$AB$5,2,FALSE())</f>
        <v>15</v>
      </c>
      <c r="R1639" s="7" t="n">
        <f aca="false">IF(OR(F1639="Open",F1639="Reopened"),1,0)</f>
        <v>1</v>
      </c>
      <c r="S1639" s="7" t="n">
        <f aca="false">IF(AND(H1639&gt;='Exec Summary'!$E$1,H1639&lt;='Exec Summary'!$E$2),1,0)</f>
        <v>0</v>
      </c>
      <c r="T1639" s="7" t="n">
        <f aca="false">IF(AND(F1639="Closed",I1639&lt;&gt;"",I1639&gt;='Exec Summary'!$E$1,I1639&lt;='Exec Summary'!$E$2),1,0)</f>
        <v>0</v>
      </c>
      <c r="U1639" s="7" t="n">
        <f aca="false">IF(F1639="Reopened",1,0)</f>
        <v>0</v>
      </c>
      <c r="V1639" s="7" t="n">
        <f aca="false">IF(AND(R1639=1,O1639&gt;Q1639),1,0)</f>
        <v>1</v>
      </c>
      <c r="W1639" s="7" t="n">
        <f aca="false">IF(AND(T1639=1,P1639&lt;&gt;"",P1639&lt;=Q1639),1,0)</f>
        <v>0</v>
      </c>
    </row>
    <row r="1640" customFormat="false" ht="15" hidden="false" customHeight="false" outlineLevel="0" collapsed="false">
      <c r="A1640" s="7" t="s">
        <v>1985</v>
      </c>
      <c r="B1640" s="7" t="s">
        <v>46</v>
      </c>
      <c r="C1640" s="7" t="s">
        <v>177</v>
      </c>
      <c r="D1640" s="7" t="s">
        <v>131</v>
      </c>
      <c r="E1640" s="7" t="s">
        <v>132</v>
      </c>
      <c r="F1640" s="7" t="s">
        <v>50</v>
      </c>
      <c r="G1640" s="7" t="s">
        <v>19</v>
      </c>
      <c r="H1640" s="9" t="n">
        <v>46114</v>
      </c>
      <c r="I1640" s="9" t="n">
        <v>46115</v>
      </c>
      <c r="J1640" s="7" t="n">
        <v>9.8</v>
      </c>
      <c r="K1640" s="7" t="s">
        <v>1971</v>
      </c>
      <c r="L1640" s="7" t="s">
        <v>21</v>
      </c>
      <c r="M1640" s="7" t="s">
        <v>1990</v>
      </c>
      <c r="N1640" s="7" t="s">
        <v>58</v>
      </c>
      <c r="O1640" s="10" t="n">
        <f aca="false">'Exec Summary'!$E$2-H1640</f>
        <v>120</v>
      </c>
      <c r="P1640" s="10" t="n">
        <f aca="false">IF(I1640="","",I1640-H1640)</f>
        <v>1</v>
      </c>
      <c r="Q1640" s="10" t="n">
        <f aca="false">VLOOKUP(G1640,$AA$2:$AB$5,2,FALSE())</f>
        <v>15</v>
      </c>
      <c r="R1640" s="7" t="n">
        <f aca="false">IF(OR(F1640="Open",F1640="Reopened"),1,0)</f>
        <v>0</v>
      </c>
      <c r="S1640" s="7" t="n">
        <f aca="false">IF(AND(H1640&gt;='Exec Summary'!$E$1,H1640&lt;='Exec Summary'!$E$2),1,0)</f>
        <v>0</v>
      </c>
      <c r="T1640" s="7" t="n">
        <f aca="false">IF(AND(F1640="Closed",I1640&lt;&gt;"",I1640&gt;='Exec Summary'!$E$1,I1640&lt;='Exec Summary'!$E$2),1,0)</f>
        <v>0</v>
      </c>
      <c r="U1640" s="7" t="n">
        <f aca="false">IF(F1640="Reopened",1,0)</f>
        <v>0</v>
      </c>
      <c r="V1640" s="7" t="n">
        <f aca="false">IF(AND(R1640=1,O1640&gt;Q1640),1,0)</f>
        <v>0</v>
      </c>
      <c r="W1640" s="7" t="n">
        <f aca="false">IF(AND(T1640=1,P1640&lt;&gt;"",P1640&lt;=Q1640),1,0)</f>
        <v>0</v>
      </c>
    </row>
    <row r="1641" customFormat="false" ht="15" hidden="false" customHeight="false" outlineLevel="0" collapsed="false">
      <c r="A1641" s="7" t="s">
        <v>1985</v>
      </c>
      <c r="B1641" s="7" t="s">
        <v>46</v>
      </c>
      <c r="C1641" s="7" t="s">
        <v>177</v>
      </c>
      <c r="D1641" s="7" t="s">
        <v>71</v>
      </c>
      <c r="E1641" s="7" t="s">
        <v>72</v>
      </c>
      <c r="F1641" s="7" t="s">
        <v>56</v>
      </c>
      <c r="G1641" s="7" t="s">
        <v>19</v>
      </c>
      <c r="H1641" s="9" t="n">
        <v>46153</v>
      </c>
      <c r="I1641" s="9"/>
      <c r="J1641" s="7" t="n">
        <v>9.8</v>
      </c>
      <c r="K1641" s="7" t="s">
        <v>1971</v>
      </c>
      <c r="L1641" s="7" t="s">
        <v>21</v>
      </c>
      <c r="M1641" s="7" t="s">
        <v>1991</v>
      </c>
      <c r="N1641" s="7" t="s">
        <v>58</v>
      </c>
      <c r="O1641" s="10" t="n">
        <f aca="false">'Exec Summary'!$E$2-H1641</f>
        <v>81</v>
      </c>
      <c r="P1641" s="10" t="str">
        <f aca="false">IF(I1641="","",I1641-H1641)</f>
        <v/>
      </c>
      <c r="Q1641" s="10" t="n">
        <f aca="false">VLOOKUP(G1641,$AA$2:$AB$5,2,FALSE())</f>
        <v>15</v>
      </c>
      <c r="R1641" s="7" t="n">
        <f aca="false">IF(OR(F1641="Open",F1641="Reopened"),1,0)</f>
        <v>1</v>
      </c>
      <c r="S1641" s="7" t="n">
        <f aca="false">IF(AND(H1641&gt;='Exec Summary'!$E$1,H1641&lt;='Exec Summary'!$E$2),1,0)</f>
        <v>0</v>
      </c>
      <c r="T1641" s="7" t="n">
        <f aca="false">IF(AND(F1641="Closed",I1641&lt;&gt;"",I1641&gt;='Exec Summary'!$E$1,I1641&lt;='Exec Summary'!$E$2),1,0)</f>
        <v>0</v>
      </c>
      <c r="U1641" s="7" t="n">
        <f aca="false">IF(F1641="Reopened",1,0)</f>
        <v>0</v>
      </c>
      <c r="V1641" s="7" t="n">
        <f aca="false">IF(AND(R1641=1,O1641&gt;Q1641),1,0)</f>
        <v>1</v>
      </c>
      <c r="W1641" s="7" t="n">
        <f aca="false">IF(AND(T1641=1,P1641&lt;&gt;"",P1641&lt;=Q1641),1,0)</f>
        <v>0</v>
      </c>
    </row>
    <row r="1642" customFormat="false" ht="15" hidden="false" customHeight="false" outlineLevel="0" collapsed="false">
      <c r="A1642" s="7" t="s">
        <v>1985</v>
      </c>
      <c r="B1642" s="7" t="s">
        <v>46</v>
      </c>
      <c r="C1642" s="7" t="s">
        <v>177</v>
      </c>
      <c r="D1642" s="7" t="s">
        <v>152</v>
      </c>
      <c r="E1642" s="7" t="s">
        <v>153</v>
      </c>
      <c r="F1642" s="7" t="s">
        <v>50</v>
      </c>
      <c r="G1642" s="7" t="s">
        <v>20</v>
      </c>
      <c r="H1642" s="9" t="n">
        <v>46059</v>
      </c>
      <c r="I1642" s="9" t="n">
        <v>46074</v>
      </c>
      <c r="J1642" s="7" t="n">
        <v>7.5</v>
      </c>
      <c r="K1642" s="7" t="s">
        <v>1971</v>
      </c>
      <c r="L1642" s="7" t="s">
        <v>21</v>
      </c>
      <c r="M1642" s="7" t="s">
        <v>1992</v>
      </c>
      <c r="N1642" s="7" t="s">
        <v>53</v>
      </c>
      <c r="O1642" s="10" t="n">
        <f aca="false">'Exec Summary'!$E$2-H1642</f>
        <v>175</v>
      </c>
      <c r="P1642" s="10" t="n">
        <f aca="false">IF(I1642="","",I1642-H1642)</f>
        <v>15</v>
      </c>
      <c r="Q1642" s="10" t="n">
        <f aca="false">VLOOKUP(G1642,$AA$2:$AB$5,2,FALSE())</f>
        <v>30</v>
      </c>
      <c r="R1642" s="7" t="n">
        <f aca="false">IF(OR(F1642="Open",F1642="Reopened"),1,0)</f>
        <v>0</v>
      </c>
      <c r="S1642" s="7" t="n">
        <f aca="false">IF(AND(H1642&gt;='Exec Summary'!$E$1,H1642&lt;='Exec Summary'!$E$2),1,0)</f>
        <v>0</v>
      </c>
      <c r="T1642" s="7" t="n">
        <f aca="false">IF(AND(F1642="Closed",I1642&lt;&gt;"",I1642&gt;='Exec Summary'!$E$1,I1642&lt;='Exec Summary'!$E$2),1,0)</f>
        <v>0</v>
      </c>
      <c r="U1642" s="7" t="n">
        <f aca="false">IF(F1642="Reopened",1,0)</f>
        <v>0</v>
      </c>
      <c r="V1642" s="7" t="n">
        <f aca="false">IF(AND(R1642=1,O1642&gt;Q1642),1,0)</f>
        <v>0</v>
      </c>
      <c r="W1642" s="7" t="n">
        <f aca="false">IF(AND(T1642=1,P1642&lt;&gt;"",P1642&lt;=Q1642),1,0)</f>
        <v>0</v>
      </c>
    </row>
    <row r="1643" customFormat="false" ht="15" hidden="false" customHeight="false" outlineLevel="0" collapsed="false">
      <c r="A1643" s="7" t="s">
        <v>1985</v>
      </c>
      <c r="B1643" s="7" t="s">
        <v>46</v>
      </c>
      <c r="C1643" s="7" t="s">
        <v>177</v>
      </c>
      <c r="D1643" s="7" t="s">
        <v>87</v>
      </c>
      <c r="E1643" s="7" t="s">
        <v>88</v>
      </c>
      <c r="F1643" s="7" t="s">
        <v>123</v>
      </c>
      <c r="G1643" s="7" t="s">
        <v>19</v>
      </c>
      <c r="H1643" s="9" t="n">
        <v>45938</v>
      </c>
      <c r="I1643" s="9" t="n">
        <v>45943</v>
      </c>
      <c r="J1643" s="7" t="n">
        <v>10</v>
      </c>
      <c r="K1643" s="7" t="s">
        <v>1971</v>
      </c>
      <c r="L1643" s="7" t="s">
        <v>21</v>
      </c>
      <c r="M1643" s="7" t="s">
        <v>1993</v>
      </c>
      <c r="N1643" s="7" t="s">
        <v>58</v>
      </c>
      <c r="O1643" s="10" t="n">
        <f aca="false">'Exec Summary'!$E$2-H1643</f>
        <v>296</v>
      </c>
      <c r="P1643" s="10" t="n">
        <f aca="false">IF(I1643="","",I1643-H1643)</f>
        <v>5</v>
      </c>
      <c r="Q1643" s="10" t="n">
        <f aca="false">VLOOKUP(G1643,$AA$2:$AB$5,2,FALSE())</f>
        <v>15</v>
      </c>
      <c r="R1643" s="7" t="n">
        <f aca="false">IF(OR(F1643="Open",F1643="Reopened"),1,0)</f>
        <v>1</v>
      </c>
      <c r="S1643" s="7" t="n">
        <f aca="false">IF(AND(H1643&gt;='Exec Summary'!$E$1,H1643&lt;='Exec Summary'!$E$2),1,0)</f>
        <v>0</v>
      </c>
      <c r="T1643" s="7" t="n">
        <f aca="false">IF(AND(F1643="Closed",I1643&lt;&gt;"",I1643&gt;='Exec Summary'!$E$1,I1643&lt;='Exec Summary'!$E$2),1,0)</f>
        <v>0</v>
      </c>
      <c r="U1643" s="7" t="n">
        <f aca="false">IF(F1643="Reopened",1,0)</f>
        <v>1</v>
      </c>
      <c r="V1643" s="7" t="n">
        <f aca="false">IF(AND(R1643=1,O1643&gt;Q1643),1,0)</f>
        <v>1</v>
      </c>
      <c r="W1643" s="7" t="n">
        <f aca="false">IF(AND(T1643=1,P1643&lt;&gt;"",P1643&lt;=Q1643),1,0)</f>
        <v>0</v>
      </c>
    </row>
    <row r="1644" customFormat="false" ht="15" hidden="false" customHeight="false" outlineLevel="0" collapsed="false">
      <c r="A1644" s="7" t="s">
        <v>1985</v>
      </c>
      <c r="B1644" s="7" t="s">
        <v>46</v>
      </c>
      <c r="C1644" s="7" t="s">
        <v>177</v>
      </c>
      <c r="D1644" s="7" t="s">
        <v>48</v>
      </c>
      <c r="E1644" s="7" t="s">
        <v>49</v>
      </c>
      <c r="F1644" s="7" t="s">
        <v>50</v>
      </c>
      <c r="G1644" s="7" t="s">
        <v>20</v>
      </c>
      <c r="H1644" s="9" t="n">
        <v>46043</v>
      </c>
      <c r="I1644" s="9" t="n">
        <v>46073</v>
      </c>
      <c r="J1644" s="7" t="n">
        <v>7.5</v>
      </c>
      <c r="K1644" s="7" t="s">
        <v>1971</v>
      </c>
      <c r="L1644" s="7" t="s">
        <v>21</v>
      </c>
      <c r="M1644" s="7" t="s">
        <v>1994</v>
      </c>
      <c r="N1644" s="7" t="s">
        <v>53</v>
      </c>
      <c r="O1644" s="10" t="n">
        <f aca="false">'Exec Summary'!$E$2-H1644</f>
        <v>191</v>
      </c>
      <c r="P1644" s="10" t="n">
        <f aca="false">IF(I1644="","",I1644-H1644)</f>
        <v>30</v>
      </c>
      <c r="Q1644" s="10" t="n">
        <f aca="false">VLOOKUP(G1644,$AA$2:$AB$5,2,FALSE())</f>
        <v>30</v>
      </c>
      <c r="R1644" s="7" t="n">
        <f aca="false">IF(OR(F1644="Open",F1644="Reopened"),1,0)</f>
        <v>0</v>
      </c>
      <c r="S1644" s="7" t="n">
        <f aca="false">IF(AND(H1644&gt;='Exec Summary'!$E$1,H1644&lt;='Exec Summary'!$E$2),1,0)</f>
        <v>0</v>
      </c>
      <c r="T1644" s="7" t="n">
        <f aca="false">IF(AND(F1644="Closed",I1644&lt;&gt;"",I1644&gt;='Exec Summary'!$E$1,I1644&lt;='Exec Summary'!$E$2),1,0)</f>
        <v>0</v>
      </c>
      <c r="U1644" s="7" t="n">
        <f aca="false">IF(F1644="Reopened",1,0)</f>
        <v>0</v>
      </c>
      <c r="V1644" s="7" t="n">
        <f aca="false">IF(AND(R1644=1,O1644&gt;Q1644),1,0)</f>
        <v>0</v>
      </c>
      <c r="W1644" s="7" t="n">
        <f aca="false">IF(AND(T1644=1,P1644&lt;&gt;"",P1644&lt;=Q1644),1,0)</f>
        <v>0</v>
      </c>
    </row>
    <row r="1645" customFormat="false" ht="15" hidden="false" customHeight="false" outlineLevel="0" collapsed="false">
      <c r="A1645" s="7" t="s">
        <v>1985</v>
      </c>
      <c r="B1645" s="7" t="s">
        <v>46</v>
      </c>
      <c r="C1645" s="7" t="s">
        <v>177</v>
      </c>
      <c r="D1645" s="7" t="s">
        <v>98</v>
      </c>
      <c r="E1645" s="7" t="s">
        <v>99</v>
      </c>
      <c r="F1645" s="7" t="s">
        <v>56</v>
      </c>
      <c r="G1645" s="7" t="s">
        <v>19</v>
      </c>
      <c r="H1645" s="9" t="n">
        <v>46079</v>
      </c>
      <c r="I1645" s="9"/>
      <c r="J1645" s="7" t="n">
        <v>10</v>
      </c>
      <c r="K1645" s="7" t="s">
        <v>1971</v>
      </c>
      <c r="L1645" s="7" t="s">
        <v>21</v>
      </c>
      <c r="M1645" s="7" t="s">
        <v>1995</v>
      </c>
      <c r="N1645" s="7" t="s">
        <v>58</v>
      </c>
      <c r="O1645" s="10" t="n">
        <f aca="false">'Exec Summary'!$E$2-H1645</f>
        <v>155</v>
      </c>
      <c r="P1645" s="10" t="str">
        <f aca="false">IF(I1645="","",I1645-H1645)</f>
        <v/>
      </c>
      <c r="Q1645" s="10" t="n">
        <f aca="false">VLOOKUP(G1645,$AA$2:$AB$5,2,FALSE())</f>
        <v>15</v>
      </c>
      <c r="R1645" s="7" t="n">
        <f aca="false">IF(OR(F1645="Open",F1645="Reopened"),1,0)</f>
        <v>1</v>
      </c>
      <c r="S1645" s="7" t="n">
        <f aca="false">IF(AND(H1645&gt;='Exec Summary'!$E$1,H1645&lt;='Exec Summary'!$E$2),1,0)</f>
        <v>0</v>
      </c>
      <c r="T1645" s="7" t="n">
        <f aca="false">IF(AND(F1645="Closed",I1645&lt;&gt;"",I1645&gt;='Exec Summary'!$E$1,I1645&lt;='Exec Summary'!$E$2),1,0)</f>
        <v>0</v>
      </c>
      <c r="U1645" s="7" t="n">
        <f aca="false">IF(F1645="Reopened",1,0)</f>
        <v>0</v>
      </c>
      <c r="V1645" s="7" t="n">
        <f aca="false">IF(AND(R1645=1,O1645&gt;Q1645),1,0)</f>
        <v>1</v>
      </c>
      <c r="W1645" s="7" t="n">
        <f aca="false">IF(AND(T1645=1,P1645&lt;&gt;"",P1645&lt;=Q1645),1,0)</f>
        <v>0</v>
      </c>
    </row>
    <row r="1646" customFormat="false" ht="15" hidden="false" customHeight="false" outlineLevel="0" collapsed="false">
      <c r="A1646" s="7" t="s">
        <v>1985</v>
      </c>
      <c r="B1646" s="7" t="s">
        <v>46</v>
      </c>
      <c r="C1646" s="7" t="s">
        <v>177</v>
      </c>
      <c r="D1646" s="7" t="s">
        <v>139</v>
      </c>
      <c r="E1646" s="7" t="s">
        <v>140</v>
      </c>
      <c r="F1646" s="7" t="s">
        <v>50</v>
      </c>
      <c r="G1646" s="7" t="s">
        <v>19</v>
      </c>
      <c r="H1646" s="9" t="n">
        <v>46045</v>
      </c>
      <c r="I1646" s="9" t="n">
        <v>46046</v>
      </c>
      <c r="J1646" s="7" t="n">
        <v>9.8</v>
      </c>
      <c r="K1646" s="7" t="s">
        <v>1971</v>
      </c>
      <c r="L1646" s="7" t="s">
        <v>21</v>
      </c>
      <c r="M1646" s="7" t="s">
        <v>1996</v>
      </c>
      <c r="N1646" s="7" t="s">
        <v>58</v>
      </c>
      <c r="O1646" s="10" t="n">
        <f aca="false">'Exec Summary'!$E$2-H1646</f>
        <v>189</v>
      </c>
      <c r="P1646" s="10" t="n">
        <f aca="false">IF(I1646="","",I1646-H1646)</f>
        <v>1</v>
      </c>
      <c r="Q1646" s="10" t="n">
        <f aca="false">VLOOKUP(G1646,$AA$2:$AB$5,2,FALSE())</f>
        <v>15</v>
      </c>
      <c r="R1646" s="7" t="n">
        <f aca="false">IF(OR(F1646="Open",F1646="Reopened"),1,0)</f>
        <v>0</v>
      </c>
      <c r="S1646" s="7" t="n">
        <f aca="false">IF(AND(H1646&gt;='Exec Summary'!$E$1,H1646&lt;='Exec Summary'!$E$2),1,0)</f>
        <v>0</v>
      </c>
      <c r="T1646" s="7" t="n">
        <f aca="false">IF(AND(F1646="Closed",I1646&lt;&gt;"",I1646&gt;='Exec Summary'!$E$1,I1646&lt;='Exec Summary'!$E$2),1,0)</f>
        <v>0</v>
      </c>
      <c r="U1646" s="7" t="n">
        <f aca="false">IF(F1646="Reopened",1,0)</f>
        <v>0</v>
      </c>
      <c r="V1646" s="7" t="n">
        <f aca="false">IF(AND(R1646=1,O1646&gt;Q1646),1,0)</f>
        <v>0</v>
      </c>
      <c r="W1646" s="7" t="n">
        <f aca="false">IF(AND(T1646=1,P1646&lt;&gt;"",P1646&lt;=Q1646),1,0)</f>
        <v>0</v>
      </c>
    </row>
    <row r="1647" customFormat="false" ht="15" hidden="false" customHeight="false" outlineLevel="0" collapsed="false">
      <c r="A1647" s="7" t="s">
        <v>1985</v>
      </c>
      <c r="B1647" s="7" t="s">
        <v>46</v>
      </c>
      <c r="C1647" s="7" t="s">
        <v>177</v>
      </c>
      <c r="D1647" s="7" t="s">
        <v>62</v>
      </c>
      <c r="E1647" s="7" t="s">
        <v>63</v>
      </c>
      <c r="F1647" s="7" t="s">
        <v>56</v>
      </c>
      <c r="G1647" s="7" t="s">
        <v>20</v>
      </c>
      <c r="H1647" s="9" t="n">
        <v>46149</v>
      </c>
      <c r="I1647" s="9"/>
      <c r="J1647" s="7" t="n">
        <v>8.1</v>
      </c>
      <c r="K1647" s="7" t="s">
        <v>1971</v>
      </c>
      <c r="L1647" s="7" t="s">
        <v>21</v>
      </c>
      <c r="M1647" s="7" t="s">
        <v>1997</v>
      </c>
      <c r="N1647" s="7" t="s">
        <v>53</v>
      </c>
      <c r="O1647" s="10" t="n">
        <f aca="false">'Exec Summary'!$E$2-H1647</f>
        <v>85</v>
      </c>
      <c r="P1647" s="10" t="str">
        <f aca="false">IF(I1647="","",I1647-H1647)</f>
        <v/>
      </c>
      <c r="Q1647" s="10" t="n">
        <f aca="false">VLOOKUP(G1647,$AA$2:$AB$5,2,FALSE())</f>
        <v>30</v>
      </c>
      <c r="R1647" s="7" t="n">
        <f aca="false">IF(OR(F1647="Open",F1647="Reopened"),1,0)</f>
        <v>1</v>
      </c>
      <c r="S1647" s="7" t="n">
        <f aca="false">IF(AND(H1647&gt;='Exec Summary'!$E$1,H1647&lt;='Exec Summary'!$E$2),1,0)</f>
        <v>0</v>
      </c>
      <c r="T1647" s="7" t="n">
        <f aca="false">IF(AND(F1647="Closed",I1647&lt;&gt;"",I1647&gt;='Exec Summary'!$E$1,I1647&lt;='Exec Summary'!$E$2),1,0)</f>
        <v>0</v>
      </c>
      <c r="U1647" s="7" t="n">
        <f aca="false">IF(F1647="Reopened",1,0)</f>
        <v>0</v>
      </c>
      <c r="V1647" s="7" t="n">
        <f aca="false">IF(AND(R1647=1,O1647&gt;Q1647),1,0)</f>
        <v>1</v>
      </c>
      <c r="W1647" s="7" t="n">
        <f aca="false">IF(AND(T1647=1,P1647&lt;&gt;"",P1647&lt;=Q1647),1,0)</f>
        <v>0</v>
      </c>
    </row>
    <row r="1648" customFormat="false" ht="15" hidden="false" customHeight="false" outlineLevel="0" collapsed="false">
      <c r="A1648" s="7" t="s">
        <v>1985</v>
      </c>
      <c r="B1648" s="7" t="s">
        <v>46</v>
      </c>
      <c r="C1648" s="7" t="s">
        <v>177</v>
      </c>
      <c r="D1648" s="7" t="s">
        <v>112</v>
      </c>
      <c r="E1648" s="7" t="s">
        <v>113</v>
      </c>
      <c r="F1648" s="7" t="s">
        <v>56</v>
      </c>
      <c r="G1648" s="7" t="s">
        <v>20</v>
      </c>
      <c r="H1648" s="9" t="n">
        <v>46096</v>
      </c>
      <c r="I1648" s="9"/>
      <c r="J1648" s="7" t="n">
        <v>7.8</v>
      </c>
      <c r="K1648" s="7" t="s">
        <v>1971</v>
      </c>
      <c r="L1648" s="7" t="s">
        <v>21</v>
      </c>
      <c r="M1648" s="7" t="s">
        <v>1998</v>
      </c>
      <c r="N1648" s="7" t="s">
        <v>53</v>
      </c>
      <c r="O1648" s="10" t="n">
        <f aca="false">'Exec Summary'!$E$2-H1648</f>
        <v>138</v>
      </c>
      <c r="P1648" s="10" t="str">
        <f aca="false">IF(I1648="","",I1648-H1648)</f>
        <v/>
      </c>
      <c r="Q1648" s="10" t="n">
        <f aca="false">VLOOKUP(G1648,$AA$2:$AB$5,2,FALSE())</f>
        <v>30</v>
      </c>
      <c r="R1648" s="7" t="n">
        <f aca="false">IF(OR(F1648="Open",F1648="Reopened"),1,0)</f>
        <v>1</v>
      </c>
      <c r="S1648" s="7" t="n">
        <f aca="false">IF(AND(H1648&gt;='Exec Summary'!$E$1,H1648&lt;='Exec Summary'!$E$2),1,0)</f>
        <v>0</v>
      </c>
      <c r="T1648" s="7" t="n">
        <f aca="false">IF(AND(F1648="Closed",I1648&lt;&gt;"",I1648&gt;='Exec Summary'!$E$1,I1648&lt;='Exec Summary'!$E$2),1,0)</f>
        <v>0</v>
      </c>
      <c r="U1648" s="7" t="n">
        <f aca="false">IF(F1648="Reopened",1,0)</f>
        <v>0</v>
      </c>
      <c r="V1648" s="7" t="n">
        <f aca="false">IF(AND(R1648=1,O1648&gt;Q1648),1,0)</f>
        <v>1</v>
      </c>
      <c r="W1648" s="7" t="n">
        <f aca="false">IF(AND(T1648=1,P1648&lt;&gt;"",P1648&lt;=Q1648),1,0)</f>
        <v>0</v>
      </c>
    </row>
    <row r="1649" customFormat="false" ht="15" hidden="false" customHeight="false" outlineLevel="0" collapsed="false">
      <c r="A1649" s="7" t="s">
        <v>1985</v>
      </c>
      <c r="B1649" s="7" t="s">
        <v>46</v>
      </c>
      <c r="C1649" s="7" t="s">
        <v>177</v>
      </c>
      <c r="D1649" s="7" t="s">
        <v>206</v>
      </c>
      <c r="E1649" s="7" t="s">
        <v>207</v>
      </c>
      <c r="F1649" s="7" t="s">
        <v>50</v>
      </c>
      <c r="G1649" s="7" t="s">
        <v>20</v>
      </c>
      <c r="H1649" s="9" t="n">
        <v>46034</v>
      </c>
      <c r="I1649" s="9" t="n">
        <v>46052</v>
      </c>
      <c r="J1649" s="7" t="n">
        <v>8.8</v>
      </c>
      <c r="K1649" s="7" t="s">
        <v>1971</v>
      </c>
      <c r="L1649" s="7" t="s">
        <v>21</v>
      </c>
      <c r="M1649" s="7" t="s">
        <v>1999</v>
      </c>
      <c r="N1649" s="7" t="s">
        <v>53</v>
      </c>
      <c r="O1649" s="10" t="n">
        <f aca="false">'Exec Summary'!$E$2-H1649</f>
        <v>200</v>
      </c>
      <c r="P1649" s="10" t="n">
        <f aca="false">IF(I1649="","",I1649-H1649)</f>
        <v>18</v>
      </c>
      <c r="Q1649" s="10" t="n">
        <f aca="false">VLOOKUP(G1649,$AA$2:$AB$5,2,FALSE())</f>
        <v>30</v>
      </c>
      <c r="R1649" s="7" t="n">
        <f aca="false">IF(OR(F1649="Open",F1649="Reopened"),1,0)</f>
        <v>0</v>
      </c>
      <c r="S1649" s="7" t="n">
        <f aca="false">IF(AND(H1649&gt;='Exec Summary'!$E$1,H1649&lt;='Exec Summary'!$E$2),1,0)</f>
        <v>0</v>
      </c>
      <c r="T1649" s="7" t="n">
        <f aca="false">IF(AND(F1649="Closed",I1649&lt;&gt;"",I1649&gt;='Exec Summary'!$E$1,I1649&lt;='Exec Summary'!$E$2),1,0)</f>
        <v>0</v>
      </c>
      <c r="U1649" s="7" t="n">
        <f aca="false">IF(F1649="Reopened",1,0)</f>
        <v>0</v>
      </c>
      <c r="V1649" s="7" t="n">
        <f aca="false">IF(AND(R1649=1,O1649&gt;Q1649),1,0)</f>
        <v>0</v>
      </c>
      <c r="W1649" s="7" t="n">
        <f aca="false">IF(AND(T1649=1,P1649&lt;&gt;"",P1649&lt;=Q1649),1,0)</f>
        <v>0</v>
      </c>
    </row>
    <row r="1650" customFormat="false" ht="15" hidden="false" customHeight="false" outlineLevel="0" collapsed="false">
      <c r="A1650" s="7" t="s">
        <v>2000</v>
      </c>
      <c r="B1650" s="7" t="s">
        <v>46</v>
      </c>
      <c r="C1650" s="7" t="s">
        <v>128</v>
      </c>
      <c r="D1650" s="7" t="s">
        <v>101</v>
      </c>
      <c r="E1650" s="7" t="s">
        <v>102</v>
      </c>
      <c r="F1650" s="7" t="s">
        <v>50</v>
      </c>
      <c r="G1650" s="7" t="s">
        <v>19</v>
      </c>
      <c r="H1650" s="9" t="n">
        <v>46140</v>
      </c>
      <c r="I1650" s="9" t="n">
        <v>46151</v>
      </c>
      <c r="J1650" s="7" t="n">
        <v>10</v>
      </c>
      <c r="K1650" s="7" t="s">
        <v>1971</v>
      </c>
      <c r="L1650" s="7" t="s">
        <v>19</v>
      </c>
      <c r="M1650" s="7" t="s">
        <v>2001</v>
      </c>
      <c r="N1650" s="7" t="s">
        <v>58</v>
      </c>
      <c r="O1650" s="10" t="n">
        <f aca="false">'Exec Summary'!$E$2-H1650</f>
        <v>94</v>
      </c>
      <c r="P1650" s="10" t="n">
        <f aca="false">IF(I1650="","",I1650-H1650)</f>
        <v>11</v>
      </c>
      <c r="Q1650" s="10" t="n">
        <f aca="false">VLOOKUP(G1650,$AA$2:$AB$5,2,FALSE())</f>
        <v>15</v>
      </c>
      <c r="R1650" s="7" t="n">
        <f aca="false">IF(OR(F1650="Open",F1650="Reopened"),1,0)</f>
        <v>0</v>
      </c>
      <c r="S1650" s="7" t="n">
        <f aca="false">IF(AND(H1650&gt;='Exec Summary'!$E$1,H1650&lt;='Exec Summary'!$E$2),1,0)</f>
        <v>0</v>
      </c>
      <c r="T1650" s="7" t="n">
        <f aca="false">IF(AND(F1650="Closed",I1650&lt;&gt;"",I1650&gt;='Exec Summary'!$E$1,I1650&lt;='Exec Summary'!$E$2),1,0)</f>
        <v>0</v>
      </c>
      <c r="U1650" s="7" t="n">
        <f aca="false">IF(F1650="Reopened",1,0)</f>
        <v>0</v>
      </c>
      <c r="V1650" s="7" t="n">
        <f aca="false">IF(AND(R1650=1,O1650&gt;Q1650),1,0)</f>
        <v>0</v>
      </c>
      <c r="W1650" s="7" t="n">
        <f aca="false">IF(AND(T1650=1,P1650&lt;&gt;"",P1650&lt;=Q1650),1,0)</f>
        <v>0</v>
      </c>
    </row>
    <row r="1651" customFormat="false" ht="15" hidden="false" customHeight="false" outlineLevel="0" collapsed="false">
      <c r="A1651" s="7" t="s">
        <v>2000</v>
      </c>
      <c r="B1651" s="7" t="s">
        <v>46</v>
      </c>
      <c r="C1651" s="7" t="s">
        <v>128</v>
      </c>
      <c r="D1651" s="7" t="s">
        <v>87</v>
      </c>
      <c r="E1651" s="7" t="s">
        <v>88</v>
      </c>
      <c r="F1651" s="7" t="s">
        <v>50</v>
      </c>
      <c r="G1651" s="7" t="s">
        <v>19</v>
      </c>
      <c r="H1651" s="9" t="n">
        <v>45954</v>
      </c>
      <c r="I1651" s="9" t="n">
        <v>45972</v>
      </c>
      <c r="J1651" s="7" t="n">
        <v>10</v>
      </c>
      <c r="K1651" s="7" t="s">
        <v>1971</v>
      </c>
      <c r="L1651" s="7" t="s">
        <v>19</v>
      </c>
      <c r="M1651" s="7" t="s">
        <v>2002</v>
      </c>
      <c r="N1651" s="7" t="s">
        <v>58</v>
      </c>
      <c r="O1651" s="10" t="n">
        <f aca="false">'Exec Summary'!$E$2-H1651</f>
        <v>280</v>
      </c>
      <c r="P1651" s="10" t="n">
        <f aca="false">IF(I1651="","",I1651-H1651)</f>
        <v>18</v>
      </c>
      <c r="Q1651" s="10" t="n">
        <f aca="false">VLOOKUP(G1651,$AA$2:$AB$5,2,FALSE())</f>
        <v>15</v>
      </c>
      <c r="R1651" s="7" t="n">
        <f aca="false">IF(OR(F1651="Open",F1651="Reopened"),1,0)</f>
        <v>0</v>
      </c>
      <c r="S1651" s="7" t="n">
        <f aca="false">IF(AND(H1651&gt;='Exec Summary'!$E$1,H1651&lt;='Exec Summary'!$E$2),1,0)</f>
        <v>0</v>
      </c>
      <c r="T1651" s="7" t="n">
        <f aca="false">IF(AND(F1651="Closed",I1651&lt;&gt;"",I1651&gt;='Exec Summary'!$E$1,I1651&lt;='Exec Summary'!$E$2),1,0)</f>
        <v>0</v>
      </c>
      <c r="U1651" s="7" t="n">
        <f aca="false">IF(F1651="Reopened",1,0)</f>
        <v>0</v>
      </c>
      <c r="V1651" s="7" t="n">
        <f aca="false">IF(AND(R1651=1,O1651&gt;Q1651),1,0)</f>
        <v>0</v>
      </c>
      <c r="W1651" s="7" t="n">
        <f aca="false">IF(AND(T1651=1,P1651&lt;&gt;"",P1651&lt;=Q1651),1,0)</f>
        <v>0</v>
      </c>
    </row>
    <row r="1652" customFormat="false" ht="15" hidden="false" customHeight="false" outlineLevel="0" collapsed="false">
      <c r="A1652" s="7" t="s">
        <v>2000</v>
      </c>
      <c r="B1652" s="7" t="s">
        <v>46</v>
      </c>
      <c r="C1652" s="7" t="s">
        <v>128</v>
      </c>
      <c r="D1652" s="7" t="s">
        <v>74</v>
      </c>
      <c r="E1652" s="7" t="s">
        <v>75</v>
      </c>
      <c r="F1652" s="7" t="s">
        <v>50</v>
      </c>
      <c r="G1652" s="7" t="s">
        <v>21</v>
      </c>
      <c r="H1652" s="9" t="n">
        <v>46088</v>
      </c>
      <c r="I1652" s="9" t="n">
        <v>46160</v>
      </c>
      <c r="J1652" s="7" t="n">
        <v>6.5</v>
      </c>
      <c r="K1652" s="7" t="s">
        <v>1971</v>
      </c>
      <c r="L1652" s="7" t="s">
        <v>19</v>
      </c>
      <c r="M1652" s="7" t="s">
        <v>2003</v>
      </c>
      <c r="N1652" s="7" t="s">
        <v>77</v>
      </c>
      <c r="O1652" s="10" t="n">
        <f aca="false">'Exec Summary'!$E$2-H1652</f>
        <v>146</v>
      </c>
      <c r="P1652" s="10" t="n">
        <f aca="false">IF(I1652="","",I1652-H1652)</f>
        <v>72</v>
      </c>
      <c r="Q1652" s="10" t="n">
        <f aca="false">VLOOKUP(G1652,$AA$2:$AB$5,2,FALSE())</f>
        <v>90</v>
      </c>
      <c r="R1652" s="7" t="n">
        <f aca="false">IF(OR(F1652="Open",F1652="Reopened"),1,0)</f>
        <v>0</v>
      </c>
      <c r="S1652" s="7" t="n">
        <f aca="false">IF(AND(H1652&gt;='Exec Summary'!$E$1,H1652&lt;='Exec Summary'!$E$2),1,0)</f>
        <v>0</v>
      </c>
      <c r="T1652" s="7" t="n">
        <f aca="false">IF(AND(F1652="Closed",I1652&lt;&gt;"",I1652&gt;='Exec Summary'!$E$1,I1652&lt;='Exec Summary'!$E$2),1,0)</f>
        <v>0</v>
      </c>
      <c r="U1652" s="7" t="n">
        <f aca="false">IF(F1652="Reopened",1,0)</f>
        <v>0</v>
      </c>
      <c r="V1652" s="7" t="n">
        <f aca="false">IF(AND(R1652=1,O1652&gt;Q1652),1,0)</f>
        <v>0</v>
      </c>
      <c r="W1652" s="7" t="n">
        <f aca="false">IF(AND(T1652=1,P1652&lt;&gt;"",P1652&lt;=Q1652),1,0)</f>
        <v>0</v>
      </c>
    </row>
    <row r="1653" customFormat="false" ht="15" hidden="false" customHeight="false" outlineLevel="0" collapsed="false">
      <c r="A1653" s="7" t="s">
        <v>2000</v>
      </c>
      <c r="B1653" s="7" t="s">
        <v>46</v>
      </c>
      <c r="C1653" s="7" t="s">
        <v>128</v>
      </c>
      <c r="D1653" s="7" t="s">
        <v>104</v>
      </c>
      <c r="E1653" s="7" t="s">
        <v>105</v>
      </c>
      <c r="F1653" s="7" t="s">
        <v>50</v>
      </c>
      <c r="G1653" s="7" t="s">
        <v>19</v>
      </c>
      <c r="H1653" s="9" t="n">
        <v>45974</v>
      </c>
      <c r="I1653" s="9" t="n">
        <v>45981</v>
      </c>
      <c r="J1653" s="7" t="n">
        <v>9.8</v>
      </c>
      <c r="K1653" s="7" t="s">
        <v>1971</v>
      </c>
      <c r="L1653" s="7" t="s">
        <v>19</v>
      </c>
      <c r="M1653" s="7" t="s">
        <v>2004</v>
      </c>
      <c r="N1653" s="7" t="s">
        <v>58</v>
      </c>
      <c r="O1653" s="10" t="n">
        <f aca="false">'Exec Summary'!$E$2-H1653</f>
        <v>260</v>
      </c>
      <c r="P1653" s="10" t="n">
        <f aca="false">IF(I1653="","",I1653-H1653)</f>
        <v>7</v>
      </c>
      <c r="Q1653" s="10" t="n">
        <f aca="false">VLOOKUP(G1653,$AA$2:$AB$5,2,FALSE())</f>
        <v>15</v>
      </c>
      <c r="R1653" s="7" t="n">
        <f aca="false">IF(OR(F1653="Open",F1653="Reopened"),1,0)</f>
        <v>0</v>
      </c>
      <c r="S1653" s="7" t="n">
        <f aca="false">IF(AND(H1653&gt;='Exec Summary'!$E$1,H1653&lt;='Exec Summary'!$E$2),1,0)</f>
        <v>0</v>
      </c>
      <c r="T1653" s="7" t="n">
        <f aca="false">IF(AND(F1653="Closed",I1653&lt;&gt;"",I1653&gt;='Exec Summary'!$E$1,I1653&lt;='Exec Summary'!$E$2),1,0)</f>
        <v>0</v>
      </c>
      <c r="U1653" s="7" t="n">
        <f aca="false">IF(F1653="Reopened",1,0)</f>
        <v>0</v>
      </c>
      <c r="V1653" s="7" t="n">
        <f aca="false">IF(AND(R1653=1,O1653&gt;Q1653),1,0)</f>
        <v>0</v>
      </c>
      <c r="W1653" s="7" t="n">
        <f aca="false">IF(AND(T1653=1,P1653&lt;&gt;"",P1653&lt;=Q1653),1,0)</f>
        <v>0</v>
      </c>
    </row>
    <row r="1654" customFormat="false" ht="15" hidden="false" customHeight="false" outlineLevel="0" collapsed="false">
      <c r="A1654" s="7" t="s">
        <v>2000</v>
      </c>
      <c r="B1654" s="7" t="s">
        <v>46</v>
      </c>
      <c r="C1654" s="7" t="s">
        <v>128</v>
      </c>
      <c r="D1654" s="7" t="s">
        <v>120</v>
      </c>
      <c r="E1654" s="7" t="s">
        <v>121</v>
      </c>
      <c r="F1654" s="7" t="s">
        <v>56</v>
      </c>
      <c r="G1654" s="7" t="s">
        <v>19</v>
      </c>
      <c r="H1654" s="9" t="n">
        <v>46186</v>
      </c>
      <c r="I1654" s="9"/>
      <c r="J1654" s="7" t="n">
        <v>8.8</v>
      </c>
      <c r="K1654" s="7" t="s">
        <v>1971</v>
      </c>
      <c r="L1654" s="7" t="s">
        <v>19</v>
      </c>
      <c r="M1654" s="7" t="s">
        <v>2005</v>
      </c>
      <c r="N1654" s="7" t="s">
        <v>58</v>
      </c>
      <c r="O1654" s="10" t="n">
        <f aca="false">'Exec Summary'!$E$2-H1654</f>
        <v>48</v>
      </c>
      <c r="P1654" s="10" t="str">
        <f aca="false">IF(I1654="","",I1654-H1654)</f>
        <v/>
      </c>
      <c r="Q1654" s="10" t="n">
        <f aca="false">VLOOKUP(G1654,$AA$2:$AB$5,2,FALSE())</f>
        <v>15</v>
      </c>
      <c r="R1654" s="7" t="n">
        <f aca="false">IF(OR(F1654="Open",F1654="Reopened"),1,0)</f>
        <v>1</v>
      </c>
      <c r="S1654" s="7" t="n">
        <f aca="false">IF(AND(H1654&gt;='Exec Summary'!$E$1,H1654&lt;='Exec Summary'!$E$2),1,0)</f>
        <v>0</v>
      </c>
      <c r="T1654" s="7" t="n">
        <f aca="false">IF(AND(F1654="Closed",I1654&lt;&gt;"",I1654&gt;='Exec Summary'!$E$1,I1654&lt;='Exec Summary'!$E$2),1,0)</f>
        <v>0</v>
      </c>
      <c r="U1654" s="7" t="n">
        <f aca="false">IF(F1654="Reopened",1,0)</f>
        <v>0</v>
      </c>
      <c r="V1654" s="7" t="n">
        <f aca="false">IF(AND(R1654=1,O1654&gt;Q1654),1,0)</f>
        <v>1</v>
      </c>
      <c r="W1654" s="7" t="n">
        <f aca="false">IF(AND(T1654=1,P1654&lt;&gt;"",P1654&lt;=Q1654),1,0)</f>
        <v>0</v>
      </c>
    </row>
    <row r="1655" customFormat="false" ht="15" hidden="false" customHeight="false" outlineLevel="0" collapsed="false">
      <c r="A1655" s="7" t="s">
        <v>2000</v>
      </c>
      <c r="B1655" s="7" t="s">
        <v>46</v>
      </c>
      <c r="C1655" s="7" t="s">
        <v>128</v>
      </c>
      <c r="D1655" s="7" t="s">
        <v>71</v>
      </c>
      <c r="E1655" s="7" t="s">
        <v>72</v>
      </c>
      <c r="F1655" s="7" t="s">
        <v>56</v>
      </c>
      <c r="G1655" s="7" t="s">
        <v>19</v>
      </c>
      <c r="H1655" s="9" t="n">
        <v>46125</v>
      </c>
      <c r="I1655" s="9"/>
      <c r="J1655" s="7" t="n">
        <v>9.8</v>
      </c>
      <c r="K1655" s="7" t="s">
        <v>1971</v>
      </c>
      <c r="L1655" s="7" t="s">
        <v>19</v>
      </c>
      <c r="M1655" s="7" t="s">
        <v>2006</v>
      </c>
      <c r="N1655" s="7" t="s">
        <v>58</v>
      </c>
      <c r="O1655" s="10" t="n">
        <f aca="false">'Exec Summary'!$E$2-H1655</f>
        <v>109</v>
      </c>
      <c r="P1655" s="10" t="str">
        <f aca="false">IF(I1655="","",I1655-H1655)</f>
        <v/>
      </c>
      <c r="Q1655" s="10" t="n">
        <f aca="false">VLOOKUP(G1655,$AA$2:$AB$5,2,FALSE())</f>
        <v>15</v>
      </c>
      <c r="R1655" s="7" t="n">
        <f aca="false">IF(OR(F1655="Open",F1655="Reopened"),1,0)</f>
        <v>1</v>
      </c>
      <c r="S1655" s="7" t="n">
        <f aca="false">IF(AND(H1655&gt;='Exec Summary'!$E$1,H1655&lt;='Exec Summary'!$E$2),1,0)</f>
        <v>0</v>
      </c>
      <c r="T1655" s="7" t="n">
        <f aca="false">IF(AND(F1655="Closed",I1655&lt;&gt;"",I1655&gt;='Exec Summary'!$E$1,I1655&lt;='Exec Summary'!$E$2),1,0)</f>
        <v>0</v>
      </c>
      <c r="U1655" s="7" t="n">
        <f aca="false">IF(F1655="Reopened",1,0)</f>
        <v>0</v>
      </c>
      <c r="V1655" s="7" t="n">
        <f aca="false">IF(AND(R1655=1,O1655&gt;Q1655),1,0)</f>
        <v>1</v>
      </c>
      <c r="W1655" s="7" t="n">
        <f aca="false">IF(AND(T1655=1,P1655&lt;&gt;"",P1655&lt;=Q1655),1,0)</f>
        <v>0</v>
      </c>
    </row>
    <row r="1656" customFormat="false" ht="15" hidden="false" customHeight="false" outlineLevel="0" collapsed="false">
      <c r="A1656" s="7" t="s">
        <v>2000</v>
      </c>
      <c r="B1656" s="7" t="s">
        <v>46</v>
      </c>
      <c r="C1656" s="7" t="s">
        <v>128</v>
      </c>
      <c r="D1656" s="7" t="s">
        <v>81</v>
      </c>
      <c r="E1656" s="7" t="s">
        <v>82</v>
      </c>
      <c r="F1656" s="7" t="s">
        <v>50</v>
      </c>
      <c r="G1656" s="7" t="s">
        <v>20</v>
      </c>
      <c r="H1656" s="9" t="n">
        <v>45948</v>
      </c>
      <c r="I1656" s="9" t="n">
        <v>45987</v>
      </c>
      <c r="J1656" s="7" t="n">
        <v>7.8</v>
      </c>
      <c r="K1656" s="7" t="s">
        <v>1971</v>
      </c>
      <c r="L1656" s="7" t="s">
        <v>19</v>
      </c>
      <c r="M1656" s="7" t="s">
        <v>2007</v>
      </c>
      <c r="N1656" s="7" t="s">
        <v>53</v>
      </c>
      <c r="O1656" s="10" t="n">
        <f aca="false">'Exec Summary'!$E$2-H1656</f>
        <v>286</v>
      </c>
      <c r="P1656" s="10" t="n">
        <f aca="false">IF(I1656="","",I1656-H1656)</f>
        <v>39</v>
      </c>
      <c r="Q1656" s="10" t="n">
        <f aca="false">VLOOKUP(G1656,$AA$2:$AB$5,2,FALSE())</f>
        <v>30</v>
      </c>
      <c r="R1656" s="7" t="n">
        <f aca="false">IF(OR(F1656="Open",F1656="Reopened"),1,0)</f>
        <v>0</v>
      </c>
      <c r="S1656" s="7" t="n">
        <f aca="false">IF(AND(H1656&gt;='Exec Summary'!$E$1,H1656&lt;='Exec Summary'!$E$2),1,0)</f>
        <v>0</v>
      </c>
      <c r="T1656" s="7" t="n">
        <f aca="false">IF(AND(F1656="Closed",I1656&lt;&gt;"",I1656&gt;='Exec Summary'!$E$1,I1656&lt;='Exec Summary'!$E$2),1,0)</f>
        <v>0</v>
      </c>
      <c r="U1656" s="7" t="n">
        <f aca="false">IF(F1656="Reopened",1,0)</f>
        <v>0</v>
      </c>
      <c r="V1656" s="7" t="n">
        <f aca="false">IF(AND(R1656=1,O1656&gt;Q1656),1,0)</f>
        <v>0</v>
      </c>
      <c r="W1656" s="7" t="n">
        <f aca="false">IF(AND(T1656=1,P1656&lt;&gt;"",P1656&lt;=Q1656),1,0)</f>
        <v>0</v>
      </c>
    </row>
    <row r="1657" customFormat="false" ht="15" hidden="false" customHeight="false" outlineLevel="0" collapsed="false">
      <c r="A1657" s="7" t="s">
        <v>2000</v>
      </c>
      <c r="B1657" s="7" t="s">
        <v>46</v>
      </c>
      <c r="C1657" s="7" t="s">
        <v>128</v>
      </c>
      <c r="D1657" s="7" t="s">
        <v>112</v>
      </c>
      <c r="E1657" s="7" t="s">
        <v>113</v>
      </c>
      <c r="F1657" s="7" t="s">
        <v>56</v>
      </c>
      <c r="G1657" s="7" t="s">
        <v>20</v>
      </c>
      <c r="H1657" s="9" t="n">
        <v>45987</v>
      </c>
      <c r="I1657" s="9"/>
      <c r="J1657" s="7" t="n">
        <v>7.8</v>
      </c>
      <c r="K1657" s="7" t="s">
        <v>1971</v>
      </c>
      <c r="L1657" s="7" t="s">
        <v>19</v>
      </c>
      <c r="M1657" s="7" t="s">
        <v>2008</v>
      </c>
      <c r="N1657" s="7" t="s">
        <v>53</v>
      </c>
      <c r="O1657" s="10" t="n">
        <f aca="false">'Exec Summary'!$E$2-H1657</f>
        <v>247</v>
      </c>
      <c r="P1657" s="10" t="str">
        <f aca="false">IF(I1657="","",I1657-H1657)</f>
        <v/>
      </c>
      <c r="Q1657" s="10" t="n">
        <f aca="false">VLOOKUP(G1657,$AA$2:$AB$5,2,FALSE())</f>
        <v>30</v>
      </c>
      <c r="R1657" s="7" t="n">
        <f aca="false">IF(OR(F1657="Open",F1657="Reopened"),1,0)</f>
        <v>1</v>
      </c>
      <c r="S1657" s="7" t="n">
        <f aca="false">IF(AND(H1657&gt;='Exec Summary'!$E$1,H1657&lt;='Exec Summary'!$E$2),1,0)</f>
        <v>0</v>
      </c>
      <c r="T1657" s="7" t="n">
        <f aca="false">IF(AND(F1657="Closed",I1657&lt;&gt;"",I1657&gt;='Exec Summary'!$E$1,I1657&lt;='Exec Summary'!$E$2),1,0)</f>
        <v>0</v>
      </c>
      <c r="U1657" s="7" t="n">
        <f aca="false">IF(F1657="Reopened",1,0)</f>
        <v>0</v>
      </c>
      <c r="V1657" s="7" t="n">
        <f aca="false">IF(AND(R1657=1,O1657&gt;Q1657),1,0)</f>
        <v>1</v>
      </c>
      <c r="W1657" s="7" t="n">
        <f aca="false">IF(AND(T1657=1,P1657&lt;&gt;"",P1657&lt;=Q1657),1,0)</f>
        <v>0</v>
      </c>
    </row>
    <row r="1658" customFormat="false" ht="15" hidden="false" customHeight="false" outlineLevel="0" collapsed="false">
      <c r="A1658" s="7" t="s">
        <v>2000</v>
      </c>
      <c r="B1658" s="7" t="s">
        <v>46</v>
      </c>
      <c r="C1658" s="7" t="s">
        <v>128</v>
      </c>
      <c r="D1658" s="7" t="s">
        <v>210</v>
      </c>
      <c r="E1658" s="7" t="s">
        <v>211</v>
      </c>
      <c r="F1658" s="7" t="s">
        <v>50</v>
      </c>
      <c r="G1658" s="7" t="s">
        <v>19</v>
      </c>
      <c r="H1658" s="9" t="n">
        <v>46049</v>
      </c>
      <c r="I1658" s="9" t="n">
        <v>46065</v>
      </c>
      <c r="J1658" s="7" t="n">
        <v>9.8</v>
      </c>
      <c r="K1658" s="7" t="s">
        <v>1971</v>
      </c>
      <c r="L1658" s="7" t="s">
        <v>19</v>
      </c>
      <c r="M1658" s="7" t="s">
        <v>2009</v>
      </c>
      <c r="N1658" s="7" t="s">
        <v>58</v>
      </c>
      <c r="O1658" s="10" t="n">
        <f aca="false">'Exec Summary'!$E$2-H1658</f>
        <v>185</v>
      </c>
      <c r="P1658" s="10" t="n">
        <f aca="false">IF(I1658="","",I1658-H1658)</f>
        <v>16</v>
      </c>
      <c r="Q1658" s="10" t="n">
        <f aca="false">VLOOKUP(G1658,$AA$2:$AB$5,2,FALSE())</f>
        <v>15</v>
      </c>
      <c r="R1658" s="7" t="n">
        <f aca="false">IF(OR(F1658="Open",F1658="Reopened"),1,0)</f>
        <v>0</v>
      </c>
      <c r="S1658" s="7" t="n">
        <f aca="false">IF(AND(H1658&gt;='Exec Summary'!$E$1,H1658&lt;='Exec Summary'!$E$2),1,0)</f>
        <v>0</v>
      </c>
      <c r="T1658" s="7" t="n">
        <f aca="false">IF(AND(F1658="Closed",I1658&lt;&gt;"",I1658&gt;='Exec Summary'!$E$1,I1658&lt;='Exec Summary'!$E$2),1,0)</f>
        <v>0</v>
      </c>
      <c r="U1658" s="7" t="n">
        <f aca="false">IF(F1658="Reopened",1,0)</f>
        <v>0</v>
      </c>
      <c r="V1658" s="7" t="n">
        <f aca="false">IF(AND(R1658=1,O1658&gt;Q1658),1,0)</f>
        <v>0</v>
      </c>
      <c r="W1658" s="7" t="n">
        <f aca="false">IF(AND(T1658=1,P1658&lt;&gt;"",P1658&lt;=Q1658),1,0)</f>
        <v>0</v>
      </c>
    </row>
    <row r="1659" customFormat="false" ht="15" hidden="false" customHeight="false" outlineLevel="0" collapsed="false">
      <c r="A1659" s="7" t="s">
        <v>2000</v>
      </c>
      <c r="B1659" s="7" t="s">
        <v>46</v>
      </c>
      <c r="C1659" s="7" t="s">
        <v>128</v>
      </c>
      <c r="D1659" s="7" t="s">
        <v>68</v>
      </c>
      <c r="E1659" s="7" t="s">
        <v>69</v>
      </c>
      <c r="F1659" s="7" t="s">
        <v>50</v>
      </c>
      <c r="G1659" s="7" t="s">
        <v>19</v>
      </c>
      <c r="H1659" s="9" t="n">
        <v>45960</v>
      </c>
      <c r="I1659" s="9" t="n">
        <v>45984</v>
      </c>
      <c r="J1659" s="7" t="n">
        <v>9.8</v>
      </c>
      <c r="K1659" s="7" t="s">
        <v>1971</v>
      </c>
      <c r="L1659" s="7" t="s">
        <v>19</v>
      </c>
      <c r="M1659" s="7" t="s">
        <v>2010</v>
      </c>
      <c r="N1659" s="7" t="s">
        <v>58</v>
      </c>
      <c r="O1659" s="10" t="n">
        <f aca="false">'Exec Summary'!$E$2-H1659</f>
        <v>274</v>
      </c>
      <c r="P1659" s="10" t="n">
        <f aca="false">IF(I1659="","",I1659-H1659)</f>
        <v>24</v>
      </c>
      <c r="Q1659" s="10" t="n">
        <f aca="false">VLOOKUP(G1659,$AA$2:$AB$5,2,FALSE())</f>
        <v>15</v>
      </c>
      <c r="R1659" s="7" t="n">
        <f aca="false">IF(OR(F1659="Open",F1659="Reopened"),1,0)</f>
        <v>0</v>
      </c>
      <c r="S1659" s="7" t="n">
        <f aca="false">IF(AND(H1659&gt;='Exec Summary'!$E$1,H1659&lt;='Exec Summary'!$E$2),1,0)</f>
        <v>0</v>
      </c>
      <c r="T1659" s="7" t="n">
        <f aca="false">IF(AND(F1659="Closed",I1659&lt;&gt;"",I1659&gt;='Exec Summary'!$E$1,I1659&lt;='Exec Summary'!$E$2),1,0)</f>
        <v>0</v>
      </c>
      <c r="U1659" s="7" t="n">
        <f aca="false">IF(F1659="Reopened",1,0)</f>
        <v>0</v>
      </c>
      <c r="V1659" s="7" t="n">
        <f aca="false">IF(AND(R1659=1,O1659&gt;Q1659),1,0)</f>
        <v>0</v>
      </c>
      <c r="W1659" s="7" t="n">
        <f aca="false">IF(AND(T1659=1,P1659&lt;&gt;"",P1659&lt;=Q1659),1,0)</f>
        <v>0</v>
      </c>
    </row>
    <row r="1660" customFormat="false" ht="15" hidden="false" customHeight="false" outlineLevel="0" collapsed="false">
      <c r="A1660" s="7" t="s">
        <v>2011</v>
      </c>
      <c r="B1660" s="7" t="s">
        <v>46</v>
      </c>
      <c r="C1660" s="7" t="s">
        <v>47</v>
      </c>
      <c r="D1660" s="7" t="s">
        <v>48</v>
      </c>
      <c r="E1660" s="7" t="s">
        <v>49</v>
      </c>
      <c r="F1660" s="7" t="s">
        <v>50</v>
      </c>
      <c r="G1660" s="7" t="s">
        <v>20</v>
      </c>
      <c r="H1660" s="9" t="n">
        <v>46201</v>
      </c>
      <c r="I1660" s="9" t="n">
        <v>46205</v>
      </c>
      <c r="J1660" s="7" t="n">
        <v>7.5</v>
      </c>
      <c r="K1660" s="7" t="s">
        <v>1971</v>
      </c>
      <c r="L1660" s="7" t="s">
        <v>19</v>
      </c>
      <c r="M1660" s="7" t="s">
        <v>2012</v>
      </c>
      <c r="N1660" s="7" t="s">
        <v>53</v>
      </c>
      <c r="O1660" s="10" t="n">
        <f aca="false">'Exec Summary'!$E$2-H1660</f>
        <v>33</v>
      </c>
      <c r="P1660" s="10" t="n">
        <f aca="false">IF(I1660="","",I1660-H1660)</f>
        <v>4</v>
      </c>
      <c r="Q1660" s="10" t="n">
        <f aca="false">VLOOKUP(G1660,$AA$2:$AB$5,2,FALSE())</f>
        <v>30</v>
      </c>
      <c r="R1660" s="7" t="n">
        <f aca="false">IF(OR(F1660="Open",F1660="Reopened"),1,0)</f>
        <v>0</v>
      </c>
      <c r="S1660" s="7" t="n">
        <f aca="false">IF(AND(H1660&gt;='Exec Summary'!$E$1,H1660&lt;='Exec Summary'!$E$2),1,0)</f>
        <v>0</v>
      </c>
      <c r="T1660" s="7" t="n">
        <f aca="false">IF(AND(F1660="Closed",I1660&lt;&gt;"",I1660&gt;='Exec Summary'!$E$1,I1660&lt;='Exec Summary'!$E$2),1,0)</f>
        <v>1</v>
      </c>
      <c r="U1660" s="7" t="n">
        <f aca="false">IF(F1660="Reopened",1,0)</f>
        <v>0</v>
      </c>
      <c r="V1660" s="7" t="n">
        <f aca="false">IF(AND(R1660=1,O1660&gt;Q1660),1,0)</f>
        <v>0</v>
      </c>
      <c r="W1660" s="7" t="n">
        <f aca="false">IF(AND(T1660=1,P1660&lt;&gt;"",P1660&lt;=Q1660),1,0)</f>
        <v>1</v>
      </c>
    </row>
    <row r="1661" customFormat="false" ht="15" hidden="false" customHeight="false" outlineLevel="0" collapsed="false">
      <c r="A1661" s="7" t="s">
        <v>2011</v>
      </c>
      <c r="B1661" s="7" t="s">
        <v>46</v>
      </c>
      <c r="C1661" s="7" t="s">
        <v>47</v>
      </c>
      <c r="D1661" s="7" t="s">
        <v>68</v>
      </c>
      <c r="E1661" s="7" t="s">
        <v>69</v>
      </c>
      <c r="F1661" s="7" t="s">
        <v>50</v>
      </c>
      <c r="G1661" s="7" t="s">
        <v>19</v>
      </c>
      <c r="H1661" s="9" t="n">
        <v>46181</v>
      </c>
      <c r="I1661" s="9" t="n">
        <v>46187</v>
      </c>
      <c r="J1661" s="7" t="n">
        <v>9.8</v>
      </c>
      <c r="K1661" s="7" t="s">
        <v>1971</v>
      </c>
      <c r="L1661" s="7" t="s">
        <v>19</v>
      </c>
      <c r="M1661" s="7" t="s">
        <v>2013</v>
      </c>
      <c r="N1661" s="7" t="s">
        <v>58</v>
      </c>
      <c r="O1661" s="10" t="n">
        <f aca="false">'Exec Summary'!$E$2-H1661</f>
        <v>53</v>
      </c>
      <c r="P1661" s="10" t="n">
        <f aca="false">IF(I1661="","",I1661-H1661)</f>
        <v>6</v>
      </c>
      <c r="Q1661" s="10" t="n">
        <f aca="false">VLOOKUP(G1661,$AA$2:$AB$5,2,FALSE())</f>
        <v>15</v>
      </c>
      <c r="R1661" s="7" t="n">
        <f aca="false">IF(OR(F1661="Open",F1661="Reopened"),1,0)</f>
        <v>0</v>
      </c>
      <c r="S1661" s="7" t="n">
        <f aca="false">IF(AND(H1661&gt;='Exec Summary'!$E$1,H1661&lt;='Exec Summary'!$E$2),1,0)</f>
        <v>0</v>
      </c>
      <c r="T1661" s="7" t="n">
        <f aca="false">IF(AND(F1661="Closed",I1661&lt;&gt;"",I1661&gt;='Exec Summary'!$E$1,I1661&lt;='Exec Summary'!$E$2),1,0)</f>
        <v>0</v>
      </c>
      <c r="U1661" s="7" t="n">
        <f aca="false">IF(F1661="Reopened",1,0)</f>
        <v>0</v>
      </c>
      <c r="V1661" s="7" t="n">
        <f aca="false">IF(AND(R1661=1,O1661&gt;Q1661),1,0)</f>
        <v>0</v>
      </c>
      <c r="W1661" s="7" t="n">
        <f aca="false">IF(AND(T1661=1,P1661&lt;&gt;"",P1661&lt;=Q1661),1,0)</f>
        <v>0</v>
      </c>
    </row>
    <row r="1662" customFormat="false" ht="15" hidden="false" customHeight="false" outlineLevel="0" collapsed="false">
      <c r="A1662" s="7" t="s">
        <v>2011</v>
      </c>
      <c r="B1662" s="7" t="s">
        <v>46</v>
      </c>
      <c r="C1662" s="7" t="s">
        <v>47</v>
      </c>
      <c r="D1662" s="7" t="s">
        <v>71</v>
      </c>
      <c r="E1662" s="7" t="s">
        <v>72</v>
      </c>
      <c r="F1662" s="7" t="s">
        <v>50</v>
      </c>
      <c r="G1662" s="7" t="s">
        <v>19</v>
      </c>
      <c r="H1662" s="9" t="n">
        <v>45976</v>
      </c>
      <c r="I1662" s="9" t="n">
        <v>45989</v>
      </c>
      <c r="J1662" s="7" t="n">
        <v>9.8</v>
      </c>
      <c r="K1662" s="7" t="s">
        <v>1971</v>
      </c>
      <c r="L1662" s="7" t="s">
        <v>19</v>
      </c>
      <c r="M1662" s="7" t="s">
        <v>2014</v>
      </c>
      <c r="N1662" s="7" t="s">
        <v>58</v>
      </c>
      <c r="O1662" s="10" t="n">
        <f aca="false">'Exec Summary'!$E$2-H1662</f>
        <v>258</v>
      </c>
      <c r="P1662" s="10" t="n">
        <f aca="false">IF(I1662="","",I1662-H1662)</f>
        <v>13</v>
      </c>
      <c r="Q1662" s="10" t="n">
        <f aca="false">VLOOKUP(G1662,$AA$2:$AB$5,2,FALSE())</f>
        <v>15</v>
      </c>
      <c r="R1662" s="7" t="n">
        <f aca="false">IF(OR(F1662="Open",F1662="Reopened"),1,0)</f>
        <v>0</v>
      </c>
      <c r="S1662" s="7" t="n">
        <f aca="false">IF(AND(H1662&gt;='Exec Summary'!$E$1,H1662&lt;='Exec Summary'!$E$2),1,0)</f>
        <v>0</v>
      </c>
      <c r="T1662" s="7" t="n">
        <f aca="false">IF(AND(F1662="Closed",I1662&lt;&gt;"",I1662&gt;='Exec Summary'!$E$1,I1662&lt;='Exec Summary'!$E$2),1,0)</f>
        <v>0</v>
      </c>
      <c r="U1662" s="7" t="n">
        <f aca="false">IF(F1662="Reopened",1,0)</f>
        <v>0</v>
      </c>
      <c r="V1662" s="7" t="n">
        <f aca="false">IF(AND(R1662=1,O1662&gt;Q1662),1,0)</f>
        <v>0</v>
      </c>
      <c r="W1662" s="7" t="n">
        <f aca="false">IF(AND(T1662=1,P1662&lt;&gt;"",P1662&lt;=Q1662),1,0)</f>
        <v>0</v>
      </c>
    </row>
    <row r="1663" customFormat="false" ht="15" hidden="false" customHeight="false" outlineLevel="0" collapsed="false">
      <c r="A1663" s="7" t="s">
        <v>2011</v>
      </c>
      <c r="B1663" s="7" t="s">
        <v>46</v>
      </c>
      <c r="C1663" s="7" t="s">
        <v>47</v>
      </c>
      <c r="D1663" s="7" t="s">
        <v>112</v>
      </c>
      <c r="E1663" s="7" t="s">
        <v>113</v>
      </c>
      <c r="F1663" s="7" t="s">
        <v>50</v>
      </c>
      <c r="G1663" s="7" t="s">
        <v>20</v>
      </c>
      <c r="H1663" s="9" t="n">
        <v>45973</v>
      </c>
      <c r="I1663" s="9" t="n">
        <v>45986</v>
      </c>
      <c r="J1663" s="7" t="n">
        <v>7.8</v>
      </c>
      <c r="K1663" s="7" t="s">
        <v>1971</v>
      </c>
      <c r="L1663" s="7" t="s">
        <v>19</v>
      </c>
      <c r="M1663" s="7" t="s">
        <v>2015</v>
      </c>
      <c r="N1663" s="7" t="s">
        <v>53</v>
      </c>
      <c r="O1663" s="10" t="n">
        <f aca="false">'Exec Summary'!$E$2-H1663</f>
        <v>261</v>
      </c>
      <c r="P1663" s="10" t="n">
        <f aca="false">IF(I1663="","",I1663-H1663)</f>
        <v>13</v>
      </c>
      <c r="Q1663" s="10" t="n">
        <f aca="false">VLOOKUP(G1663,$AA$2:$AB$5,2,FALSE())</f>
        <v>30</v>
      </c>
      <c r="R1663" s="7" t="n">
        <f aca="false">IF(OR(F1663="Open",F1663="Reopened"),1,0)</f>
        <v>0</v>
      </c>
      <c r="S1663" s="7" t="n">
        <f aca="false">IF(AND(H1663&gt;='Exec Summary'!$E$1,H1663&lt;='Exec Summary'!$E$2),1,0)</f>
        <v>0</v>
      </c>
      <c r="T1663" s="7" t="n">
        <f aca="false">IF(AND(F1663="Closed",I1663&lt;&gt;"",I1663&gt;='Exec Summary'!$E$1,I1663&lt;='Exec Summary'!$E$2),1,0)</f>
        <v>0</v>
      </c>
      <c r="U1663" s="7" t="n">
        <f aca="false">IF(F1663="Reopened",1,0)</f>
        <v>0</v>
      </c>
      <c r="V1663" s="7" t="n">
        <f aca="false">IF(AND(R1663=1,O1663&gt;Q1663),1,0)</f>
        <v>0</v>
      </c>
      <c r="W1663" s="7" t="n">
        <f aca="false">IF(AND(T1663=1,P1663&lt;&gt;"",P1663&lt;=Q1663),1,0)</f>
        <v>0</v>
      </c>
    </row>
    <row r="1664" customFormat="false" ht="15" hidden="false" customHeight="false" outlineLevel="0" collapsed="false">
      <c r="A1664" s="7" t="s">
        <v>2011</v>
      </c>
      <c r="B1664" s="7" t="s">
        <v>46</v>
      </c>
      <c r="C1664" s="7" t="s">
        <v>47</v>
      </c>
      <c r="D1664" s="7" t="s">
        <v>131</v>
      </c>
      <c r="E1664" s="7" t="s">
        <v>132</v>
      </c>
      <c r="F1664" s="7" t="s">
        <v>56</v>
      </c>
      <c r="G1664" s="7" t="s">
        <v>19</v>
      </c>
      <c r="H1664" s="9" t="n">
        <v>45940</v>
      </c>
      <c r="I1664" s="9"/>
      <c r="J1664" s="7" t="n">
        <v>9.8</v>
      </c>
      <c r="K1664" s="7" t="s">
        <v>1971</v>
      </c>
      <c r="L1664" s="7" t="s">
        <v>19</v>
      </c>
      <c r="M1664" s="7" t="s">
        <v>2016</v>
      </c>
      <c r="N1664" s="7" t="s">
        <v>58</v>
      </c>
      <c r="O1664" s="10" t="n">
        <f aca="false">'Exec Summary'!$E$2-H1664</f>
        <v>294</v>
      </c>
      <c r="P1664" s="10" t="str">
        <f aca="false">IF(I1664="","",I1664-H1664)</f>
        <v/>
      </c>
      <c r="Q1664" s="10" t="n">
        <f aca="false">VLOOKUP(G1664,$AA$2:$AB$5,2,FALSE())</f>
        <v>15</v>
      </c>
      <c r="R1664" s="7" t="n">
        <f aca="false">IF(OR(F1664="Open",F1664="Reopened"),1,0)</f>
        <v>1</v>
      </c>
      <c r="S1664" s="7" t="n">
        <f aca="false">IF(AND(H1664&gt;='Exec Summary'!$E$1,H1664&lt;='Exec Summary'!$E$2),1,0)</f>
        <v>0</v>
      </c>
      <c r="T1664" s="7" t="n">
        <f aca="false">IF(AND(F1664="Closed",I1664&lt;&gt;"",I1664&gt;='Exec Summary'!$E$1,I1664&lt;='Exec Summary'!$E$2),1,0)</f>
        <v>0</v>
      </c>
      <c r="U1664" s="7" t="n">
        <f aca="false">IF(F1664="Reopened",1,0)</f>
        <v>0</v>
      </c>
      <c r="V1664" s="7" t="n">
        <f aca="false">IF(AND(R1664=1,O1664&gt;Q1664),1,0)</f>
        <v>1</v>
      </c>
      <c r="W1664" s="7" t="n">
        <f aca="false">IF(AND(T1664=1,P1664&lt;&gt;"",P1664&lt;=Q1664),1,0)</f>
        <v>0</v>
      </c>
    </row>
    <row r="1665" customFormat="false" ht="15" hidden="false" customHeight="false" outlineLevel="0" collapsed="false">
      <c r="A1665" s="7" t="s">
        <v>2011</v>
      </c>
      <c r="B1665" s="7" t="s">
        <v>46</v>
      </c>
      <c r="C1665" s="7" t="s">
        <v>47</v>
      </c>
      <c r="D1665" s="7" t="s">
        <v>210</v>
      </c>
      <c r="E1665" s="7" t="s">
        <v>211</v>
      </c>
      <c r="F1665" s="7" t="s">
        <v>50</v>
      </c>
      <c r="G1665" s="7" t="s">
        <v>19</v>
      </c>
      <c r="H1665" s="9" t="n">
        <v>46131</v>
      </c>
      <c r="I1665" s="9" t="n">
        <v>46145</v>
      </c>
      <c r="J1665" s="7" t="n">
        <v>9.8</v>
      </c>
      <c r="K1665" s="7" t="s">
        <v>1971</v>
      </c>
      <c r="L1665" s="7" t="s">
        <v>19</v>
      </c>
      <c r="M1665" s="7" t="s">
        <v>2017</v>
      </c>
      <c r="N1665" s="7" t="s">
        <v>58</v>
      </c>
      <c r="O1665" s="10" t="n">
        <f aca="false">'Exec Summary'!$E$2-H1665</f>
        <v>103</v>
      </c>
      <c r="P1665" s="10" t="n">
        <f aca="false">IF(I1665="","",I1665-H1665)</f>
        <v>14</v>
      </c>
      <c r="Q1665" s="10" t="n">
        <f aca="false">VLOOKUP(G1665,$AA$2:$AB$5,2,FALSE())</f>
        <v>15</v>
      </c>
      <c r="R1665" s="7" t="n">
        <f aca="false">IF(OR(F1665="Open",F1665="Reopened"),1,0)</f>
        <v>0</v>
      </c>
      <c r="S1665" s="7" t="n">
        <f aca="false">IF(AND(H1665&gt;='Exec Summary'!$E$1,H1665&lt;='Exec Summary'!$E$2),1,0)</f>
        <v>0</v>
      </c>
      <c r="T1665" s="7" t="n">
        <f aca="false">IF(AND(F1665="Closed",I1665&lt;&gt;"",I1665&gt;='Exec Summary'!$E$1,I1665&lt;='Exec Summary'!$E$2),1,0)</f>
        <v>0</v>
      </c>
      <c r="U1665" s="7" t="n">
        <f aca="false">IF(F1665="Reopened",1,0)</f>
        <v>0</v>
      </c>
      <c r="V1665" s="7" t="n">
        <f aca="false">IF(AND(R1665=1,O1665&gt;Q1665),1,0)</f>
        <v>0</v>
      </c>
      <c r="W1665" s="7" t="n">
        <f aca="false">IF(AND(T1665=1,P1665&lt;&gt;"",P1665&lt;=Q1665),1,0)</f>
        <v>0</v>
      </c>
    </row>
    <row r="1666" customFormat="false" ht="15" hidden="false" customHeight="false" outlineLevel="0" collapsed="false">
      <c r="A1666" s="7" t="s">
        <v>2011</v>
      </c>
      <c r="B1666" s="7" t="s">
        <v>46</v>
      </c>
      <c r="C1666" s="7" t="s">
        <v>47</v>
      </c>
      <c r="D1666" s="7" t="s">
        <v>163</v>
      </c>
      <c r="E1666" s="7" t="s">
        <v>164</v>
      </c>
      <c r="F1666" s="7" t="s">
        <v>56</v>
      </c>
      <c r="G1666" s="7" t="s">
        <v>19</v>
      </c>
      <c r="H1666" s="9" t="n">
        <v>46197</v>
      </c>
      <c r="I1666" s="9"/>
      <c r="J1666" s="7" t="n">
        <v>9.1</v>
      </c>
      <c r="K1666" s="7" t="s">
        <v>1971</v>
      </c>
      <c r="L1666" s="7" t="s">
        <v>19</v>
      </c>
      <c r="M1666" s="7" t="s">
        <v>2018</v>
      </c>
      <c r="N1666" s="7" t="s">
        <v>58</v>
      </c>
      <c r="O1666" s="10" t="n">
        <f aca="false">'Exec Summary'!$E$2-H1666</f>
        <v>37</v>
      </c>
      <c r="P1666" s="10" t="str">
        <f aca="false">IF(I1666="","",I1666-H1666)</f>
        <v/>
      </c>
      <c r="Q1666" s="10" t="n">
        <f aca="false">VLOOKUP(G1666,$AA$2:$AB$5,2,FALSE())</f>
        <v>15</v>
      </c>
      <c r="R1666" s="7" t="n">
        <f aca="false">IF(OR(F1666="Open",F1666="Reopened"),1,0)</f>
        <v>1</v>
      </c>
      <c r="S1666" s="7" t="n">
        <f aca="false">IF(AND(H1666&gt;='Exec Summary'!$E$1,H1666&lt;='Exec Summary'!$E$2),1,0)</f>
        <v>0</v>
      </c>
      <c r="T1666" s="7" t="n">
        <f aca="false">IF(AND(F1666="Closed",I1666&lt;&gt;"",I1666&gt;='Exec Summary'!$E$1,I1666&lt;='Exec Summary'!$E$2),1,0)</f>
        <v>0</v>
      </c>
      <c r="U1666" s="7" t="n">
        <f aca="false">IF(F1666="Reopened",1,0)</f>
        <v>0</v>
      </c>
      <c r="V1666" s="7" t="n">
        <f aca="false">IF(AND(R1666=1,O1666&gt;Q1666),1,0)</f>
        <v>1</v>
      </c>
      <c r="W1666" s="7" t="n">
        <f aca="false">IF(AND(T1666=1,P1666&lt;&gt;"",P1666&lt;=Q1666),1,0)</f>
        <v>0</v>
      </c>
    </row>
    <row r="1667" customFormat="false" ht="15" hidden="false" customHeight="false" outlineLevel="0" collapsed="false">
      <c r="A1667" s="7" t="s">
        <v>2011</v>
      </c>
      <c r="B1667" s="7" t="s">
        <v>46</v>
      </c>
      <c r="C1667" s="7" t="s">
        <v>47</v>
      </c>
      <c r="D1667" s="7" t="s">
        <v>152</v>
      </c>
      <c r="E1667" s="7" t="s">
        <v>153</v>
      </c>
      <c r="F1667" s="7" t="s">
        <v>56</v>
      </c>
      <c r="G1667" s="7" t="s">
        <v>20</v>
      </c>
      <c r="H1667" s="9" t="n">
        <v>46166</v>
      </c>
      <c r="I1667" s="9"/>
      <c r="J1667" s="7" t="n">
        <v>7.5</v>
      </c>
      <c r="K1667" s="7" t="s">
        <v>1971</v>
      </c>
      <c r="L1667" s="7" t="s">
        <v>19</v>
      </c>
      <c r="M1667" s="7" t="s">
        <v>2019</v>
      </c>
      <c r="N1667" s="7" t="s">
        <v>53</v>
      </c>
      <c r="O1667" s="10" t="n">
        <f aca="false">'Exec Summary'!$E$2-H1667</f>
        <v>68</v>
      </c>
      <c r="P1667" s="10" t="str">
        <f aca="false">IF(I1667="","",I1667-H1667)</f>
        <v/>
      </c>
      <c r="Q1667" s="10" t="n">
        <f aca="false">VLOOKUP(G1667,$AA$2:$AB$5,2,FALSE())</f>
        <v>30</v>
      </c>
      <c r="R1667" s="7" t="n">
        <f aca="false">IF(OR(F1667="Open",F1667="Reopened"),1,0)</f>
        <v>1</v>
      </c>
      <c r="S1667" s="7" t="n">
        <f aca="false">IF(AND(H1667&gt;='Exec Summary'!$E$1,H1667&lt;='Exec Summary'!$E$2),1,0)</f>
        <v>0</v>
      </c>
      <c r="T1667" s="7" t="n">
        <f aca="false">IF(AND(F1667="Closed",I1667&lt;&gt;"",I1667&gt;='Exec Summary'!$E$1,I1667&lt;='Exec Summary'!$E$2),1,0)</f>
        <v>0</v>
      </c>
      <c r="U1667" s="7" t="n">
        <f aca="false">IF(F1667="Reopened",1,0)</f>
        <v>0</v>
      </c>
      <c r="V1667" s="7" t="n">
        <f aca="false">IF(AND(R1667=1,O1667&gt;Q1667),1,0)</f>
        <v>1</v>
      </c>
      <c r="W1667" s="7" t="n">
        <f aca="false">IF(AND(T1667=1,P1667&lt;&gt;"",P1667&lt;=Q1667),1,0)</f>
        <v>0</v>
      </c>
    </row>
    <row r="1668" customFormat="false" ht="15" hidden="false" customHeight="false" outlineLevel="0" collapsed="false">
      <c r="A1668" s="7" t="s">
        <v>2011</v>
      </c>
      <c r="B1668" s="7" t="s">
        <v>46</v>
      </c>
      <c r="C1668" s="7" t="s">
        <v>47</v>
      </c>
      <c r="D1668" s="7" t="s">
        <v>81</v>
      </c>
      <c r="E1668" s="7" t="s">
        <v>82</v>
      </c>
      <c r="F1668" s="7" t="s">
        <v>56</v>
      </c>
      <c r="G1668" s="7" t="s">
        <v>20</v>
      </c>
      <c r="H1668" s="9" t="n">
        <v>45988</v>
      </c>
      <c r="I1668" s="9"/>
      <c r="J1668" s="7" t="n">
        <v>7.8</v>
      </c>
      <c r="K1668" s="7" t="s">
        <v>1971</v>
      </c>
      <c r="L1668" s="7" t="s">
        <v>19</v>
      </c>
      <c r="M1668" s="7" t="s">
        <v>2020</v>
      </c>
      <c r="N1668" s="7" t="s">
        <v>53</v>
      </c>
      <c r="O1668" s="10" t="n">
        <f aca="false">'Exec Summary'!$E$2-H1668</f>
        <v>246</v>
      </c>
      <c r="P1668" s="10" t="str">
        <f aca="false">IF(I1668="","",I1668-H1668)</f>
        <v/>
      </c>
      <c r="Q1668" s="10" t="n">
        <f aca="false">VLOOKUP(G1668,$AA$2:$AB$5,2,FALSE())</f>
        <v>30</v>
      </c>
      <c r="R1668" s="7" t="n">
        <f aca="false">IF(OR(F1668="Open",F1668="Reopened"),1,0)</f>
        <v>1</v>
      </c>
      <c r="S1668" s="7" t="n">
        <f aca="false">IF(AND(H1668&gt;='Exec Summary'!$E$1,H1668&lt;='Exec Summary'!$E$2),1,0)</f>
        <v>0</v>
      </c>
      <c r="T1668" s="7" t="n">
        <f aca="false">IF(AND(F1668="Closed",I1668&lt;&gt;"",I1668&gt;='Exec Summary'!$E$1,I1668&lt;='Exec Summary'!$E$2),1,0)</f>
        <v>0</v>
      </c>
      <c r="U1668" s="7" t="n">
        <f aca="false">IF(F1668="Reopened",1,0)</f>
        <v>0</v>
      </c>
      <c r="V1668" s="7" t="n">
        <f aca="false">IF(AND(R1668=1,O1668&gt;Q1668),1,0)</f>
        <v>1</v>
      </c>
      <c r="W1668" s="7" t="n">
        <f aca="false">IF(AND(T1668=1,P1668&lt;&gt;"",P1668&lt;=Q1668),1,0)</f>
        <v>0</v>
      </c>
    </row>
    <row r="1669" customFormat="false" ht="15" hidden="false" customHeight="false" outlineLevel="0" collapsed="false">
      <c r="A1669" s="7" t="s">
        <v>2011</v>
      </c>
      <c r="B1669" s="7" t="s">
        <v>46</v>
      </c>
      <c r="C1669" s="7" t="s">
        <v>47</v>
      </c>
      <c r="D1669" s="7" t="s">
        <v>62</v>
      </c>
      <c r="E1669" s="7" t="s">
        <v>63</v>
      </c>
      <c r="F1669" s="7" t="s">
        <v>50</v>
      </c>
      <c r="G1669" s="7" t="s">
        <v>20</v>
      </c>
      <c r="H1669" s="9" t="n">
        <v>46120</v>
      </c>
      <c r="I1669" s="9" t="n">
        <v>46148</v>
      </c>
      <c r="J1669" s="7" t="n">
        <v>8.1</v>
      </c>
      <c r="K1669" s="7" t="s">
        <v>1971</v>
      </c>
      <c r="L1669" s="7" t="s">
        <v>19</v>
      </c>
      <c r="M1669" s="7" t="s">
        <v>2021</v>
      </c>
      <c r="N1669" s="7" t="s">
        <v>53</v>
      </c>
      <c r="O1669" s="10" t="n">
        <f aca="false">'Exec Summary'!$E$2-H1669</f>
        <v>114</v>
      </c>
      <c r="P1669" s="10" t="n">
        <f aca="false">IF(I1669="","",I1669-H1669)</f>
        <v>28</v>
      </c>
      <c r="Q1669" s="10" t="n">
        <f aca="false">VLOOKUP(G1669,$AA$2:$AB$5,2,FALSE())</f>
        <v>30</v>
      </c>
      <c r="R1669" s="7" t="n">
        <f aca="false">IF(OR(F1669="Open",F1669="Reopened"),1,0)</f>
        <v>0</v>
      </c>
      <c r="S1669" s="7" t="n">
        <f aca="false">IF(AND(H1669&gt;='Exec Summary'!$E$1,H1669&lt;='Exec Summary'!$E$2),1,0)</f>
        <v>0</v>
      </c>
      <c r="T1669" s="7" t="n">
        <f aca="false">IF(AND(F1669="Closed",I1669&lt;&gt;"",I1669&gt;='Exec Summary'!$E$1,I1669&lt;='Exec Summary'!$E$2),1,0)</f>
        <v>0</v>
      </c>
      <c r="U1669" s="7" t="n">
        <f aca="false">IF(F1669="Reopened",1,0)</f>
        <v>0</v>
      </c>
      <c r="V1669" s="7" t="n">
        <f aca="false">IF(AND(R1669=1,O1669&gt;Q1669),1,0)</f>
        <v>0</v>
      </c>
      <c r="W1669" s="7" t="n">
        <f aca="false">IF(AND(T1669=1,P1669&lt;&gt;"",P1669&lt;=Q1669),1,0)</f>
        <v>0</v>
      </c>
    </row>
    <row r="1670" customFormat="false" ht="15" hidden="false" customHeight="false" outlineLevel="0" collapsed="false">
      <c r="A1670" s="7" t="s">
        <v>2011</v>
      </c>
      <c r="B1670" s="7" t="s">
        <v>46</v>
      </c>
      <c r="C1670" s="7" t="s">
        <v>47</v>
      </c>
      <c r="D1670" s="7" t="s">
        <v>59</v>
      </c>
      <c r="E1670" s="7" t="s">
        <v>60</v>
      </c>
      <c r="F1670" s="7" t="s">
        <v>56</v>
      </c>
      <c r="G1670" s="7" t="s">
        <v>19</v>
      </c>
      <c r="H1670" s="9" t="n">
        <v>46037</v>
      </c>
      <c r="I1670" s="9"/>
      <c r="J1670" s="7" t="n">
        <v>7.8</v>
      </c>
      <c r="K1670" s="7" t="s">
        <v>1971</v>
      </c>
      <c r="L1670" s="7" t="s">
        <v>19</v>
      </c>
      <c r="M1670" s="7" t="s">
        <v>2022</v>
      </c>
      <c r="N1670" s="7" t="s">
        <v>58</v>
      </c>
      <c r="O1670" s="10" t="n">
        <f aca="false">'Exec Summary'!$E$2-H1670</f>
        <v>197</v>
      </c>
      <c r="P1670" s="10" t="str">
        <f aca="false">IF(I1670="","",I1670-H1670)</f>
        <v/>
      </c>
      <c r="Q1670" s="10" t="n">
        <f aca="false">VLOOKUP(G1670,$AA$2:$AB$5,2,FALSE())</f>
        <v>15</v>
      </c>
      <c r="R1670" s="7" t="n">
        <f aca="false">IF(OR(F1670="Open",F1670="Reopened"),1,0)</f>
        <v>1</v>
      </c>
      <c r="S1670" s="7" t="n">
        <f aca="false">IF(AND(H1670&gt;='Exec Summary'!$E$1,H1670&lt;='Exec Summary'!$E$2),1,0)</f>
        <v>0</v>
      </c>
      <c r="T1670" s="7" t="n">
        <f aca="false">IF(AND(F1670="Closed",I1670&lt;&gt;"",I1670&gt;='Exec Summary'!$E$1,I1670&lt;='Exec Summary'!$E$2),1,0)</f>
        <v>0</v>
      </c>
      <c r="U1670" s="7" t="n">
        <f aca="false">IF(F1670="Reopened",1,0)</f>
        <v>0</v>
      </c>
      <c r="V1670" s="7" t="n">
        <f aca="false">IF(AND(R1670=1,O1670&gt;Q1670),1,0)</f>
        <v>1</v>
      </c>
      <c r="W1670" s="7" t="n">
        <f aca="false">IF(AND(T1670=1,P1670&lt;&gt;"",P1670&lt;=Q1670),1,0)</f>
        <v>0</v>
      </c>
    </row>
    <row r="1671" customFormat="false" ht="15" hidden="false" customHeight="false" outlineLevel="0" collapsed="false">
      <c r="A1671" s="7" t="s">
        <v>2011</v>
      </c>
      <c r="B1671" s="7" t="s">
        <v>46</v>
      </c>
      <c r="C1671" s="7" t="s">
        <v>47</v>
      </c>
      <c r="D1671" s="7" t="s">
        <v>120</v>
      </c>
      <c r="E1671" s="7" t="s">
        <v>121</v>
      </c>
      <c r="F1671" s="7" t="s">
        <v>50</v>
      </c>
      <c r="G1671" s="7" t="s">
        <v>19</v>
      </c>
      <c r="H1671" s="9" t="n">
        <v>45969</v>
      </c>
      <c r="I1671" s="9" t="n">
        <v>45983</v>
      </c>
      <c r="J1671" s="7" t="n">
        <v>8.8</v>
      </c>
      <c r="K1671" s="7" t="s">
        <v>1971</v>
      </c>
      <c r="L1671" s="7" t="s">
        <v>19</v>
      </c>
      <c r="M1671" s="7" t="s">
        <v>2023</v>
      </c>
      <c r="N1671" s="7" t="s">
        <v>58</v>
      </c>
      <c r="O1671" s="10" t="n">
        <f aca="false">'Exec Summary'!$E$2-H1671</f>
        <v>265</v>
      </c>
      <c r="P1671" s="10" t="n">
        <f aca="false">IF(I1671="","",I1671-H1671)</f>
        <v>14</v>
      </c>
      <c r="Q1671" s="10" t="n">
        <f aca="false">VLOOKUP(G1671,$AA$2:$AB$5,2,FALSE())</f>
        <v>15</v>
      </c>
      <c r="R1671" s="7" t="n">
        <f aca="false">IF(OR(F1671="Open",F1671="Reopened"),1,0)</f>
        <v>0</v>
      </c>
      <c r="S1671" s="7" t="n">
        <f aca="false">IF(AND(H1671&gt;='Exec Summary'!$E$1,H1671&lt;='Exec Summary'!$E$2),1,0)</f>
        <v>0</v>
      </c>
      <c r="T1671" s="7" t="n">
        <f aca="false">IF(AND(F1671="Closed",I1671&lt;&gt;"",I1671&gt;='Exec Summary'!$E$1,I1671&lt;='Exec Summary'!$E$2),1,0)</f>
        <v>0</v>
      </c>
      <c r="U1671" s="7" t="n">
        <f aca="false">IF(F1671="Reopened",1,0)</f>
        <v>0</v>
      </c>
      <c r="V1671" s="7" t="n">
        <f aca="false">IF(AND(R1671=1,O1671&gt;Q1671),1,0)</f>
        <v>0</v>
      </c>
      <c r="W1671" s="7" t="n">
        <f aca="false">IF(AND(T1671=1,P1671&lt;&gt;"",P1671&lt;=Q1671),1,0)</f>
        <v>0</v>
      </c>
    </row>
    <row r="1672" customFormat="false" ht="15" hidden="false" customHeight="false" outlineLevel="0" collapsed="false">
      <c r="A1672" s="7" t="s">
        <v>2024</v>
      </c>
      <c r="B1672" s="7" t="s">
        <v>46</v>
      </c>
      <c r="C1672" s="7" t="s">
        <v>158</v>
      </c>
      <c r="D1672" s="7" t="s">
        <v>101</v>
      </c>
      <c r="E1672" s="7" t="s">
        <v>102</v>
      </c>
      <c r="F1672" s="7" t="s">
        <v>50</v>
      </c>
      <c r="G1672" s="7" t="s">
        <v>19</v>
      </c>
      <c r="H1672" s="9" t="n">
        <v>46114</v>
      </c>
      <c r="I1672" s="9" t="n">
        <v>46130</v>
      </c>
      <c r="J1672" s="7" t="n">
        <v>10</v>
      </c>
      <c r="K1672" s="7" t="s">
        <v>1971</v>
      </c>
      <c r="L1672" s="7" t="s">
        <v>20</v>
      </c>
      <c r="M1672" s="7" t="s">
        <v>2025</v>
      </c>
      <c r="N1672" s="7" t="s">
        <v>58</v>
      </c>
      <c r="O1672" s="10" t="n">
        <f aca="false">'Exec Summary'!$E$2-H1672</f>
        <v>120</v>
      </c>
      <c r="P1672" s="10" t="n">
        <f aca="false">IF(I1672="","",I1672-H1672)</f>
        <v>16</v>
      </c>
      <c r="Q1672" s="10" t="n">
        <f aca="false">VLOOKUP(G1672,$AA$2:$AB$5,2,FALSE())</f>
        <v>15</v>
      </c>
      <c r="R1672" s="7" t="n">
        <f aca="false">IF(OR(F1672="Open",F1672="Reopened"),1,0)</f>
        <v>0</v>
      </c>
      <c r="S1672" s="7" t="n">
        <f aca="false">IF(AND(H1672&gt;='Exec Summary'!$E$1,H1672&lt;='Exec Summary'!$E$2),1,0)</f>
        <v>0</v>
      </c>
      <c r="T1672" s="7" t="n">
        <f aca="false">IF(AND(F1672="Closed",I1672&lt;&gt;"",I1672&gt;='Exec Summary'!$E$1,I1672&lt;='Exec Summary'!$E$2),1,0)</f>
        <v>0</v>
      </c>
      <c r="U1672" s="7" t="n">
        <f aca="false">IF(F1672="Reopened",1,0)</f>
        <v>0</v>
      </c>
      <c r="V1672" s="7" t="n">
        <f aca="false">IF(AND(R1672=1,O1672&gt;Q1672),1,0)</f>
        <v>0</v>
      </c>
      <c r="W1672" s="7" t="n">
        <f aca="false">IF(AND(T1672=1,P1672&lt;&gt;"",P1672&lt;=Q1672),1,0)</f>
        <v>0</v>
      </c>
    </row>
    <row r="1673" customFormat="false" ht="15" hidden="false" customHeight="false" outlineLevel="0" collapsed="false">
      <c r="A1673" s="7" t="s">
        <v>2024</v>
      </c>
      <c r="B1673" s="7" t="s">
        <v>46</v>
      </c>
      <c r="C1673" s="7" t="s">
        <v>158</v>
      </c>
      <c r="D1673" s="7" t="s">
        <v>139</v>
      </c>
      <c r="E1673" s="7" t="s">
        <v>140</v>
      </c>
      <c r="F1673" s="7" t="s">
        <v>50</v>
      </c>
      <c r="G1673" s="7" t="s">
        <v>19</v>
      </c>
      <c r="H1673" s="9" t="n">
        <v>46115</v>
      </c>
      <c r="I1673" s="9" t="n">
        <v>46130</v>
      </c>
      <c r="J1673" s="7" t="n">
        <v>9.8</v>
      </c>
      <c r="K1673" s="7" t="s">
        <v>1971</v>
      </c>
      <c r="L1673" s="7" t="s">
        <v>20</v>
      </c>
      <c r="M1673" s="7" t="s">
        <v>2026</v>
      </c>
      <c r="N1673" s="7" t="s">
        <v>58</v>
      </c>
      <c r="O1673" s="10" t="n">
        <f aca="false">'Exec Summary'!$E$2-H1673</f>
        <v>119</v>
      </c>
      <c r="P1673" s="10" t="n">
        <f aca="false">IF(I1673="","",I1673-H1673)</f>
        <v>15</v>
      </c>
      <c r="Q1673" s="10" t="n">
        <f aca="false">VLOOKUP(G1673,$AA$2:$AB$5,2,FALSE())</f>
        <v>15</v>
      </c>
      <c r="R1673" s="7" t="n">
        <f aca="false">IF(OR(F1673="Open",F1673="Reopened"),1,0)</f>
        <v>0</v>
      </c>
      <c r="S1673" s="7" t="n">
        <f aca="false">IF(AND(H1673&gt;='Exec Summary'!$E$1,H1673&lt;='Exec Summary'!$E$2),1,0)</f>
        <v>0</v>
      </c>
      <c r="T1673" s="7" t="n">
        <f aca="false">IF(AND(F1673="Closed",I1673&lt;&gt;"",I1673&gt;='Exec Summary'!$E$1,I1673&lt;='Exec Summary'!$E$2),1,0)</f>
        <v>0</v>
      </c>
      <c r="U1673" s="7" t="n">
        <f aca="false">IF(F1673="Reopened",1,0)</f>
        <v>0</v>
      </c>
      <c r="V1673" s="7" t="n">
        <f aca="false">IF(AND(R1673=1,O1673&gt;Q1673),1,0)</f>
        <v>0</v>
      </c>
      <c r="W1673" s="7" t="n">
        <f aca="false">IF(AND(T1673=1,P1673&lt;&gt;"",P1673&lt;=Q1673),1,0)</f>
        <v>0</v>
      </c>
    </row>
    <row r="1674" customFormat="false" ht="15" hidden="false" customHeight="false" outlineLevel="0" collapsed="false">
      <c r="A1674" s="7" t="s">
        <v>2024</v>
      </c>
      <c r="B1674" s="7" t="s">
        <v>46</v>
      </c>
      <c r="C1674" s="7" t="s">
        <v>158</v>
      </c>
      <c r="D1674" s="7" t="s">
        <v>117</v>
      </c>
      <c r="E1674" s="7" t="s">
        <v>118</v>
      </c>
      <c r="F1674" s="7" t="s">
        <v>123</v>
      </c>
      <c r="G1674" s="7" t="s">
        <v>19</v>
      </c>
      <c r="H1674" s="9" t="n">
        <v>46159</v>
      </c>
      <c r="I1674" s="9" t="n">
        <v>46176</v>
      </c>
      <c r="J1674" s="7" t="n">
        <v>10</v>
      </c>
      <c r="K1674" s="7" t="s">
        <v>1971</v>
      </c>
      <c r="L1674" s="7" t="s">
        <v>20</v>
      </c>
      <c r="M1674" s="7" t="s">
        <v>2027</v>
      </c>
      <c r="N1674" s="7" t="s">
        <v>58</v>
      </c>
      <c r="O1674" s="10" t="n">
        <f aca="false">'Exec Summary'!$E$2-H1674</f>
        <v>75</v>
      </c>
      <c r="P1674" s="10" t="n">
        <f aca="false">IF(I1674="","",I1674-H1674)</f>
        <v>17</v>
      </c>
      <c r="Q1674" s="10" t="n">
        <f aca="false">VLOOKUP(G1674,$AA$2:$AB$5,2,FALSE())</f>
        <v>15</v>
      </c>
      <c r="R1674" s="7" t="n">
        <f aca="false">IF(OR(F1674="Open",F1674="Reopened"),1,0)</f>
        <v>1</v>
      </c>
      <c r="S1674" s="7" t="n">
        <f aca="false">IF(AND(H1674&gt;='Exec Summary'!$E$1,H1674&lt;='Exec Summary'!$E$2),1,0)</f>
        <v>0</v>
      </c>
      <c r="T1674" s="7" t="n">
        <f aca="false">IF(AND(F1674="Closed",I1674&lt;&gt;"",I1674&gt;='Exec Summary'!$E$1,I1674&lt;='Exec Summary'!$E$2),1,0)</f>
        <v>0</v>
      </c>
      <c r="U1674" s="7" t="n">
        <f aca="false">IF(F1674="Reopened",1,0)</f>
        <v>1</v>
      </c>
      <c r="V1674" s="7" t="n">
        <f aca="false">IF(AND(R1674=1,O1674&gt;Q1674),1,0)</f>
        <v>1</v>
      </c>
      <c r="W1674" s="7" t="n">
        <f aca="false">IF(AND(T1674=1,P1674&lt;&gt;"",P1674&lt;=Q1674),1,0)</f>
        <v>0</v>
      </c>
    </row>
    <row r="1675" customFormat="false" ht="15" hidden="false" customHeight="false" outlineLevel="0" collapsed="false">
      <c r="A1675" s="7" t="s">
        <v>2024</v>
      </c>
      <c r="B1675" s="7" t="s">
        <v>46</v>
      </c>
      <c r="C1675" s="7" t="s">
        <v>158</v>
      </c>
      <c r="D1675" s="7" t="s">
        <v>108</v>
      </c>
      <c r="E1675" s="7" t="s">
        <v>109</v>
      </c>
      <c r="F1675" s="7" t="s">
        <v>50</v>
      </c>
      <c r="G1675" s="7" t="s">
        <v>20</v>
      </c>
      <c r="H1675" s="9" t="n">
        <v>46150</v>
      </c>
      <c r="I1675" s="9" t="n">
        <v>46175</v>
      </c>
      <c r="J1675" s="7" t="n">
        <v>8.6</v>
      </c>
      <c r="K1675" s="7" t="s">
        <v>1971</v>
      </c>
      <c r="L1675" s="7" t="s">
        <v>20</v>
      </c>
      <c r="M1675" s="7" t="s">
        <v>2028</v>
      </c>
      <c r="N1675" s="7" t="s">
        <v>53</v>
      </c>
      <c r="O1675" s="10" t="n">
        <f aca="false">'Exec Summary'!$E$2-H1675</f>
        <v>84</v>
      </c>
      <c r="P1675" s="10" t="n">
        <f aca="false">IF(I1675="","",I1675-H1675)</f>
        <v>25</v>
      </c>
      <c r="Q1675" s="10" t="n">
        <f aca="false">VLOOKUP(G1675,$AA$2:$AB$5,2,FALSE())</f>
        <v>30</v>
      </c>
      <c r="R1675" s="7" t="n">
        <f aca="false">IF(OR(F1675="Open",F1675="Reopened"),1,0)</f>
        <v>0</v>
      </c>
      <c r="S1675" s="7" t="n">
        <f aca="false">IF(AND(H1675&gt;='Exec Summary'!$E$1,H1675&lt;='Exec Summary'!$E$2),1,0)</f>
        <v>0</v>
      </c>
      <c r="T1675" s="7" t="n">
        <f aca="false">IF(AND(F1675="Closed",I1675&lt;&gt;"",I1675&gt;='Exec Summary'!$E$1,I1675&lt;='Exec Summary'!$E$2),1,0)</f>
        <v>0</v>
      </c>
      <c r="U1675" s="7" t="n">
        <f aca="false">IF(F1675="Reopened",1,0)</f>
        <v>0</v>
      </c>
      <c r="V1675" s="7" t="n">
        <f aca="false">IF(AND(R1675=1,O1675&gt;Q1675),1,0)</f>
        <v>0</v>
      </c>
      <c r="W1675" s="7" t="n">
        <f aca="false">IF(AND(T1675=1,P1675&lt;&gt;"",P1675&lt;=Q1675),1,0)</f>
        <v>0</v>
      </c>
    </row>
    <row r="1676" customFormat="false" ht="15" hidden="false" customHeight="false" outlineLevel="0" collapsed="false">
      <c r="A1676" s="7" t="s">
        <v>2024</v>
      </c>
      <c r="B1676" s="7" t="s">
        <v>46</v>
      </c>
      <c r="C1676" s="7" t="s">
        <v>158</v>
      </c>
      <c r="D1676" s="7" t="s">
        <v>112</v>
      </c>
      <c r="E1676" s="7" t="s">
        <v>113</v>
      </c>
      <c r="F1676" s="7" t="s">
        <v>50</v>
      </c>
      <c r="G1676" s="7" t="s">
        <v>20</v>
      </c>
      <c r="H1676" s="9" t="n">
        <v>46199</v>
      </c>
      <c r="I1676" s="9" t="n">
        <v>46229</v>
      </c>
      <c r="J1676" s="7" t="n">
        <v>7.8</v>
      </c>
      <c r="K1676" s="7" t="s">
        <v>1971</v>
      </c>
      <c r="L1676" s="7" t="s">
        <v>20</v>
      </c>
      <c r="M1676" s="7" t="s">
        <v>2029</v>
      </c>
      <c r="N1676" s="7" t="s">
        <v>53</v>
      </c>
      <c r="O1676" s="10" t="n">
        <f aca="false">'Exec Summary'!$E$2-H1676</f>
        <v>35</v>
      </c>
      <c r="P1676" s="10" t="n">
        <f aca="false">IF(I1676="","",I1676-H1676)</f>
        <v>30</v>
      </c>
      <c r="Q1676" s="10" t="n">
        <f aca="false">VLOOKUP(G1676,$AA$2:$AB$5,2,FALSE())</f>
        <v>30</v>
      </c>
      <c r="R1676" s="7" t="n">
        <f aca="false">IF(OR(F1676="Open",F1676="Reopened"),1,0)</f>
        <v>0</v>
      </c>
      <c r="S1676" s="7" t="n">
        <f aca="false">IF(AND(H1676&gt;='Exec Summary'!$E$1,H1676&lt;='Exec Summary'!$E$2),1,0)</f>
        <v>0</v>
      </c>
      <c r="T1676" s="7" t="n">
        <f aca="false">IF(AND(F1676="Closed",I1676&lt;&gt;"",I1676&gt;='Exec Summary'!$E$1,I1676&lt;='Exec Summary'!$E$2),1,0)</f>
        <v>1</v>
      </c>
      <c r="U1676" s="7" t="n">
        <f aca="false">IF(F1676="Reopened",1,0)</f>
        <v>0</v>
      </c>
      <c r="V1676" s="7" t="n">
        <f aca="false">IF(AND(R1676=1,O1676&gt;Q1676),1,0)</f>
        <v>0</v>
      </c>
      <c r="W1676" s="7" t="n">
        <f aca="false">IF(AND(T1676=1,P1676&lt;&gt;"",P1676&lt;=Q1676),1,0)</f>
        <v>1</v>
      </c>
    </row>
    <row r="1677" customFormat="false" ht="15" hidden="false" customHeight="false" outlineLevel="0" collapsed="false">
      <c r="A1677" s="7" t="s">
        <v>2030</v>
      </c>
      <c r="B1677" s="7" t="s">
        <v>135</v>
      </c>
      <c r="C1677" s="7" t="s">
        <v>306</v>
      </c>
      <c r="D1677" s="7" t="s">
        <v>54</v>
      </c>
      <c r="E1677" s="7" t="s">
        <v>55</v>
      </c>
      <c r="F1677" s="7" t="s">
        <v>56</v>
      </c>
      <c r="G1677" s="7" t="s">
        <v>19</v>
      </c>
      <c r="H1677" s="9" t="n">
        <v>46049</v>
      </c>
      <c r="I1677" s="9"/>
      <c r="J1677" s="7" t="n">
        <v>9.8</v>
      </c>
      <c r="K1677" s="7" t="s">
        <v>1971</v>
      </c>
      <c r="L1677" s="7" t="s">
        <v>19</v>
      </c>
      <c r="M1677" s="7" t="s">
        <v>2031</v>
      </c>
      <c r="N1677" s="7" t="s">
        <v>58</v>
      </c>
      <c r="O1677" s="10" t="n">
        <f aca="false">'Exec Summary'!$E$2-H1677</f>
        <v>185</v>
      </c>
      <c r="P1677" s="10" t="str">
        <f aca="false">IF(I1677="","",I1677-H1677)</f>
        <v/>
      </c>
      <c r="Q1677" s="10" t="n">
        <f aca="false">VLOOKUP(G1677,$AA$2:$AB$5,2,FALSE())</f>
        <v>15</v>
      </c>
      <c r="R1677" s="7" t="n">
        <f aca="false">IF(OR(F1677="Open",F1677="Reopened"),1,0)</f>
        <v>1</v>
      </c>
      <c r="S1677" s="7" t="n">
        <f aca="false">IF(AND(H1677&gt;='Exec Summary'!$E$1,H1677&lt;='Exec Summary'!$E$2),1,0)</f>
        <v>0</v>
      </c>
      <c r="T1677" s="7" t="n">
        <f aca="false">IF(AND(F1677="Closed",I1677&lt;&gt;"",I1677&gt;='Exec Summary'!$E$1,I1677&lt;='Exec Summary'!$E$2),1,0)</f>
        <v>0</v>
      </c>
      <c r="U1677" s="7" t="n">
        <f aca="false">IF(F1677="Reopened",1,0)</f>
        <v>0</v>
      </c>
      <c r="V1677" s="7" t="n">
        <f aca="false">IF(AND(R1677=1,O1677&gt;Q1677),1,0)</f>
        <v>1</v>
      </c>
      <c r="W1677" s="7" t="n">
        <f aca="false">IF(AND(T1677=1,P1677&lt;&gt;"",P1677&lt;=Q1677),1,0)</f>
        <v>0</v>
      </c>
    </row>
    <row r="1678" customFormat="false" ht="15" hidden="false" customHeight="false" outlineLevel="0" collapsed="false">
      <c r="A1678" s="7" t="s">
        <v>2030</v>
      </c>
      <c r="B1678" s="7" t="s">
        <v>135</v>
      </c>
      <c r="C1678" s="7" t="s">
        <v>306</v>
      </c>
      <c r="D1678" s="7" t="s">
        <v>84</v>
      </c>
      <c r="E1678" s="7" t="s">
        <v>85</v>
      </c>
      <c r="F1678" s="7" t="s">
        <v>50</v>
      </c>
      <c r="G1678" s="7" t="s">
        <v>20</v>
      </c>
      <c r="H1678" s="9" t="n">
        <v>46134</v>
      </c>
      <c r="I1678" s="9" t="n">
        <v>46161</v>
      </c>
      <c r="J1678" s="7" t="n">
        <v>7.5</v>
      </c>
      <c r="K1678" s="7" t="s">
        <v>1971</v>
      </c>
      <c r="L1678" s="7" t="s">
        <v>19</v>
      </c>
      <c r="M1678" s="7" t="s">
        <v>2032</v>
      </c>
      <c r="N1678" s="7" t="s">
        <v>53</v>
      </c>
      <c r="O1678" s="10" t="n">
        <f aca="false">'Exec Summary'!$E$2-H1678</f>
        <v>100</v>
      </c>
      <c r="P1678" s="10" t="n">
        <f aca="false">IF(I1678="","",I1678-H1678)</f>
        <v>27</v>
      </c>
      <c r="Q1678" s="10" t="n">
        <f aca="false">VLOOKUP(G1678,$AA$2:$AB$5,2,FALSE())</f>
        <v>30</v>
      </c>
      <c r="R1678" s="7" t="n">
        <f aca="false">IF(OR(F1678="Open",F1678="Reopened"),1,0)</f>
        <v>0</v>
      </c>
      <c r="S1678" s="7" t="n">
        <f aca="false">IF(AND(H1678&gt;='Exec Summary'!$E$1,H1678&lt;='Exec Summary'!$E$2),1,0)</f>
        <v>0</v>
      </c>
      <c r="T1678" s="7" t="n">
        <f aca="false">IF(AND(F1678="Closed",I1678&lt;&gt;"",I1678&gt;='Exec Summary'!$E$1,I1678&lt;='Exec Summary'!$E$2),1,0)</f>
        <v>0</v>
      </c>
      <c r="U1678" s="7" t="n">
        <f aca="false">IF(F1678="Reopened",1,0)</f>
        <v>0</v>
      </c>
      <c r="V1678" s="7" t="n">
        <f aca="false">IF(AND(R1678=1,O1678&gt;Q1678),1,0)</f>
        <v>0</v>
      </c>
      <c r="W1678" s="7" t="n">
        <f aca="false">IF(AND(T1678=1,P1678&lt;&gt;"",P1678&lt;=Q1678),1,0)</f>
        <v>0</v>
      </c>
    </row>
    <row r="1679" customFormat="false" ht="15" hidden="false" customHeight="false" outlineLevel="0" collapsed="false">
      <c r="A1679" s="7" t="s">
        <v>2030</v>
      </c>
      <c r="B1679" s="7" t="s">
        <v>135</v>
      </c>
      <c r="C1679" s="7" t="s">
        <v>306</v>
      </c>
      <c r="D1679" s="7" t="s">
        <v>91</v>
      </c>
      <c r="E1679" s="7" t="s">
        <v>92</v>
      </c>
      <c r="F1679" s="7" t="s">
        <v>50</v>
      </c>
      <c r="G1679" s="7" t="s">
        <v>20</v>
      </c>
      <c r="H1679" s="9" t="n">
        <v>46039</v>
      </c>
      <c r="I1679" s="9" t="n">
        <v>46086</v>
      </c>
      <c r="J1679" s="7" t="n">
        <v>8.1</v>
      </c>
      <c r="K1679" s="7" t="s">
        <v>1971</v>
      </c>
      <c r="L1679" s="7" t="s">
        <v>19</v>
      </c>
      <c r="M1679" s="7" t="s">
        <v>2033</v>
      </c>
      <c r="N1679" s="7" t="s">
        <v>53</v>
      </c>
      <c r="O1679" s="10" t="n">
        <f aca="false">'Exec Summary'!$E$2-H1679</f>
        <v>195</v>
      </c>
      <c r="P1679" s="10" t="n">
        <f aca="false">IF(I1679="","",I1679-H1679)</f>
        <v>47</v>
      </c>
      <c r="Q1679" s="10" t="n">
        <f aca="false">VLOOKUP(G1679,$AA$2:$AB$5,2,FALSE())</f>
        <v>30</v>
      </c>
      <c r="R1679" s="7" t="n">
        <f aca="false">IF(OR(F1679="Open",F1679="Reopened"),1,0)</f>
        <v>0</v>
      </c>
      <c r="S1679" s="7" t="n">
        <f aca="false">IF(AND(H1679&gt;='Exec Summary'!$E$1,H1679&lt;='Exec Summary'!$E$2),1,0)</f>
        <v>0</v>
      </c>
      <c r="T1679" s="7" t="n">
        <f aca="false">IF(AND(F1679="Closed",I1679&lt;&gt;"",I1679&gt;='Exec Summary'!$E$1,I1679&lt;='Exec Summary'!$E$2),1,0)</f>
        <v>0</v>
      </c>
      <c r="U1679" s="7" t="n">
        <f aca="false">IF(F1679="Reopened",1,0)</f>
        <v>0</v>
      </c>
      <c r="V1679" s="7" t="n">
        <f aca="false">IF(AND(R1679=1,O1679&gt;Q1679),1,0)</f>
        <v>0</v>
      </c>
      <c r="W1679" s="7" t="n">
        <f aca="false">IF(AND(T1679=1,P1679&lt;&gt;"",P1679&lt;=Q1679),1,0)</f>
        <v>0</v>
      </c>
    </row>
    <row r="1680" customFormat="false" ht="15" hidden="false" customHeight="false" outlineLevel="0" collapsed="false">
      <c r="A1680" s="7" t="s">
        <v>2030</v>
      </c>
      <c r="B1680" s="7" t="s">
        <v>135</v>
      </c>
      <c r="C1680" s="7" t="s">
        <v>306</v>
      </c>
      <c r="D1680" s="7" t="s">
        <v>131</v>
      </c>
      <c r="E1680" s="7" t="s">
        <v>132</v>
      </c>
      <c r="F1680" s="7" t="s">
        <v>56</v>
      </c>
      <c r="G1680" s="7" t="s">
        <v>19</v>
      </c>
      <c r="H1680" s="9" t="n">
        <v>46081</v>
      </c>
      <c r="I1680" s="9"/>
      <c r="J1680" s="7" t="n">
        <v>9.8</v>
      </c>
      <c r="K1680" s="7" t="s">
        <v>1971</v>
      </c>
      <c r="L1680" s="7" t="s">
        <v>19</v>
      </c>
      <c r="M1680" s="7" t="s">
        <v>2034</v>
      </c>
      <c r="N1680" s="7" t="s">
        <v>58</v>
      </c>
      <c r="O1680" s="10" t="n">
        <f aca="false">'Exec Summary'!$E$2-H1680</f>
        <v>153</v>
      </c>
      <c r="P1680" s="10" t="str">
        <f aca="false">IF(I1680="","",I1680-H1680)</f>
        <v/>
      </c>
      <c r="Q1680" s="10" t="n">
        <f aca="false">VLOOKUP(G1680,$AA$2:$AB$5,2,FALSE())</f>
        <v>15</v>
      </c>
      <c r="R1680" s="7" t="n">
        <f aca="false">IF(OR(F1680="Open",F1680="Reopened"),1,0)</f>
        <v>1</v>
      </c>
      <c r="S1680" s="7" t="n">
        <f aca="false">IF(AND(H1680&gt;='Exec Summary'!$E$1,H1680&lt;='Exec Summary'!$E$2),1,0)</f>
        <v>0</v>
      </c>
      <c r="T1680" s="7" t="n">
        <f aca="false">IF(AND(F1680="Closed",I1680&lt;&gt;"",I1680&gt;='Exec Summary'!$E$1,I1680&lt;='Exec Summary'!$E$2),1,0)</f>
        <v>0</v>
      </c>
      <c r="U1680" s="7" t="n">
        <f aca="false">IF(F1680="Reopened",1,0)</f>
        <v>0</v>
      </c>
      <c r="V1680" s="7" t="n">
        <f aca="false">IF(AND(R1680=1,O1680&gt;Q1680),1,0)</f>
        <v>1</v>
      </c>
      <c r="W1680" s="7" t="n">
        <f aca="false">IF(AND(T1680=1,P1680&lt;&gt;"",P1680&lt;=Q1680),1,0)</f>
        <v>0</v>
      </c>
    </row>
    <row r="1681" customFormat="false" ht="15" hidden="false" customHeight="false" outlineLevel="0" collapsed="false">
      <c r="A1681" s="7" t="s">
        <v>2030</v>
      </c>
      <c r="B1681" s="7" t="s">
        <v>135</v>
      </c>
      <c r="C1681" s="7" t="s">
        <v>306</v>
      </c>
      <c r="D1681" s="7" t="s">
        <v>95</v>
      </c>
      <c r="E1681" s="7" t="s">
        <v>96</v>
      </c>
      <c r="F1681" s="7" t="s">
        <v>50</v>
      </c>
      <c r="G1681" s="7" t="s">
        <v>20</v>
      </c>
      <c r="H1681" s="9" t="n">
        <v>46028</v>
      </c>
      <c r="I1681" s="9" t="n">
        <v>46045</v>
      </c>
      <c r="J1681" s="7" t="n">
        <v>8.8</v>
      </c>
      <c r="K1681" s="7" t="s">
        <v>1971</v>
      </c>
      <c r="L1681" s="7" t="s">
        <v>19</v>
      </c>
      <c r="M1681" s="7" t="s">
        <v>2035</v>
      </c>
      <c r="N1681" s="7" t="s">
        <v>53</v>
      </c>
      <c r="O1681" s="10" t="n">
        <f aca="false">'Exec Summary'!$E$2-H1681</f>
        <v>206</v>
      </c>
      <c r="P1681" s="10" t="n">
        <f aca="false">IF(I1681="","",I1681-H1681)</f>
        <v>17</v>
      </c>
      <c r="Q1681" s="10" t="n">
        <f aca="false">VLOOKUP(G1681,$AA$2:$AB$5,2,FALSE())</f>
        <v>30</v>
      </c>
      <c r="R1681" s="7" t="n">
        <f aca="false">IF(OR(F1681="Open",F1681="Reopened"),1,0)</f>
        <v>0</v>
      </c>
      <c r="S1681" s="7" t="n">
        <f aca="false">IF(AND(H1681&gt;='Exec Summary'!$E$1,H1681&lt;='Exec Summary'!$E$2),1,0)</f>
        <v>0</v>
      </c>
      <c r="T1681" s="7" t="n">
        <f aca="false">IF(AND(F1681="Closed",I1681&lt;&gt;"",I1681&gt;='Exec Summary'!$E$1,I1681&lt;='Exec Summary'!$E$2),1,0)</f>
        <v>0</v>
      </c>
      <c r="U1681" s="7" t="n">
        <f aca="false">IF(F1681="Reopened",1,0)</f>
        <v>0</v>
      </c>
      <c r="V1681" s="7" t="n">
        <f aca="false">IF(AND(R1681=1,O1681&gt;Q1681),1,0)</f>
        <v>0</v>
      </c>
      <c r="W1681" s="7" t="n">
        <f aca="false">IF(AND(T1681=1,P1681&lt;&gt;"",P1681&lt;=Q1681),1,0)</f>
        <v>0</v>
      </c>
    </row>
    <row r="1682" customFormat="false" ht="15" hidden="false" customHeight="false" outlineLevel="0" collapsed="false">
      <c r="A1682" s="7" t="s">
        <v>2036</v>
      </c>
      <c r="B1682" s="7" t="s">
        <v>46</v>
      </c>
      <c r="C1682" s="7" t="s">
        <v>158</v>
      </c>
      <c r="D1682" s="7" t="s">
        <v>117</v>
      </c>
      <c r="E1682" s="7" t="s">
        <v>118</v>
      </c>
      <c r="F1682" s="7" t="s">
        <v>123</v>
      </c>
      <c r="G1682" s="7" t="s">
        <v>19</v>
      </c>
      <c r="H1682" s="9" t="n">
        <v>46176</v>
      </c>
      <c r="I1682" s="9" t="n">
        <v>46179</v>
      </c>
      <c r="J1682" s="7" t="n">
        <v>10</v>
      </c>
      <c r="K1682" s="7" t="s">
        <v>1971</v>
      </c>
      <c r="L1682" s="7" t="s">
        <v>19</v>
      </c>
      <c r="M1682" s="7" t="s">
        <v>2037</v>
      </c>
      <c r="N1682" s="7" t="s">
        <v>58</v>
      </c>
      <c r="O1682" s="10" t="n">
        <f aca="false">'Exec Summary'!$E$2-H1682</f>
        <v>58</v>
      </c>
      <c r="P1682" s="10" t="n">
        <f aca="false">IF(I1682="","",I1682-H1682)</f>
        <v>3</v>
      </c>
      <c r="Q1682" s="10" t="n">
        <f aca="false">VLOOKUP(G1682,$AA$2:$AB$5,2,FALSE())</f>
        <v>15</v>
      </c>
      <c r="R1682" s="7" t="n">
        <f aca="false">IF(OR(F1682="Open",F1682="Reopened"),1,0)</f>
        <v>1</v>
      </c>
      <c r="S1682" s="7" t="n">
        <f aca="false">IF(AND(H1682&gt;='Exec Summary'!$E$1,H1682&lt;='Exec Summary'!$E$2),1,0)</f>
        <v>0</v>
      </c>
      <c r="T1682" s="7" t="n">
        <f aca="false">IF(AND(F1682="Closed",I1682&lt;&gt;"",I1682&gt;='Exec Summary'!$E$1,I1682&lt;='Exec Summary'!$E$2),1,0)</f>
        <v>0</v>
      </c>
      <c r="U1682" s="7" t="n">
        <f aca="false">IF(F1682="Reopened",1,0)</f>
        <v>1</v>
      </c>
      <c r="V1682" s="7" t="n">
        <f aca="false">IF(AND(R1682=1,O1682&gt;Q1682),1,0)</f>
        <v>1</v>
      </c>
      <c r="W1682" s="7" t="n">
        <f aca="false">IF(AND(T1682=1,P1682&lt;&gt;"",P1682&lt;=Q1682),1,0)</f>
        <v>0</v>
      </c>
    </row>
    <row r="1683" customFormat="false" ht="15" hidden="false" customHeight="false" outlineLevel="0" collapsed="false">
      <c r="A1683" s="7" t="s">
        <v>2038</v>
      </c>
      <c r="B1683" s="7" t="s">
        <v>135</v>
      </c>
      <c r="C1683" s="7" t="s">
        <v>306</v>
      </c>
      <c r="D1683" s="7" t="s">
        <v>71</v>
      </c>
      <c r="E1683" s="7" t="s">
        <v>72</v>
      </c>
      <c r="F1683" s="7" t="s">
        <v>56</v>
      </c>
      <c r="G1683" s="7" t="s">
        <v>19</v>
      </c>
      <c r="H1683" s="9" t="n">
        <v>46224</v>
      </c>
      <c r="I1683" s="9"/>
      <c r="J1683" s="7" t="n">
        <v>9.8</v>
      </c>
      <c r="K1683" s="7" t="s">
        <v>1971</v>
      </c>
      <c r="L1683" s="7" t="s">
        <v>19</v>
      </c>
      <c r="M1683" s="7" t="s">
        <v>2039</v>
      </c>
      <c r="N1683" s="7" t="s">
        <v>58</v>
      </c>
      <c r="O1683" s="10" t="n">
        <f aca="false">'Exec Summary'!$E$2-H1683</f>
        <v>10</v>
      </c>
      <c r="P1683" s="10" t="str">
        <f aca="false">IF(I1683="","",I1683-H1683)</f>
        <v/>
      </c>
      <c r="Q1683" s="10" t="n">
        <f aca="false">VLOOKUP(G1683,$AA$2:$AB$5,2,FALSE())</f>
        <v>15</v>
      </c>
      <c r="R1683" s="7" t="n">
        <f aca="false">IF(OR(F1683="Open",F1683="Reopened"),1,0)</f>
        <v>1</v>
      </c>
      <c r="S1683" s="7" t="n">
        <f aca="false">IF(AND(H1683&gt;='Exec Summary'!$E$1,H1683&lt;='Exec Summary'!$E$2),1,0)</f>
        <v>1</v>
      </c>
      <c r="T1683" s="7" t="n">
        <f aca="false">IF(AND(F1683="Closed",I1683&lt;&gt;"",I1683&gt;='Exec Summary'!$E$1,I1683&lt;='Exec Summary'!$E$2),1,0)</f>
        <v>0</v>
      </c>
      <c r="U1683" s="7" t="n">
        <f aca="false">IF(F1683="Reopened",1,0)</f>
        <v>0</v>
      </c>
      <c r="V1683" s="7" t="n">
        <f aca="false">IF(AND(R1683=1,O1683&gt;Q1683),1,0)</f>
        <v>0</v>
      </c>
      <c r="W1683" s="7" t="n">
        <f aca="false">IF(AND(T1683=1,P1683&lt;&gt;"",P1683&lt;=Q1683),1,0)</f>
        <v>0</v>
      </c>
    </row>
    <row r="1684" customFormat="false" ht="15" hidden="false" customHeight="false" outlineLevel="0" collapsed="false">
      <c r="A1684" s="7" t="s">
        <v>2038</v>
      </c>
      <c r="B1684" s="7" t="s">
        <v>135</v>
      </c>
      <c r="C1684" s="7" t="s">
        <v>306</v>
      </c>
      <c r="D1684" s="7" t="s">
        <v>101</v>
      </c>
      <c r="E1684" s="7" t="s">
        <v>102</v>
      </c>
      <c r="F1684" s="7" t="s">
        <v>123</v>
      </c>
      <c r="G1684" s="7" t="s">
        <v>19</v>
      </c>
      <c r="H1684" s="9" t="n">
        <v>46050</v>
      </c>
      <c r="I1684" s="9" t="n">
        <v>46063</v>
      </c>
      <c r="J1684" s="7" t="n">
        <v>10</v>
      </c>
      <c r="K1684" s="7" t="s">
        <v>1971</v>
      </c>
      <c r="L1684" s="7" t="s">
        <v>19</v>
      </c>
      <c r="M1684" s="7" t="s">
        <v>2040</v>
      </c>
      <c r="N1684" s="7" t="s">
        <v>58</v>
      </c>
      <c r="O1684" s="10" t="n">
        <f aca="false">'Exec Summary'!$E$2-H1684</f>
        <v>184</v>
      </c>
      <c r="P1684" s="10" t="n">
        <f aca="false">IF(I1684="","",I1684-H1684)</f>
        <v>13</v>
      </c>
      <c r="Q1684" s="10" t="n">
        <f aca="false">VLOOKUP(G1684,$AA$2:$AB$5,2,FALSE())</f>
        <v>15</v>
      </c>
      <c r="R1684" s="7" t="n">
        <f aca="false">IF(OR(F1684="Open",F1684="Reopened"),1,0)</f>
        <v>1</v>
      </c>
      <c r="S1684" s="7" t="n">
        <f aca="false">IF(AND(H1684&gt;='Exec Summary'!$E$1,H1684&lt;='Exec Summary'!$E$2),1,0)</f>
        <v>0</v>
      </c>
      <c r="T1684" s="7" t="n">
        <f aca="false">IF(AND(F1684="Closed",I1684&lt;&gt;"",I1684&gt;='Exec Summary'!$E$1,I1684&lt;='Exec Summary'!$E$2),1,0)</f>
        <v>0</v>
      </c>
      <c r="U1684" s="7" t="n">
        <f aca="false">IF(F1684="Reopened",1,0)</f>
        <v>1</v>
      </c>
      <c r="V1684" s="7" t="n">
        <f aca="false">IF(AND(R1684=1,O1684&gt;Q1684),1,0)</f>
        <v>1</v>
      </c>
      <c r="W1684" s="7" t="n">
        <f aca="false">IF(AND(T1684=1,P1684&lt;&gt;"",P1684&lt;=Q1684),1,0)</f>
        <v>0</v>
      </c>
    </row>
    <row r="1685" customFormat="false" ht="15" hidden="false" customHeight="false" outlineLevel="0" collapsed="false">
      <c r="A1685" s="7" t="s">
        <v>2038</v>
      </c>
      <c r="B1685" s="7" t="s">
        <v>135</v>
      </c>
      <c r="C1685" s="7" t="s">
        <v>306</v>
      </c>
      <c r="D1685" s="7" t="s">
        <v>139</v>
      </c>
      <c r="E1685" s="7" t="s">
        <v>140</v>
      </c>
      <c r="F1685" s="7" t="s">
        <v>50</v>
      </c>
      <c r="G1685" s="7" t="s">
        <v>19</v>
      </c>
      <c r="H1685" s="9" t="n">
        <v>46105</v>
      </c>
      <c r="I1685" s="9" t="n">
        <v>46119</v>
      </c>
      <c r="J1685" s="7" t="n">
        <v>9.8</v>
      </c>
      <c r="K1685" s="7" t="s">
        <v>1971</v>
      </c>
      <c r="L1685" s="7" t="s">
        <v>19</v>
      </c>
      <c r="M1685" s="7" t="s">
        <v>2041</v>
      </c>
      <c r="N1685" s="7" t="s">
        <v>58</v>
      </c>
      <c r="O1685" s="10" t="n">
        <f aca="false">'Exec Summary'!$E$2-H1685</f>
        <v>129</v>
      </c>
      <c r="P1685" s="10" t="n">
        <f aca="false">IF(I1685="","",I1685-H1685)</f>
        <v>14</v>
      </c>
      <c r="Q1685" s="10" t="n">
        <f aca="false">VLOOKUP(G1685,$AA$2:$AB$5,2,FALSE())</f>
        <v>15</v>
      </c>
      <c r="R1685" s="7" t="n">
        <f aca="false">IF(OR(F1685="Open",F1685="Reopened"),1,0)</f>
        <v>0</v>
      </c>
      <c r="S1685" s="7" t="n">
        <f aca="false">IF(AND(H1685&gt;='Exec Summary'!$E$1,H1685&lt;='Exec Summary'!$E$2),1,0)</f>
        <v>0</v>
      </c>
      <c r="T1685" s="7" t="n">
        <f aca="false">IF(AND(F1685="Closed",I1685&lt;&gt;"",I1685&gt;='Exec Summary'!$E$1,I1685&lt;='Exec Summary'!$E$2),1,0)</f>
        <v>0</v>
      </c>
      <c r="U1685" s="7" t="n">
        <f aca="false">IF(F1685="Reopened",1,0)</f>
        <v>0</v>
      </c>
      <c r="V1685" s="7" t="n">
        <f aca="false">IF(AND(R1685=1,O1685&gt;Q1685),1,0)</f>
        <v>0</v>
      </c>
      <c r="W1685" s="7" t="n">
        <f aca="false">IF(AND(T1685=1,P1685&lt;&gt;"",P1685&lt;=Q1685),1,0)</f>
        <v>0</v>
      </c>
    </row>
    <row r="1686" customFormat="false" ht="15" hidden="false" customHeight="false" outlineLevel="0" collapsed="false">
      <c r="A1686" s="7" t="s">
        <v>2038</v>
      </c>
      <c r="B1686" s="7" t="s">
        <v>135</v>
      </c>
      <c r="C1686" s="7" t="s">
        <v>306</v>
      </c>
      <c r="D1686" s="7" t="s">
        <v>54</v>
      </c>
      <c r="E1686" s="7" t="s">
        <v>55</v>
      </c>
      <c r="F1686" s="7" t="s">
        <v>50</v>
      </c>
      <c r="G1686" s="7" t="s">
        <v>19</v>
      </c>
      <c r="H1686" s="9" t="n">
        <v>46183</v>
      </c>
      <c r="I1686" s="9" t="n">
        <v>46184</v>
      </c>
      <c r="J1686" s="7" t="n">
        <v>9.8</v>
      </c>
      <c r="K1686" s="7" t="s">
        <v>1971</v>
      </c>
      <c r="L1686" s="7" t="s">
        <v>19</v>
      </c>
      <c r="M1686" s="7" t="s">
        <v>2042</v>
      </c>
      <c r="N1686" s="7" t="s">
        <v>58</v>
      </c>
      <c r="O1686" s="10" t="n">
        <f aca="false">'Exec Summary'!$E$2-H1686</f>
        <v>51</v>
      </c>
      <c r="P1686" s="10" t="n">
        <f aca="false">IF(I1686="","",I1686-H1686)</f>
        <v>1</v>
      </c>
      <c r="Q1686" s="10" t="n">
        <f aca="false">VLOOKUP(G1686,$AA$2:$AB$5,2,FALSE())</f>
        <v>15</v>
      </c>
      <c r="R1686" s="7" t="n">
        <f aca="false">IF(OR(F1686="Open",F1686="Reopened"),1,0)</f>
        <v>0</v>
      </c>
      <c r="S1686" s="7" t="n">
        <f aca="false">IF(AND(H1686&gt;='Exec Summary'!$E$1,H1686&lt;='Exec Summary'!$E$2),1,0)</f>
        <v>0</v>
      </c>
      <c r="T1686" s="7" t="n">
        <f aca="false">IF(AND(F1686="Closed",I1686&lt;&gt;"",I1686&gt;='Exec Summary'!$E$1,I1686&lt;='Exec Summary'!$E$2),1,0)</f>
        <v>0</v>
      </c>
      <c r="U1686" s="7" t="n">
        <f aca="false">IF(F1686="Reopened",1,0)</f>
        <v>0</v>
      </c>
      <c r="V1686" s="7" t="n">
        <f aca="false">IF(AND(R1686=1,O1686&gt;Q1686),1,0)</f>
        <v>0</v>
      </c>
      <c r="W1686" s="7" t="n">
        <f aca="false">IF(AND(T1686=1,P1686&lt;&gt;"",P1686&lt;=Q1686),1,0)</f>
        <v>0</v>
      </c>
    </row>
    <row r="1687" customFormat="false" ht="15" hidden="false" customHeight="false" outlineLevel="0" collapsed="false">
      <c r="A1687" s="7" t="s">
        <v>2038</v>
      </c>
      <c r="B1687" s="7" t="s">
        <v>135</v>
      </c>
      <c r="C1687" s="7" t="s">
        <v>306</v>
      </c>
      <c r="D1687" s="7" t="s">
        <v>81</v>
      </c>
      <c r="E1687" s="7" t="s">
        <v>82</v>
      </c>
      <c r="F1687" s="7" t="s">
        <v>56</v>
      </c>
      <c r="G1687" s="7" t="s">
        <v>20</v>
      </c>
      <c r="H1687" s="9" t="n">
        <v>46199</v>
      </c>
      <c r="I1687" s="9"/>
      <c r="J1687" s="7" t="n">
        <v>7.8</v>
      </c>
      <c r="K1687" s="7" t="s">
        <v>1971</v>
      </c>
      <c r="L1687" s="7" t="s">
        <v>19</v>
      </c>
      <c r="M1687" s="7" t="s">
        <v>2043</v>
      </c>
      <c r="N1687" s="7" t="s">
        <v>53</v>
      </c>
      <c r="O1687" s="10" t="n">
        <f aca="false">'Exec Summary'!$E$2-H1687</f>
        <v>35</v>
      </c>
      <c r="P1687" s="10" t="str">
        <f aca="false">IF(I1687="","",I1687-H1687)</f>
        <v/>
      </c>
      <c r="Q1687" s="10" t="n">
        <f aca="false">VLOOKUP(G1687,$AA$2:$AB$5,2,FALSE())</f>
        <v>30</v>
      </c>
      <c r="R1687" s="7" t="n">
        <f aca="false">IF(OR(F1687="Open",F1687="Reopened"),1,0)</f>
        <v>1</v>
      </c>
      <c r="S1687" s="7" t="n">
        <f aca="false">IF(AND(H1687&gt;='Exec Summary'!$E$1,H1687&lt;='Exec Summary'!$E$2),1,0)</f>
        <v>0</v>
      </c>
      <c r="T1687" s="7" t="n">
        <f aca="false">IF(AND(F1687="Closed",I1687&lt;&gt;"",I1687&gt;='Exec Summary'!$E$1,I1687&lt;='Exec Summary'!$E$2),1,0)</f>
        <v>0</v>
      </c>
      <c r="U1687" s="7" t="n">
        <f aca="false">IF(F1687="Reopened",1,0)</f>
        <v>0</v>
      </c>
      <c r="V1687" s="7" t="n">
        <f aca="false">IF(AND(R1687=1,O1687&gt;Q1687),1,0)</f>
        <v>1</v>
      </c>
      <c r="W1687" s="7" t="n">
        <f aca="false">IF(AND(T1687=1,P1687&lt;&gt;"",P1687&lt;=Q1687),1,0)</f>
        <v>0</v>
      </c>
    </row>
    <row r="1688" customFormat="false" ht="15" hidden="false" customHeight="false" outlineLevel="0" collapsed="false">
      <c r="A1688" s="7" t="s">
        <v>2038</v>
      </c>
      <c r="B1688" s="7" t="s">
        <v>135</v>
      </c>
      <c r="C1688" s="7" t="s">
        <v>306</v>
      </c>
      <c r="D1688" s="7" t="s">
        <v>131</v>
      </c>
      <c r="E1688" s="7" t="s">
        <v>132</v>
      </c>
      <c r="F1688" s="7" t="s">
        <v>50</v>
      </c>
      <c r="G1688" s="7" t="s">
        <v>19</v>
      </c>
      <c r="H1688" s="9" t="n">
        <v>45991</v>
      </c>
      <c r="I1688" s="9" t="n">
        <v>46005</v>
      </c>
      <c r="J1688" s="7" t="n">
        <v>9.8</v>
      </c>
      <c r="K1688" s="7" t="s">
        <v>1971</v>
      </c>
      <c r="L1688" s="7" t="s">
        <v>19</v>
      </c>
      <c r="M1688" s="7" t="s">
        <v>2044</v>
      </c>
      <c r="N1688" s="7" t="s">
        <v>58</v>
      </c>
      <c r="O1688" s="10" t="n">
        <f aca="false">'Exec Summary'!$E$2-H1688</f>
        <v>243</v>
      </c>
      <c r="P1688" s="10" t="n">
        <f aca="false">IF(I1688="","",I1688-H1688)</f>
        <v>14</v>
      </c>
      <c r="Q1688" s="10" t="n">
        <f aca="false">VLOOKUP(G1688,$AA$2:$AB$5,2,FALSE())</f>
        <v>15</v>
      </c>
      <c r="R1688" s="7" t="n">
        <f aca="false">IF(OR(F1688="Open",F1688="Reopened"),1,0)</f>
        <v>0</v>
      </c>
      <c r="S1688" s="7" t="n">
        <f aca="false">IF(AND(H1688&gt;='Exec Summary'!$E$1,H1688&lt;='Exec Summary'!$E$2),1,0)</f>
        <v>0</v>
      </c>
      <c r="T1688" s="7" t="n">
        <f aca="false">IF(AND(F1688="Closed",I1688&lt;&gt;"",I1688&gt;='Exec Summary'!$E$1,I1688&lt;='Exec Summary'!$E$2),1,0)</f>
        <v>0</v>
      </c>
      <c r="U1688" s="7" t="n">
        <f aca="false">IF(F1688="Reopened",1,0)</f>
        <v>0</v>
      </c>
      <c r="V1688" s="7" t="n">
        <f aca="false">IF(AND(R1688=1,O1688&gt;Q1688),1,0)</f>
        <v>0</v>
      </c>
      <c r="W1688" s="7" t="n">
        <f aca="false">IF(AND(T1688=1,P1688&lt;&gt;"",P1688&lt;=Q1688),1,0)</f>
        <v>0</v>
      </c>
    </row>
    <row r="1689" customFormat="false" ht="15" hidden="false" customHeight="false" outlineLevel="0" collapsed="false">
      <c r="A1689" s="7" t="s">
        <v>2038</v>
      </c>
      <c r="B1689" s="7" t="s">
        <v>135</v>
      </c>
      <c r="C1689" s="7" t="s">
        <v>306</v>
      </c>
      <c r="D1689" s="7" t="s">
        <v>192</v>
      </c>
      <c r="E1689" s="7" t="s">
        <v>193</v>
      </c>
      <c r="F1689" s="7" t="s">
        <v>56</v>
      </c>
      <c r="G1689" s="7" t="s">
        <v>19</v>
      </c>
      <c r="H1689" s="9" t="n">
        <v>46009</v>
      </c>
      <c r="I1689" s="9"/>
      <c r="J1689" s="7" t="n">
        <v>9.8</v>
      </c>
      <c r="K1689" s="7" t="s">
        <v>1971</v>
      </c>
      <c r="L1689" s="7" t="s">
        <v>19</v>
      </c>
      <c r="M1689" s="7" t="s">
        <v>2045</v>
      </c>
      <c r="N1689" s="7" t="s">
        <v>58</v>
      </c>
      <c r="O1689" s="10" t="n">
        <f aca="false">'Exec Summary'!$E$2-H1689</f>
        <v>225</v>
      </c>
      <c r="P1689" s="10" t="str">
        <f aca="false">IF(I1689="","",I1689-H1689)</f>
        <v/>
      </c>
      <c r="Q1689" s="10" t="n">
        <f aca="false">VLOOKUP(G1689,$AA$2:$AB$5,2,FALSE())</f>
        <v>15</v>
      </c>
      <c r="R1689" s="7" t="n">
        <f aca="false">IF(OR(F1689="Open",F1689="Reopened"),1,0)</f>
        <v>1</v>
      </c>
      <c r="S1689" s="7" t="n">
        <f aca="false">IF(AND(H1689&gt;='Exec Summary'!$E$1,H1689&lt;='Exec Summary'!$E$2),1,0)</f>
        <v>0</v>
      </c>
      <c r="T1689" s="7" t="n">
        <f aca="false">IF(AND(F1689="Closed",I1689&lt;&gt;"",I1689&gt;='Exec Summary'!$E$1,I1689&lt;='Exec Summary'!$E$2),1,0)</f>
        <v>0</v>
      </c>
      <c r="U1689" s="7" t="n">
        <f aca="false">IF(F1689="Reopened",1,0)</f>
        <v>0</v>
      </c>
      <c r="V1689" s="7" t="n">
        <f aca="false">IF(AND(R1689=1,O1689&gt;Q1689),1,0)</f>
        <v>1</v>
      </c>
      <c r="W1689" s="7" t="n">
        <f aca="false">IF(AND(T1689=1,P1689&lt;&gt;"",P1689&lt;=Q1689),1,0)</f>
        <v>0</v>
      </c>
    </row>
    <row r="1690" customFormat="false" ht="15" hidden="false" customHeight="false" outlineLevel="0" collapsed="false">
      <c r="A1690" s="7" t="s">
        <v>2038</v>
      </c>
      <c r="B1690" s="7" t="s">
        <v>135</v>
      </c>
      <c r="C1690" s="7" t="s">
        <v>306</v>
      </c>
      <c r="D1690" s="7" t="s">
        <v>210</v>
      </c>
      <c r="E1690" s="7" t="s">
        <v>211</v>
      </c>
      <c r="F1690" s="7" t="s">
        <v>50</v>
      </c>
      <c r="G1690" s="7" t="s">
        <v>19</v>
      </c>
      <c r="H1690" s="9" t="n">
        <v>46006</v>
      </c>
      <c r="I1690" s="9" t="n">
        <v>46025</v>
      </c>
      <c r="J1690" s="7" t="n">
        <v>9.8</v>
      </c>
      <c r="K1690" s="7" t="s">
        <v>1971</v>
      </c>
      <c r="L1690" s="7" t="s">
        <v>19</v>
      </c>
      <c r="M1690" s="7" t="s">
        <v>2046</v>
      </c>
      <c r="N1690" s="7" t="s">
        <v>58</v>
      </c>
      <c r="O1690" s="10" t="n">
        <f aca="false">'Exec Summary'!$E$2-H1690</f>
        <v>228</v>
      </c>
      <c r="P1690" s="10" t="n">
        <f aca="false">IF(I1690="","",I1690-H1690)</f>
        <v>19</v>
      </c>
      <c r="Q1690" s="10" t="n">
        <f aca="false">VLOOKUP(G1690,$AA$2:$AB$5,2,FALSE())</f>
        <v>15</v>
      </c>
      <c r="R1690" s="7" t="n">
        <f aca="false">IF(OR(F1690="Open",F1690="Reopened"),1,0)</f>
        <v>0</v>
      </c>
      <c r="S1690" s="7" t="n">
        <f aca="false">IF(AND(H1690&gt;='Exec Summary'!$E$1,H1690&lt;='Exec Summary'!$E$2),1,0)</f>
        <v>0</v>
      </c>
      <c r="T1690" s="7" t="n">
        <f aca="false">IF(AND(F1690="Closed",I1690&lt;&gt;"",I1690&gt;='Exec Summary'!$E$1,I1690&lt;='Exec Summary'!$E$2),1,0)</f>
        <v>0</v>
      </c>
      <c r="U1690" s="7" t="n">
        <f aca="false">IF(F1690="Reopened",1,0)</f>
        <v>0</v>
      </c>
      <c r="V1690" s="7" t="n">
        <f aca="false">IF(AND(R1690=1,O1690&gt;Q1690),1,0)</f>
        <v>0</v>
      </c>
      <c r="W1690" s="7" t="n">
        <f aca="false">IF(AND(T1690=1,P1690&lt;&gt;"",P1690&lt;=Q1690),1,0)</f>
        <v>0</v>
      </c>
    </row>
    <row r="1691" customFormat="false" ht="15" hidden="false" customHeight="false" outlineLevel="0" collapsed="false">
      <c r="A1691" s="7" t="s">
        <v>2047</v>
      </c>
      <c r="B1691" s="7" t="s">
        <v>46</v>
      </c>
      <c r="C1691" s="7" t="s">
        <v>158</v>
      </c>
      <c r="D1691" s="7" t="s">
        <v>95</v>
      </c>
      <c r="E1691" s="7" t="s">
        <v>96</v>
      </c>
      <c r="F1691" s="7" t="s">
        <v>56</v>
      </c>
      <c r="G1691" s="7" t="s">
        <v>20</v>
      </c>
      <c r="H1691" s="9" t="n">
        <v>46212</v>
      </c>
      <c r="I1691" s="9"/>
      <c r="J1691" s="7" t="n">
        <v>8.8</v>
      </c>
      <c r="K1691" s="7" t="s">
        <v>1971</v>
      </c>
      <c r="L1691" s="7" t="s">
        <v>19</v>
      </c>
      <c r="M1691" s="7" t="s">
        <v>2048</v>
      </c>
      <c r="N1691" s="7" t="s">
        <v>53</v>
      </c>
      <c r="O1691" s="10" t="n">
        <f aca="false">'Exec Summary'!$E$2-H1691</f>
        <v>22</v>
      </c>
      <c r="P1691" s="10" t="str">
        <f aca="false">IF(I1691="","",I1691-H1691)</f>
        <v/>
      </c>
      <c r="Q1691" s="10" t="n">
        <f aca="false">VLOOKUP(G1691,$AA$2:$AB$5,2,FALSE())</f>
        <v>30</v>
      </c>
      <c r="R1691" s="7" t="n">
        <f aca="false">IF(OR(F1691="Open",F1691="Reopened"),1,0)</f>
        <v>1</v>
      </c>
      <c r="S1691" s="7" t="n">
        <f aca="false">IF(AND(H1691&gt;='Exec Summary'!$E$1,H1691&lt;='Exec Summary'!$E$2),1,0)</f>
        <v>1</v>
      </c>
      <c r="T1691" s="7" t="n">
        <f aca="false">IF(AND(F1691="Closed",I1691&lt;&gt;"",I1691&gt;='Exec Summary'!$E$1,I1691&lt;='Exec Summary'!$E$2),1,0)</f>
        <v>0</v>
      </c>
      <c r="U1691" s="7" t="n">
        <f aca="false">IF(F1691="Reopened",1,0)</f>
        <v>0</v>
      </c>
      <c r="V1691" s="7" t="n">
        <f aca="false">IF(AND(R1691=1,O1691&gt;Q1691),1,0)</f>
        <v>0</v>
      </c>
      <c r="W1691" s="7" t="n">
        <f aca="false">IF(AND(T1691=1,P1691&lt;&gt;"",P1691&lt;=Q1691),1,0)</f>
        <v>0</v>
      </c>
    </row>
    <row r="1692" customFormat="false" ht="15" hidden="false" customHeight="false" outlineLevel="0" collapsed="false">
      <c r="A1692" s="7" t="s">
        <v>2047</v>
      </c>
      <c r="B1692" s="7" t="s">
        <v>46</v>
      </c>
      <c r="C1692" s="7" t="s">
        <v>158</v>
      </c>
      <c r="D1692" s="7" t="s">
        <v>210</v>
      </c>
      <c r="E1692" s="7" t="s">
        <v>211</v>
      </c>
      <c r="F1692" s="7" t="s">
        <v>50</v>
      </c>
      <c r="G1692" s="7" t="s">
        <v>19</v>
      </c>
      <c r="H1692" s="9" t="n">
        <v>46203</v>
      </c>
      <c r="I1692" s="9" t="n">
        <v>46215</v>
      </c>
      <c r="J1692" s="7" t="n">
        <v>9.8</v>
      </c>
      <c r="K1692" s="7" t="s">
        <v>1971</v>
      </c>
      <c r="L1692" s="7" t="s">
        <v>19</v>
      </c>
      <c r="M1692" s="7" t="s">
        <v>2049</v>
      </c>
      <c r="N1692" s="7" t="s">
        <v>58</v>
      </c>
      <c r="O1692" s="10" t="n">
        <f aca="false">'Exec Summary'!$E$2-H1692</f>
        <v>31</v>
      </c>
      <c r="P1692" s="10" t="n">
        <f aca="false">IF(I1692="","",I1692-H1692)</f>
        <v>12</v>
      </c>
      <c r="Q1692" s="10" t="n">
        <f aca="false">VLOOKUP(G1692,$AA$2:$AB$5,2,FALSE())</f>
        <v>15</v>
      </c>
      <c r="R1692" s="7" t="n">
        <f aca="false">IF(OR(F1692="Open",F1692="Reopened"),1,0)</f>
        <v>0</v>
      </c>
      <c r="S1692" s="7" t="n">
        <f aca="false">IF(AND(H1692&gt;='Exec Summary'!$E$1,H1692&lt;='Exec Summary'!$E$2),1,0)</f>
        <v>0</v>
      </c>
      <c r="T1692" s="7" t="n">
        <f aca="false">IF(AND(F1692="Closed",I1692&lt;&gt;"",I1692&gt;='Exec Summary'!$E$1,I1692&lt;='Exec Summary'!$E$2),1,0)</f>
        <v>1</v>
      </c>
      <c r="U1692" s="7" t="n">
        <f aca="false">IF(F1692="Reopened",1,0)</f>
        <v>0</v>
      </c>
      <c r="V1692" s="7" t="n">
        <f aca="false">IF(AND(R1692=1,O1692&gt;Q1692),1,0)</f>
        <v>0</v>
      </c>
      <c r="W1692" s="7" t="n">
        <f aca="false">IF(AND(T1692=1,P1692&lt;&gt;"",P1692&lt;=Q1692),1,0)</f>
        <v>1</v>
      </c>
    </row>
    <row r="1693" customFormat="false" ht="15" hidden="false" customHeight="false" outlineLevel="0" collapsed="false">
      <c r="A1693" s="7" t="s">
        <v>2050</v>
      </c>
      <c r="B1693" s="7" t="s">
        <v>135</v>
      </c>
      <c r="C1693" s="7" t="s">
        <v>136</v>
      </c>
      <c r="D1693" s="7" t="s">
        <v>192</v>
      </c>
      <c r="E1693" s="7" t="s">
        <v>193</v>
      </c>
      <c r="F1693" s="7" t="s">
        <v>56</v>
      </c>
      <c r="G1693" s="7" t="s">
        <v>19</v>
      </c>
      <c r="H1693" s="9" t="n">
        <v>46109</v>
      </c>
      <c r="I1693" s="9"/>
      <c r="J1693" s="7" t="n">
        <v>9.8</v>
      </c>
      <c r="K1693" s="7" t="s">
        <v>1971</v>
      </c>
      <c r="L1693" s="7" t="s">
        <v>19</v>
      </c>
      <c r="M1693" s="7" t="s">
        <v>2051</v>
      </c>
      <c r="N1693" s="7" t="s">
        <v>58</v>
      </c>
      <c r="O1693" s="10" t="n">
        <f aca="false">'Exec Summary'!$E$2-H1693</f>
        <v>125</v>
      </c>
      <c r="P1693" s="10" t="str">
        <f aca="false">IF(I1693="","",I1693-H1693)</f>
        <v/>
      </c>
      <c r="Q1693" s="10" t="n">
        <f aca="false">VLOOKUP(G1693,$AA$2:$AB$5,2,FALSE())</f>
        <v>15</v>
      </c>
      <c r="R1693" s="7" t="n">
        <f aca="false">IF(OR(F1693="Open",F1693="Reopened"),1,0)</f>
        <v>1</v>
      </c>
      <c r="S1693" s="7" t="n">
        <f aca="false">IF(AND(H1693&gt;='Exec Summary'!$E$1,H1693&lt;='Exec Summary'!$E$2),1,0)</f>
        <v>0</v>
      </c>
      <c r="T1693" s="7" t="n">
        <f aca="false">IF(AND(F1693="Closed",I1693&lt;&gt;"",I1693&gt;='Exec Summary'!$E$1,I1693&lt;='Exec Summary'!$E$2),1,0)</f>
        <v>0</v>
      </c>
      <c r="U1693" s="7" t="n">
        <f aca="false">IF(F1693="Reopened",1,0)</f>
        <v>0</v>
      </c>
      <c r="V1693" s="7" t="n">
        <f aca="false">IF(AND(R1693=1,O1693&gt;Q1693),1,0)</f>
        <v>1</v>
      </c>
      <c r="W1693" s="7" t="n">
        <f aca="false">IF(AND(T1693=1,P1693&lt;&gt;"",P1693&lt;=Q1693),1,0)</f>
        <v>0</v>
      </c>
    </row>
    <row r="1694" customFormat="false" ht="15" hidden="false" customHeight="false" outlineLevel="0" collapsed="false">
      <c r="A1694" s="7" t="s">
        <v>2050</v>
      </c>
      <c r="B1694" s="7" t="s">
        <v>135</v>
      </c>
      <c r="C1694" s="7" t="s">
        <v>136</v>
      </c>
      <c r="D1694" s="7" t="s">
        <v>71</v>
      </c>
      <c r="E1694" s="7" t="s">
        <v>72</v>
      </c>
      <c r="F1694" s="7" t="s">
        <v>56</v>
      </c>
      <c r="G1694" s="7" t="s">
        <v>19</v>
      </c>
      <c r="H1694" s="9" t="n">
        <v>46155</v>
      </c>
      <c r="I1694" s="9"/>
      <c r="J1694" s="7" t="n">
        <v>9.8</v>
      </c>
      <c r="K1694" s="7" t="s">
        <v>1971</v>
      </c>
      <c r="L1694" s="7" t="s">
        <v>19</v>
      </c>
      <c r="M1694" s="7" t="s">
        <v>2052</v>
      </c>
      <c r="N1694" s="7" t="s">
        <v>58</v>
      </c>
      <c r="O1694" s="10" t="n">
        <f aca="false">'Exec Summary'!$E$2-H1694</f>
        <v>79</v>
      </c>
      <c r="P1694" s="10" t="str">
        <f aca="false">IF(I1694="","",I1694-H1694)</f>
        <v/>
      </c>
      <c r="Q1694" s="10" t="n">
        <f aca="false">VLOOKUP(G1694,$AA$2:$AB$5,2,FALSE())</f>
        <v>15</v>
      </c>
      <c r="R1694" s="7" t="n">
        <f aca="false">IF(OR(F1694="Open",F1694="Reopened"),1,0)</f>
        <v>1</v>
      </c>
      <c r="S1694" s="7" t="n">
        <f aca="false">IF(AND(H1694&gt;='Exec Summary'!$E$1,H1694&lt;='Exec Summary'!$E$2),1,0)</f>
        <v>0</v>
      </c>
      <c r="T1694" s="7" t="n">
        <f aca="false">IF(AND(F1694="Closed",I1694&lt;&gt;"",I1694&gt;='Exec Summary'!$E$1,I1694&lt;='Exec Summary'!$E$2),1,0)</f>
        <v>0</v>
      </c>
      <c r="U1694" s="7" t="n">
        <f aca="false">IF(F1694="Reopened",1,0)</f>
        <v>0</v>
      </c>
      <c r="V1694" s="7" t="n">
        <f aca="false">IF(AND(R1694=1,O1694&gt;Q1694),1,0)</f>
        <v>1</v>
      </c>
      <c r="W1694" s="7" t="n">
        <f aca="false">IF(AND(T1694=1,P1694&lt;&gt;"",P1694&lt;=Q1694),1,0)</f>
        <v>0</v>
      </c>
    </row>
    <row r="1695" customFormat="false" ht="15" hidden="false" customHeight="false" outlineLevel="0" collapsed="false">
      <c r="A1695" s="7" t="s">
        <v>2050</v>
      </c>
      <c r="B1695" s="7" t="s">
        <v>135</v>
      </c>
      <c r="C1695" s="7" t="s">
        <v>136</v>
      </c>
      <c r="D1695" s="7" t="s">
        <v>108</v>
      </c>
      <c r="E1695" s="7" t="s">
        <v>109</v>
      </c>
      <c r="F1695" s="7" t="s">
        <v>50</v>
      </c>
      <c r="G1695" s="7" t="s">
        <v>20</v>
      </c>
      <c r="H1695" s="9" t="n">
        <v>46081</v>
      </c>
      <c r="I1695" s="9" t="n">
        <v>46134</v>
      </c>
      <c r="J1695" s="7" t="n">
        <v>8.6</v>
      </c>
      <c r="K1695" s="7" t="s">
        <v>1971</v>
      </c>
      <c r="L1695" s="7" t="s">
        <v>19</v>
      </c>
      <c r="M1695" s="7" t="s">
        <v>2053</v>
      </c>
      <c r="N1695" s="7" t="s">
        <v>53</v>
      </c>
      <c r="O1695" s="10" t="n">
        <f aca="false">'Exec Summary'!$E$2-H1695</f>
        <v>153</v>
      </c>
      <c r="P1695" s="10" t="n">
        <f aca="false">IF(I1695="","",I1695-H1695)</f>
        <v>53</v>
      </c>
      <c r="Q1695" s="10" t="n">
        <f aca="false">VLOOKUP(G1695,$AA$2:$AB$5,2,FALSE())</f>
        <v>30</v>
      </c>
      <c r="R1695" s="7" t="n">
        <f aca="false">IF(OR(F1695="Open",F1695="Reopened"),1,0)</f>
        <v>0</v>
      </c>
      <c r="S1695" s="7" t="n">
        <f aca="false">IF(AND(H1695&gt;='Exec Summary'!$E$1,H1695&lt;='Exec Summary'!$E$2),1,0)</f>
        <v>0</v>
      </c>
      <c r="T1695" s="7" t="n">
        <f aca="false">IF(AND(F1695="Closed",I1695&lt;&gt;"",I1695&gt;='Exec Summary'!$E$1,I1695&lt;='Exec Summary'!$E$2),1,0)</f>
        <v>0</v>
      </c>
      <c r="U1695" s="7" t="n">
        <f aca="false">IF(F1695="Reopened",1,0)</f>
        <v>0</v>
      </c>
      <c r="V1695" s="7" t="n">
        <f aca="false">IF(AND(R1695=1,O1695&gt;Q1695),1,0)</f>
        <v>0</v>
      </c>
      <c r="W1695" s="7" t="n">
        <f aca="false">IF(AND(T1695=1,P1695&lt;&gt;"",P1695&lt;=Q1695),1,0)</f>
        <v>0</v>
      </c>
    </row>
    <row r="1696" customFormat="false" ht="15" hidden="false" customHeight="false" outlineLevel="0" collapsed="false">
      <c r="A1696" s="7" t="s">
        <v>2050</v>
      </c>
      <c r="B1696" s="7" t="s">
        <v>135</v>
      </c>
      <c r="C1696" s="7" t="s">
        <v>136</v>
      </c>
      <c r="D1696" s="7" t="s">
        <v>173</v>
      </c>
      <c r="E1696" s="7" t="s">
        <v>174</v>
      </c>
      <c r="F1696" s="7" t="s">
        <v>56</v>
      </c>
      <c r="G1696" s="7" t="s">
        <v>19</v>
      </c>
      <c r="H1696" s="9" t="n">
        <v>46201</v>
      </c>
      <c r="I1696" s="9"/>
      <c r="J1696" s="7" t="n">
        <v>9.8</v>
      </c>
      <c r="K1696" s="7" t="s">
        <v>1971</v>
      </c>
      <c r="L1696" s="7" t="s">
        <v>19</v>
      </c>
      <c r="M1696" s="7" t="s">
        <v>2054</v>
      </c>
      <c r="N1696" s="7" t="s">
        <v>58</v>
      </c>
      <c r="O1696" s="10" t="n">
        <f aca="false">'Exec Summary'!$E$2-H1696</f>
        <v>33</v>
      </c>
      <c r="P1696" s="10" t="str">
        <f aca="false">IF(I1696="","",I1696-H1696)</f>
        <v/>
      </c>
      <c r="Q1696" s="10" t="n">
        <f aca="false">VLOOKUP(G1696,$AA$2:$AB$5,2,FALSE())</f>
        <v>15</v>
      </c>
      <c r="R1696" s="7" t="n">
        <f aca="false">IF(OR(F1696="Open",F1696="Reopened"),1,0)</f>
        <v>1</v>
      </c>
      <c r="S1696" s="7" t="n">
        <f aca="false">IF(AND(H1696&gt;='Exec Summary'!$E$1,H1696&lt;='Exec Summary'!$E$2),1,0)</f>
        <v>0</v>
      </c>
      <c r="T1696" s="7" t="n">
        <f aca="false">IF(AND(F1696="Closed",I1696&lt;&gt;"",I1696&gt;='Exec Summary'!$E$1,I1696&lt;='Exec Summary'!$E$2),1,0)</f>
        <v>0</v>
      </c>
      <c r="U1696" s="7" t="n">
        <f aca="false">IF(F1696="Reopened",1,0)</f>
        <v>0</v>
      </c>
      <c r="V1696" s="7" t="n">
        <f aca="false">IF(AND(R1696=1,O1696&gt;Q1696),1,0)</f>
        <v>1</v>
      </c>
      <c r="W1696" s="7" t="n">
        <f aca="false">IF(AND(T1696=1,P1696&lt;&gt;"",P1696&lt;=Q1696),1,0)</f>
        <v>0</v>
      </c>
    </row>
    <row r="1697" customFormat="false" ht="15" hidden="false" customHeight="false" outlineLevel="0" collapsed="false">
      <c r="A1697" s="7" t="s">
        <v>2055</v>
      </c>
      <c r="B1697" s="7" t="s">
        <v>46</v>
      </c>
      <c r="C1697" s="7" t="s">
        <v>47</v>
      </c>
      <c r="D1697" s="7" t="s">
        <v>98</v>
      </c>
      <c r="E1697" s="7" t="s">
        <v>99</v>
      </c>
      <c r="F1697" s="7" t="s">
        <v>56</v>
      </c>
      <c r="G1697" s="7" t="s">
        <v>19</v>
      </c>
      <c r="H1697" s="9" t="n">
        <v>46078</v>
      </c>
      <c r="I1697" s="9"/>
      <c r="J1697" s="7" t="n">
        <v>10</v>
      </c>
      <c r="K1697" s="7" t="s">
        <v>1971</v>
      </c>
      <c r="L1697" s="7" t="s">
        <v>19</v>
      </c>
      <c r="M1697" s="7" t="s">
        <v>2056</v>
      </c>
      <c r="N1697" s="7" t="s">
        <v>58</v>
      </c>
      <c r="O1697" s="10" t="n">
        <f aca="false">'Exec Summary'!$E$2-H1697</f>
        <v>156</v>
      </c>
      <c r="P1697" s="10" t="str">
        <f aca="false">IF(I1697="","",I1697-H1697)</f>
        <v/>
      </c>
      <c r="Q1697" s="10" t="n">
        <f aca="false">VLOOKUP(G1697,$AA$2:$AB$5,2,FALSE())</f>
        <v>15</v>
      </c>
      <c r="R1697" s="7" t="n">
        <f aca="false">IF(OR(F1697="Open",F1697="Reopened"),1,0)</f>
        <v>1</v>
      </c>
      <c r="S1697" s="7" t="n">
        <f aca="false">IF(AND(H1697&gt;='Exec Summary'!$E$1,H1697&lt;='Exec Summary'!$E$2),1,0)</f>
        <v>0</v>
      </c>
      <c r="T1697" s="7" t="n">
        <f aca="false">IF(AND(F1697="Closed",I1697&lt;&gt;"",I1697&gt;='Exec Summary'!$E$1,I1697&lt;='Exec Summary'!$E$2),1,0)</f>
        <v>0</v>
      </c>
      <c r="U1697" s="7" t="n">
        <f aca="false">IF(F1697="Reopened",1,0)</f>
        <v>0</v>
      </c>
      <c r="V1697" s="7" t="n">
        <f aca="false">IF(AND(R1697=1,O1697&gt;Q1697),1,0)</f>
        <v>1</v>
      </c>
      <c r="W1697" s="7" t="n">
        <f aca="false">IF(AND(T1697=1,P1697&lt;&gt;"",P1697&lt;=Q1697),1,0)</f>
        <v>0</v>
      </c>
    </row>
    <row r="1698" customFormat="false" ht="15" hidden="false" customHeight="false" outlineLevel="0" collapsed="false">
      <c r="A1698" s="7" t="s">
        <v>2057</v>
      </c>
      <c r="B1698" s="7" t="s">
        <v>46</v>
      </c>
      <c r="C1698" s="7" t="s">
        <v>47</v>
      </c>
      <c r="D1698" s="7" t="s">
        <v>68</v>
      </c>
      <c r="E1698" s="7" t="s">
        <v>69</v>
      </c>
      <c r="F1698" s="7" t="s">
        <v>56</v>
      </c>
      <c r="G1698" s="7" t="s">
        <v>19</v>
      </c>
      <c r="H1698" s="9" t="n">
        <v>46191</v>
      </c>
      <c r="I1698" s="9"/>
      <c r="J1698" s="7" t="n">
        <v>9.8</v>
      </c>
      <c r="K1698" s="7" t="s">
        <v>1971</v>
      </c>
      <c r="L1698" s="7" t="s">
        <v>19</v>
      </c>
      <c r="M1698" s="7" t="s">
        <v>2058</v>
      </c>
      <c r="N1698" s="7" t="s">
        <v>58</v>
      </c>
      <c r="O1698" s="10" t="n">
        <f aca="false">'Exec Summary'!$E$2-H1698</f>
        <v>43</v>
      </c>
      <c r="P1698" s="10" t="str">
        <f aca="false">IF(I1698="","",I1698-H1698)</f>
        <v/>
      </c>
      <c r="Q1698" s="10" t="n">
        <f aca="false">VLOOKUP(G1698,$AA$2:$AB$5,2,FALSE())</f>
        <v>15</v>
      </c>
      <c r="R1698" s="7" t="n">
        <f aca="false">IF(OR(F1698="Open",F1698="Reopened"),1,0)</f>
        <v>1</v>
      </c>
      <c r="S1698" s="7" t="n">
        <f aca="false">IF(AND(H1698&gt;='Exec Summary'!$E$1,H1698&lt;='Exec Summary'!$E$2),1,0)</f>
        <v>0</v>
      </c>
      <c r="T1698" s="7" t="n">
        <f aca="false">IF(AND(F1698="Closed",I1698&lt;&gt;"",I1698&gt;='Exec Summary'!$E$1,I1698&lt;='Exec Summary'!$E$2),1,0)</f>
        <v>0</v>
      </c>
      <c r="U1698" s="7" t="n">
        <f aca="false">IF(F1698="Reopened",1,0)</f>
        <v>0</v>
      </c>
      <c r="V1698" s="7" t="n">
        <f aca="false">IF(AND(R1698=1,O1698&gt;Q1698),1,0)</f>
        <v>1</v>
      </c>
      <c r="W1698" s="7" t="n">
        <f aca="false">IF(AND(T1698=1,P1698&lt;&gt;"",P1698&lt;=Q1698),1,0)</f>
        <v>0</v>
      </c>
    </row>
    <row r="1699" customFormat="false" ht="15" hidden="false" customHeight="false" outlineLevel="0" collapsed="false">
      <c r="A1699" s="7" t="s">
        <v>2057</v>
      </c>
      <c r="B1699" s="7" t="s">
        <v>46</v>
      </c>
      <c r="C1699" s="7" t="s">
        <v>47</v>
      </c>
      <c r="D1699" s="7" t="s">
        <v>166</v>
      </c>
      <c r="E1699" s="7" t="s">
        <v>167</v>
      </c>
      <c r="F1699" s="7" t="s">
        <v>56</v>
      </c>
      <c r="G1699" s="7" t="s">
        <v>19</v>
      </c>
      <c r="H1699" s="9" t="n">
        <v>45978</v>
      </c>
      <c r="I1699" s="9"/>
      <c r="J1699" s="7" t="n">
        <v>9.8</v>
      </c>
      <c r="K1699" s="7" t="s">
        <v>1971</v>
      </c>
      <c r="L1699" s="7" t="s">
        <v>19</v>
      </c>
      <c r="M1699" s="7" t="s">
        <v>2059</v>
      </c>
      <c r="N1699" s="7" t="s">
        <v>58</v>
      </c>
      <c r="O1699" s="10" t="n">
        <f aca="false">'Exec Summary'!$E$2-H1699</f>
        <v>256</v>
      </c>
      <c r="P1699" s="10" t="str">
        <f aca="false">IF(I1699="","",I1699-H1699)</f>
        <v/>
      </c>
      <c r="Q1699" s="10" t="n">
        <f aca="false">VLOOKUP(G1699,$AA$2:$AB$5,2,FALSE())</f>
        <v>15</v>
      </c>
      <c r="R1699" s="7" t="n">
        <f aca="false">IF(OR(F1699="Open",F1699="Reopened"),1,0)</f>
        <v>1</v>
      </c>
      <c r="S1699" s="7" t="n">
        <f aca="false">IF(AND(H1699&gt;='Exec Summary'!$E$1,H1699&lt;='Exec Summary'!$E$2),1,0)</f>
        <v>0</v>
      </c>
      <c r="T1699" s="7" t="n">
        <f aca="false">IF(AND(F1699="Closed",I1699&lt;&gt;"",I1699&gt;='Exec Summary'!$E$1,I1699&lt;='Exec Summary'!$E$2),1,0)</f>
        <v>0</v>
      </c>
      <c r="U1699" s="7" t="n">
        <f aca="false">IF(F1699="Reopened",1,0)</f>
        <v>0</v>
      </c>
      <c r="V1699" s="7" t="n">
        <f aca="false">IF(AND(R1699=1,O1699&gt;Q1699),1,0)</f>
        <v>1</v>
      </c>
      <c r="W1699" s="7" t="n">
        <f aca="false">IF(AND(T1699=1,P1699&lt;&gt;"",P1699&lt;=Q1699),1,0)</f>
        <v>0</v>
      </c>
    </row>
    <row r="1700" customFormat="false" ht="15" hidden="false" customHeight="false" outlineLevel="0" collapsed="false">
      <c r="A1700" s="7" t="s">
        <v>2057</v>
      </c>
      <c r="B1700" s="7" t="s">
        <v>46</v>
      </c>
      <c r="C1700" s="7" t="s">
        <v>47</v>
      </c>
      <c r="D1700" s="7" t="s">
        <v>210</v>
      </c>
      <c r="E1700" s="7" t="s">
        <v>211</v>
      </c>
      <c r="F1700" s="7" t="s">
        <v>50</v>
      </c>
      <c r="G1700" s="7" t="s">
        <v>19</v>
      </c>
      <c r="H1700" s="9" t="n">
        <v>46034</v>
      </c>
      <c r="I1700" s="9" t="n">
        <v>46046</v>
      </c>
      <c r="J1700" s="7" t="n">
        <v>9.8</v>
      </c>
      <c r="K1700" s="7" t="s">
        <v>1971</v>
      </c>
      <c r="L1700" s="7" t="s">
        <v>19</v>
      </c>
      <c r="M1700" s="7" t="s">
        <v>2060</v>
      </c>
      <c r="N1700" s="7" t="s">
        <v>58</v>
      </c>
      <c r="O1700" s="10" t="n">
        <f aca="false">'Exec Summary'!$E$2-H1700</f>
        <v>200</v>
      </c>
      <c r="P1700" s="10" t="n">
        <f aca="false">IF(I1700="","",I1700-H1700)</f>
        <v>12</v>
      </c>
      <c r="Q1700" s="10" t="n">
        <f aca="false">VLOOKUP(G1700,$AA$2:$AB$5,2,FALSE())</f>
        <v>15</v>
      </c>
      <c r="R1700" s="7" t="n">
        <f aca="false">IF(OR(F1700="Open",F1700="Reopened"),1,0)</f>
        <v>0</v>
      </c>
      <c r="S1700" s="7" t="n">
        <f aca="false">IF(AND(H1700&gt;='Exec Summary'!$E$1,H1700&lt;='Exec Summary'!$E$2),1,0)</f>
        <v>0</v>
      </c>
      <c r="T1700" s="7" t="n">
        <f aca="false">IF(AND(F1700="Closed",I1700&lt;&gt;"",I1700&gt;='Exec Summary'!$E$1,I1700&lt;='Exec Summary'!$E$2),1,0)</f>
        <v>0</v>
      </c>
      <c r="U1700" s="7" t="n">
        <f aca="false">IF(F1700="Reopened",1,0)</f>
        <v>0</v>
      </c>
      <c r="V1700" s="7" t="n">
        <f aca="false">IF(AND(R1700=1,O1700&gt;Q1700),1,0)</f>
        <v>0</v>
      </c>
      <c r="W1700" s="7" t="n">
        <f aca="false">IF(AND(T1700=1,P1700&lt;&gt;"",P1700&lt;=Q1700),1,0)</f>
        <v>0</v>
      </c>
    </row>
    <row r="1701" customFormat="false" ht="15" hidden="false" customHeight="false" outlineLevel="0" collapsed="false">
      <c r="A1701" s="7" t="s">
        <v>2057</v>
      </c>
      <c r="B1701" s="7" t="s">
        <v>46</v>
      </c>
      <c r="C1701" s="7" t="s">
        <v>47</v>
      </c>
      <c r="D1701" s="7" t="s">
        <v>87</v>
      </c>
      <c r="E1701" s="7" t="s">
        <v>88</v>
      </c>
      <c r="F1701" s="7" t="s">
        <v>50</v>
      </c>
      <c r="G1701" s="7" t="s">
        <v>19</v>
      </c>
      <c r="H1701" s="9" t="n">
        <v>46046</v>
      </c>
      <c r="I1701" s="9" t="n">
        <v>46061</v>
      </c>
      <c r="J1701" s="7" t="n">
        <v>10</v>
      </c>
      <c r="K1701" s="7" t="s">
        <v>1971</v>
      </c>
      <c r="L1701" s="7" t="s">
        <v>19</v>
      </c>
      <c r="M1701" s="7" t="s">
        <v>2061</v>
      </c>
      <c r="N1701" s="7" t="s">
        <v>58</v>
      </c>
      <c r="O1701" s="10" t="n">
        <f aca="false">'Exec Summary'!$E$2-H1701</f>
        <v>188</v>
      </c>
      <c r="P1701" s="10" t="n">
        <f aca="false">IF(I1701="","",I1701-H1701)</f>
        <v>15</v>
      </c>
      <c r="Q1701" s="10" t="n">
        <f aca="false">VLOOKUP(G1701,$AA$2:$AB$5,2,FALSE())</f>
        <v>15</v>
      </c>
      <c r="R1701" s="7" t="n">
        <f aca="false">IF(OR(F1701="Open",F1701="Reopened"),1,0)</f>
        <v>0</v>
      </c>
      <c r="S1701" s="7" t="n">
        <f aca="false">IF(AND(H1701&gt;='Exec Summary'!$E$1,H1701&lt;='Exec Summary'!$E$2),1,0)</f>
        <v>0</v>
      </c>
      <c r="T1701" s="7" t="n">
        <f aca="false">IF(AND(F1701="Closed",I1701&lt;&gt;"",I1701&gt;='Exec Summary'!$E$1,I1701&lt;='Exec Summary'!$E$2),1,0)</f>
        <v>0</v>
      </c>
      <c r="U1701" s="7" t="n">
        <f aca="false">IF(F1701="Reopened",1,0)</f>
        <v>0</v>
      </c>
      <c r="V1701" s="7" t="n">
        <f aca="false">IF(AND(R1701=1,O1701&gt;Q1701),1,0)</f>
        <v>0</v>
      </c>
      <c r="W1701" s="7" t="n">
        <f aca="false">IF(AND(T1701=1,P1701&lt;&gt;"",P1701&lt;=Q1701),1,0)</f>
        <v>0</v>
      </c>
    </row>
    <row r="1702" customFormat="false" ht="15" hidden="false" customHeight="false" outlineLevel="0" collapsed="false">
      <c r="A1702" s="7" t="s">
        <v>2057</v>
      </c>
      <c r="B1702" s="7" t="s">
        <v>46</v>
      </c>
      <c r="C1702" s="7" t="s">
        <v>47</v>
      </c>
      <c r="D1702" s="7" t="s">
        <v>120</v>
      </c>
      <c r="E1702" s="7" t="s">
        <v>121</v>
      </c>
      <c r="F1702" s="7" t="s">
        <v>50</v>
      </c>
      <c r="G1702" s="7" t="s">
        <v>19</v>
      </c>
      <c r="H1702" s="9" t="n">
        <v>46150</v>
      </c>
      <c r="I1702" s="9" t="n">
        <v>46159</v>
      </c>
      <c r="J1702" s="7" t="n">
        <v>8.8</v>
      </c>
      <c r="K1702" s="7" t="s">
        <v>1971</v>
      </c>
      <c r="L1702" s="7" t="s">
        <v>19</v>
      </c>
      <c r="M1702" s="7" t="s">
        <v>2062</v>
      </c>
      <c r="N1702" s="7" t="s">
        <v>58</v>
      </c>
      <c r="O1702" s="10" t="n">
        <f aca="false">'Exec Summary'!$E$2-H1702</f>
        <v>84</v>
      </c>
      <c r="P1702" s="10" t="n">
        <f aca="false">IF(I1702="","",I1702-H1702)</f>
        <v>9</v>
      </c>
      <c r="Q1702" s="10" t="n">
        <f aca="false">VLOOKUP(G1702,$AA$2:$AB$5,2,FALSE())</f>
        <v>15</v>
      </c>
      <c r="R1702" s="7" t="n">
        <f aca="false">IF(OR(F1702="Open",F1702="Reopened"),1,0)</f>
        <v>0</v>
      </c>
      <c r="S1702" s="7" t="n">
        <f aca="false">IF(AND(H1702&gt;='Exec Summary'!$E$1,H1702&lt;='Exec Summary'!$E$2),1,0)</f>
        <v>0</v>
      </c>
      <c r="T1702" s="7" t="n">
        <f aca="false">IF(AND(F1702="Closed",I1702&lt;&gt;"",I1702&gt;='Exec Summary'!$E$1,I1702&lt;='Exec Summary'!$E$2),1,0)</f>
        <v>0</v>
      </c>
      <c r="U1702" s="7" t="n">
        <f aca="false">IF(F1702="Reopened",1,0)</f>
        <v>0</v>
      </c>
      <c r="V1702" s="7" t="n">
        <f aca="false">IF(AND(R1702=1,O1702&gt;Q1702),1,0)</f>
        <v>0</v>
      </c>
      <c r="W1702" s="7" t="n">
        <f aca="false">IF(AND(T1702=1,P1702&lt;&gt;"",P1702&lt;=Q1702),1,0)</f>
        <v>0</v>
      </c>
    </row>
    <row r="1703" customFormat="false" ht="15" hidden="false" customHeight="false" outlineLevel="0" collapsed="false">
      <c r="A1703" s="7" t="s">
        <v>2063</v>
      </c>
      <c r="B1703" s="7" t="s">
        <v>135</v>
      </c>
      <c r="C1703" s="7" t="s">
        <v>247</v>
      </c>
      <c r="D1703" s="7" t="s">
        <v>120</v>
      </c>
      <c r="E1703" s="7" t="s">
        <v>121</v>
      </c>
      <c r="F1703" s="7" t="s">
        <v>123</v>
      </c>
      <c r="G1703" s="7" t="s">
        <v>19</v>
      </c>
      <c r="H1703" s="9" t="n">
        <v>46062</v>
      </c>
      <c r="I1703" s="9" t="n">
        <v>46067</v>
      </c>
      <c r="J1703" s="7" t="n">
        <v>8.8</v>
      </c>
      <c r="K1703" s="7" t="s">
        <v>1971</v>
      </c>
      <c r="L1703" s="7" t="s">
        <v>19</v>
      </c>
      <c r="M1703" s="7" t="s">
        <v>2064</v>
      </c>
      <c r="N1703" s="7" t="s">
        <v>58</v>
      </c>
      <c r="O1703" s="10" t="n">
        <f aca="false">'Exec Summary'!$E$2-H1703</f>
        <v>172</v>
      </c>
      <c r="P1703" s="10" t="n">
        <f aca="false">IF(I1703="","",I1703-H1703)</f>
        <v>5</v>
      </c>
      <c r="Q1703" s="10" t="n">
        <f aca="false">VLOOKUP(G1703,$AA$2:$AB$5,2,FALSE())</f>
        <v>15</v>
      </c>
      <c r="R1703" s="7" t="n">
        <f aca="false">IF(OR(F1703="Open",F1703="Reopened"),1,0)</f>
        <v>1</v>
      </c>
      <c r="S1703" s="7" t="n">
        <f aca="false">IF(AND(H1703&gt;='Exec Summary'!$E$1,H1703&lt;='Exec Summary'!$E$2),1,0)</f>
        <v>0</v>
      </c>
      <c r="T1703" s="7" t="n">
        <f aca="false">IF(AND(F1703="Closed",I1703&lt;&gt;"",I1703&gt;='Exec Summary'!$E$1,I1703&lt;='Exec Summary'!$E$2),1,0)</f>
        <v>0</v>
      </c>
      <c r="U1703" s="7" t="n">
        <f aca="false">IF(F1703="Reopened",1,0)</f>
        <v>1</v>
      </c>
      <c r="V1703" s="7" t="n">
        <f aca="false">IF(AND(R1703=1,O1703&gt;Q1703),1,0)</f>
        <v>1</v>
      </c>
      <c r="W1703" s="7" t="n">
        <f aca="false">IF(AND(T1703=1,P1703&lt;&gt;"",P1703&lt;=Q1703),1,0)</f>
        <v>0</v>
      </c>
    </row>
    <row r="1704" customFormat="false" ht="15" hidden="false" customHeight="false" outlineLevel="0" collapsed="false">
      <c r="A1704" s="7" t="s">
        <v>2063</v>
      </c>
      <c r="B1704" s="7" t="s">
        <v>135</v>
      </c>
      <c r="C1704" s="7" t="s">
        <v>247</v>
      </c>
      <c r="D1704" s="7" t="s">
        <v>71</v>
      </c>
      <c r="E1704" s="7" t="s">
        <v>72</v>
      </c>
      <c r="F1704" s="7" t="s">
        <v>50</v>
      </c>
      <c r="G1704" s="7" t="s">
        <v>19</v>
      </c>
      <c r="H1704" s="9" t="n">
        <v>46213</v>
      </c>
      <c r="I1704" s="9" t="n">
        <v>46222</v>
      </c>
      <c r="J1704" s="7" t="n">
        <v>9.8</v>
      </c>
      <c r="K1704" s="7" t="s">
        <v>1971</v>
      </c>
      <c r="L1704" s="7" t="s">
        <v>19</v>
      </c>
      <c r="M1704" s="7" t="s">
        <v>2065</v>
      </c>
      <c r="N1704" s="7" t="s">
        <v>58</v>
      </c>
      <c r="O1704" s="10" t="n">
        <f aca="false">'Exec Summary'!$E$2-H1704</f>
        <v>21</v>
      </c>
      <c r="P1704" s="10" t="n">
        <f aca="false">IF(I1704="","",I1704-H1704)</f>
        <v>9</v>
      </c>
      <c r="Q1704" s="10" t="n">
        <f aca="false">VLOOKUP(G1704,$AA$2:$AB$5,2,FALSE())</f>
        <v>15</v>
      </c>
      <c r="R1704" s="7" t="n">
        <f aca="false">IF(OR(F1704="Open",F1704="Reopened"),1,0)</f>
        <v>0</v>
      </c>
      <c r="S1704" s="7" t="n">
        <f aca="false">IF(AND(H1704&gt;='Exec Summary'!$E$1,H1704&lt;='Exec Summary'!$E$2),1,0)</f>
        <v>1</v>
      </c>
      <c r="T1704" s="7" t="n">
        <f aca="false">IF(AND(F1704="Closed",I1704&lt;&gt;"",I1704&gt;='Exec Summary'!$E$1,I1704&lt;='Exec Summary'!$E$2),1,0)</f>
        <v>1</v>
      </c>
      <c r="U1704" s="7" t="n">
        <f aca="false">IF(F1704="Reopened",1,0)</f>
        <v>0</v>
      </c>
      <c r="V1704" s="7" t="n">
        <f aca="false">IF(AND(R1704=1,O1704&gt;Q1704),1,0)</f>
        <v>0</v>
      </c>
      <c r="W1704" s="7" t="n">
        <f aca="false">IF(AND(T1704=1,P1704&lt;&gt;"",P1704&lt;=Q1704),1,0)</f>
        <v>1</v>
      </c>
    </row>
    <row r="1705" customFormat="false" ht="15" hidden="false" customHeight="false" outlineLevel="0" collapsed="false">
      <c r="A1705" s="7" t="s">
        <v>2063</v>
      </c>
      <c r="B1705" s="7" t="s">
        <v>135</v>
      </c>
      <c r="C1705" s="7" t="s">
        <v>247</v>
      </c>
      <c r="D1705" s="7" t="s">
        <v>68</v>
      </c>
      <c r="E1705" s="7" t="s">
        <v>69</v>
      </c>
      <c r="F1705" s="7" t="s">
        <v>50</v>
      </c>
      <c r="G1705" s="7" t="s">
        <v>19</v>
      </c>
      <c r="H1705" s="9" t="n">
        <v>45983</v>
      </c>
      <c r="I1705" s="9" t="n">
        <v>45988</v>
      </c>
      <c r="J1705" s="7" t="n">
        <v>9.8</v>
      </c>
      <c r="K1705" s="7" t="s">
        <v>1971</v>
      </c>
      <c r="L1705" s="7" t="s">
        <v>19</v>
      </c>
      <c r="M1705" s="7" t="s">
        <v>2066</v>
      </c>
      <c r="N1705" s="7" t="s">
        <v>58</v>
      </c>
      <c r="O1705" s="10" t="n">
        <f aca="false">'Exec Summary'!$E$2-H1705</f>
        <v>251</v>
      </c>
      <c r="P1705" s="10" t="n">
        <f aca="false">IF(I1705="","",I1705-H1705)</f>
        <v>5</v>
      </c>
      <c r="Q1705" s="10" t="n">
        <f aca="false">VLOOKUP(G1705,$AA$2:$AB$5,2,FALSE())</f>
        <v>15</v>
      </c>
      <c r="R1705" s="7" t="n">
        <f aca="false">IF(OR(F1705="Open",F1705="Reopened"),1,0)</f>
        <v>0</v>
      </c>
      <c r="S1705" s="7" t="n">
        <f aca="false">IF(AND(H1705&gt;='Exec Summary'!$E$1,H1705&lt;='Exec Summary'!$E$2),1,0)</f>
        <v>0</v>
      </c>
      <c r="T1705" s="7" t="n">
        <f aca="false">IF(AND(F1705="Closed",I1705&lt;&gt;"",I1705&gt;='Exec Summary'!$E$1,I1705&lt;='Exec Summary'!$E$2),1,0)</f>
        <v>0</v>
      </c>
      <c r="U1705" s="7" t="n">
        <f aca="false">IF(F1705="Reopened",1,0)</f>
        <v>0</v>
      </c>
      <c r="V1705" s="7" t="n">
        <f aca="false">IF(AND(R1705=1,O1705&gt;Q1705),1,0)</f>
        <v>0</v>
      </c>
      <c r="W1705" s="7" t="n">
        <f aca="false">IF(AND(T1705=1,P1705&lt;&gt;"",P1705&lt;=Q1705),1,0)</f>
        <v>0</v>
      </c>
    </row>
    <row r="1706" customFormat="false" ht="15" hidden="false" customHeight="false" outlineLevel="0" collapsed="false">
      <c r="A1706" s="7" t="s">
        <v>2063</v>
      </c>
      <c r="B1706" s="7" t="s">
        <v>135</v>
      </c>
      <c r="C1706" s="7" t="s">
        <v>247</v>
      </c>
      <c r="D1706" s="7" t="s">
        <v>117</v>
      </c>
      <c r="E1706" s="7" t="s">
        <v>118</v>
      </c>
      <c r="F1706" s="7" t="s">
        <v>50</v>
      </c>
      <c r="G1706" s="7" t="s">
        <v>19</v>
      </c>
      <c r="H1706" s="9" t="n">
        <v>46173</v>
      </c>
      <c r="I1706" s="9" t="n">
        <v>46186</v>
      </c>
      <c r="J1706" s="7" t="n">
        <v>10</v>
      </c>
      <c r="K1706" s="7" t="s">
        <v>1971</v>
      </c>
      <c r="L1706" s="7" t="s">
        <v>19</v>
      </c>
      <c r="M1706" s="7" t="s">
        <v>2067</v>
      </c>
      <c r="N1706" s="7" t="s">
        <v>58</v>
      </c>
      <c r="O1706" s="10" t="n">
        <f aca="false">'Exec Summary'!$E$2-H1706</f>
        <v>61</v>
      </c>
      <c r="P1706" s="10" t="n">
        <f aca="false">IF(I1706="","",I1706-H1706)</f>
        <v>13</v>
      </c>
      <c r="Q1706" s="10" t="n">
        <f aca="false">VLOOKUP(G1706,$AA$2:$AB$5,2,FALSE())</f>
        <v>15</v>
      </c>
      <c r="R1706" s="7" t="n">
        <f aca="false">IF(OR(F1706="Open",F1706="Reopened"),1,0)</f>
        <v>0</v>
      </c>
      <c r="S1706" s="7" t="n">
        <f aca="false">IF(AND(H1706&gt;='Exec Summary'!$E$1,H1706&lt;='Exec Summary'!$E$2),1,0)</f>
        <v>0</v>
      </c>
      <c r="T1706" s="7" t="n">
        <f aca="false">IF(AND(F1706="Closed",I1706&lt;&gt;"",I1706&gt;='Exec Summary'!$E$1,I1706&lt;='Exec Summary'!$E$2),1,0)</f>
        <v>0</v>
      </c>
      <c r="U1706" s="7" t="n">
        <f aca="false">IF(F1706="Reopened",1,0)</f>
        <v>0</v>
      </c>
      <c r="V1706" s="7" t="n">
        <f aca="false">IF(AND(R1706=1,O1706&gt;Q1706),1,0)</f>
        <v>0</v>
      </c>
      <c r="W1706" s="7" t="n">
        <f aca="false">IF(AND(T1706=1,P1706&lt;&gt;"",P1706&lt;=Q1706),1,0)</f>
        <v>0</v>
      </c>
    </row>
    <row r="1707" customFormat="false" ht="15" hidden="false" customHeight="false" outlineLevel="0" collapsed="false">
      <c r="A1707" s="7" t="s">
        <v>2063</v>
      </c>
      <c r="B1707" s="7" t="s">
        <v>135</v>
      </c>
      <c r="C1707" s="7" t="s">
        <v>247</v>
      </c>
      <c r="D1707" s="7" t="s">
        <v>152</v>
      </c>
      <c r="E1707" s="7" t="s">
        <v>153</v>
      </c>
      <c r="F1707" s="7" t="s">
        <v>50</v>
      </c>
      <c r="G1707" s="7" t="s">
        <v>20</v>
      </c>
      <c r="H1707" s="9" t="n">
        <v>46170</v>
      </c>
      <c r="I1707" s="9" t="n">
        <v>46171</v>
      </c>
      <c r="J1707" s="7" t="n">
        <v>7.5</v>
      </c>
      <c r="K1707" s="7" t="s">
        <v>1971</v>
      </c>
      <c r="L1707" s="7" t="s">
        <v>19</v>
      </c>
      <c r="M1707" s="7" t="s">
        <v>2068</v>
      </c>
      <c r="N1707" s="7" t="s">
        <v>53</v>
      </c>
      <c r="O1707" s="10" t="n">
        <f aca="false">'Exec Summary'!$E$2-H1707</f>
        <v>64</v>
      </c>
      <c r="P1707" s="10" t="n">
        <f aca="false">IF(I1707="","",I1707-H1707)</f>
        <v>1</v>
      </c>
      <c r="Q1707" s="10" t="n">
        <f aca="false">VLOOKUP(G1707,$AA$2:$AB$5,2,FALSE())</f>
        <v>30</v>
      </c>
      <c r="R1707" s="7" t="n">
        <f aca="false">IF(OR(F1707="Open",F1707="Reopened"),1,0)</f>
        <v>0</v>
      </c>
      <c r="S1707" s="7" t="n">
        <f aca="false">IF(AND(H1707&gt;='Exec Summary'!$E$1,H1707&lt;='Exec Summary'!$E$2),1,0)</f>
        <v>0</v>
      </c>
      <c r="T1707" s="7" t="n">
        <f aca="false">IF(AND(F1707="Closed",I1707&lt;&gt;"",I1707&gt;='Exec Summary'!$E$1,I1707&lt;='Exec Summary'!$E$2),1,0)</f>
        <v>0</v>
      </c>
      <c r="U1707" s="7" t="n">
        <f aca="false">IF(F1707="Reopened",1,0)</f>
        <v>0</v>
      </c>
      <c r="V1707" s="7" t="n">
        <f aca="false">IF(AND(R1707=1,O1707&gt;Q1707),1,0)</f>
        <v>0</v>
      </c>
      <c r="W1707" s="7" t="n">
        <f aca="false">IF(AND(T1707=1,P1707&lt;&gt;"",P1707&lt;=Q1707),1,0)</f>
        <v>0</v>
      </c>
    </row>
    <row r="1708" customFormat="false" ht="15" hidden="false" customHeight="false" outlineLevel="0" collapsed="false">
      <c r="A1708" s="7" t="s">
        <v>2063</v>
      </c>
      <c r="B1708" s="7" t="s">
        <v>135</v>
      </c>
      <c r="C1708" s="7" t="s">
        <v>247</v>
      </c>
      <c r="D1708" s="7" t="s">
        <v>98</v>
      </c>
      <c r="E1708" s="7" t="s">
        <v>99</v>
      </c>
      <c r="F1708" s="7" t="s">
        <v>56</v>
      </c>
      <c r="G1708" s="7" t="s">
        <v>19</v>
      </c>
      <c r="H1708" s="9" t="n">
        <v>46088</v>
      </c>
      <c r="I1708" s="9"/>
      <c r="J1708" s="7" t="n">
        <v>10</v>
      </c>
      <c r="K1708" s="7" t="s">
        <v>1971</v>
      </c>
      <c r="L1708" s="7" t="s">
        <v>19</v>
      </c>
      <c r="M1708" s="7" t="s">
        <v>2069</v>
      </c>
      <c r="N1708" s="7" t="s">
        <v>58</v>
      </c>
      <c r="O1708" s="10" t="n">
        <f aca="false">'Exec Summary'!$E$2-H1708</f>
        <v>146</v>
      </c>
      <c r="P1708" s="10" t="str">
        <f aca="false">IF(I1708="","",I1708-H1708)</f>
        <v/>
      </c>
      <c r="Q1708" s="10" t="n">
        <f aca="false">VLOOKUP(G1708,$AA$2:$AB$5,2,FALSE())</f>
        <v>15</v>
      </c>
      <c r="R1708" s="7" t="n">
        <f aca="false">IF(OR(F1708="Open",F1708="Reopened"),1,0)</f>
        <v>1</v>
      </c>
      <c r="S1708" s="7" t="n">
        <f aca="false">IF(AND(H1708&gt;='Exec Summary'!$E$1,H1708&lt;='Exec Summary'!$E$2),1,0)</f>
        <v>0</v>
      </c>
      <c r="T1708" s="7" t="n">
        <f aca="false">IF(AND(F1708="Closed",I1708&lt;&gt;"",I1708&gt;='Exec Summary'!$E$1,I1708&lt;='Exec Summary'!$E$2),1,0)</f>
        <v>0</v>
      </c>
      <c r="U1708" s="7" t="n">
        <f aca="false">IF(F1708="Reopened",1,0)</f>
        <v>0</v>
      </c>
      <c r="V1708" s="7" t="n">
        <f aca="false">IF(AND(R1708=1,O1708&gt;Q1708),1,0)</f>
        <v>1</v>
      </c>
      <c r="W1708" s="7" t="n">
        <f aca="false">IF(AND(T1708=1,P1708&lt;&gt;"",P1708&lt;=Q1708),1,0)</f>
        <v>0</v>
      </c>
    </row>
    <row r="1709" customFormat="false" ht="15" hidden="false" customHeight="false" outlineLevel="0" collapsed="false">
      <c r="A1709" s="7" t="s">
        <v>2070</v>
      </c>
      <c r="B1709" s="7" t="s">
        <v>46</v>
      </c>
      <c r="C1709" s="7" t="s">
        <v>79</v>
      </c>
      <c r="D1709" s="7" t="s">
        <v>81</v>
      </c>
      <c r="E1709" s="7" t="s">
        <v>82</v>
      </c>
      <c r="F1709" s="7" t="s">
        <v>123</v>
      </c>
      <c r="G1709" s="7" t="s">
        <v>20</v>
      </c>
      <c r="H1709" s="9" t="n">
        <v>45988</v>
      </c>
      <c r="I1709" s="9" t="n">
        <v>45998</v>
      </c>
      <c r="J1709" s="7" t="n">
        <v>7.8</v>
      </c>
      <c r="K1709" s="7" t="s">
        <v>1971</v>
      </c>
      <c r="L1709" s="7" t="s">
        <v>19</v>
      </c>
      <c r="M1709" s="7" t="s">
        <v>2071</v>
      </c>
      <c r="N1709" s="7" t="s">
        <v>53</v>
      </c>
      <c r="O1709" s="10" t="n">
        <f aca="false">'Exec Summary'!$E$2-H1709</f>
        <v>246</v>
      </c>
      <c r="P1709" s="10" t="n">
        <f aca="false">IF(I1709="","",I1709-H1709)</f>
        <v>10</v>
      </c>
      <c r="Q1709" s="10" t="n">
        <f aca="false">VLOOKUP(G1709,$AA$2:$AB$5,2,FALSE())</f>
        <v>30</v>
      </c>
      <c r="R1709" s="7" t="n">
        <f aca="false">IF(OR(F1709="Open",F1709="Reopened"),1,0)</f>
        <v>1</v>
      </c>
      <c r="S1709" s="7" t="n">
        <f aca="false">IF(AND(H1709&gt;='Exec Summary'!$E$1,H1709&lt;='Exec Summary'!$E$2),1,0)</f>
        <v>0</v>
      </c>
      <c r="T1709" s="7" t="n">
        <f aca="false">IF(AND(F1709="Closed",I1709&lt;&gt;"",I1709&gt;='Exec Summary'!$E$1,I1709&lt;='Exec Summary'!$E$2),1,0)</f>
        <v>0</v>
      </c>
      <c r="U1709" s="7" t="n">
        <f aca="false">IF(F1709="Reopened",1,0)</f>
        <v>1</v>
      </c>
      <c r="V1709" s="7" t="n">
        <f aca="false">IF(AND(R1709=1,O1709&gt;Q1709),1,0)</f>
        <v>1</v>
      </c>
      <c r="W1709" s="7" t="n">
        <f aca="false">IF(AND(T1709=1,P1709&lt;&gt;"",P1709&lt;=Q1709),1,0)</f>
        <v>0</v>
      </c>
    </row>
    <row r="1710" customFormat="false" ht="15" hidden="false" customHeight="false" outlineLevel="0" collapsed="false">
      <c r="A1710" s="7" t="s">
        <v>2070</v>
      </c>
      <c r="B1710" s="7" t="s">
        <v>46</v>
      </c>
      <c r="C1710" s="7" t="s">
        <v>79</v>
      </c>
      <c r="D1710" s="7" t="s">
        <v>145</v>
      </c>
      <c r="E1710" s="7" t="s">
        <v>146</v>
      </c>
      <c r="F1710" s="7" t="s">
        <v>50</v>
      </c>
      <c r="G1710" s="7" t="s">
        <v>19</v>
      </c>
      <c r="H1710" s="9" t="n">
        <v>46223</v>
      </c>
      <c r="I1710" s="9" t="n">
        <v>46233</v>
      </c>
      <c r="J1710" s="7" t="n">
        <v>9.8</v>
      </c>
      <c r="K1710" s="7" t="s">
        <v>1971</v>
      </c>
      <c r="L1710" s="7" t="s">
        <v>19</v>
      </c>
      <c r="M1710" s="7" t="s">
        <v>2072</v>
      </c>
      <c r="N1710" s="7" t="s">
        <v>58</v>
      </c>
      <c r="O1710" s="10" t="n">
        <f aca="false">'Exec Summary'!$E$2-H1710</f>
        <v>11</v>
      </c>
      <c r="P1710" s="10" t="n">
        <f aca="false">IF(I1710="","",I1710-H1710)</f>
        <v>10</v>
      </c>
      <c r="Q1710" s="10" t="n">
        <f aca="false">VLOOKUP(G1710,$AA$2:$AB$5,2,FALSE())</f>
        <v>15</v>
      </c>
      <c r="R1710" s="7" t="n">
        <f aca="false">IF(OR(F1710="Open",F1710="Reopened"),1,0)</f>
        <v>0</v>
      </c>
      <c r="S1710" s="7" t="n">
        <f aca="false">IF(AND(H1710&gt;='Exec Summary'!$E$1,H1710&lt;='Exec Summary'!$E$2),1,0)</f>
        <v>1</v>
      </c>
      <c r="T1710" s="7" t="n">
        <f aca="false">IF(AND(F1710="Closed",I1710&lt;&gt;"",I1710&gt;='Exec Summary'!$E$1,I1710&lt;='Exec Summary'!$E$2),1,0)</f>
        <v>1</v>
      </c>
      <c r="U1710" s="7" t="n">
        <f aca="false">IF(F1710="Reopened",1,0)</f>
        <v>0</v>
      </c>
      <c r="V1710" s="7" t="n">
        <f aca="false">IF(AND(R1710=1,O1710&gt;Q1710),1,0)</f>
        <v>0</v>
      </c>
      <c r="W1710" s="7" t="n">
        <f aca="false">IF(AND(T1710=1,P1710&lt;&gt;"",P1710&lt;=Q1710),1,0)</f>
        <v>1</v>
      </c>
    </row>
    <row r="1711" customFormat="false" ht="15" hidden="false" customHeight="false" outlineLevel="0" collapsed="false">
      <c r="A1711" s="7" t="s">
        <v>2070</v>
      </c>
      <c r="B1711" s="7" t="s">
        <v>46</v>
      </c>
      <c r="C1711" s="7" t="s">
        <v>79</v>
      </c>
      <c r="D1711" s="7" t="s">
        <v>68</v>
      </c>
      <c r="E1711" s="7" t="s">
        <v>69</v>
      </c>
      <c r="F1711" s="7" t="s">
        <v>56</v>
      </c>
      <c r="G1711" s="7" t="s">
        <v>19</v>
      </c>
      <c r="H1711" s="9" t="n">
        <v>45961</v>
      </c>
      <c r="I1711" s="9"/>
      <c r="J1711" s="7" t="n">
        <v>9.8</v>
      </c>
      <c r="K1711" s="7" t="s">
        <v>1971</v>
      </c>
      <c r="L1711" s="7" t="s">
        <v>19</v>
      </c>
      <c r="M1711" s="7" t="s">
        <v>2073</v>
      </c>
      <c r="N1711" s="7" t="s">
        <v>58</v>
      </c>
      <c r="O1711" s="10" t="n">
        <f aca="false">'Exec Summary'!$E$2-H1711</f>
        <v>273</v>
      </c>
      <c r="P1711" s="10" t="str">
        <f aca="false">IF(I1711="","",I1711-H1711)</f>
        <v/>
      </c>
      <c r="Q1711" s="10" t="n">
        <f aca="false">VLOOKUP(G1711,$AA$2:$AB$5,2,FALSE())</f>
        <v>15</v>
      </c>
      <c r="R1711" s="7" t="n">
        <f aca="false">IF(OR(F1711="Open",F1711="Reopened"),1,0)</f>
        <v>1</v>
      </c>
      <c r="S1711" s="7" t="n">
        <f aca="false">IF(AND(H1711&gt;='Exec Summary'!$E$1,H1711&lt;='Exec Summary'!$E$2),1,0)</f>
        <v>0</v>
      </c>
      <c r="T1711" s="7" t="n">
        <f aca="false">IF(AND(F1711="Closed",I1711&lt;&gt;"",I1711&gt;='Exec Summary'!$E$1,I1711&lt;='Exec Summary'!$E$2),1,0)</f>
        <v>0</v>
      </c>
      <c r="U1711" s="7" t="n">
        <f aca="false">IF(F1711="Reopened",1,0)</f>
        <v>0</v>
      </c>
      <c r="V1711" s="7" t="n">
        <f aca="false">IF(AND(R1711=1,O1711&gt;Q1711),1,0)</f>
        <v>1</v>
      </c>
      <c r="W1711" s="7" t="n">
        <f aca="false">IF(AND(T1711=1,P1711&lt;&gt;"",P1711&lt;=Q1711),1,0)</f>
        <v>0</v>
      </c>
    </row>
    <row r="1712" customFormat="false" ht="15" hidden="false" customHeight="false" outlineLevel="0" collapsed="false">
      <c r="A1712" s="7" t="s">
        <v>2070</v>
      </c>
      <c r="B1712" s="7" t="s">
        <v>46</v>
      </c>
      <c r="C1712" s="7" t="s">
        <v>79</v>
      </c>
      <c r="D1712" s="7" t="s">
        <v>210</v>
      </c>
      <c r="E1712" s="7" t="s">
        <v>211</v>
      </c>
      <c r="F1712" s="7" t="s">
        <v>50</v>
      </c>
      <c r="G1712" s="7" t="s">
        <v>19</v>
      </c>
      <c r="H1712" s="9" t="n">
        <v>46007</v>
      </c>
      <c r="I1712" s="9" t="n">
        <v>46020</v>
      </c>
      <c r="J1712" s="7" t="n">
        <v>9.8</v>
      </c>
      <c r="K1712" s="7" t="s">
        <v>1971</v>
      </c>
      <c r="L1712" s="7" t="s">
        <v>19</v>
      </c>
      <c r="M1712" s="7" t="s">
        <v>2074</v>
      </c>
      <c r="N1712" s="7" t="s">
        <v>58</v>
      </c>
      <c r="O1712" s="10" t="n">
        <f aca="false">'Exec Summary'!$E$2-H1712</f>
        <v>227</v>
      </c>
      <c r="P1712" s="10" t="n">
        <f aca="false">IF(I1712="","",I1712-H1712)</f>
        <v>13</v>
      </c>
      <c r="Q1712" s="10" t="n">
        <f aca="false">VLOOKUP(G1712,$AA$2:$AB$5,2,FALSE())</f>
        <v>15</v>
      </c>
      <c r="R1712" s="7" t="n">
        <f aca="false">IF(OR(F1712="Open",F1712="Reopened"),1,0)</f>
        <v>0</v>
      </c>
      <c r="S1712" s="7" t="n">
        <f aca="false">IF(AND(H1712&gt;='Exec Summary'!$E$1,H1712&lt;='Exec Summary'!$E$2),1,0)</f>
        <v>0</v>
      </c>
      <c r="T1712" s="7" t="n">
        <f aca="false">IF(AND(F1712="Closed",I1712&lt;&gt;"",I1712&gt;='Exec Summary'!$E$1,I1712&lt;='Exec Summary'!$E$2),1,0)</f>
        <v>0</v>
      </c>
      <c r="U1712" s="7" t="n">
        <f aca="false">IF(F1712="Reopened",1,0)</f>
        <v>0</v>
      </c>
      <c r="V1712" s="7" t="n">
        <f aca="false">IF(AND(R1712=1,O1712&gt;Q1712),1,0)</f>
        <v>0</v>
      </c>
      <c r="W1712" s="7" t="n">
        <f aca="false">IF(AND(T1712=1,P1712&lt;&gt;"",P1712&lt;=Q1712),1,0)</f>
        <v>0</v>
      </c>
    </row>
    <row r="1713" customFormat="false" ht="15" hidden="false" customHeight="false" outlineLevel="0" collapsed="false">
      <c r="A1713" s="7" t="s">
        <v>2070</v>
      </c>
      <c r="B1713" s="7" t="s">
        <v>46</v>
      </c>
      <c r="C1713" s="7" t="s">
        <v>79</v>
      </c>
      <c r="D1713" s="7" t="s">
        <v>117</v>
      </c>
      <c r="E1713" s="7" t="s">
        <v>118</v>
      </c>
      <c r="F1713" s="7" t="s">
        <v>56</v>
      </c>
      <c r="G1713" s="7" t="s">
        <v>19</v>
      </c>
      <c r="H1713" s="9" t="n">
        <v>46048</v>
      </c>
      <c r="I1713" s="9"/>
      <c r="J1713" s="7" t="n">
        <v>10</v>
      </c>
      <c r="K1713" s="7" t="s">
        <v>1971</v>
      </c>
      <c r="L1713" s="7" t="s">
        <v>19</v>
      </c>
      <c r="M1713" s="7" t="s">
        <v>2075</v>
      </c>
      <c r="N1713" s="7" t="s">
        <v>58</v>
      </c>
      <c r="O1713" s="10" t="n">
        <f aca="false">'Exec Summary'!$E$2-H1713</f>
        <v>186</v>
      </c>
      <c r="P1713" s="10" t="str">
        <f aca="false">IF(I1713="","",I1713-H1713)</f>
        <v/>
      </c>
      <c r="Q1713" s="10" t="n">
        <f aca="false">VLOOKUP(G1713,$AA$2:$AB$5,2,FALSE())</f>
        <v>15</v>
      </c>
      <c r="R1713" s="7" t="n">
        <f aca="false">IF(OR(F1713="Open",F1713="Reopened"),1,0)</f>
        <v>1</v>
      </c>
      <c r="S1713" s="7" t="n">
        <f aca="false">IF(AND(H1713&gt;='Exec Summary'!$E$1,H1713&lt;='Exec Summary'!$E$2),1,0)</f>
        <v>0</v>
      </c>
      <c r="T1713" s="7" t="n">
        <f aca="false">IF(AND(F1713="Closed",I1713&lt;&gt;"",I1713&gt;='Exec Summary'!$E$1,I1713&lt;='Exec Summary'!$E$2),1,0)</f>
        <v>0</v>
      </c>
      <c r="U1713" s="7" t="n">
        <f aca="false">IF(F1713="Reopened",1,0)</f>
        <v>0</v>
      </c>
      <c r="V1713" s="7" t="n">
        <f aca="false">IF(AND(R1713=1,O1713&gt;Q1713),1,0)</f>
        <v>1</v>
      </c>
      <c r="W1713" s="7" t="n">
        <f aca="false">IF(AND(T1713=1,P1713&lt;&gt;"",P1713&lt;=Q1713),1,0)</f>
        <v>0</v>
      </c>
    </row>
    <row r="1714" customFormat="false" ht="15" hidden="false" customHeight="false" outlineLevel="0" collapsed="false">
      <c r="A1714" s="7" t="s">
        <v>2070</v>
      </c>
      <c r="B1714" s="7" t="s">
        <v>46</v>
      </c>
      <c r="C1714" s="7" t="s">
        <v>79</v>
      </c>
      <c r="D1714" s="7" t="s">
        <v>101</v>
      </c>
      <c r="E1714" s="7" t="s">
        <v>102</v>
      </c>
      <c r="F1714" s="7" t="s">
        <v>56</v>
      </c>
      <c r="G1714" s="7" t="s">
        <v>19</v>
      </c>
      <c r="H1714" s="9" t="n">
        <v>46088</v>
      </c>
      <c r="I1714" s="9"/>
      <c r="J1714" s="7" t="n">
        <v>10</v>
      </c>
      <c r="K1714" s="7" t="s">
        <v>1971</v>
      </c>
      <c r="L1714" s="7" t="s">
        <v>19</v>
      </c>
      <c r="M1714" s="7" t="s">
        <v>2076</v>
      </c>
      <c r="N1714" s="7" t="s">
        <v>58</v>
      </c>
      <c r="O1714" s="10" t="n">
        <f aca="false">'Exec Summary'!$E$2-H1714</f>
        <v>146</v>
      </c>
      <c r="P1714" s="10" t="str">
        <f aca="false">IF(I1714="","",I1714-H1714)</f>
        <v/>
      </c>
      <c r="Q1714" s="10" t="n">
        <f aca="false">VLOOKUP(G1714,$AA$2:$AB$5,2,FALSE())</f>
        <v>15</v>
      </c>
      <c r="R1714" s="7" t="n">
        <f aca="false">IF(OR(F1714="Open",F1714="Reopened"),1,0)</f>
        <v>1</v>
      </c>
      <c r="S1714" s="7" t="n">
        <f aca="false">IF(AND(H1714&gt;='Exec Summary'!$E$1,H1714&lt;='Exec Summary'!$E$2),1,0)</f>
        <v>0</v>
      </c>
      <c r="T1714" s="7" t="n">
        <f aca="false">IF(AND(F1714="Closed",I1714&lt;&gt;"",I1714&gt;='Exec Summary'!$E$1,I1714&lt;='Exec Summary'!$E$2),1,0)</f>
        <v>0</v>
      </c>
      <c r="U1714" s="7" t="n">
        <f aca="false">IF(F1714="Reopened",1,0)</f>
        <v>0</v>
      </c>
      <c r="V1714" s="7" t="n">
        <f aca="false">IF(AND(R1714=1,O1714&gt;Q1714),1,0)</f>
        <v>1</v>
      </c>
      <c r="W1714" s="7" t="n">
        <f aca="false">IF(AND(T1714=1,P1714&lt;&gt;"",P1714&lt;=Q1714),1,0)</f>
        <v>0</v>
      </c>
    </row>
    <row r="1715" customFormat="false" ht="15" hidden="false" customHeight="false" outlineLevel="0" collapsed="false">
      <c r="A1715" s="7" t="s">
        <v>2070</v>
      </c>
      <c r="B1715" s="7" t="s">
        <v>46</v>
      </c>
      <c r="C1715" s="7" t="s">
        <v>79</v>
      </c>
      <c r="D1715" s="7" t="s">
        <v>112</v>
      </c>
      <c r="E1715" s="7" t="s">
        <v>113</v>
      </c>
      <c r="F1715" s="7" t="s">
        <v>56</v>
      </c>
      <c r="G1715" s="7" t="s">
        <v>20</v>
      </c>
      <c r="H1715" s="9" t="n">
        <v>46182</v>
      </c>
      <c r="I1715" s="9"/>
      <c r="J1715" s="7" t="n">
        <v>7.8</v>
      </c>
      <c r="K1715" s="7" t="s">
        <v>1971</v>
      </c>
      <c r="L1715" s="7" t="s">
        <v>19</v>
      </c>
      <c r="M1715" s="7" t="s">
        <v>2077</v>
      </c>
      <c r="N1715" s="7" t="s">
        <v>53</v>
      </c>
      <c r="O1715" s="10" t="n">
        <f aca="false">'Exec Summary'!$E$2-H1715</f>
        <v>52</v>
      </c>
      <c r="P1715" s="10" t="str">
        <f aca="false">IF(I1715="","",I1715-H1715)</f>
        <v/>
      </c>
      <c r="Q1715" s="10" t="n">
        <f aca="false">VLOOKUP(G1715,$AA$2:$AB$5,2,FALSE())</f>
        <v>30</v>
      </c>
      <c r="R1715" s="7" t="n">
        <f aca="false">IF(OR(F1715="Open",F1715="Reopened"),1,0)</f>
        <v>1</v>
      </c>
      <c r="S1715" s="7" t="n">
        <f aca="false">IF(AND(H1715&gt;='Exec Summary'!$E$1,H1715&lt;='Exec Summary'!$E$2),1,0)</f>
        <v>0</v>
      </c>
      <c r="T1715" s="7" t="n">
        <f aca="false">IF(AND(F1715="Closed",I1715&lt;&gt;"",I1715&gt;='Exec Summary'!$E$1,I1715&lt;='Exec Summary'!$E$2),1,0)</f>
        <v>0</v>
      </c>
      <c r="U1715" s="7" t="n">
        <f aca="false">IF(F1715="Reopened",1,0)</f>
        <v>0</v>
      </c>
      <c r="V1715" s="7" t="n">
        <f aca="false">IF(AND(R1715=1,O1715&gt;Q1715),1,0)</f>
        <v>1</v>
      </c>
      <c r="W1715" s="7" t="n">
        <f aca="false">IF(AND(T1715=1,P1715&lt;&gt;"",P1715&lt;=Q1715),1,0)</f>
        <v>0</v>
      </c>
    </row>
    <row r="1716" customFormat="false" ht="15" hidden="false" customHeight="false" outlineLevel="0" collapsed="false">
      <c r="A1716" s="7" t="s">
        <v>2070</v>
      </c>
      <c r="B1716" s="7" t="s">
        <v>46</v>
      </c>
      <c r="C1716" s="7" t="s">
        <v>79</v>
      </c>
      <c r="D1716" s="7" t="s">
        <v>108</v>
      </c>
      <c r="E1716" s="7" t="s">
        <v>109</v>
      </c>
      <c r="F1716" s="7" t="s">
        <v>50</v>
      </c>
      <c r="G1716" s="7" t="s">
        <v>20</v>
      </c>
      <c r="H1716" s="9" t="n">
        <v>45992</v>
      </c>
      <c r="I1716" s="9" t="n">
        <v>46030</v>
      </c>
      <c r="J1716" s="7" t="n">
        <v>8.6</v>
      </c>
      <c r="K1716" s="7" t="s">
        <v>1971</v>
      </c>
      <c r="L1716" s="7" t="s">
        <v>19</v>
      </c>
      <c r="M1716" s="7" t="s">
        <v>2078</v>
      </c>
      <c r="N1716" s="7" t="s">
        <v>53</v>
      </c>
      <c r="O1716" s="10" t="n">
        <f aca="false">'Exec Summary'!$E$2-H1716</f>
        <v>242</v>
      </c>
      <c r="P1716" s="10" t="n">
        <f aca="false">IF(I1716="","",I1716-H1716)</f>
        <v>38</v>
      </c>
      <c r="Q1716" s="10" t="n">
        <f aca="false">VLOOKUP(G1716,$AA$2:$AB$5,2,FALSE())</f>
        <v>30</v>
      </c>
      <c r="R1716" s="7" t="n">
        <f aca="false">IF(OR(F1716="Open",F1716="Reopened"),1,0)</f>
        <v>0</v>
      </c>
      <c r="S1716" s="7" t="n">
        <f aca="false">IF(AND(H1716&gt;='Exec Summary'!$E$1,H1716&lt;='Exec Summary'!$E$2),1,0)</f>
        <v>0</v>
      </c>
      <c r="T1716" s="7" t="n">
        <f aca="false">IF(AND(F1716="Closed",I1716&lt;&gt;"",I1716&gt;='Exec Summary'!$E$1,I1716&lt;='Exec Summary'!$E$2),1,0)</f>
        <v>0</v>
      </c>
      <c r="U1716" s="7" t="n">
        <f aca="false">IF(F1716="Reopened",1,0)</f>
        <v>0</v>
      </c>
      <c r="V1716" s="7" t="n">
        <f aca="false">IF(AND(R1716=1,O1716&gt;Q1716),1,0)</f>
        <v>0</v>
      </c>
      <c r="W1716" s="7" t="n">
        <f aca="false">IF(AND(T1716=1,P1716&lt;&gt;"",P1716&lt;=Q1716),1,0)</f>
        <v>0</v>
      </c>
    </row>
    <row r="1717" customFormat="false" ht="15" hidden="false" customHeight="false" outlineLevel="0" collapsed="false">
      <c r="A1717" s="7" t="s">
        <v>2070</v>
      </c>
      <c r="B1717" s="7" t="s">
        <v>46</v>
      </c>
      <c r="C1717" s="7" t="s">
        <v>79</v>
      </c>
      <c r="D1717" s="7" t="s">
        <v>206</v>
      </c>
      <c r="E1717" s="7" t="s">
        <v>207</v>
      </c>
      <c r="F1717" s="7" t="s">
        <v>123</v>
      </c>
      <c r="G1717" s="7" t="s">
        <v>20</v>
      </c>
      <c r="H1717" s="9" t="n">
        <v>46038</v>
      </c>
      <c r="I1717" s="9" t="n">
        <v>46083</v>
      </c>
      <c r="J1717" s="7" t="n">
        <v>8.8</v>
      </c>
      <c r="K1717" s="7" t="s">
        <v>1971</v>
      </c>
      <c r="L1717" s="7" t="s">
        <v>19</v>
      </c>
      <c r="M1717" s="7" t="s">
        <v>2079</v>
      </c>
      <c r="N1717" s="7" t="s">
        <v>53</v>
      </c>
      <c r="O1717" s="10" t="n">
        <f aca="false">'Exec Summary'!$E$2-H1717</f>
        <v>196</v>
      </c>
      <c r="P1717" s="10" t="n">
        <f aca="false">IF(I1717="","",I1717-H1717)</f>
        <v>45</v>
      </c>
      <c r="Q1717" s="10" t="n">
        <f aca="false">VLOOKUP(G1717,$AA$2:$AB$5,2,FALSE())</f>
        <v>30</v>
      </c>
      <c r="R1717" s="7" t="n">
        <f aca="false">IF(OR(F1717="Open",F1717="Reopened"),1,0)</f>
        <v>1</v>
      </c>
      <c r="S1717" s="7" t="n">
        <f aca="false">IF(AND(H1717&gt;='Exec Summary'!$E$1,H1717&lt;='Exec Summary'!$E$2),1,0)</f>
        <v>0</v>
      </c>
      <c r="T1717" s="7" t="n">
        <f aca="false">IF(AND(F1717="Closed",I1717&lt;&gt;"",I1717&gt;='Exec Summary'!$E$1,I1717&lt;='Exec Summary'!$E$2),1,0)</f>
        <v>0</v>
      </c>
      <c r="U1717" s="7" t="n">
        <f aca="false">IF(F1717="Reopened",1,0)</f>
        <v>1</v>
      </c>
      <c r="V1717" s="7" t="n">
        <f aca="false">IF(AND(R1717=1,O1717&gt;Q1717),1,0)</f>
        <v>1</v>
      </c>
      <c r="W1717" s="7" t="n">
        <f aca="false">IF(AND(T1717=1,P1717&lt;&gt;"",P1717&lt;=Q1717),1,0)</f>
        <v>0</v>
      </c>
    </row>
    <row r="1718" customFormat="false" ht="15" hidden="false" customHeight="false" outlineLevel="0" collapsed="false">
      <c r="A1718" s="7" t="s">
        <v>2070</v>
      </c>
      <c r="B1718" s="7" t="s">
        <v>46</v>
      </c>
      <c r="C1718" s="7" t="s">
        <v>79</v>
      </c>
      <c r="D1718" s="7" t="s">
        <v>192</v>
      </c>
      <c r="E1718" s="7" t="s">
        <v>193</v>
      </c>
      <c r="F1718" s="7" t="s">
        <v>50</v>
      </c>
      <c r="G1718" s="7" t="s">
        <v>19</v>
      </c>
      <c r="H1718" s="9" t="n">
        <v>46161</v>
      </c>
      <c r="I1718" s="9" t="n">
        <v>46177</v>
      </c>
      <c r="J1718" s="7" t="n">
        <v>9.8</v>
      </c>
      <c r="K1718" s="7" t="s">
        <v>1971</v>
      </c>
      <c r="L1718" s="7" t="s">
        <v>19</v>
      </c>
      <c r="M1718" s="7" t="s">
        <v>2080</v>
      </c>
      <c r="N1718" s="7" t="s">
        <v>58</v>
      </c>
      <c r="O1718" s="10" t="n">
        <f aca="false">'Exec Summary'!$E$2-H1718</f>
        <v>73</v>
      </c>
      <c r="P1718" s="10" t="n">
        <f aca="false">IF(I1718="","",I1718-H1718)</f>
        <v>16</v>
      </c>
      <c r="Q1718" s="10" t="n">
        <f aca="false">VLOOKUP(G1718,$AA$2:$AB$5,2,FALSE())</f>
        <v>15</v>
      </c>
      <c r="R1718" s="7" t="n">
        <f aca="false">IF(OR(F1718="Open",F1718="Reopened"),1,0)</f>
        <v>0</v>
      </c>
      <c r="S1718" s="7" t="n">
        <f aca="false">IF(AND(H1718&gt;='Exec Summary'!$E$1,H1718&lt;='Exec Summary'!$E$2),1,0)</f>
        <v>0</v>
      </c>
      <c r="T1718" s="7" t="n">
        <f aca="false">IF(AND(F1718="Closed",I1718&lt;&gt;"",I1718&gt;='Exec Summary'!$E$1,I1718&lt;='Exec Summary'!$E$2),1,0)</f>
        <v>0</v>
      </c>
      <c r="U1718" s="7" t="n">
        <f aca="false">IF(F1718="Reopened",1,0)</f>
        <v>0</v>
      </c>
      <c r="V1718" s="7" t="n">
        <f aca="false">IF(AND(R1718=1,O1718&gt;Q1718),1,0)</f>
        <v>0</v>
      </c>
      <c r="W1718" s="7" t="n">
        <f aca="false">IF(AND(T1718=1,P1718&lt;&gt;"",P1718&lt;=Q1718),1,0)</f>
        <v>0</v>
      </c>
    </row>
    <row r="1719" customFormat="false" ht="15" hidden="false" customHeight="false" outlineLevel="0" collapsed="false">
      <c r="A1719" s="7" t="s">
        <v>2070</v>
      </c>
      <c r="B1719" s="7" t="s">
        <v>46</v>
      </c>
      <c r="C1719" s="7" t="s">
        <v>79</v>
      </c>
      <c r="D1719" s="7" t="s">
        <v>84</v>
      </c>
      <c r="E1719" s="7" t="s">
        <v>85</v>
      </c>
      <c r="F1719" s="7" t="s">
        <v>56</v>
      </c>
      <c r="G1719" s="7" t="s">
        <v>20</v>
      </c>
      <c r="H1719" s="9" t="n">
        <v>46054</v>
      </c>
      <c r="I1719" s="9"/>
      <c r="J1719" s="7" t="n">
        <v>7.5</v>
      </c>
      <c r="K1719" s="7" t="s">
        <v>1971</v>
      </c>
      <c r="L1719" s="7" t="s">
        <v>19</v>
      </c>
      <c r="M1719" s="7" t="s">
        <v>2081</v>
      </c>
      <c r="N1719" s="7" t="s">
        <v>53</v>
      </c>
      <c r="O1719" s="10" t="n">
        <f aca="false">'Exec Summary'!$E$2-H1719</f>
        <v>180</v>
      </c>
      <c r="P1719" s="10" t="str">
        <f aca="false">IF(I1719="","",I1719-H1719)</f>
        <v/>
      </c>
      <c r="Q1719" s="10" t="n">
        <f aca="false">VLOOKUP(G1719,$AA$2:$AB$5,2,FALSE())</f>
        <v>30</v>
      </c>
      <c r="R1719" s="7" t="n">
        <f aca="false">IF(OR(F1719="Open",F1719="Reopened"),1,0)</f>
        <v>1</v>
      </c>
      <c r="S1719" s="7" t="n">
        <f aca="false">IF(AND(H1719&gt;='Exec Summary'!$E$1,H1719&lt;='Exec Summary'!$E$2),1,0)</f>
        <v>0</v>
      </c>
      <c r="T1719" s="7" t="n">
        <f aca="false">IF(AND(F1719="Closed",I1719&lt;&gt;"",I1719&gt;='Exec Summary'!$E$1,I1719&lt;='Exec Summary'!$E$2),1,0)</f>
        <v>0</v>
      </c>
      <c r="U1719" s="7" t="n">
        <f aca="false">IF(F1719="Reopened",1,0)</f>
        <v>0</v>
      </c>
      <c r="V1719" s="7" t="n">
        <f aca="false">IF(AND(R1719=1,O1719&gt;Q1719),1,0)</f>
        <v>1</v>
      </c>
      <c r="W1719" s="7" t="n">
        <f aca="false">IF(AND(T1719=1,P1719&lt;&gt;"",P1719&lt;=Q1719),1,0)</f>
        <v>0</v>
      </c>
    </row>
    <row r="1720" customFormat="false" ht="15" hidden="false" customHeight="false" outlineLevel="0" collapsed="false">
      <c r="A1720" s="7" t="s">
        <v>2070</v>
      </c>
      <c r="B1720" s="7" t="s">
        <v>46</v>
      </c>
      <c r="C1720" s="7" t="s">
        <v>79</v>
      </c>
      <c r="D1720" s="7" t="s">
        <v>104</v>
      </c>
      <c r="E1720" s="7" t="s">
        <v>105</v>
      </c>
      <c r="F1720" s="7" t="s">
        <v>56</v>
      </c>
      <c r="G1720" s="7" t="s">
        <v>19</v>
      </c>
      <c r="H1720" s="9" t="n">
        <v>46158</v>
      </c>
      <c r="I1720" s="9"/>
      <c r="J1720" s="7" t="n">
        <v>9.8</v>
      </c>
      <c r="K1720" s="7" t="s">
        <v>1971</v>
      </c>
      <c r="L1720" s="7" t="s">
        <v>19</v>
      </c>
      <c r="M1720" s="7" t="s">
        <v>2082</v>
      </c>
      <c r="N1720" s="7" t="s">
        <v>58</v>
      </c>
      <c r="O1720" s="10" t="n">
        <f aca="false">'Exec Summary'!$E$2-H1720</f>
        <v>76</v>
      </c>
      <c r="P1720" s="10" t="str">
        <f aca="false">IF(I1720="","",I1720-H1720)</f>
        <v/>
      </c>
      <c r="Q1720" s="10" t="n">
        <f aca="false">VLOOKUP(G1720,$AA$2:$AB$5,2,FALSE())</f>
        <v>15</v>
      </c>
      <c r="R1720" s="7" t="n">
        <f aca="false">IF(OR(F1720="Open",F1720="Reopened"),1,0)</f>
        <v>1</v>
      </c>
      <c r="S1720" s="7" t="n">
        <f aca="false">IF(AND(H1720&gt;='Exec Summary'!$E$1,H1720&lt;='Exec Summary'!$E$2),1,0)</f>
        <v>0</v>
      </c>
      <c r="T1720" s="7" t="n">
        <f aca="false">IF(AND(F1720="Closed",I1720&lt;&gt;"",I1720&gt;='Exec Summary'!$E$1,I1720&lt;='Exec Summary'!$E$2),1,0)</f>
        <v>0</v>
      </c>
      <c r="U1720" s="7" t="n">
        <f aca="false">IF(F1720="Reopened",1,0)</f>
        <v>0</v>
      </c>
      <c r="V1720" s="7" t="n">
        <f aca="false">IF(AND(R1720=1,O1720&gt;Q1720),1,0)</f>
        <v>1</v>
      </c>
      <c r="W1720" s="7" t="n">
        <f aca="false">IF(AND(T1720=1,P1720&lt;&gt;"",P1720&lt;=Q1720),1,0)</f>
        <v>0</v>
      </c>
    </row>
    <row r="1721" customFormat="false" ht="15" hidden="false" customHeight="false" outlineLevel="0" collapsed="false">
      <c r="A1721" s="7" t="s">
        <v>2070</v>
      </c>
      <c r="B1721" s="7" t="s">
        <v>46</v>
      </c>
      <c r="C1721" s="7" t="s">
        <v>79</v>
      </c>
      <c r="D1721" s="7" t="s">
        <v>95</v>
      </c>
      <c r="E1721" s="7" t="s">
        <v>96</v>
      </c>
      <c r="F1721" s="7" t="s">
        <v>123</v>
      </c>
      <c r="G1721" s="7" t="s">
        <v>20</v>
      </c>
      <c r="H1721" s="9" t="n">
        <v>46155</v>
      </c>
      <c r="I1721" s="9" t="n">
        <v>46172</v>
      </c>
      <c r="J1721" s="7" t="n">
        <v>8.8</v>
      </c>
      <c r="K1721" s="7" t="s">
        <v>1971</v>
      </c>
      <c r="L1721" s="7" t="s">
        <v>19</v>
      </c>
      <c r="M1721" s="7" t="s">
        <v>2083</v>
      </c>
      <c r="N1721" s="7" t="s">
        <v>53</v>
      </c>
      <c r="O1721" s="10" t="n">
        <f aca="false">'Exec Summary'!$E$2-H1721</f>
        <v>79</v>
      </c>
      <c r="P1721" s="10" t="n">
        <f aca="false">IF(I1721="","",I1721-H1721)</f>
        <v>17</v>
      </c>
      <c r="Q1721" s="10" t="n">
        <f aca="false">VLOOKUP(G1721,$AA$2:$AB$5,2,FALSE())</f>
        <v>30</v>
      </c>
      <c r="R1721" s="7" t="n">
        <f aca="false">IF(OR(F1721="Open",F1721="Reopened"),1,0)</f>
        <v>1</v>
      </c>
      <c r="S1721" s="7" t="n">
        <f aca="false">IF(AND(H1721&gt;='Exec Summary'!$E$1,H1721&lt;='Exec Summary'!$E$2),1,0)</f>
        <v>0</v>
      </c>
      <c r="T1721" s="7" t="n">
        <f aca="false">IF(AND(F1721="Closed",I1721&lt;&gt;"",I1721&gt;='Exec Summary'!$E$1,I1721&lt;='Exec Summary'!$E$2),1,0)</f>
        <v>0</v>
      </c>
      <c r="U1721" s="7" t="n">
        <f aca="false">IF(F1721="Reopened",1,0)</f>
        <v>1</v>
      </c>
      <c r="V1721" s="7" t="n">
        <f aca="false">IF(AND(R1721=1,O1721&gt;Q1721),1,0)</f>
        <v>1</v>
      </c>
      <c r="W1721" s="7" t="n">
        <f aca="false">IF(AND(T1721=1,P1721&lt;&gt;"",P1721&lt;=Q1721),1,0)</f>
        <v>0</v>
      </c>
    </row>
    <row r="1722" customFormat="false" ht="15" hidden="false" customHeight="false" outlineLevel="0" collapsed="false">
      <c r="A1722" s="7" t="s">
        <v>2084</v>
      </c>
      <c r="B1722" s="7" t="s">
        <v>135</v>
      </c>
      <c r="C1722" s="7" t="s">
        <v>247</v>
      </c>
      <c r="D1722" s="7" t="s">
        <v>87</v>
      </c>
      <c r="E1722" s="7" t="s">
        <v>88</v>
      </c>
      <c r="F1722" s="7" t="s">
        <v>50</v>
      </c>
      <c r="G1722" s="7" t="s">
        <v>19</v>
      </c>
      <c r="H1722" s="9" t="n">
        <v>46074</v>
      </c>
      <c r="I1722" s="9" t="n">
        <v>46084</v>
      </c>
      <c r="J1722" s="7" t="n">
        <v>10</v>
      </c>
      <c r="K1722" s="7" t="s">
        <v>1971</v>
      </c>
      <c r="L1722" s="7" t="s">
        <v>19</v>
      </c>
      <c r="M1722" s="7" t="s">
        <v>2085</v>
      </c>
      <c r="N1722" s="7" t="s">
        <v>58</v>
      </c>
      <c r="O1722" s="10" t="n">
        <f aca="false">'Exec Summary'!$E$2-H1722</f>
        <v>160</v>
      </c>
      <c r="P1722" s="10" t="n">
        <f aca="false">IF(I1722="","",I1722-H1722)</f>
        <v>10</v>
      </c>
      <c r="Q1722" s="10" t="n">
        <f aca="false">VLOOKUP(G1722,$AA$2:$AB$5,2,FALSE())</f>
        <v>15</v>
      </c>
      <c r="R1722" s="7" t="n">
        <f aca="false">IF(OR(F1722="Open",F1722="Reopened"),1,0)</f>
        <v>0</v>
      </c>
      <c r="S1722" s="7" t="n">
        <f aca="false">IF(AND(H1722&gt;='Exec Summary'!$E$1,H1722&lt;='Exec Summary'!$E$2),1,0)</f>
        <v>0</v>
      </c>
      <c r="T1722" s="7" t="n">
        <f aca="false">IF(AND(F1722="Closed",I1722&lt;&gt;"",I1722&gt;='Exec Summary'!$E$1,I1722&lt;='Exec Summary'!$E$2),1,0)</f>
        <v>0</v>
      </c>
      <c r="U1722" s="7" t="n">
        <f aca="false">IF(F1722="Reopened",1,0)</f>
        <v>0</v>
      </c>
      <c r="V1722" s="7" t="n">
        <f aca="false">IF(AND(R1722=1,O1722&gt;Q1722),1,0)</f>
        <v>0</v>
      </c>
      <c r="W1722" s="7" t="n">
        <f aca="false">IF(AND(T1722=1,P1722&lt;&gt;"",P1722&lt;=Q1722),1,0)</f>
        <v>0</v>
      </c>
    </row>
    <row r="1723" customFormat="false" ht="15" hidden="false" customHeight="false" outlineLevel="0" collapsed="false">
      <c r="A1723" s="7" t="s">
        <v>2084</v>
      </c>
      <c r="B1723" s="7" t="s">
        <v>135</v>
      </c>
      <c r="C1723" s="7" t="s">
        <v>247</v>
      </c>
      <c r="D1723" s="7" t="s">
        <v>74</v>
      </c>
      <c r="E1723" s="7" t="s">
        <v>75</v>
      </c>
      <c r="F1723" s="7" t="s">
        <v>50</v>
      </c>
      <c r="G1723" s="7" t="s">
        <v>21</v>
      </c>
      <c r="H1723" s="9" t="n">
        <v>46009</v>
      </c>
      <c r="I1723" s="9" t="n">
        <v>46058</v>
      </c>
      <c r="J1723" s="7" t="n">
        <v>6.5</v>
      </c>
      <c r="K1723" s="7" t="s">
        <v>1971</v>
      </c>
      <c r="L1723" s="7" t="s">
        <v>19</v>
      </c>
      <c r="M1723" s="7" t="s">
        <v>2086</v>
      </c>
      <c r="N1723" s="7" t="s">
        <v>77</v>
      </c>
      <c r="O1723" s="10" t="n">
        <f aca="false">'Exec Summary'!$E$2-H1723</f>
        <v>225</v>
      </c>
      <c r="P1723" s="10" t="n">
        <f aca="false">IF(I1723="","",I1723-H1723)</f>
        <v>49</v>
      </c>
      <c r="Q1723" s="10" t="n">
        <f aca="false">VLOOKUP(G1723,$AA$2:$AB$5,2,FALSE())</f>
        <v>90</v>
      </c>
      <c r="R1723" s="7" t="n">
        <f aca="false">IF(OR(F1723="Open",F1723="Reopened"),1,0)</f>
        <v>0</v>
      </c>
      <c r="S1723" s="7" t="n">
        <f aca="false">IF(AND(H1723&gt;='Exec Summary'!$E$1,H1723&lt;='Exec Summary'!$E$2),1,0)</f>
        <v>0</v>
      </c>
      <c r="T1723" s="7" t="n">
        <f aca="false">IF(AND(F1723="Closed",I1723&lt;&gt;"",I1723&gt;='Exec Summary'!$E$1,I1723&lt;='Exec Summary'!$E$2),1,0)</f>
        <v>0</v>
      </c>
      <c r="U1723" s="7" t="n">
        <f aca="false">IF(F1723="Reopened",1,0)</f>
        <v>0</v>
      </c>
      <c r="V1723" s="7" t="n">
        <f aca="false">IF(AND(R1723=1,O1723&gt;Q1723),1,0)</f>
        <v>0</v>
      </c>
      <c r="W1723" s="7" t="n">
        <f aca="false">IF(AND(T1723=1,P1723&lt;&gt;"",P1723&lt;=Q1723),1,0)</f>
        <v>0</v>
      </c>
    </row>
    <row r="1724" customFormat="false" ht="15" hidden="false" customHeight="false" outlineLevel="0" collapsed="false">
      <c r="A1724" s="7" t="s">
        <v>2084</v>
      </c>
      <c r="B1724" s="7" t="s">
        <v>135</v>
      </c>
      <c r="C1724" s="7" t="s">
        <v>247</v>
      </c>
      <c r="D1724" s="7" t="s">
        <v>117</v>
      </c>
      <c r="E1724" s="7" t="s">
        <v>118</v>
      </c>
      <c r="F1724" s="7" t="s">
        <v>56</v>
      </c>
      <c r="G1724" s="7" t="s">
        <v>19</v>
      </c>
      <c r="H1724" s="9" t="n">
        <v>45939</v>
      </c>
      <c r="I1724" s="9"/>
      <c r="J1724" s="7" t="n">
        <v>10</v>
      </c>
      <c r="K1724" s="7" t="s">
        <v>1971</v>
      </c>
      <c r="L1724" s="7" t="s">
        <v>19</v>
      </c>
      <c r="M1724" s="7" t="s">
        <v>2087</v>
      </c>
      <c r="N1724" s="7" t="s">
        <v>58</v>
      </c>
      <c r="O1724" s="10" t="n">
        <f aca="false">'Exec Summary'!$E$2-H1724</f>
        <v>295</v>
      </c>
      <c r="P1724" s="10" t="str">
        <f aca="false">IF(I1724="","",I1724-H1724)</f>
        <v/>
      </c>
      <c r="Q1724" s="10" t="n">
        <f aca="false">VLOOKUP(G1724,$AA$2:$AB$5,2,FALSE())</f>
        <v>15</v>
      </c>
      <c r="R1724" s="7" t="n">
        <f aca="false">IF(OR(F1724="Open",F1724="Reopened"),1,0)</f>
        <v>1</v>
      </c>
      <c r="S1724" s="7" t="n">
        <f aca="false">IF(AND(H1724&gt;='Exec Summary'!$E$1,H1724&lt;='Exec Summary'!$E$2),1,0)</f>
        <v>0</v>
      </c>
      <c r="T1724" s="7" t="n">
        <f aca="false">IF(AND(F1724="Closed",I1724&lt;&gt;"",I1724&gt;='Exec Summary'!$E$1,I1724&lt;='Exec Summary'!$E$2),1,0)</f>
        <v>0</v>
      </c>
      <c r="U1724" s="7" t="n">
        <f aca="false">IF(F1724="Reopened",1,0)</f>
        <v>0</v>
      </c>
      <c r="V1724" s="7" t="n">
        <f aca="false">IF(AND(R1724=1,O1724&gt;Q1724),1,0)</f>
        <v>1</v>
      </c>
      <c r="W1724" s="7" t="n">
        <f aca="false">IF(AND(T1724=1,P1724&lt;&gt;"",P1724&lt;=Q1724),1,0)</f>
        <v>0</v>
      </c>
    </row>
    <row r="1725" customFormat="false" ht="15" hidden="false" customHeight="false" outlineLevel="0" collapsed="false">
      <c r="A1725" s="7" t="s">
        <v>2084</v>
      </c>
      <c r="B1725" s="7" t="s">
        <v>135</v>
      </c>
      <c r="C1725" s="7" t="s">
        <v>247</v>
      </c>
      <c r="D1725" s="7" t="s">
        <v>131</v>
      </c>
      <c r="E1725" s="7" t="s">
        <v>132</v>
      </c>
      <c r="F1725" s="7" t="s">
        <v>50</v>
      </c>
      <c r="G1725" s="7" t="s">
        <v>19</v>
      </c>
      <c r="H1725" s="9" t="n">
        <v>46161</v>
      </c>
      <c r="I1725" s="9" t="n">
        <v>46186</v>
      </c>
      <c r="J1725" s="7" t="n">
        <v>9.8</v>
      </c>
      <c r="K1725" s="7" t="s">
        <v>1971</v>
      </c>
      <c r="L1725" s="7" t="s">
        <v>19</v>
      </c>
      <c r="M1725" s="7" t="s">
        <v>2088</v>
      </c>
      <c r="N1725" s="7" t="s">
        <v>58</v>
      </c>
      <c r="O1725" s="10" t="n">
        <f aca="false">'Exec Summary'!$E$2-H1725</f>
        <v>73</v>
      </c>
      <c r="P1725" s="10" t="n">
        <f aca="false">IF(I1725="","",I1725-H1725)</f>
        <v>25</v>
      </c>
      <c r="Q1725" s="10" t="n">
        <f aca="false">VLOOKUP(G1725,$AA$2:$AB$5,2,FALSE())</f>
        <v>15</v>
      </c>
      <c r="R1725" s="7" t="n">
        <f aca="false">IF(OR(F1725="Open",F1725="Reopened"),1,0)</f>
        <v>0</v>
      </c>
      <c r="S1725" s="7" t="n">
        <f aca="false">IF(AND(H1725&gt;='Exec Summary'!$E$1,H1725&lt;='Exec Summary'!$E$2),1,0)</f>
        <v>0</v>
      </c>
      <c r="T1725" s="7" t="n">
        <f aca="false">IF(AND(F1725="Closed",I1725&lt;&gt;"",I1725&gt;='Exec Summary'!$E$1,I1725&lt;='Exec Summary'!$E$2),1,0)</f>
        <v>0</v>
      </c>
      <c r="U1725" s="7" t="n">
        <f aca="false">IF(F1725="Reopened",1,0)</f>
        <v>0</v>
      </c>
      <c r="V1725" s="7" t="n">
        <f aca="false">IF(AND(R1725=1,O1725&gt;Q1725),1,0)</f>
        <v>0</v>
      </c>
      <c r="W1725" s="7" t="n">
        <f aca="false">IF(AND(T1725=1,P1725&lt;&gt;"",P1725&lt;=Q1725),1,0)</f>
        <v>0</v>
      </c>
    </row>
    <row r="1726" customFormat="false" ht="15" hidden="false" customHeight="false" outlineLevel="0" collapsed="false">
      <c r="A1726" s="7" t="s">
        <v>2084</v>
      </c>
      <c r="B1726" s="7" t="s">
        <v>135</v>
      </c>
      <c r="C1726" s="7" t="s">
        <v>247</v>
      </c>
      <c r="D1726" s="7" t="s">
        <v>71</v>
      </c>
      <c r="E1726" s="7" t="s">
        <v>72</v>
      </c>
      <c r="F1726" s="7" t="s">
        <v>50</v>
      </c>
      <c r="G1726" s="7" t="s">
        <v>19</v>
      </c>
      <c r="H1726" s="9" t="n">
        <v>46075</v>
      </c>
      <c r="I1726" s="9" t="n">
        <v>46076</v>
      </c>
      <c r="J1726" s="7" t="n">
        <v>9.8</v>
      </c>
      <c r="K1726" s="7" t="s">
        <v>1971</v>
      </c>
      <c r="L1726" s="7" t="s">
        <v>19</v>
      </c>
      <c r="M1726" s="7" t="s">
        <v>2089</v>
      </c>
      <c r="N1726" s="7" t="s">
        <v>58</v>
      </c>
      <c r="O1726" s="10" t="n">
        <f aca="false">'Exec Summary'!$E$2-H1726</f>
        <v>159</v>
      </c>
      <c r="P1726" s="10" t="n">
        <f aca="false">IF(I1726="","",I1726-H1726)</f>
        <v>1</v>
      </c>
      <c r="Q1726" s="10" t="n">
        <f aca="false">VLOOKUP(G1726,$AA$2:$AB$5,2,FALSE())</f>
        <v>15</v>
      </c>
      <c r="R1726" s="7" t="n">
        <f aca="false">IF(OR(F1726="Open",F1726="Reopened"),1,0)</f>
        <v>0</v>
      </c>
      <c r="S1726" s="7" t="n">
        <f aca="false">IF(AND(H1726&gt;='Exec Summary'!$E$1,H1726&lt;='Exec Summary'!$E$2),1,0)</f>
        <v>0</v>
      </c>
      <c r="T1726" s="7" t="n">
        <f aca="false">IF(AND(F1726="Closed",I1726&lt;&gt;"",I1726&gt;='Exec Summary'!$E$1,I1726&lt;='Exec Summary'!$E$2),1,0)</f>
        <v>0</v>
      </c>
      <c r="U1726" s="7" t="n">
        <f aca="false">IF(F1726="Reopened",1,0)</f>
        <v>0</v>
      </c>
      <c r="V1726" s="7" t="n">
        <f aca="false">IF(AND(R1726=1,O1726&gt;Q1726),1,0)</f>
        <v>0</v>
      </c>
      <c r="W1726" s="7" t="n">
        <f aca="false">IF(AND(T1726=1,P1726&lt;&gt;"",P1726&lt;=Q1726),1,0)</f>
        <v>0</v>
      </c>
    </row>
    <row r="1727" customFormat="false" ht="15" hidden="false" customHeight="false" outlineLevel="0" collapsed="false">
      <c r="A1727" s="7" t="s">
        <v>2084</v>
      </c>
      <c r="B1727" s="7" t="s">
        <v>135</v>
      </c>
      <c r="C1727" s="7" t="s">
        <v>247</v>
      </c>
      <c r="D1727" s="7" t="s">
        <v>139</v>
      </c>
      <c r="E1727" s="7" t="s">
        <v>140</v>
      </c>
      <c r="F1727" s="7" t="s">
        <v>50</v>
      </c>
      <c r="G1727" s="7" t="s">
        <v>19</v>
      </c>
      <c r="H1727" s="9" t="n">
        <v>46191</v>
      </c>
      <c r="I1727" s="9" t="n">
        <v>46208</v>
      </c>
      <c r="J1727" s="7" t="n">
        <v>9.8</v>
      </c>
      <c r="K1727" s="7" t="s">
        <v>1971</v>
      </c>
      <c r="L1727" s="7" t="s">
        <v>19</v>
      </c>
      <c r="M1727" s="7" t="s">
        <v>2090</v>
      </c>
      <c r="N1727" s="7" t="s">
        <v>58</v>
      </c>
      <c r="O1727" s="10" t="n">
        <f aca="false">'Exec Summary'!$E$2-H1727</f>
        <v>43</v>
      </c>
      <c r="P1727" s="10" t="n">
        <f aca="false">IF(I1727="","",I1727-H1727)</f>
        <v>17</v>
      </c>
      <c r="Q1727" s="10" t="n">
        <f aca="false">VLOOKUP(G1727,$AA$2:$AB$5,2,FALSE())</f>
        <v>15</v>
      </c>
      <c r="R1727" s="7" t="n">
        <f aca="false">IF(OR(F1727="Open",F1727="Reopened"),1,0)</f>
        <v>0</v>
      </c>
      <c r="S1727" s="7" t="n">
        <f aca="false">IF(AND(H1727&gt;='Exec Summary'!$E$1,H1727&lt;='Exec Summary'!$E$2),1,0)</f>
        <v>0</v>
      </c>
      <c r="T1727" s="7" t="n">
        <f aca="false">IF(AND(F1727="Closed",I1727&lt;&gt;"",I1727&gt;='Exec Summary'!$E$1,I1727&lt;='Exec Summary'!$E$2),1,0)</f>
        <v>1</v>
      </c>
      <c r="U1727" s="7" t="n">
        <f aca="false">IF(F1727="Reopened",1,0)</f>
        <v>0</v>
      </c>
      <c r="V1727" s="7" t="n">
        <f aca="false">IF(AND(R1727=1,O1727&gt;Q1727),1,0)</f>
        <v>0</v>
      </c>
      <c r="W1727" s="7" t="n">
        <f aca="false">IF(AND(T1727=1,P1727&lt;&gt;"",P1727&lt;=Q1727),1,0)</f>
        <v>0</v>
      </c>
    </row>
    <row r="1728" customFormat="false" ht="15" hidden="false" customHeight="false" outlineLevel="0" collapsed="false">
      <c r="A1728" s="7" t="s">
        <v>2084</v>
      </c>
      <c r="B1728" s="7" t="s">
        <v>135</v>
      </c>
      <c r="C1728" s="7" t="s">
        <v>247</v>
      </c>
      <c r="D1728" s="7" t="s">
        <v>166</v>
      </c>
      <c r="E1728" s="7" t="s">
        <v>167</v>
      </c>
      <c r="F1728" s="7" t="s">
        <v>50</v>
      </c>
      <c r="G1728" s="7" t="s">
        <v>19</v>
      </c>
      <c r="H1728" s="9" t="n">
        <v>46011</v>
      </c>
      <c r="I1728" s="9" t="n">
        <v>46017</v>
      </c>
      <c r="J1728" s="7" t="n">
        <v>9.8</v>
      </c>
      <c r="K1728" s="7" t="s">
        <v>1971</v>
      </c>
      <c r="L1728" s="7" t="s">
        <v>19</v>
      </c>
      <c r="M1728" s="7" t="s">
        <v>2091</v>
      </c>
      <c r="N1728" s="7" t="s">
        <v>58</v>
      </c>
      <c r="O1728" s="10" t="n">
        <f aca="false">'Exec Summary'!$E$2-H1728</f>
        <v>223</v>
      </c>
      <c r="P1728" s="10" t="n">
        <f aca="false">IF(I1728="","",I1728-H1728)</f>
        <v>6</v>
      </c>
      <c r="Q1728" s="10" t="n">
        <f aca="false">VLOOKUP(G1728,$AA$2:$AB$5,2,FALSE())</f>
        <v>15</v>
      </c>
      <c r="R1728" s="7" t="n">
        <f aca="false">IF(OR(F1728="Open",F1728="Reopened"),1,0)</f>
        <v>0</v>
      </c>
      <c r="S1728" s="7" t="n">
        <f aca="false">IF(AND(H1728&gt;='Exec Summary'!$E$1,H1728&lt;='Exec Summary'!$E$2),1,0)</f>
        <v>0</v>
      </c>
      <c r="T1728" s="7" t="n">
        <f aca="false">IF(AND(F1728="Closed",I1728&lt;&gt;"",I1728&gt;='Exec Summary'!$E$1,I1728&lt;='Exec Summary'!$E$2),1,0)</f>
        <v>0</v>
      </c>
      <c r="U1728" s="7" t="n">
        <f aca="false">IF(F1728="Reopened",1,0)</f>
        <v>0</v>
      </c>
      <c r="V1728" s="7" t="n">
        <f aca="false">IF(AND(R1728=1,O1728&gt;Q1728),1,0)</f>
        <v>0</v>
      </c>
      <c r="W1728" s="7" t="n">
        <f aca="false">IF(AND(T1728=1,P1728&lt;&gt;"",P1728&lt;=Q1728),1,0)</f>
        <v>0</v>
      </c>
    </row>
    <row r="1729" customFormat="false" ht="15" hidden="false" customHeight="false" outlineLevel="0" collapsed="false">
      <c r="A1729" s="7" t="s">
        <v>2084</v>
      </c>
      <c r="B1729" s="7" t="s">
        <v>135</v>
      </c>
      <c r="C1729" s="7" t="s">
        <v>247</v>
      </c>
      <c r="D1729" s="7" t="s">
        <v>81</v>
      </c>
      <c r="E1729" s="7" t="s">
        <v>82</v>
      </c>
      <c r="F1729" s="7" t="s">
        <v>56</v>
      </c>
      <c r="G1729" s="7" t="s">
        <v>20</v>
      </c>
      <c r="H1729" s="9" t="n">
        <v>46169</v>
      </c>
      <c r="I1729" s="9"/>
      <c r="J1729" s="7" t="n">
        <v>7.8</v>
      </c>
      <c r="K1729" s="7" t="s">
        <v>1971</v>
      </c>
      <c r="L1729" s="7" t="s">
        <v>19</v>
      </c>
      <c r="M1729" s="7" t="s">
        <v>2092</v>
      </c>
      <c r="N1729" s="7" t="s">
        <v>53</v>
      </c>
      <c r="O1729" s="10" t="n">
        <f aca="false">'Exec Summary'!$E$2-H1729</f>
        <v>65</v>
      </c>
      <c r="P1729" s="10" t="str">
        <f aca="false">IF(I1729="","",I1729-H1729)</f>
        <v/>
      </c>
      <c r="Q1729" s="10" t="n">
        <f aca="false">VLOOKUP(G1729,$AA$2:$AB$5,2,FALSE())</f>
        <v>30</v>
      </c>
      <c r="R1729" s="7" t="n">
        <f aca="false">IF(OR(F1729="Open",F1729="Reopened"),1,0)</f>
        <v>1</v>
      </c>
      <c r="S1729" s="7" t="n">
        <f aca="false">IF(AND(H1729&gt;='Exec Summary'!$E$1,H1729&lt;='Exec Summary'!$E$2),1,0)</f>
        <v>0</v>
      </c>
      <c r="T1729" s="7" t="n">
        <f aca="false">IF(AND(F1729="Closed",I1729&lt;&gt;"",I1729&gt;='Exec Summary'!$E$1,I1729&lt;='Exec Summary'!$E$2),1,0)</f>
        <v>0</v>
      </c>
      <c r="U1729" s="7" t="n">
        <f aca="false">IF(F1729="Reopened",1,0)</f>
        <v>0</v>
      </c>
      <c r="V1729" s="7" t="n">
        <f aca="false">IF(AND(R1729=1,O1729&gt;Q1729),1,0)</f>
        <v>1</v>
      </c>
      <c r="W1729" s="7" t="n">
        <f aca="false">IF(AND(T1729=1,P1729&lt;&gt;"",P1729&lt;=Q1729),1,0)</f>
        <v>0</v>
      </c>
    </row>
    <row r="1730" customFormat="false" ht="15" hidden="false" customHeight="false" outlineLevel="0" collapsed="false">
      <c r="A1730" s="7" t="s">
        <v>2093</v>
      </c>
      <c r="B1730" s="7" t="s">
        <v>46</v>
      </c>
      <c r="C1730" s="7" t="s">
        <v>47</v>
      </c>
      <c r="D1730" s="7" t="s">
        <v>65</v>
      </c>
      <c r="E1730" s="7" t="s">
        <v>66</v>
      </c>
      <c r="F1730" s="7" t="s">
        <v>50</v>
      </c>
      <c r="G1730" s="7" t="s">
        <v>19</v>
      </c>
      <c r="H1730" s="9" t="n">
        <v>46066</v>
      </c>
      <c r="I1730" s="9" t="n">
        <v>46069</v>
      </c>
      <c r="J1730" s="7" t="n">
        <v>9.8</v>
      </c>
      <c r="K1730" s="7" t="s">
        <v>1971</v>
      </c>
      <c r="L1730" s="7" t="s">
        <v>19</v>
      </c>
      <c r="M1730" s="7" t="s">
        <v>2094</v>
      </c>
      <c r="N1730" s="7" t="s">
        <v>58</v>
      </c>
      <c r="O1730" s="10" t="n">
        <f aca="false">'Exec Summary'!$E$2-H1730</f>
        <v>168</v>
      </c>
      <c r="P1730" s="10" t="n">
        <f aca="false">IF(I1730="","",I1730-H1730)</f>
        <v>3</v>
      </c>
      <c r="Q1730" s="10" t="n">
        <f aca="false">VLOOKUP(G1730,$AA$2:$AB$5,2,FALSE())</f>
        <v>15</v>
      </c>
      <c r="R1730" s="7" t="n">
        <f aca="false">IF(OR(F1730="Open",F1730="Reopened"),1,0)</f>
        <v>0</v>
      </c>
      <c r="S1730" s="7" t="n">
        <f aca="false">IF(AND(H1730&gt;='Exec Summary'!$E$1,H1730&lt;='Exec Summary'!$E$2),1,0)</f>
        <v>0</v>
      </c>
      <c r="T1730" s="7" t="n">
        <f aca="false">IF(AND(F1730="Closed",I1730&lt;&gt;"",I1730&gt;='Exec Summary'!$E$1,I1730&lt;='Exec Summary'!$E$2),1,0)</f>
        <v>0</v>
      </c>
      <c r="U1730" s="7" t="n">
        <f aca="false">IF(F1730="Reopened",1,0)</f>
        <v>0</v>
      </c>
      <c r="V1730" s="7" t="n">
        <f aca="false">IF(AND(R1730=1,O1730&gt;Q1730),1,0)</f>
        <v>0</v>
      </c>
      <c r="W1730" s="7" t="n">
        <f aca="false">IF(AND(T1730=1,P1730&lt;&gt;"",P1730&lt;=Q1730),1,0)</f>
        <v>0</v>
      </c>
    </row>
    <row r="1731" customFormat="false" ht="15" hidden="false" customHeight="false" outlineLevel="0" collapsed="false">
      <c r="A1731" s="7" t="s">
        <v>2093</v>
      </c>
      <c r="B1731" s="7" t="s">
        <v>46</v>
      </c>
      <c r="C1731" s="7" t="s">
        <v>47</v>
      </c>
      <c r="D1731" s="7" t="s">
        <v>117</v>
      </c>
      <c r="E1731" s="7" t="s">
        <v>118</v>
      </c>
      <c r="F1731" s="7" t="s">
        <v>50</v>
      </c>
      <c r="G1731" s="7" t="s">
        <v>19</v>
      </c>
      <c r="H1731" s="9" t="n">
        <v>45968</v>
      </c>
      <c r="I1731" s="9" t="n">
        <v>45994</v>
      </c>
      <c r="J1731" s="7" t="n">
        <v>10</v>
      </c>
      <c r="K1731" s="7" t="s">
        <v>1971</v>
      </c>
      <c r="L1731" s="7" t="s">
        <v>19</v>
      </c>
      <c r="M1731" s="7" t="s">
        <v>2095</v>
      </c>
      <c r="N1731" s="7" t="s">
        <v>58</v>
      </c>
      <c r="O1731" s="10" t="n">
        <f aca="false">'Exec Summary'!$E$2-H1731</f>
        <v>266</v>
      </c>
      <c r="P1731" s="10" t="n">
        <f aca="false">IF(I1731="","",I1731-H1731)</f>
        <v>26</v>
      </c>
      <c r="Q1731" s="10" t="n">
        <f aca="false">VLOOKUP(G1731,$AA$2:$AB$5,2,FALSE())</f>
        <v>15</v>
      </c>
      <c r="R1731" s="7" t="n">
        <f aca="false">IF(OR(F1731="Open",F1731="Reopened"),1,0)</f>
        <v>0</v>
      </c>
      <c r="S1731" s="7" t="n">
        <f aca="false">IF(AND(H1731&gt;='Exec Summary'!$E$1,H1731&lt;='Exec Summary'!$E$2),1,0)</f>
        <v>0</v>
      </c>
      <c r="T1731" s="7" t="n">
        <f aca="false">IF(AND(F1731="Closed",I1731&lt;&gt;"",I1731&gt;='Exec Summary'!$E$1,I1731&lt;='Exec Summary'!$E$2),1,0)</f>
        <v>0</v>
      </c>
      <c r="U1731" s="7" t="n">
        <f aca="false">IF(F1731="Reopened",1,0)</f>
        <v>0</v>
      </c>
      <c r="V1731" s="7" t="n">
        <f aca="false">IF(AND(R1731=1,O1731&gt;Q1731),1,0)</f>
        <v>0</v>
      </c>
      <c r="W1731" s="7" t="n">
        <f aca="false">IF(AND(T1731=1,P1731&lt;&gt;"",P1731&lt;=Q1731),1,0)</f>
        <v>0</v>
      </c>
    </row>
    <row r="1732" customFormat="false" ht="15" hidden="false" customHeight="false" outlineLevel="0" collapsed="false">
      <c r="A1732" s="7" t="s">
        <v>2093</v>
      </c>
      <c r="B1732" s="7" t="s">
        <v>46</v>
      </c>
      <c r="C1732" s="7" t="s">
        <v>47</v>
      </c>
      <c r="D1732" s="7" t="s">
        <v>48</v>
      </c>
      <c r="E1732" s="7" t="s">
        <v>49</v>
      </c>
      <c r="F1732" s="7" t="s">
        <v>50</v>
      </c>
      <c r="G1732" s="7" t="s">
        <v>20</v>
      </c>
      <c r="H1732" s="9" t="n">
        <v>46052</v>
      </c>
      <c r="I1732" s="9" t="n">
        <v>46099</v>
      </c>
      <c r="J1732" s="7" t="n">
        <v>7.5</v>
      </c>
      <c r="K1732" s="7" t="s">
        <v>1971</v>
      </c>
      <c r="L1732" s="7" t="s">
        <v>19</v>
      </c>
      <c r="M1732" s="7" t="s">
        <v>2096</v>
      </c>
      <c r="N1732" s="7" t="s">
        <v>53</v>
      </c>
      <c r="O1732" s="10" t="n">
        <f aca="false">'Exec Summary'!$E$2-H1732</f>
        <v>182</v>
      </c>
      <c r="P1732" s="10" t="n">
        <f aca="false">IF(I1732="","",I1732-H1732)</f>
        <v>47</v>
      </c>
      <c r="Q1732" s="10" t="n">
        <f aca="false">VLOOKUP(G1732,$AA$2:$AB$5,2,FALSE())</f>
        <v>30</v>
      </c>
      <c r="R1732" s="7" t="n">
        <f aca="false">IF(OR(F1732="Open",F1732="Reopened"),1,0)</f>
        <v>0</v>
      </c>
      <c r="S1732" s="7" t="n">
        <f aca="false">IF(AND(H1732&gt;='Exec Summary'!$E$1,H1732&lt;='Exec Summary'!$E$2),1,0)</f>
        <v>0</v>
      </c>
      <c r="T1732" s="7" t="n">
        <f aca="false">IF(AND(F1732="Closed",I1732&lt;&gt;"",I1732&gt;='Exec Summary'!$E$1,I1732&lt;='Exec Summary'!$E$2),1,0)</f>
        <v>0</v>
      </c>
      <c r="U1732" s="7" t="n">
        <f aca="false">IF(F1732="Reopened",1,0)</f>
        <v>0</v>
      </c>
      <c r="V1732" s="7" t="n">
        <f aca="false">IF(AND(R1732=1,O1732&gt;Q1732),1,0)</f>
        <v>0</v>
      </c>
      <c r="W1732" s="7" t="n">
        <f aca="false">IF(AND(T1732=1,P1732&lt;&gt;"",P1732&lt;=Q1732),1,0)</f>
        <v>0</v>
      </c>
    </row>
    <row r="1733" customFormat="false" ht="15" hidden="false" customHeight="false" outlineLevel="0" collapsed="false">
      <c r="A1733" s="7" t="s">
        <v>2093</v>
      </c>
      <c r="B1733" s="7" t="s">
        <v>46</v>
      </c>
      <c r="C1733" s="7" t="s">
        <v>47</v>
      </c>
      <c r="D1733" s="7" t="s">
        <v>71</v>
      </c>
      <c r="E1733" s="7" t="s">
        <v>72</v>
      </c>
      <c r="F1733" s="7" t="s">
        <v>50</v>
      </c>
      <c r="G1733" s="7" t="s">
        <v>19</v>
      </c>
      <c r="H1733" s="9" t="n">
        <v>46055</v>
      </c>
      <c r="I1733" s="9" t="n">
        <v>46075</v>
      </c>
      <c r="J1733" s="7" t="n">
        <v>9.8</v>
      </c>
      <c r="K1733" s="7" t="s">
        <v>1971</v>
      </c>
      <c r="L1733" s="7" t="s">
        <v>19</v>
      </c>
      <c r="M1733" s="7" t="s">
        <v>2097</v>
      </c>
      <c r="N1733" s="7" t="s">
        <v>58</v>
      </c>
      <c r="O1733" s="10" t="n">
        <f aca="false">'Exec Summary'!$E$2-H1733</f>
        <v>179</v>
      </c>
      <c r="P1733" s="10" t="n">
        <f aca="false">IF(I1733="","",I1733-H1733)</f>
        <v>20</v>
      </c>
      <c r="Q1733" s="10" t="n">
        <f aca="false">VLOOKUP(G1733,$AA$2:$AB$5,2,FALSE())</f>
        <v>15</v>
      </c>
      <c r="R1733" s="7" t="n">
        <f aca="false">IF(OR(F1733="Open",F1733="Reopened"),1,0)</f>
        <v>0</v>
      </c>
      <c r="S1733" s="7" t="n">
        <f aca="false">IF(AND(H1733&gt;='Exec Summary'!$E$1,H1733&lt;='Exec Summary'!$E$2),1,0)</f>
        <v>0</v>
      </c>
      <c r="T1733" s="7" t="n">
        <f aca="false">IF(AND(F1733="Closed",I1733&lt;&gt;"",I1733&gt;='Exec Summary'!$E$1,I1733&lt;='Exec Summary'!$E$2),1,0)</f>
        <v>0</v>
      </c>
      <c r="U1733" s="7" t="n">
        <f aca="false">IF(F1733="Reopened",1,0)</f>
        <v>0</v>
      </c>
      <c r="V1733" s="7" t="n">
        <f aca="false">IF(AND(R1733=1,O1733&gt;Q1733),1,0)</f>
        <v>0</v>
      </c>
      <c r="W1733" s="7" t="n">
        <f aca="false">IF(AND(T1733=1,P1733&lt;&gt;"",P1733&lt;=Q1733),1,0)</f>
        <v>0</v>
      </c>
    </row>
    <row r="1734" customFormat="false" ht="15" hidden="false" customHeight="false" outlineLevel="0" collapsed="false">
      <c r="A1734" s="7" t="s">
        <v>2093</v>
      </c>
      <c r="B1734" s="7" t="s">
        <v>46</v>
      </c>
      <c r="C1734" s="7" t="s">
        <v>47</v>
      </c>
      <c r="D1734" s="7" t="s">
        <v>173</v>
      </c>
      <c r="E1734" s="7" t="s">
        <v>174</v>
      </c>
      <c r="F1734" s="7" t="s">
        <v>56</v>
      </c>
      <c r="G1734" s="7" t="s">
        <v>19</v>
      </c>
      <c r="H1734" s="9" t="n">
        <v>46149</v>
      </c>
      <c r="I1734" s="9"/>
      <c r="J1734" s="7" t="n">
        <v>9.8</v>
      </c>
      <c r="K1734" s="7" t="s">
        <v>1971</v>
      </c>
      <c r="L1734" s="7" t="s">
        <v>19</v>
      </c>
      <c r="M1734" s="7" t="s">
        <v>2098</v>
      </c>
      <c r="N1734" s="7" t="s">
        <v>58</v>
      </c>
      <c r="O1734" s="10" t="n">
        <f aca="false">'Exec Summary'!$E$2-H1734</f>
        <v>85</v>
      </c>
      <c r="P1734" s="10" t="str">
        <f aca="false">IF(I1734="","",I1734-H1734)</f>
        <v/>
      </c>
      <c r="Q1734" s="10" t="n">
        <f aca="false">VLOOKUP(G1734,$AA$2:$AB$5,2,FALSE())</f>
        <v>15</v>
      </c>
      <c r="R1734" s="7" t="n">
        <f aca="false">IF(OR(F1734="Open",F1734="Reopened"),1,0)</f>
        <v>1</v>
      </c>
      <c r="S1734" s="7" t="n">
        <f aca="false">IF(AND(H1734&gt;='Exec Summary'!$E$1,H1734&lt;='Exec Summary'!$E$2),1,0)</f>
        <v>0</v>
      </c>
      <c r="T1734" s="7" t="n">
        <f aca="false">IF(AND(F1734="Closed",I1734&lt;&gt;"",I1734&gt;='Exec Summary'!$E$1,I1734&lt;='Exec Summary'!$E$2),1,0)</f>
        <v>0</v>
      </c>
      <c r="U1734" s="7" t="n">
        <f aca="false">IF(F1734="Reopened",1,0)</f>
        <v>0</v>
      </c>
      <c r="V1734" s="7" t="n">
        <f aca="false">IF(AND(R1734=1,O1734&gt;Q1734),1,0)</f>
        <v>1</v>
      </c>
      <c r="W1734" s="7" t="n">
        <f aca="false">IF(AND(T1734=1,P1734&lt;&gt;"",P1734&lt;=Q1734),1,0)</f>
        <v>0</v>
      </c>
    </row>
    <row r="1735" customFormat="false" ht="15" hidden="false" customHeight="false" outlineLevel="0" collapsed="false">
      <c r="A1735" s="7" t="s">
        <v>2093</v>
      </c>
      <c r="B1735" s="7" t="s">
        <v>46</v>
      </c>
      <c r="C1735" s="7" t="s">
        <v>47</v>
      </c>
      <c r="D1735" s="7" t="s">
        <v>108</v>
      </c>
      <c r="E1735" s="7" t="s">
        <v>109</v>
      </c>
      <c r="F1735" s="7" t="s">
        <v>50</v>
      </c>
      <c r="G1735" s="7" t="s">
        <v>20</v>
      </c>
      <c r="H1735" s="9" t="n">
        <v>46062</v>
      </c>
      <c r="I1735" s="9" t="n">
        <v>46087</v>
      </c>
      <c r="J1735" s="7" t="n">
        <v>8.6</v>
      </c>
      <c r="K1735" s="7" t="s">
        <v>1971</v>
      </c>
      <c r="L1735" s="7" t="s">
        <v>19</v>
      </c>
      <c r="M1735" s="7" t="s">
        <v>2099</v>
      </c>
      <c r="N1735" s="7" t="s">
        <v>53</v>
      </c>
      <c r="O1735" s="10" t="n">
        <f aca="false">'Exec Summary'!$E$2-H1735</f>
        <v>172</v>
      </c>
      <c r="P1735" s="10" t="n">
        <f aca="false">IF(I1735="","",I1735-H1735)</f>
        <v>25</v>
      </c>
      <c r="Q1735" s="10" t="n">
        <f aca="false">VLOOKUP(G1735,$AA$2:$AB$5,2,FALSE())</f>
        <v>30</v>
      </c>
      <c r="R1735" s="7" t="n">
        <f aca="false">IF(OR(F1735="Open",F1735="Reopened"),1,0)</f>
        <v>0</v>
      </c>
      <c r="S1735" s="7" t="n">
        <f aca="false">IF(AND(H1735&gt;='Exec Summary'!$E$1,H1735&lt;='Exec Summary'!$E$2),1,0)</f>
        <v>0</v>
      </c>
      <c r="T1735" s="7" t="n">
        <f aca="false">IF(AND(F1735="Closed",I1735&lt;&gt;"",I1735&gt;='Exec Summary'!$E$1,I1735&lt;='Exec Summary'!$E$2),1,0)</f>
        <v>0</v>
      </c>
      <c r="U1735" s="7" t="n">
        <f aca="false">IF(F1735="Reopened",1,0)</f>
        <v>0</v>
      </c>
      <c r="V1735" s="7" t="n">
        <f aca="false">IF(AND(R1735=1,O1735&gt;Q1735),1,0)</f>
        <v>0</v>
      </c>
      <c r="W1735" s="7" t="n">
        <f aca="false">IF(AND(T1735=1,P1735&lt;&gt;"",P1735&lt;=Q1735),1,0)</f>
        <v>0</v>
      </c>
    </row>
    <row r="1736" customFormat="false" ht="15" hidden="false" customHeight="false" outlineLevel="0" collapsed="false">
      <c r="A1736" s="7" t="s">
        <v>2093</v>
      </c>
      <c r="B1736" s="7" t="s">
        <v>46</v>
      </c>
      <c r="C1736" s="7" t="s">
        <v>47</v>
      </c>
      <c r="D1736" s="7" t="s">
        <v>210</v>
      </c>
      <c r="E1736" s="7" t="s">
        <v>211</v>
      </c>
      <c r="F1736" s="7" t="s">
        <v>50</v>
      </c>
      <c r="G1736" s="7" t="s">
        <v>19</v>
      </c>
      <c r="H1736" s="9" t="n">
        <v>46023</v>
      </c>
      <c r="I1736" s="9" t="n">
        <v>46032</v>
      </c>
      <c r="J1736" s="7" t="n">
        <v>9.8</v>
      </c>
      <c r="K1736" s="7" t="s">
        <v>1971</v>
      </c>
      <c r="L1736" s="7" t="s">
        <v>19</v>
      </c>
      <c r="M1736" s="7" t="s">
        <v>2100</v>
      </c>
      <c r="N1736" s="7" t="s">
        <v>58</v>
      </c>
      <c r="O1736" s="10" t="n">
        <f aca="false">'Exec Summary'!$E$2-H1736</f>
        <v>211</v>
      </c>
      <c r="P1736" s="10" t="n">
        <f aca="false">IF(I1736="","",I1736-H1736)</f>
        <v>9</v>
      </c>
      <c r="Q1736" s="10" t="n">
        <f aca="false">VLOOKUP(G1736,$AA$2:$AB$5,2,FALSE())</f>
        <v>15</v>
      </c>
      <c r="R1736" s="7" t="n">
        <f aca="false">IF(OR(F1736="Open",F1736="Reopened"),1,0)</f>
        <v>0</v>
      </c>
      <c r="S1736" s="7" t="n">
        <f aca="false">IF(AND(H1736&gt;='Exec Summary'!$E$1,H1736&lt;='Exec Summary'!$E$2),1,0)</f>
        <v>0</v>
      </c>
      <c r="T1736" s="7" t="n">
        <f aca="false">IF(AND(F1736="Closed",I1736&lt;&gt;"",I1736&gt;='Exec Summary'!$E$1,I1736&lt;='Exec Summary'!$E$2),1,0)</f>
        <v>0</v>
      </c>
      <c r="U1736" s="7" t="n">
        <f aca="false">IF(F1736="Reopened",1,0)</f>
        <v>0</v>
      </c>
      <c r="V1736" s="7" t="n">
        <f aca="false">IF(AND(R1736=1,O1736&gt;Q1736),1,0)</f>
        <v>0</v>
      </c>
      <c r="W1736" s="7" t="n">
        <f aca="false">IF(AND(T1736=1,P1736&lt;&gt;"",P1736&lt;=Q1736),1,0)</f>
        <v>0</v>
      </c>
    </row>
    <row r="1737" customFormat="false" ht="15" hidden="false" customHeight="false" outlineLevel="0" collapsed="false">
      <c r="A1737" s="7" t="s">
        <v>2093</v>
      </c>
      <c r="B1737" s="7" t="s">
        <v>46</v>
      </c>
      <c r="C1737" s="7" t="s">
        <v>47</v>
      </c>
      <c r="D1737" s="7" t="s">
        <v>152</v>
      </c>
      <c r="E1737" s="7" t="s">
        <v>153</v>
      </c>
      <c r="F1737" s="7" t="s">
        <v>56</v>
      </c>
      <c r="G1737" s="7" t="s">
        <v>20</v>
      </c>
      <c r="H1737" s="9" t="n">
        <v>46002</v>
      </c>
      <c r="I1737" s="9"/>
      <c r="J1737" s="7" t="n">
        <v>7.5</v>
      </c>
      <c r="K1737" s="7" t="s">
        <v>1971</v>
      </c>
      <c r="L1737" s="7" t="s">
        <v>19</v>
      </c>
      <c r="M1737" s="7" t="s">
        <v>2101</v>
      </c>
      <c r="N1737" s="7" t="s">
        <v>53</v>
      </c>
      <c r="O1737" s="10" t="n">
        <f aca="false">'Exec Summary'!$E$2-H1737</f>
        <v>232</v>
      </c>
      <c r="P1737" s="10" t="str">
        <f aca="false">IF(I1737="","",I1737-H1737)</f>
        <v/>
      </c>
      <c r="Q1737" s="10" t="n">
        <f aca="false">VLOOKUP(G1737,$AA$2:$AB$5,2,FALSE())</f>
        <v>30</v>
      </c>
      <c r="R1737" s="7" t="n">
        <f aca="false">IF(OR(F1737="Open",F1737="Reopened"),1,0)</f>
        <v>1</v>
      </c>
      <c r="S1737" s="7" t="n">
        <f aca="false">IF(AND(H1737&gt;='Exec Summary'!$E$1,H1737&lt;='Exec Summary'!$E$2),1,0)</f>
        <v>0</v>
      </c>
      <c r="T1737" s="7" t="n">
        <f aca="false">IF(AND(F1737="Closed",I1737&lt;&gt;"",I1737&gt;='Exec Summary'!$E$1,I1737&lt;='Exec Summary'!$E$2),1,0)</f>
        <v>0</v>
      </c>
      <c r="U1737" s="7" t="n">
        <f aca="false">IF(F1737="Reopened",1,0)</f>
        <v>0</v>
      </c>
      <c r="V1737" s="7" t="n">
        <f aca="false">IF(AND(R1737=1,O1737&gt;Q1737),1,0)</f>
        <v>1</v>
      </c>
      <c r="W1737" s="7" t="n">
        <f aca="false">IF(AND(T1737=1,P1737&lt;&gt;"",P1737&lt;=Q1737),1,0)</f>
        <v>0</v>
      </c>
    </row>
    <row r="1738" customFormat="false" ht="15" hidden="false" customHeight="false" outlineLevel="0" collapsed="false">
      <c r="A1738" s="7" t="s">
        <v>2102</v>
      </c>
      <c r="B1738" s="7" t="s">
        <v>46</v>
      </c>
      <c r="C1738" s="7" t="s">
        <v>177</v>
      </c>
      <c r="D1738" s="7" t="s">
        <v>48</v>
      </c>
      <c r="E1738" s="7" t="s">
        <v>49</v>
      </c>
      <c r="F1738" s="7" t="s">
        <v>56</v>
      </c>
      <c r="G1738" s="7" t="s">
        <v>20</v>
      </c>
      <c r="H1738" s="9" t="n">
        <v>45951</v>
      </c>
      <c r="I1738" s="9"/>
      <c r="J1738" s="7" t="n">
        <v>7.5</v>
      </c>
      <c r="K1738" s="7" t="s">
        <v>1971</v>
      </c>
      <c r="L1738" s="7" t="s">
        <v>19</v>
      </c>
      <c r="M1738" s="7" t="s">
        <v>2103</v>
      </c>
      <c r="N1738" s="7" t="s">
        <v>53</v>
      </c>
      <c r="O1738" s="10" t="n">
        <f aca="false">'Exec Summary'!$E$2-H1738</f>
        <v>283</v>
      </c>
      <c r="P1738" s="10" t="str">
        <f aca="false">IF(I1738="","",I1738-H1738)</f>
        <v/>
      </c>
      <c r="Q1738" s="10" t="n">
        <f aca="false">VLOOKUP(G1738,$AA$2:$AB$5,2,FALSE())</f>
        <v>30</v>
      </c>
      <c r="R1738" s="7" t="n">
        <f aca="false">IF(OR(F1738="Open",F1738="Reopened"),1,0)</f>
        <v>1</v>
      </c>
      <c r="S1738" s="7" t="n">
        <f aca="false">IF(AND(H1738&gt;='Exec Summary'!$E$1,H1738&lt;='Exec Summary'!$E$2),1,0)</f>
        <v>0</v>
      </c>
      <c r="T1738" s="7" t="n">
        <f aca="false">IF(AND(F1738="Closed",I1738&lt;&gt;"",I1738&gt;='Exec Summary'!$E$1,I1738&lt;='Exec Summary'!$E$2),1,0)</f>
        <v>0</v>
      </c>
      <c r="U1738" s="7" t="n">
        <f aca="false">IF(F1738="Reopened",1,0)</f>
        <v>0</v>
      </c>
      <c r="V1738" s="7" t="n">
        <f aca="false">IF(AND(R1738=1,O1738&gt;Q1738),1,0)</f>
        <v>1</v>
      </c>
      <c r="W1738" s="7" t="n">
        <f aca="false">IF(AND(T1738=1,P1738&lt;&gt;"",P1738&lt;=Q1738),1,0)</f>
        <v>0</v>
      </c>
    </row>
    <row r="1739" customFormat="false" ht="15" hidden="false" customHeight="false" outlineLevel="0" collapsed="false">
      <c r="A1739" s="7" t="s">
        <v>2102</v>
      </c>
      <c r="B1739" s="7" t="s">
        <v>46</v>
      </c>
      <c r="C1739" s="7" t="s">
        <v>177</v>
      </c>
      <c r="D1739" s="7" t="s">
        <v>62</v>
      </c>
      <c r="E1739" s="7" t="s">
        <v>63</v>
      </c>
      <c r="F1739" s="7" t="s">
        <v>56</v>
      </c>
      <c r="G1739" s="7" t="s">
        <v>20</v>
      </c>
      <c r="H1739" s="9" t="n">
        <v>46118</v>
      </c>
      <c r="I1739" s="9"/>
      <c r="J1739" s="7" t="n">
        <v>8.1</v>
      </c>
      <c r="K1739" s="7" t="s">
        <v>1971</v>
      </c>
      <c r="L1739" s="7" t="s">
        <v>19</v>
      </c>
      <c r="M1739" s="7" t="s">
        <v>2104</v>
      </c>
      <c r="N1739" s="7" t="s">
        <v>53</v>
      </c>
      <c r="O1739" s="10" t="n">
        <f aca="false">'Exec Summary'!$E$2-H1739</f>
        <v>116</v>
      </c>
      <c r="P1739" s="10" t="str">
        <f aca="false">IF(I1739="","",I1739-H1739)</f>
        <v/>
      </c>
      <c r="Q1739" s="10" t="n">
        <f aca="false">VLOOKUP(G1739,$AA$2:$AB$5,2,FALSE())</f>
        <v>30</v>
      </c>
      <c r="R1739" s="7" t="n">
        <f aca="false">IF(OR(F1739="Open",F1739="Reopened"),1,0)</f>
        <v>1</v>
      </c>
      <c r="S1739" s="7" t="n">
        <f aca="false">IF(AND(H1739&gt;='Exec Summary'!$E$1,H1739&lt;='Exec Summary'!$E$2),1,0)</f>
        <v>0</v>
      </c>
      <c r="T1739" s="7" t="n">
        <f aca="false">IF(AND(F1739="Closed",I1739&lt;&gt;"",I1739&gt;='Exec Summary'!$E$1,I1739&lt;='Exec Summary'!$E$2),1,0)</f>
        <v>0</v>
      </c>
      <c r="U1739" s="7" t="n">
        <f aca="false">IF(F1739="Reopened",1,0)</f>
        <v>0</v>
      </c>
      <c r="V1739" s="7" t="n">
        <f aca="false">IF(AND(R1739=1,O1739&gt;Q1739),1,0)</f>
        <v>1</v>
      </c>
      <c r="W1739" s="7" t="n">
        <f aca="false">IF(AND(T1739=1,P1739&lt;&gt;"",P1739&lt;=Q1739),1,0)</f>
        <v>0</v>
      </c>
    </row>
    <row r="1740" customFormat="false" ht="15" hidden="false" customHeight="false" outlineLevel="0" collapsed="false">
      <c r="A1740" s="7" t="s">
        <v>2102</v>
      </c>
      <c r="B1740" s="7" t="s">
        <v>46</v>
      </c>
      <c r="C1740" s="7" t="s">
        <v>177</v>
      </c>
      <c r="D1740" s="7" t="s">
        <v>59</v>
      </c>
      <c r="E1740" s="7" t="s">
        <v>60</v>
      </c>
      <c r="F1740" s="7" t="s">
        <v>50</v>
      </c>
      <c r="G1740" s="7" t="s">
        <v>19</v>
      </c>
      <c r="H1740" s="9" t="n">
        <v>46108</v>
      </c>
      <c r="I1740" s="9" t="n">
        <v>46117</v>
      </c>
      <c r="J1740" s="7" t="n">
        <v>7.8</v>
      </c>
      <c r="K1740" s="7" t="s">
        <v>1971</v>
      </c>
      <c r="L1740" s="7" t="s">
        <v>19</v>
      </c>
      <c r="M1740" s="7" t="s">
        <v>2105</v>
      </c>
      <c r="N1740" s="7" t="s">
        <v>58</v>
      </c>
      <c r="O1740" s="10" t="n">
        <f aca="false">'Exec Summary'!$E$2-H1740</f>
        <v>126</v>
      </c>
      <c r="P1740" s="10" t="n">
        <f aca="false">IF(I1740="","",I1740-H1740)</f>
        <v>9</v>
      </c>
      <c r="Q1740" s="10" t="n">
        <f aca="false">VLOOKUP(G1740,$AA$2:$AB$5,2,FALSE())</f>
        <v>15</v>
      </c>
      <c r="R1740" s="7" t="n">
        <f aca="false">IF(OR(F1740="Open",F1740="Reopened"),1,0)</f>
        <v>0</v>
      </c>
      <c r="S1740" s="7" t="n">
        <f aca="false">IF(AND(H1740&gt;='Exec Summary'!$E$1,H1740&lt;='Exec Summary'!$E$2),1,0)</f>
        <v>0</v>
      </c>
      <c r="T1740" s="7" t="n">
        <f aca="false">IF(AND(F1740="Closed",I1740&lt;&gt;"",I1740&gt;='Exec Summary'!$E$1,I1740&lt;='Exec Summary'!$E$2),1,0)</f>
        <v>0</v>
      </c>
      <c r="U1740" s="7" t="n">
        <f aca="false">IF(F1740="Reopened",1,0)</f>
        <v>0</v>
      </c>
      <c r="V1740" s="7" t="n">
        <f aca="false">IF(AND(R1740=1,O1740&gt;Q1740),1,0)</f>
        <v>0</v>
      </c>
      <c r="W1740" s="7" t="n">
        <f aca="false">IF(AND(T1740=1,P1740&lt;&gt;"",P1740&lt;=Q1740),1,0)</f>
        <v>0</v>
      </c>
    </row>
    <row r="1741" customFormat="false" ht="15" hidden="false" customHeight="false" outlineLevel="0" collapsed="false">
      <c r="A1741" s="7" t="s">
        <v>2102</v>
      </c>
      <c r="B1741" s="7" t="s">
        <v>46</v>
      </c>
      <c r="C1741" s="7" t="s">
        <v>177</v>
      </c>
      <c r="D1741" s="7" t="s">
        <v>108</v>
      </c>
      <c r="E1741" s="7" t="s">
        <v>109</v>
      </c>
      <c r="F1741" s="7" t="s">
        <v>56</v>
      </c>
      <c r="G1741" s="7" t="s">
        <v>20</v>
      </c>
      <c r="H1741" s="9" t="n">
        <v>46031</v>
      </c>
      <c r="I1741" s="9"/>
      <c r="J1741" s="7" t="n">
        <v>8.6</v>
      </c>
      <c r="K1741" s="7" t="s">
        <v>1971</v>
      </c>
      <c r="L1741" s="7" t="s">
        <v>19</v>
      </c>
      <c r="M1741" s="7" t="s">
        <v>2106</v>
      </c>
      <c r="N1741" s="7" t="s">
        <v>53</v>
      </c>
      <c r="O1741" s="10" t="n">
        <f aca="false">'Exec Summary'!$E$2-H1741</f>
        <v>203</v>
      </c>
      <c r="P1741" s="10" t="str">
        <f aca="false">IF(I1741="","",I1741-H1741)</f>
        <v/>
      </c>
      <c r="Q1741" s="10" t="n">
        <f aca="false">VLOOKUP(G1741,$AA$2:$AB$5,2,FALSE())</f>
        <v>30</v>
      </c>
      <c r="R1741" s="7" t="n">
        <f aca="false">IF(OR(F1741="Open",F1741="Reopened"),1,0)</f>
        <v>1</v>
      </c>
      <c r="S1741" s="7" t="n">
        <f aca="false">IF(AND(H1741&gt;='Exec Summary'!$E$1,H1741&lt;='Exec Summary'!$E$2),1,0)</f>
        <v>0</v>
      </c>
      <c r="T1741" s="7" t="n">
        <f aca="false">IF(AND(F1741="Closed",I1741&lt;&gt;"",I1741&gt;='Exec Summary'!$E$1,I1741&lt;='Exec Summary'!$E$2),1,0)</f>
        <v>0</v>
      </c>
      <c r="U1741" s="7" t="n">
        <f aca="false">IF(F1741="Reopened",1,0)</f>
        <v>0</v>
      </c>
      <c r="V1741" s="7" t="n">
        <f aca="false">IF(AND(R1741=1,O1741&gt;Q1741),1,0)</f>
        <v>1</v>
      </c>
      <c r="W1741" s="7" t="n">
        <f aca="false">IF(AND(T1741=1,P1741&lt;&gt;"",P1741&lt;=Q1741),1,0)</f>
        <v>0</v>
      </c>
    </row>
    <row r="1742" customFormat="false" ht="15" hidden="false" customHeight="false" outlineLevel="0" collapsed="false">
      <c r="A1742" s="7" t="s">
        <v>2102</v>
      </c>
      <c r="B1742" s="7" t="s">
        <v>46</v>
      </c>
      <c r="C1742" s="7" t="s">
        <v>177</v>
      </c>
      <c r="D1742" s="7" t="s">
        <v>120</v>
      </c>
      <c r="E1742" s="7" t="s">
        <v>121</v>
      </c>
      <c r="F1742" s="7" t="s">
        <v>50</v>
      </c>
      <c r="G1742" s="7" t="s">
        <v>19</v>
      </c>
      <c r="H1742" s="9" t="n">
        <v>46190</v>
      </c>
      <c r="I1742" s="9" t="n">
        <v>46191</v>
      </c>
      <c r="J1742" s="7" t="n">
        <v>8.8</v>
      </c>
      <c r="K1742" s="7" t="s">
        <v>1971</v>
      </c>
      <c r="L1742" s="7" t="s">
        <v>19</v>
      </c>
      <c r="M1742" s="7" t="s">
        <v>2107</v>
      </c>
      <c r="N1742" s="7" t="s">
        <v>58</v>
      </c>
      <c r="O1742" s="10" t="n">
        <f aca="false">'Exec Summary'!$E$2-H1742</f>
        <v>44</v>
      </c>
      <c r="P1742" s="10" t="n">
        <f aca="false">IF(I1742="","",I1742-H1742)</f>
        <v>1</v>
      </c>
      <c r="Q1742" s="10" t="n">
        <f aca="false">VLOOKUP(G1742,$AA$2:$AB$5,2,FALSE())</f>
        <v>15</v>
      </c>
      <c r="R1742" s="7" t="n">
        <f aca="false">IF(OR(F1742="Open",F1742="Reopened"),1,0)</f>
        <v>0</v>
      </c>
      <c r="S1742" s="7" t="n">
        <f aca="false">IF(AND(H1742&gt;='Exec Summary'!$E$1,H1742&lt;='Exec Summary'!$E$2),1,0)</f>
        <v>0</v>
      </c>
      <c r="T1742" s="7" t="n">
        <f aca="false">IF(AND(F1742="Closed",I1742&lt;&gt;"",I1742&gt;='Exec Summary'!$E$1,I1742&lt;='Exec Summary'!$E$2),1,0)</f>
        <v>0</v>
      </c>
      <c r="U1742" s="7" t="n">
        <f aca="false">IF(F1742="Reopened",1,0)</f>
        <v>0</v>
      </c>
      <c r="V1742" s="7" t="n">
        <f aca="false">IF(AND(R1742=1,O1742&gt;Q1742),1,0)</f>
        <v>0</v>
      </c>
      <c r="W1742" s="7" t="n">
        <f aca="false">IF(AND(T1742=1,P1742&lt;&gt;"",P1742&lt;=Q1742),1,0)</f>
        <v>0</v>
      </c>
    </row>
    <row r="1743" customFormat="false" ht="15" hidden="false" customHeight="false" outlineLevel="0" collapsed="false">
      <c r="A1743" s="7" t="s">
        <v>2102</v>
      </c>
      <c r="B1743" s="7" t="s">
        <v>46</v>
      </c>
      <c r="C1743" s="7" t="s">
        <v>177</v>
      </c>
      <c r="D1743" s="7" t="s">
        <v>98</v>
      </c>
      <c r="E1743" s="7" t="s">
        <v>99</v>
      </c>
      <c r="F1743" s="7" t="s">
        <v>50</v>
      </c>
      <c r="G1743" s="7" t="s">
        <v>19</v>
      </c>
      <c r="H1743" s="9" t="n">
        <v>45968</v>
      </c>
      <c r="I1743" s="9" t="n">
        <v>45969</v>
      </c>
      <c r="J1743" s="7" t="n">
        <v>10</v>
      </c>
      <c r="K1743" s="7" t="s">
        <v>1971</v>
      </c>
      <c r="L1743" s="7" t="s">
        <v>19</v>
      </c>
      <c r="M1743" s="7" t="s">
        <v>2108</v>
      </c>
      <c r="N1743" s="7" t="s">
        <v>58</v>
      </c>
      <c r="O1743" s="10" t="n">
        <f aca="false">'Exec Summary'!$E$2-H1743</f>
        <v>266</v>
      </c>
      <c r="P1743" s="10" t="n">
        <f aca="false">IF(I1743="","",I1743-H1743)</f>
        <v>1</v>
      </c>
      <c r="Q1743" s="10" t="n">
        <f aca="false">VLOOKUP(G1743,$AA$2:$AB$5,2,FALSE())</f>
        <v>15</v>
      </c>
      <c r="R1743" s="7" t="n">
        <f aca="false">IF(OR(F1743="Open",F1743="Reopened"),1,0)</f>
        <v>0</v>
      </c>
      <c r="S1743" s="7" t="n">
        <f aca="false">IF(AND(H1743&gt;='Exec Summary'!$E$1,H1743&lt;='Exec Summary'!$E$2),1,0)</f>
        <v>0</v>
      </c>
      <c r="T1743" s="7" t="n">
        <f aca="false">IF(AND(F1743="Closed",I1743&lt;&gt;"",I1743&gt;='Exec Summary'!$E$1,I1743&lt;='Exec Summary'!$E$2),1,0)</f>
        <v>0</v>
      </c>
      <c r="U1743" s="7" t="n">
        <f aca="false">IF(F1743="Reopened",1,0)</f>
        <v>0</v>
      </c>
      <c r="V1743" s="7" t="n">
        <f aca="false">IF(AND(R1743=1,O1743&gt;Q1743),1,0)</f>
        <v>0</v>
      </c>
      <c r="W1743" s="7" t="n">
        <f aca="false">IF(AND(T1743=1,P1743&lt;&gt;"",P1743&lt;=Q1743),1,0)</f>
        <v>0</v>
      </c>
    </row>
    <row r="1744" customFormat="false" ht="15" hidden="false" customHeight="false" outlineLevel="0" collapsed="false">
      <c r="A1744" s="7" t="s">
        <v>2102</v>
      </c>
      <c r="B1744" s="7" t="s">
        <v>46</v>
      </c>
      <c r="C1744" s="7" t="s">
        <v>177</v>
      </c>
      <c r="D1744" s="7" t="s">
        <v>84</v>
      </c>
      <c r="E1744" s="7" t="s">
        <v>85</v>
      </c>
      <c r="F1744" s="7" t="s">
        <v>50</v>
      </c>
      <c r="G1744" s="7" t="s">
        <v>20</v>
      </c>
      <c r="H1744" s="9" t="n">
        <v>46198</v>
      </c>
      <c r="I1744" s="9" t="n">
        <v>46201</v>
      </c>
      <c r="J1744" s="7" t="n">
        <v>7.5</v>
      </c>
      <c r="K1744" s="7" t="s">
        <v>1971</v>
      </c>
      <c r="L1744" s="7" t="s">
        <v>19</v>
      </c>
      <c r="M1744" s="7" t="s">
        <v>2109</v>
      </c>
      <c r="N1744" s="7" t="s">
        <v>53</v>
      </c>
      <c r="O1744" s="10" t="n">
        <f aca="false">'Exec Summary'!$E$2-H1744</f>
        <v>36</v>
      </c>
      <c r="P1744" s="10" t="n">
        <f aca="false">IF(I1744="","",I1744-H1744)</f>
        <v>3</v>
      </c>
      <c r="Q1744" s="10" t="n">
        <f aca="false">VLOOKUP(G1744,$AA$2:$AB$5,2,FALSE())</f>
        <v>30</v>
      </c>
      <c r="R1744" s="7" t="n">
        <f aca="false">IF(OR(F1744="Open",F1744="Reopened"),1,0)</f>
        <v>0</v>
      </c>
      <c r="S1744" s="7" t="n">
        <f aca="false">IF(AND(H1744&gt;='Exec Summary'!$E$1,H1744&lt;='Exec Summary'!$E$2),1,0)</f>
        <v>0</v>
      </c>
      <c r="T1744" s="7" t="n">
        <f aca="false">IF(AND(F1744="Closed",I1744&lt;&gt;"",I1744&gt;='Exec Summary'!$E$1,I1744&lt;='Exec Summary'!$E$2),1,0)</f>
        <v>0</v>
      </c>
      <c r="U1744" s="7" t="n">
        <f aca="false">IF(F1744="Reopened",1,0)</f>
        <v>0</v>
      </c>
      <c r="V1744" s="7" t="n">
        <f aca="false">IF(AND(R1744=1,O1744&gt;Q1744),1,0)</f>
        <v>0</v>
      </c>
      <c r="W1744" s="7" t="n">
        <f aca="false">IF(AND(T1744=1,P1744&lt;&gt;"",P1744&lt;=Q1744),1,0)</f>
        <v>0</v>
      </c>
    </row>
    <row r="1745" customFormat="false" ht="15" hidden="false" customHeight="false" outlineLevel="0" collapsed="false">
      <c r="A1745" s="7" t="s">
        <v>2102</v>
      </c>
      <c r="B1745" s="7" t="s">
        <v>46</v>
      </c>
      <c r="C1745" s="7" t="s">
        <v>177</v>
      </c>
      <c r="D1745" s="7" t="s">
        <v>71</v>
      </c>
      <c r="E1745" s="7" t="s">
        <v>72</v>
      </c>
      <c r="F1745" s="7" t="s">
        <v>56</v>
      </c>
      <c r="G1745" s="7" t="s">
        <v>19</v>
      </c>
      <c r="H1745" s="9" t="n">
        <v>45960</v>
      </c>
      <c r="I1745" s="9"/>
      <c r="J1745" s="7" t="n">
        <v>9.8</v>
      </c>
      <c r="K1745" s="7" t="s">
        <v>1971</v>
      </c>
      <c r="L1745" s="7" t="s">
        <v>19</v>
      </c>
      <c r="M1745" s="7" t="s">
        <v>2110</v>
      </c>
      <c r="N1745" s="7" t="s">
        <v>58</v>
      </c>
      <c r="O1745" s="10" t="n">
        <f aca="false">'Exec Summary'!$E$2-H1745</f>
        <v>274</v>
      </c>
      <c r="P1745" s="10" t="str">
        <f aca="false">IF(I1745="","",I1745-H1745)</f>
        <v/>
      </c>
      <c r="Q1745" s="10" t="n">
        <f aca="false">VLOOKUP(G1745,$AA$2:$AB$5,2,FALSE())</f>
        <v>15</v>
      </c>
      <c r="R1745" s="7" t="n">
        <f aca="false">IF(OR(F1745="Open",F1745="Reopened"),1,0)</f>
        <v>1</v>
      </c>
      <c r="S1745" s="7" t="n">
        <f aca="false">IF(AND(H1745&gt;='Exec Summary'!$E$1,H1745&lt;='Exec Summary'!$E$2),1,0)</f>
        <v>0</v>
      </c>
      <c r="T1745" s="7" t="n">
        <f aca="false">IF(AND(F1745="Closed",I1745&lt;&gt;"",I1745&gt;='Exec Summary'!$E$1,I1745&lt;='Exec Summary'!$E$2),1,0)</f>
        <v>0</v>
      </c>
      <c r="U1745" s="7" t="n">
        <f aca="false">IF(F1745="Reopened",1,0)</f>
        <v>0</v>
      </c>
      <c r="V1745" s="7" t="n">
        <f aca="false">IF(AND(R1745=1,O1745&gt;Q1745),1,0)</f>
        <v>1</v>
      </c>
      <c r="W1745" s="7" t="n">
        <f aca="false">IF(AND(T1745=1,P1745&lt;&gt;"",P1745&lt;=Q1745),1,0)</f>
        <v>0</v>
      </c>
    </row>
    <row r="1746" customFormat="false" ht="15" hidden="false" customHeight="false" outlineLevel="0" collapsed="false">
      <c r="A1746" s="7" t="s">
        <v>2102</v>
      </c>
      <c r="B1746" s="7" t="s">
        <v>46</v>
      </c>
      <c r="C1746" s="7" t="s">
        <v>177</v>
      </c>
      <c r="D1746" s="7" t="s">
        <v>101</v>
      </c>
      <c r="E1746" s="7" t="s">
        <v>102</v>
      </c>
      <c r="F1746" s="7" t="s">
        <v>50</v>
      </c>
      <c r="G1746" s="7" t="s">
        <v>19</v>
      </c>
      <c r="H1746" s="9" t="n">
        <v>45945</v>
      </c>
      <c r="I1746" s="9" t="n">
        <v>45970</v>
      </c>
      <c r="J1746" s="7" t="n">
        <v>10</v>
      </c>
      <c r="K1746" s="7" t="s">
        <v>1971</v>
      </c>
      <c r="L1746" s="7" t="s">
        <v>19</v>
      </c>
      <c r="M1746" s="7" t="s">
        <v>2111</v>
      </c>
      <c r="N1746" s="7" t="s">
        <v>58</v>
      </c>
      <c r="O1746" s="10" t="n">
        <f aca="false">'Exec Summary'!$E$2-H1746</f>
        <v>289</v>
      </c>
      <c r="P1746" s="10" t="n">
        <f aca="false">IF(I1746="","",I1746-H1746)</f>
        <v>25</v>
      </c>
      <c r="Q1746" s="10" t="n">
        <f aca="false">VLOOKUP(G1746,$AA$2:$AB$5,2,FALSE())</f>
        <v>15</v>
      </c>
      <c r="R1746" s="7" t="n">
        <f aca="false">IF(OR(F1746="Open",F1746="Reopened"),1,0)</f>
        <v>0</v>
      </c>
      <c r="S1746" s="7" t="n">
        <f aca="false">IF(AND(H1746&gt;='Exec Summary'!$E$1,H1746&lt;='Exec Summary'!$E$2),1,0)</f>
        <v>0</v>
      </c>
      <c r="T1746" s="7" t="n">
        <f aca="false">IF(AND(F1746="Closed",I1746&lt;&gt;"",I1746&gt;='Exec Summary'!$E$1,I1746&lt;='Exec Summary'!$E$2),1,0)</f>
        <v>0</v>
      </c>
      <c r="U1746" s="7" t="n">
        <f aca="false">IF(F1746="Reopened",1,0)</f>
        <v>0</v>
      </c>
      <c r="V1746" s="7" t="n">
        <f aca="false">IF(AND(R1746=1,O1746&gt;Q1746),1,0)</f>
        <v>0</v>
      </c>
      <c r="W1746" s="7" t="n">
        <f aca="false">IF(AND(T1746=1,P1746&lt;&gt;"",P1746&lt;=Q1746),1,0)</f>
        <v>0</v>
      </c>
    </row>
    <row r="1747" customFormat="false" ht="15" hidden="false" customHeight="false" outlineLevel="0" collapsed="false">
      <c r="A1747" s="7" t="s">
        <v>2102</v>
      </c>
      <c r="B1747" s="7" t="s">
        <v>46</v>
      </c>
      <c r="C1747" s="7" t="s">
        <v>177</v>
      </c>
      <c r="D1747" s="7" t="s">
        <v>104</v>
      </c>
      <c r="E1747" s="7" t="s">
        <v>105</v>
      </c>
      <c r="F1747" s="7" t="s">
        <v>56</v>
      </c>
      <c r="G1747" s="7" t="s">
        <v>19</v>
      </c>
      <c r="H1747" s="9" t="n">
        <v>45968</v>
      </c>
      <c r="I1747" s="9"/>
      <c r="J1747" s="7" t="n">
        <v>9.8</v>
      </c>
      <c r="K1747" s="7" t="s">
        <v>1971</v>
      </c>
      <c r="L1747" s="7" t="s">
        <v>19</v>
      </c>
      <c r="M1747" s="7" t="s">
        <v>2112</v>
      </c>
      <c r="N1747" s="7" t="s">
        <v>58</v>
      </c>
      <c r="O1747" s="10" t="n">
        <f aca="false">'Exec Summary'!$E$2-H1747</f>
        <v>266</v>
      </c>
      <c r="P1747" s="10" t="str">
        <f aca="false">IF(I1747="","",I1747-H1747)</f>
        <v/>
      </c>
      <c r="Q1747" s="10" t="n">
        <f aca="false">VLOOKUP(G1747,$AA$2:$AB$5,2,FALSE())</f>
        <v>15</v>
      </c>
      <c r="R1747" s="7" t="n">
        <f aca="false">IF(OR(F1747="Open",F1747="Reopened"),1,0)</f>
        <v>1</v>
      </c>
      <c r="S1747" s="7" t="n">
        <f aca="false">IF(AND(H1747&gt;='Exec Summary'!$E$1,H1747&lt;='Exec Summary'!$E$2),1,0)</f>
        <v>0</v>
      </c>
      <c r="T1747" s="7" t="n">
        <f aca="false">IF(AND(F1747="Closed",I1747&lt;&gt;"",I1747&gt;='Exec Summary'!$E$1,I1747&lt;='Exec Summary'!$E$2),1,0)</f>
        <v>0</v>
      </c>
      <c r="U1747" s="7" t="n">
        <f aca="false">IF(F1747="Reopened",1,0)</f>
        <v>0</v>
      </c>
      <c r="V1747" s="7" t="n">
        <f aca="false">IF(AND(R1747=1,O1747&gt;Q1747),1,0)</f>
        <v>1</v>
      </c>
      <c r="W1747" s="7" t="n">
        <f aca="false">IF(AND(T1747=1,P1747&lt;&gt;"",P1747&lt;=Q1747),1,0)</f>
        <v>0</v>
      </c>
    </row>
    <row r="1748" customFormat="false" ht="15" hidden="false" customHeight="false" outlineLevel="0" collapsed="false">
      <c r="A1748" s="7" t="s">
        <v>2102</v>
      </c>
      <c r="B1748" s="7" t="s">
        <v>46</v>
      </c>
      <c r="C1748" s="7" t="s">
        <v>177</v>
      </c>
      <c r="D1748" s="7" t="s">
        <v>131</v>
      </c>
      <c r="E1748" s="7" t="s">
        <v>132</v>
      </c>
      <c r="F1748" s="7" t="s">
        <v>50</v>
      </c>
      <c r="G1748" s="7" t="s">
        <v>19</v>
      </c>
      <c r="H1748" s="9" t="n">
        <v>46081</v>
      </c>
      <c r="I1748" s="9" t="n">
        <v>46086</v>
      </c>
      <c r="J1748" s="7" t="n">
        <v>9.8</v>
      </c>
      <c r="K1748" s="7" t="s">
        <v>1971</v>
      </c>
      <c r="L1748" s="7" t="s">
        <v>19</v>
      </c>
      <c r="M1748" s="7" t="s">
        <v>2113</v>
      </c>
      <c r="N1748" s="7" t="s">
        <v>58</v>
      </c>
      <c r="O1748" s="10" t="n">
        <f aca="false">'Exec Summary'!$E$2-H1748</f>
        <v>153</v>
      </c>
      <c r="P1748" s="10" t="n">
        <f aca="false">IF(I1748="","",I1748-H1748)</f>
        <v>5</v>
      </c>
      <c r="Q1748" s="10" t="n">
        <f aca="false">VLOOKUP(G1748,$AA$2:$AB$5,2,FALSE())</f>
        <v>15</v>
      </c>
      <c r="R1748" s="7" t="n">
        <f aca="false">IF(OR(F1748="Open",F1748="Reopened"),1,0)</f>
        <v>0</v>
      </c>
      <c r="S1748" s="7" t="n">
        <f aca="false">IF(AND(H1748&gt;='Exec Summary'!$E$1,H1748&lt;='Exec Summary'!$E$2),1,0)</f>
        <v>0</v>
      </c>
      <c r="T1748" s="7" t="n">
        <f aca="false">IF(AND(F1748="Closed",I1748&lt;&gt;"",I1748&gt;='Exec Summary'!$E$1,I1748&lt;='Exec Summary'!$E$2),1,0)</f>
        <v>0</v>
      </c>
      <c r="U1748" s="7" t="n">
        <f aca="false">IF(F1748="Reopened",1,0)</f>
        <v>0</v>
      </c>
      <c r="V1748" s="7" t="n">
        <f aca="false">IF(AND(R1748=1,O1748&gt;Q1748),1,0)</f>
        <v>0</v>
      </c>
      <c r="W1748" s="7" t="n">
        <f aca="false">IF(AND(T1748=1,P1748&lt;&gt;"",P1748&lt;=Q1748),1,0)</f>
        <v>0</v>
      </c>
    </row>
    <row r="1749" customFormat="false" ht="15" hidden="false" customHeight="false" outlineLevel="0" collapsed="false">
      <c r="A1749" s="7" t="s">
        <v>2102</v>
      </c>
      <c r="B1749" s="7" t="s">
        <v>46</v>
      </c>
      <c r="C1749" s="7" t="s">
        <v>177</v>
      </c>
      <c r="D1749" s="7" t="s">
        <v>152</v>
      </c>
      <c r="E1749" s="7" t="s">
        <v>153</v>
      </c>
      <c r="F1749" s="7" t="s">
        <v>50</v>
      </c>
      <c r="G1749" s="7" t="s">
        <v>20</v>
      </c>
      <c r="H1749" s="9" t="n">
        <v>46190</v>
      </c>
      <c r="I1749" s="9" t="n">
        <v>46200</v>
      </c>
      <c r="J1749" s="7" t="n">
        <v>7.5</v>
      </c>
      <c r="K1749" s="7" t="s">
        <v>1971</v>
      </c>
      <c r="L1749" s="7" t="s">
        <v>19</v>
      </c>
      <c r="M1749" s="7" t="s">
        <v>2114</v>
      </c>
      <c r="N1749" s="7" t="s">
        <v>53</v>
      </c>
      <c r="O1749" s="10" t="n">
        <f aca="false">'Exec Summary'!$E$2-H1749</f>
        <v>44</v>
      </c>
      <c r="P1749" s="10" t="n">
        <f aca="false">IF(I1749="","",I1749-H1749)</f>
        <v>10</v>
      </c>
      <c r="Q1749" s="10" t="n">
        <f aca="false">VLOOKUP(G1749,$AA$2:$AB$5,2,FALSE())</f>
        <v>30</v>
      </c>
      <c r="R1749" s="7" t="n">
        <f aca="false">IF(OR(F1749="Open",F1749="Reopened"),1,0)</f>
        <v>0</v>
      </c>
      <c r="S1749" s="7" t="n">
        <f aca="false">IF(AND(H1749&gt;='Exec Summary'!$E$1,H1749&lt;='Exec Summary'!$E$2),1,0)</f>
        <v>0</v>
      </c>
      <c r="T1749" s="7" t="n">
        <f aca="false">IF(AND(F1749="Closed",I1749&lt;&gt;"",I1749&gt;='Exec Summary'!$E$1,I1749&lt;='Exec Summary'!$E$2),1,0)</f>
        <v>0</v>
      </c>
      <c r="U1749" s="7" t="n">
        <f aca="false">IF(F1749="Reopened",1,0)</f>
        <v>0</v>
      </c>
      <c r="V1749" s="7" t="n">
        <f aca="false">IF(AND(R1749=1,O1749&gt;Q1749),1,0)</f>
        <v>0</v>
      </c>
      <c r="W1749" s="7" t="n">
        <f aca="false">IF(AND(T1749=1,P1749&lt;&gt;"",P1749&lt;=Q1749),1,0)</f>
        <v>0</v>
      </c>
    </row>
    <row r="1750" customFormat="false" ht="15" hidden="false" customHeight="false" outlineLevel="0" collapsed="false">
      <c r="A1750" s="7" t="s">
        <v>2115</v>
      </c>
      <c r="B1750" s="7" t="s">
        <v>135</v>
      </c>
      <c r="C1750" s="7" t="s">
        <v>136</v>
      </c>
      <c r="D1750" s="7" t="s">
        <v>163</v>
      </c>
      <c r="E1750" s="7" t="s">
        <v>164</v>
      </c>
      <c r="F1750" s="7" t="s">
        <v>50</v>
      </c>
      <c r="G1750" s="7" t="s">
        <v>19</v>
      </c>
      <c r="H1750" s="9" t="n">
        <v>46005</v>
      </c>
      <c r="I1750" s="9" t="n">
        <v>46010</v>
      </c>
      <c r="J1750" s="7" t="n">
        <v>9.1</v>
      </c>
      <c r="K1750" s="7" t="s">
        <v>1971</v>
      </c>
      <c r="L1750" s="7" t="s">
        <v>19</v>
      </c>
      <c r="M1750" s="7" t="s">
        <v>2116</v>
      </c>
      <c r="N1750" s="7" t="s">
        <v>58</v>
      </c>
      <c r="O1750" s="10" t="n">
        <f aca="false">'Exec Summary'!$E$2-H1750</f>
        <v>229</v>
      </c>
      <c r="P1750" s="10" t="n">
        <f aca="false">IF(I1750="","",I1750-H1750)</f>
        <v>5</v>
      </c>
      <c r="Q1750" s="10" t="n">
        <f aca="false">VLOOKUP(G1750,$AA$2:$AB$5,2,FALSE())</f>
        <v>15</v>
      </c>
      <c r="R1750" s="7" t="n">
        <f aca="false">IF(OR(F1750="Open",F1750="Reopened"),1,0)</f>
        <v>0</v>
      </c>
      <c r="S1750" s="7" t="n">
        <f aca="false">IF(AND(H1750&gt;='Exec Summary'!$E$1,H1750&lt;='Exec Summary'!$E$2),1,0)</f>
        <v>0</v>
      </c>
      <c r="T1750" s="7" t="n">
        <f aca="false">IF(AND(F1750="Closed",I1750&lt;&gt;"",I1750&gt;='Exec Summary'!$E$1,I1750&lt;='Exec Summary'!$E$2),1,0)</f>
        <v>0</v>
      </c>
      <c r="U1750" s="7" t="n">
        <f aca="false">IF(F1750="Reopened",1,0)</f>
        <v>0</v>
      </c>
      <c r="V1750" s="7" t="n">
        <f aca="false">IF(AND(R1750=1,O1750&gt;Q1750),1,0)</f>
        <v>0</v>
      </c>
      <c r="W1750" s="7" t="n">
        <f aca="false">IF(AND(T1750=1,P1750&lt;&gt;"",P1750&lt;=Q1750),1,0)</f>
        <v>0</v>
      </c>
    </row>
    <row r="1751" customFormat="false" ht="15" hidden="false" customHeight="false" outlineLevel="0" collapsed="false">
      <c r="A1751" s="7" t="s">
        <v>2115</v>
      </c>
      <c r="B1751" s="7" t="s">
        <v>135</v>
      </c>
      <c r="C1751" s="7" t="s">
        <v>136</v>
      </c>
      <c r="D1751" s="7" t="s">
        <v>210</v>
      </c>
      <c r="E1751" s="7" t="s">
        <v>211</v>
      </c>
      <c r="F1751" s="7" t="s">
        <v>50</v>
      </c>
      <c r="G1751" s="7" t="s">
        <v>19</v>
      </c>
      <c r="H1751" s="9" t="n">
        <v>45965</v>
      </c>
      <c r="I1751" s="9" t="n">
        <v>45990</v>
      </c>
      <c r="J1751" s="7" t="n">
        <v>9.8</v>
      </c>
      <c r="K1751" s="7" t="s">
        <v>1971</v>
      </c>
      <c r="L1751" s="7" t="s">
        <v>19</v>
      </c>
      <c r="M1751" s="7" t="s">
        <v>2117</v>
      </c>
      <c r="N1751" s="7" t="s">
        <v>58</v>
      </c>
      <c r="O1751" s="10" t="n">
        <f aca="false">'Exec Summary'!$E$2-H1751</f>
        <v>269</v>
      </c>
      <c r="P1751" s="10" t="n">
        <f aca="false">IF(I1751="","",I1751-H1751)</f>
        <v>25</v>
      </c>
      <c r="Q1751" s="10" t="n">
        <f aca="false">VLOOKUP(G1751,$AA$2:$AB$5,2,FALSE())</f>
        <v>15</v>
      </c>
      <c r="R1751" s="7" t="n">
        <f aca="false">IF(OR(F1751="Open",F1751="Reopened"),1,0)</f>
        <v>0</v>
      </c>
      <c r="S1751" s="7" t="n">
        <f aca="false">IF(AND(H1751&gt;='Exec Summary'!$E$1,H1751&lt;='Exec Summary'!$E$2),1,0)</f>
        <v>0</v>
      </c>
      <c r="T1751" s="7" t="n">
        <f aca="false">IF(AND(F1751="Closed",I1751&lt;&gt;"",I1751&gt;='Exec Summary'!$E$1,I1751&lt;='Exec Summary'!$E$2),1,0)</f>
        <v>0</v>
      </c>
      <c r="U1751" s="7" t="n">
        <f aca="false">IF(F1751="Reopened",1,0)</f>
        <v>0</v>
      </c>
      <c r="V1751" s="7" t="n">
        <f aca="false">IF(AND(R1751=1,O1751&gt;Q1751),1,0)</f>
        <v>0</v>
      </c>
      <c r="W1751" s="7" t="n">
        <f aca="false">IF(AND(T1751=1,P1751&lt;&gt;"",P1751&lt;=Q1751),1,0)</f>
        <v>0</v>
      </c>
    </row>
    <row r="1752" customFormat="false" ht="15" hidden="false" customHeight="false" outlineLevel="0" collapsed="false">
      <c r="A1752" s="7" t="s">
        <v>2115</v>
      </c>
      <c r="B1752" s="7" t="s">
        <v>135</v>
      </c>
      <c r="C1752" s="7" t="s">
        <v>136</v>
      </c>
      <c r="D1752" s="7" t="s">
        <v>152</v>
      </c>
      <c r="E1752" s="7" t="s">
        <v>153</v>
      </c>
      <c r="F1752" s="7" t="s">
        <v>56</v>
      </c>
      <c r="G1752" s="7" t="s">
        <v>20</v>
      </c>
      <c r="H1752" s="9" t="n">
        <v>46111</v>
      </c>
      <c r="I1752" s="9"/>
      <c r="J1752" s="7" t="n">
        <v>7.5</v>
      </c>
      <c r="K1752" s="7" t="s">
        <v>1971</v>
      </c>
      <c r="L1752" s="7" t="s">
        <v>19</v>
      </c>
      <c r="M1752" s="7" t="s">
        <v>2118</v>
      </c>
      <c r="N1752" s="7" t="s">
        <v>53</v>
      </c>
      <c r="O1752" s="10" t="n">
        <f aca="false">'Exec Summary'!$E$2-H1752</f>
        <v>123</v>
      </c>
      <c r="P1752" s="10" t="str">
        <f aca="false">IF(I1752="","",I1752-H1752)</f>
        <v/>
      </c>
      <c r="Q1752" s="10" t="n">
        <f aca="false">VLOOKUP(G1752,$AA$2:$AB$5,2,FALSE())</f>
        <v>30</v>
      </c>
      <c r="R1752" s="7" t="n">
        <f aca="false">IF(OR(F1752="Open",F1752="Reopened"),1,0)</f>
        <v>1</v>
      </c>
      <c r="S1752" s="7" t="n">
        <f aca="false">IF(AND(H1752&gt;='Exec Summary'!$E$1,H1752&lt;='Exec Summary'!$E$2),1,0)</f>
        <v>0</v>
      </c>
      <c r="T1752" s="7" t="n">
        <f aca="false">IF(AND(F1752="Closed",I1752&lt;&gt;"",I1752&gt;='Exec Summary'!$E$1,I1752&lt;='Exec Summary'!$E$2),1,0)</f>
        <v>0</v>
      </c>
      <c r="U1752" s="7" t="n">
        <f aca="false">IF(F1752="Reopened",1,0)</f>
        <v>0</v>
      </c>
      <c r="V1752" s="7" t="n">
        <f aca="false">IF(AND(R1752=1,O1752&gt;Q1752),1,0)</f>
        <v>1</v>
      </c>
      <c r="W1752" s="7" t="n">
        <f aca="false">IF(AND(T1752=1,P1752&lt;&gt;"",P1752&lt;=Q1752),1,0)</f>
        <v>0</v>
      </c>
    </row>
    <row r="1753" customFormat="false" ht="15" hidden="false" customHeight="false" outlineLevel="0" collapsed="false">
      <c r="A1753" s="7" t="s">
        <v>2115</v>
      </c>
      <c r="B1753" s="7" t="s">
        <v>135</v>
      </c>
      <c r="C1753" s="7" t="s">
        <v>136</v>
      </c>
      <c r="D1753" s="7" t="s">
        <v>192</v>
      </c>
      <c r="E1753" s="7" t="s">
        <v>193</v>
      </c>
      <c r="F1753" s="7" t="s">
        <v>56</v>
      </c>
      <c r="G1753" s="7" t="s">
        <v>19</v>
      </c>
      <c r="H1753" s="9" t="n">
        <v>45975</v>
      </c>
      <c r="I1753" s="9"/>
      <c r="J1753" s="7" t="n">
        <v>9.8</v>
      </c>
      <c r="K1753" s="7" t="s">
        <v>1971</v>
      </c>
      <c r="L1753" s="7" t="s">
        <v>19</v>
      </c>
      <c r="M1753" s="7" t="s">
        <v>2119</v>
      </c>
      <c r="N1753" s="7" t="s">
        <v>58</v>
      </c>
      <c r="O1753" s="10" t="n">
        <f aca="false">'Exec Summary'!$E$2-H1753</f>
        <v>259</v>
      </c>
      <c r="P1753" s="10" t="str">
        <f aca="false">IF(I1753="","",I1753-H1753)</f>
        <v/>
      </c>
      <c r="Q1753" s="10" t="n">
        <f aca="false">VLOOKUP(G1753,$AA$2:$AB$5,2,FALSE())</f>
        <v>15</v>
      </c>
      <c r="R1753" s="7" t="n">
        <f aca="false">IF(OR(F1753="Open",F1753="Reopened"),1,0)</f>
        <v>1</v>
      </c>
      <c r="S1753" s="7" t="n">
        <f aca="false">IF(AND(H1753&gt;='Exec Summary'!$E$1,H1753&lt;='Exec Summary'!$E$2),1,0)</f>
        <v>0</v>
      </c>
      <c r="T1753" s="7" t="n">
        <f aca="false">IF(AND(F1753="Closed",I1753&lt;&gt;"",I1753&gt;='Exec Summary'!$E$1,I1753&lt;='Exec Summary'!$E$2),1,0)</f>
        <v>0</v>
      </c>
      <c r="U1753" s="7" t="n">
        <f aca="false">IF(F1753="Reopened",1,0)</f>
        <v>0</v>
      </c>
      <c r="V1753" s="7" t="n">
        <f aca="false">IF(AND(R1753=1,O1753&gt;Q1753),1,0)</f>
        <v>1</v>
      </c>
      <c r="W1753" s="7" t="n">
        <f aca="false">IF(AND(T1753=1,P1753&lt;&gt;"",P1753&lt;=Q1753),1,0)</f>
        <v>0</v>
      </c>
    </row>
    <row r="1754" customFormat="false" ht="15" hidden="false" customHeight="false" outlineLevel="0" collapsed="false">
      <c r="A1754" s="7" t="s">
        <v>2120</v>
      </c>
      <c r="B1754" s="7" t="s">
        <v>135</v>
      </c>
      <c r="C1754" s="7" t="s">
        <v>136</v>
      </c>
      <c r="D1754" s="7" t="s">
        <v>104</v>
      </c>
      <c r="E1754" s="7" t="s">
        <v>105</v>
      </c>
      <c r="F1754" s="7" t="s">
        <v>56</v>
      </c>
      <c r="G1754" s="7" t="s">
        <v>19</v>
      </c>
      <c r="H1754" s="9" t="n">
        <v>46089</v>
      </c>
      <c r="I1754" s="9"/>
      <c r="J1754" s="7" t="n">
        <v>9.8</v>
      </c>
      <c r="K1754" s="7" t="s">
        <v>1971</v>
      </c>
      <c r="L1754" s="7" t="s">
        <v>19</v>
      </c>
      <c r="M1754" s="7" t="s">
        <v>2121</v>
      </c>
      <c r="N1754" s="7" t="s">
        <v>58</v>
      </c>
      <c r="O1754" s="10" t="n">
        <f aca="false">'Exec Summary'!$E$2-H1754</f>
        <v>145</v>
      </c>
      <c r="P1754" s="10" t="str">
        <f aca="false">IF(I1754="","",I1754-H1754)</f>
        <v/>
      </c>
      <c r="Q1754" s="10" t="n">
        <f aca="false">VLOOKUP(G1754,$AA$2:$AB$5,2,FALSE())</f>
        <v>15</v>
      </c>
      <c r="R1754" s="7" t="n">
        <f aca="false">IF(OR(F1754="Open",F1754="Reopened"),1,0)</f>
        <v>1</v>
      </c>
      <c r="S1754" s="7" t="n">
        <f aca="false">IF(AND(H1754&gt;='Exec Summary'!$E$1,H1754&lt;='Exec Summary'!$E$2),1,0)</f>
        <v>0</v>
      </c>
      <c r="T1754" s="7" t="n">
        <f aca="false">IF(AND(F1754="Closed",I1754&lt;&gt;"",I1754&gt;='Exec Summary'!$E$1,I1754&lt;='Exec Summary'!$E$2),1,0)</f>
        <v>0</v>
      </c>
      <c r="U1754" s="7" t="n">
        <f aca="false">IF(F1754="Reopened",1,0)</f>
        <v>0</v>
      </c>
      <c r="V1754" s="7" t="n">
        <f aca="false">IF(AND(R1754=1,O1754&gt;Q1754),1,0)</f>
        <v>1</v>
      </c>
      <c r="W1754" s="7" t="n">
        <f aca="false">IF(AND(T1754=1,P1754&lt;&gt;"",P1754&lt;=Q1754),1,0)</f>
        <v>0</v>
      </c>
    </row>
    <row r="1755" customFormat="false" ht="15" hidden="false" customHeight="false" outlineLevel="0" collapsed="false">
      <c r="A1755" s="7" t="s">
        <v>2120</v>
      </c>
      <c r="B1755" s="7" t="s">
        <v>135</v>
      </c>
      <c r="C1755" s="7" t="s">
        <v>136</v>
      </c>
      <c r="D1755" s="7" t="s">
        <v>166</v>
      </c>
      <c r="E1755" s="7" t="s">
        <v>167</v>
      </c>
      <c r="F1755" s="7" t="s">
        <v>56</v>
      </c>
      <c r="G1755" s="7" t="s">
        <v>19</v>
      </c>
      <c r="H1755" s="9" t="n">
        <v>45944</v>
      </c>
      <c r="I1755" s="9"/>
      <c r="J1755" s="7" t="n">
        <v>9.8</v>
      </c>
      <c r="K1755" s="7" t="s">
        <v>1971</v>
      </c>
      <c r="L1755" s="7" t="s">
        <v>19</v>
      </c>
      <c r="M1755" s="7" t="s">
        <v>2122</v>
      </c>
      <c r="N1755" s="7" t="s">
        <v>58</v>
      </c>
      <c r="O1755" s="10" t="n">
        <f aca="false">'Exec Summary'!$E$2-H1755</f>
        <v>290</v>
      </c>
      <c r="P1755" s="10" t="str">
        <f aca="false">IF(I1755="","",I1755-H1755)</f>
        <v/>
      </c>
      <c r="Q1755" s="10" t="n">
        <f aca="false">VLOOKUP(G1755,$AA$2:$AB$5,2,FALSE())</f>
        <v>15</v>
      </c>
      <c r="R1755" s="7" t="n">
        <f aca="false">IF(OR(F1755="Open",F1755="Reopened"),1,0)</f>
        <v>1</v>
      </c>
      <c r="S1755" s="7" t="n">
        <f aca="false">IF(AND(H1755&gt;='Exec Summary'!$E$1,H1755&lt;='Exec Summary'!$E$2),1,0)</f>
        <v>0</v>
      </c>
      <c r="T1755" s="7" t="n">
        <f aca="false">IF(AND(F1755="Closed",I1755&lt;&gt;"",I1755&gt;='Exec Summary'!$E$1,I1755&lt;='Exec Summary'!$E$2),1,0)</f>
        <v>0</v>
      </c>
      <c r="U1755" s="7" t="n">
        <f aca="false">IF(F1755="Reopened",1,0)</f>
        <v>0</v>
      </c>
      <c r="V1755" s="7" t="n">
        <f aca="false">IF(AND(R1755=1,O1755&gt;Q1755),1,0)</f>
        <v>1</v>
      </c>
      <c r="W1755" s="7" t="n">
        <f aca="false">IF(AND(T1755=1,P1755&lt;&gt;"",P1755&lt;=Q1755),1,0)</f>
        <v>0</v>
      </c>
    </row>
    <row r="1756" customFormat="false" ht="15" hidden="false" customHeight="false" outlineLevel="0" collapsed="false">
      <c r="A1756" s="7" t="s">
        <v>2120</v>
      </c>
      <c r="B1756" s="7" t="s">
        <v>135</v>
      </c>
      <c r="C1756" s="7" t="s">
        <v>136</v>
      </c>
      <c r="D1756" s="7" t="s">
        <v>62</v>
      </c>
      <c r="E1756" s="7" t="s">
        <v>63</v>
      </c>
      <c r="F1756" s="7" t="s">
        <v>50</v>
      </c>
      <c r="G1756" s="7" t="s">
        <v>20</v>
      </c>
      <c r="H1756" s="9" t="n">
        <v>46034</v>
      </c>
      <c r="I1756" s="9" t="n">
        <v>46071</v>
      </c>
      <c r="J1756" s="7" t="n">
        <v>8.1</v>
      </c>
      <c r="K1756" s="7" t="s">
        <v>1971</v>
      </c>
      <c r="L1756" s="7" t="s">
        <v>19</v>
      </c>
      <c r="M1756" s="7" t="s">
        <v>2123</v>
      </c>
      <c r="N1756" s="7" t="s">
        <v>53</v>
      </c>
      <c r="O1756" s="10" t="n">
        <f aca="false">'Exec Summary'!$E$2-H1756</f>
        <v>200</v>
      </c>
      <c r="P1756" s="10" t="n">
        <f aca="false">IF(I1756="","",I1756-H1756)</f>
        <v>37</v>
      </c>
      <c r="Q1756" s="10" t="n">
        <f aca="false">VLOOKUP(G1756,$AA$2:$AB$5,2,FALSE())</f>
        <v>30</v>
      </c>
      <c r="R1756" s="7" t="n">
        <f aca="false">IF(OR(F1756="Open",F1756="Reopened"),1,0)</f>
        <v>0</v>
      </c>
      <c r="S1756" s="7" t="n">
        <f aca="false">IF(AND(H1756&gt;='Exec Summary'!$E$1,H1756&lt;='Exec Summary'!$E$2),1,0)</f>
        <v>0</v>
      </c>
      <c r="T1756" s="7" t="n">
        <f aca="false">IF(AND(F1756="Closed",I1756&lt;&gt;"",I1756&gt;='Exec Summary'!$E$1,I1756&lt;='Exec Summary'!$E$2),1,0)</f>
        <v>0</v>
      </c>
      <c r="U1756" s="7" t="n">
        <f aca="false">IF(F1756="Reopened",1,0)</f>
        <v>0</v>
      </c>
      <c r="V1756" s="7" t="n">
        <f aca="false">IF(AND(R1756=1,O1756&gt;Q1756),1,0)</f>
        <v>0</v>
      </c>
      <c r="W1756" s="7" t="n">
        <f aca="false">IF(AND(T1756=1,P1756&lt;&gt;"",P1756&lt;=Q1756),1,0)</f>
        <v>0</v>
      </c>
    </row>
    <row r="1757" customFormat="false" ht="15" hidden="false" customHeight="false" outlineLevel="0" collapsed="false">
      <c r="A1757" s="7" t="s">
        <v>2120</v>
      </c>
      <c r="B1757" s="7" t="s">
        <v>135</v>
      </c>
      <c r="C1757" s="7" t="s">
        <v>136</v>
      </c>
      <c r="D1757" s="7" t="s">
        <v>139</v>
      </c>
      <c r="E1757" s="7" t="s">
        <v>140</v>
      </c>
      <c r="F1757" s="7" t="s">
        <v>50</v>
      </c>
      <c r="G1757" s="7" t="s">
        <v>19</v>
      </c>
      <c r="H1757" s="9" t="n">
        <v>46216</v>
      </c>
      <c r="I1757" s="9" t="n">
        <v>46222</v>
      </c>
      <c r="J1757" s="7" t="n">
        <v>9.8</v>
      </c>
      <c r="K1757" s="7" t="s">
        <v>1971</v>
      </c>
      <c r="L1757" s="7" t="s">
        <v>19</v>
      </c>
      <c r="M1757" s="7" t="s">
        <v>2124</v>
      </c>
      <c r="N1757" s="7" t="s">
        <v>58</v>
      </c>
      <c r="O1757" s="10" t="n">
        <f aca="false">'Exec Summary'!$E$2-H1757</f>
        <v>18</v>
      </c>
      <c r="P1757" s="10" t="n">
        <f aca="false">IF(I1757="","",I1757-H1757)</f>
        <v>6</v>
      </c>
      <c r="Q1757" s="10" t="n">
        <f aca="false">VLOOKUP(G1757,$AA$2:$AB$5,2,FALSE())</f>
        <v>15</v>
      </c>
      <c r="R1757" s="7" t="n">
        <f aca="false">IF(OR(F1757="Open",F1757="Reopened"),1,0)</f>
        <v>0</v>
      </c>
      <c r="S1757" s="7" t="n">
        <f aca="false">IF(AND(H1757&gt;='Exec Summary'!$E$1,H1757&lt;='Exec Summary'!$E$2),1,0)</f>
        <v>1</v>
      </c>
      <c r="T1757" s="7" t="n">
        <f aca="false">IF(AND(F1757="Closed",I1757&lt;&gt;"",I1757&gt;='Exec Summary'!$E$1,I1757&lt;='Exec Summary'!$E$2),1,0)</f>
        <v>1</v>
      </c>
      <c r="U1757" s="7" t="n">
        <f aca="false">IF(F1757="Reopened",1,0)</f>
        <v>0</v>
      </c>
      <c r="V1757" s="7" t="n">
        <f aca="false">IF(AND(R1757=1,O1757&gt;Q1757),1,0)</f>
        <v>0</v>
      </c>
      <c r="W1757" s="7" t="n">
        <f aca="false">IF(AND(T1757=1,P1757&lt;&gt;"",P1757&lt;=Q1757),1,0)</f>
        <v>1</v>
      </c>
    </row>
    <row r="1758" customFormat="false" ht="15" hidden="false" customHeight="false" outlineLevel="0" collapsed="false">
      <c r="A1758" s="7" t="s">
        <v>2125</v>
      </c>
      <c r="B1758" s="7" t="s">
        <v>46</v>
      </c>
      <c r="C1758" s="7" t="s">
        <v>158</v>
      </c>
      <c r="D1758" s="7" t="s">
        <v>163</v>
      </c>
      <c r="E1758" s="7" t="s">
        <v>164</v>
      </c>
      <c r="F1758" s="7" t="s">
        <v>50</v>
      </c>
      <c r="G1758" s="7" t="s">
        <v>19</v>
      </c>
      <c r="H1758" s="9" t="n">
        <v>46055</v>
      </c>
      <c r="I1758" s="9" t="n">
        <v>46070</v>
      </c>
      <c r="J1758" s="7" t="n">
        <v>9.1</v>
      </c>
      <c r="K1758" s="7" t="s">
        <v>1971</v>
      </c>
      <c r="L1758" s="7" t="s">
        <v>19</v>
      </c>
      <c r="M1758" s="7" t="s">
        <v>2126</v>
      </c>
      <c r="N1758" s="7" t="s">
        <v>58</v>
      </c>
      <c r="O1758" s="10" t="n">
        <f aca="false">'Exec Summary'!$E$2-H1758</f>
        <v>179</v>
      </c>
      <c r="P1758" s="10" t="n">
        <f aca="false">IF(I1758="","",I1758-H1758)</f>
        <v>15</v>
      </c>
      <c r="Q1758" s="10" t="n">
        <f aca="false">VLOOKUP(G1758,$AA$2:$AB$5,2,FALSE())</f>
        <v>15</v>
      </c>
      <c r="R1758" s="7" t="n">
        <f aca="false">IF(OR(F1758="Open",F1758="Reopened"),1,0)</f>
        <v>0</v>
      </c>
      <c r="S1758" s="7" t="n">
        <f aca="false">IF(AND(H1758&gt;='Exec Summary'!$E$1,H1758&lt;='Exec Summary'!$E$2),1,0)</f>
        <v>0</v>
      </c>
      <c r="T1758" s="7" t="n">
        <f aca="false">IF(AND(F1758="Closed",I1758&lt;&gt;"",I1758&gt;='Exec Summary'!$E$1,I1758&lt;='Exec Summary'!$E$2),1,0)</f>
        <v>0</v>
      </c>
      <c r="U1758" s="7" t="n">
        <f aca="false">IF(F1758="Reopened",1,0)</f>
        <v>0</v>
      </c>
      <c r="V1758" s="7" t="n">
        <f aca="false">IF(AND(R1758=1,O1758&gt;Q1758),1,0)</f>
        <v>0</v>
      </c>
      <c r="W1758" s="7" t="n">
        <f aca="false">IF(AND(T1758=1,P1758&lt;&gt;"",P1758&lt;=Q1758),1,0)</f>
        <v>0</v>
      </c>
    </row>
    <row r="1759" customFormat="false" ht="15" hidden="false" customHeight="false" outlineLevel="0" collapsed="false">
      <c r="A1759" s="7" t="s">
        <v>2125</v>
      </c>
      <c r="B1759" s="7" t="s">
        <v>46</v>
      </c>
      <c r="C1759" s="7" t="s">
        <v>158</v>
      </c>
      <c r="D1759" s="7" t="s">
        <v>62</v>
      </c>
      <c r="E1759" s="7" t="s">
        <v>63</v>
      </c>
      <c r="F1759" s="7" t="s">
        <v>56</v>
      </c>
      <c r="G1759" s="7" t="s">
        <v>20</v>
      </c>
      <c r="H1759" s="9" t="n">
        <v>46145</v>
      </c>
      <c r="I1759" s="9"/>
      <c r="J1759" s="7" t="n">
        <v>8.1</v>
      </c>
      <c r="K1759" s="7" t="s">
        <v>1971</v>
      </c>
      <c r="L1759" s="7" t="s">
        <v>19</v>
      </c>
      <c r="M1759" s="7" t="s">
        <v>2127</v>
      </c>
      <c r="N1759" s="7" t="s">
        <v>53</v>
      </c>
      <c r="O1759" s="10" t="n">
        <f aca="false">'Exec Summary'!$E$2-H1759</f>
        <v>89</v>
      </c>
      <c r="P1759" s="10" t="str">
        <f aca="false">IF(I1759="","",I1759-H1759)</f>
        <v/>
      </c>
      <c r="Q1759" s="10" t="n">
        <f aca="false">VLOOKUP(G1759,$AA$2:$AB$5,2,FALSE())</f>
        <v>30</v>
      </c>
      <c r="R1759" s="7" t="n">
        <f aca="false">IF(OR(F1759="Open",F1759="Reopened"),1,0)</f>
        <v>1</v>
      </c>
      <c r="S1759" s="7" t="n">
        <f aca="false">IF(AND(H1759&gt;='Exec Summary'!$E$1,H1759&lt;='Exec Summary'!$E$2),1,0)</f>
        <v>0</v>
      </c>
      <c r="T1759" s="7" t="n">
        <f aca="false">IF(AND(F1759="Closed",I1759&lt;&gt;"",I1759&gt;='Exec Summary'!$E$1,I1759&lt;='Exec Summary'!$E$2),1,0)</f>
        <v>0</v>
      </c>
      <c r="U1759" s="7" t="n">
        <f aca="false">IF(F1759="Reopened",1,0)</f>
        <v>0</v>
      </c>
      <c r="V1759" s="7" t="n">
        <f aca="false">IF(AND(R1759=1,O1759&gt;Q1759),1,0)</f>
        <v>1</v>
      </c>
      <c r="W1759" s="7" t="n">
        <f aca="false">IF(AND(T1759=1,P1759&lt;&gt;"",P1759&lt;=Q1759),1,0)</f>
        <v>0</v>
      </c>
    </row>
    <row r="1760" customFormat="false" ht="15" hidden="false" customHeight="false" outlineLevel="0" collapsed="false">
      <c r="A1760" s="7" t="s">
        <v>2125</v>
      </c>
      <c r="B1760" s="7" t="s">
        <v>46</v>
      </c>
      <c r="C1760" s="7" t="s">
        <v>158</v>
      </c>
      <c r="D1760" s="7" t="s">
        <v>74</v>
      </c>
      <c r="E1760" s="7" t="s">
        <v>75</v>
      </c>
      <c r="F1760" s="7" t="s">
        <v>50</v>
      </c>
      <c r="G1760" s="7" t="s">
        <v>21</v>
      </c>
      <c r="H1760" s="9" t="n">
        <v>46224</v>
      </c>
      <c r="I1760" s="9" t="n">
        <v>46234</v>
      </c>
      <c r="J1760" s="7" t="n">
        <v>6.5</v>
      </c>
      <c r="K1760" s="7" t="s">
        <v>1971</v>
      </c>
      <c r="L1760" s="7" t="s">
        <v>19</v>
      </c>
      <c r="M1760" s="7" t="s">
        <v>2128</v>
      </c>
      <c r="N1760" s="7" t="s">
        <v>77</v>
      </c>
      <c r="O1760" s="10" t="n">
        <f aca="false">'Exec Summary'!$E$2-H1760</f>
        <v>10</v>
      </c>
      <c r="P1760" s="10" t="n">
        <f aca="false">IF(I1760="","",I1760-H1760)</f>
        <v>10</v>
      </c>
      <c r="Q1760" s="10" t="n">
        <f aca="false">VLOOKUP(G1760,$AA$2:$AB$5,2,FALSE())</f>
        <v>90</v>
      </c>
      <c r="R1760" s="7" t="n">
        <f aca="false">IF(OR(F1760="Open",F1760="Reopened"),1,0)</f>
        <v>0</v>
      </c>
      <c r="S1760" s="7" t="n">
        <f aca="false">IF(AND(H1760&gt;='Exec Summary'!$E$1,H1760&lt;='Exec Summary'!$E$2),1,0)</f>
        <v>1</v>
      </c>
      <c r="T1760" s="7" t="n">
        <f aca="false">IF(AND(F1760="Closed",I1760&lt;&gt;"",I1760&gt;='Exec Summary'!$E$1,I1760&lt;='Exec Summary'!$E$2),1,0)</f>
        <v>1</v>
      </c>
      <c r="U1760" s="7" t="n">
        <f aca="false">IF(F1760="Reopened",1,0)</f>
        <v>0</v>
      </c>
      <c r="V1760" s="7" t="n">
        <f aca="false">IF(AND(R1760=1,O1760&gt;Q1760),1,0)</f>
        <v>0</v>
      </c>
      <c r="W1760" s="7" t="n">
        <f aca="false">IF(AND(T1760=1,P1760&lt;&gt;"",P1760&lt;=Q1760),1,0)</f>
        <v>1</v>
      </c>
    </row>
    <row r="1761" customFormat="false" ht="15" hidden="false" customHeight="false" outlineLevel="0" collapsed="false">
      <c r="A1761" s="7" t="s">
        <v>2125</v>
      </c>
      <c r="B1761" s="7" t="s">
        <v>46</v>
      </c>
      <c r="C1761" s="7" t="s">
        <v>158</v>
      </c>
      <c r="D1761" s="7" t="s">
        <v>192</v>
      </c>
      <c r="E1761" s="7" t="s">
        <v>193</v>
      </c>
      <c r="F1761" s="7" t="s">
        <v>50</v>
      </c>
      <c r="G1761" s="7" t="s">
        <v>19</v>
      </c>
      <c r="H1761" s="9" t="n">
        <v>45973</v>
      </c>
      <c r="I1761" s="9" t="n">
        <v>45974</v>
      </c>
      <c r="J1761" s="7" t="n">
        <v>9.8</v>
      </c>
      <c r="K1761" s="7" t="s">
        <v>1971</v>
      </c>
      <c r="L1761" s="7" t="s">
        <v>19</v>
      </c>
      <c r="M1761" s="7" t="s">
        <v>2129</v>
      </c>
      <c r="N1761" s="7" t="s">
        <v>58</v>
      </c>
      <c r="O1761" s="10" t="n">
        <f aca="false">'Exec Summary'!$E$2-H1761</f>
        <v>261</v>
      </c>
      <c r="P1761" s="10" t="n">
        <f aca="false">IF(I1761="","",I1761-H1761)</f>
        <v>1</v>
      </c>
      <c r="Q1761" s="10" t="n">
        <f aca="false">VLOOKUP(G1761,$AA$2:$AB$5,2,FALSE())</f>
        <v>15</v>
      </c>
      <c r="R1761" s="7" t="n">
        <f aca="false">IF(OR(F1761="Open",F1761="Reopened"),1,0)</f>
        <v>0</v>
      </c>
      <c r="S1761" s="7" t="n">
        <f aca="false">IF(AND(H1761&gt;='Exec Summary'!$E$1,H1761&lt;='Exec Summary'!$E$2),1,0)</f>
        <v>0</v>
      </c>
      <c r="T1761" s="7" t="n">
        <f aca="false">IF(AND(F1761="Closed",I1761&lt;&gt;"",I1761&gt;='Exec Summary'!$E$1,I1761&lt;='Exec Summary'!$E$2),1,0)</f>
        <v>0</v>
      </c>
      <c r="U1761" s="7" t="n">
        <f aca="false">IF(F1761="Reopened",1,0)</f>
        <v>0</v>
      </c>
      <c r="V1761" s="7" t="n">
        <f aca="false">IF(AND(R1761=1,O1761&gt;Q1761),1,0)</f>
        <v>0</v>
      </c>
      <c r="W1761" s="7" t="n">
        <f aca="false">IF(AND(T1761=1,P1761&lt;&gt;"",P1761&lt;=Q1761),1,0)</f>
        <v>0</v>
      </c>
    </row>
    <row r="1762" customFormat="false" ht="15" hidden="false" customHeight="false" outlineLevel="0" collapsed="false">
      <c r="A1762" s="7" t="s">
        <v>2130</v>
      </c>
      <c r="B1762" s="7" t="s">
        <v>46</v>
      </c>
      <c r="C1762" s="7" t="s">
        <v>47</v>
      </c>
      <c r="D1762" s="7" t="s">
        <v>65</v>
      </c>
      <c r="E1762" s="7" t="s">
        <v>66</v>
      </c>
      <c r="F1762" s="7" t="s">
        <v>56</v>
      </c>
      <c r="G1762" s="7" t="s">
        <v>19</v>
      </c>
      <c r="H1762" s="9" t="n">
        <v>45996</v>
      </c>
      <c r="I1762" s="9"/>
      <c r="J1762" s="7" t="n">
        <v>9.8</v>
      </c>
      <c r="K1762" s="7" t="s">
        <v>1971</v>
      </c>
      <c r="L1762" s="7" t="s">
        <v>19</v>
      </c>
      <c r="M1762" s="7" t="s">
        <v>2131</v>
      </c>
      <c r="N1762" s="7" t="s">
        <v>58</v>
      </c>
      <c r="O1762" s="10" t="n">
        <f aca="false">'Exec Summary'!$E$2-H1762</f>
        <v>238</v>
      </c>
      <c r="P1762" s="10" t="str">
        <f aca="false">IF(I1762="","",I1762-H1762)</f>
        <v/>
      </c>
      <c r="Q1762" s="10" t="n">
        <f aca="false">VLOOKUP(G1762,$AA$2:$AB$5,2,FALSE())</f>
        <v>15</v>
      </c>
      <c r="R1762" s="7" t="n">
        <f aca="false">IF(OR(F1762="Open",F1762="Reopened"),1,0)</f>
        <v>1</v>
      </c>
      <c r="S1762" s="7" t="n">
        <f aca="false">IF(AND(H1762&gt;='Exec Summary'!$E$1,H1762&lt;='Exec Summary'!$E$2),1,0)</f>
        <v>0</v>
      </c>
      <c r="T1762" s="7" t="n">
        <f aca="false">IF(AND(F1762="Closed",I1762&lt;&gt;"",I1762&gt;='Exec Summary'!$E$1,I1762&lt;='Exec Summary'!$E$2),1,0)</f>
        <v>0</v>
      </c>
      <c r="U1762" s="7" t="n">
        <f aca="false">IF(F1762="Reopened",1,0)</f>
        <v>0</v>
      </c>
      <c r="V1762" s="7" t="n">
        <f aca="false">IF(AND(R1762=1,O1762&gt;Q1762),1,0)</f>
        <v>1</v>
      </c>
      <c r="W1762" s="7" t="n">
        <f aca="false">IF(AND(T1762=1,P1762&lt;&gt;"",P1762&lt;=Q1762),1,0)</f>
        <v>0</v>
      </c>
    </row>
    <row r="1763" customFormat="false" ht="15" hidden="false" customHeight="false" outlineLevel="0" collapsed="false">
      <c r="A1763" s="7" t="s">
        <v>2130</v>
      </c>
      <c r="B1763" s="7" t="s">
        <v>46</v>
      </c>
      <c r="C1763" s="7" t="s">
        <v>47</v>
      </c>
      <c r="D1763" s="7" t="s">
        <v>145</v>
      </c>
      <c r="E1763" s="7" t="s">
        <v>146</v>
      </c>
      <c r="F1763" s="7" t="s">
        <v>56</v>
      </c>
      <c r="G1763" s="7" t="s">
        <v>19</v>
      </c>
      <c r="H1763" s="9" t="n">
        <v>46062</v>
      </c>
      <c r="I1763" s="9"/>
      <c r="J1763" s="7" t="n">
        <v>9.8</v>
      </c>
      <c r="K1763" s="7" t="s">
        <v>1971</v>
      </c>
      <c r="L1763" s="7" t="s">
        <v>19</v>
      </c>
      <c r="M1763" s="7" t="s">
        <v>2132</v>
      </c>
      <c r="N1763" s="7" t="s">
        <v>58</v>
      </c>
      <c r="O1763" s="10" t="n">
        <f aca="false">'Exec Summary'!$E$2-H1763</f>
        <v>172</v>
      </c>
      <c r="P1763" s="10" t="str">
        <f aca="false">IF(I1763="","",I1763-H1763)</f>
        <v/>
      </c>
      <c r="Q1763" s="10" t="n">
        <f aca="false">VLOOKUP(G1763,$AA$2:$AB$5,2,FALSE())</f>
        <v>15</v>
      </c>
      <c r="R1763" s="7" t="n">
        <f aca="false">IF(OR(F1763="Open",F1763="Reopened"),1,0)</f>
        <v>1</v>
      </c>
      <c r="S1763" s="7" t="n">
        <f aca="false">IF(AND(H1763&gt;='Exec Summary'!$E$1,H1763&lt;='Exec Summary'!$E$2),1,0)</f>
        <v>0</v>
      </c>
      <c r="T1763" s="7" t="n">
        <f aca="false">IF(AND(F1763="Closed",I1763&lt;&gt;"",I1763&gt;='Exec Summary'!$E$1,I1763&lt;='Exec Summary'!$E$2),1,0)</f>
        <v>0</v>
      </c>
      <c r="U1763" s="7" t="n">
        <f aca="false">IF(F1763="Reopened",1,0)</f>
        <v>0</v>
      </c>
      <c r="V1763" s="7" t="n">
        <f aca="false">IF(AND(R1763=1,O1763&gt;Q1763),1,0)</f>
        <v>1</v>
      </c>
      <c r="W1763" s="7" t="n">
        <f aca="false">IF(AND(T1763=1,P1763&lt;&gt;"",P1763&lt;=Q1763),1,0)</f>
        <v>0</v>
      </c>
    </row>
    <row r="1764" customFormat="false" ht="15" hidden="false" customHeight="false" outlineLevel="0" collapsed="false">
      <c r="A1764" s="7" t="s">
        <v>2130</v>
      </c>
      <c r="B1764" s="7" t="s">
        <v>46</v>
      </c>
      <c r="C1764" s="7" t="s">
        <v>47</v>
      </c>
      <c r="D1764" s="7" t="s">
        <v>139</v>
      </c>
      <c r="E1764" s="7" t="s">
        <v>140</v>
      </c>
      <c r="F1764" s="7" t="s">
        <v>56</v>
      </c>
      <c r="G1764" s="7" t="s">
        <v>19</v>
      </c>
      <c r="H1764" s="9" t="n">
        <v>46187</v>
      </c>
      <c r="I1764" s="9"/>
      <c r="J1764" s="7" t="n">
        <v>9.8</v>
      </c>
      <c r="K1764" s="7" t="s">
        <v>1971</v>
      </c>
      <c r="L1764" s="7" t="s">
        <v>19</v>
      </c>
      <c r="M1764" s="7" t="s">
        <v>2133</v>
      </c>
      <c r="N1764" s="7" t="s">
        <v>58</v>
      </c>
      <c r="O1764" s="10" t="n">
        <f aca="false">'Exec Summary'!$E$2-H1764</f>
        <v>47</v>
      </c>
      <c r="P1764" s="10" t="str">
        <f aca="false">IF(I1764="","",I1764-H1764)</f>
        <v/>
      </c>
      <c r="Q1764" s="10" t="n">
        <f aca="false">VLOOKUP(G1764,$AA$2:$AB$5,2,FALSE())</f>
        <v>15</v>
      </c>
      <c r="R1764" s="7" t="n">
        <f aca="false">IF(OR(F1764="Open",F1764="Reopened"),1,0)</f>
        <v>1</v>
      </c>
      <c r="S1764" s="7" t="n">
        <f aca="false">IF(AND(H1764&gt;='Exec Summary'!$E$1,H1764&lt;='Exec Summary'!$E$2),1,0)</f>
        <v>0</v>
      </c>
      <c r="T1764" s="7" t="n">
        <f aca="false">IF(AND(F1764="Closed",I1764&lt;&gt;"",I1764&gt;='Exec Summary'!$E$1,I1764&lt;='Exec Summary'!$E$2),1,0)</f>
        <v>0</v>
      </c>
      <c r="U1764" s="7" t="n">
        <f aca="false">IF(F1764="Reopened",1,0)</f>
        <v>0</v>
      </c>
      <c r="V1764" s="7" t="n">
        <f aca="false">IF(AND(R1764=1,O1764&gt;Q1764),1,0)</f>
        <v>1</v>
      </c>
      <c r="W1764" s="7" t="n">
        <f aca="false">IF(AND(T1764=1,P1764&lt;&gt;"",P1764&lt;=Q1764),1,0)</f>
        <v>0</v>
      </c>
    </row>
    <row r="1765" customFormat="false" ht="15" hidden="false" customHeight="false" outlineLevel="0" collapsed="false">
      <c r="A1765" s="7" t="s">
        <v>2134</v>
      </c>
      <c r="B1765" s="7" t="s">
        <v>135</v>
      </c>
      <c r="C1765" s="7" t="s">
        <v>306</v>
      </c>
      <c r="D1765" s="7" t="s">
        <v>87</v>
      </c>
      <c r="E1765" s="7" t="s">
        <v>88</v>
      </c>
      <c r="F1765" s="7" t="s">
        <v>50</v>
      </c>
      <c r="G1765" s="7" t="s">
        <v>19</v>
      </c>
      <c r="H1765" s="9" t="n">
        <v>46191</v>
      </c>
      <c r="I1765" s="9" t="n">
        <v>46198</v>
      </c>
      <c r="J1765" s="7" t="n">
        <v>10</v>
      </c>
      <c r="K1765" s="7" t="s">
        <v>1971</v>
      </c>
      <c r="L1765" s="7" t="s">
        <v>19</v>
      </c>
      <c r="M1765" s="7" t="s">
        <v>2135</v>
      </c>
      <c r="N1765" s="7" t="s">
        <v>58</v>
      </c>
      <c r="O1765" s="10" t="n">
        <f aca="false">'Exec Summary'!$E$2-H1765</f>
        <v>43</v>
      </c>
      <c r="P1765" s="10" t="n">
        <f aca="false">IF(I1765="","",I1765-H1765)</f>
        <v>7</v>
      </c>
      <c r="Q1765" s="10" t="n">
        <f aca="false">VLOOKUP(G1765,$AA$2:$AB$5,2,FALSE())</f>
        <v>15</v>
      </c>
      <c r="R1765" s="7" t="n">
        <f aca="false">IF(OR(F1765="Open",F1765="Reopened"),1,0)</f>
        <v>0</v>
      </c>
      <c r="S1765" s="7" t="n">
        <f aca="false">IF(AND(H1765&gt;='Exec Summary'!$E$1,H1765&lt;='Exec Summary'!$E$2),1,0)</f>
        <v>0</v>
      </c>
      <c r="T1765" s="7" t="n">
        <f aca="false">IF(AND(F1765="Closed",I1765&lt;&gt;"",I1765&gt;='Exec Summary'!$E$1,I1765&lt;='Exec Summary'!$E$2),1,0)</f>
        <v>0</v>
      </c>
      <c r="U1765" s="7" t="n">
        <f aca="false">IF(F1765="Reopened",1,0)</f>
        <v>0</v>
      </c>
      <c r="V1765" s="7" t="n">
        <f aca="false">IF(AND(R1765=1,O1765&gt;Q1765),1,0)</f>
        <v>0</v>
      </c>
      <c r="W1765" s="7" t="n">
        <f aca="false">IF(AND(T1765=1,P1765&lt;&gt;"",P1765&lt;=Q1765),1,0)</f>
        <v>0</v>
      </c>
    </row>
    <row r="1766" customFormat="false" ht="15" hidden="false" customHeight="false" outlineLevel="0" collapsed="false">
      <c r="A1766" s="7" t="s">
        <v>2134</v>
      </c>
      <c r="B1766" s="7" t="s">
        <v>135</v>
      </c>
      <c r="C1766" s="7" t="s">
        <v>306</v>
      </c>
      <c r="D1766" s="7" t="s">
        <v>81</v>
      </c>
      <c r="E1766" s="7" t="s">
        <v>82</v>
      </c>
      <c r="F1766" s="7" t="s">
        <v>50</v>
      </c>
      <c r="G1766" s="7" t="s">
        <v>20</v>
      </c>
      <c r="H1766" s="9" t="n">
        <v>46077</v>
      </c>
      <c r="I1766" s="9" t="n">
        <v>46110</v>
      </c>
      <c r="J1766" s="7" t="n">
        <v>7.8</v>
      </c>
      <c r="K1766" s="7" t="s">
        <v>1971</v>
      </c>
      <c r="L1766" s="7" t="s">
        <v>19</v>
      </c>
      <c r="M1766" s="7" t="s">
        <v>2136</v>
      </c>
      <c r="N1766" s="7" t="s">
        <v>53</v>
      </c>
      <c r="O1766" s="10" t="n">
        <f aca="false">'Exec Summary'!$E$2-H1766</f>
        <v>157</v>
      </c>
      <c r="P1766" s="10" t="n">
        <f aca="false">IF(I1766="","",I1766-H1766)</f>
        <v>33</v>
      </c>
      <c r="Q1766" s="10" t="n">
        <f aca="false">VLOOKUP(G1766,$AA$2:$AB$5,2,FALSE())</f>
        <v>30</v>
      </c>
      <c r="R1766" s="7" t="n">
        <f aca="false">IF(OR(F1766="Open",F1766="Reopened"),1,0)</f>
        <v>0</v>
      </c>
      <c r="S1766" s="7" t="n">
        <f aca="false">IF(AND(H1766&gt;='Exec Summary'!$E$1,H1766&lt;='Exec Summary'!$E$2),1,0)</f>
        <v>0</v>
      </c>
      <c r="T1766" s="7" t="n">
        <f aca="false">IF(AND(F1766="Closed",I1766&lt;&gt;"",I1766&gt;='Exec Summary'!$E$1,I1766&lt;='Exec Summary'!$E$2),1,0)</f>
        <v>0</v>
      </c>
      <c r="U1766" s="7" t="n">
        <f aca="false">IF(F1766="Reopened",1,0)</f>
        <v>0</v>
      </c>
      <c r="V1766" s="7" t="n">
        <f aca="false">IF(AND(R1766=1,O1766&gt;Q1766),1,0)</f>
        <v>0</v>
      </c>
      <c r="W1766" s="7" t="n">
        <f aca="false">IF(AND(T1766=1,P1766&lt;&gt;"",P1766&lt;=Q1766),1,0)</f>
        <v>0</v>
      </c>
    </row>
    <row r="1767" customFormat="false" ht="15" hidden="false" customHeight="false" outlineLevel="0" collapsed="false">
      <c r="A1767" s="7" t="s">
        <v>2134</v>
      </c>
      <c r="B1767" s="7" t="s">
        <v>135</v>
      </c>
      <c r="C1767" s="7" t="s">
        <v>306</v>
      </c>
      <c r="D1767" s="7" t="s">
        <v>104</v>
      </c>
      <c r="E1767" s="7" t="s">
        <v>105</v>
      </c>
      <c r="F1767" s="7" t="s">
        <v>50</v>
      </c>
      <c r="G1767" s="7" t="s">
        <v>19</v>
      </c>
      <c r="H1767" s="9" t="n">
        <v>46052</v>
      </c>
      <c r="I1767" s="9" t="n">
        <v>46059</v>
      </c>
      <c r="J1767" s="7" t="n">
        <v>9.8</v>
      </c>
      <c r="K1767" s="7" t="s">
        <v>1971</v>
      </c>
      <c r="L1767" s="7" t="s">
        <v>19</v>
      </c>
      <c r="M1767" s="7" t="s">
        <v>2137</v>
      </c>
      <c r="N1767" s="7" t="s">
        <v>58</v>
      </c>
      <c r="O1767" s="10" t="n">
        <f aca="false">'Exec Summary'!$E$2-H1767</f>
        <v>182</v>
      </c>
      <c r="P1767" s="10" t="n">
        <f aca="false">IF(I1767="","",I1767-H1767)</f>
        <v>7</v>
      </c>
      <c r="Q1767" s="10" t="n">
        <f aca="false">VLOOKUP(G1767,$AA$2:$AB$5,2,FALSE())</f>
        <v>15</v>
      </c>
      <c r="R1767" s="7" t="n">
        <f aca="false">IF(OR(F1767="Open",F1767="Reopened"),1,0)</f>
        <v>0</v>
      </c>
      <c r="S1767" s="7" t="n">
        <f aca="false">IF(AND(H1767&gt;='Exec Summary'!$E$1,H1767&lt;='Exec Summary'!$E$2),1,0)</f>
        <v>0</v>
      </c>
      <c r="T1767" s="7" t="n">
        <f aca="false">IF(AND(F1767="Closed",I1767&lt;&gt;"",I1767&gt;='Exec Summary'!$E$1,I1767&lt;='Exec Summary'!$E$2),1,0)</f>
        <v>0</v>
      </c>
      <c r="U1767" s="7" t="n">
        <f aca="false">IF(F1767="Reopened",1,0)</f>
        <v>0</v>
      </c>
      <c r="V1767" s="7" t="n">
        <f aca="false">IF(AND(R1767=1,O1767&gt;Q1767),1,0)</f>
        <v>0</v>
      </c>
      <c r="W1767" s="7" t="n">
        <f aca="false">IF(AND(T1767=1,P1767&lt;&gt;"",P1767&lt;=Q1767),1,0)</f>
        <v>0</v>
      </c>
    </row>
    <row r="1768" customFormat="false" ht="15" hidden="false" customHeight="false" outlineLevel="0" collapsed="false">
      <c r="A1768" s="7" t="s">
        <v>2134</v>
      </c>
      <c r="B1768" s="7" t="s">
        <v>135</v>
      </c>
      <c r="C1768" s="7" t="s">
        <v>306</v>
      </c>
      <c r="D1768" s="7" t="s">
        <v>54</v>
      </c>
      <c r="E1768" s="7" t="s">
        <v>55</v>
      </c>
      <c r="F1768" s="7" t="s">
        <v>56</v>
      </c>
      <c r="G1768" s="7" t="s">
        <v>19</v>
      </c>
      <c r="H1768" s="9" t="n">
        <v>45952</v>
      </c>
      <c r="I1768" s="9"/>
      <c r="J1768" s="7" t="n">
        <v>9.8</v>
      </c>
      <c r="K1768" s="7" t="s">
        <v>1971</v>
      </c>
      <c r="L1768" s="7" t="s">
        <v>19</v>
      </c>
      <c r="M1768" s="7" t="s">
        <v>2138</v>
      </c>
      <c r="N1768" s="7" t="s">
        <v>58</v>
      </c>
      <c r="O1768" s="10" t="n">
        <f aca="false">'Exec Summary'!$E$2-H1768</f>
        <v>282</v>
      </c>
      <c r="P1768" s="10" t="str">
        <f aca="false">IF(I1768="","",I1768-H1768)</f>
        <v/>
      </c>
      <c r="Q1768" s="10" t="n">
        <f aca="false">VLOOKUP(G1768,$AA$2:$AB$5,2,FALSE())</f>
        <v>15</v>
      </c>
      <c r="R1768" s="7" t="n">
        <f aca="false">IF(OR(F1768="Open",F1768="Reopened"),1,0)</f>
        <v>1</v>
      </c>
      <c r="S1768" s="7" t="n">
        <f aca="false">IF(AND(H1768&gt;='Exec Summary'!$E$1,H1768&lt;='Exec Summary'!$E$2),1,0)</f>
        <v>0</v>
      </c>
      <c r="T1768" s="7" t="n">
        <f aca="false">IF(AND(F1768="Closed",I1768&lt;&gt;"",I1768&gt;='Exec Summary'!$E$1,I1768&lt;='Exec Summary'!$E$2),1,0)</f>
        <v>0</v>
      </c>
      <c r="U1768" s="7" t="n">
        <f aca="false">IF(F1768="Reopened",1,0)</f>
        <v>0</v>
      </c>
      <c r="V1768" s="7" t="n">
        <f aca="false">IF(AND(R1768=1,O1768&gt;Q1768),1,0)</f>
        <v>1</v>
      </c>
      <c r="W1768" s="7" t="n">
        <f aca="false">IF(AND(T1768=1,P1768&lt;&gt;"",P1768&lt;=Q1768),1,0)</f>
        <v>0</v>
      </c>
    </row>
    <row r="1769" customFormat="false" ht="15" hidden="false" customHeight="false" outlineLevel="0" collapsed="false">
      <c r="A1769" s="7" t="s">
        <v>2134</v>
      </c>
      <c r="B1769" s="7" t="s">
        <v>135</v>
      </c>
      <c r="C1769" s="7" t="s">
        <v>306</v>
      </c>
      <c r="D1769" s="7" t="s">
        <v>108</v>
      </c>
      <c r="E1769" s="7" t="s">
        <v>109</v>
      </c>
      <c r="F1769" s="7" t="s">
        <v>56</v>
      </c>
      <c r="G1769" s="7" t="s">
        <v>20</v>
      </c>
      <c r="H1769" s="9" t="n">
        <v>46166</v>
      </c>
      <c r="I1769" s="9"/>
      <c r="J1769" s="7" t="n">
        <v>8.6</v>
      </c>
      <c r="K1769" s="7" t="s">
        <v>1971</v>
      </c>
      <c r="L1769" s="7" t="s">
        <v>19</v>
      </c>
      <c r="M1769" s="7" t="s">
        <v>2139</v>
      </c>
      <c r="N1769" s="7" t="s">
        <v>53</v>
      </c>
      <c r="O1769" s="10" t="n">
        <f aca="false">'Exec Summary'!$E$2-H1769</f>
        <v>68</v>
      </c>
      <c r="P1769" s="10" t="str">
        <f aca="false">IF(I1769="","",I1769-H1769)</f>
        <v/>
      </c>
      <c r="Q1769" s="10" t="n">
        <f aca="false">VLOOKUP(G1769,$AA$2:$AB$5,2,FALSE())</f>
        <v>30</v>
      </c>
      <c r="R1769" s="7" t="n">
        <f aca="false">IF(OR(F1769="Open",F1769="Reopened"),1,0)</f>
        <v>1</v>
      </c>
      <c r="S1769" s="7" t="n">
        <f aca="false">IF(AND(H1769&gt;='Exec Summary'!$E$1,H1769&lt;='Exec Summary'!$E$2),1,0)</f>
        <v>0</v>
      </c>
      <c r="T1769" s="7" t="n">
        <f aca="false">IF(AND(F1769="Closed",I1769&lt;&gt;"",I1769&gt;='Exec Summary'!$E$1,I1769&lt;='Exec Summary'!$E$2),1,0)</f>
        <v>0</v>
      </c>
      <c r="U1769" s="7" t="n">
        <f aca="false">IF(F1769="Reopened",1,0)</f>
        <v>0</v>
      </c>
      <c r="V1769" s="7" t="n">
        <f aca="false">IF(AND(R1769=1,O1769&gt;Q1769),1,0)</f>
        <v>1</v>
      </c>
      <c r="W1769" s="7" t="n">
        <f aca="false">IF(AND(T1769=1,P1769&lt;&gt;"",P1769&lt;=Q1769),1,0)</f>
        <v>0</v>
      </c>
    </row>
    <row r="1770" customFormat="false" ht="15" hidden="false" customHeight="false" outlineLevel="0" collapsed="false">
      <c r="A1770" s="7" t="s">
        <v>2134</v>
      </c>
      <c r="B1770" s="7" t="s">
        <v>135</v>
      </c>
      <c r="C1770" s="7" t="s">
        <v>306</v>
      </c>
      <c r="D1770" s="7" t="s">
        <v>95</v>
      </c>
      <c r="E1770" s="7" t="s">
        <v>96</v>
      </c>
      <c r="F1770" s="7" t="s">
        <v>56</v>
      </c>
      <c r="G1770" s="7" t="s">
        <v>20</v>
      </c>
      <c r="H1770" s="9" t="n">
        <v>46189</v>
      </c>
      <c r="I1770" s="9"/>
      <c r="J1770" s="7" t="n">
        <v>8.8</v>
      </c>
      <c r="K1770" s="7" t="s">
        <v>1971</v>
      </c>
      <c r="L1770" s="7" t="s">
        <v>19</v>
      </c>
      <c r="M1770" s="7" t="s">
        <v>2140</v>
      </c>
      <c r="N1770" s="7" t="s">
        <v>53</v>
      </c>
      <c r="O1770" s="10" t="n">
        <f aca="false">'Exec Summary'!$E$2-H1770</f>
        <v>45</v>
      </c>
      <c r="P1770" s="10" t="str">
        <f aca="false">IF(I1770="","",I1770-H1770)</f>
        <v/>
      </c>
      <c r="Q1770" s="10" t="n">
        <f aca="false">VLOOKUP(G1770,$AA$2:$AB$5,2,FALSE())</f>
        <v>30</v>
      </c>
      <c r="R1770" s="7" t="n">
        <f aca="false">IF(OR(F1770="Open",F1770="Reopened"),1,0)</f>
        <v>1</v>
      </c>
      <c r="S1770" s="7" t="n">
        <f aca="false">IF(AND(H1770&gt;='Exec Summary'!$E$1,H1770&lt;='Exec Summary'!$E$2),1,0)</f>
        <v>0</v>
      </c>
      <c r="T1770" s="7" t="n">
        <f aca="false">IF(AND(F1770="Closed",I1770&lt;&gt;"",I1770&gt;='Exec Summary'!$E$1,I1770&lt;='Exec Summary'!$E$2),1,0)</f>
        <v>0</v>
      </c>
      <c r="U1770" s="7" t="n">
        <f aca="false">IF(F1770="Reopened",1,0)</f>
        <v>0</v>
      </c>
      <c r="V1770" s="7" t="n">
        <f aca="false">IF(AND(R1770=1,O1770&gt;Q1770),1,0)</f>
        <v>1</v>
      </c>
      <c r="W1770" s="7" t="n">
        <f aca="false">IF(AND(T1770=1,P1770&lt;&gt;"",P1770&lt;=Q1770),1,0)</f>
        <v>0</v>
      </c>
    </row>
    <row r="1771" customFormat="false" ht="15" hidden="false" customHeight="false" outlineLevel="0" collapsed="false">
      <c r="A1771" s="7" t="s">
        <v>2134</v>
      </c>
      <c r="B1771" s="7" t="s">
        <v>135</v>
      </c>
      <c r="C1771" s="7" t="s">
        <v>306</v>
      </c>
      <c r="D1771" s="7" t="s">
        <v>163</v>
      </c>
      <c r="E1771" s="7" t="s">
        <v>164</v>
      </c>
      <c r="F1771" s="7" t="s">
        <v>56</v>
      </c>
      <c r="G1771" s="7" t="s">
        <v>19</v>
      </c>
      <c r="H1771" s="9" t="n">
        <v>46076</v>
      </c>
      <c r="I1771" s="9"/>
      <c r="J1771" s="7" t="n">
        <v>9.1</v>
      </c>
      <c r="K1771" s="7" t="s">
        <v>1971</v>
      </c>
      <c r="L1771" s="7" t="s">
        <v>19</v>
      </c>
      <c r="M1771" s="7" t="s">
        <v>2141</v>
      </c>
      <c r="N1771" s="7" t="s">
        <v>58</v>
      </c>
      <c r="O1771" s="10" t="n">
        <f aca="false">'Exec Summary'!$E$2-H1771</f>
        <v>158</v>
      </c>
      <c r="P1771" s="10" t="str">
        <f aca="false">IF(I1771="","",I1771-H1771)</f>
        <v/>
      </c>
      <c r="Q1771" s="10" t="n">
        <f aca="false">VLOOKUP(G1771,$AA$2:$AB$5,2,FALSE())</f>
        <v>15</v>
      </c>
      <c r="R1771" s="7" t="n">
        <f aca="false">IF(OR(F1771="Open",F1771="Reopened"),1,0)</f>
        <v>1</v>
      </c>
      <c r="S1771" s="7" t="n">
        <f aca="false">IF(AND(H1771&gt;='Exec Summary'!$E$1,H1771&lt;='Exec Summary'!$E$2),1,0)</f>
        <v>0</v>
      </c>
      <c r="T1771" s="7" t="n">
        <f aca="false">IF(AND(F1771="Closed",I1771&lt;&gt;"",I1771&gt;='Exec Summary'!$E$1,I1771&lt;='Exec Summary'!$E$2),1,0)</f>
        <v>0</v>
      </c>
      <c r="U1771" s="7" t="n">
        <f aca="false">IF(F1771="Reopened",1,0)</f>
        <v>0</v>
      </c>
      <c r="V1771" s="7" t="n">
        <f aca="false">IF(AND(R1771=1,O1771&gt;Q1771),1,0)</f>
        <v>1</v>
      </c>
      <c r="W1771" s="7" t="n">
        <f aca="false">IF(AND(T1771=1,P1771&lt;&gt;"",P1771&lt;=Q1771),1,0)</f>
        <v>0</v>
      </c>
    </row>
    <row r="1772" customFormat="false" ht="15" hidden="false" customHeight="false" outlineLevel="0" collapsed="false">
      <c r="A1772" s="7" t="s">
        <v>2134</v>
      </c>
      <c r="B1772" s="7" t="s">
        <v>135</v>
      </c>
      <c r="C1772" s="7" t="s">
        <v>306</v>
      </c>
      <c r="D1772" s="7" t="s">
        <v>173</v>
      </c>
      <c r="E1772" s="7" t="s">
        <v>174</v>
      </c>
      <c r="F1772" s="7" t="s">
        <v>50</v>
      </c>
      <c r="G1772" s="7" t="s">
        <v>19</v>
      </c>
      <c r="H1772" s="9" t="n">
        <v>45977</v>
      </c>
      <c r="I1772" s="9" t="n">
        <v>45987</v>
      </c>
      <c r="J1772" s="7" t="n">
        <v>9.8</v>
      </c>
      <c r="K1772" s="7" t="s">
        <v>1971</v>
      </c>
      <c r="L1772" s="7" t="s">
        <v>19</v>
      </c>
      <c r="M1772" s="7" t="s">
        <v>2142</v>
      </c>
      <c r="N1772" s="7" t="s">
        <v>58</v>
      </c>
      <c r="O1772" s="10" t="n">
        <f aca="false">'Exec Summary'!$E$2-H1772</f>
        <v>257</v>
      </c>
      <c r="P1772" s="10" t="n">
        <f aca="false">IF(I1772="","",I1772-H1772)</f>
        <v>10</v>
      </c>
      <c r="Q1772" s="10" t="n">
        <f aca="false">VLOOKUP(G1772,$AA$2:$AB$5,2,FALSE())</f>
        <v>15</v>
      </c>
      <c r="R1772" s="7" t="n">
        <f aca="false">IF(OR(F1772="Open",F1772="Reopened"),1,0)</f>
        <v>0</v>
      </c>
      <c r="S1772" s="7" t="n">
        <f aca="false">IF(AND(H1772&gt;='Exec Summary'!$E$1,H1772&lt;='Exec Summary'!$E$2),1,0)</f>
        <v>0</v>
      </c>
      <c r="T1772" s="7" t="n">
        <f aca="false">IF(AND(F1772="Closed",I1772&lt;&gt;"",I1772&gt;='Exec Summary'!$E$1,I1772&lt;='Exec Summary'!$E$2),1,0)</f>
        <v>0</v>
      </c>
      <c r="U1772" s="7" t="n">
        <f aca="false">IF(F1772="Reopened",1,0)</f>
        <v>0</v>
      </c>
      <c r="V1772" s="7" t="n">
        <f aca="false">IF(AND(R1772=1,O1772&gt;Q1772),1,0)</f>
        <v>0</v>
      </c>
      <c r="W1772" s="7" t="n">
        <f aca="false">IF(AND(T1772=1,P1772&lt;&gt;"",P1772&lt;=Q1772),1,0)</f>
        <v>0</v>
      </c>
    </row>
    <row r="1773" customFormat="false" ht="15" hidden="false" customHeight="false" outlineLevel="0" collapsed="false">
      <c r="A1773" s="7" t="s">
        <v>2134</v>
      </c>
      <c r="B1773" s="7" t="s">
        <v>135</v>
      </c>
      <c r="C1773" s="7" t="s">
        <v>306</v>
      </c>
      <c r="D1773" s="7" t="s">
        <v>91</v>
      </c>
      <c r="E1773" s="7" t="s">
        <v>92</v>
      </c>
      <c r="F1773" s="7" t="s">
        <v>50</v>
      </c>
      <c r="G1773" s="7" t="s">
        <v>20</v>
      </c>
      <c r="H1773" s="9" t="n">
        <v>46187</v>
      </c>
      <c r="I1773" s="9" t="n">
        <v>46198</v>
      </c>
      <c r="J1773" s="7" t="n">
        <v>8.1</v>
      </c>
      <c r="K1773" s="7" t="s">
        <v>1971</v>
      </c>
      <c r="L1773" s="7" t="s">
        <v>19</v>
      </c>
      <c r="M1773" s="7" t="s">
        <v>2143</v>
      </c>
      <c r="N1773" s="7" t="s">
        <v>53</v>
      </c>
      <c r="O1773" s="10" t="n">
        <f aca="false">'Exec Summary'!$E$2-H1773</f>
        <v>47</v>
      </c>
      <c r="P1773" s="10" t="n">
        <f aca="false">IF(I1773="","",I1773-H1773)</f>
        <v>11</v>
      </c>
      <c r="Q1773" s="10" t="n">
        <f aca="false">VLOOKUP(G1773,$AA$2:$AB$5,2,FALSE())</f>
        <v>30</v>
      </c>
      <c r="R1773" s="7" t="n">
        <f aca="false">IF(OR(F1773="Open",F1773="Reopened"),1,0)</f>
        <v>0</v>
      </c>
      <c r="S1773" s="7" t="n">
        <f aca="false">IF(AND(H1773&gt;='Exec Summary'!$E$1,H1773&lt;='Exec Summary'!$E$2),1,0)</f>
        <v>0</v>
      </c>
      <c r="T1773" s="7" t="n">
        <f aca="false">IF(AND(F1773="Closed",I1773&lt;&gt;"",I1773&gt;='Exec Summary'!$E$1,I1773&lt;='Exec Summary'!$E$2),1,0)</f>
        <v>0</v>
      </c>
      <c r="U1773" s="7" t="n">
        <f aca="false">IF(F1773="Reopened",1,0)</f>
        <v>0</v>
      </c>
      <c r="V1773" s="7" t="n">
        <f aca="false">IF(AND(R1773=1,O1773&gt;Q1773),1,0)</f>
        <v>0</v>
      </c>
      <c r="W1773" s="7" t="n">
        <f aca="false">IF(AND(T1773=1,P1773&lt;&gt;"",P1773&lt;=Q1773),1,0)</f>
        <v>0</v>
      </c>
    </row>
    <row r="1774" customFormat="false" ht="15" hidden="false" customHeight="false" outlineLevel="0" collapsed="false">
      <c r="A1774" s="7" t="s">
        <v>2144</v>
      </c>
      <c r="B1774" s="7" t="s">
        <v>46</v>
      </c>
      <c r="C1774" s="7" t="s">
        <v>177</v>
      </c>
      <c r="D1774" s="7" t="s">
        <v>152</v>
      </c>
      <c r="E1774" s="7" t="s">
        <v>153</v>
      </c>
      <c r="F1774" s="7" t="s">
        <v>50</v>
      </c>
      <c r="G1774" s="7" t="s">
        <v>20</v>
      </c>
      <c r="H1774" s="9" t="n">
        <v>45948</v>
      </c>
      <c r="I1774" s="9" t="n">
        <v>45980</v>
      </c>
      <c r="J1774" s="7" t="n">
        <v>7.5</v>
      </c>
      <c r="K1774" s="7" t="s">
        <v>1971</v>
      </c>
      <c r="L1774" s="7" t="s">
        <v>19</v>
      </c>
      <c r="M1774" s="7" t="s">
        <v>2145</v>
      </c>
      <c r="N1774" s="7" t="s">
        <v>53</v>
      </c>
      <c r="O1774" s="10" t="n">
        <f aca="false">'Exec Summary'!$E$2-H1774</f>
        <v>286</v>
      </c>
      <c r="P1774" s="10" t="n">
        <f aca="false">IF(I1774="","",I1774-H1774)</f>
        <v>32</v>
      </c>
      <c r="Q1774" s="10" t="n">
        <f aca="false">VLOOKUP(G1774,$AA$2:$AB$5,2,FALSE())</f>
        <v>30</v>
      </c>
      <c r="R1774" s="7" t="n">
        <f aca="false">IF(OR(F1774="Open",F1774="Reopened"),1,0)</f>
        <v>0</v>
      </c>
      <c r="S1774" s="7" t="n">
        <f aca="false">IF(AND(H1774&gt;='Exec Summary'!$E$1,H1774&lt;='Exec Summary'!$E$2),1,0)</f>
        <v>0</v>
      </c>
      <c r="T1774" s="7" t="n">
        <f aca="false">IF(AND(F1774="Closed",I1774&lt;&gt;"",I1774&gt;='Exec Summary'!$E$1,I1774&lt;='Exec Summary'!$E$2),1,0)</f>
        <v>0</v>
      </c>
      <c r="U1774" s="7" t="n">
        <f aca="false">IF(F1774="Reopened",1,0)</f>
        <v>0</v>
      </c>
      <c r="V1774" s="7" t="n">
        <f aca="false">IF(AND(R1774=1,O1774&gt;Q1774),1,0)</f>
        <v>0</v>
      </c>
      <c r="W1774" s="7" t="n">
        <f aca="false">IF(AND(T1774=1,P1774&lt;&gt;"",P1774&lt;=Q1774),1,0)</f>
        <v>0</v>
      </c>
    </row>
    <row r="1775" customFormat="false" ht="15" hidden="false" customHeight="false" outlineLevel="0" collapsed="false">
      <c r="A1775" s="7" t="s">
        <v>2144</v>
      </c>
      <c r="B1775" s="7" t="s">
        <v>46</v>
      </c>
      <c r="C1775" s="7" t="s">
        <v>177</v>
      </c>
      <c r="D1775" s="7" t="s">
        <v>166</v>
      </c>
      <c r="E1775" s="7" t="s">
        <v>167</v>
      </c>
      <c r="F1775" s="7" t="s">
        <v>56</v>
      </c>
      <c r="G1775" s="7" t="s">
        <v>19</v>
      </c>
      <c r="H1775" s="9" t="n">
        <v>46152</v>
      </c>
      <c r="I1775" s="9"/>
      <c r="J1775" s="7" t="n">
        <v>9.8</v>
      </c>
      <c r="K1775" s="7" t="s">
        <v>1971</v>
      </c>
      <c r="L1775" s="7" t="s">
        <v>19</v>
      </c>
      <c r="M1775" s="7" t="s">
        <v>2146</v>
      </c>
      <c r="N1775" s="7" t="s">
        <v>58</v>
      </c>
      <c r="O1775" s="10" t="n">
        <f aca="false">'Exec Summary'!$E$2-H1775</f>
        <v>82</v>
      </c>
      <c r="P1775" s="10" t="str">
        <f aca="false">IF(I1775="","",I1775-H1775)</f>
        <v/>
      </c>
      <c r="Q1775" s="10" t="n">
        <f aca="false">VLOOKUP(G1775,$AA$2:$AB$5,2,FALSE())</f>
        <v>15</v>
      </c>
      <c r="R1775" s="7" t="n">
        <f aca="false">IF(OR(F1775="Open",F1775="Reopened"),1,0)</f>
        <v>1</v>
      </c>
      <c r="S1775" s="7" t="n">
        <f aca="false">IF(AND(H1775&gt;='Exec Summary'!$E$1,H1775&lt;='Exec Summary'!$E$2),1,0)</f>
        <v>0</v>
      </c>
      <c r="T1775" s="7" t="n">
        <f aca="false">IF(AND(F1775="Closed",I1775&lt;&gt;"",I1775&gt;='Exec Summary'!$E$1,I1775&lt;='Exec Summary'!$E$2),1,0)</f>
        <v>0</v>
      </c>
      <c r="U1775" s="7" t="n">
        <f aca="false">IF(F1775="Reopened",1,0)</f>
        <v>0</v>
      </c>
      <c r="V1775" s="7" t="n">
        <f aca="false">IF(AND(R1775=1,O1775&gt;Q1775),1,0)</f>
        <v>1</v>
      </c>
      <c r="W1775" s="7" t="n">
        <f aca="false">IF(AND(T1775=1,P1775&lt;&gt;"",P1775&lt;=Q1775),1,0)</f>
        <v>0</v>
      </c>
    </row>
    <row r="1776" customFormat="false" ht="15" hidden="false" customHeight="false" outlineLevel="0" collapsed="false">
      <c r="A1776" s="7" t="s">
        <v>2144</v>
      </c>
      <c r="B1776" s="7" t="s">
        <v>46</v>
      </c>
      <c r="C1776" s="7" t="s">
        <v>177</v>
      </c>
      <c r="D1776" s="7" t="s">
        <v>101</v>
      </c>
      <c r="E1776" s="7" t="s">
        <v>102</v>
      </c>
      <c r="F1776" s="7" t="s">
        <v>50</v>
      </c>
      <c r="G1776" s="7" t="s">
        <v>19</v>
      </c>
      <c r="H1776" s="9" t="n">
        <v>45989</v>
      </c>
      <c r="I1776" s="9" t="n">
        <v>46015</v>
      </c>
      <c r="J1776" s="7" t="n">
        <v>10</v>
      </c>
      <c r="K1776" s="7" t="s">
        <v>1971</v>
      </c>
      <c r="L1776" s="7" t="s">
        <v>19</v>
      </c>
      <c r="M1776" s="7" t="s">
        <v>2147</v>
      </c>
      <c r="N1776" s="7" t="s">
        <v>58</v>
      </c>
      <c r="O1776" s="10" t="n">
        <f aca="false">'Exec Summary'!$E$2-H1776</f>
        <v>245</v>
      </c>
      <c r="P1776" s="10" t="n">
        <f aca="false">IF(I1776="","",I1776-H1776)</f>
        <v>26</v>
      </c>
      <c r="Q1776" s="10" t="n">
        <f aca="false">VLOOKUP(G1776,$AA$2:$AB$5,2,FALSE())</f>
        <v>15</v>
      </c>
      <c r="R1776" s="7" t="n">
        <f aca="false">IF(OR(F1776="Open",F1776="Reopened"),1,0)</f>
        <v>0</v>
      </c>
      <c r="S1776" s="7" t="n">
        <f aca="false">IF(AND(H1776&gt;='Exec Summary'!$E$1,H1776&lt;='Exec Summary'!$E$2),1,0)</f>
        <v>0</v>
      </c>
      <c r="T1776" s="7" t="n">
        <f aca="false">IF(AND(F1776="Closed",I1776&lt;&gt;"",I1776&gt;='Exec Summary'!$E$1,I1776&lt;='Exec Summary'!$E$2),1,0)</f>
        <v>0</v>
      </c>
      <c r="U1776" s="7" t="n">
        <f aca="false">IF(F1776="Reopened",1,0)</f>
        <v>0</v>
      </c>
      <c r="V1776" s="7" t="n">
        <f aca="false">IF(AND(R1776=1,O1776&gt;Q1776),1,0)</f>
        <v>0</v>
      </c>
      <c r="W1776" s="7" t="n">
        <f aca="false">IF(AND(T1776=1,P1776&lt;&gt;"",P1776&lt;=Q1776),1,0)</f>
        <v>0</v>
      </c>
    </row>
    <row r="1777" customFormat="false" ht="15" hidden="false" customHeight="false" outlineLevel="0" collapsed="false">
      <c r="A1777" s="7" t="s">
        <v>2144</v>
      </c>
      <c r="B1777" s="7" t="s">
        <v>46</v>
      </c>
      <c r="C1777" s="7" t="s">
        <v>177</v>
      </c>
      <c r="D1777" s="7" t="s">
        <v>65</v>
      </c>
      <c r="E1777" s="7" t="s">
        <v>66</v>
      </c>
      <c r="F1777" s="7" t="s">
        <v>50</v>
      </c>
      <c r="G1777" s="7" t="s">
        <v>19</v>
      </c>
      <c r="H1777" s="9" t="n">
        <v>46171</v>
      </c>
      <c r="I1777" s="9" t="n">
        <v>46177</v>
      </c>
      <c r="J1777" s="7" t="n">
        <v>9.8</v>
      </c>
      <c r="K1777" s="7" t="s">
        <v>1971</v>
      </c>
      <c r="L1777" s="7" t="s">
        <v>19</v>
      </c>
      <c r="M1777" s="7" t="s">
        <v>2148</v>
      </c>
      <c r="N1777" s="7" t="s">
        <v>58</v>
      </c>
      <c r="O1777" s="10" t="n">
        <f aca="false">'Exec Summary'!$E$2-H1777</f>
        <v>63</v>
      </c>
      <c r="P1777" s="10" t="n">
        <f aca="false">IF(I1777="","",I1777-H1777)</f>
        <v>6</v>
      </c>
      <c r="Q1777" s="10" t="n">
        <f aca="false">VLOOKUP(G1777,$AA$2:$AB$5,2,FALSE())</f>
        <v>15</v>
      </c>
      <c r="R1777" s="7" t="n">
        <f aca="false">IF(OR(F1777="Open",F1777="Reopened"),1,0)</f>
        <v>0</v>
      </c>
      <c r="S1777" s="7" t="n">
        <f aca="false">IF(AND(H1777&gt;='Exec Summary'!$E$1,H1777&lt;='Exec Summary'!$E$2),1,0)</f>
        <v>0</v>
      </c>
      <c r="T1777" s="7" t="n">
        <f aca="false">IF(AND(F1777="Closed",I1777&lt;&gt;"",I1777&gt;='Exec Summary'!$E$1,I1777&lt;='Exec Summary'!$E$2),1,0)</f>
        <v>0</v>
      </c>
      <c r="U1777" s="7" t="n">
        <f aca="false">IF(F1777="Reopened",1,0)</f>
        <v>0</v>
      </c>
      <c r="V1777" s="7" t="n">
        <f aca="false">IF(AND(R1777=1,O1777&gt;Q1777),1,0)</f>
        <v>0</v>
      </c>
      <c r="W1777" s="7" t="n">
        <f aca="false">IF(AND(T1777=1,P1777&lt;&gt;"",P1777&lt;=Q1777),1,0)</f>
        <v>0</v>
      </c>
    </row>
    <row r="1778" customFormat="false" ht="15" hidden="false" customHeight="false" outlineLevel="0" collapsed="false">
      <c r="A1778" s="7" t="s">
        <v>2144</v>
      </c>
      <c r="B1778" s="7" t="s">
        <v>46</v>
      </c>
      <c r="C1778" s="7" t="s">
        <v>177</v>
      </c>
      <c r="D1778" s="7" t="s">
        <v>74</v>
      </c>
      <c r="E1778" s="7" t="s">
        <v>75</v>
      </c>
      <c r="F1778" s="7" t="s">
        <v>50</v>
      </c>
      <c r="G1778" s="7" t="s">
        <v>21</v>
      </c>
      <c r="H1778" s="9" t="n">
        <v>46067</v>
      </c>
      <c r="I1778" s="9" t="n">
        <v>46085</v>
      </c>
      <c r="J1778" s="7" t="n">
        <v>6.5</v>
      </c>
      <c r="K1778" s="7" t="s">
        <v>1971</v>
      </c>
      <c r="L1778" s="7" t="s">
        <v>19</v>
      </c>
      <c r="M1778" s="7" t="s">
        <v>2149</v>
      </c>
      <c r="N1778" s="7" t="s">
        <v>77</v>
      </c>
      <c r="O1778" s="10" t="n">
        <f aca="false">'Exec Summary'!$E$2-H1778</f>
        <v>167</v>
      </c>
      <c r="P1778" s="10" t="n">
        <f aca="false">IF(I1778="","",I1778-H1778)</f>
        <v>18</v>
      </c>
      <c r="Q1778" s="10" t="n">
        <f aca="false">VLOOKUP(G1778,$AA$2:$AB$5,2,FALSE())</f>
        <v>90</v>
      </c>
      <c r="R1778" s="7" t="n">
        <f aca="false">IF(OR(F1778="Open",F1778="Reopened"),1,0)</f>
        <v>0</v>
      </c>
      <c r="S1778" s="7" t="n">
        <f aca="false">IF(AND(H1778&gt;='Exec Summary'!$E$1,H1778&lt;='Exec Summary'!$E$2),1,0)</f>
        <v>0</v>
      </c>
      <c r="T1778" s="7" t="n">
        <f aca="false">IF(AND(F1778="Closed",I1778&lt;&gt;"",I1778&gt;='Exec Summary'!$E$1,I1778&lt;='Exec Summary'!$E$2),1,0)</f>
        <v>0</v>
      </c>
      <c r="U1778" s="7" t="n">
        <f aca="false">IF(F1778="Reopened",1,0)</f>
        <v>0</v>
      </c>
      <c r="V1778" s="7" t="n">
        <f aca="false">IF(AND(R1778=1,O1778&gt;Q1778),1,0)</f>
        <v>0</v>
      </c>
      <c r="W1778" s="7" t="n">
        <f aca="false">IF(AND(T1778=1,P1778&lt;&gt;"",P1778&lt;=Q1778),1,0)</f>
        <v>0</v>
      </c>
    </row>
    <row r="1779" customFormat="false" ht="15" hidden="false" customHeight="false" outlineLevel="0" collapsed="false">
      <c r="A1779" s="7" t="s">
        <v>2144</v>
      </c>
      <c r="B1779" s="7" t="s">
        <v>46</v>
      </c>
      <c r="C1779" s="7" t="s">
        <v>177</v>
      </c>
      <c r="D1779" s="7" t="s">
        <v>163</v>
      </c>
      <c r="E1779" s="7" t="s">
        <v>164</v>
      </c>
      <c r="F1779" s="7" t="s">
        <v>50</v>
      </c>
      <c r="G1779" s="7" t="s">
        <v>19</v>
      </c>
      <c r="H1779" s="9" t="n">
        <v>45941</v>
      </c>
      <c r="I1779" s="9" t="n">
        <v>45959</v>
      </c>
      <c r="J1779" s="7" t="n">
        <v>9.1</v>
      </c>
      <c r="K1779" s="7" t="s">
        <v>1971</v>
      </c>
      <c r="L1779" s="7" t="s">
        <v>19</v>
      </c>
      <c r="M1779" s="7" t="s">
        <v>2150</v>
      </c>
      <c r="N1779" s="7" t="s">
        <v>58</v>
      </c>
      <c r="O1779" s="10" t="n">
        <f aca="false">'Exec Summary'!$E$2-H1779</f>
        <v>293</v>
      </c>
      <c r="P1779" s="10" t="n">
        <f aca="false">IF(I1779="","",I1779-H1779)</f>
        <v>18</v>
      </c>
      <c r="Q1779" s="10" t="n">
        <f aca="false">VLOOKUP(G1779,$AA$2:$AB$5,2,FALSE())</f>
        <v>15</v>
      </c>
      <c r="R1779" s="7" t="n">
        <f aca="false">IF(OR(F1779="Open",F1779="Reopened"),1,0)</f>
        <v>0</v>
      </c>
      <c r="S1779" s="7" t="n">
        <f aca="false">IF(AND(H1779&gt;='Exec Summary'!$E$1,H1779&lt;='Exec Summary'!$E$2),1,0)</f>
        <v>0</v>
      </c>
      <c r="T1779" s="7" t="n">
        <f aca="false">IF(AND(F1779="Closed",I1779&lt;&gt;"",I1779&gt;='Exec Summary'!$E$1,I1779&lt;='Exec Summary'!$E$2),1,0)</f>
        <v>0</v>
      </c>
      <c r="U1779" s="7" t="n">
        <f aca="false">IF(F1779="Reopened",1,0)</f>
        <v>0</v>
      </c>
      <c r="V1779" s="7" t="n">
        <f aca="false">IF(AND(R1779=1,O1779&gt;Q1779),1,0)</f>
        <v>0</v>
      </c>
      <c r="W1779" s="7" t="n">
        <f aca="false">IF(AND(T1779=1,P1779&lt;&gt;"",P1779&lt;=Q1779),1,0)</f>
        <v>0</v>
      </c>
    </row>
    <row r="1780" customFormat="false" ht="15" hidden="false" customHeight="false" outlineLevel="0" collapsed="false">
      <c r="A1780" s="7" t="s">
        <v>2144</v>
      </c>
      <c r="B1780" s="7" t="s">
        <v>46</v>
      </c>
      <c r="C1780" s="7" t="s">
        <v>177</v>
      </c>
      <c r="D1780" s="7" t="s">
        <v>95</v>
      </c>
      <c r="E1780" s="7" t="s">
        <v>96</v>
      </c>
      <c r="F1780" s="7" t="s">
        <v>56</v>
      </c>
      <c r="G1780" s="7" t="s">
        <v>20</v>
      </c>
      <c r="H1780" s="9" t="n">
        <v>45977</v>
      </c>
      <c r="I1780" s="9"/>
      <c r="J1780" s="7" t="n">
        <v>8.8</v>
      </c>
      <c r="K1780" s="7" t="s">
        <v>1971</v>
      </c>
      <c r="L1780" s="7" t="s">
        <v>19</v>
      </c>
      <c r="M1780" s="7" t="s">
        <v>2151</v>
      </c>
      <c r="N1780" s="7" t="s">
        <v>53</v>
      </c>
      <c r="O1780" s="10" t="n">
        <f aca="false">'Exec Summary'!$E$2-H1780</f>
        <v>257</v>
      </c>
      <c r="P1780" s="10" t="str">
        <f aca="false">IF(I1780="","",I1780-H1780)</f>
        <v/>
      </c>
      <c r="Q1780" s="10" t="n">
        <f aca="false">VLOOKUP(G1780,$AA$2:$AB$5,2,FALSE())</f>
        <v>30</v>
      </c>
      <c r="R1780" s="7" t="n">
        <f aca="false">IF(OR(F1780="Open",F1780="Reopened"),1,0)</f>
        <v>1</v>
      </c>
      <c r="S1780" s="7" t="n">
        <f aca="false">IF(AND(H1780&gt;='Exec Summary'!$E$1,H1780&lt;='Exec Summary'!$E$2),1,0)</f>
        <v>0</v>
      </c>
      <c r="T1780" s="7" t="n">
        <f aca="false">IF(AND(F1780="Closed",I1780&lt;&gt;"",I1780&gt;='Exec Summary'!$E$1,I1780&lt;='Exec Summary'!$E$2),1,0)</f>
        <v>0</v>
      </c>
      <c r="U1780" s="7" t="n">
        <f aca="false">IF(F1780="Reopened",1,0)</f>
        <v>0</v>
      </c>
      <c r="V1780" s="7" t="n">
        <f aca="false">IF(AND(R1780=1,O1780&gt;Q1780),1,0)</f>
        <v>1</v>
      </c>
      <c r="W1780" s="7" t="n">
        <f aca="false">IF(AND(T1780=1,P1780&lt;&gt;"",P1780&lt;=Q1780),1,0)</f>
        <v>0</v>
      </c>
    </row>
    <row r="1781" customFormat="false" ht="15" hidden="false" customHeight="false" outlineLevel="0" collapsed="false">
      <c r="A1781" s="7" t="s">
        <v>2144</v>
      </c>
      <c r="B1781" s="7" t="s">
        <v>46</v>
      </c>
      <c r="C1781" s="7" t="s">
        <v>177</v>
      </c>
      <c r="D1781" s="7" t="s">
        <v>71</v>
      </c>
      <c r="E1781" s="7" t="s">
        <v>72</v>
      </c>
      <c r="F1781" s="7" t="s">
        <v>50</v>
      </c>
      <c r="G1781" s="7" t="s">
        <v>19</v>
      </c>
      <c r="H1781" s="9" t="n">
        <v>46106</v>
      </c>
      <c r="I1781" s="9" t="n">
        <v>46122</v>
      </c>
      <c r="J1781" s="7" t="n">
        <v>9.8</v>
      </c>
      <c r="K1781" s="7" t="s">
        <v>1971</v>
      </c>
      <c r="L1781" s="7" t="s">
        <v>19</v>
      </c>
      <c r="M1781" s="7" t="s">
        <v>2152</v>
      </c>
      <c r="N1781" s="7" t="s">
        <v>58</v>
      </c>
      <c r="O1781" s="10" t="n">
        <f aca="false">'Exec Summary'!$E$2-H1781</f>
        <v>128</v>
      </c>
      <c r="P1781" s="10" t="n">
        <f aca="false">IF(I1781="","",I1781-H1781)</f>
        <v>16</v>
      </c>
      <c r="Q1781" s="10" t="n">
        <f aca="false">VLOOKUP(G1781,$AA$2:$AB$5,2,FALSE())</f>
        <v>15</v>
      </c>
      <c r="R1781" s="7" t="n">
        <f aca="false">IF(OR(F1781="Open",F1781="Reopened"),1,0)</f>
        <v>0</v>
      </c>
      <c r="S1781" s="7" t="n">
        <f aca="false">IF(AND(H1781&gt;='Exec Summary'!$E$1,H1781&lt;='Exec Summary'!$E$2),1,0)</f>
        <v>0</v>
      </c>
      <c r="T1781" s="7" t="n">
        <f aca="false">IF(AND(F1781="Closed",I1781&lt;&gt;"",I1781&gt;='Exec Summary'!$E$1,I1781&lt;='Exec Summary'!$E$2),1,0)</f>
        <v>0</v>
      </c>
      <c r="U1781" s="7" t="n">
        <f aca="false">IF(F1781="Reopened",1,0)</f>
        <v>0</v>
      </c>
      <c r="V1781" s="7" t="n">
        <f aca="false">IF(AND(R1781=1,O1781&gt;Q1781),1,0)</f>
        <v>0</v>
      </c>
      <c r="W1781" s="7" t="n">
        <f aca="false">IF(AND(T1781=1,P1781&lt;&gt;"",P1781&lt;=Q1781),1,0)</f>
        <v>0</v>
      </c>
    </row>
    <row r="1782" customFormat="false" ht="15" hidden="false" customHeight="false" outlineLevel="0" collapsed="false">
      <c r="A1782" s="7" t="s">
        <v>2144</v>
      </c>
      <c r="B1782" s="7" t="s">
        <v>46</v>
      </c>
      <c r="C1782" s="7" t="s">
        <v>177</v>
      </c>
      <c r="D1782" s="7" t="s">
        <v>98</v>
      </c>
      <c r="E1782" s="7" t="s">
        <v>99</v>
      </c>
      <c r="F1782" s="7" t="s">
        <v>50</v>
      </c>
      <c r="G1782" s="7" t="s">
        <v>19</v>
      </c>
      <c r="H1782" s="9" t="n">
        <v>45940</v>
      </c>
      <c r="I1782" s="9" t="n">
        <v>45952</v>
      </c>
      <c r="J1782" s="7" t="n">
        <v>10</v>
      </c>
      <c r="K1782" s="7" t="s">
        <v>1971</v>
      </c>
      <c r="L1782" s="7" t="s">
        <v>19</v>
      </c>
      <c r="M1782" s="7" t="s">
        <v>2153</v>
      </c>
      <c r="N1782" s="7" t="s">
        <v>58</v>
      </c>
      <c r="O1782" s="10" t="n">
        <f aca="false">'Exec Summary'!$E$2-H1782</f>
        <v>294</v>
      </c>
      <c r="P1782" s="10" t="n">
        <f aca="false">IF(I1782="","",I1782-H1782)</f>
        <v>12</v>
      </c>
      <c r="Q1782" s="10" t="n">
        <f aca="false">VLOOKUP(G1782,$AA$2:$AB$5,2,FALSE())</f>
        <v>15</v>
      </c>
      <c r="R1782" s="7" t="n">
        <f aca="false">IF(OR(F1782="Open",F1782="Reopened"),1,0)</f>
        <v>0</v>
      </c>
      <c r="S1782" s="7" t="n">
        <f aca="false">IF(AND(H1782&gt;='Exec Summary'!$E$1,H1782&lt;='Exec Summary'!$E$2),1,0)</f>
        <v>0</v>
      </c>
      <c r="T1782" s="7" t="n">
        <f aca="false">IF(AND(F1782="Closed",I1782&lt;&gt;"",I1782&gt;='Exec Summary'!$E$1,I1782&lt;='Exec Summary'!$E$2),1,0)</f>
        <v>0</v>
      </c>
      <c r="U1782" s="7" t="n">
        <f aca="false">IF(F1782="Reopened",1,0)</f>
        <v>0</v>
      </c>
      <c r="V1782" s="7" t="n">
        <f aca="false">IF(AND(R1782=1,O1782&gt;Q1782),1,0)</f>
        <v>0</v>
      </c>
      <c r="W1782" s="7" t="n">
        <f aca="false">IF(AND(T1782=1,P1782&lt;&gt;"",P1782&lt;=Q1782),1,0)</f>
        <v>0</v>
      </c>
    </row>
    <row r="1783" customFormat="false" ht="15" hidden="false" customHeight="false" outlineLevel="0" collapsed="false">
      <c r="A1783" s="7" t="s">
        <v>2154</v>
      </c>
      <c r="B1783" s="7" t="s">
        <v>135</v>
      </c>
      <c r="C1783" s="7" t="s">
        <v>306</v>
      </c>
      <c r="D1783" s="7" t="s">
        <v>192</v>
      </c>
      <c r="E1783" s="7" t="s">
        <v>193</v>
      </c>
      <c r="F1783" s="7" t="s">
        <v>123</v>
      </c>
      <c r="G1783" s="7" t="s">
        <v>19</v>
      </c>
      <c r="H1783" s="9" t="n">
        <v>45974</v>
      </c>
      <c r="I1783" s="9" t="n">
        <v>45980</v>
      </c>
      <c r="J1783" s="7" t="n">
        <v>9.8</v>
      </c>
      <c r="K1783" s="7" t="s">
        <v>1971</v>
      </c>
      <c r="L1783" s="7" t="s">
        <v>19</v>
      </c>
      <c r="M1783" s="7" t="s">
        <v>2155</v>
      </c>
      <c r="N1783" s="7" t="s">
        <v>58</v>
      </c>
      <c r="O1783" s="10" t="n">
        <f aca="false">'Exec Summary'!$E$2-H1783</f>
        <v>260</v>
      </c>
      <c r="P1783" s="10" t="n">
        <f aca="false">IF(I1783="","",I1783-H1783)</f>
        <v>6</v>
      </c>
      <c r="Q1783" s="10" t="n">
        <f aca="false">VLOOKUP(G1783,$AA$2:$AB$5,2,FALSE())</f>
        <v>15</v>
      </c>
      <c r="R1783" s="7" t="n">
        <f aca="false">IF(OR(F1783="Open",F1783="Reopened"),1,0)</f>
        <v>1</v>
      </c>
      <c r="S1783" s="7" t="n">
        <f aca="false">IF(AND(H1783&gt;='Exec Summary'!$E$1,H1783&lt;='Exec Summary'!$E$2),1,0)</f>
        <v>0</v>
      </c>
      <c r="T1783" s="7" t="n">
        <f aca="false">IF(AND(F1783="Closed",I1783&lt;&gt;"",I1783&gt;='Exec Summary'!$E$1,I1783&lt;='Exec Summary'!$E$2),1,0)</f>
        <v>0</v>
      </c>
      <c r="U1783" s="7" t="n">
        <f aca="false">IF(F1783="Reopened",1,0)</f>
        <v>1</v>
      </c>
      <c r="V1783" s="7" t="n">
        <f aca="false">IF(AND(R1783=1,O1783&gt;Q1783),1,0)</f>
        <v>1</v>
      </c>
      <c r="W1783" s="7" t="n">
        <f aca="false">IF(AND(T1783=1,P1783&lt;&gt;"",P1783&lt;=Q1783),1,0)</f>
        <v>0</v>
      </c>
    </row>
    <row r="1784" customFormat="false" ht="15" hidden="false" customHeight="false" outlineLevel="0" collapsed="false">
      <c r="A1784" s="7" t="s">
        <v>2154</v>
      </c>
      <c r="B1784" s="7" t="s">
        <v>135</v>
      </c>
      <c r="C1784" s="7" t="s">
        <v>306</v>
      </c>
      <c r="D1784" s="7" t="s">
        <v>166</v>
      </c>
      <c r="E1784" s="7" t="s">
        <v>167</v>
      </c>
      <c r="F1784" s="7" t="s">
        <v>56</v>
      </c>
      <c r="G1784" s="7" t="s">
        <v>19</v>
      </c>
      <c r="H1784" s="9" t="n">
        <v>46066</v>
      </c>
      <c r="I1784" s="9"/>
      <c r="J1784" s="7" t="n">
        <v>9.8</v>
      </c>
      <c r="K1784" s="7" t="s">
        <v>1971</v>
      </c>
      <c r="L1784" s="7" t="s">
        <v>19</v>
      </c>
      <c r="M1784" s="7" t="s">
        <v>2156</v>
      </c>
      <c r="N1784" s="7" t="s">
        <v>58</v>
      </c>
      <c r="O1784" s="10" t="n">
        <f aca="false">'Exec Summary'!$E$2-H1784</f>
        <v>168</v>
      </c>
      <c r="P1784" s="10" t="str">
        <f aca="false">IF(I1784="","",I1784-H1784)</f>
        <v/>
      </c>
      <c r="Q1784" s="10" t="n">
        <f aca="false">VLOOKUP(G1784,$AA$2:$AB$5,2,FALSE())</f>
        <v>15</v>
      </c>
      <c r="R1784" s="7" t="n">
        <f aca="false">IF(OR(F1784="Open",F1784="Reopened"),1,0)</f>
        <v>1</v>
      </c>
      <c r="S1784" s="7" t="n">
        <f aca="false">IF(AND(H1784&gt;='Exec Summary'!$E$1,H1784&lt;='Exec Summary'!$E$2),1,0)</f>
        <v>0</v>
      </c>
      <c r="T1784" s="7" t="n">
        <f aca="false">IF(AND(F1784="Closed",I1784&lt;&gt;"",I1784&gt;='Exec Summary'!$E$1,I1784&lt;='Exec Summary'!$E$2),1,0)</f>
        <v>0</v>
      </c>
      <c r="U1784" s="7" t="n">
        <f aca="false">IF(F1784="Reopened",1,0)</f>
        <v>0</v>
      </c>
      <c r="V1784" s="7" t="n">
        <f aca="false">IF(AND(R1784=1,O1784&gt;Q1784),1,0)</f>
        <v>1</v>
      </c>
      <c r="W1784" s="7" t="n">
        <f aca="false">IF(AND(T1784=1,P1784&lt;&gt;"",P1784&lt;=Q1784),1,0)</f>
        <v>0</v>
      </c>
    </row>
    <row r="1785" customFormat="false" ht="15" hidden="false" customHeight="false" outlineLevel="0" collapsed="false">
      <c r="A1785" s="7" t="s">
        <v>2154</v>
      </c>
      <c r="B1785" s="7" t="s">
        <v>135</v>
      </c>
      <c r="C1785" s="7" t="s">
        <v>306</v>
      </c>
      <c r="D1785" s="7" t="s">
        <v>139</v>
      </c>
      <c r="E1785" s="7" t="s">
        <v>140</v>
      </c>
      <c r="F1785" s="7" t="s">
        <v>56</v>
      </c>
      <c r="G1785" s="7" t="s">
        <v>19</v>
      </c>
      <c r="H1785" s="9" t="n">
        <v>46066</v>
      </c>
      <c r="I1785" s="9"/>
      <c r="J1785" s="7" t="n">
        <v>9.8</v>
      </c>
      <c r="K1785" s="7" t="s">
        <v>1971</v>
      </c>
      <c r="L1785" s="7" t="s">
        <v>19</v>
      </c>
      <c r="M1785" s="7" t="s">
        <v>2157</v>
      </c>
      <c r="N1785" s="7" t="s">
        <v>58</v>
      </c>
      <c r="O1785" s="10" t="n">
        <f aca="false">'Exec Summary'!$E$2-H1785</f>
        <v>168</v>
      </c>
      <c r="P1785" s="10" t="str">
        <f aca="false">IF(I1785="","",I1785-H1785)</f>
        <v/>
      </c>
      <c r="Q1785" s="10" t="n">
        <f aca="false">VLOOKUP(G1785,$AA$2:$AB$5,2,FALSE())</f>
        <v>15</v>
      </c>
      <c r="R1785" s="7" t="n">
        <f aca="false">IF(OR(F1785="Open",F1785="Reopened"),1,0)</f>
        <v>1</v>
      </c>
      <c r="S1785" s="7" t="n">
        <f aca="false">IF(AND(H1785&gt;='Exec Summary'!$E$1,H1785&lt;='Exec Summary'!$E$2),1,0)</f>
        <v>0</v>
      </c>
      <c r="T1785" s="7" t="n">
        <f aca="false">IF(AND(F1785="Closed",I1785&lt;&gt;"",I1785&gt;='Exec Summary'!$E$1,I1785&lt;='Exec Summary'!$E$2),1,0)</f>
        <v>0</v>
      </c>
      <c r="U1785" s="7" t="n">
        <f aca="false">IF(F1785="Reopened",1,0)</f>
        <v>0</v>
      </c>
      <c r="V1785" s="7" t="n">
        <f aca="false">IF(AND(R1785=1,O1785&gt;Q1785),1,0)</f>
        <v>1</v>
      </c>
      <c r="W1785" s="7" t="n">
        <f aca="false">IF(AND(T1785=1,P1785&lt;&gt;"",P1785&lt;=Q1785),1,0)</f>
        <v>0</v>
      </c>
    </row>
    <row r="1786" customFormat="false" ht="15" hidden="false" customHeight="false" outlineLevel="0" collapsed="false">
      <c r="A1786" s="7" t="s">
        <v>2154</v>
      </c>
      <c r="B1786" s="7" t="s">
        <v>135</v>
      </c>
      <c r="C1786" s="7" t="s">
        <v>306</v>
      </c>
      <c r="D1786" s="7" t="s">
        <v>104</v>
      </c>
      <c r="E1786" s="7" t="s">
        <v>105</v>
      </c>
      <c r="F1786" s="7" t="s">
        <v>56</v>
      </c>
      <c r="G1786" s="7" t="s">
        <v>19</v>
      </c>
      <c r="H1786" s="9" t="n">
        <v>46050</v>
      </c>
      <c r="I1786" s="9"/>
      <c r="J1786" s="7" t="n">
        <v>9.8</v>
      </c>
      <c r="K1786" s="7" t="s">
        <v>1971</v>
      </c>
      <c r="L1786" s="7" t="s">
        <v>19</v>
      </c>
      <c r="M1786" s="7" t="s">
        <v>2158</v>
      </c>
      <c r="N1786" s="7" t="s">
        <v>58</v>
      </c>
      <c r="O1786" s="10" t="n">
        <f aca="false">'Exec Summary'!$E$2-H1786</f>
        <v>184</v>
      </c>
      <c r="P1786" s="10" t="str">
        <f aca="false">IF(I1786="","",I1786-H1786)</f>
        <v/>
      </c>
      <c r="Q1786" s="10" t="n">
        <f aca="false">VLOOKUP(G1786,$AA$2:$AB$5,2,FALSE())</f>
        <v>15</v>
      </c>
      <c r="R1786" s="7" t="n">
        <f aca="false">IF(OR(F1786="Open",F1786="Reopened"),1,0)</f>
        <v>1</v>
      </c>
      <c r="S1786" s="7" t="n">
        <f aca="false">IF(AND(H1786&gt;='Exec Summary'!$E$1,H1786&lt;='Exec Summary'!$E$2),1,0)</f>
        <v>0</v>
      </c>
      <c r="T1786" s="7" t="n">
        <f aca="false">IF(AND(F1786="Closed",I1786&lt;&gt;"",I1786&gt;='Exec Summary'!$E$1,I1786&lt;='Exec Summary'!$E$2),1,0)</f>
        <v>0</v>
      </c>
      <c r="U1786" s="7" t="n">
        <f aca="false">IF(F1786="Reopened",1,0)</f>
        <v>0</v>
      </c>
      <c r="V1786" s="7" t="n">
        <f aca="false">IF(AND(R1786=1,O1786&gt;Q1786),1,0)</f>
        <v>1</v>
      </c>
      <c r="W1786" s="7" t="n">
        <f aca="false">IF(AND(T1786=1,P1786&lt;&gt;"",P1786&lt;=Q1786),1,0)</f>
        <v>0</v>
      </c>
    </row>
    <row r="1787" customFormat="false" ht="15" hidden="false" customHeight="false" outlineLevel="0" collapsed="false">
      <c r="A1787" s="7" t="s">
        <v>2154</v>
      </c>
      <c r="B1787" s="7" t="s">
        <v>135</v>
      </c>
      <c r="C1787" s="7" t="s">
        <v>306</v>
      </c>
      <c r="D1787" s="7" t="s">
        <v>91</v>
      </c>
      <c r="E1787" s="7" t="s">
        <v>92</v>
      </c>
      <c r="F1787" s="7" t="s">
        <v>50</v>
      </c>
      <c r="G1787" s="7" t="s">
        <v>20</v>
      </c>
      <c r="H1787" s="9" t="n">
        <v>45959</v>
      </c>
      <c r="I1787" s="9" t="n">
        <v>45974</v>
      </c>
      <c r="J1787" s="7" t="n">
        <v>8.1</v>
      </c>
      <c r="K1787" s="7" t="s">
        <v>1971</v>
      </c>
      <c r="L1787" s="7" t="s">
        <v>19</v>
      </c>
      <c r="M1787" s="7" t="s">
        <v>2159</v>
      </c>
      <c r="N1787" s="7" t="s">
        <v>53</v>
      </c>
      <c r="O1787" s="10" t="n">
        <f aca="false">'Exec Summary'!$E$2-H1787</f>
        <v>275</v>
      </c>
      <c r="P1787" s="10" t="n">
        <f aca="false">IF(I1787="","",I1787-H1787)</f>
        <v>15</v>
      </c>
      <c r="Q1787" s="10" t="n">
        <f aca="false">VLOOKUP(G1787,$AA$2:$AB$5,2,FALSE())</f>
        <v>30</v>
      </c>
      <c r="R1787" s="7" t="n">
        <f aca="false">IF(OR(F1787="Open",F1787="Reopened"),1,0)</f>
        <v>0</v>
      </c>
      <c r="S1787" s="7" t="n">
        <f aca="false">IF(AND(H1787&gt;='Exec Summary'!$E$1,H1787&lt;='Exec Summary'!$E$2),1,0)</f>
        <v>0</v>
      </c>
      <c r="T1787" s="7" t="n">
        <f aca="false">IF(AND(F1787="Closed",I1787&lt;&gt;"",I1787&gt;='Exec Summary'!$E$1,I1787&lt;='Exec Summary'!$E$2),1,0)</f>
        <v>0</v>
      </c>
      <c r="U1787" s="7" t="n">
        <f aca="false">IF(F1787="Reopened",1,0)</f>
        <v>0</v>
      </c>
      <c r="V1787" s="7" t="n">
        <f aca="false">IF(AND(R1787=1,O1787&gt;Q1787),1,0)</f>
        <v>0</v>
      </c>
      <c r="W1787" s="7" t="n">
        <f aca="false">IF(AND(T1787=1,P1787&lt;&gt;"",P1787&lt;=Q1787),1,0)</f>
        <v>0</v>
      </c>
    </row>
    <row r="1788" customFormat="false" ht="15" hidden="false" customHeight="false" outlineLevel="0" collapsed="false">
      <c r="A1788" s="7" t="s">
        <v>2154</v>
      </c>
      <c r="B1788" s="7" t="s">
        <v>135</v>
      </c>
      <c r="C1788" s="7" t="s">
        <v>306</v>
      </c>
      <c r="D1788" s="7" t="s">
        <v>98</v>
      </c>
      <c r="E1788" s="7" t="s">
        <v>99</v>
      </c>
      <c r="F1788" s="7" t="s">
        <v>56</v>
      </c>
      <c r="G1788" s="7" t="s">
        <v>19</v>
      </c>
      <c r="H1788" s="9" t="n">
        <v>46193</v>
      </c>
      <c r="I1788" s="9"/>
      <c r="J1788" s="7" t="n">
        <v>10</v>
      </c>
      <c r="K1788" s="7" t="s">
        <v>1971</v>
      </c>
      <c r="L1788" s="7" t="s">
        <v>19</v>
      </c>
      <c r="M1788" s="7" t="s">
        <v>2160</v>
      </c>
      <c r="N1788" s="7" t="s">
        <v>58</v>
      </c>
      <c r="O1788" s="10" t="n">
        <f aca="false">'Exec Summary'!$E$2-H1788</f>
        <v>41</v>
      </c>
      <c r="P1788" s="10" t="str">
        <f aca="false">IF(I1788="","",I1788-H1788)</f>
        <v/>
      </c>
      <c r="Q1788" s="10" t="n">
        <f aca="false">VLOOKUP(G1788,$AA$2:$AB$5,2,FALSE())</f>
        <v>15</v>
      </c>
      <c r="R1788" s="7" t="n">
        <f aca="false">IF(OR(F1788="Open",F1788="Reopened"),1,0)</f>
        <v>1</v>
      </c>
      <c r="S1788" s="7" t="n">
        <f aca="false">IF(AND(H1788&gt;='Exec Summary'!$E$1,H1788&lt;='Exec Summary'!$E$2),1,0)</f>
        <v>0</v>
      </c>
      <c r="T1788" s="7" t="n">
        <f aca="false">IF(AND(F1788="Closed",I1788&lt;&gt;"",I1788&gt;='Exec Summary'!$E$1,I1788&lt;='Exec Summary'!$E$2),1,0)</f>
        <v>0</v>
      </c>
      <c r="U1788" s="7" t="n">
        <f aca="false">IF(F1788="Reopened",1,0)</f>
        <v>0</v>
      </c>
      <c r="V1788" s="7" t="n">
        <f aca="false">IF(AND(R1788=1,O1788&gt;Q1788),1,0)</f>
        <v>1</v>
      </c>
      <c r="W1788" s="7" t="n">
        <f aca="false">IF(AND(T1788=1,P1788&lt;&gt;"",P1788&lt;=Q1788),1,0)</f>
        <v>0</v>
      </c>
    </row>
    <row r="1789" customFormat="false" ht="15" hidden="false" customHeight="false" outlineLevel="0" collapsed="false">
      <c r="A1789" s="7" t="s">
        <v>2154</v>
      </c>
      <c r="B1789" s="7" t="s">
        <v>135</v>
      </c>
      <c r="C1789" s="7" t="s">
        <v>306</v>
      </c>
      <c r="D1789" s="7" t="s">
        <v>62</v>
      </c>
      <c r="E1789" s="7" t="s">
        <v>63</v>
      </c>
      <c r="F1789" s="7" t="s">
        <v>50</v>
      </c>
      <c r="G1789" s="7" t="s">
        <v>20</v>
      </c>
      <c r="H1789" s="9" t="n">
        <v>45955</v>
      </c>
      <c r="I1789" s="9" t="n">
        <v>45982</v>
      </c>
      <c r="J1789" s="7" t="n">
        <v>8.1</v>
      </c>
      <c r="K1789" s="7" t="s">
        <v>1971</v>
      </c>
      <c r="L1789" s="7" t="s">
        <v>19</v>
      </c>
      <c r="M1789" s="7" t="s">
        <v>2161</v>
      </c>
      <c r="N1789" s="7" t="s">
        <v>53</v>
      </c>
      <c r="O1789" s="10" t="n">
        <f aca="false">'Exec Summary'!$E$2-H1789</f>
        <v>279</v>
      </c>
      <c r="P1789" s="10" t="n">
        <f aca="false">IF(I1789="","",I1789-H1789)</f>
        <v>27</v>
      </c>
      <c r="Q1789" s="10" t="n">
        <f aca="false">VLOOKUP(G1789,$AA$2:$AB$5,2,FALSE())</f>
        <v>30</v>
      </c>
      <c r="R1789" s="7" t="n">
        <f aca="false">IF(OR(F1789="Open",F1789="Reopened"),1,0)</f>
        <v>0</v>
      </c>
      <c r="S1789" s="7" t="n">
        <f aca="false">IF(AND(H1789&gt;='Exec Summary'!$E$1,H1789&lt;='Exec Summary'!$E$2),1,0)</f>
        <v>0</v>
      </c>
      <c r="T1789" s="7" t="n">
        <f aca="false">IF(AND(F1789="Closed",I1789&lt;&gt;"",I1789&gt;='Exec Summary'!$E$1,I1789&lt;='Exec Summary'!$E$2),1,0)</f>
        <v>0</v>
      </c>
      <c r="U1789" s="7" t="n">
        <f aca="false">IF(F1789="Reopened",1,0)</f>
        <v>0</v>
      </c>
      <c r="V1789" s="7" t="n">
        <f aca="false">IF(AND(R1789=1,O1789&gt;Q1789),1,0)</f>
        <v>0</v>
      </c>
      <c r="W1789" s="7" t="n">
        <f aca="false">IF(AND(T1789=1,P1789&lt;&gt;"",P1789&lt;=Q1789),1,0)</f>
        <v>0</v>
      </c>
    </row>
    <row r="1790" customFormat="false" ht="15" hidden="false" customHeight="false" outlineLevel="0" collapsed="false">
      <c r="A1790" s="7" t="s">
        <v>2154</v>
      </c>
      <c r="B1790" s="7" t="s">
        <v>135</v>
      </c>
      <c r="C1790" s="7" t="s">
        <v>306</v>
      </c>
      <c r="D1790" s="7" t="s">
        <v>74</v>
      </c>
      <c r="E1790" s="7" t="s">
        <v>75</v>
      </c>
      <c r="F1790" s="7" t="s">
        <v>56</v>
      </c>
      <c r="G1790" s="7" t="s">
        <v>21</v>
      </c>
      <c r="H1790" s="9" t="n">
        <v>45942</v>
      </c>
      <c r="I1790" s="9"/>
      <c r="J1790" s="7" t="n">
        <v>6.5</v>
      </c>
      <c r="K1790" s="7" t="s">
        <v>1971</v>
      </c>
      <c r="L1790" s="7" t="s">
        <v>19</v>
      </c>
      <c r="M1790" s="7" t="s">
        <v>2162</v>
      </c>
      <c r="N1790" s="7" t="s">
        <v>77</v>
      </c>
      <c r="O1790" s="10" t="n">
        <f aca="false">'Exec Summary'!$E$2-H1790</f>
        <v>292</v>
      </c>
      <c r="P1790" s="10" t="str">
        <f aca="false">IF(I1790="","",I1790-H1790)</f>
        <v/>
      </c>
      <c r="Q1790" s="10" t="n">
        <f aca="false">VLOOKUP(G1790,$AA$2:$AB$5,2,FALSE())</f>
        <v>90</v>
      </c>
      <c r="R1790" s="7" t="n">
        <f aca="false">IF(OR(F1790="Open",F1790="Reopened"),1,0)</f>
        <v>1</v>
      </c>
      <c r="S1790" s="7" t="n">
        <f aca="false">IF(AND(H1790&gt;='Exec Summary'!$E$1,H1790&lt;='Exec Summary'!$E$2),1,0)</f>
        <v>0</v>
      </c>
      <c r="T1790" s="7" t="n">
        <f aca="false">IF(AND(F1790="Closed",I1790&lt;&gt;"",I1790&gt;='Exec Summary'!$E$1,I1790&lt;='Exec Summary'!$E$2),1,0)</f>
        <v>0</v>
      </c>
      <c r="U1790" s="7" t="n">
        <f aca="false">IF(F1790="Reopened",1,0)</f>
        <v>0</v>
      </c>
      <c r="V1790" s="7" t="n">
        <f aca="false">IF(AND(R1790=1,O1790&gt;Q1790),1,0)</f>
        <v>1</v>
      </c>
      <c r="W1790" s="7" t="n">
        <f aca="false">IF(AND(T1790=1,P1790&lt;&gt;"",P1790&lt;=Q1790),1,0)</f>
        <v>0</v>
      </c>
    </row>
    <row r="1791" customFormat="false" ht="15" hidden="false" customHeight="false" outlineLevel="0" collapsed="false">
      <c r="A1791" s="7" t="s">
        <v>2163</v>
      </c>
      <c r="B1791" s="7" t="s">
        <v>46</v>
      </c>
      <c r="C1791" s="7" t="s">
        <v>158</v>
      </c>
      <c r="D1791" s="7" t="s">
        <v>112</v>
      </c>
      <c r="E1791" s="7" t="s">
        <v>113</v>
      </c>
      <c r="F1791" s="7" t="s">
        <v>50</v>
      </c>
      <c r="G1791" s="7" t="s">
        <v>20</v>
      </c>
      <c r="H1791" s="9" t="n">
        <v>46146</v>
      </c>
      <c r="I1791" s="9" t="n">
        <v>46201</v>
      </c>
      <c r="J1791" s="7" t="n">
        <v>7.8</v>
      </c>
      <c r="K1791" s="7" t="s">
        <v>1971</v>
      </c>
      <c r="L1791" s="7" t="s">
        <v>19</v>
      </c>
      <c r="M1791" s="7" t="s">
        <v>2164</v>
      </c>
      <c r="N1791" s="7" t="s">
        <v>53</v>
      </c>
      <c r="O1791" s="10" t="n">
        <f aca="false">'Exec Summary'!$E$2-H1791</f>
        <v>88</v>
      </c>
      <c r="P1791" s="10" t="n">
        <f aca="false">IF(I1791="","",I1791-H1791)</f>
        <v>55</v>
      </c>
      <c r="Q1791" s="10" t="n">
        <f aca="false">VLOOKUP(G1791,$AA$2:$AB$5,2,FALSE())</f>
        <v>30</v>
      </c>
      <c r="R1791" s="7" t="n">
        <f aca="false">IF(OR(F1791="Open",F1791="Reopened"),1,0)</f>
        <v>0</v>
      </c>
      <c r="S1791" s="7" t="n">
        <f aca="false">IF(AND(H1791&gt;='Exec Summary'!$E$1,H1791&lt;='Exec Summary'!$E$2),1,0)</f>
        <v>0</v>
      </c>
      <c r="T1791" s="7" t="n">
        <f aca="false">IF(AND(F1791="Closed",I1791&lt;&gt;"",I1791&gt;='Exec Summary'!$E$1,I1791&lt;='Exec Summary'!$E$2),1,0)</f>
        <v>0</v>
      </c>
      <c r="U1791" s="7" t="n">
        <f aca="false">IF(F1791="Reopened",1,0)</f>
        <v>0</v>
      </c>
      <c r="V1791" s="7" t="n">
        <f aca="false">IF(AND(R1791=1,O1791&gt;Q1791),1,0)</f>
        <v>0</v>
      </c>
      <c r="W1791" s="7" t="n">
        <f aca="false">IF(AND(T1791=1,P1791&lt;&gt;"",P1791&lt;=Q1791),1,0)</f>
        <v>0</v>
      </c>
    </row>
    <row r="1792" customFormat="false" ht="15" hidden="false" customHeight="false" outlineLevel="0" collapsed="false">
      <c r="A1792" s="7" t="s">
        <v>2163</v>
      </c>
      <c r="B1792" s="7" t="s">
        <v>46</v>
      </c>
      <c r="C1792" s="7" t="s">
        <v>158</v>
      </c>
      <c r="D1792" s="7" t="s">
        <v>131</v>
      </c>
      <c r="E1792" s="7" t="s">
        <v>132</v>
      </c>
      <c r="F1792" s="7" t="s">
        <v>50</v>
      </c>
      <c r="G1792" s="7" t="s">
        <v>19</v>
      </c>
      <c r="H1792" s="9" t="n">
        <v>46007</v>
      </c>
      <c r="I1792" s="9" t="n">
        <v>46013</v>
      </c>
      <c r="J1792" s="7" t="n">
        <v>9.8</v>
      </c>
      <c r="K1792" s="7" t="s">
        <v>1971</v>
      </c>
      <c r="L1792" s="7" t="s">
        <v>19</v>
      </c>
      <c r="M1792" s="7" t="s">
        <v>2165</v>
      </c>
      <c r="N1792" s="7" t="s">
        <v>58</v>
      </c>
      <c r="O1792" s="10" t="n">
        <f aca="false">'Exec Summary'!$E$2-H1792</f>
        <v>227</v>
      </c>
      <c r="P1792" s="10" t="n">
        <f aca="false">IF(I1792="","",I1792-H1792)</f>
        <v>6</v>
      </c>
      <c r="Q1792" s="10" t="n">
        <f aca="false">VLOOKUP(G1792,$AA$2:$AB$5,2,FALSE())</f>
        <v>15</v>
      </c>
      <c r="R1792" s="7" t="n">
        <f aca="false">IF(OR(F1792="Open",F1792="Reopened"),1,0)</f>
        <v>0</v>
      </c>
      <c r="S1792" s="7" t="n">
        <f aca="false">IF(AND(H1792&gt;='Exec Summary'!$E$1,H1792&lt;='Exec Summary'!$E$2),1,0)</f>
        <v>0</v>
      </c>
      <c r="T1792" s="7" t="n">
        <f aca="false">IF(AND(F1792="Closed",I1792&lt;&gt;"",I1792&gt;='Exec Summary'!$E$1,I1792&lt;='Exec Summary'!$E$2),1,0)</f>
        <v>0</v>
      </c>
      <c r="U1792" s="7" t="n">
        <f aca="false">IF(F1792="Reopened",1,0)</f>
        <v>0</v>
      </c>
      <c r="V1792" s="7" t="n">
        <f aca="false">IF(AND(R1792=1,O1792&gt;Q1792),1,0)</f>
        <v>0</v>
      </c>
      <c r="W1792" s="7" t="n">
        <f aca="false">IF(AND(T1792=1,P1792&lt;&gt;"",P1792&lt;=Q1792),1,0)</f>
        <v>0</v>
      </c>
    </row>
    <row r="1793" customFormat="false" ht="15" hidden="false" customHeight="false" outlineLevel="0" collapsed="false">
      <c r="A1793" s="7" t="s">
        <v>2163</v>
      </c>
      <c r="B1793" s="7" t="s">
        <v>46</v>
      </c>
      <c r="C1793" s="7" t="s">
        <v>158</v>
      </c>
      <c r="D1793" s="7" t="s">
        <v>108</v>
      </c>
      <c r="E1793" s="7" t="s">
        <v>109</v>
      </c>
      <c r="F1793" s="7" t="s">
        <v>56</v>
      </c>
      <c r="G1793" s="7" t="s">
        <v>20</v>
      </c>
      <c r="H1793" s="9" t="n">
        <v>46174</v>
      </c>
      <c r="I1793" s="9"/>
      <c r="J1793" s="7" t="n">
        <v>8.6</v>
      </c>
      <c r="K1793" s="7" t="s">
        <v>1971</v>
      </c>
      <c r="L1793" s="7" t="s">
        <v>19</v>
      </c>
      <c r="M1793" s="7" t="s">
        <v>2166</v>
      </c>
      <c r="N1793" s="7" t="s">
        <v>53</v>
      </c>
      <c r="O1793" s="10" t="n">
        <f aca="false">'Exec Summary'!$E$2-H1793</f>
        <v>60</v>
      </c>
      <c r="P1793" s="10" t="str">
        <f aca="false">IF(I1793="","",I1793-H1793)</f>
        <v/>
      </c>
      <c r="Q1793" s="10" t="n">
        <f aca="false">VLOOKUP(G1793,$AA$2:$AB$5,2,FALSE())</f>
        <v>30</v>
      </c>
      <c r="R1793" s="7" t="n">
        <f aca="false">IF(OR(F1793="Open",F1793="Reopened"),1,0)</f>
        <v>1</v>
      </c>
      <c r="S1793" s="7" t="n">
        <f aca="false">IF(AND(H1793&gt;='Exec Summary'!$E$1,H1793&lt;='Exec Summary'!$E$2),1,0)</f>
        <v>0</v>
      </c>
      <c r="T1793" s="7" t="n">
        <f aca="false">IF(AND(F1793="Closed",I1793&lt;&gt;"",I1793&gt;='Exec Summary'!$E$1,I1793&lt;='Exec Summary'!$E$2),1,0)</f>
        <v>0</v>
      </c>
      <c r="U1793" s="7" t="n">
        <f aca="false">IF(F1793="Reopened",1,0)</f>
        <v>0</v>
      </c>
      <c r="V1793" s="7" t="n">
        <f aca="false">IF(AND(R1793=1,O1793&gt;Q1793),1,0)</f>
        <v>1</v>
      </c>
      <c r="W1793" s="7" t="n">
        <f aca="false">IF(AND(T1793=1,P1793&lt;&gt;"",P1793&lt;=Q1793),1,0)</f>
        <v>0</v>
      </c>
    </row>
    <row r="1794" customFormat="false" ht="15" hidden="false" customHeight="false" outlineLevel="0" collapsed="false">
      <c r="A1794" s="7" t="s">
        <v>2163</v>
      </c>
      <c r="B1794" s="7" t="s">
        <v>46</v>
      </c>
      <c r="C1794" s="7" t="s">
        <v>158</v>
      </c>
      <c r="D1794" s="7" t="s">
        <v>84</v>
      </c>
      <c r="E1794" s="7" t="s">
        <v>85</v>
      </c>
      <c r="F1794" s="7" t="s">
        <v>123</v>
      </c>
      <c r="G1794" s="7" t="s">
        <v>20</v>
      </c>
      <c r="H1794" s="9" t="n">
        <v>45949</v>
      </c>
      <c r="I1794" s="9" t="n">
        <v>45963</v>
      </c>
      <c r="J1794" s="7" t="n">
        <v>7.5</v>
      </c>
      <c r="K1794" s="7" t="s">
        <v>1971</v>
      </c>
      <c r="L1794" s="7" t="s">
        <v>19</v>
      </c>
      <c r="M1794" s="7" t="s">
        <v>2167</v>
      </c>
      <c r="N1794" s="7" t="s">
        <v>53</v>
      </c>
      <c r="O1794" s="10" t="n">
        <f aca="false">'Exec Summary'!$E$2-H1794</f>
        <v>285</v>
      </c>
      <c r="P1794" s="10" t="n">
        <f aca="false">IF(I1794="","",I1794-H1794)</f>
        <v>14</v>
      </c>
      <c r="Q1794" s="10" t="n">
        <f aca="false">VLOOKUP(G1794,$AA$2:$AB$5,2,FALSE())</f>
        <v>30</v>
      </c>
      <c r="R1794" s="7" t="n">
        <f aca="false">IF(OR(F1794="Open",F1794="Reopened"),1,0)</f>
        <v>1</v>
      </c>
      <c r="S1794" s="7" t="n">
        <f aca="false">IF(AND(H1794&gt;='Exec Summary'!$E$1,H1794&lt;='Exec Summary'!$E$2),1,0)</f>
        <v>0</v>
      </c>
      <c r="T1794" s="7" t="n">
        <f aca="false">IF(AND(F1794="Closed",I1794&lt;&gt;"",I1794&gt;='Exec Summary'!$E$1,I1794&lt;='Exec Summary'!$E$2),1,0)</f>
        <v>0</v>
      </c>
      <c r="U1794" s="7" t="n">
        <f aca="false">IF(F1794="Reopened",1,0)</f>
        <v>1</v>
      </c>
      <c r="V1794" s="7" t="n">
        <f aca="false">IF(AND(R1794=1,O1794&gt;Q1794),1,0)</f>
        <v>1</v>
      </c>
      <c r="W1794" s="7" t="n">
        <f aca="false">IF(AND(T1794=1,P1794&lt;&gt;"",P1794&lt;=Q1794),1,0)</f>
        <v>0</v>
      </c>
    </row>
    <row r="1795" customFormat="false" ht="15" hidden="false" customHeight="false" outlineLevel="0" collapsed="false">
      <c r="A1795" s="7" t="s">
        <v>2163</v>
      </c>
      <c r="B1795" s="7" t="s">
        <v>46</v>
      </c>
      <c r="C1795" s="7" t="s">
        <v>158</v>
      </c>
      <c r="D1795" s="7" t="s">
        <v>54</v>
      </c>
      <c r="E1795" s="7" t="s">
        <v>55</v>
      </c>
      <c r="F1795" s="7" t="s">
        <v>50</v>
      </c>
      <c r="G1795" s="7" t="s">
        <v>19</v>
      </c>
      <c r="H1795" s="9" t="n">
        <v>45947</v>
      </c>
      <c r="I1795" s="9" t="n">
        <v>45959</v>
      </c>
      <c r="J1795" s="7" t="n">
        <v>9.8</v>
      </c>
      <c r="K1795" s="7" t="s">
        <v>1971</v>
      </c>
      <c r="L1795" s="7" t="s">
        <v>19</v>
      </c>
      <c r="M1795" s="7" t="s">
        <v>2168</v>
      </c>
      <c r="N1795" s="7" t="s">
        <v>58</v>
      </c>
      <c r="O1795" s="10" t="n">
        <f aca="false">'Exec Summary'!$E$2-H1795</f>
        <v>287</v>
      </c>
      <c r="P1795" s="10" t="n">
        <f aca="false">IF(I1795="","",I1795-H1795)</f>
        <v>12</v>
      </c>
      <c r="Q1795" s="10" t="n">
        <f aca="false">VLOOKUP(G1795,$AA$2:$AB$5,2,FALSE())</f>
        <v>15</v>
      </c>
      <c r="R1795" s="7" t="n">
        <f aca="false">IF(OR(F1795="Open",F1795="Reopened"),1,0)</f>
        <v>0</v>
      </c>
      <c r="S1795" s="7" t="n">
        <f aca="false">IF(AND(H1795&gt;='Exec Summary'!$E$1,H1795&lt;='Exec Summary'!$E$2),1,0)</f>
        <v>0</v>
      </c>
      <c r="T1795" s="7" t="n">
        <f aca="false">IF(AND(F1795="Closed",I1795&lt;&gt;"",I1795&gt;='Exec Summary'!$E$1,I1795&lt;='Exec Summary'!$E$2),1,0)</f>
        <v>0</v>
      </c>
      <c r="U1795" s="7" t="n">
        <f aca="false">IF(F1795="Reopened",1,0)</f>
        <v>0</v>
      </c>
      <c r="V1795" s="7" t="n">
        <f aca="false">IF(AND(R1795=1,O1795&gt;Q1795),1,0)</f>
        <v>0</v>
      </c>
      <c r="W1795" s="7" t="n">
        <f aca="false">IF(AND(T1795=1,P1795&lt;&gt;"",P1795&lt;=Q1795),1,0)</f>
        <v>0</v>
      </c>
    </row>
    <row r="1796" customFormat="false" ht="15" hidden="false" customHeight="false" outlineLevel="0" collapsed="false">
      <c r="A1796" s="7" t="s">
        <v>2163</v>
      </c>
      <c r="B1796" s="7" t="s">
        <v>46</v>
      </c>
      <c r="C1796" s="7" t="s">
        <v>158</v>
      </c>
      <c r="D1796" s="7" t="s">
        <v>98</v>
      </c>
      <c r="E1796" s="7" t="s">
        <v>99</v>
      </c>
      <c r="F1796" s="7" t="s">
        <v>56</v>
      </c>
      <c r="G1796" s="7" t="s">
        <v>19</v>
      </c>
      <c r="H1796" s="9" t="n">
        <v>46110</v>
      </c>
      <c r="I1796" s="9"/>
      <c r="J1796" s="7" t="n">
        <v>10</v>
      </c>
      <c r="K1796" s="7" t="s">
        <v>1971</v>
      </c>
      <c r="L1796" s="7" t="s">
        <v>19</v>
      </c>
      <c r="M1796" s="7" t="s">
        <v>2169</v>
      </c>
      <c r="N1796" s="7" t="s">
        <v>58</v>
      </c>
      <c r="O1796" s="10" t="n">
        <f aca="false">'Exec Summary'!$E$2-H1796</f>
        <v>124</v>
      </c>
      <c r="P1796" s="10" t="str">
        <f aca="false">IF(I1796="","",I1796-H1796)</f>
        <v/>
      </c>
      <c r="Q1796" s="10" t="n">
        <f aca="false">VLOOKUP(G1796,$AA$2:$AB$5,2,FALSE())</f>
        <v>15</v>
      </c>
      <c r="R1796" s="7" t="n">
        <f aca="false">IF(OR(F1796="Open",F1796="Reopened"),1,0)</f>
        <v>1</v>
      </c>
      <c r="S1796" s="7" t="n">
        <f aca="false">IF(AND(H1796&gt;='Exec Summary'!$E$1,H1796&lt;='Exec Summary'!$E$2),1,0)</f>
        <v>0</v>
      </c>
      <c r="T1796" s="7" t="n">
        <f aca="false">IF(AND(F1796="Closed",I1796&lt;&gt;"",I1796&gt;='Exec Summary'!$E$1,I1796&lt;='Exec Summary'!$E$2),1,0)</f>
        <v>0</v>
      </c>
      <c r="U1796" s="7" t="n">
        <f aca="false">IF(F1796="Reopened",1,0)</f>
        <v>0</v>
      </c>
      <c r="V1796" s="7" t="n">
        <f aca="false">IF(AND(R1796=1,O1796&gt;Q1796),1,0)</f>
        <v>1</v>
      </c>
      <c r="W1796" s="7" t="n">
        <f aca="false">IF(AND(T1796=1,P1796&lt;&gt;"",P1796&lt;=Q1796),1,0)</f>
        <v>0</v>
      </c>
    </row>
    <row r="1797" customFormat="false" ht="15" hidden="false" customHeight="false" outlineLevel="0" collapsed="false">
      <c r="A1797" s="7" t="s">
        <v>2163</v>
      </c>
      <c r="B1797" s="7" t="s">
        <v>46</v>
      </c>
      <c r="C1797" s="7" t="s">
        <v>158</v>
      </c>
      <c r="D1797" s="7" t="s">
        <v>163</v>
      </c>
      <c r="E1797" s="7" t="s">
        <v>164</v>
      </c>
      <c r="F1797" s="7" t="s">
        <v>56</v>
      </c>
      <c r="G1797" s="7" t="s">
        <v>19</v>
      </c>
      <c r="H1797" s="9" t="n">
        <v>45950</v>
      </c>
      <c r="I1797" s="9"/>
      <c r="J1797" s="7" t="n">
        <v>9.1</v>
      </c>
      <c r="K1797" s="7" t="s">
        <v>1971</v>
      </c>
      <c r="L1797" s="7" t="s">
        <v>19</v>
      </c>
      <c r="M1797" s="7" t="s">
        <v>2170</v>
      </c>
      <c r="N1797" s="7" t="s">
        <v>58</v>
      </c>
      <c r="O1797" s="10" t="n">
        <f aca="false">'Exec Summary'!$E$2-H1797</f>
        <v>284</v>
      </c>
      <c r="P1797" s="10" t="str">
        <f aca="false">IF(I1797="","",I1797-H1797)</f>
        <v/>
      </c>
      <c r="Q1797" s="10" t="n">
        <f aca="false">VLOOKUP(G1797,$AA$2:$AB$5,2,FALSE())</f>
        <v>15</v>
      </c>
      <c r="R1797" s="7" t="n">
        <f aca="false">IF(OR(F1797="Open",F1797="Reopened"),1,0)</f>
        <v>1</v>
      </c>
      <c r="S1797" s="7" t="n">
        <f aca="false">IF(AND(H1797&gt;='Exec Summary'!$E$1,H1797&lt;='Exec Summary'!$E$2),1,0)</f>
        <v>0</v>
      </c>
      <c r="T1797" s="7" t="n">
        <f aca="false">IF(AND(F1797="Closed",I1797&lt;&gt;"",I1797&gt;='Exec Summary'!$E$1,I1797&lt;='Exec Summary'!$E$2),1,0)</f>
        <v>0</v>
      </c>
      <c r="U1797" s="7" t="n">
        <f aca="false">IF(F1797="Reopened",1,0)</f>
        <v>0</v>
      </c>
      <c r="V1797" s="7" t="n">
        <f aca="false">IF(AND(R1797=1,O1797&gt;Q1797),1,0)</f>
        <v>1</v>
      </c>
      <c r="W1797" s="7" t="n">
        <f aca="false">IF(AND(T1797=1,P1797&lt;&gt;"",P1797&lt;=Q1797),1,0)</f>
        <v>0</v>
      </c>
    </row>
    <row r="1798" customFormat="false" ht="15" hidden="false" customHeight="false" outlineLevel="0" collapsed="false">
      <c r="A1798" s="7" t="s">
        <v>2163</v>
      </c>
      <c r="B1798" s="7" t="s">
        <v>46</v>
      </c>
      <c r="C1798" s="7" t="s">
        <v>158</v>
      </c>
      <c r="D1798" s="7" t="s">
        <v>71</v>
      </c>
      <c r="E1798" s="7" t="s">
        <v>72</v>
      </c>
      <c r="F1798" s="7" t="s">
        <v>56</v>
      </c>
      <c r="G1798" s="7" t="s">
        <v>19</v>
      </c>
      <c r="H1798" s="9" t="n">
        <v>46129</v>
      </c>
      <c r="I1798" s="9"/>
      <c r="J1798" s="7" t="n">
        <v>9.8</v>
      </c>
      <c r="K1798" s="7" t="s">
        <v>1971</v>
      </c>
      <c r="L1798" s="7" t="s">
        <v>19</v>
      </c>
      <c r="M1798" s="7" t="s">
        <v>2171</v>
      </c>
      <c r="N1798" s="7" t="s">
        <v>58</v>
      </c>
      <c r="O1798" s="10" t="n">
        <f aca="false">'Exec Summary'!$E$2-H1798</f>
        <v>105</v>
      </c>
      <c r="P1798" s="10" t="str">
        <f aca="false">IF(I1798="","",I1798-H1798)</f>
        <v/>
      </c>
      <c r="Q1798" s="10" t="n">
        <f aca="false">VLOOKUP(G1798,$AA$2:$AB$5,2,FALSE())</f>
        <v>15</v>
      </c>
      <c r="R1798" s="7" t="n">
        <f aca="false">IF(OR(F1798="Open",F1798="Reopened"),1,0)</f>
        <v>1</v>
      </c>
      <c r="S1798" s="7" t="n">
        <f aca="false">IF(AND(H1798&gt;='Exec Summary'!$E$1,H1798&lt;='Exec Summary'!$E$2),1,0)</f>
        <v>0</v>
      </c>
      <c r="T1798" s="7" t="n">
        <f aca="false">IF(AND(F1798="Closed",I1798&lt;&gt;"",I1798&gt;='Exec Summary'!$E$1,I1798&lt;='Exec Summary'!$E$2),1,0)</f>
        <v>0</v>
      </c>
      <c r="U1798" s="7" t="n">
        <f aca="false">IF(F1798="Reopened",1,0)</f>
        <v>0</v>
      </c>
      <c r="V1798" s="7" t="n">
        <f aca="false">IF(AND(R1798=1,O1798&gt;Q1798),1,0)</f>
        <v>1</v>
      </c>
      <c r="W1798" s="7" t="n">
        <f aca="false">IF(AND(T1798=1,P1798&lt;&gt;"",P1798&lt;=Q1798),1,0)</f>
        <v>0</v>
      </c>
    </row>
    <row r="1799" customFormat="false" ht="15" hidden="false" customHeight="false" outlineLevel="0" collapsed="false">
      <c r="A1799" s="7" t="s">
        <v>2163</v>
      </c>
      <c r="B1799" s="7" t="s">
        <v>46</v>
      </c>
      <c r="C1799" s="7" t="s">
        <v>158</v>
      </c>
      <c r="D1799" s="7" t="s">
        <v>166</v>
      </c>
      <c r="E1799" s="7" t="s">
        <v>167</v>
      </c>
      <c r="F1799" s="7" t="s">
        <v>56</v>
      </c>
      <c r="G1799" s="7" t="s">
        <v>19</v>
      </c>
      <c r="H1799" s="9" t="n">
        <v>45973</v>
      </c>
      <c r="I1799" s="9"/>
      <c r="J1799" s="7" t="n">
        <v>9.8</v>
      </c>
      <c r="K1799" s="7" t="s">
        <v>1971</v>
      </c>
      <c r="L1799" s="7" t="s">
        <v>19</v>
      </c>
      <c r="M1799" s="7" t="s">
        <v>2172</v>
      </c>
      <c r="N1799" s="7" t="s">
        <v>58</v>
      </c>
      <c r="O1799" s="10" t="n">
        <f aca="false">'Exec Summary'!$E$2-H1799</f>
        <v>261</v>
      </c>
      <c r="P1799" s="10" t="str">
        <f aca="false">IF(I1799="","",I1799-H1799)</f>
        <v/>
      </c>
      <c r="Q1799" s="10" t="n">
        <f aca="false">VLOOKUP(G1799,$AA$2:$AB$5,2,FALSE())</f>
        <v>15</v>
      </c>
      <c r="R1799" s="7" t="n">
        <f aca="false">IF(OR(F1799="Open",F1799="Reopened"),1,0)</f>
        <v>1</v>
      </c>
      <c r="S1799" s="7" t="n">
        <f aca="false">IF(AND(H1799&gt;='Exec Summary'!$E$1,H1799&lt;='Exec Summary'!$E$2),1,0)</f>
        <v>0</v>
      </c>
      <c r="T1799" s="7" t="n">
        <f aca="false">IF(AND(F1799="Closed",I1799&lt;&gt;"",I1799&gt;='Exec Summary'!$E$1,I1799&lt;='Exec Summary'!$E$2),1,0)</f>
        <v>0</v>
      </c>
      <c r="U1799" s="7" t="n">
        <f aca="false">IF(F1799="Reopened",1,0)</f>
        <v>0</v>
      </c>
      <c r="V1799" s="7" t="n">
        <f aca="false">IF(AND(R1799=1,O1799&gt;Q1799),1,0)</f>
        <v>1</v>
      </c>
      <c r="W1799" s="7" t="n">
        <f aca="false">IF(AND(T1799=1,P1799&lt;&gt;"",P1799&lt;=Q1799),1,0)</f>
        <v>0</v>
      </c>
    </row>
    <row r="1800" customFormat="false" ht="15" hidden="false" customHeight="false" outlineLevel="0" collapsed="false">
      <c r="A1800" s="7" t="s">
        <v>2173</v>
      </c>
      <c r="B1800" s="7" t="s">
        <v>46</v>
      </c>
      <c r="C1800" s="7" t="s">
        <v>79</v>
      </c>
      <c r="D1800" s="7" t="s">
        <v>131</v>
      </c>
      <c r="E1800" s="7" t="s">
        <v>132</v>
      </c>
      <c r="F1800" s="7" t="s">
        <v>50</v>
      </c>
      <c r="G1800" s="7" t="s">
        <v>19</v>
      </c>
      <c r="H1800" s="9" t="n">
        <v>46071</v>
      </c>
      <c r="I1800" s="9" t="n">
        <v>46087</v>
      </c>
      <c r="J1800" s="7" t="n">
        <v>9.8</v>
      </c>
      <c r="K1800" s="7" t="s">
        <v>1971</v>
      </c>
      <c r="L1800" s="7" t="s">
        <v>19</v>
      </c>
      <c r="M1800" s="7" t="s">
        <v>2174</v>
      </c>
      <c r="N1800" s="7" t="s">
        <v>58</v>
      </c>
      <c r="O1800" s="10" t="n">
        <f aca="false">'Exec Summary'!$E$2-H1800</f>
        <v>163</v>
      </c>
      <c r="P1800" s="10" t="n">
        <f aca="false">IF(I1800="","",I1800-H1800)</f>
        <v>16</v>
      </c>
      <c r="Q1800" s="10" t="n">
        <f aca="false">VLOOKUP(G1800,$AA$2:$AB$5,2,FALSE())</f>
        <v>15</v>
      </c>
      <c r="R1800" s="7" t="n">
        <f aca="false">IF(OR(F1800="Open",F1800="Reopened"),1,0)</f>
        <v>0</v>
      </c>
      <c r="S1800" s="7" t="n">
        <f aca="false">IF(AND(H1800&gt;='Exec Summary'!$E$1,H1800&lt;='Exec Summary'!$E$2),1,0)</f>
        <v>0</v>
      </c>
      <c r="T1800" s="7" t="n">
        <f aca="false">IF(AND(F1800="Closed",I1800&lt;&gt;"",I1800&gt;='Exec Summary'!$E$1,I1800&lt;='Exec Summary'!$E$2),1,0)</f>
        <v>0</v>
      </c>
      <c r="U1800" s="7" t="n">
        <f aca="false">IF(F1800="Reopened",1,0)</f>
        <v>0</v>
      </c>
      <c r="V1800" s="7" t="n">
        <f aca="false">IF(AND(R1800=1,O1800&gt;Q1800),1,0)</f>
        <v>0</v>
      </c>
      <c r="W1800" s="7" t="n">
        <f aca="false">IF(AND(T1800=1,P1800&lt;&gt;"",P1800&lt;=Q1800),1,0)</f>
        <v>0</v>
      </c>
    </row>
    <row r="1801" customFormat="false" ht="15" hidden="false" customHeight="false" outlineLevel="0" collapsed="false">
      <c r="A1801" s="7" t="s">
        <v>2173</v>
      </c>
      <c r="B1801" s="7" t="s">
        <v>46</v>
      </c>
      <c r="C1801" s="7" t="s">
        <v>79</v>
      </c>
      <c r="D1801" s="7" t="s">
        <v>81</v>
      </c>
      <c r="E1801" s="7" t="s">
        <v>82</v>
      </c>
      <c r="F1801" s="7" t="s">
        <v>50</v>
      </c>
      <c r="G1801" s="7" t="s">
        <v>20</v>
      </c>
      <c r="H1801" s="9" t="n">
        <v>46102</v>
      </c>
      <c r="I1801" s="9" t="n">
        <v>46125</v>
      </c>
      <c r="J1801" s="7" t="n">
        <v>7.8</v>
      </c>
      <c r="K1801" s="7" t="s">
        <v>1971</v>
      </c>
      <c r="L1801" s="7" t="s">
        <v>19</v>
      </c>
      <c r="M1801" s="7" t="s">
        <v>2175</v>
      </c>
      <c r="N1801" s="7" t="s">
        <v>53</v>
      </c>
      <c r="O1801" s="10" t="n">
        <f aca="false">'Exec Summary'!$E$2-H1801</f>
        <v>132</v>
      </c>
      <c r="P1801" s="10" t="n">
        <f aca="false">IF(I1801="","",I1801-H1801)</f>
        <v>23</v>
      </c>
      <c r="Q1801" s="10" t="n">
        <f aca="false">VLOOKUP(G1801,$AA$2:$AB$5,2,FALSE())</f>
        <v>30</v>
      </c>
      <c r="R1801" s="7" t="n">
        <f aca="false">IF(OR(F1801="Open",F1801="Reopened"),1,0)</f>
        <v>0</v>
      </c>
      <c r="S1801" s="7" t="n">
        <f aca="false">IF(AND(H1801&gt;='Exec Summary'!$E$1,H1801&lt;='Exec Summary'!$E$2),1,0)</f>
        <v>0</v>
      </c>
      <c r="T1801" s="7" t="n">
        <f aca="false">IF(AND(F1801="Closed",I1801&lt;&gt;"",I1801&gt;='Exec Summary'!$E$1,I1801&lt;='Exec Summary'!$E$2),1,0)</f>
        <v>0</v>
      </c>
      <c r="U1801" s="7" t="n">
        <f aca="false">IF(F1801="Reopened",1,0)</f>
        <v>0</v>
      </c>
      <c r="V1801" s="7" t="n">
        <f aca="false">IF(AND(R1801=1,O1801&gt;Q1801),1,0)</f>
        <v>0</v>
      </c>
      <c r="W1801" s="7" t="n">
        <f aca="false">IF(AND(T1801=1,P1801&lt;&gt;"",P1801&lt;=Q1801),1,0)</f>
        <v>0</v>
      </c>
    </row>
    <row r="1802" customFormat="false" ht="15" hidden="false" customHeight="false" outlineLevel="0" collapsed="false">
      <c r="A1802" s="7" t="s">
        <v>2173</v>
      </c>
      <c r="B1802" s="7" t="s">
        <v>46</v>
      </c>
      <c r="C1802" s="7" t="s">
        <v>79</v>
      </c>
      <c r="D1802" s="7" t="s">
        <v>108</v>
      </c>
      <c r="E1802" s="7" t="s">
        <v>109</v>
      </c>
      <c r="F1802" s="7" t="s">
        <v>50</v>
      </c>
      <c r="G1802" s="7" t="s">
        <v>20</v>
      </c>
      <c r="H1802" s="9" t="n">
        <v>46057</v>
      </c>
      <c r="I1802" s="9" t="n">
        <v>46066</v>
      </c>
      <c r="J1802" s="7" t="n">
        <v>8.6</v>
      </c>
      <c r="K1802" s="7" t="s">
        <v>1971</v>
      </c>
      <c r="L1802" s="7" t="s">
        <v>19</v>
      </c>
      <c r="M1802" s="7" t="s">
        <v>2176</v>
      </c>
      <c r="N1802" s="7" t="s">
        <v>53</v>
      </c>
      <c r="O1802" s="10" t="n">
        <f aca="false">'Exec Summary'!$E$2-H1802</f>
        <v>177</v>
      </c>
      <c r="P1802" s="10" t="n">
        <f aca="false">IF(I1802="","",I1802-H1802)</f>
        <v>9</v>
      </c>
      <c r="Q1802" s="10" t="n">
        <f aca="false">VLOOKUP(G1802,$AA$2:$AB$5,2,FALSE())</f>
        <v>30</v>
      </c>
      <c r="R1802" s="7" t="n">
        <f aca="false">IF(OR(F1802="Open",F1802="Reopened"),1,0)</f>
        <v>0</v>
      </c>
      <c r="S1802" s="7" t="n">
        <f aca="false">IF(AND(H1802&gt;='Exec Summary'!$E$1,H1802&lt;='Exec Summary'!$E$2),1,0)</f>
        <v>0</v>
      </c>
      <c r="T1802" s="7" t="n">
        <f aca="false">IF(AND(F1802="Closed",I1802&lt;&gt;"",I1802&gt;='Exec Summary'!$E$1,I1802&lt;='Exec Summary'!$E$2),1,0)</f>
        <v>0</v>
      </c>
      <c r="U1802" s="7" t="n">
        <f aca="false">IF(F1802="Reopened",1,0)</f>
        <v>0</v>
      </c>
      <c r="V1802" s="7" t="n">
        <f aca="false">IF(AND(R1802=1,O1802&gt;Q1802),1,0)</f>
        <v>0</v>
      </c>
      <c r="W1802" s="7" t="n">
        <f aca="false">IF(AND(T1802=1,P1802&lt;&gt;"",P1802&lt;=Q1802),1,0)</f>
        <v>0</v>
      </c>
    </row>
    <row r="1803" customFormat="false" ht="15" hidden="false" customHeight="false" outlineLevel="0" collapsed="false">
      <c r="A1803" s="7" t="s">
        <v>2173</v>
      </c>
      <c r="B1803" s="7" t="s">
        <v>46</v>
      </c>
      <c r="C1803" s="7" t="s">
        <v>79</v>
      </c>
      <c r="D1803" s="7" t="s">
        <v>120</v>
      </c>
      <c r="E1803" s="7" t="s">
        <v>121</v>
      </c>
      <c r="F1803" s="7" t="s">
        <v>50</v>
      </c>
      <c r="G1803" s="7" t="s">
        <v>19</v>
      </c>
      <c r="H1803" s="9" t="n">
        <v>46119</v>
      </c>
      <c r="I1803" s="9" t="n">
        <v>46127</v>
      </c>
      <c r="J1803" s="7" t="n">
        <v>8.8</v>
      </c>
      <c r="K1803" s="7" t="s">
        <v>1971</v>
      </c>
      <c r="L1803" s="7" t="s">
        <v>19</v>
      </c>
      <c r="M1803" s="7" t="s">
        <v>2177</v>
      </c>
      <c r="N1803" s="7" t="s">
        <v>58</v>
      </c>
      <c r="O1803" s="10" t="n">
        <f aca="false">'Exec Summary'!$E$2-H1803</f>
        <v>115</v>
      </c>
      <c r="P1803" s="10" t="n">
        <f aca="false">IF(I1803="","",I1803-H1803)</f>
        <v>8</v>
      </c>
      <c r="Q1803" s="10" t="n">
        <f aca="false">VLOOKUP(G1803,$AA$2:$AB$5,2,FALSE())</f>
        <v>15</v>
      </c>
      <c r="R1803" s="7" t="n">
        <f aca="false">IF(OR(F1803="Open",F1803="Reopened"),1,0)</f>
        <v>0</v>
      </c>
      <c r="S1803" s="7" t="n">
        <f aca="false">IF(AND(H1803&gt;='Exec Summary'!$E$1,H1803&lt;='Exec Summary'!$E$2),1,0)</f>
        <v>0</v>
      </c>
      <c r="T1803" s="7" t="n">
        <f aca="false">IF(AND(F1803="Closed",I1803&lt;&gt;"",I1803&gt;='Exec Summary'!$E$1,I1803&lt;='Exec Summary'!$E$2),1,0)</f>
        <v>0</v>
      </c>
      <c r="U1803" s="7" t="n">
        <f aca="false">IF(F1803="Reopened",1,0)</f>
        <v>0</v>
      </c>
      <c r="V1803" s="7" t="n">
        <f aca="false">IF(AND(R1803=1,O1803&gt;Q1803),1,0)</f>
        <v>0</v>
      </c>
      <c r="W1803" s="7" t="n">
        <f aca="false">IF(AND(T1803=1,P1803&lt;&gt;"",P1803&lt;=Q1803),1,0)</f>
        <v>0</v>
      </c>
    </row>
    <row r="1804" customFormat="false" ht="15" hidden="false" customHeight="false" outlineLevel="0" collapsed="false">
      <c r="A1804" s="7" t="s">
        <v>2173</v>
      </c>
      <c r="B1804" s="7" t="s">
        <v>46</v>
      </c>
      <c r="C1804" s="7" t="s">
        <v>79</v>
      </c>
      <c r="D1804" s="7" t="s">
        <v>192</v>
      </c>
      <c r="E1804" s="7" t="s">
        <v>193</v>
      </c>
      <c r="F1804" s="7" t="s">
        <v>50</v>
      </c>
      <c r="G1804" s="7" t="s">
        <v>19</v>
      </c>
      <c r="H1804" s="9" t="n">
        <v>46051</v>
      </c>
      <c r="I1804" s="9" t="n">
        <v>46061</v>
      </c>
      <c r="J1804" s="7" t="n">
        <v>9.8</v>
      </c>
      <c r="K1804" s="7" t="s">
        <v>1971</v>
      </c>
      <c r="L1804" s="7" t="s">
        <v>19</v>
      </c>
      <c r="M1804" s="7" t="s">
        <v>2178</v>
      </c>
      <c r="N1804" s="7" t="s">
        <v>58</v>
      </c>
      <c r="O1804" s="10" t="n">
        <f aca="false">'Exec Summary'!$E$2-H1804</f>
        <v>183</v>
      </c>
      <c r="P1804" s="10" t="n">
        <f aca="false">IF(I1804="","",I1804-H1804)</f>
        <v>10</v>
      </c>
      <c r="Q1804" s="10" t="n">
        <f aca="false">VLOOKUP(G1804,$AA$2:$AB$5,2,FALSE())</f>
        <v>15</v>
      </c>
      <c r="R1804" s="7" t="n">
        <f aca="false">IF(OR(F1804="Open",F1804="Reopened"),1,0)</f>
        <v>0</v>
      </c>
      <c r="S1804" s="7" t="n">
        <f aca="false">IF(AND(H1804&gt;='Exec Summary'!$E$1,H1804&lt;='Exec Summary'!$E$2),1,0)</f>
        <v>0</v>
      </c>
      <c r="T1804" s="7" t="n">
        <f aca="false">IF(AND(F1804="Closed",I1804&lt;&gt;"",I1804&gt;='Exec Summary'!$E$1,I1804&lt;='Exec Summary'!$E$2),1,0)</f>
        <v>0</v>
      </c>
      <c r="U1804" s="7" t="n">
        <f aca="false">IF(F1804="Reopened",1,0)</f>
        <v>0</v>
      </c>
      <c r="V1804" s="7" t="n">
        <f aca="false">IF(AND(R1804=1,O1804&gt;Q1804),1,0)</f>
        <v>0</v>
      </c>
      <c r="W1804" s="7" t="n">
        <f aca="false">IF(AND(T1804=1,P1804&lt;&gt;"",P1804&lt;=Q1804),1,0)</f>
        <v>0</v>
      </c>
    </row>
    <row r="1805" customFormat="false" ht="15" hidden="false" customHeight="false" outlineLevel="0" collapsed="false">
      <c r="A1805" s="7" t="s">
        <v>2173</v>
      </c>
      <c r="B1805" s="7" t="s">
        <v>46</v>
      </c>
      <c r="C1805" s="7" t="s">
        <v>79</v>
      </c>
      <c r="D1805" s="7" t="s">
        <v>65</v>
      </c>
      <c r="E1805" s="7" t="s">
        <v>66</v>
      </c>
      <c r="F1805" s="7" t="s">
        <v>50</v>
      </c>
      <c r="G1805" s="7" t="s">
        <v>19</v>
      </c>
      <c r="H1805" s="9" t="n">
        <v>46209</v>
      </c>
      <c r="I1805" s="9" t="n">
        <v>46228</v>
      </c>
      <c r="J1805" s="7" t="n">
        <v>9.8</v>
      </c>
      <c r="K1805" s="7" t="s">
        <v>1971</v>
      </c>
      <c r="L1805" s="7" t="s">
        <v>19</v>
      </c>
      <c r="M1805" s="7" t="s">
        <v>2179</v>
      </c>
      <c r="N1805" s="7" t="s">
        <v>58</v>
      </c>
      <c r="O1805" s="10" t="n">
        <f aca="false">'Exec Summary'!$E$2-H1805</f>
        <v>25</v>
      </c>
      <c r="P1805" s="10" t="n">
        <f aca="false">IF(I1805="","",I1805-H1805)</f>
        <v>19</v>
      </c>
      <c r="Q1805" s="10" t="n">
        <f aca="false">VLOOKUP(G1805,$AA$2:$AB$5,2,FALSE())</f>
        <v>15</v>
      </c>
      <c r="R1805" s="7" t="n">
        <f aca="false">IF(OR(F1805="Open",F1805="Reopened"),1,0)</f>
        <v>0</v>
      </c>
      <c r="S1805" s="7" t="n">
        <f aca="false">IF(AND(H1805&gt;='Exec Summary'!$E$1,H1805&lt;='Exec Summary'!$E$2),1,0)</f>
        <v>1</v>
      </c>
      <c r="T1805" s="7" t="n">
        <f aca="false">IF(AND(F1805="Closed",I1805&lt;&gt;"",I1805&gt;='Exec Summary'!$E$1,I1805&lt;='Exec Summary'!$E$2),1,0)</f>
        <v>1</v>
      </c>
      <c r="U1805" s="7" t="n">
        <f aca="false">IF(F1805="Reopened",1,0)</f>
        <v>0</v>
      </c>
      <c r="V1805" s="7" t="n">
        <f aca="false">IF(AND(R1805=1,O1805&gt;Q1805),1,0)</f>
        <v>0</v>
      </c>
      <c r="W1805" s="7" t="n">
        <f aca="false">IF(AND(T1805=1,P1805&lt;&gt;"",P1805&lt;=Q1805),1,0)</f>
        <v>0</v>
      </c>
    </row>
    <row r="1806" customFormat="false" ht="15" hidden="false" customHeight="false" outlineLevel="0" collapsed="false">
      <c r="A1806" s="7" t="s">
        <v>2173</v>
      </c>
      <c r="B1806" s="7" t="s">
        <v>46</v>
      </c>
      <c r="C1806" s="7" t="s">
        <v>79</v>
      </c>
      <c r="D1806" s="7" t="s">
        <v>139</v>
      </c>
      <c r="E1806" s="7" t="s">
        <v>140</v>
      </c>
      <c r="F1806" s="7" t="s">
        <v>50</v>
      </c>
      <c r="G1806" s="7" t="s">
        <v>19</v>
      </c>
      <c r="H1806" s="9" t="n">
        <v>46080</v>
      </c>
      <c r="I1806" s="9" t="n">
        <v>46085</v>
      </c>
      <c r="J1806" s="7" t="n">
        <v>9.8</v>
      </c>
      <c r="K1806" s="7" t="s">
        <v>1971</v>
      </c>
      <c r="L1806" s="7" t="s">
        <v>19</v>
      </c>
      <c r="M1806" s="7" t="s">
        <v>2180</v>
      </c>
      <c r="N1806" s="7" t="s">
        <v>58</v>
      </c>
      <c r="O1806" s="10" t="n">
        <f aca="false">'Exec Summary'!$E$2-H1806</f>
        <v>154</v>
      </c>
      <c r="P1806" s="10" t="n">
        <f aca="false">IF(I1806="","",I1806-H1806)</f>
        <v>5</v>
      </c>
      <c r="Q1806" s="10" t="n">
        <f aca="false">VLOOKUP(G1806,$AA$2:$AB$5,2,FALSE())</f>
        <v>15</v>
      </c>
      <c r="R1806" s="7" t="n">
        <f aca="false">IF(OR(F1806="Open",F1806="Reopened"),1,0)</f>
        <v>0</v>
      </c>
      <c r="S1806" s="7" t="n">
        <f aca="false">IF(AND(H1806&gt;='Exec Summary'!$E$1,H1806&lt;='Exec Summary'!$E$2),1,0)</f>
        <v>0</v>
      </c>
      <c r="T1806" s="7" t="n">
        <f aca="false">IF(AND(F1806="Closed",I1806&lt;&gt;"",I1806&gt;='Exec Summary'!$E$1,I1806&lt;='Exec Summary'!$E$2),1,0)</f>
        <v>0</v>
      </c>
      <c r="U1806" s="7" t="n">
        <f aca="false">IF(F1806="Reopened",1,0)</f>
        <v>0</v>
      </c>
      <c r="V1806" s="7" t="n">
        <f aca="false">IF(AND(R1806=1,O1806&gt;Q1806),1,0)</f>
        <v>0</v>
      </c>
      <c r="W1806" s="7" t="n">
        <f aca="false">IF(AND(T1806=1,P1806&lt;&gt;"",P1806&lt;=Q1806),1,0)</f>
        <v>0</v>
      </c>
    </row>
    <row r="1807" customFormat="false" ht="15" hidden="false" customHeight="false" outlineLevel="0" collapsed="false">
      <c r="A1807" s="7" t="s">
        <v>2173</v>
      </c>
      <c r="B1807" s="7" t="s">
        <v>46</v>
      </c>
      <c r="C1807" s="7" t="s">
        <v>79</v>
      </c>
      <c r="D1807" s="7" t="s">
        <v>117</v>
      </c>
      <c r="E1807" s="7" t="s">
        <v>118</v>
      </c>
      <c r="F1807" s="7" t="s">
        <v>50</v>
      </c>
      <c r="G1807" s="7" t="s">
        <v>19</v>
      </c>
      <c r="H1807" s="9" t="n">
        <v>46149</v>
      </c>
      <c r="I1807" s="9" t="n">
        <v>46164</v>
      </c>
      <c r="J1807" s="7" t="n">
        <v>10</v>
      </c>
      <c r="K1807" s="7" t="s">
        <v>1971</v>
      </c>
      <c r="L1807" s="7" t="s">
        <v>19</v>
      </c>
      <c r="M1807" s="7" t="s">
        <v>2181</v>
      </c>
      <c r="N1807" s="7" t="s">
        <v>58</v>
      </c>
      <c r="O1807" s="10" t="n">
        <f aca="false">'Exec Summary'!$E$2-H1807</f>
        <v>85</v>
      </c>
      <c r="P1807" s="10" t="n">
        <f aca="false">IF(I1807="","",I1807-H1807)</f>
        <v>15</v>
      </c>
      <c r="Q1807" s="10" t="n">
        <f aca="false">VLOOKUP(G1807,$AA$2:$AB$5,2,FALSE())</f>
        <v>15</v>
      </c>
      <c r="R1807" s="7" t="n">
        <f aca="false">IF(OR(F1807="Open",F1807="Reopened"),1,0)</f>
        <v>0</v>
      </c>
      <c r="S1807" s="7" t="n">
        <f aca="false">IF(AND(H1807&gt;='Exec Summary'!$E$1,H1807&lt;='Exec Summary'!$E$2),1,0)</f>
        <v>0</v>
      </c>
      <c r="T1807" s="7" t="n">
        <f aca="false">IF(AND(F1807="Closed",I1807&lt;&gt;"",I1807&gt;='Exec Summary'!$E$1,I1807&lt;='Exec Summary'!$E$2),1,0)</f>
        <v>0</v>
      </c>
      <c r="U1807" s="7" t="n">
        <f aca="false">IF(F1807="Reopened",1,0)</f>
        <v>0</v>
      </c>
      <c r="V1807" s="7" t="n">
        <f aca="false">IF(AND(R1807=1,O1807&gt;Q1807),1,0)</f>
        <v>0</v>
      </c>
      <c r="W1807" s="7" t="n">
        <f aca="false">IF(AND(T1807=1,P1807&lt;&gt;"",P1807&lt;=Q1807),1,0)</f>
        <v>0</v>
      </c>
    </row>
    <row r="1808" customFormat="false" ht="15" hidden="false" customHeight="false" outlineLevel="0" collapsed="false">
      <c r="A1808" s="7" t="s">
        <v>2173</v>
      </c>
      <c r="B1808" s="7" t="s">
        <v>46</v>
      </c>
      <c r="C1808" s="7" t="s">
        <v>79</v>
      </c>
      <c r="D1808" s="7" t="s">
        <v>210</v>
      </c>
      <c r="E1808" s="7" t="s">
        <v>211</v>
      </c>
      <c r="F1808" s="7" t="s">
        <v>56</v>
      </c>
      <c r="G1808" s="7" t="s">
        <v>19</v>
      </c>
      <c r="H1808" s="9" t="n">
        <v>46026</v>
      </c>
      <c r="I1808" s="9"/>
      <c r="J1808" s="7" t="n">
        <v>9.8</v>
      </c>
      <c r="K1808" s="7" t="s">
        <v>1971</v>
      </c>
      <c r="L1808" s="7" t="s">
        <v>19</v>
      </c>
      <c r="M1808" s="7" t="s">
        <v>2182</v>
      </c>
      <c r="N1808" s="7" t="s">
        <v>58</v>
      </c>
      <c r="O1808" s="10" t="n">
        <f aca="false">'Exec Summary'!$E$2-H1808</f>
        <v>208</v>
      </c>
      <c r="P1808" s="10" t="str">
        <f aca="false">IF(I1808="","",I1808-H1808)</f>
        <v/>
      </c>
      <c r="Q1808" s="10" t="n">
        <f aca="false">VLOOKUP(G1808,$AA$2:$AB$5,2,FALSE())</f>
        <v>15</v>
      </c>
      <c r="R1808" s="7" t="n">
        <f aca="false">IF(OR(F1808="Open",F1808="Reopened"),1,0)</f>
        <v>1</v>
      </c>
      <c r="S1808" s="7" t="n">
        <f aca="false">IF(AND(H1808&gt;='Exec Summary'!$E$1,H1808&lt;='Exec Summary'!$E$2),1,0)</f>
        <v>0</v>
      </c>
      <c r="T1808" s="7" t="n">
        <f aca="false">IF(AND(F1808="Closed",I1808&lt;&gt;"",I1808&gt;='Exec Summary'!$E$1,I1808&lt;='Exec Summary'!$E$2),1,0)</f>
        <v>0</v>
      </c>
      <c r="U1808" s="7" t="n">
        <f aca="false">IF(F1808="Reopened",1,0)</f>
        <v>0</v>
      </c>
      <c r="V1808" s="7" t="n">
        <f aca="false">IF(AND(R1808=1,O1808&gt;Q1808),1,0)</f>
        <v>1</v>
      </c>
      <c r="W1808" s="7" t="n">
        <f aca="false">IF(AND(T1808=1,P1808&lt;&gt;"",P1808&lt;=Q1808),1,0)</f>
        <v>0</v>
      </c>
    </row>
    <row r="1809" customFormat="false" ht="15" hidden="false" customHeight="false" outlineLevel="0" collapsed="false">
      <c r="A1809" s="7" t="s">
        <v>2173</v>
      </c>
      <c r="B1809" s="7" t="s">
        <v>46</v>
      </c>
      <c r="C1809" s="7" t="s">
        <v>79</v>
      </c>
      <c r="D1809" s="7" t="s">
        <v>173</v>
      </c>
      <c r="E1809" s="7" t="s">
        <v>174</v>
      </c>
      <c r="F1809" s="7" t="s">
        <v>50</v>
      </c>
      <c r="G1809" s="7" t="s">
        <v>19</v>
      </c>
      <c r="H1809" s="9" t="n">
        <v>46019</v>
      </c>
      <c r="I1809" s="9" t="n">
        <v>46036</v>
      </c>
      <c r="J1809" s="7" t="n">
        <v>9.8</v>
      </c>
      <c r="K1809" s="7" t="s">
        <v>1971</v>
      </c>
      <c r="L1809" s="7" t="s">
        <v>19</v>
      </c>
      <c r="M1809" s="7" t="s">
        <v>2183</v>
      </c>
      <c r="N1809" s="7" t="s">
        <v>58</v>
      </c>
      <c r="O1809" s="10" t="n">
        <f aca="false">'Exec Summary'!$E$2-H1809</f>
        <v>215</v>
      </c>
      <c r="P1809" s="10" t="n">
        <f aca="false">IF(I1809="","",I1809-H1809)</f>
        <v>17</v>
      </c>
      <c r="Q1809" s="10" t="n">
        <f aca="false">VLOOKUP(G1809,$AA$2:$AB$5,2,FALSE())</f>
        <v>15</v>
      </c>
      <c r="R1809" s="7" t="n">
        <f aca="false">IF(OR(F1809="Open",F1809="Reopened"),1,0)</f>
        <v>0</v>
      </c>
      <c r="S1809" s="7" t="n">
        <f aca="false">IF(AND(H1809&gt;='Exec Summary'!$E$1,H1809&lt;='Exec Summary'!$E$2),1,0)</f>
        <v>0</v>
      </c>
      <c r="T1809" s="7" t="n">
        <f aca="false">IF(AND(F1809="Closed",I1809&lt;&gt;"",I1809&gt;='Exec Summary'!$E$1,I1809&lt;='Exec Summary'!$E$2),1,0)</f>
        <v>0</v>
      </c>
      <c r="U1809" s="7" t="n">
        <f aca="false">IF(F1809="Reopened",1,0)</f>
        <v>0</v>
      </c>
      <c r="V1809" s="7" t="n">
        <f aca="false">IF(AND(R1809=1,O1809&gt;Q1809),1,0)</f>
        <v>0</v>
      </c>
      <c r="W1809" s="7" t="n">
        <f aca="false">IF(AND(T1809=1,P1809&lt;&gt;"",P1809&lt;=Q1809),1,0)</f>
        <v>0</v>
      </c>
    </row>
    <row r="1810" customFormat="false" ht="15" hidden="false" customHeight="false" outlineLevel="0" collapsed="false">
      <c r="A1810" s="7" t="s">
        <v>2173</v>
      </c>
      <c r="B1810" s="7" t="s">
        <v>46</v>
      </c>
      <c r="C1810" s="7" t="s">
        <v>79</v>
      </c>
      <c r="D1810" s="7" t="s">
        <v>112</v>
      </c>
      <c r="E1810" s="7" t="s">
        <v>113</v>
      </c>
      <c r="F1810" s="7" t="s">
        <v>50</v>
      </c>
      <c r="G1810" s="7" t="s">
        <v>20</v>
      </c>
      <c r="H1810" s="9" t="n">
        <v>45985</v>
      </c>
      <c r="I1810" s="9" t="n">
        <v>46021</v>
      </c>
      <c r="J1810" s="7" t="n">
        <v>7.8</v>
      </c>
      <c r="K1810" s="7" t="s">
        <v>1971</v>
      </c>
      <c r="L1810" s="7" t="s">
        <v>19</v>
      </c>
      <c r="M1810" s="7" t="s">
        <v>2184</v>
      </c>
      <c r="N1810" s="7" t="s">
        <v>53</v>
      </c>
      <c r="O1810" s="10" t="n">
        <f aca="false">'Exec Summary'!$E$2-H1810</f>
        <v>249</v>
      </c>
      <c r="P1810" s="10" t="n">
        <f aca="false">IF(I1810="","",I1810-H1810)</f>
        <v>36</v>
      </c>
      <c r="Q1810" s="10" t="n">
        <f aca="false">VLOOKUP(G1810,$AA$2:$AB$5,2,FALSE())</f>
        <v>30</v>
      </c>
      <c r="R1810" s="7" t="n">
        <f aca="false">IF(OR(F1810="Open",F1810="Reopened"),1,0)</f>
        <v>0</v>
      </c>
      <c r="S1810" s="7" t="n">
        <f aca="false">IF(AND(H1810&gt;='Exec Summary'!$E$1,H1810&lt;='Exec Summary'!$E$2),1,0)</f>
        <v>0</v>
      </c>
      <c r="T1810" s="7" t="n">
        <f aca="false">IF(AND(F1810="Closed",I1810&lt;&gt;"",I1810&gt;='Exec Summary'!$E$1,I1810&lt;='Exec Summary'!$E$2),1,0)</f>
        <v>0</v>
      </c>
      <c r="U1810" s="7" t="n">
        <f aca="false">IF(F1810="Reopened",1,0)</f>
        <v>0</v>
      </c>
      <c r="V1810" s="7" t="n">
        <f aca="false">IF(AND(R1810=1,O1810&gt;Q1810),1,0)</f>
        <v>0</v>
      </c>
      <c r="W1810" s="7" t="n">
        <f aca="false">IF(AND(T1810=1,P1810&lt;&gt;"",P1810&lt;=Q1810),1,0)</f>
        <v>0</v>
      </c>
    </row>
    <row r="1811" customFormat="false" ht="15" hidden="false" customHeight="false" outlineLevel="0" collapsed="false">
      <c r="A1811" s="7" t="s">
        <v>2173</v>
      </c>
      <c r="B1811" s="7" t="s">
        <v>46</v>
      </c>
      <c r="C1811" s="7" t="s">
        <v>79</v>
      </c>
      <c r="D1811" s="7" t="s">
        <v>163</v>
      </c>
      <c r="E1811" s="7" t="s">
        <v>164</v>
      </c>
      <c r="F1811" s="7" t="s">
        <v>50</v>
      </c>
      <c r="G1811" s="7" t="s">
        <v>19</v>
      </c>
      <c r="H1811" s="9" t="n">
        <v>46001</v>
      </c>
      <c r="I1811" s="9" t="n">
        <v>46013</v>
      </c>
      <c r="J1811" s="7" t="n">
        <v>9.1</v>
      </c>
      <c r="K1811" s="7" t="s">
        <v>1971</v>
      </c>
      <c r="L1811" s="7" t="s">
        <v>19</v>
      </c>
      <c r="M1811" s="7" t="s">
        <v>2185</v>
      </c>
      <c r="N1811" s="7" t="s">
        <v>58</v>
      </c>
      <c r="O1811" s="10" t="n">
        <f aca="false">'Exec Summary'!$E$2-H1811</f>
        <v>233</v>
      </c>
      <c r="P1811" s="10" t="n">
        <f aca="false">IF(I1811="","",I1811-H1811)</f>
        <v>12</v>
      </c>
      <c r="Q1811" s="10" t="n">
        <f aca="false">VLOOKUP(G1811,$AA$2:$AB$5,2,FALSE())</f>
        <v>15</v>
      </c>
      <c r="R1811" s="7" t="n">
        <f aca="false">IF(OR(F1811="Open",F1811="Reopened"),1,0)</f>
        <v>0</v>
      </c>
      <c r="S1811" s="7" t="n">
        <f aca="false">IF(AND(H1811&gt;='Exec Summary'!$E$1,H1811&lt;='Exec Summary'!$E$2),1,0)</f>
        <v>0</v>
      </c>
      <c r="T1811" s="7" t="n">
        <f aca="false">IF(AND(F1811="Closed",I1811&lt;&gt;"",I1811&gt;='Exec Summary'!$E$1,I1811&lt;='Exec Summary'!$E$2),1,0)</f>
        <v>0</v>
      </c>
      <c r="U1811" s="7" t="n">
        <f aca="false">IF(F1811="Reopened",1,0)</f>
        <v>0</v>
      </c>
      <c r="V1811" s="7" t="n">
        <f aca="false">IF(AND(R1811=1,O1811&gt;Q1811),1,0)</f>
        <v>0</v>
      </c>
      <c r="W1811" s="7" t="n">
        <f aca="false">IF(AND(T1811=1,P1811&lt;&gt;"",P1811&lt;=Q1811),1,0)</f>
        <v>0</v>
      </c>
    </row>
    <row r="1812" customFormat="false" ht="15" hidden="false" customHeight="false" outlineLevel="0" collapsed="false">
      <c r="A1812" s="7" t="s">
        <v>2186</v>
      </c>
      <c r="B1812" s="7" t="s">
        <v>135</v>
      </c>
      <c r="C1812" s="7" t="s">
        <v>136</v>
      </c>
      <c r="D1812" s="7" t="s">
        <v>131</v>
      </c>
      <c r="E1812" s="7" t="s">
        <v>132</v>
      </c>
      <c r="F1812" s="7" t="s">
        <v>56</v>
      </c>
      <c r="G1812" s="7" t="s">
        <v>19</v>
      </c>
      <c r="H1812" s="9" t="n">
        <v>45989</v>
      </c>
      <c r="I1812" s="9"/>
      <c r="J1812" s="7" t="n">
        <v>9.8</v>
      </c>
      <c r="K1812" s="7" t="s">
        <v>1971</v>
      </c>
      <c r="L1812" s="7" t="s">
        <v>19</v>
      </c>
      <c r="M1812" s="7" t="s">
        <v>2187</v>
      </c>
      <c r="N1812" s="7" t="s">
        <v>58</v>
      </c>
      <c r="O1812" s="10" t="n">
        <f aca="false">'Exec Summary'!$E$2-H1812</f>
        <v>245</v>
      </c>
      <c r="P1812" s="10" t="str">
        <f aca="false">IF(I1812="","",I1812-H1812)</f>
        <v/>
      </c>
      <c r="Q1812" s="10" t="n">
        <f aca="false">VLOOKUP(G1812,$AA$2:$AB$5,2,FALSE())</f>
        <v>15</v>
      </c>
      <c r="R1812" s="7" t="n">
        <f aca="false">IF(OR(F1812="Open",F1812="Reopened"),1,0)</f>
        <v>1</v>
      </c>
      <c r="S1812" s="7" t="n">
        <f aca="false">IF(AND(H1812&gt;='Exec Summary'!$E$1,H1812&lt;='Exec Summary'!$E$2),1,0)</f>
        <v>0</v>
      </c>
      <c r="T1812" s="7" t="n">
        <f aca="false">IF(AND(F1812="Closed",I1812&lt;&gt;"",I1812&gt;='Exec Summary'!$E$1,I1812&lt;='Exec Summary'!$E$2),1,0)</f>
        <v>0</v>
      </c>
      <c r="U1812" s="7" t="n">
        <f aca="false">IF(F1812="Reopened",1,0)</f>
        <v>0</v>
      </c>
      <c r="V1812" s="7" t="n">
        <f aca="false">IF(AND(R1812=1,O1812&gt;Q1812),1,0)</f>
        <v>1</v>
      </c>
      <c r="W1812" s="7" t="n">
        <f aca="false">IF(AND(T1812=1,P1812&lt;&gt;"",P1812&lt;=Q1812),1,0)</f>
        <v>0</v>
      </c>
    </row>
    <row r="1813" customFormat="false" ht="15" hidden="false" customHeight="false" outlineLevel="0" collapsed="false">
      <c r="A1813" s="7" t="s">
        <v>2186</v>
      </c>
      <c r="B1813" s="7" t="s">
        <v>135</v>
      </c>
      <c r="C1813" s="7" t="s">
        <v>136</v>
      </c>
      <c r="D1813" s="7" t="s">
        <v>163</v>
      </c>
      <c r="E1813" s="7" t="s">
        <v>164</v>
      </c>
      <c r="F1813" s="7" t="s">
        <v>56</v>
      </c>
      <c r="G1813" s="7" t="s">
        <v>19</v>
      </c>
      <c r="H1813" s="9" t="n">
        <v>45971</v>
      </c>
      <c r="I1813" s="9"/>
      <c r="J1813" s="7" t="n">
        <v>9.1</v>
      </c>
      <c r="K1813" s="7" t="s">
        <v>1971</v>
      </c>
      <c r="L1813" s="7" t="s">
        <v>19</v>
      </c>
      <c r="M1813" s="7" t="s">
        <v>2188</v>
      </c>
      <c r="N1813" s="7" t="s">
        <v>58</v>
      </c>
      <c r="O1813" s="10" t="n">
        <f aca="false">'Exec Summary'!$E$2-H1813</f>
        <v>263</v>
      </c>
      <c r="P1813" s="10" t="str">
        <f aca="false">IF(I1813="","",I1813-H1813)</f>
        <v/>
      </c>
      <c r="Q1813" s="10" t="n">
        <f aca="false">VLOOKUP(G1813,$AA$2:$AB$5,2,FALSE())</f>
        <v>15</v>
      </c>
      <c r="R1813" s="7" t="n">
        <f aca="false">IF(OR(F1813="Open",F1813="Reopened"),1,0)</f>
        <v>1</v>
      </c>
      <c r="S1813" s="7" t="n">
        <f aca="false">IF(AND(H1813&gt;='Exec Summary'!$E$1,H1813&lt;='Exec Summary'!$E$2),1,0)</f>
        <v>0</v>
      </c>
      <c r="T1813" s="7" t="n">
        <f aca="false">IF(AND(F1813="Closed",I1813&lt;&gt;"",I1813&gt;='Exec Summary'!$E$1,I1813&lt;='Exec Summary'!$E$2),1,0)</f>
        <v>0</v>
      </c>
      <c r="U1813" s="7" t="n">
        <f aca="false">IF(F1813="Reopened",1,0)</f>
        <v>0</v>
      </c>
      <c r="V1813" s="7" t="n">
        <f aca="false">IF(AND(R1813=1,O1813&gt;Q1813),1,0)</f>
        <v>1</v>
      </c>
      <c r="W1813" s="7" t="n">
        <f aca="false">IF(AND(T1813=1,P1813&lt;&gt;"",P1813&lt;=Q1813),1,0)</f>
        <v>0</v>
      </c>
    </row>
    <row r="1814" customFormat="false" ht="15" hidden="false" customHeight="false" outlineLevel="0" collapsed="false">
      <c r="A1814" s="7" t="s">
        <v>2186</v>
      </c>
      <c r="B1814" s="7" t="s">
        <v>135</v>
      </c>
      <c r="C1814" s="7" t="s">
        <v>136</v>
      </c>
      <c r="D1814" s="7" t="s">
        <v>210</v>
      </c>
      <c r="E1814" s="7" t="s">
        <v>211</v>
      </c>
      <c r="F1814" s="7" t="s">
        <v>56</v>
      </c>
      <c r="G1814" s="7" t="s">
        <v>19</v>
      </c>
      <c r="H1814" s="9" t="n">
        <v>46163</v>
      </c>
      <c r="I1814" s="9"/>
      <c r="J1814" s="7" t="n">
        <v>9.8</v>
      </c>
      <c r="K1814" s="7" t="s">
        <v>1971</v>
      </c>
      <c r="L1814" s="7" t="s">
        <v>19</v>
      </c>
      <c r="M1814" s="7" t="s">
        <v>2189</v>
      </c>
      <c r="N1814" s="7" t="s">
        <v>58</v>
      </c>
      <c r="O1814" s="10" t="n">
        <f aca="false">'Exec Summary'!$E$2-H1814</f>
        <v>71</v>
      </c>
      <c r="P1814" s="10" t="str">
        <f aca="false">IF(I1814="","",I1814-H1814)</f>
        <v/>
      </c>
      <c r="Q1814" s="10" t="n">
        <f aca="false">VLOOKUP(G1814,$AA$2:$AB$5,2,FALSE())</f>
        <v>15</v>
      </c>
      <c r="R1814" s="7" t="n">
        <f aca="false">IF(OR(F1814="Open",F1814="Reopened"),1,0)</f>
        <v>1</v>
      </c>
      <c r="S1814" s="7" t="n">
        <f aca="false">IF(AND(H1814&gt;='Exec Summary'!$E$1,H1814&lt;='Exec Summary'!$E$2),1,0)</f>
        <v>0</v>
      </c>
      <c r="T1814" s="7" t="n">
        <f aca="false">IF(AND(F1814="Closed",I1814&lt;&gt;"",I1814&gt;='Exec Summary'!$E$1,I1814&lt;='Exec Summary'!$E$2),1,0)</f>
        <v>0</v>
      </c>
      <c r="U1814" s="7" t="n">
        <f aca="false">IF(F1814="Reopened",1,0)</f>
        <v>0</v>
      </c>
      <c r="V1814" s="7" t="n">
        <f aca="false">IF(AND(R1814=1,O1814&gt;Q1814),1,0)</f>
        <v>1</v>
      </c>
      <c r="W1814" s="7" t="n">
        <f aca="false">IF(AND(T1814=1,P1814&lt;&gt;"",P1814&lt;=Q1814),1,0)</f>
        <v>0</v>
      </c>
    </row>
    <row r="1815" customFormat="false" ht="15" hidden="false" customHeight="false" outlineLevel="0" collapsed="false">
      <c r="A1815" s="7" t="s">
        <v>2186</v>
      </c>
      <c r="B1815" s="7" t="s">
        <v>135</v>
      </c>
      <c r="C1815" s="7" t="s">
        <v>136</v>
      </c>
      <c r="D1815" s="7" t="s">
        <v>59</v>
      </c>
      <c r="E1815" s="7" t="s">
        <v>60</v>
      </c>
      <c r="F1815" s="7" t="s">
        <v>50</v>
      </c>
      <c r="G1815" s="7" t="s">
        <v>19</v>
      </c>
      <c r="H1815" s="9" t="n">
        <v>46157</v>
      </c>
      <c r="I1815" s="9" t="n">
        <v>46164</v>
      </c>
      <c r="J1815" s="7" t="n">
        <v>7.8</v>
      </c>
      <c r="K1815" s="7" t="s">
        <v>1971</v>
      </c>
      <c r="L1815" s="7" t="s">
        <v>19</v>
      </c>
      <c r="M1815" s="7" t="s">
        <v>2190</v>
      </c>
      <c r="N1815" s="7" t="s">
        <v>58</v>
      </c>
      <c r="O1815" s="10" t="n">
        <f aca="false">'Exec Summary'!$E$2-H1815</f>
        <v>77</v>
      </c>
      <c r="P1815" s="10" t="n">
        <f aca="false">IF(I1815="","",I1815-H1815)</f>
        <v>7</v>
      </c>
      <c r="Q1815" s="10" t="n">
        <f aca="false">VLOOKUP(G1815,$AA$2:$AB$5,2,FALSE())</f>
        <v>15</v>
      </c>
      <c r="R1815" s="7" t="n">
        <f aca="false">IF(OR(F1815="Open",F1815="Reopened"),1,0)</f>
        <v>0</v>
      </c>
      <c r="S1815" s="7" t="n">
        <f aca="false">IF(AND(H1815&gt;='Exec Summary'!$E$1,H1815&lt;='Exec Summary'!$E$2),1,0)</f>
        <v>0</v>
      </c>
      <c r="T1815" s="7" t="n">
        <f aca="false">IF(AND(F1815="Closed",I1815&lt;&gt;"",I1815&gt;='Exec Summary'!$E$1,I1815&lt;='Exec Summary'!$E$2),1,0)</f>
        <v>0</v>
      </c>
      <c r="U1815" s="7" t="n">
        <f aca="false">IF(F1815="Reopened",1,0)</f>
        <v>0</v>
      </c>
      <c r="V1815" s="7" t="n">
        <f aca="false">IF(AND(R1815=1,O1815&gt;Q1815),1,0)</f>
        <v>0</v>
      </c>
      <c r="W1815" s="7" t="n">
        <f aca="false">IF(AND(T1815=1,P1815&lt;&gt;"",P1815&lt;=Q1815),1,0)</f>
        <v>0</v>
      </c>
    </row>
    <row r="1816" customFormat="false" ht="15" hidden="false" customHeight="false" outlineLevel="0" collapsed="false">
      <c r="A1816" s="7" t="s">
        <v>2186</v>
      </c>
      <c r="B1816" s="7" t="s">
        <v>135</v>
      </c>
      <c r="C1816" s="7" t="s">
        <v>136</v>
      </c>
      <c r="D1816" s="7" t="s">
        <v>71</v>
      </c>
      <c r="E1816" s="7" t="s">
        <v>72</v>
      </c>
      <c r="F1816" s="7" t="s">
        <v>123</v>
      </c>
      <c r="G1816" s="7" t="s">
        <v>19</v>
      </c>
      <c r="H1816" s="9" t="n">
        <v>45976</v>
      </c>
      <c r="I1816" s="9" t="n">
        <v>45987</v>
      </c>
      <c r="J1816" s="7" t="n">
        <v>9.8</v>
      </c>
      <c r="K1816" s="7" t="s">
        <v>1971</v>
      </c>
      <c r="L1816" s="7" t="s">
        <v>19</v>
      </c>
      <c r="M1816" s="7" t="s">
        <v>2191</v>
      </c>
      <c r="N1816" s="7" t="s">
        <v>58</v>
      </c>
      <c r="O1816" s="10" t="n">
        <f aca="false">'Exec Summary'!$E$2-H1816</f>
        <v>258</v>
      </c>
      <c r="P1816" s="10" t="n">
        <f aca="false">IF(I1816="","",I1816-H1816)</f>
        <v>11</v>
      </c>
      <c r="Q1816" s="10" t="n">
        <f aca="false">VLOOKUP(G1816,$AA$2:$AB$5,2,FALSE())</f>
        <v>15</v>
      </c>
      <c r="R1816" s="7" t="n">
        <f aca="false">IF(OR(F1816="Open",F1816="Reopened"),1,0)</f>
        <v>1</v>
      </c>
      <c r="S1816" s="7" t="n">
        <f aca="false">IF(AND(H1816&gt;='Exec Summary'!$E$1,H1816&lt;='Exec Summary'!$E$2),1,0)</f>
        <v>0</v>
      </c>
      <c r="T1816" s="7" t="n">
        <f aca="false">IF(AND(F1816="Closed",I1816&lt;&gt;"",I1816&gt;='Exec Summary'!$E$1,I1816&lt;='Exec Summary'!$E$2),1,0)</f>
        <v>0</v>
      </c>
      <c r="U1816" s="7" t="n">
        <f aca="false">IF(F1816="Reopened",1,0)</f>
        <v>1</v>
      </c>
      <c r="V1816" s="7" t="n">
        <f aca="false">IF(AND(R1816=1,O1816&gt;Q1816),1,0)</f>
        <v>1</v>
      </c>
      <c r="W1816" s="7" t="n">
        <f aca="false">IF(AND(T1816=1,P1816&lt;&gt;"",P1816&lt;=Q1816),1,0)</f>
        <v>0</v>
      </c>
    </row>
    <row r="1817" customFormat="false" ht="15" hidden="false" customHeight="false" outlineLevel="0" collapsed="false">
      <c r="A1817" s="7" t="s">
        <v>2192</v>
      </c>
      <c r="B1817" s="7" t="s">
        <v>46</v>
      </c>
      <c r="C1817" s="7" t="s">
        <v>177</v>
      </c>
      <c r="D1817" s="7" t="s">
        <v>71</v>
      </c>
      <c r="E1817" s="7" t="s">
        <v>72</v>
      </c>
      <c r="F1817" s="7" t="s">
        <v>56</v>
      </c>
      <c r="G1817" s="7" t="s">
        <v>19</v>
      </c>
      <c r="H1817" s="9" t="n">
        <v>46194</v>
      </c>
      <c r="I1817" s="9"/>
      <c r="J1817" s="7" t="n">
        <v>9.8</v>
      </c>
      <c r="K1817" s="7" t="s">
        <v>1971</v>
      </c>
      <c r="L1817" s="7" t="s">
        <v>19</v>
      </c>
      <c r="M1817" s="7" t="s">
        <v>2193</v>
      </c>
      <c r="N1817" s="7" t="s">
        <v>58</v>
      </c>
      <c r="O1817" s="10" t="n">
        <f aca="false">'Exec Summary'!$E$2-H1817</f>
        <v>40</v>
      </c>
      <c r="P1817" s="10" t="str">
        <f aca="false">IF(I1817="","",I1817-H1817)</f>
        <v/>
      </c>
      <c r="Q1817" s="10" t="n">
        <f aca="false">VLOOKUP(G1817,$AA$2:$AB$5,2,FALSE())</f>
        <v>15</v>
      </c>
      <c r="R1817" s="7" t="n">
        <f aca="false">IF(OR(F1817="Open",F1817="Reopened"),1,0)</f>
        <v>1</v>
      </c>
      <c r="S1817" s="7" t="n">
        <f aca="false">IF(AND(H1817&gt;='Exec Summary'!$E$1,H1817&lt;='Exec Summary'!$E$2),1,0)</f>
        <v>0</v>
      </c>
      <c r="T1817" s="7" t="n">
        <f aca="false">IF(AND(F1817="Closed",I1817&lt;&gt;"",I1817&gt;='Exec Summary'!$E$1,I1817&lt;='Exec Summary'!$E$2),1,0)</f>
        <v>0</v>
      </c>
      <c r="U1817" s="7" t="n">
        <f aca="false">IF(F1817="Reopened",1,0)</f>
        <v>0</v>
      </c>
      <c r="V1817" s="7" t="n">
        <f aca="false">IF(AND(R1817=1,O1817&gt;Q1817),1,0)</f>
        <v>1</v>
      </c>
      <c r="W1817" s="7" t="n">
        <f aca="false">IF(AND(T1817=1,P1817&lt;&gt;"",P1817&lt;=Q1817),1,0)</f>
        <v>0</v>
      </c>
    </row>
    <row r="1818" customFormat="false" ht="15" hidden="false" customHeight="false" outlineLevel="0" collapsed="false">
      <c r="A1818" s="7" t="s">
        <v>2192</v>
      </c>
      <c r="B1818" s="7" t="s">
        <v>46</v>
      </c>
      <c r="C1818" s="7" t="s">
        <v>177</v>
      </c>
      <c r="D1818" s="7" t="s">
        <v>95</v>
      </c>
      <c r="E1818" s="7" t="s">
        <v>96</v>
      </c>
      <c r="F1818" s="7" t="s">
        <v>50</v>
      </c>
      <c r="G1818" s="7" t="s">
        <v>20</v>
      </c>
      <c r="H1818" s="9" t="n">
        <v>46080</v>
      </c>
      <c r="I1818" s="9" t="n">
        <v>46098</v>
      </c>
      <c r="J1818" s="7" t="n">
        <v>8.8</v>
      </c>
      <c r="K1818" s="7" t="s">
        <v>1971</v>
      </c>
      <c r="L1818" s="7" t="s">
        <v>19</v>
      </c>
      <c r="M1818" s="7" t="s">
        <v>2194</v>
      </c>
      <c r="N1818" s="7" t="s">
        <v>53</v>
      </c>
      <c r="O1818" s="10" t="n">
        <f aca="false">'Exec Summary'!$E$2-H1818</f>
        <v>154</v>
      </c>
      <c r="P1818" s="10" t="n">
        <f aca="false">IF(I1818="","",I1818-H1818)</f>
        <v>18</v>
      </c>
      <c r="Q1818" s="10" t="n">
        <f aca="false">VLOOKUP(G1818,$AA$2:$AB$5,2,FALSE())</f>
        <v>30</v>
      </c>
      <c r="R1818" s="7" t="n">
        <f aca="false">IF(OR(F1818="Open",F1818="Reopened"),1,0)</f>
        <v>0</v>
      </c>
      <c r="S1818" s="7" t="n">
        <f aca="false">IF(AND(H1818&gt;='Exec Summary'!$E$1,H1818&lt;='Exec Summary'!$E$2),1,0)</f>
        <v>0</v>
      </c>
      <c r="T1818" s="7" t="n">
        <f aca="false">IF(AND(F1818="Closed",I1818&lt;&gt;"",I1818&gt;='Exec Summary'!$E$1,I1818&lt;='Exec Summary'!$E$2),1,0)</f>
        <v>0</v>
      </c>
      <c r="U1818" s="7" t="n">
        <f aca="false">IF(F1818="Reopened",1,0)</f>
        <v>0</v>
      </c>
      <c r="V1818" s="7" t="n">
        <f aca="false">IF(AND(R1818=1,O1818&gt;Q1818),1,0)</f>
        <v>0</v>
      </c>
      <c r="W1818" s="7" t="n">
        <f aca="false">IF(AND(T1818=1,P1818&lt;&gt;"",P1818&lt;=Q1818),1,0)</f>
        <v>0</v>
      </c>
    </row>
    <row r="1819" customFormat="false" ht="15" hidden="false" customHeight="false" outlineLevel="0" collapsed="false">
      <c r="A1819" s="7" t="s">
        <v>2192</v>
      </c>
      <c r="B1819" s="7" t="s">
        <v>46</v>
      </c>
      <c r="C1819" s="7" t="s">
        <v>177</v>
      </c>
      <c r="D1819" s="7" t="s">
        <v>152</v>
      </c>
      <c r="E1819" s="7" t="s">
        <v>153</v>
      </c>
      <c r="F1819" s="7" t="s">
        <v>50</v>
      </c>
      <c r="G1819" s="7" t="s">
        <v>20</v>
      </c>
      <c r="H1819" s="9" t="n">
        <v>46154</v>
      </c>
      <c r="I1819" s="9" t="n">
        <v>46184</v>
      </c>
      <c r="J1819" s="7" t="n">
        <v>7.5</v>
      </c>
      <c r="K1819" s="7" t="s">
        <v>1971</v>
      </c>
      <c r="L1819" s="7" t="s">
        <v>19</v>
      </c>
      <c r="M1819" s="7" t="s">
        <v>2195</v>
      </c>
      <c r="N1819" s="7" t="s">
        <v>53</v>
      </c>
      <c r="O1819" s="10" t="n">
        <f aca="false">'Exec Summary'!$E$2-H1819</f>
        <v>80</v>
      </c>
      <c r="P1819" s="10" t="n">
        <f aca="false">IF(I1819="","",I1819-H1819)</f>
        <v>30</v>
      </c>
      <c r="Q1819" s="10" t="n">
        <f aca="false">VLOOKUP(G1819,$AA$2:$AB$5,2,FALSE())</f>
        <v>30</v>
      </c>
      <c r="R1819" s="7" t="n">
        <f aca="false">IF(OR(F1819="Open",F1819="Reopened"),1,0)</f>
        <v>0</v>
      </c>
      <c r="S1819" s="7" t="n">
        <f aca="false">IF(AND(H1819&gt;='Exec Summary'!$E$1,H1819&lt;='Exec Summary'!$E$2),1,0)</f>
        <v>0</v>
      </c>
      <c r="T1819" s="7" t="n">
        <f aca="false">IF(AND(F1819="Closed",I1819&lt;&gt;"",I1819&gt;='Exec Summary'!$E$1,I1819&lt;='Exec Summary'!$E$2),1,0)</f>
        <v>0</v>
      </c>
      <c r="U1819" s="7" t="n">
        <f aca="false">IF(F1819="Reopened",1,0)</f>
        <v>0</v>
      </c>
      <c r="V1819" s="7" t="n">
        <f aca="false">IF(AND(R1819=1,O1819&gt;Q1819),1,0)</f>
        <v>0</v>
      </c>
      <c r="W1819" s="7" t="n">
        <f aca="false">IF(AND(T1819=1,P1819&lt;&gt;"",P1819&lt;=Q1819),1,0)</f>
        <v>0</v>
      </c>
    </row>
    <row r="1820" customFormat="false" ht="15" hidden="false" customHeight="false" outlineLevel="0" collapsed="false">
      <c r="A1820" s="7" t="s">
        <v>2192</v>
      </c>
      <c r="B1820" s="7" t="s">
        <v>46</v>
      </c>
      <c r="C1820" s="7" t="s">
        <v>177</v>
      </c>
      <c r="D1820" s="7" t="s">
        <v>131</v>
      </c>
      <c r="E1820" s="7" t="s">
        <v>132</v>
      </c>
      <c r="F1820" s="7" t="s">
        <v>50</v>
      </c>
      <c r="G1820" s="7" t="s">
        <v>19</v>
      </c>
      <c r="H1820" s="9" t="n">
        <v>45984</v>
      </c>
      <c r="I1820" s="9" t="n">
        <v>45998</v>
      </c>
      <c r="J1820" s="7" t="n">
        <v>9.8</v>
      </c>
      <c r="K1820" s="7" t="s">
        <v>1971</v>
      </c>
      <c r="L1820" s="7" t="s">
        <v>19</v>
      </c>
      <c r="M1820" s="7" t="s">
        <v>2196</v>
      </c>
      <c r="N1820" s="7" t="s">
        <v>58</v>
      </c>
      <c r="O1820" s="10" t="n">
        <f aca="false">'Exec Summary'!$E$2-H1820</f>
        <v>250</v>
      </c>
      <c r="P1820" s="10" t="n">
        <f aca="false">IF(I1820="","",I1820-H1820)</f>
        <v>14</v>
      </c>
      <c r="Q1820" s="10" t="n">
        <f aca="false">VLOOKUP(G1820,$AA$2:$AB$5,2,FALSE())</f>
        <v>15</v>
      </c>
      <c r="R1820" s="7" t="n">
        <f aca="false">IF(OR(F1820="Open",F1820="Reopened"),1,0)</f>
        <v>0</v>
      </c>
      <c r="S1820" s="7" t="n">
        <f aca="false">IF(AND(H1820&gt;='Exec Summary'!$E$1,H1820&lt;='Exec Summary'!$E$2),1,0)</f>
        <v>0</v>
      </c>
      <c r="T1820" s="7" t="n">
        <f aca="false">IF(AND(F1820="Closed",I1820&lt;&gt;"",I1820&gt;='Exec Summary'!$E$1,I1820&lt;='Exec Summary'!$E$2),1,0)</f>
        <v>0</v>
      </c>
      <c r="U1820" s="7" t="n">
        <f aca="false">IF(F1820="Reopened",1,0)</f>
        <v>0</v>
      </c>
      <c r="V1820" s="7" t="n">
        <f aca="false">IF(AND(R1820=1,O1820&gt;Q1820),1,0)</f>
        <v>0</v>
      </c>
      <c r="W1820" s="7" t="n">
        <f aca="false">IF(AND(T1820=1,P1820&lt;&gt;"",P1820&lt;=Q1820),1,0)</f>
        <v>0</v>
      </c>
    </row>
    <row r="1821" customFormat="false" ht="15" hidden="false" customHeight="false" outlineLevel="0" collapsed="false">
      <c r="A1821" s="7" t="s">
        <v>2192</v>
      </c>
      <c r="B1821" s="7" t="s">
        <v>46</v>
      </c>
      <c r="C1821" s="7" t="s">
        <v>177</v>
      </c>
      <c r="D1821" s="7" t="s">
        <v>54</v>
      </c>
      <c r="E1821" s="7" t="s">
        <v>55</v>
      </c>
      <c r="F1821" s="7" t="s">
        <v>50</v>
      </c>
      <c r="G1821" s="7" t="s">
        <v>19</v>
      </c>
      <c r="H1821" s="9" t="n">
        <v>46020</v>
      </c>
      <c r="I1821" s="9" t="n">
        <v>46036</v>
      </c>
      <c r="J1821" s="7" t="n">
        <v>9.8</v>
      </c>
      <c r="K1821" s="7" t="s">
        <v>1971</v>
      </c>
      <c r="L1821" s="7" t="s">
        <v>19</v>
      </c>
      <c r="M1821" s="7" t="s">
        <v>2197</v>
      </c>
      <c r="N1821" s="7" t="s">
        <v>58</v>
      </c>
      <c r="O1821" s="10" t="n">
        <f aca="false">'Exec Summary'!$E$2-H1821</f>
        <v>214</v>
      </c>
      <c r="P1821" s="10" t="n">
        <f aca="false">IF(I1821="","",I1821-H1821)</f>
        <v>16</v>
      </c>
      <c r="Q1821" s="10" t="n">
        <f aca="false">VLOOKUP(G1821,$AA$2:$AB$5,2,FALSE())</f>
        <v>15</v>
      </c>
      <c r="R1821" s="7" t="n">
        <f aca="false">IF(OR(F1821="Open",F1821="Reopened"),1,0)</f>
        <v>0</v>
      </c>
      <c r="S1821" s="7" t="n">
        <f aca="false">IF(AND(H1821&gt;='Exec Summary'!$E$1,H1821&lt;='Exec Summary'!$E$2),1,0)</f>
        <v>0</v>
      </c>
      <c r="T1821" s="7" t="n">
        <f aca="false">IF(AND(F1821="Closed",I1821&lt;&gt;"",I1821&gt;='Exec Summary'!$E$1,I1821&lt;='Exec Summary'!$E$2),1,0)</f>
        <v>0</v>
      </c>
      <c r="U1821" s="7" t="n">
        <f aca="false">IF(F1821="Reopened",1,0)</f>
        <v>0</v>
      </c>
      <c r="V1821" s="7" t="n">
        <f aca="false">IF(AND(R1821=1,O1821&gt;Q1821),1,0)</f>
        <v>0</v>
      </c>
      <c r="W1821" s="7" t="n">
        <f aca="false">IF(AND(T1821=1,P1821&lt;&gt;"",P1821&lt;=Q1821),1,0)</f>
        <v>0</v>
      </c>
    </row>
    <row r="1822" customFormat="false" ht="15" hidden="false" customHeight="false" outlineLevel="0" collapsed="false">
      <c r="A1822" s="7" t="s">
        <v>2192</v>
      </c>
      <c r="B1822" s="7" t="s">
        <v>46</v>
      </c>
      <c r="C1822" s="7" t="s">
        <v>177</v>
      </c>
      <c r="D1822" s="7" t="s">
        <v>87</v>
      </c>
      <c r="E1822" s="7" t="s">
        <v>88</v>
      </c>
      <c r="F1822" s="7" t="s">
        <v>56</v>
      </c>
      <c r="G1822" s="7" t="s">
        <v>19</v>
      </c>
      <c r="H1822" s="9" t="n">
        <v>46052</v>
      </c>
      <c r="I1822" s="9"/>
      <c r="J1822" s="7" t="n">
        <v>10</v>
      </c>
      <c r="K1822" s="7" t="s">
        <v>1971</v>
      </c>
      <c r="L1822" s="7" t="s">
        <v>19</v>
      </c>
      <c r="M1822" s="7" t="s">
        <v>2198</v>
      </c>
      <c r="N1822" s="7" t="s">
        <v>58</v>
      </c>
      <c r="O1822" s="10" t="n">
        <f aca="false">'Exec Summary'!$E$2-H1822</f>
        <v>182</v>
      </c>
      <c r="P1822" s="10" t="str">
        <f aca="false">IF(I1822="","",I1822-H1822)</f>
        <v/>
      </c>
      <c r="Q1822" s="10" t="n">
        <f aca="false">VLOOKUP(G1822,$AA$2:$AB$5,2,FALSE())</f>
        <v>15</v>
      </c>
      <c r="R1822" s="7" t="n">
        <f aca="false">IF(OR(F1822="Open",F1822="Reopened"),1,0)</f>
        <v>1</v>
      </c>
      <c r="S1822" s="7" t="n">
        <f aca="false">IF(AND(H1822&gt;='Exec Summary'!$E$1,H1822&lt;='Exec Summary'!$E$2),1,0)</f>
        <v>0</v>
      </c>
      <c r="T1822" s="7" t="n">
        <f aca="false">IF(AND(F1822="Closed",I1822&lt;&gt;"",I1822&gt;='Exec Summary'!$E$1,I1822&lt;='Exec Summary'!$E$2),1,0)</f>
        <v>0</v>
      </c>
      <c r="U1822" s="7" t="n">
        <f aca="false">IF(F1822="Reopened",1,0)</f>
        <v>0</v>
      </c>
      <c r="V1822" s="7" t="n">
        <f aca="false">IF(AND(R1822=1,O1822&gt;Q1822),1,0)</f>
        <v>1</v>
      </c>
      <c r="W1822" s="7" t="n">
        <f aca="false">IF(AND(T1822=1,P1822&lt;&gt;"",P1822&lt;=Q1822),1,0)</f>
        <v>0</v>
      </c>
    </row>
    <row r="1823" customFormat="false" ht="15" hidden="false" customHeight="false" outlineLevel="0" collapsed="false">
      <c r="A1823" s="7" t="s">
        <v>2192</v>
      </c>
      <c r="B1823" s="7" t="s">
        <v>46</v>
      </c>
      <c r="C1823" s="7" t="s">
        <v>177</v>
      </c>
      <c r="D1823" s="7" t="s">
        <v>139</v>
      </c>
      <c r="E1823" s="7" t="s">
        <v>140</v>
      </c>
      <c r="F1823" s="7" t="s">
        <v>123</v>
      </c>
      <c r="G1823" s="7" t="s">
        <v>19</v>
      </c>
      <c r="H1823" s="9" t="n">
        <v>45983</v>
      </c>
      <c r="I1823" s="9" t="n">
        <v>46000</v>
      </c>
      <c r="J1823" s="7" t="n">
        <v>9.8</v>
      </c>
      <c r="K1823" s="7" t="s">
        <v>1971</v>
      </c>
      <c r="L1823" s="7" t="s">
        <v>19</v>
      </c>
      <c r="M1823" s="7" t="s">
        <v>2199</v>
      </c>
      <c r="N1823" s="7" t="s">
        <v>58</v>
      </c>
      <c r="O1823" s="10" t="n">
        <f aca="false">'Exec Summary'!$E$2-H1823</f>
        <v>251</v>
      </c>
      <c r="P1823" s="10" t="n">
        <f aca="false">IF(I1823="","",I1823-H1823)</f>
        <v>17</v>
      </c>
      <c r="Q1823" s="10" t="n">
        <f aca="false">VLOOKUP(G1823,$AA$2:$AB$5,2,FALSE())</f>
        <v>15</v>
      </c>
      <c r="R1823" s="7" t="n">
        <f aca="false">IF(OR(F1823="Open",F1823="Reopened"),1,0)</f>
        <v>1</v>
      </c>
      <c r="S1823" s="7" t="n">
        <f aca="false">IF(AND(H1823&gt;='Exec Summary'!$E$1,H1823&lt;='Exec Summary'!$E$2),1,0)</f>
        <v>0</v>
      </c>
      <c r="T1823" s="7" t="n">
        <f aca="false">IF(AND(F1823="Closed",I1823&lt;&gt;"",I1823&gt;='Exec Summary'!$E$1,I1823&lt;='Exec Summary'!$E$2),1,0)</f>
        <v>0</v>
      </c>
      <c r="U1823" s="7" t="n">
        <f aca="false">IF(F1823="Reopened",1,0)</f>
        <v>1</v>
      </c>
      <c r="V1823" s="7" t="n">
        <f aca="false">IF(AND(R1823=1,O1823&gt;Q1823),1,0)</f>
        <v>1</v>
      </c>
      <c r="W1823" s="7" t="n">
        <f aca="false">IF(AND(T1823=1,P1823&lt;&gt;"",P1823&lt;=Q1823),1,0)</f>
        <v>0</v>
      </c>
    </row>
    <row r="1824" customFormat="false" ht="15" hidden="false" customHeight="false" outlineLevel="0" collapsed="false">
      <c r="A1824" s="7" t="s">
        <v>2192</v>
      </c>
      <c r="B1824" s="7" t="s">
        <v>46</v>
      </c>
      <c r="C1824" s="7" t="s">
        <v>177</v>
      </c>
      <c r="D1824" s="7" t="s">
        <v>163</v>
      </c>
      <c r="E1824" s="7" t="s">
        <v>164</v>
      </c>
      <c r="F1824" s="7" t="s">
        <v>50</v>
      </c>
      <c r="G1824" s="7" t="s">
        <v>19</v>
      </c>
      <c r="H1824" s="9" t="n">
        <v>46210</v>
      </c>
      <c r="I1824" s="9" t="n">
        <v>46211</v>
      </c>
      <c r="J1824" s="7" t="n">
        <v>9.1</v>
      </c>
      <c r="K1824" s="7" t="s">
        <v>1971</v>
      </c>
      <c r="L1824" s="7" t="s">
        <v>19</v>
      </c>
      <c r="M1824" s="7" t="s">
        <v>2200</v>
      </c>
      <c r="N1824" s="7" t="s">
        <v>58</v>
      </c>
      <c r="O1824" s="10" t="n">
        <f aca="false">'Exec Summary'!$E$2-H1824</f>
        <v>24</v>
      </c>
      <c r="P1824" s="10" t="n">
        <f aca="false">IF(I1824="","",I1824-H1824)</f>
        <v>1</v>
      </c>
      <c r="Q1824" s="10" t="n">
        <f aca="false">VLOOKUP(G1824,$AA$2:$AB$5,2,FALSE())</f>
        <v>15</v>
      </c>
      <c r="R1824" s="7" t="n">
        <f aca="false">IF(OR(F1824="Open",F1824="Reopened"),1,0)</f>
        <v>0</v>
      </c>
      <c r="S1824" s="7" t="n">
        <f aca="false">IF(AND(H1824&gt;='Exec Summary'!$E$1,H1824&lt;='Exec Summary'!$E$2),1,0)</f>
        <v>1</v>
      </c>
      <c r="T1824" s="7" t="n">
        <f aca="false">IF(AND(F1824="Closed",I1824&lt;&gt;"",I1824&gt;='Exec Summary'!$E$1,I1824&lt;='Exec Summary'!$E$2),1,0)</f>
        <v>1</v>
      </c>
      <c r="U1824" s="7" t="n">
        <f aca="false">IF(F1824="Reopened",1,0)</f>
        <v>0</v>
      </c>
      <c r="V1824" s="7" t="n">
        <f aca="false">IF(AND(R1824=1,O1824&gt;Q1824),1,0)</f>
        <v>0</v>
      </c>
      <c r="W1824" s="7" t="n">
        <f aca="false">IF(AND(T1824=1,P1824&lt;&gt;"",P1824&lt;=Q1824),1,0)</f>
        <v>1</v>
      </c>
    </row>
    <row r="1825" customFormat="false" ht="15" hidden="false" customHeight="false" outlineLevel="0" collapsed="false">
      <c r="A1825" s="7" t="s">
        <v>2192</v>
      </c>
      <c r="B1825" s="7" t="s">
        <v>46</v>
      </c>
      <c r="C1825" s="7" t="s">
        <v>177</v>
      </c>
      <c r="D1825" s="7" t="s">
        <v>192</v>
      </c>
      <c r="E1825" s="7" t="s">
        <v>193</v>
      </c>
      <c r="F1825" s="7" t="s">
        <v>50</v>
      </c>
      <c r="G1825" s="7" t="s">
        <v>19</v>
      </c>
      <c r="H1825" s="9" t="n">
        <v>45947</v>
      </c>
      <c r="I1825" s="9" t="n">
        <v>45954</v>
      </c>
      <c r="J1825" s="7" t="n">
        <v>9.8</v>
      </c>
      <c r="K1825" s="7" t="s">
        <v>1971</v>
      </c>
      <c r="L1825" s="7" t="s">
        <v>19</v>
      </c>
      <c r="M1825" s="7" t="s">
        <v>2201</v>
      </c>
      <c r="N1825" s="7" t="s">
        <v>58</v>
      </c>
      <c r="O1825" s="10" t="n">
        <f aca="false">'Exec Summary'!$E$2-H1825</f>
        <v>287</v>
      </c>
      <c r="P1825" s="10" t="n">
        <f aca="false">IF(I1825="","",I1825-H1825)</f>
        <v>7</v>
      </c>
      <c r="Q1825" s="10" t="n">
        <f aca="false">VLOOKUP(G1825,$AA$2:$AB$5,2,FALSE())</f>
        <v>15</v>
      </c>
      <c r="R1825" s="7" t="n">
        <f aca="false">IF(OR(F1825="Open",F1825="Reopened"),1,0)</f>
        <v>0</v>
      </c>
      <c r="S1825" s="7" t="n">
        <f aca="false">IF(AND(H1825&gt;='Exec Summary'!$E$1,H1825&lt;='Exec Summary'!$E$2),1,0)</f>
        <v>0</v>
      </c>
      <c r="T1825" s="7" t="n">
        <f aca="false">IF(AND(F1825="Closed",I1825&lt;&gt;"",I1825&gt;='Exec Summary'!$E$1,I1825&lt;='Exec Summary'!$E$2),1,0)</f>
        <v>0</v>
      </c>
      <c r="U1825" s="7" t="n">
        <f aca="false">IF(F1825="Reopened",1,0)</f>
        <v>0</v>
      </c>
      <c r="V1825" s="7" t="n">
        <f aca="false">IF(AND(R1825=1,O1825&gt;Q1825),1,0)</f>
        <v>0</v>
      </c>
      <c r="W1825" s="7" t="n">
        <f aca="false">IF(AND(T1825=1,P1825&lt;&gt;"",P1825&lt;=Q1825),1,0)</f>
        <v>0</v>
      </c>
    </row>
    <row r="1826" customFormat="false" ht="15" hidden="false" customHeight="false" outlineLevel="0" collapsed="false">
      <c r="A1826" s="7" t="s">
        <v>2192</v>
      </c>
      <c r="B1826" s="7" t="s">
        <v>46</v>
      </c>
      <c r="C1826" s="7" t="s">
        <v>177</v>
      </c>
      <c r="D1826" s="7" t="s">
        <v>74</v>
      </c>
      <c r="E1826" s="7" t="s">
        <v>75</v>
      </c>
      <c r="F1826" s="7" t="s">
        <v>50</v>
      </c>
      <c r="G1826" s="7" t="s">
        <v>21</v>
      </c>
      <c r="H1826" s="9" t="n">
        <v>46200</v>
      </c>
      <c r="I1826" s="9" t="n">
        <v>46234</v>
      </c>
      <c r="J1826" s="7" t="n">
        <v>6.5</v>
      </c>
      <c r="K1826" s="7" t="s">
        <v>1971</v>
      </c>
      <c r="L1826" s="7" t="s">
        <v>19</v>
      </c>
      <c r="M1826" s="7" t="s">
        <v>2202</v>
      </c>
      <c r="N1826" s="7" t="s">
        <v>77</v>
      </c>
      <c r="O1826" s="10" t="n">
        <f aca="false">'Exec Summary'!$E$2-H1826</f>
        <v>34</v>
      </c>
      <c r="P1826" s="10" t="n">
        <f aca="false">IF(I1826="","",I1826-H1826)</f>
        <v>34</v>
      </c>
      <c r="Q1826" s="10" t="n">
        <f aca="false">VLOOKUP(G1826,$AA$2:$AB$5,2,FALSE())</f>
        <v>90</v>
      </c>
      <c r="R1826" s="7" t="n">
        <f aca="false">IF(OR(F1826="Open",F1826="Reopened"),1,0)</f>
        <v>0</v>
      </c>
      <c r="S1826" s="7" t="n">
        <f aca="false">IF(AND(H1826&gt;='Exec Summary'!$E$1,H1826&lt;='Exec Summary'!$E$2),1,0)</f>
        <v>0</v>
      </c>
      <c r="T1826" s="7" t="n">
        <f aca="false">IF(AND(F1826="Closed",I1826&lt;&gt;"",I1826&gt;='Exec Summary'!$E$1,I1826&lt;='Exec Summary'!$E$2),1,0)</f>
        <v>1</v>
      </c>
      <c r="U1826" s="7" t="n">
        <f aca="false">IF(F1826="Reopened",1,0)</f>
        <v>0</v>
      </c>
      <c r="V1826" s="7" t="n">
        <f aca="false">IF(AND(R1826=1,O1826&gt;Q1826),1,0)</f>
        <v>0</v>
      </c>
      <c r="W1826" s="7" t="n">
        <f aca="false">IF(AND(T1826=1,P1826&lt;&gt;"",P1826&lt;=Q1826),1,0)</f>
        <v>1</v>
      </c>
    </row>
    <row r="1827" customFormat="false" ht="15" hidden="false" customHeight="false" outlineLevel="0" collapsed="false">
      <c r="A1827" s="7" t="s">
        <v>2192</v>
      </c>
      <c r="B1827" s="7" t="s">
        <v>46</v>
      </c>
      <c r="C1827" s="7" t="s">
        <v>177</v>
      </c>
      <c r="D1827" s="7" t="s">
        <v>108</v>
      </c>
      <c r="E1827" s="7" t="s">
        <v>109</v>
      </c>
      <c r="F1827" s="7" t="s">
        <v>50</v>
      </c>
      <c r="G1827" s="7" t="s">
        <v>20</v>
      </c>
      <c r="H1827" s="9" t="n">
        <v>45995</v>
      </c>
      <c r="I1827" s="9" t="n">
        <v>46007</v>
      </c>
      <c r="J1827" s="7" t="n">
        <v>8.6</v>
      </c>
      <c r="K1827" s="7" t="s">
        <v>1971</v>
      </c>
      <c r="L1827" s="7" t="s">
        <v>19</v>
      </c>
      <c r="M1827" s="7" t="s">
        <v>2203</v>
      </c>
      <c r="N1827" s="7" t="s">
        <v>53</v>
      </c>
      <c r="O1827" s="10" t="n">
        <f aca="false">'Exec Summary'!$E$2-H1827</f>
        <v>239</v>
      </c>
      <c r="P1827" s="10" t="n">
        <f aca="false">IF(I1827="","",I1827-H1827)</f>
        <v>12</v>
      </c>
      <c r="Q1827" s="10" t="n">
        <f aca="false">VLOOKUP(G1827,$AA$2:$AB$5,2,FALSE())</f>
        <v>30</v>
      </c>
      <c r="R1827" s="7" t="n">
        <f aca="false">IF(OR(F1827="Open",F1827="Reopened"),1,0)</f>
        <v>0</v>
      </c>
      <c r="S1827" s="7" t="n">
        <f aca="false">IF(AND(H1827&gt;='Exec Summary'!$E$1,H1827&lt;='Exec Summary'!$E$2),1,0)</f>
        <v>0</v>
      </c>
      <c r="T1827" s="7" t="n">
        <f aca="false">IF(AND(F1827="Closed",I1827&lt;&gt;"",I1827&gt;='Exec Summary'!$E$1,I1827&lt;='Exec Summary'!$E$2),1,0)</f>
        <v>0</v>
      </c>
      <c r="U1827" s="7" t="n">
        <f aca="false">IF(F1827="Reopened",1,0)</f>
        <v>0</v>
      </c>
      <c r="V1827" s="7" t="n">
        <f aca="false">IF(AND(R1827=1,O1827&gt;Q1827),1,0)</f>
        <v>0</v>
      </c>
      <c r="W1827" s="7" t="n">
        <f aca="false">IF(AND(T1827=1,P1827&lt;&gt;"",P1827&lt;=Q1827),1,0)</f>
        <v>0</v>
      </c>
    </row>
    <row r="1828" customFormat="false" ht="15" hidden="false" customHeight="false" outlineLevel="0" collapsed="false">
      <c r="A1828" s="7" t="s">
        <v>2192</v>
      </c>
      <c r="B1828" s="7" t="s">
        <v>46</v>
      </c>
      <c r="C1828" s="7" t="s">
        <v>177</v>
      </c>
      <c r="D1828" s="7" t="s">
        <v>65</v>
      </c>
      <c r="E1828" s="7" t="s">
        <v>66</v>
      </c>
      <c r="F1828" s="7" t="s">
        <v>56</v>
      </c>
      <c r="G1828" s="7" t="s">
        <v>19</v>
      </c>
      <c r="H1828" s="9" t="n">
        <v>45993</v>
      </c>
      <c r="I1828" s="9"/>
      <c r="J1828" s="7" t="n">
        <v>9.8</v>
      </c>
      <c r="K1828" s="7" t="s">
        <v>1971</v>
      </c>
      <c r="L1828" s="7" t="s">
        <v>19</v>
      </c>
      <c r="M1828" s="7" t="s">
        <v>2204</v>
      </c>
      <c r="N1828" s="7" t="s">
        <v>58</v>
      </c>
      <c r="O1828" s="10" t="n">
        <f aca="false">'Exec Summary'!$E$2-H1828</f>
        <v>241</v>
      </c>
      <c r="P1828" s="10" t="str">
        <f aca="false">IF(I1828="","",I1828-H1828)</f>
        <v/>
      </c>
      <c r="Q1828" s="10" t="n">
        <f aca="false">VLOOKUP(G1828,$AA$2:$AB$5,2,FALSE())</f>
        <v>15</v>
      </c>
      <c r="R1828" s="7" t="n">
        <f aca="false">IF(OR(F1828="Open",F1828="Reopened"),1,0)</f>
        <v>1</v>
      </c>
      <c r="S1828" s="7" t="n">
        <f aca="false">IF(AND(H1828&gt;='Exec Summary'!$E$1,H1828&lt;='Exec Summary'!$E$2),1,0)</f>
        <v>0</v>
      </c>
      <c r="T1828" s="7" t="n">
        <f aca="false">IF(AND(F1828="Closed",I1828&lt;&gt;"",I1828&gt;='Exec Summary'!$E$1,I1828&lt;='Exec Summary'!$E$2),1,0)</f>
        <v>0</v>
      </c>
      <c r="U1828" s="7" t="n">
        <f aca="false">IF(F1828="Reopened",1,0)</f>
        <v>0</v>
      </c>
      <c r="V1828" s="7" t="n">
        <f aca="false">IF(AND(R1828=1,O1828&gt;Q1828),1,0)</f>
        <v>1</v>
      </c>
      <c r="W1828" s="7" t="n">
        <f aca="false">IF(AND(T1828=1,P1828&lt;&gt;"",P1828&lt;=Q1828),1,0)</f>
        <v>0</v>
      </c>
    </row>
    <row r="1829" customFormat="false" ht="15" hidden="false" customHeight="false" outlineLevel="0" collapsed="false">
      <c r="A1829" s="7" t="s">
        <v>2205</v>
      </c>
      <c r="B1829" s="7" t="s">
        <v>46</v>
      </c>
      <c r="C1829" s="7" t="s">
        <v>128</v>
      </c>
      <c r="D1829" s="7" t="s">
        <v>104</v>
      </c>
      <c r="E1829" s="7" t="s">
        <v>105</v>
      </c>
      <c r="F1829" s="7" t="s">
        <v>56</v>
      </c>
      <c r="G1829" s="7" t="s">
        <v>19</v>
      </c>
      <c r="H1829" s="9" t="n">
        <v>46095</v>
      </c>
      <c r="I1829" s="9"/>
      <c r="J1829" s="7" t="n">
        <v>9.8</v>
      </c>
      <c r="K1829" s="7" t="s">
        <v>1971</v>
      </c>
      <c r="L1829" s="7" t="s">
        <v>21</v>
      </c>
      <c r="M1829" s="7" t="s">
        <v>2206</v>
      </c>
      <c r="N1829" s="7" t="s">
        <v>58</v>
      </c>
      <c r="O1829" s="10" t="n">
        <f aca="false">'Exec Summary'!$E$2-H1829</f>
        <v>139</v>
      </c>
      <c r="P1829" s="10" t="str">
        <f aca="false">IF(I1829="","",I1829-H1829)</f>
        <v/>
      </c>
      <c r="Q1829" s="10" t="n">
        <f aca="false">VLOOKUP(G1829,$AA$2:$AB$5,2,FALSE())</f>
        <v>15</v>
      </c>
      <c r="R1829" s="7" t="n">
        <f aca="false">IF(OR(F1829="Open",F1829="Reopened"),1,0)</f>
        <v>1</v>
      </c>
      <c r="S1829" s="7" t="n">
        <f aca="false">IF(AND(H1829&gt;='Exec Summary'!$E$1,H1829&lt;='Exec Summary'!$E$2),1,0)</f>
        <v>0</v>
      </c>
      <c r="T1829" s="7" t="n">
        <f aca="false">IF(AND(F1829="Closed",I1829&lt;&gt;"",I1829&gt;='Exec Summary'!$E$1,I1829&lt;='Exec Summary'!$E$2),1,0)</f>
        <v>0</v>
      </c>
      <c r="U1829" s="7" t="n">
        <f aca="false">IF(F1829="Reopened",1,0)</f>
        <v>0</v>
      </c>
      <c r="V1829" s="7" t="n">
        <f aca="false">IF(AND(R1829=1,O1829&gt;Q1829),1,0)</f>
        <v>1</v>
      </c>
      <c r="W1829" s="7" t="n">
        <f aca="false">IF(AND(T1829=1,P1829&lt;&gt;"",P1829&lt;=Q1829),1,0)</f>
        <v>0</v>
      </c>
    </row>
    <row r="1830" customFormat="false" ht="15" hidden="false" customHeight="false" outlineLevel="0" collapsed="false">
      <c r="A1830" s="7" t="s">
        <v>2205</v>
      </c>
      <c r="B1830" s="7" t="s">
        <v>46</v>
      </c>
      <c r="C1830" s="7" t="s">
        <v>128</v>
      </c>
      <c r="D1830" s="7" t="s">
        <v>206</v>
      </c>
      <c r="E1830" s="7" t="s">
        <v>207</v>
      </c>
      <c r="F1830" s="7" t="s">
        <v>50</v>
      </c>
      <c r="G1830" s="7" t="s">
        <v>20</v>
      </c>
      <c r="H1830" s="9" t="n">
        <v>46155</v>
      </c>
      <c r="I1830" s="9" t="n">
        <v>46181</v>
      </c>
      <c r="J1830" s="7" t="n">
        <v>8.8</v>
      </c>
      <c r="K1830" s="7" t="s">
        <v>1971</v>
      </c>
      <c r="L1830" s="7" t="s">
        <v>21</v>
      </c>
      <c r="M1830" s="7" t="s">
        <v>2207</v>
      </c>
      <c r="N1830" s="7" t="s">
        <v>53</v>
      </c>
      <c r="O1830" s="10" t="n">
        <f aca="false">'Exec Summary'!$E$2-H1830</f>
        <v>79</v>
      </c>
      <c r="P1830" s="10" t="n">
        <f aca="false">IF(I1830="","",I1830-H1830)</f>
        <v>26</v>
      </c>
      <c r="Q1830" s="10" t="n">
        <f aca="false">VLOOKUP(G1830,$AA$2:$AB$5,2,FALSE())</f>
        <v>30</v>
      </c>
      <c r="R1830" s="7" t="n">
        <f aca="false">IF(OR(F1830="Open",F1830="Reopened"),1,0)</f>
        <v>0</v>
      </c>
      <c r="S1830" s="7" t="n">
        <f aca="false">IF(AND(H1830&gt;='Exec Summary'!$E$1,H1830&lt;='Exec Summary'!$E$2),1,0)</f>
        <v>0</v>
      </c>
      <c r="T1830" s="7" t="n">
        <f aca="false">IF(AND(F1830="Closed",I1830&lt;&gt;"",I1830&gt;='Exec Summary'!$E$1,I1830&lt;='Exec Summary'!$E$2),1,0)</f>
        <v>0</v>
      </c>
      <c r="U1830" s="7" t="n">
        <f aca="false">IF(F1830="Reopened",1,0)</f>
        <v>0</v>
      </c>
      <c r="V1830" s="7" t="n">
        <f aca="false">IF(AND(R1830=1,O1830&gt;Q1830),1,0)</f>
        <v>0</v>
      </c>
      <c r="W1830" s="7" t="n">
        <f aca="false">IF(AND(T1830=1,P1830&lt;&gt;"",P1830&lt;=Q1830),1,0)</f>
        <v>0</v>
      </c>
    </row>
    <row r="1831" customFormat="false" ht="15" hidden="false" customHeight="false" outlineLevel="0" collapsed="false">
      <c r="A1831" s="7" t="s">
        <v>2205</v>
      </c>
      <c r="B1831" s="7" t="s">
        <v>46</v>
      </c>
      <c r="C1831" s="7" t="s">
        <v>128</v>
      </c>
      <c r="D1831" s="7" t="s">
        <v>108</v>
      </c>
      <c r="E1831" s="7" t="s">
        <v>109</v>
      </c>
      <c r="F1831" s="7" t="s">
        <v>50</v>
      </c>
      <c r="G1831" s="7" t="s">
        <v>20</v>
      </c>
      <c r="H1831" s="9" t="n">
        <v>46096</v>
      </c>
      <c r="I1831" s="9" t="n">
        <v>46097</v>
      </c>
      <c r="J1831" s="7" t="n">
        <v>8.6</v>
      </c>
      <c r="K1831" s="7" t="s">
        <v>1971</v>
      </c>
      <c r="L1831" s="7" t="s">
        <v>21</v>
      </c>
      <c r="M1831" s="7" t="s">
        <v>2208</v>
      </c>
      <c r="N1831" s="7" t="s">
        <v>53</v>
      </c>
      <c r="O1831" s="10" t="n">
        <f aca="false">'Exec Summary'!$E$2-H1831</f>
        <v>138</v>
      </c>
      <c r="P1831" s="10" t="n">
        <f aca="false">IF(I1831="","",I1831-H1831)</f>
        <v>1</v>
      </c>
      <c r="Q1831" s="10" t="n">
        <f aca="false">VLOOKUP(G1831,$AA$2:$AB$5,2,FALSE())</f>
        <v>30</v>
      </c>
      <c r="R1831" s="7" t="n">
        <f aca="false">IF(OR(F1831="Open",F1831="Reopened"),1,0)</f>
        <v>0</v>
      </c>
      <c r="S1831" s="7" t="n">
        <f aca="false">IF(AND(H1831&gt;='Exec Summary'!$E$1,H1831&lt;='Exec Summary'!$E$2),1,0)</f>
        <v>0</v>
      </c>
      <c r="T1831" s="7" t="n">
        <f aca="false">IF(AND(F1831="Closed",I1831&lt;&gt;"",I1831&gt;='Exec Summary'!$E$1,I1831&lt;='Exec Summary'!$E$2),1,0)</f>
        <v>0</v>
      </c>
      <c r="U1831" s="7" t="n">
        <f aca="false">IF(F1831="Reopened",1,0)</f>
        <v>0</v>
      </c>
      <c r="V1831" s="7" t="n">
        <f aca="false">IF(AND(R1831=1,O1831&gt;Q1831),1,0)</f>
        <v>0</v>
      </c>
      <c r="W1831" s="7" t="n">
        <f aca="false">IF(AND(T1831=1,P1831&lt;&gt;"",P1831&lt;=Q1831),1,0)</f>
        <v>0</v>
      </c>
    </row>
    <row r="1832" customFormat="false" ht="15" hidden="false" customHeight="false" outlineLevel="0" collapsed="false">
      <c r="A1832" s="7" t="s">
        <v>2205</v>
      </c>
      <c r="B1832" s="7" t="s">
        <v>46</v>
      </c>
      <c r="C1832" s="7" t="s">
        <v>128</v>
      </c>
      <c r="D1832" s="7" t="s">
        <v>117</v>
      </c>
      <c r="E1832" s="7" t="s">
        <v>118</v>
      </c>
      <c r="F1832" s="7" t="s">
        <v>50</v>
      </c>
      <c r="G1832" s="7" t="s">
        <v>19</v>
      </c>
      <c r="H1832" s="9" t="n">
        <v>46059</v>
      </c>
      <c r="I1832" s="9" t="n">
        <v>46065</v>
      </c>
      <c r="J1832" s="7" t="n">
        <v>10</v>
      </c>
      <c r="K1832" s="7" t="s">
        <v>1971</v>
      </c>
      <c r="L1832" s="7" t="s">
        <v>21</v>
      </c>
      <c r="M1832" s="7" t="s">
        <v>2209</v>
      </c>
      <c r="N1832" s="7" t="s">
        <v>58</v>
      </c>
      <c r="O1832" s="10" t="n">
        <f aca="false">'Exec Summary'!$E$2-H1832</f>
        <v>175</v>
      </c>
      <c r="P1832" s="10" t="n">
        <f aca="false">IF(I1832="","",I1832-H1832)</f>
        <v>6</v>
      </c>
      <c r="Q1832" s="10" t="n">
        <f aca="false">VLOOKUP(G1832,$AA$2:$AB$5,2,FALSE())</f>
        <v>15</v>
      </c>
      <c r="R1832" s="7" t="n">
        <f aca="false">IF(OR(F1832="Open",F1832="Reopened"),1,0)</f>
        <v>0</v>
      </c>
      <c r="S1832" s="7" t="n">
        <f aca="false">IF(AND(H1832&gt;='Exec Summary'!$E$1,H1832&lt;='Exec Summary'!$E$2),1,0)</f>
        <v>0</v>
      </c>
      <c r="T1832" s="7" t="n">
        <f aca="false">IF(AND(F1832="Closed",I1832&lt;&gt;"",I1832&gt;='Exec Summary'!$E$1,I1832&lt;='Exec Summary'!$E$2),1,0)</f>
        <v>0</v>
      </c>
      <c r="U1832" s="7" t="n">
        <f aca="false">IF(F1832="Reopened",1,0)</f>
        <v>0</v>
      </c>
      <c r="V1832" s="7" t="n">
        <f aca="false">IF(AND(R1832=1,O1832&gt;Q1832),1,0)</f>
        <v>0</v>
      </c>
      <c r="W1832" s="7" t="n">
        <f aca="false">IF(AND(T1832=1,P1832&lt;&gt;"",P1832&lt;=Q1832),1,0)</f>
        <v>0</v>
      </c>
    </row>
    <row r="1833" customFormat="false" ht="15" hidden="false" customHeight="false" outlineLevel="0" collapsed="false">
      <c r="A1833" s="7" t="s">
        <v>2205</v>
      </c>
      <c r="B1833" s="7" t="s">
        <v>46</v>
      </c>
      <c r="C1833" s="7" t="s">
        <v>128</v>
      </c>
      <c r="D1833" s="7" t="s">
        <v>152</v>
      </c>
      <c r="E1833" s="7" t="s">
        <v>153</v>
      </c>
      <c r="F1833" s="7" t="s">
        <v>50</v>
      </c>
      <c r="G1833" s="7" t="s">
        <v>20</v>
      </c>
      <c r="H1833" s="9" t="n">
        <v>46034</v>
      </c>
      <c r="I1833" s="9" t="n">
        <v>46070</v>
      </c>
      <c r="J1833" s="7" t="n">
        <v>7.5</v>
      </c>
      <c r="K1833" s="7" t="s">
        <v>1971</v>
      </c>
      <c r="L1833" s="7" t="s">
        <v>21</v>
      </c>
      <c r="M1833" s="7" t="s">
        <v>2210</v>
      </c>
      <c r="N1833" s="7" t="s">
        <v>53</v>
      </c>
      <c r="O1833" s="10" t="n">
        <f aca="false">'Exec Summary'!$E$2-H1833</f>
        <v>200</v>
      </c>
      <c r="P1833" s="10" t="n">
        <f aca="false">IF(I1833="","",I1833-H1833)</f>
        <v>36</v>
      </c>
      <c r="Q1833" s="10" t="n">
        <f aca="false">VLOOKUP(G1833,$AA$2:$AB$5,2,FALSE())</f>
        <v>30</v>
      </c>
      <c r="R1833" s="7" t="n">
        <f aca="false">IF(OR(F1833="Open",F1833="Reopened"),1,0)</f>
        <v>0</v>
      </c>
      <c r="S1833" s="7" t="n">
        <f aca="false">IF(AND(H1833&gt;='Exec Summary'!$E$1,H1833&lt;='Exec Summary'!$E$2),1,0)</f>
        <v>0</v>
      </c>
      <c r="T1833" s="7" t="n">
        <f aca="false">IF(AND(F1833="Closed",I1833&lt;&gt;"",I1833&gt;='Exec Summary'!$E$1,I1833&lt;='Exec Summary'!$E$2),1,0)</f>
        <v>0</v>
      </c>
      <c r="U1833" s="7" t="n">
        <f aca="false">IF(F1833="Reopened",1,0)</f>
        <v>0</v>
      </c>
      <c r="V1833" s="7" t="n">
        <f aca="false">IF(AND(R1833=1,O1833&gt;Q1833),1,0)</f>
        <v>0</v>
      </c>
      <c r="W1833" s="7" t="n">
        <f aca="false">IF(AND(T1833=1,P1833&lt;&gt;"",P1833&lt;=Q1833),1,0)</f>
        <v>0</v>
      </c>
    </row>
    <row r="1834" customFormat="false" ht="15" hidden="false" customHeight="false" outlineLevel="0" collapsed="false">
      <c r="A1834" s="7" t="s">
        <v>2205</v>
      </c>
      <c r="B1834" s="7" t="s">
        <v>46</v>
      </c>
      <c r="C1834" s="7" t="s">
        <v>128</v>
      </c>
      <c r="D1834" s="7" t="s">
        <v>84</v>
      </c>
      <c r="E1834" s="7" t="s">
        <v>85</v>
      </c>
      <c r="F1834" s="7" t="s">
        <v>50</v>
      </c>
      <c r="G1834" s="7" t="s">
        <v>20</v>
      </c>
      <c r="H1834" s="9" t="n">
        <v>46001</v>
      </c>
      <c r="I1834" s="9" t="n">
        <v>46043</v>
      </c>
      <c r="J1834" s="7" t="n">
        <v>7.5</v>
      </c>
      <c r="K1834" s="7" t="s">
        <v>1971</v>
      </c>
      <c r="L1834" s="7" t="s">
        <v>21</v>
      </c>
      <c r="M1834" s="7" t="s">
        <v>2211</v>
      </c>
      <c r="N1834" s="7" t="s">
        <v>53</v>
      </c>
      <c r="O1834" s="10" t="n">
        <f aca="false">'Exec Summary'!$E$2-H1834</f>
        <v>233</v>
      </c>
      <c r="P1834" s="10" t="n">
        <f aca="false">IF(I1834="","",I1834-H1834)</f>
        <v>42</v>
      </c>
      <c r="Q1834" s="10" t="n">
        <f aca="false">VLOOKUP(G1834,$AA$2:$AB$5,2,FALSE())</f>
        <v>30</v>
      </c>
      <c r="R1834" s="7" t="n">
        <f aca="false">IF(OR(F1834="Open",F1834="Reopened"),1,0)</f>
        <v>0</v>
      </c>
      <c r="S1834" s="7" t="n">
        <f aca="false">IF(AND(H1834&gt;='Exec Summary'!$E$1,H1834&lt;='Exec Summary'!$E$2),1,0)</f>
        <v>0</v>
      </c>
      <c r="T1834" s="7" t="n">
        <f aca="false">IF(AND(F1834="Closed",I1834&lt;&gt;"",I1834&gt;='Exec Summary'!$E$1,I1834&lt;='Exec Summary'!$E$2),1,0)</f>
        <v>0</v>
      </c>
      <c r="U1834" s="7" t="n">
        <f aca="false">IF(F1834="Reopened",1,0)</f>
        <v>0</v>
      </c>
      <c r="V1834" s="7" t="n">
        <f aca="false">IF(AND(R1834=1,O1834&gt;Q1834),1,0)</f>
        <v>0</v>
      </c>
      <c r="W1834" s="7" t="n">
        <f aca="false">IF(AND(T1834=1,P1834&lt;&gt;"",P1834&lt;=Q1834),1,0)</f>
        <v>0</v>
      </c>
    </row>
    <row r="1835" customFormat="false" ht="15" hidden="false" customHeight="false" outlineLevel="0" collapsed="false">
      <c r="A1835" s="7" t="s">
        <v>2205</v>
      </c>
      <c r="B1835" s="7" t="s">
        <v>46</v>
      </c>
      <c r="C1835" s="7" t="s">
        <v>128</v>
      </c>
      <c r="D1835" s="7" t="s">
        <v>173</v>
      </c>
      <c r="E1835" s="7" t="s">
        <v>174</v>
      </c>
      <c r="F1835" s="7" t="s">
        <v>50</v>
      </c>
      <c r="G1835" s="7" t="s">
        <v>19</v>
      </c>
      <c r="H1835" s="9" t="n">
        <v>46043</v>
      </c>
      <c r="I1835" s="9" t="n">
        <v>46062</v>
      </c>
      <c r="J1835" s="7" t="n">
        <v>9.8</v>
      </c>
      <c r="K1835" s="7" t="s">
        <v>1971</v>
      </c>
      <c r="L1835" s="7" t="s">
        <v>21</v>
      </c>
      <c r="M1835" s="7" t="s">
        <v>2212</v>
      </c>
      <c r="N1835" s="7" t="s">
        <v>58</v>
      </c>
      <c r="O1835" s="10" t="n">
        <f aca="false">'Exec Summary'!$E$2-H1835</f>
        <v>191</v>
      </c>
      <c r="P1835" s="10" t="n">
        <f aca="false">IF(I1835="","",I1835-H1835)</f>
        <v>19</v>
      </c>
      <c r="Q1835" s="10" t="n">
        <f aca="false">VLOOKUP(G1835,$AA$2:$AB$5,2,FALSE())</f>
        <v>15</v>
      </c>
      <c r="R1835" s="7" t="n">
        <f aca="false">IF(OR(F1835="Open",F1835="Reopened"),1,0)</f>
        <v>0</v>
      </c>
      <c r="S1835" s="7" t="n">
        <f aca="false">IF(AND(H1835&gt;='Exec Summary'!$E$1,H1835&lt;='Exec Summary'!$E$2),1,0)</f>
        <v>0</v>
      </c>
      <c r="T1835" s="7" t="n">
        <f aca="false">IF(AND(F1835="Closed",I1835&lt;&gt;"",I1835&gt;='Exec Summary'!$E$1,I1835&lt;='Exec Summary'!$E$2),1,0)</f>
        <v>0</v>
      </c>
      <c r="U1835" s="7" t="n">
        <f aca="false">IF(F1835="Reopened",1,0)</f>
        <v>0</v>
      </c>
      <c r="V1835" s="7" t="n">
        <f aca="false">IF(AND(R1835=1,O1835&gt;Q1835),1,0)</f>
        <v>0</v>
      </c>
      <c r="W1835" s="7" t="n">
        <f aca="false">IF(AND(T1835=1,P1835&lt;&gt;"",P1835&lt;=Q1835),1,0)</f>
        <v>0</v>
      </c>
    </row>
    <row r="1836" customFormat="false" ht="15" hidden="false" customHeight="false" outlineLevel="0" collapsed="false">
      <c r="A1836" s="7" t="s">
        <v>2205</v>
      </c>
      <c r="B1836" s="7" t="s">
        <v>46</v>
      </c>
      <c r="C1836" s="7" t="s">
        <v>128</v>
      </c>
      <c r="D1836" s="7" t="s">
        <v>210</v>
      </c>
      <c r="E1836" s="7" t="s">
        <v>211</v>
      </c>
      <c r="F1836" s="7" t="s">
        <v>50</v>
      </c>
      <c r="G1836" s="7" t="s">
        <v>19</v>
      </c>
      <c r="H1836" s="9" t="n">
        <v>45953</v>
      </c>
      <c r="I1836" s="9" t="n">
        <v>45967</v>
      </c>
      <c r="J1836" s="7" t="n">
        <v>9.8</v>
      </c>
      <c r="K1836" s="7" t="s">
        <v>1971</v>
      </c>
      <c r="L1836" s="7" t="s">
        <v>21</v>
      </c>
      <c r="M1836" s="7" t="s">
        <v>2213</v>
      </c>
      <c r="N1836" s="7" t="s">
        <v>58</v>
      </c>
      <c r="O1836" s="10" t="n">
        <f aca="false">'Exec Summary'!$E$2-H1836</f>
        <v>281</v>
      </c>
      <c r="P1836" s="10" t="n">
        <f aca="false">IF(I1836="","",I1836-H1836)</f>
        <v>14</v>
      </c>
      <c r="Q1836" s="10" t="n">
        <f aca="false">VLOOKUP(G1836,$AA$2:$AB$5,2,FALSE())</f>
        <v>15</v>
      </c>
      <c r="R1836" s="7" t="n">
        <f aca="false">IF(OR(F1836="Open",F1836="Reopened"),1,0)</f>
        <v>0</v>
      </c>
      <c r="S1836" s="7" t="n">
        <f aca="false">IF(AND(H1836&gt;='Exec Summary'!$E$1,H1836&lt;='Exec Summary'!$E$2),1,0)</f>
        <v>0</v>
      </c>
      <c r="T1836" s="7" t="n">
        <f aca="false">IF(AND(F1836="Closed",I1836&lt;&gt;"",I1836&gt;='Exec Summary'!$E$1,I1836&lt;='Exec Summary'!$E$2),1,0)</f>
        <v>0</v>
      </c>
      <c r="U1836" s="7" t="n">
        <f aca="false">IF(F1836="Reopened",1,0)</f>
        <v>0</v>
      </c>
      <c r="V1836" s="7" t="n">
        <f aca="false">IF(AND(R1836=1,O1836&gt;Q1836),1,0)</f>
        <v>0</v>
      </c>
      <c r="W1836" s="7" t="n">
        <f aca="false">IF(AND(T1836=1,P1836&lt;&gt;"",P1836&lt;=Q1836),1,0)</f>
        <v>0</v>
      </c>
    </row>
    <row r="1837" customFormat="false" ht="15" hidden="false" customHeight="false" outlineLevel="0" collapsed="false">
      <c r="A1837" s="7" t="s">
        <v>2214</v>
      </c>
      <c r="B1837" s="7" t="s">
        <v>46</v>
      </c>
      <c r="C1837" s="7" t="s">
        <v>128</v>
      </c>
      <c r="D1837" s="7" t="s">
        <v>59</v>
      </c>
      <c r="E1837" s="7" t="s">
        <v>60</v>
      </c>
      <c r="F1837" s="7" t="s">
        <v>50</v>
      </c>
      <c r="G1837" s="7" t="s">
        <v>19</v>
      </c>
      <c r="H1837" s="9" t="n">
        <v>46182</v>
      </c>
      <c r="I1837" s="9" t="n">
        <v>46187</v>
      </c>
      <c r="J1837" s="7" t="n">
        <v>7.8</v>
      </c>
      <c r="K1837" s="7" t="s">
        <v>1971</v>
      </c>
      <c r="L1837" s="7" t="s">
        <v>19</v>
      </c>
      <c r="M1837" s="7" t="s">
        <v>2215</v>
      </c>
      <c r="N1837" s="7" t="s">
        <v>58</v>
      </c>
      <c r="O1837" s="10" t="n">
        <f aca="false">'Exec Summary'!$E$2-H1837</f>
        <v>52</v>
      </c>
      <c r="P1837" s="10" t="n">
        <f aca="false">IF(I1837="","",I1837-H1837)</f>
        <v>5</v>
      </c>
      <c r="Q1837" s="10" t="n">
        <f aca="false">VLOOKUP(G1837,$AA$2:$AB$5,2,FALSE())</f>
        <v>15</v>
      </c>
      <c r="R1837" s="7" t="n">
        <f aca="false">IF(OR(F1837="Open",F1837="Reopened"),1,0)</f>
        <v>0</v>
      </c>
      <c r="S1837" s="7" t="n">
        <f aca="false">IF(AND(H1837&gt;='Exec Summary'!$E$1,H1837&lt;='Exec Summary'!$E$2),1,0)</f>
        <v>0</v>
      </c>
      <c r="T1837" s="7" t="n">
        <f aca="false">IF(AND(F1837="Closed",I1837&lt;&gt;"",I1837&gt;='Exec Summary'!$E$1,I1837&lt;='Exec Summary'!$E$2),1,0)</f>
        <v>0</v>
      </c>
      <c r="U1837" s="7" t="n">
        <f aca="false">IF(F1837="Reopened",1,0)</f>
        <v>0</v>
      </c>
      <c r="V1837" s="7" t="n">
        <f aca="false">IF(AND(R1837=1,O1837&gt;Q1837),1,0)</f>
        <v>0</v>
      </c>
      <c r="W1837" s="7" t="n">
        <f aca="false">IF(AND(T1837=1,P1837&lt;&gt;"",P1837&lt;=Q1837),1,0)</f>
        <v>0</v>
      </c>
    </row>
    <row r="1838" customFormat="false" ht="15" hidden="false" customHeight="false" outlineLevel="0" collapsed="false">
      <c r="A1838" s="7" t="s">
        <v>2214</v>
      </c>
      <c r="B1838" s="7" t="s">
        <v>46</v>
      </c>
      <c r="C1838" s="7" t="s">
        <v>128</v>
      </c>
      <c r="D1838" s="7" t="s">
        <v>54</v>
      </c>
      <c r="E1838" s="7" t="s">
        <v>55</v>
      </c>
      <c r="F1838" s="7" t="s">
        <v>50</v>
      </c>
      <c r="G1838" s="7" t="s">
        <v>19</v>
      </c>
      <c r="H1838" s="9" t="n">
        <v>45983</v>
      </c>
      <c r="I1838" s="9" t="n">
        <v>45987</v>
      </c>
      <c r="J1838" s="7" t="n">
        <v>9.8</v>
      </c>
      <c r="K1838" s="7" t="s">
        <v>1971</v>
      </c>
      <c r="L1838" s="7" t="s">
        <v>19</v>
      </c>
      <c r="M1838" s="7" t="s">
        <v>2216</v>
      </c>
      <c r="N1838" s="7" t="s">
        <v>58</v>
      </c>
      <c r="O1838" s="10" t="n">
        <f aca="false">'Exec Summary'!$E$2-H1838</f>
        <v>251</v>
      </c>
      <c r="P1838" s="10" t="n">
        <f aca="false">IF(I1838="","",I1838-H1838)</f>
        <v>4</v>
      </c>
      <c r="Q1838" s="10" t="n">
        <f aca="false">VLOOKUP(G1838,$AA$2:$AB$5,2,FALSE())</f>
        <v>15</v>
      </c>
      <c r="R1838" s="7" t="n">
        <f aca="false">IF(OR(F1838="Open",F1838="Reopened"),1,0)</f>
        <v>0</v>
      </c>
      <c r="S1838" s="7" t="n">
        <f aca="false">IF(AND(H1838&gt;='Exec Summary'!$E$1,H1838&lt;='Exec Summary'!$E$2),1,0)</f>
        <v>0</v>
      </c>
      <c r="T1838" s="7" t="n">
        <f aca="false">IF(AND(F1838="Closed",I1838&lt;&gt;"",I1838&gt;='Exec Summary'!$E$1,I1838&lt;='Exec Summary'!$E$2),1,0)</f>
        <v>0</v>
      </c>
      <c r="U1838" s="7" t="n">
        <f aca="false">IF(F1838="Reopened",1,0)</f>
        <v>0</v>
      </c>
      <c r="V1838" s="7" t="n">
        <f aca="false">IF(AND(R1838=1,O1838&gt;Q1838),1,0)</f>
        <v>0</v>
      </c>
      <c r="W1838" s="7" t="n">
        <f aca="false">IF(AND(T1838=1,P1838&lt;&gt;"",P1838&lt;=Q1838),1,0)</f>
        <v>0</v>
      </c>
    </row>
    <row r="1839" customFormat="false" ht="15" hidden="false" customHeight="false" outlineLevel="0" collapsed="false">
      <c r="A1839" s="7" t="s">
        <v>2214</v>
      </c>
      <c r="B1839" s="7" t="s">
        <v>46</v>
      </c>
      <c r="C1839" s="7" t="s">
        <v>128</v>
      </c>
      <c r="D1839" s="7" t="s">
        <v>210</v>
      </c>
      <c r="E1839" s="7" t="s">
        <v>211</v>
      </c>
      <c r="F1839" s="7" t="s">
        <v>56</v>
      </c>
      <c r="G1839" s="7" t="s">
        <v>19</v>
      </c>
      <c r="H1839" s="9" t="n">
        <v>46148</v>
      </c>
      <c r="I1839" s="9"/>
      <c r="J1839" s="7" t="n">
        <v>9.8</v>
      </c>
      <c r="K1839" s="7" t="s">
        <v>1971</v>
      </c>
      <c r="L1839" s="7" t="s">
        <v>19</v>
      </c>
      <c r="M1839" s="7" t="s">
        <v>2217</v>
      </c>
      <c r="N1839" s="7" t="s">
        <v>58</v>
      </c>
      <c r="O1839" s="10" t="n">
        <f aca="false">'Exec Summary'!$E$2-H1839</f>
        <v>86</v>
      </c>
      <c r="P1839" s="10" t="str">
        <f aca="false">IF(I1839="","",I1839-H1839)</f>
        <v/>
      </c>
      <c r="Q1839" s="10" t="n">
        <f aca="false">VLOOKUP(G1839,$AA$2:$AB$5,2,FALSE())</f>
        <v>15</v>
      </c>
      <c r="R1839" s="7" t="n">
        <f aca="false">IF(OR(F1839="Open",F1839="Reopened"),1,0)</f>
        <v>1</v>
      </c>
      <c r="S1839" s="7" t="n">
        <f aca="false">IF(AND(H1839&gt;='Exec Summary'!$E$1,H1839&lt;='Exec Summary'!$E$2),1,0)</f>
        <v>0</v>
      </c>
      <c r="T1839" s="7" t="n">
        <f aca="false">IF(AND(F1839="Closed",I1839&lt;&gt;"",I1839&gt;='Exec Summary'!$E$1,I1839&lt;='Exec Summary'!$E$2),1,0)</f>
        <v>0</v>
      </c>
      <c r="U1839" s="7" t="n">
        <f aca="false">IF(F1839="Reopened",1,0)</f>
        <v>0</v>
      </c>
      <c r="V1839" s="7" t="n">
        <f aca="false">IF(AND(R1839=1,O1839&gt;Q1839),1,0)</f>
        <v>1</v>
      </c>
      <c r="W1839" s="7" t="n">
        <f aca="false">IF(AND(T1839=1,P1839&lt;&gt;"",P1839&lt;=Q1839),1,0)</f>
        <v>0</v>
      </c>
    </row>
    <row r="1840" customFormat="false" ht="15" hidden="false" customHeight="false" outlineLevel="0" collapsed="false">
      <c r="A1840" s="7" t="s">
        <v>2214</v>
      </c>
      <c r="B1840" s="7" t="s">
        <v>46</v>
      </c>
      <c r="C1840" s="7" t="s">
        <v>128</v>
      </c>
      <c r="D1840" s="7" t="s">
        <v>87</v>
      </c>
      <c r="E1840" s="7" t="s">
        <v>88</v>
      </c>
      <c r="F1840" s="7" t="s">
        <v>56</v>
      </c>
      <c r="G1840" s="7" t="s">
        <v>19</v>
      </c>
      <c r="H1840" s="9" t="n">
        <v>46060</v>
      </c>
      <c r="I1840" s="9"/>
      <c r="J1840" s="7" t="n">
        <v>10</v>
      </c>
      <c r="K1840" s="7" t="s">
        <v>1971</v>
      </c>
      <c r="L1840" s="7" t="s">
        <v>19</v>
      </c>
      <c r="M1840" s="7" t="s">
        <v>2218</v>
      </c>
      <c r="N1840" s="7" t="s">
        <v>58</v>
      </c>
      <c r="O1840" s="10" t="n">
        <f aca="false">'Exec Summary'!$E$2-H1840</f>
        <v>174</v>
      </c>
      <c r="P1840" s="10" t="str">
        <f aca="false">IF(I1840="","",I1840-H1840)</f>
        <v/>
      </c>
      <c r="Q1840" s="10" t="n">
        <f aca="false">VLOOKUP(G1840,$AA$2:$AB$5,2,FALSE())</f>
        <v>15</v>
      </c>
      <c r="R1840" s="7" t="n">
        <f aca="false">IF(OR(F1840="Open",F1840="Reopened"),1,0)</f>
        <v>1</v>
      </c>
      <c r="S1840" s="7" t="n">
        <f aca="false">IF(AND(H1840&gt;='Exec Summary'!$E$1,H1840&lt;='Exec Summary'!$E$2),1,0)</f>
        <v>0</v>
      </c>
      <c r="T1840" s="7" t="n">
        <f aca="false">IF(AND(F1840="Closed",I1840&lt;&gt;"",I1840&gt;='Exec Summary'!$E$1,I1840&lt;='Exec Summary'!$E$2),1,0)</f>
        <v>0</v>
      </c>
      <c r="U1840" s="7" t="n">
        <f aca="false">IF(F1840="Reopened",1,0)</f>
        <v>0</v>
      </c>
      <c r="V1840" s="7" t="n">
        <f aca="false">IF(AND(R1840=1,O1840&gt;Q1840),1,0)</f>
        <v>1</v>
      </c>
      <c r="W1840" s="7" t="n">
        <f aca="false">IF(AND(T1840=1,P1840&lt;&gt;"",P1840&lt;=Q1840),1,0)</f>
        <v>0</v>
      </c>
    </row>
    <row r="1841" customFormat="false" ht="15" hidden="false" customHeight="false" outlineLevel="0" collapsed="false">
      <c r="A1841" s="7" t="s">
        <v>2214</v>
      </c>
      <c r="B1841" s="7" t="s">
        <v>46</v>
      </c>
      <c r="C1841" s="7" t="s">
        <v>128</v>
      </c>
      <c r="D1841" s="7" t="s">
        <v>117</v>
      </c>
      <c r="E1841" s="7" t="s">
        <v>118</v>
      </c>
      <c r="F1841" s="7" t="s">
        <v>50</v>
      </c>
      <c r="G1841" s="7" t="s">
        <v>19</v>
      </c>
      <c r="H1841" s="9" t="n">
        <v>46024</v>
      </c>
      <c r="I1841" s="9" t="n">
        <v>46033</v>
      </c>
      <c r="J1841" s="7" t="n">
        <v>10</v>
      </c>
      <c r="K1841" s="7" t="s">
        <v>1971</v>
      </c>
      <c r="L1841" s="7" t="s">
        <v>19</v>
      </c>
      <c r="M1841" s="7" t="s">
        <v>2219</v>
      </c>
      <c r="N1841" s="7" t="s">
        <v>58</v>
      </c>
      <c r="O1841" s="10" t="n">
        <f aca="false">'Exec Summary'!$E$2-H1841</f>
        <v>210</v>
      </c>
      <c r="P1841" s="10" t="n">
        <f aca="false">IF(I1841="","",I1841-H1841)</f>
        <v>9</v>
      </c>
      <c r="Q1841" s="10" t="n">
        <f aca="false">VLOOKUP(G1841,$AA$2:$AB$5,2,FALSE())</f>
        <v>15</v>
      </c>
      <c r="R1841" s="7" t="n">
        <f aca="false">IF(OR(F1841="Open",F1841="Reopened"),1,0)</f>
        <v>0</v>
      </c>
      <c r="S1841" s="7" t="n">
        <f aca="false">IF(AND(H1841&gt;='Exec Summary'!$E$1,H1841&lt;='Exec Summary'!$E$2),1,0)</f>
        <v>0</v>
      </c>
      <c r="T1841" s="7" t="n">
        <f aca="false">IF(AND(F1841="Closed",I1841&lt;&gt;"",I1841&gt;='Exec Summary'!$E$1,I1841&lt;='Exec Summary'!$E$2),1,0)</f>
        <v>0</v>
      </c>
      <c r="U1841" s="7" t="n">
        <f aca="false">IF(F1841="Reopened",1,0)</f>
        <v>0</v>
      </c>
      <c r="V1841" s="7" t="n">
        <f aca="false">IF(AND(R1841=1,O1841&gt;Q1841),1,0)</f>
        <v>0</v>
      </c>
      <c r="W1841" s="7" t="n">
        <f aca="false">IF(AND(T1841=1,P1841&lt;&gt;"",P1841&lt;=Q1841),1,0)</f>
        <v>0</v>
      </c>
    </row>
    <row r="1842" customFormat="false" ht="15" hidden="false" customHeight="false" outlineLevel="0" collapsed="false">
      <c r="A1842" s="7" t="s">
        <v>2220</v>
      </c>
      <c r="B1842" s="7" t="s">
        <v>135</v>
      </c>
      <c r="C1842" s="7" t="s">
        <v>136</v>
      </c>
      <c r="D1842" s="7" t="s">
        <v>101</v>
      </c>
      <c r="E1842" s="7" t="s">
        <v>102</v>
      </c>
      <c r="F1842" s="7" t="s">
        <v>56</v>
      </c>
      <c r="G1842" s="7" t="s">
        <v>19</v>
      </c>
      <c r="H1842" s="9" t="n">
        <v>46044</v>
      </c>
      <c r="I1842" s="9"/>
      <c r="J1842" s="7" t="n">
        <v>10</v>
      </c>
      <c r="K1842" s="7" t="s">
        <v>1971</v>
      </c>
      <c r="L1842" s="7" t="s">
        <v>22</v>
      </c>
      <c r="M1842" s="7" t="s">
        <v>2221</v>
      </c>
      <c r="N1842" s="7" t="s">
        <v>58</v>
      </c>
      <c r="O1842" s="10" t="n">
        <f aca="false">'Exec Summary'!$E$2-H1842</f>
        <v>190</v>
      </c>
      <c r="P1842" s="10" t="str">
        <f aca="false">IF(I1842="","",I1842-H1842)</f>
        <v/>
      </c>
      <c r="Q1842" s="10" t="n">
        <f aca="false">VLOOKUP(G1842,$AA$2:$AB$5,2,FALSE())</f>
        <v>15</v>
      </c>
      <c r="R1842" s="7" t="n">
        <f aca="false">IF(OR(F1842="Open",F1842="Reopened"),1,0)</f>
        <v>1</v>
      </c>
      <c r="S1842" s="7" t="n">
        <f aca="false">IF(AND(H1842&gt;='Exec Summary'!$E$1,H1842&lt;='Exec Summary'!$E$2),1,0)</f>
        <v>0</v>
      </c>
      <c r="T1842" s="7" t="n">
        <f aca="false">IF(AND(F1842="Closed",I1842&lt;&gt;"",I1842&gt;='Exec Summary'!$E$1,I1842&lt;='Exec Summary'!$E$2),1,0)</f>
        <v>0</v>
      </c>
      <c r="U1842" s="7" t="n">
        <f aca="false">IF(F1842="Reopened",1,0)</f>
        <v>0</v>
      </c>
      <c r="V1842" s="7" t="n">
        <f aca="false">IF(AND(R1842=1,O1842&gt;Q1842),1,0)</f>
        <v>1</v>
      </c>
      <c r="W1842" s="7" t="n">
        <f aca="false">IF(AND(T1842=1,P1842&lt;&gt;"",P1842&lt;=Q1842),1,0)</f>
        <v>0</v>
      </c>
    </row>
    <row r="1843" customFormat="false" ht="15" hidden="false" customHeight="false" outlineLevel="0" collapsed="false">
      <c r="A1843" s="7" t="s">
        <v>2220</v>
      </c>
      <c r="B1843" s="7" t="s">
        <v>135</v>
      </c>
      <c r="C1843" s="7" t="s">
        <v>136</v>
      </c>
      <c r="D1843" s="7" t="s">
        <v>87</v>
      </c>
      <c r="E1843" s="7" t="s">
        <v>88</v>
      </c>
      <c r="F1843" s="7" t="s">
        <v>50</v>
      </c>
      <c r="G1843" s="7" t="s">
        <v>19</v>
      </c>
      <c r="H1843" s="9" t="n">
        <v>45965</v>
      </c>
      <c r="I1843" s="9" t="n">
        <v>45979</v>
      </c>
      <c r="J1843" s="7" t="n">
        <v>10</v>
      </c>
      <c r="K1843" s="7" t="s">
        <v>1971</v>
      </c>
      <c r="L1843" s="7" t="s">
        <v>22</v>
      </c>
      <c r="M1843" s="7" t="s">
        <v>2222</v>
      </c>
      <c r="N1843" s="7" t="s">
        <v>58</v>
      </c>
      <c r="O1843" s="10" t="n">
        <f aca="false">'Exec Summary'!$E$2-H1843</f>
        <v>269</v>
      </c>
      <c r="P1843" s="10" t="n">
        <f aca="false">IF(I1843="","",I1843-H1843)</f>
        <v>14</v>
      </c>
      <c r="Q1843" s="10" t="n">
        <f aca="false">VLOOKUP(G1843,$AA$2:$AB$5,2,FALSE())</f>
        <v>15</v>
      </c>
      <c r="R1843" s="7" t="n">
        <f aca="false">IF(OR(F1843="Open",F1843="Reopened"),1,0)</f>
        <v>0</v>
      </c>
      <c r="S1843" s="7" t="n">
        <f aca="false">IF(AND(H1843&gt;='Exec Summary'!$E$1,H1843&lt;='Exec Summary'!$E$2),1,0)</f>
        <v>0</v>
      </c>
      <c r="T1843" s="7" t="n">
        <f aca="false">IF(AND(F1843="Closed",I1843&lt;&gt;"",I1843&gt;='Exec Summary'!$E$1,I1843&lt;='Exec Summary'!$E$2),1,0)</f>
        <v>0</v>
      </c>
      <c r="U1843" s="7" t="n">
        <f aca="false">IF(F1843="Reopened",1,0)</f>
        <v>0</v>
      </c>
      <c r="V1843" s="7" t="n">
        <f aca="false">IF(AND(R1843=1,O1843&gt;Q1843),1,0)</f>
        <v>0</v>
      </c>
      <c r="W1843" s="7" t="n">
        <f aca="false">IF(AND(T1843=1,P1843&lt;&gt;"",P1843&lt;=Q1843),1,0)</f>
        <v>0</v>
      </c>
    </row>
    <row r="1844" customFormat="false" ht="15" hidden="false" customHeight="false" outlineLevel="0" collapsed="false">
      <c r="A1844" s="7" t="s">
        <v>2220</v>
      </c>
      <c r="B1844" s="7" t="s">
        <v>135</v>
      </c>
      <c r="C1844" s="7" t="s">
        <v>136</v>
      </c>
      <c r="D1844" s="7" t="s">
        <v>95</v>
      </c>
      <c r="E1844" s="7" t="s">
        <v>96</v>
      </c>
      <c r="F1844" s="7" t="s">
        <v>50</v>
      </c>
      <c r="G1844" s="7" t="s">
        <v>20</v>
      </c>
      <c r="H1844" s="9" t="n">
        <v>46144</v>
      </c>
      <c r="I1844" s="9" t="n">
        <v>46153</v>
      </c>
      <c r="J1844" s="7" t="n">
        <v>8.8</v>
      </c>
      <c r="K1844" s="7" t="s">
        <v>1971</v>
      </c>
      <c r="L1844" s="7" t="s">
        <v>22</v>
      </c>
      <c r="M1844" s="7" t="s">
        <v>2223</v>
      </c>
      <c r="N1844" s="7" t="s">
        <v>53</v>
      </c>
      <c r="O1844" s="10" t="n">
        <f aca="false">'Exec Summary'!$E$2-H1844</f>
        <v>90</v>
      </c>
      <c r="P1844" s="10" t="n">
        <f aca="false">IF(I1844="","",I1844-H1844)</f>
        <v>9</v>
      </c>
      <c r="Q1844" s="10" t="n">
        <f aca="false">VLOOKUP(G1844,$AA$2:$AB$5,2,FALSE())</f>
        <v>30</v>
      </c>
      <c r="R1844" s="7" t="n">
        <f aca="false">IF(OR(F1844="Open",F1844="Reopened"),1,0)</f>
        <v>0</v>
      </c>
      <c r="S1844" s="7" t="n">
        <f aca="false">IF(AND(H1844&gt;='Exec Summary'!$E$1,H1844&lt;='Exec Summary'!$E$2),1,0)</f>
        <v>0</v>
      </c>
      <c r="T1844" s="7" t="n">
        <f aca="false">IF(AND(F1844="Closed",I1844&lt;&gt;"",I1844&gt;='Exec Summary'!$E$1,I1844&lt;='Exec Summary'!$E$2),1,0)</f>
        <v>0</v>
      </c>
      <c r="U1844" s="7" t="n">
        <f aca="false">IF(F1844="Reopened",1,0)</f>
        <v>0</v>
      </c>
      <c r="V1844" s="7" t="n">
        <f aca="false">IF(AND(R1844=1,O1844&gt;Q1844),1,0)</f>
        <v>0</v>
      </c>
      <c r="W1844" s="7" t="n">
        <f aca="false">IF(AND(T1844=1,P1844&lt;&gt;"",P1844&lt;=Q1844),1,0)</f>
        <v>0</v>
      </c>
    </row>
    <row r="1845" customFormat="false" ht="15" hidden="false" customHeight="false" outlineLevel="0" collapsed="false">
      <c r="A1845" s="7" t="s">
        <v>2220</v>
      </c>
      <c r="B1845" s="7" t="s">
        <v>135</v>
      </c>
      <c r="C1845" s="7" t="s">
        <v>136</v>
      </c>
      <c r="D1845" s="7" t="s">
        <v>108</v>
      </c>
      <c r="E1845" s="7" t="s">
        <v>109</v>
      </c>
      <c r="F1845" s="7" t="s">
        <v>56</v>
      </c>
      <c r="G1845" s="7" t="s">
        <v>20</v>
      </c>
      <c r="H1845" s="9" t="n">
        <v>46182</v>
      </c>
      <c r="I1845" s="9"/>
      <c r="J1845" s="7" t="n">
        <v>8.6</v>
      </c>
      <c r="K1845" s="7" t="s">
        <v>1971</v>
      </c>
      <c r="L1845" s="7" t="s">
        <v>22</v>
      </c>
      <c r="M1845" s="7" t="s">
        <v>2224</v>
      </c>
      <c r="N1845" s="7" t="s">
        <v>53</v>
      </c>
      <c r="O1845" s="10" t="n">
        <f aca="false">'Exec Summary'!$E$2-H1845</f>
        <v>52</v>
      </c>
      <c r="P1845" s="10" t="str">
        <f aca="false">IF(I1845="","",I1845-H1845)</f>
        <v/>
      </c>
      <c r="Q1845" s="10" t="n">
        <f aca="false">VLOOKUP(G1845,$AA$2:$AB$5,2,FALSE())</f>
        <v>30</v>
      </c>
      <c r="R1845" s="7" t="n">
        <f aca="false">IF(OR(F1845="Open",F1845="Reopened"),1,0)</f>
        <v>1</v>
      </c>
      <c r="S1845" s="7" t="n">
        <f aca="false">IF(AND(H1845&gt;='Exec Summary'!$E$1,H1845&lt;='Exec Summary'!$E$2),1,0)</f>
        <v>0</v>
      </c>
      <c r="T1845" s="7" t="n">
        <f aca="false">IF(AND(F1845="Closed",I1845&lt;&gt;"",I1845&gt;='Exec Summary'!$E$1,I1845&lt;='Exec Summary'!$E$2),1,0)</f>
        <v>0</v>
      </c>
      <c r="U1845" s="7" t="n">
        <f aca="false">IF(F1845="Reopened",1,0)</f>
        <v>0</v>
      </c>
      <c r="V1845" s="7" t="n">
        <f aca="false">IF(AND(R1845=1,O1845&gt;Q1845),1,0)</f>
        <v>1</v>
      </c>
      <c r="W1845" s="7" t="n">
        <f aca="false">IF(AND(T1845=1,P1845&lt;&gt;"",P1845&lt;=Q1845),1,0)</f>
        <v>0</v>
      </c>
    </row>
    <row r="1846" customFormat="false" ht="15" hidden="false" customHeight="false" outlineLevel="0" collapsed="false">
      <c r="A1846" s="7" t="s">
        <v>2225</v>
      </c>
      <c r="B1846" s="7" t="s">
        <v>46</v>
      </c>
      <c r="C1846" s="7" t="s">
        <v>158</v>
      </c>
      <c r="D1846" s="7" t="s">
        <v>91</v>
      </c>
      <c r="E1846" s="7" t="s">
        <v>92</v>
      </c>
      <c r="F1846" s="7" t="s">
        <v>56</v>
      </c>
      <c r="G1846" s="7" t="s">
        <v>20</v>
      </c>
      <c r="H1846" s="9" t="n">
        <v>45990</v>
      </c>
      <c r="I1846" s="9"/>
      <c r="J1846" s="7" t="n">
        <v>8.1</v>
      </c>
      <c r="K1846" s="7" t="s">
        <v>1971</v>
      </c>
      <c r="L1846" s="7" t="s">
        <v>19</v>
      </c>
      <c r="M1846" s="7" t="s">
        <v>2226</v>
      </c>
      <c r="N1846" s="7" t="s">
        <v>53</v>
      </c>
      <c r="O1846" s="10" t="n">
        <f aca="false">'Exec Summary'!$E$2-H1846</f>
        <v>244</v>
      </c>
      <c r="P1846" s="10" t="str">
        <f aca="false">IF(I1846="","",I1846-H1846)</f>
        <v/>
      </c>
      <c r="Q1846" s="10" t="n">
        <f aca="false">VLOOKUP(G1846,$AA$2:$AB$5,2,FALSE())</f>
        <v>30</v>
      </c>
      <c r="R1846" s="7" t="n">
        <f aca="false">IF(OR(F1846="Open",F1846="Reopened"),1,0)</f>
        <v>1</v>
      </c>
      <c r="S1846" s="7" t="n">
        <f aca="false">IF(AND(H1846&gt;='Exec Summary'!$E$1,H1846&lt;='Exec Summary'!$E$2),1,0)</f>
        <v>0</v>
      </c>
      <c r="T1846" s="7" t="n">
        <f aca="false">IF(AND(F1846="Closed",I1846&lt;&gt;"",I1846&gt;='Exec Summary'!$E$1,I1846&lt;='Exec Summary'!$E$2),1,0)</f>
        <v>0</v>
      </c>
      <c r="U1846" s="7" t="n">
        <f aca="false">IF(F1846="Reopened",1,0)</f>
        <v>0</v>
      </c>
      <c r="V1846" s="7" t="n">
        <f aca="false">IF(AND(R1846=1,O1846&gt;Q1846),1,0)</f>
        <v>1</v>
      </c>
      <c r="W1846" s="7" t="n">
        <f aca="false">IF(AND(T1846=1,P1846&lt;&gt;"",P1846&lt;=Q1846),1,0)</f>
        <v>0</v>
      </c>
    </row>
    <row r="1847" customFormat="false" ht="15" hidden="false" customHeight="false" outlineLevel="0" collapsed="false">
      <c r="A1847" s="7" t="s">
        <v>2225</v>
      </c>
      <c r="B1847" s="7" t="s">
        <v>46</v>
      </c>
      <c r="C1847" s="7" t="s">
        <v>158</v>
      </c>
      <c r="D1847" s="7" t="s">
        <v>98</v>
      </c>
      <c r="E1847" s="7" t="s">
        <v>99</v>
      </c>
      <c r="F1847" s="7" t="s">
        <v>56</v>
      </c>
      <c r="G1847" s="7" t="s">
        <v>19</v>
      </c>
      <c r="H1847" s="9" t="n">
        <v>46000</v>
      </c>
      <c r="I1847" s="9"/>
      <c r="J1847" s="7" t="n">
        <v>10</v>
      </c>
      <c r="K1847" s="7" t="s">
        <v>1971</v>
      </c>
      <c r="L1847" s="7" t="s">
        <v>19</v>
      </c>
      <c r="M1847" s="7" t="s">
        <v>2227</v>
      </c>
      <c r="N1847" s="7" t="s">
        <v>58</v>
      </c>
      <c r="O1847" s="10" t="n">
        <f aca="false">'Exec Summary'!$E$2-H1847</f>
        <v>234</v>
      </c>
      <c r="P1847" s="10" t="str">
        <f aca="false">IF(I1847="","",I1847-H1847)</f>
        <v/>
      </c>
      <c r="Q1847" s="10" t="n">
        <f aca="false">VLOOKUP(G1847,$AA$2:$AB$5,2,FALSE())</f>
        <v>15</v>
      </c>
      <c r="R1847" s="7" t="n">
        <f aca="false">IF(OR(F1847="Open",F1847="Reopened"),1,0)</f>
        <v>1</v>
      </c>
      <c r="S1847" s="7" t="n">
        <f aca="false">IF(AND(H1847&gt;='Exec Summary'!$E$1,H1847&lt;='Exec Summary'!$E$2),1,0)</f>
        <v>0</v>
      </c>
      <c r="T1847" s="7" t="n">
        <f aca="false">IF(AND(F1847="Closed",I1847&lt;&gt;"",I1847&gt;='Exec Summary'!$E$1,I1847&lt;='Exec Summary'!$E$2),1,0)</f>
        <v>0</v>
      </c>
      <c r="U1847" s="7" t="n">
        <f aca="false">IF(F1847="Reopened",1,0)</f>
        <v>0</v>
      </c>
      <c r="V1847" s="7" t="n">
        <f aca="false">IF(AND(R1847=1,O1847&gt;Q1847),1,0)</f>
        <v>1</v>
      </c>
      <c r="W1847" s="7" t="n">
        <f aca="false">IF(AND(T1847=1,P1847&lt;&gt;"",P1847&lt;=Q1847),1,0)</f>
        <v>0</v>
      </c>
    </row>
    <row r="1848" customFormat="false" ht="15" hidden="false" customHeight="false" outlineLevel="0" collapsed="false">
      <c r="A1848" s="7" t="s">
        <v>2225</v>
      </c>
      <c r="B1848" s="7" t="s">
        <v>46</v>
      </c>
      <c r="C1848" s="7" t="s">
        <v>158</v>
      </c>
      <c r="D1848" s="7" t="s">
        <v>152</v>
      </c>
      <c r="E1848" s="7" t="s">
        <v>153</v>
      </c>
      <c r="F1848" s="7" t="s">
        <v>56</v>
      </c>
      <c r="G1848" s="7" t="s">
        <v>20</v>
      </c>
      <c r="H1848" s="9" t="n">
        <v>45944</v>
      </c>
      <c r="I1848" s="9"/>
      <c r="J1848" s="7" t="n">
        <v>7.5</v>
      </c>
      <c r="K1848" s="7" t="s">
        <v>1971</v>
      </c>
      <c r="L1848" s="7" t="s">
        <v>19</v>
      </c>
      <c r="M1848" s="7" t="s">
        <v>2228</v>
      </c>
      <c r="N1848" s="7" t="s">
        <v>53</v>
      </c>
      <c r="O1848" s="10" t="n">
        <f aca="false">'Exec Summary'!$E$2-H1848</f>
        <v>290</v>
      </c>
      <c r="P1848" s="10" t="str">
        <f aca="false">IF(I1848="","",I1848-H1848)</f>
        <v/>
      </c>
      <c r="Q1848" s="10" t="n">
        <f aca="false">VLOOKUP(G1848,$AA$2:$AB$5,2,FALSE())</f>
        <v>30</v>
      </c>
      <c r="R1848" s="7" t="n">
        <f aca="false">IF(OR(F1848="Open",F1848="Reopened"),1,0)</f>
        <v>1</v>
      </c>
      <c r="S1848" s="7" t="n">
        <f aca="false">IF(AND(H1848&gt;='Exec Summary'!$E$1,H1848&lt;='Exec Summary'!$E$2),1,0)</f>
        <v>0</v>
      </c>
      <c r="T1848" s="7" t="n">
        <f aca="false">IF(AND(F1848="Closed",I1848&lt;&gt;"",I1848&gt;='Exec Summary'!$E$1,I1848&lt;='Exec Summary'!$E$2),1,0)</f>
        <v>0</v>
      </c>
      <c r="U1848" s="7" t="n">
        <f aca="false">IF(F1848="Reopened",1,0)</f>
        <v>0</v>
      </c>
      <c r="V1848" s="7" t="n">
        <f aca="false">IF(AND(R1848=1,O1848&gt;Q1848),1,0)</f>
        <v>1</v>
      </c>
      <c r="W1848" s="7" t="n">
        <f aca="false">IF(AND(T1848=1,P1848&lt;&gt;"",P1848&lt;=Q1848),1,0)</f>
        <v>0</v>
      </c>
    </row>
    <row r="1849" customFormat="false" ht="15" hidden="false" customHeight="false" outlineLevel="0" collapsed="false">
      <c r="A1849" s="7" t="s">
        <v>2229</v>
      </c>
      <c r="B1849" s="7" t="s">
        <v>135</v>
      </c>
      <c r="C1849" s="7" t="s">
        <v>136</v>
      </c>
      <c r="D1849" s="7" t="s">
        <v>166</v>
      </c>
      <c r="E1849" s="7" t="s">
        <v>167</v>
      </c>
      <c r="F1849" s="7" t="s">
        <v>50</v>
      </c>
      <c r="G1849" s="7" t="s">
        <v>19</v>
      </c>
      <c r="H1849" s="9" t="n">
        <v>46208</v>
      </c>
      <c r="I1849" s="9" t="n">
        <v>46221</v>
      </c>
      <c r="J1849" s="7" t="n">
        <v>9.8</v>
      </c>
      <c r="K1849" s="7" t="s">
        <v>1971</v>
      </c>
      <c r="L1849" s="7" t="s">
        <v>19</v>
      </c>
      <c r="M1849" s="7" t="s">
        <v>2230</v>
      </c>
      <c r="N1849" s="7" t="s">
        <v>58</v>
      </c>
      <c r="O1849" s="10" t="n">
        <f aca="false">'Exec Summary'!$E$2-H1849</f>
        <v>26</v>
      </c>
      <c r="P1849" s="10" t="n">
        <f aca="false">IF(I1849="","",I1849-H1849)</f>
        <v>13</v>
      </c>
      <c r="Q1849" s="10" t="n">
        <f aca="false">VLOOKUP(G1849,$AA$2:$AB$5,2,FALSE())</f>
        <v>15</v>
      </c>
      <c r="R1849" s="7" t="n">
        <f aca="false">IF(OR(F1849="Open",F1849="Reopened"),1,0)</f>
        <v>0</v>
      </c>
      <c r="S1849" s="7" t="n">
        <f aca="false">IF(AND(H1849&gt;='Exec Summary'!$E$1,H1849&lt;='Exec Summary'!$E$2),1,0)</f>
        <v>1</v>
      </c>
      <c r="T1849" s="7" t="n">
        <f aca="false">IF(AND(F1849="Closed",I1849&lt;&gt;"",I1849&gt;='Exec Summary'!$E$1,I1849&lt;='Exec Summary'!$E$2),1,0)</f>
        <v>1</v>
      </c>
      <c r="U1849" s="7" t="n">
        <f aca="false">IF(F1849="Reopened",1,0)</f>
        <v>0</v>
      </c>
      <c r="V1849" s="7" t="n">
        <f aca="false">IF(AND(R1849=1,O1849&gt;Q1849),1,0)</f>
        <v>0</v>
      </c>
      <c r="W1849" s="7" t="n">
        <f aca="false">IF(AND(T1849=1,P1849&lt;&gt;"",P1849&lt;=Q1849),1,0)</f>
        <v>1</v>
      </c>
    </row>
    <row r="1850" customFormat="false" ht="15" hidden="false" customHeight="false" outlineLevel="0" collapsed="false">
      <c r="A1850" s="7" t="s">
        <v>2229</v>
      </c>
      <c r="B1850" s="7" t="s">
        <v>135</v>
      </c>
      <c r="C1850" s="7" t="s">
        <v>136</v>
      </c>
      <c r="D1850" s="7" t="s">
        <v>91</v>
      </c>
      <c r="E1850" s="7" t="s">
        <v>92</v>
      </c>
      <c r="F1850" s="7" t="s">
        <v>56</v>
      </c>
      <c r="G1850" s="7" t="s">
        <v>20</v>
      </c>
      <c r="H1850" s="9" t="n">
        <v>46016</v>
      </c>
      <c r="I1850" s="9"/>
      <c r="J1850" s="7" t="n">
        <v>8.1</v>
      </c>
      <c r="K1850" s="7" t="s">
        <v>1971</v>
      </c>
      <c r="L1850" s="7" t="s">
        <v>19</v>
      </c>
      <c r="M1850" s="7" t="s">
        <v>2231</v>
      </c>
      <c r="N1850" s="7" t="s">
        <v>53</v>
      </c>
      <c r="O1850" s="10" t="n">
        <f aca="false">'Exec Summary'!$E$2-H1850</f>
        <v>218</v>
      </c>
      <c r="P1850" s="10" t="str">
        <f aca="false">IF(I1850="","",I1850-H1850)</f>
        <v/>
      </c>
      <c r="Q1850" s="10" t="n">
        <f aca="false">VLOOKUP(G1850,$AA$2:$AB$5,2,FALSE())</f>
        <v>30</v>
      </c>
      <c r="R1850" s="7" t="n">
        <f aca="false">IF(OR(F1850="Open",F1850="Reopened"),1,0)</f>
        <v>1</v>
      </c>
      <c r="S1850" s="7" t="n">
        <f aca="false">IF(AND(H1850&gt;='Exec Summary'!$E$1,H1850&lt;='Exec Summary'!$E$2),1,0)</f>
        <v>0</v>
      </c>
      <c r="T1850" s="7" t="n">
        <f aca="false">IF(AND(F1850="Closed",I1850&lt;&gt;"",I1850&gt;='Exec Summary'!$E$1,I1850&lt;='Exec Summary'!$E$2),1,0)</f>
        <v>0</v>
      </c>
      <c r="U1850" s="7" t="n">
        <f aca="false">IF(F1850="Reopened",1,0)</f>
        <v>0</v>
      </c>
      <c r="V1850" s="7" t="n">
        <f aca="false">IF(AND(R1850=1,O1850&gt;Q1850),1,0)</f>
        <v>1</v>
      </c>
      <c r="W1850" s="7" t="n">
        <f aca="false">IF(AND(T1850=1,P1850&lt;&gt;"",P1850&lt;=Q1850),1,0)</f>
        <v>0</v>
      </c>
    </row>
    <row r="1851" customFormat="false" ht="15" hidden="false" customHeight="false" outlineLevel="0" collapsed="false">
      <c r="A1851" s="7" t="s">
        <v>2229</v>
      </c>
      <c r="B1851" s="7" t="s">
        <v>135</v>
      </c>
      <c r="C1851" s="7" t="s">
        <v>136</v>
      </c>
      <c r="D1851" s="7" t="s">
        <v>98</v>
      </c>
      <c r="E1851" s="7" t="s">
        <v>99</v>
      </c>
      <c r="F1851" s="7" t="s">
        <v>123</v>
      </c>
      <c r="G1851" s="7" t="s">
        <v>19</v>
      </c>
      <c r="H1851" s="9" t="n">
        <v>46145</v>
      </c>
      <c r="I1851" s="9" t="n">
        <v>46154</v>
      </c>
      <c r="J1851" s="7" t="n">
        <v>10</v>
      </c>
      <c r="K1851" s="7" t="s">
        <v>1971</v>
      </c>
      <c r="L1851" s="7" t="s">
        <v>19</v>
      </c>
      <c r="M1851" s="7" t="s">
        <v>2232</v>
      </c>
      <c r="N1851" s="7" t="s">
        <v>58</v>
      </c>
      <c r="O1851" s="10" t="n">
        <f aca="false">'Exec Summary'!$E$2-H1851</f>
        <v>89</v>
      </c>
      <c r="P1851" s="10" t="n">
        <f aca="false">IF(I1851="","",I1851-H1851)</f>
        <v>9</v>
      </c>
      <c r="Q1851" s="10" t="n">
        <f aca="false">VLOOKUP(G1851,$AA$2:$AB$5,2,FALSE())</f>
        <v>15</v>
      </c>
      <c r="R1851" s="7" t="n">
        <f aca="false">IF(OR(F1851="Open",F1851="Reopened"),1,0)</f>
        <v>1</v>
      </c>
      <c r="S1851" s="7" t="n">
        <f aca="false">IF(AND(H1851&gt;='Exec Summary'!$E$1,H1851&lt;='Exec Summary'!$E$2),1,0)</f>
        <v>0</v>
      </c>
      <c r="T1851" s="7" t="n">
        <f aca="false">IF(AND(F1851="Closed",I1851&lt;&gt;"",I1851&gt;='Exec Summary'!$E$1,I1851&lt;='Exec Summary'!$E$2),1,0)</f>
        <v>0</v>
      </c>
      <c r="U1851" s="7" t="n">
        <f aca="false">IF(F1851="Reopened",1,0)</f>
        <v>1</v>
      </c>
      <c r="V1851" s="7" t="n">
        <f aca="false">IF(AND(R1851=1,O1851&gt;Q1851),1,0)</f>
        <v>1</v>
      </c>
      <c r="W1851" s="7" t="n">
        <f aca="false">IF(AND(T1851=1,P1851&lt;&gt;"",P1851&lt;=Q1851),1,0)</f>
        <v>0</v>
      </c>
    </row>
    <row r="1852" customFormat="false" ht="15" hidden="false" customHeight="false" outlineLevel="0" collapsed="false">
      <c r="A1852" s="7" t="s">
        <v>2229</v>
      </c>
      <c r="B1852" s="7" t="s">
        <v>135</v>
      </c>
      <c r="C1852" s="7" t="s">
        <v>136</v>
      </c>
      <c r="D1852" s="7" t="s">
        <v>48</v>
      </c>
      <c r="E1852" s="7" t="s">
        <v>49</v>
      </c>
      <c r="F1852" s="7" t="s">
        <v>50</v>
      </c>
      <c r="G1852" s="7" t="s">
        <v>20</v>
      </c>
      <c r="H1852" s="9" t="n">
        <v>46203</v>
      </c>
      <c r="I1852" s="9" t="n">
        <v>46204</v>
      </c>
      <c r="J1852" s="7" t="n">
        <v>7.5</v>
      </c>
      <c r="K1852" s="7" t="s">
        <v>1971</v>
      </c>
      <c r="L1852" s="7" t="s">
        <v>19</v>
      </c>
      <c r="M1852" s="7" t="s">
        <v>2233</v>
      </c>
      <c r="N1852" s="7" t="s">
        <v>53</v>
      </c>
      <c r="O1852" s="10" t="n">
        <f aca="false">'Exec Summary'!$E$2-H1852</f>
        <v>31</v>
      </c>
      <c r="P1852" s="10" t="n">
        <f aca="false">IF(I1852="","",I1852-H1852)</f>
        <v>1</v>
      </c>
      <c r="Q1852" s="10" t="n">
        <f aca="false">VLOOKUP(G1852,$AA$2:$AB$5,2,FALSE())</f>
        <v>30</v>
      </c>
      <c r="R1852" s="7" t="n">
        <f aca="false">IF(OR(F1852="Open",F1852="Reopened"),1,0)</f>
        <v>0</v>
      </c>
      <c r="S1852" s="7" t="n">
        <f aca="false">IF(AND(H1852&gt;='Exec Summary'!$E$1,H1852&lt;='Exec Summary'!$E$2),1,0)</f>
        <v>0</v>
      </c>
      <c r="T1852" s="7" t="n">
        <f aca="false">IF(AND(F1852="Closed",I1852&lt;&gt;"",I1852&gt;='Exec Summary'!$E$1,I1852&lt;='Exec Summary'!$E$2),1,0)</f>
        <v>1</v>
      </c>
      <c r="U1852" s="7" t="n">
        <f aca="false">IF(F1852="Reopened",1,0)</f>
        <v>0</v>
      </c>
      <c r="V1852" s="7" t="n">
        <f aca="false">IF(AND(R1852=1,O1852&gt;Q1852),1,0)</f>
        <v>0</v>
      </c>
      <c r="W1852" s="7" t="n">
        <f aca="false">IF(AND(T1852=1,P1852&lt;&gt;"",P1852&lt;=Q1852),1,0)</f>
        <v>1</v>
      </c>
    </row>
    <row r="1853" customFormat="false" ht="15" hidden="false" customHeight="false" outlineLevel="0" collapsed="false">
      <c r="A1853" s="7" t="s">
        <v>2234</v>
      </c>
      <c r="B1853" s="7" t="s">
        <v>46</v>
      </c>
      <c r="C1853" s="7" t="s">
        <v>47</v>
      </c>
      <c r="D1853" s="7" t="s">
        <v>206</v>
      </c>
      <c r="E1853" s="7" t="s">
        <v>207</v>
      </c>
      <c r="F1853" s="7" t="s">
        <v>123</v>
      </c>
      <c r="G1853" s="7" t="s">
        <v>20</v>
      </c>
      <c r="H1853" s="9" t="n">
        <v>46139</v>
      </c>
      <c r="I1853" s="9" t="n">
        <v>46160</v>
      </c>
      <c r="J1853" s="7" t="n">
        <v>8.8</v>
      </c>
      <c r="K1853" s="7" t="s">
        <v>1971</v>
      </c>
      <c r="L1853" s="7" t="s">
        <v>19</v>
      </c>
      <c r="M1853" s="7" t="s">
        <v>2235</v>
      </c>
      <c r="N1853" s="7" t="s">
        <v>53</v>
      </c>
      <c r="O1853" s="10" t="n">
        <f aca="false">'Exec Summary'!$E$2-H1853</f>
        <v>95</v>
      </c>
      <c r="P1853" s="10" t="n">
        <f aca="false">IF(I1853="","",I1853-H1853)</f>
        <v>21</v>
      </c>
      <c r="Q1853" s="10" t="n">
        <f aca="false">VLOOKUP(G1853,$AA$2:$AB$5,2,FALSE())</f>
        <v>30</v>
      </c>
      <c r="R1853" s="7" t="n">
        <f aca="false">IF(OR(F1853="Open",F1853="Reopened"),1,0)</f>
        <v>1</v>
      </c>
      <c r="S1853" s="7" t="n">
        <f aca="false">IF(AND(H1853&gt;='Exec Summary'!$E$1,H1853&lt;='Exec Summary'!$E$2),1,0)</f>
        <v>0</v>
      </c>
      <c r="T1853" s="7" t="n">
        <f aca="false">IF(AND(F1853="Closed",I1853&lt;&gt;"",I1853&gt;='Exec Summary'!$E$1,I1853&lt;='Exec Summary'!$E$2),1,0)</f>
        <v>0</v>
      </c>
      <c r="U1853" s="7" t="n">
        <f aca="false">IF(F1853="Reopened",1,0)</f>
        <v>1</v>
      </c>
      <c r="V1853" s="7" t="n">
        <f aca="false">IF(AND(R1853=1,O1853&gt;Q1853),1,0)</f>
        <v>1</v>
      </c>
      <c r="W1853" s="7" t="n">
        <f aca="false">IF(AND(T1853=1,P1853&lt;&gt;"",P1853&lt;=Q1853),1,0)</f>
        <v>0</v>
      </c>
    </row>
    <row r="1854" customFormat="false" ht="15" hidden="false" customHeight="false" outlineLevel="0" collapsed="false">
      <c r="A1854" s="7" t="s">
        <v>2234</v>
      </c>
      <c r="B1854" s="7" t="s">
        <v>46</v>
      </c>
      <c r="C1854" s="7" t="s">
        <v>47</v>
      </c>
      <c r="D1854" s="7" t="s">
        <v>131</v>
      </c>
      <c r="E1854" s="7" t="s">
        <v>132</v>
      </c>
      <c r="F1854" s="7" t="s">
        <v>56</v>
      </c>
      <c r="G1854" s="7" t="s">
        <v>19</v>
      </c>
      <c r="H1854" s="9" t="n">
        <v>46192</v>
      </c>
      <c r="I1854" s="9"/>
      <c r="J1854" s="7" t="n">
        <v>9.8</v>
      </c>
      <c r="K1854" s="7" t="s">
        <v>1971</v>
      </c>
      <c r="L1854" s="7" t="s">
        <v>19</v>
      </c>
      <c r="M1854" s="7" t="s">
        <v>2236</v>
      </c>
      <c r="N1854" s="7" t="s">
        <v>58</v>
      </c>
      <c r="O1854" s="10" t="n">
        <f aca="false">'Exec Summary'!$E$2-H1854</f>
        <v>42</v>
      </c>
      <c r="P1854" s="10" t="str">
        <f aca="false">IF(I1854="","",I1854-H1854)</f>
        <v/>
      </c>
      <c r="Q1854" s="10" t="n">
        <f aca="false">VLOOKUP(G1854,$AA$2:$AB$5,2,FALSE())</f>
        <v>15</v>
      </c>
      <c r="R1854" s="7" t="n">
        <f aca="false">IF(OR(F1854="Open",F1854="Reopened"),1,0)</f>
        <v>1</v>
      </c>
      <c r="S1854" s="7" t="n">
        <f aca="false">IF(AND(H1854&gt;='Exec Summary'!$E$1,H1854&lt;='Exec Summary'!$E$2),1,0)</f>
        <v>0</v>
      </c>
      <c r="T1854" s="7" t="n">
        <f aca="false">IF(AND(F1854="Closed",I1854&lt;&gt;"",I1854&gt;='Exec Summary'!$E$1,I1854&lt;='Exec Summary'!$E$2),1,0)</f>
        <v>0</v>
      </c>
      <c r="U1854" s="7" t="n">
        <f aca="false">IF(F1854="Reopened",1,0)</f>
        <v>0</v>
      </c>
      <c r="V1854" s="7" t="n">
        <f aca="false">IF(AND(R1854=1,O1854&gt;Q1854),1,0)</f>
        <v>1</v>
      </c>
      <c r="W1854" s="7" t="n">
        <f aca="false">IF(AND(T1854=1,P1854&lt;&gt;"",P1854&lt;=Q1854),1,0)</f>
        <v>0</v>
      </c>
    </row>
    <row r="1855" customFormat="false" ht="15" hidden="false" customHeight="false" outlineLevel="0" collapsed="false">
      <c r="A1855" s="7" t="s">
        <v>2234</v>
      </c>
      <c r="B1855" s="7" t="s">
        <v>46</v>
      </c>
      <c r="C1855" s="7" t="s">
        <v>47</v>
      </c>
      <c r="D1855" s="7" t="s">
        <v>59</v>
      </c>
      <c r="E1855" s="7" t="s">
        <v>60</v>
      </c>
      <c r="F1855" s="7" t="s">
        <v>50</v>
      </c>
      <c r="G1855" s="7" t="s">
        <v>19</v>
      </c>
      <c r="H1855" s="9" t="n">
        <v>45944</v>
      </c>
      <c r="I1855" s="9" t="n">
        <v>45949</v>
      </c>
      <c r="J1855" s="7" t="n">
        <v>7.8</v>
      </c>
      <c r="K1855" s="7" t="s">
        <v>1971</v>
      </c>
      <c r="L1855" s="7" t="s">
        <v>19</v>
      </c>
      <c r="M1855" s="7" t="s">
        <v>2237</v>
      </c>
      <c r="N1855" s="7" t="s">
        <v>58</v>
      </c>
      <c r="O1855" s="10" t="n">
        <f aca="false">'Exec Summary'!$E$2-H1855</f>
        <v>290</v>
      </c>
      <c r="P1855" s="10" t="n">
        <f aca="false">IF(I1855="","",I1855-H1855)</f>
        <v>5</v>
      </c>
      <c r="Q1855" s="10" t="n">
        <f aca="false">VLOOKUP(G1855,$AA$2:$AB$5,2,FALSE())</f>
        <v>15</v>
      </c>
      <c r="R1855" s="7" t="n">
        <f aca="false">IF(OR(F1855="Open",F1855="Reopened"),1,0)</f>
        <v>0</v>
      </c>
      <c r="S1855" s="7" t="n">
        <f aca="false">IF(AND(H1855&gt;='Exec Summary'!$E$1,H1855&lt;='Exec Summary'!$E$2),1,0)</f>
        <v>0</v>
      </c>
      <c r="T1855" s="7" t="n">
        <f aca="false">IF(AND(F1855="Closed",I1855&lt;&gt;"",I1855&gt;='Exec Summary'!$E$1,I1855&lt;='Exec Summary'!$E$2),1,0)</f>
        <v>0</v>
      </c>
      <c r="U1855" s="7" t="n">
        <f aca="false">IF(F1855="Reopened",1,0)</f>
        <v>0</v>
      </c>
      <c r="V1855" s="7" t="n">
        <f aca="false">IF(AND(R1855=1,O1855&gt;Q1855),1,0)</f>
        <v>0</v>
      </c>
      <c r="W1855" s="7" t="n">
        <f aca="false">IF(AND(T1855=1,P1855&lt;&gt;"",P1855&lt;=Q1855),1,0)</f>
        <v>0</v>
      </c>
    </row>
    <row r="1856" customFormat="false" ht="15" hidden="false" customHeight="false" outlineLevel="0" collapsed="false">
      <c r="A1856" s="7" t="s">
        <v>2234</v>
      </c>
      <c r="B1856" s="7" t="s">
        <v>46</v>
      </c>
      <c r="C1856" s="7" t="s">
        <v>47</v>
      </c>
      <c r="D1856" s="7" t="s">
        <v>120</v>
      </c>
      <c r="E1856" s="7" t="s">
        <v>121</v>
      </c>
      <c r="F1856" s="7" t="s">
        <v>56</v>
      </c>
      <c r="G1856" s="7" t="s">
        <v>19</v>
      </c>
      <c r="H1856" s="9" t="n">
        <v>45982</v>
      </c>
      <c r="I1856" s="9"/>
      <c r="J1856" s="7" t="n">
        <v>8.8</v>
      </c>
      <c r="K1856" s="7" t="s">
        <v>1971</v>
      </c>
      <c r="L1856" s="7" t="s">
        <v>19</v>
      </c>
      <c r="M1856" s="7" t="s">
        <v>2238</v>
      </c>
      <c r="N1856" s="7" t="s">
        <v>58</v>
      </c>
      <c r="O1856" s="10" t="n">
        <f aca="false">'Exec Summary'!$E$2-H1856</f>
        <v>252</v>
      </c>
      <c r="P1856" s="10" t="str">
        <f aca="false">IF(I1856="","",I1856-H1856)</f>
        <v/>
      </c>
      <c r="Q1856" s="10" t="n">
        <f aca="false">VLOOKUP(G1856,$AA$2:$AB$5,2,FALSE())</f>
        <v>15</v>
      </c>
      <c r="R1856" s="7" t="n">
        <f aca="false">IF(OR(F1856="Open",F1856="Reopened"),1,0)</f>
        <v>1</v>
      </c>
      <c r="S1856" s="7" t="n">
        <f aca="false">IF(AND(H1856&gt;='Exec Summary'!$E$1,H1856&lt;='Exec Summary'!$E$2),1,0)</f>
        <v>0</v>
      </c>
      <c r="T1856" s="7" t="n">
        <f aca="false">IF(AND(F1856="Closed",I1856&lt;&gt;"",I1856&gt;='Exec Summary'!$E$1,I1856&lt;='Exec Summary'!$E$2),1,0)</f>
        <v>0</v>
      </c>
      <c r="U1856" s="7" t="n">
        <f aca="false">IF(F1856="Reopened",1,0)</f>
        <v>0</v>
      </c>
      <c r="V1856" s="7" t="n">
        <f aca="false">IF(AND(R1856=1,O1856&gt;Q1856),1,0)</f>
        <v>1</v>
      </c>
      <c r="W1856" s="7" t="n">
        <f aca="false">IF(AND(T1856=1,P1856&lt;&gt;"",P1856&lt;=Q1856),1,0)</f>
        <v>0</v>
      </c>
    </row>
    <row r="1857" customFormat="false" ht="15" hidden="false" customHeight="false" outlineLevel="0" collapsed="false">
      <c r="A1857" s="7" t="s">
        <v>2234</v>
      </c>
      <c r="B1857" s="7" t="s">
        <v>46</v>
      </c>
      <c r="C1857" s="7" t="s">
        <v>47</v>
      </c>
      <c r="D1857" s="7" t="s">
        <v>145</v>
      </c>
      <c r="E1857" s="7" t="s">
        <v>146</v>
      </c>
      <c r="F1857" s="7" t="s">
        <v>56</v>
      </c>
      <c r="G1857" s="7" t="s">
        <v>19</v>
      </c>
      <c r="H1857" s="9" t="n">
        <v>46033</v>
      </c>
      <c r="I1857" s="9"/>
      <c r="J1857" s="7" t="n">
        <v>9.8</v>
      </c>
      <c r="K1857" s="7" t="s">
        <v>1971</v>
      </c>
      <c r="L1857" s="7" t="s">
        <v>19</v>
      </c>
      <c r="M1857" s="7" t="s">
        <v>2239</v>
      </c>
      <c r="N1857" s="7" t="s">
        <v>58</v>
      </c>
      <c r="O1857" s="10" t="n">
        <f aca="false">'Exec Summary'!$E$2-H1857</f>
        <v>201</v>
      </c>
      <c r="P1857" s="10" t="str">
        <f aca="false">IF(I1857="","",I1857-H1857)</f>
        <v/>
      </c>
      <c r="Q1857" s="10" t="n">
        <f aca="false">VLOOKUP(G1857,$AA$2:$AB$5,2,FALSE())</f>
        <v>15</v>
      </c>
      <c r="R1857" s="7" t="n">
        <f aca="false">IF(OR(F1857="Open",F1857="Reopened"),1,0)</f>
        <v>1</v>
      </c>
      <c r="S1857" s="7" t="n">
        <f aca="false">IF(AND(H1857&gt;='Exec Summary'!$E$1,H1857&lt;='Exec Summary'!$E$2),1,0)</f>
        <v>0</v>
      </c>
      <c r="T1857" s="7" t="n">
        <f aca="false">IF(AND(F1857="Closed",I1857&lt;&gt;"",I1857&gt;='Exec Summary'!$E$1,I1857&lt;='Exec Summary'!$E$2),1,0)</f>
        <v>0</v>
      </c>
      <c r="U1857" s="7" t="n">
        <f aca="false">IF(F1857="Reopened",1,0)</f>
        <v>0</v>
      </c>
      <c r="V1857" s="7" t="n">
        <f aca="false">IF(AND(R1857=1,O1857&gt;Q1857),1,0)</f>
        <v>1</v>
      </c>
      <c r="W1857" s="7" t="n">
        <f aca="false">IF(AND(T1857=1,P1857&lt;&gt;"",P1857&lt;=Q1857),1,0)</f>
        <v>0</v>
      </c>
    </row>
    <row r="1858" customFormat="false" ht="15" hidden="false" customHeight="false" outlineLevel="0" collapsed="false">
      <c r="A1858" s="7" t="s">
        <v>2240</v>
      </c>
      <c r="B1858" s="7" t="s">
        <v>135</v>
      </c>
      <c r="C1858" s="7" t="s">
        <v>136</v>
      </c>
      <c r="D1858" s="7" t="s">
        <v>98</v>
      </c>
      <c r="E1858" s="7" t="s">
        <v>99</v>
      </c>
      <c r="F1858" s="7" t="s">
        <v>50</v>
      </c>
      <c r="G1858" s="7" t="s">
        <v>19</v>
      </c>
      <c r="H1858" s="9" t="n">
        <v>46153</v>
      </c>
      <c r="I1858" s="9" t="n">
        <v>46172</v>
      </c>
      <c r="J1858" s="7" t="n">
        <v>10</v>
      </c>
      <c r="K1858" s="7" t="s">
        <v>1971</v>
      </c>
      <c r="L1858" s="7" t="s">
        <v>19</v>
      </c>
      <c r="M1858" s="7" t="s">
        <v>2241</v>
      </c>
      <c r="N1858" s="7" t="s">
        <v>58</v>
      </c>
      <c r="O1858" s="10" t="n">
        <f aca="false">'Exec Summary'!$E$2-H1858</f>
        <v>81</v>
      </c>
      <c r="P1858" s="10" t="n">
        <f aca="false">IF(I1858="","",I1858-H1858)</f>
        <v>19</v>
      </c>
      <c r="Q1858" s="10" t="n">
        <f aca="false">VLOOKUP(G1858,$AA$2:$AB$5,2,FALSE())</f>
        <v>15</v>
      </c>
      <c r="R1858" s="7" t="n">
        <f aca="false">IF(OR(F1858="Open",F1858="Reopened"),1,0)</f>
        <v>0</v>
      </c>
      <c r="S1858" s="7" t="n">
        <f aca="false">IF(AND(H1858&gt;='Exec Summary'!$E$1,H1858&lt;='Exec Summary'!$E$2),1,0)</f>
        <v>0</v>
      </c>
      <c r="T1858" s="7" t="n">
        <f aca="false">IF(AND(F1858="Closed",I1858&lt;&gt;"",I1858&gt;='Exec Summary'!$E$1,I1858&lt;='Exec Summary'!$E$2),1,0)</f>
        <v>0</v>
      </c>
      <c r="U1858" s="7" t="n">
        <f aca="false">IF(F1858="Reopened",1,0)</f>
        <v>0</v>
      </c>
      <c r="V1858" s="7" t="n">
        <f aca="false">IF(AND(R1858=1,O1858&gt;Q1858),1,0)</f>
        <v>0</v>
      </c>
      <c r="W1858" s="7" t="n">
        <f aca="false">IF(AND(T1858=1,P1858&lt;&gt;"",P1858&lt;=Q1858),1,0)</f>
        <v>0</v>
      </c>
    </row>
    <row r="1859" customFormat="false" ht="15" hidden="false" customHeight="false" outlineLevel="0" collapsed="false">
      <c r="A1859" s="7" t="s">
        <v>2240</v>
      </c>
      <c r="B1859" s="7" t="s">
        <v>135</v>
      </c>
      <c r="C1859" s="7" t="s">
        <v>136</v>
      </c>
      <c r="D1859" s="7" t="s">
        <v>131</v>
      </c>
      <c r="E1859" s="7" t="s">
        <v>132</v>
      </c>
      <c r="F1859" s="7" t="s">
        <v>123</v>
      </c>
      <c r="G1859" s="7" t="s">
        <v>19</v>
      </c>
      <c r="H1859" s="9" t="n">
        <v>46193</v>
      </c>
      <c r="I1859" s="9" t="n">
        <v>46202</v>
      </c>
      <c r="J1859" s="7" t="n">
        <v>9.8</v>
      </c>
      <c r="K1859" s="7" t="s">
        <v>1971</v>
      </c>
      <c r="L1859" s="7" t="s">
        <v>19</v>
      </c>
      <c r="M1859" s="7" t="s">
        <v>2242</v>
      </c>
      <c r="N1859" s="7" t="s">
        <v>58</v>
      </c>
      <c r="O1859" s="10" t="n">
        <f aca="false">'Exec Summary'!$E$2-H1859</f>
        <v>41</v>
      </c>
      <c r="P1859" s="10" t="n">
        <f aca="false">IF(I1859="","",I1859-H1859)</f>
        <v>9</v>
      </c>
      <c r="Q1859" s="10" t="n">
        <f aca="false">VLOOKUP(G1859,$AA$2:$AB$5,2,FALSE())</f>
        <v>15</v>
      </c>
      <c r="R1859" s="7" t="n">
        <f aca="false">IF(OR(F1859="Open",F1859="Reopened"),1,0)</f>
        <v>1</v>
      </c>
      <c r="S1859" s="7" t="n">
        <f aca="false">IF(AND(H1859&gt;='Exec Summary'!$E$1,H1859&lt;='Exec Summary'!$E$2),1,0)</f>
        <v>0</v>
      </c>
      <c r="T1859" s="7" t="n">
        <f aca="false">IF(AND(F1859="Closed",I1859&lt;&gt;"",I1859&gt;='Exec Summary'!$E$1,I1859&lt;='Exec Summary'!$E$2),1,0)</f>
        <v>0</v>
      </c>
      <c r="U1859" s="7" t="n">
        <f aca="false">IF(F1859="Reopened",1,0)</f>
        <v>1</v>
      </c>
      <c r="V1859" s="7" t="n">
        <f aca="false">IF(AND(R1859=1,O1859&gt;Q1859),1,0)</f>
        <v>1</v>
      </c>
      <c r="W1859" s="7" t="n">
        <f aca="false">IF(AND(T1859=1,P1859&lt;&gt;"",P1859&lt;=Q1859),1,0)</f>
        <v>0</v>
      </c>
    </row>
    <row r="1860" customFormat="false" ht="15" hidden="false" customHeight="false" outlineLevel="0" collapsed="false">
      <c r="A1860" s="7" t="s">
        <v>2240</v>
      </c>
      <c r="B1860" s="7" t="s">
        <v>135</v>
      </c>
      <c r="C1860" s="7" t="s">
        <v>136</v>
      </c>
      <c r="D1860" s="7" t="s">
        <v>95</v>
      </c>
      <c r="E1860" s="7" t="s">
        <v>96</v>
      </c>
      <c r="F1860" s="7" t="s">
        <v>56</v>
      </c>
      <c r="G1860" s="7" t="s">
        <v>20</v>
      </c>
      <c r="H1860" s="9" t="n">
        <v>46135</v>
      </c>
      <c r="I1860" s="9"/>
      <c r="J1860" s="7" t="n">
        <v>8.8</v>
      </c>
      <c r="K1860" s="7" t="s">
        <v>1971</v>
      </c>
      <c r="L1860" s="7" t="s">
        <v>19</v>
      </c>
      <c r="M1860" s="7" t="s">
        <v>2243</v>
      </c>
      <c r="N1860" s="7" t="s">
        <v>53</v>
      </c>
      <c r="O1860" s="10" t="n">
        <f aca="false">'Exec Summary'!$E$2-H1860</f>
        <v>99</v>
      </c>
      <c r="P1860" s="10" t="str">
        <f aca="false">IF(I1860="","",I1860-H1860)</f>
        <v/>
      </c>
      <c r="Q1860" s="10" t="n">
        <f aca="false">VLOOKUP(G1860,$AA$2:$AB$5,2,FALSE())</f>
        <v>30</v>
      </c>
      <c r="R1860" s="7" t="n">
        <f aca="false">IF(OR(F1860="Open",F1860="Reopened"),1,0)</f>
        <v>1</v>
      </c>
      <c r="S1860" s="7" t="n">
        <f aca="false">IF(AND(H1860&gt;='Exec Summary'!$E$1,H1860&lt;='Exec Summary'!$E$2),1,0)</f>
        <v>0</v>
      </c>
      <c r="T1860" s="7" t="n">
        <f aca="false">IF(AND(F1860="Closed",I1860&lt;&gt;"",I1860&gt;='Exec Summary'!$E$1,I1860&lt;='Exec Summary'!$E$2),1,0)</f>
        <v>0</v>
      </c>
      <c r="U1860" s="7" t="n">
        <f aca="false">IF(F1860="Reopened",1,0)</f>
        <v>0</v>
      </c>
      <c r="V1860" s="7" t="n">
        <f aca="false">IF(AND(R1860=1,O1860&gt;Q1860),1,0)</f>
        <v>1</v>
      </c>
      <c r="W1860" s="7" t="n">
        <f aca="false">IF(AND(T1860=1,P1860&lt;&gt;"",P1860&lt;=Q1860),1,0)</f>
        <v>0</v>
      </c>
    </row>
    <row r="1861" customFormat="false" ht="15" hidden="false" customHeight="false" outlineLevel="0" collapsed="false">
      <c r="A1861" s="7" t="s">
        <v>2240</v>
      </c>
      <c r="B1861" s="7" t="s">
        <v>135</v>
      </c>
      <c r="C1861" s="7" t="s">
        <v>136</v>
      </c>
      <c r="D1861" s="7" t="s">
        <v>104</v>
      </c>
      <c r="E1861" s="7" t="s">
        <v>105</v>
      </c>
      <c r="F1861" s="7" t="s">
        <v>50</v>
      </c>
      <c r="G1861" s="7" t="s">
        <v>19</v>
      </c>
      <c r="H1861" s="9" t="n">
        <v>46165</v>
      </c>
      <c r="I1861" s="9" t="n">
        <v>46182</v>
      </c>
      <c r="J1861" s="7" t="n">
        <v>9.8</v>
      </c>
      <c r="K1861" s="7" t="s">
        <v>1971</v>
      </c>
      <c r="L1861" s="7" t="s">
        <v>19</v>
      </c>
      <c r="M1861" s="7" t="s">
        <v>2244</v>
      </c>
      <c r="N1861" s="7" t="s">
        <v>58</v>
      </c>
      <c r="O1861" s="10" t="n">
        <f aca="false">'Exec Summary'!$E$2-H1861</f>
        <v>69</v>
      </c>
      <c r="P1861" s="10" t="n">
        <f aca="false">IF(I1861="","",I1861-H1861)</f>
        <v>17</v>
      </c>
      <c r="Q1861" s="10" t="n">
        <f aca="false">VLOOKUP(G1861,$AA$2:$AB$5,2,FALSE())</f>
        <v>15</v>
      </c>
      <c r="R1861" s="7" t="n">
        <f aca="false">IF(OR(F1861="Open",F1861="Reopened"),1,0)</f>
        <v>0</v>
      </c>
      <c r="S1861" s="7" t="n">
        <f aca="false">IF(AND(H1861&gt;='Exec Summary'!$E$1,H1861&lt;='Exec Summary'!$E$2),1,0)</f>
        <v>0</v>
      </c>
      <c r="T1861" s="7" t="n">
        <f aca="false">IF(AND(F1861="Closed",I1861&lt;&gt;"",I1861&gt;='Exec Summary'!$E$1,I1861&lt;='Exec Summary'!$E$2),1,0)</f>
        <v>0</v>
      </c>
      <c r="U1861" s="7" t="n">
        <f aca="false">IF(F1861="Reopened",1,0)</f>
        <v>0</v>
      </c>
      <c r="V1861" s="7" t="n">
        <f aca="false">IF(AND(R1861=1,O1861&gt;Q1861),1,0)</f>
        <v>0</v>
      </c>
      <c r="W1861" s="7" t="n">
        <f aca="false">IF(AND(T1861=1,P1861&lt;&gt;"",P1861&lt;=Q1861),1,0)</f>
        <v>0</v>
      </c>
    </row>
    <row r="1862" customFormat="false" ht="15" hidden="false" customHeight="false" outlineLevel="0" collapsed="false">
      <c r="A1862" s="7" t="s">
        <v>2240</v>
      </c>
      <c r="B1862" s="7" t="s">
        <v>135</v>
      </c>
      <c r="C1862" s="7" t="s">
        <v>136</v>
      </c>
      <c r="D1862" s="7" t="s">
        <v>71</v>
      </c>
      <c r="E1862" s="7" t="s">
        <v>72</v>
      </c>
      <c r="F1862" s="7" t="s">
        <v>50</v>
      </c>
      <c r="G1862" s="7" t="s">
        <v>19</v>
      </c>
      <c r="H1862" s="9" t="n">
        <v>46178</v>
      </c>
      <c r="I1862" s="9" t="n">
        <v>46188</v>
      </c>
      <c r="J1862" s="7" t="n">
        <v>9.8</v>
      </c>
      <c r="K1862" s="7" t="s">
        <v>1971</v>
      </c>
      <c r="L1862" s="7" t="s">
        <v>19</v>
      </c>
      <c r="M1862" s="7" t="s">
        <v>2245</v>
      </c>
      <c r="N1862" s="7" t="s">
        <v>58</v>
      </c>
      <c r="O1862" s="10" t="n">
        <f aca="false">'Exec Summary'!$E$2-H1862</f>
        <v>56</v>
      </c>
      <c r="P1862" s="10" t="n">
        <f aca="false">IF(I1862="","",I1862-H1862)</f>
        <v>10</v>
      </c>
      <c r="Q1862" s="10" t="n">
        <f aca="false">VLOOKUP(G1862,$AA$2:$AB$5,2,FALSE())</f>
        <v>15</v>
      </c>
      <c r="R1862" s="7" t="n">
        <f aca="false">IF(OR(F1862="Open",F1862="Reopened"),1,0)</f>
        <v>0</v>
      </c>
      <c r="S1862" s="7" t="n">
        <f aca="false">IF(AND(H1862&gt;='Exec Summary'!$E$1,H1862&lt;='Exec Summary'!$E$2),1,0)</f>
        <v>0</v>
      </c>
      <c r="T1862" s="7" t="n">
        <f aca="false">IF(AND(F1862="Closed",I1862&lt;&gt;"",I1862&gt;='Exec Summary'!$E$1,I1862&lt;='Exec Summary'!$E$2),1,0)</f>
        <v>0</v>
      </c>
      <c r="U1862" s="7" t="n">
        <f aca="false">IF(F1862="Reopened",1,0)</f>
        <v>0</v>
      </c>
      <c r="V1862" s="7" t="n">
        <f aca="false">IF(AND(R1862=1,O1862&gt;Q1862),1,0)</f>
        <v>0</v>
      </c>
      <c r="W1862" s="7" t="n">
        <f aca="false">IF(AND(T1862=1,P1862&lt;&gt;"",P1862&lt;=Q1862),1,0)</f>
        <v>0</v>
      </c>
    </row>
    <row r="1863" customFormat="false" ht="15" hidden="false" customHeight="false" outlineLevel="0" collapsed="false">
      <c r="A1863" s="7" t="s">
        <v>2240</v>
      </c>
      <c r="B1863" s="7" t="s">
        <v>135</v>
      </c>
      <c r="C1863" s="7" t="s">
        <v>136</v>
      </c>
      <c r="D1863" s="7" t="s">
        <v>139</v>
      </c>
      <c r="E1863" s="7" t="s">
        <v>140</v>
      </c>
      <c r="F1863" s="7" t="s">
        <v>56</v>
      </c>
      <c r="G1863" s="7" t="s">
        <v>19</v>
      </c>
      <c r="H1863" s="9" t="n">
        <v>46007</v>
      </c>
      <c r="I1863" s="9"/>
      <c r="J1863" s="7" t="n">
        <v>9.8</v>
      </c>
      <c r="K1863" s="7" t="s">
        <v>1971</v>
      </c>
      <c r="L1863" s="7" t="s">
        <v>19</v>
      </c>
      <c r="M1863" s="7" t="s">
        <v>2246</v>
      </c>
      <c r="N1863" s="7" t="s">
        <v>58</v>
      </c>
      <c r="O1863" s="10" t="n">
        <f aca="false">'Exec Summary'!$E$2-H1863</f>
        <v>227</v>
      </c>
      <c r="P1863" s="10" t="str">
        <f aca="false">IF(I1863="","",I1863-H1863)</f>
        <v/>
      </c>
      <c r="Q1863" s="10" t="n">
        <f aca="false">VLOOKUP(G1863,$AA$2:$AB$5,2,FALSE())</f>
        <v>15</v>
      </c>
      <c r="R1863" s="7" t="n">
        <f aca="false">IF(OR(F1863="Open",F1863="Reopened"),1,0)</f>
        <v>1</v>
      </c>
      <c r="S1863" s="7" t="n">
        <f aca="false">IF(AND(H1863&gt;='Exec Summary'!$E$1,H1863&lt;='Exec Summary'!$E$2),1,0)</f>
        <v>0</v>
      </c>
      <c r="T1863" s="7" t="n">
        <f aca="false">IF(AND(F1863="Closed",I1863&lt;&gt;"",I1863&gt;='Exec Summary'!$E$1,I1863&lt;='Exec Summary'!$E$2),1,0)</f>
        <v>0</v>
      </c>
      <c r="U1863" s="7" t="n">
        <f aca="false">IF(F1863="Reopened",1,0)</f>
        <v>0</v>
      </c>
      <c r="V1863" s="7" t="n">
        <f aca="false">IF(AND(R1863=1,O1863&gt;Q1863),1,0)</f>
        <v>1</v>
      </c>
      <c r="W1863" s="7" t="n">
        <f aca="false">IF(AND(T1863=1,P1863&lt;&gt;"",P1863&lt;=Q1863),1,0)</f>
        <v>0</v>
      </c>
    </row>
    <row r="1864" customFormat="false" ht="15" hidden="false" customHeight="false" outlineLevel="0" collapsed="false">
      <c r="A1864" s="7" t="s">
        <v>2240</v>
      </c>
      <c r="B1864" s="7" t="s">
        <v>135</v>
      </c>
      <c r="C1864" s="7" t="s">
        <v>136</v>
      </c>
      <c r="D1864" s="7" t="s">
        <v>145</v>
      </c>
      <c r="E1864" s="7" t="s">
        <v>146</v>
      </c>
      <c r="F1864" s="7" t="s">
        <v>50</v>
      </c>
      <c r="G1864" s="7" t="s">
        <v>19</v>
      </c>
      <c r="H1864" s="9" t="n">
        <v>45982</v>
      </c>
      <c r="I1864" s="9" t="n">
        <v>45997</v>
      </c>
      <c r="J1864" s="7" t="n">
        <v>9.8</v>
      </c>
      <c r="K1864" s="7" t="s">
        <v>1971</v>
      </c>
      <c r="L1864" s="7" t="s">
        <v>19</v>
      </c>
      <c r="M1864" s="7" t="s">
        <v>2247</v>
      </c>
      <c r="N1864" s="7" t="s">
        <v>58</v>
      </c>
      <c r="O1864" s="10" t="n">
        <f aca="false">'Exec Summary'!$E$2-H1864</f>
        <v>252</v>
      </c>
      <c r="P1864" s="10" t="n">
        <f aca="false">IF(I1864="","",I1864-H1864)</f>
        <v>15</v>
      </c>
      <c r="Q1864" s="10" t="n">
        <f aca="false">VLOOKUP(G1864,$AA$2:$AB$5,2,FALSE())</f>
        <v>15</v>
      </c>
      <c r="R1864" s="7" t="n">
        <f aca="false">IF(OR(F1864="Open",F1864="Reopened"),1,0)</f>
        <v>0</v>
      </c>
      <c r="S1864" s="7" t="n">
        <f aca="false">IF(AND(H1864&gt;='Exec Summary'!$E$1,H1864&lt;='Exec Summary'!$E$2),1,0)</f>
        <v>0</v>
      </c>
      <c r="T1864" s="7" t="n">
        <f aca="false">IF(AND(F1864="Closed",I1864&lt;&gt;"",I1864&gt;='Exec Summary'!$E$1,I1864&lt;='Exec Summary'!$E$2),1,0)</f>
        <v>0</v>
      </c>
      <c r="U1864" s="7" t="n">
        <f aca="false">IF(F1864="Reopened",1,0)</f>
        <v>0</v>
      </c>
      <c r="V1864" s="7" t="n">
        <f aca="false">IF(AND(R1864=1,O1864&gt;Q1864),1,0)</f>
        <v>0</v>
      </c>
      <c r="W1864" s="7" t="n">
        <f aca="false">IF(AND(T1864=1,P1864&lt;&gt;"",P1864&lt;=Q1864),1,0)</f>
        <v>0</v>
      </c>
    </row>
    <row r="1865" customFormat="false" ht="15" hidden="false" customHeight="false" outlineLevel="0" collapsed="false">
      <c r="A1865" s="7" t="s">
        <v>2240</v>
      </c>
      <c r="B1865" s="7" t="s">
        <v>135</v>
      </c>
      <c r="C1865" s="7" t="s">
        <v>136</v>
      </c>
      <c r="D1865" s="7" t="s">
        <v>87</v>
      </c>
      <c r="E1865" s="7" t="s">
        <v>88</v>
      </c>
      <c r="F1865" s="7" t="s">
        <v>50</v>
      </c>
      <c r="G1865" s="7" t="s">
        <v>19</v>
      </c>
      <c r="H1865" s="9" t="n">
        <v>46006</v>
      </c>
      <c r="I1865" s="9" t="n">
        <v>46032</v>
      </c>
      <c r="J1865" s="7" t="n">
        <v>10</v>
      </c>
      <c r="K1865" s="7" t="s">
        <v>1971</v>
      </c>
      <c r="L1865" s="7" t="s">
        <v>19</v>
      </c>
      <c r="M1865" s="7" t="s">
        <v>2248</v>
      </c>
      <c r="N1865" s="7" t="s">
        <v>58</v>
      </c>
      <c r="O1865" s="10" t="n">
        <f aca="false">'Exec Summary'!$E$2-H1865</f>
        <v>228</v>
      </c>
      <c r="P1865" s="10" t="n">
        <f aca="false">IF(I1865="","",I1865-H1865)</f>
        <v>26</v>
      </c>
      <c r="Q1865" s="10" t="n">
        <f aca="false">VLOOKUP(G1865,$AA$2:$AB$5,2,FALSE())</f>
        <v>15</v>
      </c>
      <c r="R1865" s="7" t="n">
        <f aca="false">IF(OR(F1865="Open",F1865="Reopened"),1,0)</f>
        <v>0</v>
      </c>
      <c r="S1865" s="7" t="n">
        <f aca="false">IF(AND(H1865&gt;='Exec Summary'!$E$1,H1865&lt;='Exec Summary'!$E$2),1,0)</f>
        <v>0</v>
      </c>
      <c r="T1865" s="7" t="n">
        <f aca="false">IF(AND(F1865="Closed",I1865&lt;&gt;"",I1865&gt;='Exec Summary'!$E$1,I1865&lt;='Exec Summary'!$E$2),1,0)</f>
        <v>0</v>
      </c>
      <c r="U1865" s="7" t="n">
        <f aca="false">IF(F1865="Reopened",1,0)</f>
        <v>0</v>
      </c>
      <c r="V1865" s="7" t="n">
        <f aca="false">IF(AND(R1865=1,O1865&gt;Q1865),1,0)</f>
        <v>0</v>
      </c>
      <c r="W1865" s="7" t="n">
        <f aca="false">IF(AND(T1865=1,P1865&lt;&gt;"",P1865&lt;=Q1865),1,0)</f>
        <v>0</v>
      </c>
    </row>
    <row r="1866" customFormat="false" ht="15" hidden="false" customHeight="false" outlineLevel="0" collapsed="false">
      <c r="A1866" s="7" t="s">
        <v>2249</v>
      </c>
      <c r="B1866" s="7" t="s">
        <v>46</v>
      </c>
      <c r="C1866" s="7" t="s">
        <v>79</v>
      </c>
      <c r="D1866" s="7" t="s">
        <v>87</v>
      </c>
      <c r="E1866" s="7" t="s">
        <v>88</v>
      </c>
      <c r="F1866" s="7" t="s">
        <v>56</v>
      </c>
      <c r="G1866" s="7" t="s">
        <v>19</v>
      </c>
      <c r="H1866" s="9" t="n">
        <v>46223</v>
      </c>
      <c r="I1866" s="9"/>
      <c r="J1866" s="7" t="n">
        <v>10</v>
      </c>
      <c r="K1866" s="7" t="s">
        <v>1971</v>
      </c>
      <c r="L1866" s="7" t="s">
        <v>19</v>
      </c>
      <c r="M1866" s="7" t="s">
        <v>2250</v>
      </c>
      <c r="N1866" s="7" t="s">
        <v>58</v>
      </c>
      <c r="O1866" s="10" t="n">
        <f aca="false">'Exec Summary'!$E$2-H1866</f>
        <v>11</v>
      </c>
      <c r="P1866" s="10" t="str">
        <f aca="false">IF(I1866="","",I1866-H1866)</f>
        <v/>
      </c>
      <c r="Q1866" s="10" t="n">
        <f aca="false">VLOOKUP(G1866,$AA$2:$AB$5,2,FALSE())</f>
        <v>15</v>
      </c>
      <c r="R1866" s="7" t="n">
        <f aca="false">IF(OR(F1866="Open",F1866="Reopened"),1,0)</f>
        <v>1</v>
      </c>
      <c r="S1866" s="7" t="n">
        <f aca="false">IF(AND(H1866&gt;='Exec Summary'!$E$1,H1866&lt;='Exec Summary'!$E$2),1,0)</f>
        <v>1</v>
      </c>
      <c r="T1866" s="7" t="n">
        <f aca="false">IF(AND(F1866="Closed",I1866&lt;&gt;"",I1866&gt;='Exec Summary'!$E$1,I1866&lt;='Exec Summary'!$E$2),1,0)</f>
        <v>0</v>
      </c>
      <c r="U1866" s="7" t="n">
        <f aca="false">IF(F1866="Reopened",1,0)</f>
        <v>0</v>
      </c>
      <c r="V1866" s="7" t="n">
        <f aca="false">IF(AND(R1866=1,O1866&gt;Q1866),1,0)</f>
        <v>0</v>
      </c>
      <c r="W1866" s="7" t="n">
        <f aca="false">IF(AND(T1866=1,P1866&lt;&gt;"",P1866&lt;=Q1866),1,0)</f>
        <v>0</v>
      </c>
    </row>
    <row r="1867" customFormat="false" ht="15" hidden="false" customHeight="false" outlineLevel="0" collapsed="false">
      <c r="A1867" s="7" t="s">
        <v>2249</v>
      </c>
      <c r="B1867" s="7" t="s">
        <v>46</v>
      </c>
      <c r="C1867" s="7" t="s">
        <v>79</v>
      </c>
      <c r="D1867" s="7" t="s">
        <v>206</v>
      </c>
      <c r="E1867" s="7" t="s">
        <v>207</v>
      </c>
      <c r="F1867" s="7" t="s">
        <v>56</v>
      </c>
      <c r="G1867" s="7" t="s">
        <v>20</v>
      </c>
      <c r="H1867" s="9" t="n">
        <v>46071</v>
      </c>
      <c r="I1867" s="9"/>
      <c r="J1867" s="7" t="n">
        <v>8.8</v>
      </c>
      <c r="K1867" s="7" t="s">
        <v>1971</v>
      </c>
      <c r="L1867" s="7" t="s">
        <v>19</v>
      </c>
      <c r="M1867" s="7" t="s">
        <v>2251</v>
      </c>
      <c r="N1867" s="7" t="s">
        <v>53</v>
      </c>
      <c r="O1867" s="10" t="n">
        <f aca="false">'Exec Summary'!$E$2-H1867</f>
        <v>163</v>
      </c>
      <c r="P1867" s="10" t="str">
        <f aca="false">IF(I1867="","",I1867-H1867)</f>
        <v/>
      </c>
      <c r="Q1867" s="10" t="n">
        <f aca="false">VLOOKUP(G1867,$AA$2:$AB$5,2,FALSE())</f>
        <v>30</v>
      </c>
      <c r="R1867" s="7" t="n">
        <f aca="false">IF(OR(F1867="Open",F1867="Reopened"),1,0)</f>
        <v>1</v>
      </c>
      <c r="S1867" s="7" t="n">
        <f aca="false">IF(AND(H1867&gt;='Exec Summary'!$E$1,H1867&lt;='Exec Summary'!$E$2),1,0)</f>
        <v>0</v>
      </c>
      <c r="T1867" s="7" t="n">
        <f aca="false">IF(AND(F1867="Closed",I1867&lt;&gt;"",I1867&gt;='Exec Summary'!$E$1,I1867&lt;='Exec Summary'!$E$2),1,0)</f>
        <v>0</v>
      </c>
      <c r="U1867" s="7" t="n">
        <f aca="false">IF(F1867="Reopened",1,0)</f>
        <v>0</v>
      </c>
      <c r="V1867" s="7" t="n">
        <f aca="false">IF(AND(R1867=1,O1867&gt;Q1867),1,0)</f>
        <v>1</v>
      </c>
      <c r="W1867" s="7" t="n">
        <f aca="false">IF(AND(T1867=1,P1867&lt;&gt;"",P1867&lt;=Q1867),1,0)</f>
        <v>0</v>
      </c>
    </row>
    <row r="1868" customFormat="false" ht="15" hidden="false" customHeight="false" outlineLevel="0" collapsed="false">
      <c r="A1868" s="7" t="s">
        <v>2249</v>
      </c>
      <c r="B1868" s="7" t="s">
        <v>46</v>
      </c>
      <c r="C1868" s="7" t="s">
        <v>79</v>
      </c>
      <c r="D1868" s="7" t="s">
        <v>163</v>
      </c>
      <c r="E1868" s="7" t="s">
        <v>164</v>
      </c>
      <c r="F1868" s="7" t="s">
        <v>50</v>
      </c>
      <c r="G1868" s="7" t="s">
        <v>19</v>
      </c>
      <c r="H1868" s="9" t="n">
        <v>46213</v>
      </c>
      <c r="I1868" s="9" t="n">
        <v>46229</v>
      </c>
      <c r="J1868" s="7" t="n">
        <v>9.1</v>
      </c>
      <c r="K1868" s="7" t="s">
        <v>1971</v>
      </c>
      <c r="L1868" s="7" t="s">
        <v>19</v>
      </c>
      <c r="M1868" s="7" t="s">
        <v>2252</v>
      </c>
      <c r="N1868" s="7" t="s">
        <v>58</v>
      </c>
      <c r="O1868" s="10" t="n">
        <f aca="false">'Exec Summary'!$E$2-H1868</f>
        <v>21</v>
      </c>
      <c r="P1868" s="10" t="n">
        <f aca="false">IF(I1868="","",I1868-H1868)</f>
        <v>16</v>
      </c>
      <c r="Q1868" s="10" t="n">
        <f aca="false">VLOOKUP(G1868,$AA$2:$AB$5,2,FALSE())</f>
        <v>15</v>
      </c>
      <c r="R1868" s="7" t="n">
        <f aca="false">IF(OR(F1868="Open",F1868="Reopened"),1,0)</f>
        <v>0</v>
      </c>
      <c r="S1868" s="7" t="n">
        <f aca="false">IF(AND(H1868&gt;='Exec Summary'!$E$1,H1868&lt;='Exec Summary'!$E$2),1,0)</f>
        <v>1</v>
      </c>
      <c r="T1868" s="7" t="n">
        <f aca="false">IF(AND(F1868="Closed",I1868&lt;&gt;"",I1868&gt;='Exec Summary'!$E$1,I1868&lt;='Exec Summary'!$E$2),1,0)</f>
        <v>1</v>
      </c>
      <c r="U1868" s="7" t="n">
        <f aca="false">IF(F1868="Reopened",1,0)</f>
        <v>0</v>
      </c>
      <c r="V1868" s="7" t="n">
        <f aca="false">IF(AND(R1868=1,O1868&gt;Q1868),1,0)</f>
        <v>0</v>
      </c>
      <c r="W1868" s="7" t="n">
        <f aca="false">IF(AND(T1868=1,P1868&lt;&gt;"",P1868&lt;=Q1868),1,0)</f>
        <v>0</v>
      </c>
    </row>
    <row r="1869" customFormat="false" ht="15" hidden="false" customHeight="false" outlineLevel="0" collapsed="false">
      <c r="A1869" s="7" t="s">
        <v>2249</v>
      </c>
      <c r="B1869" s="7" t="s">
        <v>46</v>
      </c>
      <c r="C1869" s="7" t="s">
        <v>79</v>
      </c>
      <c r="D1869" s="7" t="s">
        <v>59</v>
      </c>
      <c r="E1869" s="7" t="s">
        <v>60</v>
      </c>
      <c r="F1869" s="7" t="s">
        <v>50</v>
      </c>
      <c r="G1869" s="7" t="s">
        <v>19</v>
      </c>
      <c r="H1869" s="9" t="n">
        <v>46197</v>
      </c>
      <c r="I1869" s="9" t="n">
        <v>46207</v>
      </c>
      <c r="J1869" s="7" t="n">
        <v>7.8</v>
      </c>
      <c r="K1869" s="7" t="s">
        <v>1971</v>
      </c>
      <c r="L1869" s="7" t="s">
        <v>19</v>
      </c>
      <c r="M1869" s="7" t="s">
        <v>2253</v>
      </c>
      <c r="N1869" s="7" t="s">
        <v>58</v>
      </c>
      <c r="O1869" s="10" t="n">
        <f aca="false">'Exec Summary'!$E$2-H1869</f>
        <v>37</v>
      </c>
      <c r="P1869" s="10" t="n">
        <f aca="false">IF(I1869="","",I1869-H1869)</f>
        <v>10</v>
      </c>
      <c r="Q1869" s="10" t="n">
        <f aca="false">VLOOKUP(G1869,$AA$2:$AB$5,2,FALSE())</f>
        <v>15</v>
      </c>
      <c r="R1869" s="7" t="n">
        <f aca="false">IF(OR(F1869="Open",F1869="Reopened"),1,0)</f>
        <v>0</v>
      </c>
      <c r="S1869" s="7" t="n">
        <f aca="false">IF(AND(H1869&gt;='Exec Summary'!$E$1,H1869&lt;='Exec Summary'!$E$2),1,0)</f>
        <v>0</v>
      </c>
      <c r="T1869" s="7" t="n">
        <f aca="false">IF(AND(F1869="Closed",I1869&lt;&gt;"",I1869&gt;='Exec Summary'!$E$1,I1869&lt;='Exec Summary'!$E$2),1,0)</f>
        <v>1</v>
      </c>
      <c r="U1869" s="7" t="n">
        <f aca="false">IF(F1869="Reopened",1,0)</f>
        <v>0</v>
      </c>
      <c r="V1869" s="7" t="n">
        <f aca="false">IF(AND(R1869=1,O1869&gt;Q1869),1,0)</f>
        <v>0</v>
      </c>
      <c r="W1869" s="7" t="n">
        <f aca="false">IF(AND(T1869=1,P1869&lt;&gt;"",P1869&lt;=Q1869),1,0)</f>
        <v>1</v>
      </c>
    </row>
    <row r="1870" customFormat="false" ht="15" hidden="false" customHeight="false" outlineLevel="0" collapsed="false">
      <c r="A1870" s="7" t="s">
        <v>2249</v>
      </c>
      <c r="B1870" s="7" t="s">
        <v>46</v>
      </c>
      <c r="C1870" s="7" t="s">
        <v>79</v>
      </c>
      <c r="D1870" s="7" t="s">
        <v>68</v>
      </c>
      <c r="E1870" s="7" t="s">
        <v>69</v>
      </c>
      <c r="F1870" s="7" t="s">
        <v>123</v>
      </c>
      <c r="G1870" s="7" t="s">
        <v>19</v>
      </c>
      <c r="H1870" s="9" t="n">
        <v>45987</v>
      </c>
      <c r="I1870" s="9" t="n">
        <v>46001</v>
      </c>
      <c r="J1870" s="7" t="n">
        <v>9.8</v>
      </c>
      <c r="K1870" s="7" t="s">
        <v>1971</v>
      </c>
      <c r="L1870" s="7" t="s">
        <v>19</v>
      </c>
      <c r="M1870" s="7" t="s">
        <v>2254</v>
      </c>
      <c r="N1870" s="7" t="s">
        <v>58</v>
      </c>
      <c r="O1870" s="10" t="n">
        <f aca="false">'Exec Summary'!$E$2-H1870</f>
        <v>247</v>
      </c>
      <c r="P1870" s="10" t="n">
        <f aca="false">IF(I1870="","",I1870-H1870)</f>
        <v>14</v>
      </c>
      <c r="Q1870" s="10" t="n">
        <f aca="false">VLOOKUP(G1870,$AA$2:$AB$5,2,FALSE())</f>
        <v>15</v>
      </c>
      <c r="R1870" s="7" t="n">
        <f aca="false">IF(OR(F1870="Open",F1870="Reopened"),1,0)</f>
        <v>1</v>
      </c>
      <c r="S1870" s="7" t="n">
        <f aca="false">IF(AND(H1870&gt;='Exec Summary'!$E$1,H1870&lt;='Exec Summary'!$E$2),1,0)</f>
        <v>0</v>
      </c>
      <c r="T1870" s="7" t="n">
        <f aca="false">IF(AND(F1870="Closed",I1870&lt;&gt;"",I1870&gt;='Exec Summary'!$E$1,I1870&lt;='Exec Summary'!$E$2),1,0)</f>
        <v>0</v>
      </c>
      <c r="U1870" s="7" t="n">
        <f aca="false">IF(F1870="Reopened",1,0)</f>
        <v>1</v>
      </c>
      <c r="V1870" s="7" t="n">
        <f aca="false">IF(AND(R1870=1,O1870&gt;Q1870),1,0)</f>
        <v>1</v>
      </c>
      <c r="W1870" s="7" t="n">
        <f aca="false">IF(AND(T1870=1,P1870&lt;&gt;"",P1870&lt;=Q1870),1,0)</f>
        <v>0</v>
      </c>
    </row>
    <row r="1871" customFormat="false" ht="15" hidden="false" customHeight="false" outlineLevel="0" collapsed="false">
      <c r="A1871" s="7" t="s">
        <v>2249</v>
      </c>
      <c r="B1871" s="7" t="s">
        <v>46</v>
      </c>
      <c r="C1871" s="7" t="s">
        <v>79</v>
      </c>
      <c r="D1871" s="7" t="s">
        <v>192</v>
      </c>
      <c r="E1871" s="7" t="s">
        <v>193</v>
      </c>
      <c r="F1871" s="7" t="s">
        <v>50</v>
      </c>
      <c r="G1871" s="7" t="s">
        <v>19</v>
      </c>
      <c r="H1871" s="9" t="n">
        <v>45996</v>
      </c>
      <c r="I1871" s="9" t="n">
        <v>46008</v>
      </c>
      <c r="J1871" s="7" t="n">
        <v>9.8</v>
      </c>
      <c r="K1871" s="7" t="s">
        <v>1971</v>
      </c>
      <c r="L1871" s="7" t="s">
        <v>19</v>
      </c>
      <c r="M1871" s="7" t="s">
        <v>2255</v>
      </c>
      <c r="N1871" s="7" t="s">
        <v>58</v>
      </c>
      <c r="O1871" s="10" t="n">
        <f aca="false">'Exec Summary'!$E$2-H1871</f>
        <v>238</v>
      </c>
      <c r="P1871" s="10" t="n">
        <f aca="false">IF(I1871="","",I1871-H1871)</f>
        <v>12</v>
      </c>
      <c r="Q1871" s="10" t="n">
        <f aca="false">VLOOKUP(G1871,$AA$2:$AB$5,2,FALSE())</f>
        <v>15</v>
      </c>
      <c r="R1871" s="7" t="n">
        <f aca="false">IF(OR(F1871="Open",F1871="Reopened"),1,0)</f>
        <v>0</v>
      </c>
      <c r="S1871" s="7" t="n">
        <f aca="false">IF(AND(H1871&gt;='Exec Summary'!$E$1,H1871&lt;='Exec Summary'!$E$2),1,0)</f>
        <v>0</v>
      </c>
      <c r="T1871" s="7" t="n">
        <f aca="false">IF(AND(F1871="Closed",I1871&lt;&gt;"",I1871&gt;='Exec Summary'!$E$1,I1871&lt;='Exec Summary'!$E$2),1,0)</f>
        <v>0</v>
      </c>
      <c r="U1871" s="7" t="n">
        <f aca="false">IF(F1871="Reopened",1,0)</f>
        <v>0</v>
      </c>
      <c r="V1871" s="7" t="n">
        <f aca="false">IF(AND(R1871=1,O1871&gt;Q1871),1,0)</f>
        <v>0</v>
      </c>
      <c r="W1871" s="7" t="n">
        <f aca="false">IF(AND(T1871=1,P1871&lt;&gt;"",P1871&lt;=Q1871),1,0)</f>
        <v>0</v>
      </c>
    </row>
    <row r="1872" customFormat="false" ht="15" hidden="false" customHeight="false" outlineLevel="0" collapsed="false">
      <c r="A1872" s="7" t="s">
        <v>2249</v>
      </c>
      <c r="B1872" s="7" t="s">
        <v>46</v>
      </c>
      <c r="C1872" s="7" t="s">
        <v>79</v>
      </c>
      <c r="D1872" s="7" t="s">
        <v>81</v>
      </c>
      <c r="E1872" s="7" t="s">
        <v>82</v>
      </c>
      <c r="F1872" s="7" t="s">
        <v>56</v>
      </c>
      <c r="G1872" s="7" t="s">
        <v>20</v>
      </c>
      <c r="H1872" s="9" t="n">
        <v>45953</v>
      </c>
      <c r="I1872" s="9"/>
      <c r="J1872" s="7" t="n">
        <v>7.8</v>
      </c>
      <c r="K1872" s="7" t="s">
        <v>1971</v>
      </c>
      <c r="L1872" s="7" t="s">
        <v>19</v>
      </c>
      <c r="M1872" s="7" t="s">
        <v>2256</v>
      </c>
      <c r="N1872" s="7" t="s">
        <v>53</v>
      </c>
      <c r="O1872" s="10" t="n">
        <f aca="false">'Exec Summary'!$E$2-H1872</f>
        <v>281</v>
      </c>
      <c r="P1872" s="10" t="str">
        <f aca="false">IF(I1872="","",I1872-H1872)</f>
        <v/>
      </c>
      <c r="Q1872" s="10" t="n">
        <f aca="false">VLOOKUP(G1872,$AA$2:$AB$5,2,FALSE())</f>
        <v>30</v>
      </c>
      <c r="R1872" s="7" t="n">
        <f aca="false">IF(OR(F1872="Open",F1872="Reopened"),1,0)</f>
        <v>1</v>
      </c>
      <c r="S1872" s="7" t="n">
        <f aca="false">IF(AND(H1872&gt;='Exec Summary'!$E$1,H1872&lt;='Exec Summary'!$E$2),1,0)</f>
        <v>0</v>
      </c>
      <c r="T1872" s="7" t="n">
        <f aca="false">IF(AND(F1872="Closed",I1872&lt;&gt;"",I1872&gt;='Exec Summary'!$E$1,I1872&lt;='Exec Summary'!$E$2),1,0)</f>
        <v>0</v>
      </c>
      <c r="U1872" s="7" t="n">
        <f aca="false">IF(F1872="Reopened",1,0)</f>
        <v>0</v>
      </c>
      <c r="V1872" s="7" t="n">
        <f aca="false">IF(AND(R1872=1,O1872&gt;Q1872),1,0)</f>
        <v>1</v>
      </c>
      <c r="W1872" s="7" t="n">
        <f aca="false">IF(AND(T1872=1,P1872&lt;&gt;"",P1872&lt;=Q1872),1,0)</f>
        <v>0</v>
      </c>
    </row>
    <row r="1873" customFormat="false" ht="15" hidden="false" customHeight="false" outlineLevel="0" collapsed="false">
      <c r="A1873" s="7" t="s">
        <v>2257</v>
      </c>
      <c r="B1873" s="7" t="s">
        <v>46</v>
      </c>
      <c r="C1873" s="7" t="s">
        <v>79</v>
      </c>
      <c r="D1873" s="7" t="s">
        <v>87</v>
      </c>
      <c r="E1873" s="7" t="s">
        <v>88</v>
      </c>
      <c r="F1873" s="7" t="s">
        <v>50</v>
      </c>
      <c r="G1873" s="7" t="s">
        <v>19</v>
      </c>
      <c r="H1873" s="9" t="n">
        <v>45994</v>
      </c>
      <c r="I1873" s="9" t="n">
        <v>46001</v>
      </c>
      <c r="J1873" s="7" t="n">
        <v>10</v>
      </c>
      <c r="K1873" s="7" t="s">
        <v>1971</v>
      </c>
      <c r="L1873" s="7" t="s">
        <v>19</v>
      </c>
      <c r="M1873" s="7" t="s">
        <v>2258</v>
      </c>
      <c r="N1873" s="7" t="s">
        <v>58</v>
      </c>
      <c r="O1873" s="10" t="n">
        <f aca="false">'Exec Summary'!$E$2-H1873</f>
        <v>240</v>
      </c>
      <c r="P1873" s="10" t="n">
        <f aca="false">IF(I1873="","",I1873-H1873)</f>
        <v>7</v>
      </c>
      <c r="Q1873" s="10" t="n">
        <f aca="false">VLOOKUP(G1873,$AA$2:$AB$5,2,FALSE())</f>
        <v>15</v>
      </c>
      <c r="R1873" s="7" t="n">
        <f aca="false">IF(OR(F1873="Open",F1873="Reopened"),1,0)</f>
        <v>0</v>
      </c>
      <c r="S1873" s="7" t="n">
        <f aca="false">IF(AND(H1873&gt;='Exec Summary'!$E$1,H1873&lt;='Exec Summary'!$E$2),1,0)</f>
        <v>0</v>
      </c>
      <c r="T1873" s="7" t="n">
        <f aca="false">IF(AND(F1873="Closed",I1873&lt;&gt;"",I1873&gt;='Exec Summary'!$E$1,I1873&lt;='Exec Summary'!$E$2),1,0)</f>
        <v>0</v>
      </c>
      <c r="U1873" s="7" t="n">
        <f aca="false">IF(F1873="Reopened",1,0)</f>
        <v>0</v>
      </c>
      <c r="V1873" s="7" t="n">
        <f aca="false">IF(AND(R1873=1,O1873&gt;Q1873),1,0)</f>
        <v>0</v>
      </c>
      <c r="W1873" s="7" t="n">
        <f aca="false">IF(AND(T1873=1,P1873&lt;&gt;"",P1873&lt;=Q1873),1,0)</f>
        <v>0</v>
      </c>
    </row>
    <row r="1874" customFormat="false" ht="15" hidden="false" customHeight="false" outlineLevel="0" collapsed="false">
      <c r="A1874" s="7" t="s">
        <v>2259</v>
      </c>
      <c r="B1874" s="7" t="s">
        <v>46</v>
      </c>
      <c r="C1874" s="7" t="s">
        <v>47</v>
      </c>
      <c r="D1874" s="7" t="s">
        <v>152</v>
      </c>
      <c r="E1874" s="7" t="s">
        <v>153</v>
      </c>
      <c r="F1874" s="7" t="s">
        <v>50</v>
      </c>
      <c r="G1874" s="7" t="s">
        <v>20</v>
      </c>
      <c r="H1874" s="9" t="n">
        <v>46082</v>
      </c>
      <c r="I1874" s="9" t="n">
        <v>46106</v>
      </c>
      <c r="J1874" s="7" t="n">
        <v>7.5</v>
      </c>
      <c r="K1874" s="7" t="s">
        <v>2260</v>
      </c>
      <c r="L1874" s="7" t="s">
        <v>20</v>
      </c>
      <c r="M1874" s="7" t="s">
        <v>2261</v>
      </c>
      <c r="N1874" s="7" t="s">
        <v>53</v>
      </c>
      <c r="O1874" s="10" t="n">
        <f aca="false">'Exec Summary'!$E$2-H1874</f>
        <v>152</v>
      </c>
      <c r="P1874" s="10" t="n">
        <f aca="false">IF(I1874="","",I1874-H1874)</f>
        <v>24</v>
      </c>
      <c r="Q1874" s="10" t="n">
        <f aca="false">VLOOKUP(G1874,$AA$2:$AB$5,2,FALSE())</f>
        <v>30</v>
      </c>
      <c r="R1874" s="7" t="n">
        <f aca="false">IF(OR(F1874="Open",F1874="Reopened"),1,0)</f>
        <v>0</v>
      </c>
      <c r="S1874" s="7" t="n">
        <f aca="false">IF(AND(H1874&gt;='Exec Summary'!$E$1,H1874&lt;='Exec Summary'!$E$2),1,0)</f>
        <v>0</v>
      </c>
      <c r="T1874" s="7" t="n">
        <f aca="false">IF(AND(F1874="Closed",I1874&lt;&gt;"",I1874&gt;='Exec Summary'!$E$1,I1874&lt;='Exec Summary'!$E$2),1,0)</f>
        <v>0</v>
      </c>
      <c r="U1874" s="7" t="n">
        <f aca="false">IF(F1874="Reopened",1,0)</f>
        <v>0</v>
      </c>
      <c r="V1874" s="7" t="n">
        <f aca="false">IF(AND(R1874=1,O1874&gt;Q1874),1,0)</f>
        <v>0</v>
      </c>
      <c r="W1874" s="7" t="n">
        <f aca="false">IF(AND(T1874=1,P1874&lt;&gt;"",P1874&lt;=Q1874),1,0)</f>
        <v>0</v>
      </c>
    </row>
    <row r="1875" customFormat="false" ht="15" hidden="false" customHeight="false" outlineLevel="0" collapsed="false">
      <c r="A1875" s="7" t="s">
        <v>2259</v>
      </c>
      <c r="B1875" s="7" t="s">
        <v>46</v>
      </c>
      <c r="C1875" s="7" t="s">
        <v>47</v>
      </c>
      <c r="D1875" s="7" t="s">
        <v>71</v>
      </c>
      <c r="E1875" s="7" t="s">
        <v>72</v>
      </c>
      <c r="F1875" s="7" t="s">
        <v>50</v>
      </c>
      <c r="G1875" s="7" t="s">
        <v>19</v>
      </c>
      <c r="H1875" s="9" t="n">
        <v>45939</v>
      </c>
      <c r="I1875" s="9" t="n">
        <v>45946</v>
      </c>
      <c r="J1875" s="7" t="n">
        <v>9.8</v>
      </c>
      <c r="K1875" s="7" t="s">
        <v>2260</v>
      </c>
      <c r="L1875" s="7" t="s">
        <v>20</v>
      </c>
      <c r="M1875" s="7" t="s">
        <v>2262</v>
      </c>
      <c r="N1875" s="7" t="s">
        <v>58</v>
      </c>
      <c r="O1875" s="10" t="n">
        <f aca="false">'Exec Summary'!$E$2-H1875</f>
        <v>295</v>
      </c>
      <c r="P1875" s="10" t="n">
        <f aca="false">IF(I1875="","",I1875-H1875)</f>
        <v>7</v>
      </c>
      <c r="Q1875" s="10" t="n">
        <f aca="false">VLOOKUP(G1875,$AA$2:$AB$5,2,FALSE())</f>
        <v>15</v>
      </c>
      <c r="R1875" s="7" t="n">
        <f aca="false">IF(OR(F1875="Open",F1875="Reopened"),1,0)</f>
        <v>0</v>
      </c>
      <c r="S1875" s="7" t="n">
        <f aca="false">IF(AND(H1875&gt;='Exec Summary'!$E$1,H1875&lt;='Exec Summary'!$E$2),1,0)</f>
        <v>0</v>
      </c>
      <c r="T1875" s="7" t="n">
        <f aca="false">IF(AND(F1875="Closed",I1875&lt;&gt;"",I1875&gt;='Exec Summary'!$E$1,I1875&lt;='Exec Summary'!$E$2),1,0)</f>
        <v>0</v>
      </c>
      <c r="U1875" s="7" t="n">
        <f aca="false">IF(F1875="Reopened",1,0)</f>
        <v>0</v>
      </c>
      <c r="V1875" s="7" t="n">
        <f aca="false">IF(AND(R1875=1,O1875&gt;Q1875),1,0)</f>
        <v>0</v>
      </c>
      <c r="W1875" s="7" t="n">
        <f aca="false">IF(AND(T1875=1,P1875&lt;&gt;"",P1875&lt;=Q1875),1,0)</f>
        <v>0</v>
      </c>
    </row>
    <row r="1876" customFormat="false" ht="15" hidden="false" customHeight="false" outlineLevel="0" collapsed="false">
      <c r="A1876" s="7" t="s">
        <v>2259</v>
      </c>
      <c r="B1876" s="7" t="s">
        <v>46</v>
      </c>
      <c r="C1876" s="7" t="s">
        <v>47</v>
      </c>
      <c r="D1876" s="7" t="s">
        <v>91</v>
      </c>
      <c r="E1876" s="7" t="s">
        <v>92</v>
      </c>
      <c r="F1876" s="7" t="s">
        <v>50</v>
      </c>
      <c r="G1876" s="7" t="s">
        <v>20</v>
      </c>
      <c r="H1876" s="9" t="n">
        <v>46017</v>
      </c>
      <c r="I1876" s="9" t="n">
        <v>46043</v>
      </c>
      <c r="J1876" s="7" t="n">
        <v>8.1</v>
      </c>
      <c r="K1876" s="7" t="s">
        <v>2260</v>
      </c>
      <c r="L1876" s="7" t="s">
        <v>20</v>
      </c>
      <c r="M1876" s="7" t="s">
        <v>2263</v>
      </c>
      <c r="N1876" s="7" t="s">
        <v>53</v>
      </c>
      <c r="O1876" s="10" t="n">
        <f aca="false">'Exec Summary'!$E$2-H1876</f>
        <v>217</v>
      </c>
      <c r="P1876" s="10" t="n">
        <f aca="false">IF(I1876="","",I1876-H1876)</f>
        <v>26</v>
      </c>
      <c r="Q1876" s="10" t="n">
        <f aca="false">VLOOKUP(G1876,$AA$2:$AB$5,2,FALSE())</f>
        <v>30</v>
      </c>
      <c r="R1876" s="7" t="n">
        <f aca="false">IF(OR(F1876="Open",F1876="Reopened"),1,0)</f>
        <v>0</v>
      </c>
      <c r="S1876" s="7" t="n">
        <f aca="false">IF(AND(H1876&gt;='Exec Summary'!$E$1,H1876&lt;='Exec Summary'!$E$2),1,0)</f>
        <v>0</v>
      </c>
      <c r="T1876" s="7" t="n">
        <f aca="false">IF(AND(F1876="Closed",I1876&lt;&gt;"",I1876&gt;='Exec Summary'!$E$1,I1876&lt;='Exec Summary'!$E$2),1,0)</f>
        <v>0</v>
      </c>
      <c r="U1876" s="7" t="n">
        <f aca="false">IF(F1876="Reopened",1,0)</f>
        <v>0</v>
      </c>
      <c r="V1876" s="7" t="n">
        <f aca="false">IF(AND(R1876=1,O1876&gt;Q1876),1,0)</f>
        <v>0</v>
      </c>
      <c r="W1876" s="7" t="n">
        <f aca="false">IF(AND(T1876=1,P1876&lt;&gt;"",P1876&lt;=Q1876),1,0)</f>
        <v>0</v>
      </c>
    </row>
    <row r="1877" customFormat="false" ht="15" hidden="false" customHeight="false" outlineLevel="0" collapsed="false">
      <c r="A1877" s="7" t="s">
        <v>2259</v>
      </c>
      <c r="B1877" s="7" t="s">
        <v>46</v>
      </c>
      <c r="C1877" s="7" t="s">
        <v>47</v>
      </c>
      <c r="D1877" s="7" t="s">
        <v>101</v>
      </c>
      <c r="E1877" s="7" t="s">
        <v>102</v>
      </c>
      <c r="F1877" s="7" t="s">
        <v>56</v>
      </c>
      <c r="G1877" s="7" t="s">
        <v>19</v>
      </c>
      <c r="H1877" s="9" t="n">
        <v>45943</v>
      </c>
      <c r="I1877" s="9"/>
      <c r="J1877" s="7" t="n">
        <v>10</v>
      </c>
      <c r="K1877" s="7" t="s">
        <v>2260</v>
      </c>
      <c r="L1877" s="7" t="s">
        <v>20</v>
      </c>
      <c r="M1877" s="7" t="s">
        <v>2264</v>
      </c>
      <c r="N1877" s="7" t="s">
        <v>58</v>
      </c>
      <c r="O1877" s="10" t="n">
        <f aca="false">'Exec Summary'!$E$2-H1877</f>
        <v>291</v>
      </c>
      <c r="P1877" s="10" t="str">
        <f aca="false">IF(I1877="","",I1877-H1877)</f>
        <v/>
      </c>
      <c r="Q1877" s="10" t="n">
        <f aca="false">VLOOKUP(G1877,$AA$2:$AB$5,2,FALSE())</f>
        <v>15</v>
      </c>
      <c r="R1877" s="7" t="n">
        <f aca="false">IF(OR(F1877="Open",F1877="Reopened"),1,0)</f>
        <v>1</v>
      </c>
      <c r="S1877" s="7" t="n">
        <f aca="false">IF(AND(H1877&gt;='Exec Summary'!$E$1,H1877&lt;='Exec Summary'!$E$2),1,0)</f>
        <v>0</v>
      </c>
      <c r="T1877" s="7" t="n">
        <f aca="false">IF(AND(F1877="Closed",I1877&lt;&gt;"",I1877&gt;='Exec Summary'!$E$1,I1877&lt;='Exec Summary'!$E$2),1,0)</f>
        <v>0</v>
      </c>
      <c r="U1877" s="7" t="n">
        <f aca="false">IF(F1877="Reopened",1,0)</f>
        <v>0</v>
      </c>
      <c r="V1877" s="7" t="n">
        <f aca="false">IF(AND(R1877=1,O1877&gt;Q1877),1,0)</f>
        <v>1</v>
      </c>
      <c r="W1877" s="7" t="n">
        <f aca="false">IF(AND(T1877=1,P1877&lt;&gt;"",P1877&lt;=Q1877),1,0)</f>
        <v>0</v>
      </c>
    </row>
    <row r="1878" customFormat="false" ht="15" hidden="false" customHeight="false" outlineLevel="0" collapsed="false">
      <c r="A1878" s="7" t="s">
        <v>2259</v>
      </c>
      <c r="B1878" s="7" t="s">
        <v>46</v>
      </c>
      <c r="C1878" s="7" t="s">
        <v>47</v>
      </c>
      <c r="D1878" s="7" t="s">
        <v>95</v>
      </c>
      <c r="E1878" s="7" t="s">
        <v>96</v>
      </c>
      <c r="F1878" s="7" t="s">
        <v>50</v>
      </c>
      <c r="G1878" s="7" t="s">
        <v>20</v>
      </c>
      <c r="H1878" s="9" t="n">
        <v>46072</v>
      </c>
      <c r="I1878" s="9" t="n">
        <v>46093</v>
      </c>
      <c r="J1878" s="7" t="n">
        <v>8.8</v>
      </c>
      <c r="K1878" s="7" t="s">
        <v>2260</v>
      </c>
      <c r="L1878" s="7" t="s">
        <v>20</v>
      </c>
      <c r="M1878" s="7" t="s">
        <v>2265</v>
      </c>
      <c r="N1878" s="7" t="s">
        <v>53</v>
      </c>
      <c r="O1878" s="10" t="n">
        <f aca="false">'Exec Summary'!$E$2-H1878</f>
        <v>162</v>
      </c>
      <c r="P1878" s="10" t="n">
        <f aca="false">IF(I1878="","",I1878-H1878)</f>
        <v>21</v>
      </c>
      <c r="Q1878" s="10" t="n">
        <f aca="false">VLOOKUP(G1878,$AA$2:$AB$5,2,FALSE())</f>
        <v>30</v>
      </c>
      <c r="R1878" s="7" t="n">
        <f aca="false">IF(OR(F1878="Open",F1878="Reopened"),1,0)</f>
        <v>0</v>
      </c>
      <c r="S1878" s="7" t="n">
        <f aca="false">IF(AND(H1878&gt;='Exec Summary'!$E$1,H1878&lt;='Exec Summary'!$E$2),1,0)</f>
        <v>0</v>
      </c>
      <c r="T1878" s="7" t="n">
        <f aca="false">IF(AND(F1878="Closed",I1878&lt;&gt;"",I1878&gt;='Exec Summary'!$E$1,I1878&lt;='Exec Summary'!$E$2),1,0)</f>
        <v>0</v>
      </c>
      <c r="U1878" s="7" t="n">
        <f aca="false">IF(F1878="Reopened",1,0)</f>
        <v>0</v>
      </c>
      <c r="V1878" s="7" t="n">
        <f aca="false">IF(AND(R1878=1,O1878&gt;Q1878),1,0)</f>
        <v>0</v>
      </c>
      <c r="W1878" s="7" t="n">
        <f aca="false">IF(AND(T1878=1,P1878&lt;&gt;"",P1878&lt;=Q1878),1,0)</f>
        <v>0</v>
      </c>
    </row>
    <row r="1879" customFormat="false" ht="15" hidden="false" customHeight="false" outlineLevel="0" collapsed="false">
      <c r="A1879" s="7" t="s">
        <v>2266</v>
      </c>
      <c r="B1879" s="7" t="s">
        <v>46</v>
      </c>
      <c r="C1879" s="7" t="s">
        <v>128</v>
      </c>
      <c r="D1879" s="7" t="s">
        <v>120</v>
      </c>
      <c r="E1879" s="7" t="s">
        <v>121</v>
      </c>
      <c r="F1879" s="7" t="s">
        <v>50</v>
      </c>
      <c r="G1879" s="7" t="s">
        <v>19</v>
      </c>
      <c r="H1879" s="9" t="n">
        <v>46176</v>
      </c>
      <c r="I1879" s="9" t="n">
        <v>46200</v>
      </c>
      <c r="J1879" s="7" t="n">
        <v>8.8</v>
      </c>
      <c r="K1879" s="7" t="s">
        <v>2260</v>
      </c>
      <c r="L1879" s="7" t="s">
        <v>20</v>
      </c>
      <c r="M1879" s="7" t="s">
        <v>2267</v>
      </c>
      <c r="N1879" s="7" t="s">
        <v>58</v>
      </c>
      <c r="O1879" s="10" t="n">
        <f aca="false">'Exec Summary'!$E$2-H1879</f>
        <v>58</v>
      </c>
      <c r="P1879" s="10" t="n">
        <f aca="false">IF(I1879="","",I1879-H1879)</f>
        <v>24</v>
      </c>
      <c r="Q1879" s="10" t="n">
        <f aca="false">VLOOKUP(G1879,$AA$2:$AB$5,2,FALSE())</f>
        <v>15</v>
      </c>
      <c r="R1879" s="7" t="n">
        <f aca="false">IF(OR(F1879="Open",F1879="Reopened"),1,0)</f>
        <v>0</v>
      </c>
      <c r="S1879" s="7" t="n">
        <f aca="false">IF(AND(H1879&gt;='Exec Summary'!$E$1,H1879&lt;='Exec Summary'!$E$2),1,0)</f>
        <v>0</v>
      </c>
      <c r="T1879" s="7" t="n">
        <f aca="false">IF(AND(F1879="Closed",I1879&lt;&gt;"",I1879&gt;='Exec Summary'!$E$1,I1879&lt;='Exec Summary'!$E$2),1,0)</f>
        <v>0</v>
      </c>
      <c r="U1879" s="7" t="n">
        <f aca="false">IF(F1879="Reopened",1,0)</f>
        <v>0</v>
      </c>
      <c r="V1879" s="7" t="n">
        <f aca="false">IF(AND(R1879=1,O1879&gt;Q1879),1,0)</f>
        <v>0</v>
      </c>
      <c r="W1879" s="7" t="n">
        <f aca="false">IF(AND(T1879=1,P1879&lt;&gt;"",P1879&lt;=Q1879),1,0)</f>
        <v>0</v>
      </c>
    </row>
    <row r="1880" customFormat="false" ht="15" hidden="false" customHeight="false" outlineLevel="0" collapsed="false">
      <c r="A1880" s="7" t="s">
        <v>2266</v>
      </c>
      <c r="B1880" s="7" t="s">
        <v>46</v>
      </c>
      <c r="C1880" s="7" t="s">
        <v>128</v>
      </c>
      <c r="D1880" s="7" t="s">
        <v>192</v>
      </c>
      <c r="E1880" s="7" t="s">
        <v>193</v>
      </c>
      <c r="F1880" s="7" t="s">
        <v>50</v>
      </c>
      <c r="G1880" s="7" t="s">
        <v>19</v>
      </c>
      <c r="H1880" s="9" t="n">
        <v>46055</v>
      </c>
      <c r="I1880" s="9" t="n">
        <v>46056</v>
      </c>
      <c r="J1880" s="7" t="n">
        <v>9.8</v>
      </c>
      <c r="K1880" s="7" t="s">
        <v>2260</v>
      </c>
      <c r="L1880" s="7" t="s">
        <v>20</v>
      </c>
      <c r="M1880" s="7" t="s">
        <v>2268</v>
      </c>
      <c r="N1880" s="7" t="s">
        <v>58</v>
      </c>
      <c r="O1880" s="10" t="n">
        <f aca="false">'Exec Summary'!$E$2-H1880</f>
        <v>179</v>
      </c>
      <c r="P1880" s="10" t="n">
        <f aca="false">IF(I1880="","",I1880-H1880)</f>
        <v>1</v>
      </c>
      <c r="Q1880" s="10" t="n">
        <f aca="false">VLOOKUP(G1880,$AA$2:$AB$5,2,FALSE())</f>
        <v>15</v>
      </c>
      <c r="R1880" s="7" t="n">
        <f aca="false">IF(OR(F1880="Open",F1880="Reopened"),1,0)</f>
        <v>0</v>
      </c>
      <c r="S1880" s="7" t="n">
        <f aca="false">IF(AND(H1880&gt;='Exec Summary'!$E$1,H1880&lt;='Exec Summary'!$E$2),1,0)</f>
        <v>0</v>
      </c>
      <c r="T1880" s="7" t="n">
        <f aca="false">IF(AND(F1880="Closed",I1880&lt;&gt;"",I1880&gt;='Exec Summary'!$E$1,I1880&lt;='Exec Summary'!$E$2),1,0)</f>
        <v>0</v>
      </c>
      <c r="U1880" s="7" t="n">
        <f aca="false">IF(F1880="Reopened",1,0)</f>
        <v>0</v>
      </c>
      <c r="V1880" s="7" t="n">
        <f aca="false">IF(AND(R1880=1,O1880&gt;Q1880),1,0)</f>
        <v>0</v>
      </c>
      <c r="W1880" s="7" t="n">
        <f aca="false">IF(AND(T1880=1,P1880&lt;&gt;"",P1880&lt;=Q1880),1,0)</f>
        <v>0</v>
      </c>
    </row>
    <row r="1881" customFormat="false" ht="15" hidden="false" customHeight="false" outlineLevel="0" collapsed="false">
      <c r="A1881" s="7" t="s">
        <v>2266</v>
      </c>
      <c r="B1881" s="7" t="s">
        <v>46</v>
      </c>
      <c r="C1881" s="7" t="s">
        <v>128</v>
      </c>
      <c r="D1881" s="7" t="s">
        <v>163</v>
      </c>
      <c r="E1881" s="7" t="s">
        <v>164</v>
      </c>
      <c r="F1881" s="7" t="s">
        <v>56</v>
      </c>
      <c r="G1881" s="7" t="s">
        <v>19</v>
      </c>
      <c r="H1881" s="9" t="n">
        <v>46123</v>
      </c>
      <c r="I1881" s="9"/>
      <c r="J1881" s="7" t="n">
        <v>9.1</v>
      </c>
      <c r="K1881" s="7" t="s">
        <v>2260</v>
      </c>
      <c r="L1881" s="7" t="s">
        <v>20</v>
      </c>
      <c r="M1881" s="7" t="s">
        <v>2269</v>
      </c>
      <c r="N1881" s="7" t="s">
        <v>58</v>
      </c>
      <c r="O1881" s="10" t="n">
        <f aca="false">'Exec Summary'!$E$2-H1881</f>
        <v>111</v>
      </c>
      <c r="P1881" s="10" t="str">
        <f aca="false">IF(I1881="","",I1881-H1881)</f>
        <v/>
      </c>
      <c r="Q1881" s="10" t="n">
        <f aca="false">VLOOKUP(G1881,$AA$2:$AB$5,2,FALSE())</f>
        <v>15</v>
      </c>
      <c r="R1881" s="7" t="n">
        <f aca="false">IF(OR(F1881="Open",F1881="Reopened"),1,0)</f>
        <v>1</v>
      </c>
      <c r="S1881" s="7" t="n">
        <f aca="false">IF(AND(H1881&gt;='Exec Summary'!$E$1,H1881&lt;='Exec Summary'!$E$2),1,0)</f>
        <v>0</v>
      </c>
      <c r="T1881" s="7" t="n">
        <f aca="false">IF(AND(F1881="Closed",I1881&lt;&gt;"",I1881&gt;='Exec Summary'!$E$1,I1881&lt;='Exec Summary'!$E$2),1,0)</f>
        <v>0</v>
      </c>
      <c r="U1881" s="7" t="n">
        <f aca="false">IF(F1881="Reopened",1,0)</f>
        <v>0</v>
      </c>
      <c r="V1881" s="7" t="n">
        <f aca="false">IF(AND(R1881=1,O1881&gt;Q1881),1,0)</f>
        <v>1</v>
      </c>
      <c r="W1881" s="7" t="n">
        <f aca="false">IF(AND(T1881=1,P1881&lt;&gt;"",P1881&lt;=Q1881),1,0)</f>
        <v>0</v>
      </c>
    </row>
    <row r="1882" customFormat="false" ht="15" hidden="false" customHeight="false" outlineLevel="0" collapsed="false">
      <c r="A1882" s="7" t="s">
        <v>2266</v>
      </c>
      <c r="B1882" s="7" t="s">
        <v>46</v>
      </c>
      <c r="C1882" s="7" t="s">
        <v>128</v>
      </c>
      <c r="D1882" s="7" t="s">
        <v>139</v>
      </c>
      <c r="E1882" s="7" t="s">
        <v>140</v>
      </c>
      <c r="F1882" s="7" t="s">
        <v>50</v>
      </c>
      <c r="G1882" s="7" t="s">
        <v>19</v>
      </c>
      <c r="H1882" s="9" t="n">
        <v>45934</v>
      </c>
      <c r="I1882" s="9" t="n">
        <v>45940</v>
      </c>
      <c r="J1882" s="7" t="n">
        <v>9.8</v>
      </c>
      <c r="K1882" s="7" t="s">
        <v>2260</v>
      </c>
      <c r="L1882" s="7" t="s">
        <v>20</v>
      </c>
      <c r="M1882" s="7" t="s">
        <v>2270</v>
      </c>
      <c r="N1882" s="7" t="s">
        <v>58</v>
      </c>
      <c r="O1882" s="10" t="n">
        <f aca="false">'Exec Summary'!$E$2-H1882</f>
        <v>300</v>
      </c>
      <c r="P1882" s="10" t="n">
        <f aca="false">IF(I1882="","",I1882-H1882)</f>
        <v>6</v>
      </c>
      <c r="Q1882" s="10" t="n">
        <f aca="false">VLOOKUP(G1882,$AA$2:$AB$5,2,FALSE())</f>
        <v>15</v>
      </c>
      <c r="R1882" s="7" t="n">
        <f aca="false">IF(OR(F1882="Open",F1882="Reopened"),1,0)</f>
        <v>0</v>
      </c>
      <c r="S1882" s="7" t="n">
        <f aca="false">IF(AND(H1882&gt;='Exec Summary'!$E$1,H1882&lt;='Exec Summary'!$E$2),1,0)</f>
        <v>0</v>
      </c>
      <c r="T1882" s="7" t="n">
        <f aca="false">IF(AND(F1882="Closed",I1882&lt;&gt;"",I1882&gt;='Exec Summary'!$E$1,I1882&lt;='Exec Summary'!$E$2),1,0)</f>
        <v>0</v>
      </c>
      <c r="U1882" s="7" t="n">
        <f aca="false">IF(F1882="Reopened",1,0)</f>
        <v>0</v>
      </c>
      <c r="V1882" s="7" t="n">
        <f aca="false">IF(AND(R1882=1,O1882&gt;Q1882),1,0)</f>
        <v>0</v>
      </c>
      <c r="W1882" s="7" t="n">
        <f aca="false">IF(AND(T1882=1,P1882&lt;&gt;"",P1882&lt;=Q1882),1,0)</f>
        <v>0</v>
      </c>
    </row>
    <row r="1883" customFormat="false" ht="15" hidden="false" customHeight="false" outlineLevel="0" collapsed="false">
      <c r="A1883" s="7" t="s">
        <v>2266</v>
      </c>
      <c r="B1883" s="7" t="s">
        <v>46</v>
      </c>
      <c r="C1883" s="7" t="s">
        <v>128</v>
      </c>
      <c r="D1883" s="7" t="s">
        <v>87</v>
      </c>
      <c r="E1883" s="7" t="s">
        <v>88</v>
      </c>
      <c r="F1883" s="7" t="s">
        <v>56</v>
      </c>
      <c r="G1883" s="7" t="s">
        <v>19</v>
      </c>
      <c r="H1883" s="9" t="n">
        <v>45986</v>
      </c>
      <c r="I1883" s="9"/>
      <c r="J1883" s="7" t="n">
        <v>10</v>
      </c>
      <c r="K1883" s="7" t="s">
        <v>2260</v>
      </c>
      <c r="L1883" s="7" t="s">
        <v>20</v>
      </c>
      <c r="M1883" s="7" t="s">
        <v>2271</v>
      </c>
      <c r="N1883" s="7" t="s">
        <v>58</v>
      </c>
      <c r="O1883" s="10" t="n">
        <f aca="false">'Exec Summary'!$E$2-H1883</f>
        <v>248</v>
      </c>
      <c r="P1883" s="10" t="str">
        <f aca="false">IF(I1883="","",I1883-H1883)</f>
        <v/>
      </c>
      <c r="Q1883" s="10" t="n">
        <f aca="false">VLOOKUP(G1883,$AA$2:$AB$5,2,FALSE())</f>
        <v>15</v>
      </c>
      <c r="R1883" s="7" t="n">
        <f aca="false">IF(OR(F1883="Open",F1883="Reopened"),1,0)</f>
        <v>1</v>
      </c>
      <c r="S1883" s="7" t="n">
        <f aca="false">IF(AND(H1883&gt;='Exec Summary'!$E$1,H1883&lt;='Exec Summary'!$E$2),1,0)</f>
        <v>0</v>
      </c>
      <c r="T1883" s="7" t="n">
        <f aca="false">IF(AND(F1883="Closed",I1883&lt;&gt;"",I1883&gt;='Exec Summary'!$E$1,I1883&lt;='Exec Summary'!$E$2),1,0)</f>
        <v>0</v>
      </c>
      <c r="U1883" s="7" t="n">
        <f aca="false">IF(F1883="Reopened",1,0)</f>
        <v>0</v>
      </c>
      <c r="V1883" s="7" t="n">
        <f aca="false">IF(AND(R1883=1,O1883&gt;Q1883),1,0)</f>
        <v>1</v>
      </c>
      <c r="W1883" s="7" t="n">
        <f aca="false">IF(AND(T1883=1,P1883&lt;&gt;"",P1883&lt;=Q1883),1,0)</f>
        <v>0</v>
      </c>
    </row>
    <row r="1884" customFormat="false" ht="15" hidden="false" customHeight="false" outlineLevel="0" collapsed="false">
      <c r="A1884" s="7" t="s">
        <v>2266</v>
      </c>
      <c r="B1884" s="7" t="s">
        <v>46</v>
      </c>
      <c r="C1884" s="7" t="s">
        <v>128</v>
      </c>
      <c r="D1884" s="7" t="s">
        <v>117</v>
      </c>
      <c r="E1884" s="7" t="s">
        <v>118</v>
      </c>
      <c r="F1884" s="7" t="s">
        <v>50</v>
      </c>
      <c r="G1884" s="7" t="s">
        <v>19</v>
      </c>
      <c r="H1884" s="9" t="n">
        <v>46038</v>
      </c>
      <c r="I1884" s="9" t="n">
        <v>46039</v>
      </c>
      <c r="J1884" s="7" t="n">
        <v>10</v>
      </c>
      <c r="K1884" s="7" t="s">
        <v>2260</v>
      </c>
      <c r="L1884" s="7" t="s">
        <v>20</v>
      </c>
      <c r="M1884" s="7" t="s">
        <v>2272</v>
      </c>
      <c r="N1884" s="7" t="s">
        <v>58</v>
      </c>
      <c r="O1884" s="10" t="n">
        <f aca="false">'Exec Summary'!$E$2-H1884</f>
        <v>196</v>
      </c>
      <c r="P1884" s="10" t="n">
        <f aca="false">IF(I1884="","",I1884-H1884)</f>
        <v>1</v>
      </c>
      <c r="Q1884" s="10" t="n">
        <f aca="false">VLOOKUP(G1884,$AA$2:$AB$5,2,FALSE())</f>
        <v>15</v>
      </c>
      <c r="R1884" s="7" t="n">
        <f aca="false">IF(OR(F1884="Open",F1884="Reopened"),1,0)</f>
        <v>0</v>
      </c>
      <c r="S1884" s="7" t="n">
        <f aca="false">IF(AND(H1884&gt;='Exec Summary'!$E$1,H1884&lt;='Exec Summary'!$E$2),1,0)</f>
        <v>0</v>
      </c>
      <c r="T1884" s="7" t="n">
        <f aca="false">IF(AND(F1884="Closed",I1884&lt;&gt;"",I1884&gt;='Exec Summary'!$E$1,I1884&lt;='Exec Summary'!$E$2),1,0)</f>
        <v>0</v>
      </c>
      <c r="U1884" s="7" t="n">
        <f aca="false">IF(F1884="Reopened",1,0)</f>
        <v>0</v>
      </c>
      <c r="V1884" s="7" t="n">
        <f aca="false">IF(AND(R1884=1,O1884&gt;Q1884),1,0)</f>
        <v>0</v>
      </c>
      <c r="W1884" s="7" t="n">
        <f aca="false">IF(AND(T1884=1,P1884&lt;&gt;"",P1884&lt;=Q1884),1,0)</f>
        <v>0</v>
      </c>
    </row>
    <row r="1885" customFormat="false" ht="15" hidden="false" customHeight="false" outlineLevel="0" collapsed="false">
      <c r="A1885" s="7" t="s">
        <v>2266</v>
      </c>
      <c r="B1885" s="7" t="s">
        <v>46</v>
      </c>
      <c r="C1885" s="7" t="s">
        <v>128</v>
      </c>
      <c r="D1885" s="7" t="s">
        <v>91</v>
      </c>
      <c r="E1885" s="7" t="s">
        <v>92</v>
      </c>
      <c r="F1885" s="7" t="s">
        <v>50</v>
      </c>
      <c r="G1885" s="7" t="s">
        <v>20</v>
      </c>
      <c r="H1885" s="9" t="n">
        <v>46132</v>
      </c>
      <c r="I1885" s="9" t="n">
        <v>46133</v>
      </c>
      <c r="J1885" s="7" t="n">
        <v>8.1</v>
      </c>
      <c r="K1885" s="7" t="s">
        <v>2260</v>
      </c>
      <c r="L1885" s="7" t="s">
        <v>20</v>
      </c>
      <c r="M1885" s="7" t="s">
        <v>2273</v>
      </c>
      <c r="N1885" s="7" t="s">
        <v>53</v>
      </c>
      <c r="O1885" s="10" t="n">
        <f aca="false">'Exec Summary'!$E$2-H1885</f>
        <v>102</v>
      </c>
      <c r="P1885" s="10" t="n">
        <f aca="false">IF(I1885="","",I1885-H1885)</f>
        <v>1</v>
      </c>
      <c r="Q1885" s="10" t="n">
        <f aca="false">VLOOKUP(G1885,$AA$2:$AB$5,2,FALSE())</f>
        <v>30</v>
      </c>
      <c r="R1885" s="7" t="n">
        <f aca="false">IF(OR(F1885="Open",F1885="Reopened"),1,0)</f>
        <v>0</v>
      </c>
      <c r="S1885" s="7" t="n">
        <f aca="false">IF(AND(H1885&gt;='Exec Summary'!$E$1,H1885&lt;='Exec Summary'!$E$2),1,0)</f>
        <v>0</v>
      </c>
      <c r="T1885" s="7" t="n">
        <f aca="false">IF(AND(F1885="Closed",I1885&lt;&gt;"",I1885&gt;='Exec Summary'!$E$1,I1885&lt;='Exec Summary'!$E$2),1,0)</f>
        <v>0</v>
      </c>
      <c r="U1885" s="7" t="n">
        <f aca="false">IF(F1885="Reopened",1,0)</f>
        <v>0</v>
      </c>
      <c r="V1885" s="7" t="n">
        <f aca="false">IF(AND(R1885=1,O1885&gt;Q1885),1,0)</f>
        <v>0</v>
      </c>
      <c r="W1885" s="7" t="n">
        <f aca="false">IF(AND(T1885=1,P1885&lt;&gt;"",P1885&lt;=Q1885),1,0)</f>
        <v>0</v>
      </c>
    </row>
    <row r="1886" customFormat="false" ht="15" hidden="false" customHeight="false" outlineLevel="0" collapsed="false">
      <c r="A1886" s="7" t="s">
        <v>2266</v>
      </c>
      <c r="B1886" s="7" t="s">
        <v>46</v>
      </c>
      <c r="C1886" s="7" t="s">
        <v>128</v>
      </c>
      <c r="D1886" s="7" t="s">
        <v>206</v>
      </c>
      <c r="E1886" s="7" t="s">
        <v>207</v>
      </c>
      <c r="F1886" s="7" t="s">
        <v>56</v>
      </c>
      <c r="G1886" s="7" t="s">
        <v>20</v>
      </c>
      <c r="H1886" s="9" t="n">
        <v>46211</v>
      </c>
      <c r="I1886" s="9"/>
      <c r="J1886" s="7" t="n">
        <v>8.8</v>
      </c>
      <c r="K1886" s="7" t="s">
        <v>2260</v>
      </c>
      <c r="L1886" s="7" t="s">
        <v>20</v>
      </c>
      <c r="M1886" s="7" t="s">
        <v>2274</v>
      </c>
      <c r="N1886" s="7" t="s">
        <v>53</v>
      </c>
      <c r="O1886" s="10" t="n">
        <f aca="false">'Exec Summary'!$E$2-H1886</f>
        <v>23</v>
      </c>
      <c r="P1886" s="10" t="str">
        <f aca="false">IF(I1886="","",I1886-H1886)</f>
        <v/>
      </c>
      <c r="Q1886" s="10" t="n">
        <f aca="false">VLOOKUP(G1886,$AA$2:$AB$5,2,FALSE())</f>
        <v>30</v>
      </c>
      <c r="R1886" s="7" t="n">
        <f aca="false">IF(OR(F1886="Open",F1886="Reopened"),1,0)</f>
        <v>1</v>
      </c>
      <c r="S1886" s="7" t="n">
        <f aca="false">IF(AND(H1886&gt;='Exec Summary'!$E$1,H1886&lt;='Exec Summary'!$E$2),1,0)</f>
        <v>1</v>
      </c>
      <c r="T1886" s="7" t="n">
        <f aca="false">IF(AND(F1886="Closed",I1886&lt;&gt;"",I1886&gt;='Exec Summary'!$E$1,I1886&lt;='Exec Summary'!$E$2),1,0)</f>
        <v>0</v>
      </c>
      <c r="U1886" s="7" t="n">
        <f aca="false">IF(F1886="Reopened",1,0)</f>
        <v>0</v>
      </c>
      <c r="V1886" s="7" t="n">
        <f aca="false">IF(AND(R1886=1,O1886&gt;Q1886),1,0)</f>
        <v>0</v>
      </c>
      <c r="W1886" s="7" t="n">
        <f aca="false">IF(AND(T1886=1,P1886&lt;&gt;"",P1886&lt;=Q1886),1,0)</f>
        <v>0</v>
      </c>
    </row>
    <row r="1887" customFormat="false" ht="15" hidden="false" customHeight="false" outlineLevel="0" collapsed="false">
      <c r="A1887" s="7" t="s">
        <v>2266</v>
      </c>
      <c r="B1887" s="7" t="s">
        <v>46</v>
      </c>
      <c r="C1887" s="7" t="s">
        <v>128</v>
      </c>
      <c r="D1887" s="7" t="s">
        <v>54</v>
      </c>
      <c r="E1887" s="7" t="s">
        <v>55</v>
      </c>
      <c r="F1887" s="7" t="s">
        <v>123</v>
      </c>
      <c r="G1887" s="7" t="s">
        <v>19</v>
      </c>
      <c r="H1887" s="9" t="n">
        <v>46155</v>
      </c>
      <c r="I1887" s="9" t="n">
        <v>46162</v>
      </c>
      <c r="J1887" s="7" t="n">
        <v>9.8</v>
      </c>
      <c r="K1887" s="7" t="s">
        <v>2260</v>
      </c>
      <c r="L1887" s="7" t="s">
        <v>20</v>
      </c>
      <c r="M1887" s="7" t="s">
        <v>2275</v>
      </c>
      <c r="N1887" s="7" t="s">
        <v>58</v>
      </c>
      <c r="O1887" s="10" t="n">
        <f aca="false">'Exec Summary'!$E$2-H1887</f>
        <v>79</v>
      </c>
      <c r="P1887" s="10" t="n">
        <f aca="false">IF(I1887="","",I1887-H1887)</f>
        <v>7</v>
      </c>
      <c r="Q1887" s="10" t="n">
        <f aca="false">VLOOKUP(G1887,$AA$2:$AB$5,2,FALSE())</f>
        <v>15</v>
      </c>
      <c r="R1887" s="7" t="n">
        <f aca="false">IF(OR(F1887="Open",F1887="Reopened"),1,0)</f>
        <v>1</v>
      </c>
      <c r="S1887" s="7" t="n">
        <f aca="false">IF(AND(H1887&gt;='Exec Summary'!$E$1,H1887&lt;='Exec Summary'!$E$2),1,0)</f>
        <v>0</v>
      </c>
      <c r="T1887" s="7" t="n">
        <f aca="false">IF(AND(F1887="Closed",I1887&lt;&gt;"",I1887&gt;='Exec Summary'!$E$1,I1887&lt;='Exec Summary'!$E$2),1,0)</f>
        <v>0</v>
      </c>
      <c r="U1887" s="7" t="n">
        <f aca="false">IF(F1887="Reopened",1,0)</f>
        <v>1</v>
      </c>
      <c r="V1887" s="7" t="n">
        <f aca="false">IF(AND(R1887=1,O1887&gt;Q1887),1,0)</f>
        <v>1</v>
      </c>
      <c r="W1887" s="7" t="n">
        <f aca="false">IF(AND(T1887=1,P1887&lt;&gt;"",P1887&lt;=Q1887),1,0)</f>
        <v>0</v>
      </c>
    </row>
    <row r="1888" customFormat="false" ht="15" hidden="false" customHeight="false" outlineLevel="0" collapsed="false">
      <c r="A1888" s="7" t="s">
        <v>2266</v>
      </c>
      <c r="B1888" s="7" t="s">
        <v>46</v>
      </c>
      <c r="C1888" s="7" t="s">
        <v>128</v>
      </c>
      <c r="D1888" s="7" t="s">
        <v>65</v>
      </c>
      <c r="E1888" s="7" t="s">
        <v>66</v>
      </c>
      <c r="F1888" s="7" t="s">
        <v>56</v>
      </c>
      <c r="G1888" s="7" t="s">
        <v>19</v>
      </c>
      <c r="H1888" s="9" t="n">
        <v>45943</v>
      </c>
      <c r="I1888" s="9"/>
      <c r="J1888" s="7" t="n">
        <v>9.8</v>
      </c>
      <c r="K1888" s="7" t="s">
        <v>2260</v>
      </c>
      <c r="L1888" s="7" t="s">
        <v>20</v>
      </c>
      <c r="M1888" s="7" t="s">
        <v>2276</v>
      </c>
      <c r="N1888" s="7" t="s">
        <v>58</v>
      </c>
      <c r="O1888" s="10" t="n">
        <f aca="false">'Exec Summary'!$E$2-H1888</f>
        <v>291</v>
      </c>
      <c r="P1888" s="10" t="str">
        <f aca="false">IF(I1888="","",I1888-H1888)</f>
        <v/>
      </c>
      <c r="Q1888" s="10" t="n">
        <f aca="false">VLOOKUP(G1888,$AA$2:$AB$5,2,FALSE())</f>
        <v>15</v>
      </c>
      <c r="R1888" s="7" t="n">
        <f aca="false">IF(OR(F1888="Open",F1888="Reopened"),1,0)</f>
        <v>1</v>
      </c>
      <c r="S1888" s="7" t="n">
        <f aca="false">IF(AND(H1888&gt;='Exec Summary'!$E$1,H1888&lt;='Exec Summary'!$E$2),1,0)</f>
        <v>0</v>
      </c>
      <c r="T1888" s="7" t="n">
        <f aca="false">IF(AND(F1888="Closed",I1888&lt;&gt;"",I1888&gt;='Exec Summary'!$E$1,I1888&lt;='Exec Summary'!$E$2),1,0)</f>
        <v>0</v>
      </c>
      <c r="U1888" s="7" t="n">
        <f aca="false">IF(F1888="Reopened",1,0)</f>
        <v>0</v>
      </c>
      <c r="V1888" s="7" t="n">
        <f aca="false">IF(AND(R1888=1,O1888&gt;Q1888),1,0)</f>
        <v>1</v>
      </c>
      <c r="W1888" s="7" t="n">
        <f aca="false">IF(AND(T1888=1,P1888&lt;&gt;"",P1888&lt;=Q1888),1,0)</f>
        <v>0</v>
      </c>
    </row>
    <row r="1889" customFormat="false" ht="15" hidden="false" customHeight="false" outlineLevel="0" collapsed="false">
      <c r="A1889" s="7" t="s">
        <v>2266</v>
      </c>
      <c r="B1889" s="7" t="s">
        <v>46</v>
      </c>
      <c r="C1889" s="7" t="s">
        <v>128</v>
      </c>
      <c r="D1889" s="7" t="s">
        <v>104</v>
      </c>
      <c r="E1889" s="7" t="s">
        <v>105</v>
      </c>
      <c r="F1889" s="7" t="s">
        <v>123</v>
      </c>
      <c r="G1889" s="7" t="s">
        <v>19</v>
      </c>
      <c r="H1889" s="9" t="n">
        <v>46175</v>
      </c>
      <c r="I1889" s="9" t="n">
        <v>46195</v>
      </c>
      <c r="J1889" s="7" t="n">
        <v>9.8</v>
      </c>
      <c r="K1889" s="7" t="s">
        <v>2260</v>
      </c>
      <c r="L1889" s="7" t="s">
        <v>20</v>
      </c>
      <c r="M1889" s="7" t="s">
        <v>2277</v>
      </c>
      <c r="N1889" s="7" t="s">
        <v>58</v>
      </c>
      <c r="O1889" s="10" t="n">
        <f aca="false">'Exec Summary'!$E$2-H1889</f>
        <v>59</v>
      </c>
      <c r="P1889" s="10" t="n">
        <f aca="false">IF(I1889="","",I1889-H1889)</f>
        <v>20</v>
      </c>
      <c r="Q1889" s="10" t="n">
        <f aca="false">VLOOKUP(G1889,$AA$2:$AB$5,2,FALSE())</f>
        <v>15</v>
      </c>
      <c r="R1889" s="7" t="n">
        <f aca="false">IF(OR(F1889="Open",F1889="Reopened"),1,0)</f>
        <v>1</v>
      </c>
      <c r="S1889" s="7" t="n">
        <f aca="false">IF(AND(H1889&gt;='Exec Summary'!$E$1,H1889&lt;='Exec Summary'!$E$2),1,0)</f>
        <v>0</v>
      </c>
      <c r="T1889" s="7" t="n">
        <f aca="false">IF(AND(F1889="Closed",I1889&lt;&gt;"",I1889&gt;='Exec Summary'!$E$1,I1889&lt;='Exec Summary'!$E$2),1,0)</f>
        <v>0</v>
      </c>
      <c r="U1889" s="7" t="n">
        <f aca="false">IF(F1889="Reopened",1,0)</f>
        <v>1</v>
      </c>
      <c r="V1889" s="7" t="n">
        <f aca="false">IF(AND(R1889=1,O1889&gt;Q1889),1,0)</f>
        <v>1</v>
      </c>
      <c r="W1889" s="7" t="n">
        <f aca="false">IF(AND(T1889=1,P1889&lt;&gt;"",P1889&lt;=Q1889),1,0)</f>
        <v>0</v>
      </c>
    </row>
    <row r="1890" customFormat="false" ht="15" hidden="false" customHeight="false" outlineLevel="0" collapsed="false">
      <c r="A1890" s="7" t="s">
        <v>2278</v>
      </c>
      <c r="B1890" s="7" t="s">
        <v>46</v>
      </c>
      <c r="C1890" s="7" t="s">
        <v>158</v>
      </c>
      <c r="D1890" s="7" t="s">
        <v>68</v>
      </c>
      <c r="E1890" s="7" t="s">
        <v>69</v>
      </c>
      <c r="F1890" s="7" t="s">
        <v>56</v>
      </c>
      <c r="G1890" s="7" t="s">
        <v>19</v>
      </c>
      <c r="H1890" s="9" t="n">
        <v>46074</v>
      </c>
      <c r="I1890" s="9"/>
      <c r="J1890" s="7" t="n">
        <v>9.8</v>
      </c>
      <c r="K1890" s="7" t="s">
        <v>2260</v>
      </c>
      <c r="L1890" s="7" t="s">
        <v>20</v>
      </c>
      <c r="M1890" s="7" t="s">
        <v>2279</v>
      </c>
      <c r="N1890" s="7" t="s">
        <v>58</v>
      </c>
      <c r="O1890" s="10" t="n">
        <f aca="false">'Exec Summary'!$E$2-H1890</f>
        <v>160</v>
      </c>
      <c r="P1890" s="10" t="str">
        <f aca="false">IF(I1890="","",I1890-H1890)</f>
        <v/>
      </c>
      <c r="Q1890" s="10" t="n">
        <f aca="false">VLOOKUP(G1890,$AA$2:$AB$5,2,FALSE())</f>
        <v>15</v>
      </c>
      <c r="R1890" s="7" t="n">
        <f aca="false">IF(OR(F1890="Open",F1890="Reopened"),1,0)</f>
        <v>1</v>
      </c>
      <c r="S1890" s="7" t="n">
        <f aca="false">IF(AND(H1890&gt;='Exec Summary'!$E$1,H1890&lt;='Exec Summary'!$E$2),1,0)</f>
        <v>0</v>
      </c>
      <c r="T1890" s="7" t="n">
        <f aca="false">IF(AND(F1890="Closed",I1890&lt;&gt;"",I1890&gt;='Exec Summary'!$E$1,I1890&lt;='Exec Summary'!$E$2),1,0)</f>
        <v>0</v>
      </c>
      <c r="U1890" s="7" t="n">
        <f aca="false">IF(F1890="Reopened",1,0)</f>
        <v>0</v>
      </c>
      <c r="V1890" s="7" t="n">
        <f aca="false">IF(AND(R1890=1,O1890&gt;Q1890),1,0)</f>
        <v>1</v>
      </c>
      <c r="W1890" s="7" t="n">
        <f aca="false">IF(AND(T1890=1,P1890&lt;&gt;"",P1890&lt;=Q1890),1,0)</f>
        <v>0</v>
      </c>
    </row>
    <row r="1891" customFormat="false" ht="15" hidden="false" customHeight="false" outlineLevel="0" collapsed="false">
      <c r="A1891" s="7" t="s">
        <v>2278</v>
      </c>
      <c r="B1891" s="7" t="s">
        <v>46</v>
      </c>
      <c r="C1891" s="7" t="s">
        <v>158</v>
      </c>
      <c r="D1891" s="7" t="s">
        <v>65</v>
      </c>
      <c r="E1891" s="7" t="s">
        <v>66</v>
      </c>
      <c r="F1891" s="7" t="s">
        <v>56</v>
      </c>
      <c r="G1891" s="7" t="s">
        <v>19</v>
      </c>
      <c r="H1891" s="9" t="n">
        <v>46220</v>
      </c>
      <c r="I1891" s="9"/>
      <c r="J1891" s="7" t="n">
        <v>9.8</v>
      </c>
      <c r="K1891" s="7" t="s">
        <v>2260</v>
      </c>
      <c r="L1891" s="7" t="s">
        <v>20</v>
      </c>
      <c r="M1891" s="7" t="s">
        <v>2280</v>
      </c>
      <c r="N1891" s="7" t="s">
        <v>58</v>
      </c>
      <c r="O1891" s="10" t="n">
        <f aca="false">'Exec Summary'!$E$2-H1891</f>
        <v>14</v>
      </c>
      <c r="P1891" s="10" t="str">
        <f aca="false">IF(I1891="","",I1891-H1891)</f>
        <v/>
      </c>
      <c r="Q1891" s="10" t="n">
        <f aca="false">VLOOKUP(G1891,$AA$2:$AB$5,2,FALSE())</f>
        <v>15</v>
      </c>
      <c r="R1891" s="7" t="n">
        <f aca="false">IF(OR(F1891="Open",F1891="Reopened"),1,0)</f>
        <v>1</v>
      </c>
      <c r="S1891" s="7" t="n">
        <f aca="false">IF(AND(H1891&gt;='Exec Summary'!$E$1,H1891&lt;='Exec Summary'!$E$2),1,0)</f>
        <v>1</v>
      </c>
      <c r="T1891" s="7" t="n">
        <f aca="false">IF(AND(F1891="Closed",I1891&lt;&gt;"",I1891&gt;='Exec Summary'!$E$1,I1891&lt;='Exec Summary'!$E$2),1,0)</f>
        <v>0</v>
      </c>
      <c r="U1891" s="7" t="n">
        <f aca="false">IF(F1891="Reopened",1,0)</f>
        <v>0</v>
      </c>
      <c r="V1891" s="7" t="n">
        <f aca="false">IF(AND(R1891=1,O1891&gt;Q1891),1,0)</f>
        <v>0</v>
      </c>
      <c r="W1891" s="7" t="n">
        <f aca="false">IF(AND(T1891=1,P1891&lt;&gt;"",P1891&lt;=Q1891),1,0)</f>
        <v>0</v>
      </c>
    </row>
    <row r="1892" customFormat="false" ht="15" hidden="false" customHeight="false" outlineLevel="0" collapsed="false">
      <c r="A1892" s="7" t="s">
        <v>2278</v>
      </c>
      <c r="B1892" s="7" t="s">
        <v>46</v>
      </c>
      <c r="C1892" s="7" t="s">
        <v>158</v>
      </c>
      <c r="D1892" s="7" t="s">
        <v>192</v>
      </c>
      <c r="E1892" s="7" t="s">
        <v>193</v>
      </c>
      <c r="F1892" s="7" t="s">
        <v>50</v>
      </c>
      <c r="G1892" s="7" t="s">
        <v>19</v>
      </c>
      <c r="H1892" s="9" t="n">
        <v>46125</v>
      </c>
      <c r="I1892" s="9" t="n">
        <v>46127</v>
      </c>
      <c r="J1892" s="7" t="n">
        <v>9.8</v>
      </c>
      <c r="K1892" s="7" t="s">
        <v>2260</v>
      </c>
      <c r="L1892" s="7" t="s">
        <v>20</v>
      </c>
      <c r="M1892" s="7" t="s">
        <v>2281</v>
      </c>
      <c r="N1892" s="7" t="s">
        <v>58</v>
      </c>
      <c r="O1892" s="10" t="n">
        <f aca="false">'Exec Summary'!$E$2-H1892</f>
        <v>109</v>
      </c>
      <c r="P1892" s="10" t="n">
        <f aca="false">IF(I1892="","",I1892-H1892)</f>
        <v>2</v>
      </c>
      <c r="Q1892" s="10" t="n">
        <f aca="false">VLOOKUP(G1892,$AA$2:$AB$5,2,FALSE())</f>
        <v>15</v>
      </c>
      <c r="R1892" s="7" t="n">
        <f aca="false">IF(OR(F1892="Open",F1892="Reopened"),1,0)</f>
        <v>0</v>
      </c>
      <c r="S1892" s="7" t="n">
        <f aca="false">IF(AND(H1892&gt;='Exec Summary'!$E$1,H1892&lt;='Exec Summary'!$E$2),1,0)</f>
        <v>0</v>
      </c>
      <c r="T1892" s="7" t="n">
        <f aca="false">IF(AND(F1892="Closed",I1892&lt;&gt;"",I1892&gt;='Exec Summary'!$E$1,I1892&lt;='Exec Summary'!$E$2),1,0)</f>
        <v>0</v>
      </c>
      <c r="U1892" s="7" t="n">
        <f aca="false">IF(F1892="Reopened",1,0)</f>
        <v>0</v>
      </c>
      <c r="V1892" s="7" t="n">
        <f aca="false">IF(AND(R1892=1,O1892&gt;Q1892),1,0)</f>
        <v>0</v>
      </c>
      <c r="W1892" s="7" t="n">
        <f aca="false">IF(AND(T1892=1,P1892&lt;&gt;"",P1892&lt;=Q1892),1,0)</f>
        <v>0</v>
      </c>
    </row>
    <row r="1893" customFormat="false" ht="15" hidden="false" customHeight="false" outlineLevel="0" collapsed="false">
      <c r="A1893" s="7" t="s">
        <v>2278</v>
      </c>
      <c r="B1893" s="7" t="s">
        <v>46</v>
      </c>
      <c r="C1893" s="7" t="s">
        <v>158</v>
      </c>
      <c r="D1893" s="7" t="s">
        <v>145</v>
      </c>
      <c r="E1893" s="7" t="s">
        <v>146</v>
      </c>
      <c r="F1893" s="7" t="s">
        <v>56</v>
      </c>
      <c r="G1893" s="7" t="s">
        <v>19</v>
      </c>
      <c r="H1893" s="9" t="n">
        <v>46006</v>
      </c>
      <c r="I1893" s="9"/>
      <c r="J1893" s="7" t="n">
        <v>9.8</v>
      </c>
      <c r="K1893" s="7" t="s">
        <v>2260</v>
      </c>
      <c r="L1893" s="7" t="s">
        <v>20</v>
      </c>
      <c r="M1893" s="7" t="s">
        <v>2282</v>
      </c>
      <c r="N1893" s="7" t="s">
        <v>58</v>
      </c>
      <c r="O1893" s="10" t="n">
        <f aca="false">'Exec Summary'!$E$2-H1893</f>
        <v>228</v>
      </c>
      <c r="P1893" s="10" t="str">
        <f aca="false">IF(I1893="","",I1893-H1893)</f>
        <v/>
      </c>
      <c r="Q1893" s="10" t="n">
        <f aca="false">VLOOKUP(G1893,$AA$2:$AB$5,2,FALSE())</f>
        <v>15</v>
      </c>
      <c r="R1893" s="7" t="n">
        <f aca="false">IF(OR(F1893="Open",F1893="Reopened"),1,0)</f>
        <v>1</v>
      </c>
      <c r="S1893" s="7" t="n">
        <f aca="false">IF(AND(H1893&gt;='Exec Summary'!$E$1,H1893&lt;='Exec Summary'!$E$2),1,0)</f>
        <v>0</v>
      </c>
      <c r="T1893" s="7" t="n">
        <f aca="false">IF(AND(F1893="Closed",I1893&lt;&gt;"",I1893&gt;='Exec Summary'!$E$1,I1893&lt;='Exec Summary'!$E$2),1,0)</f>
        <v>0</v>
      </c>
      <c r="U1893" s="7" t="n">
        <f aca="false">IF(F1893="Reopened",1,0)</f>
        <v>0</v>
      </c>
      <c r="V1893" s="7" t="n">
        <f aca="false">IF(AND(R1893=1,O1893&gt;Q1893),1,0)</f>
        <v>1</v>
      </c>
      <c r="W1893" s="7" t="n">
        <f aca="false">IF(AND(T1893=1,P1893&lt;&gt;"",P1893&lt;=Q1893),1,0)</f>
        <v>0</v>
      </c>
    </row>
    <row r="1894" customFormat="false" ht="15" hidden="false" customHeight="false" outlineLevel="0" collapsed="false">
      <c r="A1894" s="7" t="s">
        <v>2278</v>
      </c>
      <c r="B1894" s="7" t="s">
        <v>46</v>
      </c>
      <c r="C1894" s="7" t="s">
        <v>158</v>
      </c>
      <c r="D1894" s="7" t="s">
        <v>139</v>
      </c>
      <c r="E1894" s="7" t="s">
        <v>140</v>
      </c>
      <c r="F1894" s="7" t="s">
        <v>50</v>
      </c>
      <c r="G1894" s="7" t="s">
        <v>19</v>
      </c>
      <c r="H1894" s="9" t="n">
        <v>45993</v>
      </c>
      <c r="I1894" s="9" t="n">
        <v>45999</v>
      </c>
      <c r="J1894" s="7" t="n">
        <v>9.8</v>
      </c>
      <c r="K1894" s="7" t="s">
        <v>2260</v>
      </c>
      <c r="L1894" s="7" t="s">
        <v>20</v>
      </c>
      <c r="M1894" s="7" t="s">
        <v>2283</v>
      </c>
      <c r="N1894" s="7" t="s">
        <v>58</v>
      </c>
      <c r="O1894" s="10" t="n">
        <f aca="false">'Exec Summary'!$E$2-H1894</f>
        <v>241</v>
      </c>
      <c r="P1894" s="10" t="n">
        <f aca="false">IF(I1894="","",I1894-H1894)</f>
        <v>6</v>
      </c>
      <c r="Q1894" s="10" t="n">
        <f aca="false">VLOOKUP(G1894,$AA$2:$AB$5,2,FALSE())</f>
        <v>15</v>
      </c>
      <c r="R1894" s="7" t="n">
        <f aca="false">IF(OR(F1894="Open",F1894="Reopened"),1,0)</f>
        <v>0</v>
      </c>
      <c r="S1894" s="7" t="n">
        <f aca="false">IF(AND(H1894&gt;='Exec Summary'!$E$1,H1894&lt;='Exec Summary'!$E$2),1,0)</f>
        <v>0</v>
      </c>
      <c r="T1894" s="7" t="n">
        <f aca="false">IF(AND(F1894="Closed",I1894&lt;&gt;"",I1894&gt;='Exec Summary'!$E$1,I1894&lt;='Exec Summary'!$E$2),1,0)</f>
        <v>0</v>
      </c>
      <c r="U1894" s="7" t="n">
        <f aca="false">IF(F1894="Reopened",1,0)</f>
        <v>0</v>
      </c>
      <c r="V1894" s="7" t="n">
        <f aca="false">IF(AND(R1894=1,O1894&gt;Q1894),1,0)</f>
        <v>0</v>
      </c>
      <c r="W1894" s="7" t="n">
        <f aca="false">IF(AND(T1894=1,P1894&lt;&gt;"",P1894&lt;=Q1894),1,0)</f>
        <v>0</v>
      </c>
    </row>
    <row r="1895" customFormat="false" ht="15" hidden="false" customHeight="false" outlineLevel="0" collapsed="false">
      <c r="A1895" s="7" t="s">
        <v>2284</v>
      </c>
      <c r="B1895" s="7" t="s">
        <v>46</v>
      </c>
      <c r="C1895" s="7" t="s">
        <v>177</v>
      </c>
      <c r="D1895" s="7" t="s">
        <v>101</v>
      </c>
      <c r="E1895" s="7" t="s">
        <v>102</v>
      </c>
      <c r="F1895" s="7" t="s">
        <v>50</v>
      </c>
      <c r="G1895" s="7" t="s">
        <v>19</v>
      </c>
      <c r="H1895" s="9" t="n">
        <v>46066</v>
      </c>
      <c r="I1895" s="9" t="n">
        <v>46084</v>
      </c>
      <c r="J1895" s="7" t="n">
        <v>10</v>
      </c>
      <c r="K1895" s="7" t="s">
        <v>2260</v>
      </c>
      <c r="L1895" s="7" t="s">
        <v>20</v>
      </c>
      <c r="M1895" s="7" t="s">
        <v>2285</v>
      </c>
      <c r="N1895" s="7" t="s">
        <v>58</v>
      </c>
      <c r="O1895" s="10" t="n">
        <f aca="false">'Exec Summary'!$E$2-H1895</f>
        <v>168</v>
      </c>
      <c r="P1895" s="10" t="n">
        <f aca="false">IF(I1895="","",I1895-H1895)</f>
        <v>18</v>
      </c>
      <c r="Q1895" s="10" t="n">
        <f aca="false">VLOOKUP(G1895,$AA$2:$AB$5,2,FALSE())</f>
        <v>15</v>
      </c>
      <c r="R1895" s="7" t="n">
        <f aca="false">IF(OR(F1895="Open",F1895="Reopened"),1,0)</f>
        <v>0</v>
      </c>
      <c r="S1895" s="7" t="n">
        <f aca="false">IF(AND(H1895&gt;='Exec Summary'!$E$1,H1895&lt;='Exec Summary'!$E$2),1,0)</f>
        <v>0</v>
      </c>
      <c r="T1895" s="7" t="n">
        <f aca="false">IF(AND(F1895="Closed",I1895&lt;&gt;"",I1895&gt;='Exec Summary'!$E$1,I1895&lt;='Exec Summary'!$E$2),1,0)</f>
        <v>0</v>
      </c>
      <c r="U1895" s="7" t="n">
        <f aca="false">IF(F1895="Reopened",1,0)</f>
        <v>0</v>
      </c>
      <c r="V1895" s="7" t="n">
        <f aca="false">IF(AND(R1895=1,O1895&gt;Q1895),1,0)</f>
        <v>0</v>
      </c>
      <c r="W1895" s="7" t="n">
        <f aca="false">IF(AND(T1895=1,P1895&lt;&gt;"",P1895&lt;=Q1895),1,0)</f>
        <v>0</v>
      </c>
    </row>
    <row r="1896" customFormat="false" ht="15" hidden="false" customHeight="false" outlineLevel="0" collapsed="false">
      <c r="A1896" s="7" t="s">
        <v>2284</v>
      </c>
      <c r="B1896" s="7" t="s">
        <v>46</v>
      </c>
      <c r="C1896" s="7" t="s">
        <v>177</v>
      </c>
      <c r="D1896" s="7" t="s">
        <v>163</v>
      </c>
      <c r="E1896" s="7" t="s">
        <v>164</v>
      </c>
      <c r="F1896" s="7" t="s">
        <v>50</v>
      </c>
      <c r="G1896" s="7" t="s">
        <v>19</v>
      </c>
      <c r="H1896" s="9" t="n">
        <v>46089</v>
      </c>
      <c r="I1896" s="9" t="n">
        <v>46097</v>
      </c>
      <c r="J1896" s="7" t="n">
        <v>9.1</v>
      </c>
      <c r="K1896" s="7" t="s">
        <v>2260</v>
      </c>
      <c r="L1896" s="7" t="s">
        <v>20</v>
      </c>
      <c r="M1896" s="7" t="s">
        <v>2286</v>
      </c>
      <c r="N1896" s="7" t="s">
        <v>58</v>
      </c>
      <c r="O1896" s="10" t="n">
        <f aca="false">'Exec Summary'!$E$2-H1896</f>
        <v>145</v>
      </c>
      <c r="P1896" s="10" t="n">
        <f aca="false">IF(I1896="","",I1896-H1896)</f>
        <v>8</v>
      </c>
      <c r="Q1896" s="10" t="n">
        <f aca="false">VLOOKUP(G1896,$AA$2:$AB$5,2,FALSE())</f>
        <v>15</v>
      </c>
      <c r="R1896" s="7" t="n">
        <f aca="false">IF(OR(F1896="Open",F1896="Reopened"),1,0)</f>
        <v>0</v>
      </c>
      <c r="S1896" s="7" t="n">
        <f aca="false">IF(AND(H1896&gt;='Exec Summary'!$E$1,H1896&lt;='Exec Summary'!$E$2),1,0)</f>
        <v>0</v>
      </c>
      <c r="T1896" s="7" t="n">
        <f aca="false">IF(AND(F1896="Closed",I1896&lt;&gt;"",I1896&gt;='Exec Summary'!$E$1,I1896&lt;='Exec Summary'!$E$2),1,0)</f>
        <v>0</v>
      </c>
      <c r="U1896" s="7" t="n">
        <f aca="false">IF(F1896="Reopened",1,0)</f>
        <v>0</v>
      </c>
      <c r="V1896" s="7" t="n">
        <f aca="false">IF(AND(R1896=1,O1896&gt;Q1896),1,0)</f>
        <v>0</v>
      </c>
      <c r="W1896" s="7" t="n">
        <f aca="false">IF(AND(T1896=1,P1896&lt;&gt;"",P1896&lt;=Q1896),1,0)</f>
        <v>0</v>
      </c>
    </row>
    <row r="1897" customFormat="false" ht="15" hidden="false" customHeight="false" outlineLevel="0" collapsed="false">
      <c r="A1897" s="7" t="s">
        <v>2284</v>
      </c>
      <c r="B1897" s="7" t="s">
        <v>46</v>
      </c>
      <c r="C1897" s="7" t="s">
        <v>177</v>
      </c>
      <c r="D1897" s="7" t="s">
        <v>54</v>
      </c>
      <c r="E1897" s="7" t="s">
        <v>55</v>
      </c>
      <c r="F1897" s="7" t="s">
        <v>50</v>
      </c>
      <c r="G1897" s="7" t="s">
        <v>19</v>
      </c>
      <c r="H1897" s="9" t="n">
        <v>46101</v>
      </c>
      <c r="I1897" s="9" t="n">
        <v>46106</v>
      </c>
      <c r="J1897" s="7" t="n">
        <v>9.8</v>
      </c>
      <c r="K1897" s="7" t="s">
        <v>2260</v>
      </c>
      <c r="L1897" s="7" t="s">
        <v>20</v>
      </c>
      <c r="M1897" s="7" t="s">
        <v>2287</v>
      </c>
      <c r="N1897" s="7" t="s">
        <v>58</v>
      </c>
      <c r="O1897" s="10" t="n">
        <f aca="false">'Exec Summary'!$E$2-H1897</f>
        <v>133</v>
      </c>
      <c r="P1897" s="10" t="n">
        <f aca="false">IF(I1897="","",I1897-H1897)</f>
        <v>5</v>
      </c>
      <c r="Q1897" s="10" t="n">
        <f aca="false">VLOOKUP(G1897,$AA$2:$AB$5,2,FALSE())</f>
        <v>15</v>
      </c>
      <c r="R1897" s="7" t="n">
        <f aca="false">IF(OR(F1897="Open",F1897="Reopened"),1,0)</f>
        <v>0</v>
      </c>
      <c r="S1897" s="7" t="n">
        <f aca="false">IF(AND(H1897&gt;='Exec Summary'!$E$1,H1897&lt;='Exec Summary'!$E$2),1,0)</f>
        <v>0</v>
      </c>
      <c r="T1897" s="7" t="n">
        <f aca="false">IF(AND(F1897="Closed",I1897&lt;&gt;"",I1897&gt;='Exec Summary'!$E$1,I1897&lt;='Exec Summary'!$E$2),1,0)</f>
        <v>0</v>
      </c>
      <c r="U1897" s="7" t="n">
        <f aca="false">IF(F1897="Reopened",1,0)</f>
        <v>0</v>
      </c>
      <c r="V1897" s="7" t="n">
        <f aca="false">IF(AND(R1897=1,O1897&gt;Q1897),1,0)</f>
        <v>0</v>
      </c>
      <c r="W1897" s="7" t="n">
        <f aca="false">IF(AND(T1897=1,P1897&lt;&gt;"",P1897&lt;=Q1897),1,0)</f>
        <v>0</v>
      </c>
    </row>
    <row r="1898" customFormat="false" ht="15" hidden="false" customHeight="false" outlineLevel="0" collapsed="false">
      <c r="A1898" s="7" t="s">
        <v>2284</v>
      </c>
      <c r="B1898" s="7" t="s">
        <v>46</v>
      </c>
      <c r="C1898" s="7" t="s">
        <v>177</v>
      </c>
      <c r="D1898" s="7" t="s">
        <v>98</v>
      </c>
      <c r="E1898" s="7" t="s">
        <v>99</v>
      </c>
      <c r="F1898" s="7" t="s">
        <v>50</v>
      </c>
      <c r="G1898" s="7" t="s">
        <v>19</v>
      </c>
      <c r="H1898" s="9" t="n">
        <v>46207</v>
      </c>
      <c r="I1898" s="9" t="n">
        <v>46230</v>
      </c>
      <c r="J1898" s="7" t="n">
        <v>10</v>
      </c>
      <c r="K1898" s="7" t="s">
        <v>2260</v>
      </c>
      <c r="L1898" s="7" t="s">
        <v>20</v>
      </c>
      <c r="M1898" s="7" t="s">
        <v>2288</v>
      </c>
      <c r="N1898" s="7" t="s">
        <v>58</v>
      </c>
      <c r="O1898" s="10" t="n">
        <f aca="false">'Exec Summary'!$E$2-H1898</f>
        <v>27</v>
      </c>
      <c r="P1898" s="10" t="n">
        <f aca="false">IF(I1898="","",I1898-H1898)</f>
        <v>23</v>
      </c>
      <c r="Q1898" s="10" t="n">
        <f aca="false">VLOOKUP(G1898,$AA$2:$AB$5,2,FALSE())</f>
        <v>15</v>
      </c>
      <c r="R1898" s="7" t="n">
        <f aca="false">IF(OR(F1898="Open",F1898="Reopened"),1,0)</f>
        <v>0</v>
      </c>
      <c r="S1898" s="7" t="n">
        <f aca="false">IF(AND(H1898&gt;='Exec Summary'!$E$1,H1898&lt;='Exec Summary'!$E$2),1,0)</f>
        <v>1</v>
      </c>
      <c r="T1898" s="7" t="n">
        <f aca="false">IF(AND(F1898="Closed",I1898&lt;&gt;"",I1898&gt;='Exec Summary'!$E$1,I1898&lt;='Exec Summary'!$E$2),1,0)</f>
        <v>1</v>
      </c>
      <c r="U1898" s="7" t="n">
        <f aca="false">IF(F1898="Reopened",1,0)</f>
        <v>0</v>
      </c>
      <c r="V1898" s="7" t="n">
        <f aca="false">IF(AND(R1898=1,O1898&gt;Q1898),1,0)</f>
        <v>0</v>
      </c>
      <c r="W1898" s="7" t="n">
        <f aca="false">IF(AND(T1898=1,P1898&lt;&gt;"",P1898&lt;=Q1898),1,0)</f>
        <v>0</v>
      </c>
    </row>
    <row r="1899" customFormat="false" ht="15" hidden="false" customHeight="false" outlineLevel="0" collapsed="false">
      <c r="A1899" s="7" t="s">
        <v>2284</v>
      </c>
      <c r="B1899" s="7" t="s">
        <v>46</v>
      </c>
      <c r="C1899" s="7" t="s">
        <v>177</v>
      </c>
      <c r="D1899" s="7" t="s">
        <v>104</v>
      </c>
      <c r="E1899" s="7" t="s">
        <v>105</v>
      </c>
      <c r="F1899" s="7" t="s">
        <v>56</v>
      </c>
      <c r="G1899" s="7" t="s">
        <v>19</v>
      </c>
      <c r="H1899" s="9" t="n">
        <v>46104</v>
      </c>
      <c r="I1899" s="9"/>
      <c r="J1899" s="7" t="n">
        <v>9.8</v>
      </c>
      <c r="K1899" s="7" t="s">
        <v>2260</v>
      </c>
      <c r="L1899" s="7" t="s">
        <v>20</v>
      </c>
      <c r="M1899" s="7" t="s">
        <v>2289</v>
      </c>
      <c r="N1899" s="7" t="s">
        <v>58</v>
      </c>
      <c r="O1899" s="10" t="n">
        <f aca="false">'Exec Summary'!$E$2-H1899</f>
        <v>130</v>
      </c>
      <c r="P1899" s="10" t="str">
        <f aca="false">IF(I1899="","",I1899-H1899)</f>
        <v/>
      </c>
      <c r="Q1899" s="10" t="n">
        <f aca="false">VLOOKUP(G1899,$AA$2:$AB$5,2,FALSE())</f>
        <v>15</v>
      </c>
      <c r="R1899" s="7" t="n">
        <f aca="false">IF(OR(F1899="Open",F1899="Reopened"),1,0)</f>
        <v>1</v>
      </c>
      <c r="S1899" s="7" t="n">
        <f aca="false">IF(AND(H1899&gt;='Exec Summary'!$E$1,H1899&lt;='Exec Summary'!$E$2),1,0)</f>
        <v>0</v>
      </c>
      <c r="T1899" s="7" t="n">
        <f aca="false">IF(AND(F1899="Closed",I1899&lt;&gt;"",I1899&gt;='Exec Summary'!$E$1,I1899&lt;='Exec Summary'!$E$2),1,0)</f>
        <v>0</v>
      </c>
      <c r="U1899" s="7" t="n">
        <f aca="false">IF(F1899="Reopened",1,0)</f>
        <v>0</v>
      </c>
      <c r="V1899" s="7" t="n">
        <f aca="false">IF(AND(R1899=1,O1899&gt;Q1899),1,0)</f>
        <v>1</v>
      </c>
      <c r="W1899" s="7" t="n">
        <f aca="false">IF(AND(T1899=1,P1899&lt;&gt;"",P1899&lt;=Q1899),1,0)</f>
        <v>0</v>
      </c>
    </row>
    <row r="1900" customFormat="false" ht="15" hidden="false" customHeight="false" outlineLevel="0" collapsed="false">
      <c r="A1900" s="7" t="s">
        <v>2284</v>
      </c>
      <c r="B1900" s="7" t="s">
        <v>46</v>
      </c>
      <c r="C1900" s="7" t="s">
        <v>177</v>
      </c>
      <c r="D1900" s="7" t="s">
        <v>120</v>
      </c>
      <c r="E1900" s="7" t="s">
        <v>121</v>
      </c>
      <c r="F1900" s="7" t="s">
        <v>50</v>
      </c>
      <c r="G1900" s="7" t="s">
        <v>19</v>
      </c>
      <c r="H1900" s="9" t="n">
        <v>45986</v>
      </c>
      <c r="I1900" s="9" t="n">
        <v>45997</v>
      </c>
      <c r="J1900" s="7" t="n">
        <v>8.8</v>
      </c>
      <c r="K1900" s="7" t="s">
        <v>2260</v>
      </c>
      <c r="L1900" s="7" t="s">
        <v>20</v>
      </c>
      <c r="M1900" s="7" t="s">
        <v>2290</v>
      </c>
      <c r="N1900" s="7" t="s">
        <v>58</v>
      </c>
      <c r="O1900" s="10" t="n">
        <f aca="false">'Exec Summary'!$E$2-H1900</f>
        <v>248</v>
      </c>
      <c r="P1900" s="10" t="n">
        <f aca="false">IF(I1900="","",I1900-H1900)</f>
        <v>11</v>
      </c>
      <c r="Q1900" s="10" t="n">
        <f aca="false">VLOOKUP(G1900,$AA$2:$AB$5,2,FALSE())</f>
        <v>15</v>
      </c>
      <c r="R1900" s="7" t="n">
        <f aca="false">IF(OR(F1900="Open",F1900="Reopened"),1,0)</f>
        <v>0</v>
      </c>
      <c r="S1900" s="7" t="n">
        <f aca="false">IF(AND(H1900&gt;='Exec Summary'!$E$1,H1900&lt;='Exec Summary'!$E$2),1,0)</f>
        <v>0</v>
      </c>
      <c r="T1900" s="7" t="n">
        <f aca="false">IF(AND(F1900="Closed",I1900&lt;&gt;"",I1900&gt;='Exec Summary'!$E$1,I1900&lt;='Exec Summary'!$E$2),1,0)</f>
        <v>0</v>
      </c>
      <c r="U1900" s="7" t="n">
        <f aca="false">IF(F1900="Reopened",1,0)</f>
        <v>0</v>
      </c>
      <c r="V1900" s="7" t="n">
        <f aca="false">IF(AND(R1900=1,O1900&gt;Q1900),1,0)</f>
        <v>0</v>
      </c>
      <c r="W1900" s="7" t="n">
        <f aca="false">IF(AND(T1900=1,P1900&lt;&gt;"",P1900&lt;=Q1900),1,0)</f>
        <v>0</v>
      </c>
    </row>
    <row r="1901" customFormat="false" ht="15" hidden="false" customHeight="false" outlineLevel="0" collapsed="false">
      <c r="A1901" s="7" t="s">
        <v>2284</v>
      </c>
      <c r="B1901" s="7" t="s">
        <v>46</v>
      </c>
      <c r="C1901" s="7" t="s">
        <v>177</v>
      </c>
      <c r="D1901" s="7" t="s">
        <v>117</v>
      </c>
      <c r="E1901" s="7" t="s">
        <v>118</v>
      </c>
      <c r="F1901" s="7" t="s">
        <v>56</v>
      </c>
      <c r="G1901" s="7" t="s">
        <v>19</v>
      </c>
      <c r="H1901" s="9" t="n">
        <v>45935</v>
      </c>
      <c r="I1901" s="9"/>
      <c r="J1901" s="7" t="n">
        <v>10</v>
      </c>
      <c r="K1901" s="7" t="s">
        <v>2260</v>
      </c>
      <c r="L1901" s="7" t="s">
        <v>20</v>
      </c>
      <c r="M1901" s="7" t="s">
        <v>2291</v>
      </c>
      <c r="N1901" s="7" t="s">
        <v>58</v>
      </c>
      <c r="O1901" s="10" t="n">
        <f aca="false">'Exec Summary'!$E$2-H1901</f>
        <v>299</v>
      </c>
      <c r="P1901" s="10" t="str">
        <f aca="false">IF(I1901="","",I1901-H1901)</f>
        <v/>
      </c>
      <c r="Q1901" s="10" t="n">
        <f aca="false">VLOOKUP(G1901,$AA$2:$AB$5,2,FALSE())</f>
        <v>15</v>
      </c>
      <c r="R1901" s="7" t="n">
        <f aca="false">IF(OR(F1901="Open",F1901="Reopened"),1,0)</f>
        <v>1</v>
      </c>
      <c r="S1901" s="7" t="n">
        <f aca="false">IF(AND(H1901&gt;='Exec Summary'!$E$1,H1901&lt;='Exec Summary'!$E$2),1,0)</f>
        <v>0</v>
      </c>
      <c r="T1901" s="7" t="n">
        <f aca="false">IF(AND(F1901="Closed",I1901&lt;&gt;"",I1901&gt;='Exec Summary'!$E$1,I1901&lt;='Exec Summary'!$E$2),1,0)</f>
        <v>0</v>
      </c>
      <c r="U1901" s="7" t="n">
        <f aca="false">IF(F1901="Reopened",1,0)</f>
        <v>0</v>
      </c>
      <c r="V1901" s="7" t="n">
        <f aca="false">IF(AND(R1901=1,O1901&gt;Q1901),1,0)</f>
        <v>1</v>
      </c>
      <c r="W1901" s="7" t="n">
        <f aca="false">IF(AND(T1901=1,P1901&lt;&gt;"",P1901&lt;=Q1901),1,0)</f>
        <v>0</v>
      </c>
    </row>
    <row r="1902" customFormat="false" ht="15" hidden="false" customHeight="false" outlineLevel="0" collapsed="false">
      <c r="A1902" s="7" t="s">
        <v>2284</v>
      </c>
      <c r="B1902" s="7" t="s">
        <v>46</v>
      </c>
      <c r="C1902" s="7" t="s">
        <v>177</v>
      </c>
      <c r="D1902" s="7" t="s">
        <v>87</v>
      </c>
      <c r="E1902" s="7" t="s">
        <v>88</v>
      </c>
      <c r="F1902" s="7" t="s">
        <v>56</v>
      </c>
      <c r="G1902" s="7" t="s">
        <v>19</v>
      </c>
      <c r="H1902" s="9" t="n">
        <v>45999</v>
      </c>
      <c r="I1902" s="9"/>
      <c r="J1902" s="7" t="n">
        <v>10</v>
      </c>
      <c r="K1902" s="7" t="s">
        <v>2260</v>
      </c>
      <c r="L1902" s="7" t="s">
        <v>20</v>
      </c>
      <c r="M1902" s="7" t="s">
        <v>2292</v>
      </c>
      <c r="N1902" s="7" t="s">
        <v>58</v>
      </c>
      <c r="O1902" s="10" t="n">
        <f aca="false">'Exec Summary'!$E$2-H1902</f>
        <v>235</v>
      </c>
      <c r="P1902" s="10" t="str">
        <f aca="false">IF(I1902="","",I1902-H1902)</f>
        <v/>
      </c>
      <c r="Q1902" s="10" t="n">
        <f aca="false">VLOOKUP(G1902,$AA$2:$AB$5,2,FALSE())</f>
        <v>15</v>
      </c>
      <c r="R1902" s="7" t="n">
        <f aca="false">IF(OR(F1902="Open",F1902="Reopened"),1,0)</f>
        <v>1</v>
      </c>
      <c r="S1902" s="7" t="n">
        <f aca="false">IF(AND(H1902&gt;='Exec Summary'!$E$1,H1902&lt;='Exec Summary'!$E$2),1,0)</f>
        <v>0</v>
      </c>
      <c r="T1902" s="7" t="n">
        <f aca="false">IF(AND(F1902="Closed",I1902&lt;&gt;"",I1902&gt;='Exec Summary'!$E$1,I1902&lt;='Exec Summary'!$E$2),1,0)</f>
        <v>0</v>
      </c>
      <c r="U1902" s="7" t="n">
        <f aca="false">IF(F1902="Reopened",1,0)</f>
        <v>0</v>
      </c>
      <c r="V1902" s="7" t="n">
        <f aca="false">IF(AND(R1902=1,O1902&gt;Q1902),1,0)</f>
        <v>1</v>
      </c>
      <c r="W1902" s="7" t="n">
        <f aca="false">IF(AND(T1902=1,P1902&lt;&gt;"",P1902&lt;=Q1902),1,0)</f>
        <v>0</v>
      </c>
    </row>
    <row r="1903" customFormat="false" ht="15" hidden="false" customHeight="false" outlineLevel="0" collapsed="false">
      <c r="A1903" s="7" t="s">
        <v>2284</v>
      </c>
      <c r="B1903" s="7" t="s">
        <v>46</v>
      </c>
      <c r="C1903" s="7" t="s">
        <v>177</v>
      </c>
      <c r="D1903" s="7" t="s">
        <v>112</v>
      </c>
      <c r="E1903" s="7" t="s">
        <v>113</v>
      </c>
      <c r="F1903" s="7" t="s">
        <v>56</v>
      </c>
      <c r="G1903" s="7" t="s">
        <v>20</v>
      </c>
      <c r="H1903" s="9" t="n">
        <v>45968</v>
      </c>
      <c r="I1903" s="9"/>
      <c r="J1903" s="7" t="n">
        <v>7.8</v>
      </c>
      <c r="K1903" s="7" t="s">
        <v>2260</v>
      </c>
      <c r="L1903" s="7" t="s">
        <v>20</v>
      </c>
      <c r="M1903" s="7" t="s">
        <v>2293</v>
      </c>
      <c r="N1903" s="7" t="s">
        <v>53</v>
      </c>
      <c r="O1903" s="10" t="n">
        <f aca="false">'Exec Summary'!$E$2-H1903</f>
        <v>266</v>
      </c>
      <c r="P1903" s="10" t="str">
        <f aca="false">IF(I1903="","",I1903-H1903)</f>
        <v/>
      </c>
      <c r="Q1903" s="10" t="n">
        <f aca="false">VLOOKUP(G1903,$AA$2:$AB$5,2,FALSE())</f>
        <v>30</v>
      </c>
      <c r="R1903" s="7" t="n">
        <f aca="false">IF(OR(F1903="Open",F1903="Reopened"),1,0)</f>
        <v>1</v>
      </c>
      <c r="S1903" s="7" t="n">
        <f aca="false">IF(AND(H1903&gt;='Exec Summary'!$E$1,H1903&lt;='Exec Summary'!$E$2),1,0)</f>
        <v>0</v>
      </c>
      <c r="T1903" s="7" t="n">
        <f aca="false">IF(AND(F1903="Closed",I1903&lt;&gt;"",I1903&gt;='Exec Summary'!$E$1,I1903&lt;='Exec Summary'!$E$2),1,0)</f>
        <v>0</v>
      </c>
      <c r="U1903" s="7" t="n">
        <f aca="false">IF(F1903="Reopened",1,0)</f>
        <v>0</v>
      </c>
      <c r="V1903" s="7" t="n">
        <f aca="false">IF(AND(R1903=1,O1903&gt;Q1903),1,0)</f>
        <v>1</v>
      </c>
      <c r="W1903" s="7" t="n">
        <f aca="false">IF(AND(T1903=1,P1903&lt;&gt;"",P1903&lt;=Q1903),1,0)</f>
        <v>0</v>
      </c>
    </row>
    <row r="1904" customFormat="false" ht="15" hidden="false" customHeight="false" outlineLevel="0" collapsed="false">
      <c r="A1904" s="7" t="s">
        <v>2284</v>
      </c>
      <c r="B1904" s="7" t="s">
        <v>46</v>
      </c>
      <c r="C1904" s="7" t="s">
        <v>177</v>
      </c>
      <c r="D1904" s="7" t="s">
        <v>74</v>
      </c>
      <c r="E1904" s="7" t="s">
        <v>75</v>
      </c>
      <c r="F1904" s="7" t="s">
        <v>56</v>
      </c>
      <c r="G1904" s="7" t="s">
        <v>21</v>
      </c>
      <c r="H1904" s="9" t="n">
        <v>46055</v>
      </c>
      <c r="I1904" s="9"/>
      <c r="J1904" s="7" t="n">
        <v>6.5</v>
      </c>
      <c r="K1904" s="7" t="s">
        <v>2260</v>
      </c>
      <c r="L1904" s="7" t="s">
        <v>20</v>
      </c>
      <c r="M1904" s="7" t="s">
        <v>2294</v>
      </c>
      <c r="N1904" s="7" t="s">
        <v>77</v>
      </c>
      <c r="O1904" s="10" t="n">
        <f aca="false">'Exec Summary'!$E$2-H1904</f>
        <v>179</v>
      </c>
      <c r="P1904" s="10" t="str">
        <f aca="false">IF(I1904="","",I1904-H1904)</f>
        <v/>
      </c>
      <c r="Q1904" s="10" t="n">
        <f aca="false">VLOOKUP(G1904,$AA$2:$AB$5,2,FALSE())</f>
        <v>90</v>
      </c>
      <c r="R1904" s="7" t="n">
        <f aca="false">IF(OR(F1904="Open",F1904="Reopened"),1,0)</f>
        <v>1</v>
      </c>
      <c r="S1904" s="7" t="n">
        <f aca="false">IF(AND(H1904&gt;='Exec Summary'!$E$1,H1904&lt;='Exec Summary'!$E$2),1,0)</f>
        <v>0</v>
      </c>
      <c r="T1904" s="7" t="n">
        <f aca="false">IF(AND(F1904="Closed",I1904&lt;&gt;"",I1904&gt;='Exec Summary'!$E$1,I1904&lt;='Exec Summary'!$E$2),1,0)</f>
        <v>0</v>
      </c>
      <c r="U1904" s="7" t="n">
        <f aca="false">IF(F1904="Reopened",1,0)</f>
        <v>0</v>
      </c>
      <c r="V1904" s="7" t="n">
        <f aca="false">IF(AND(R1904=1,O1904&gt;Q1904),1,0)</f>
        <v>1</v>
      </c>
      <c r="W1904" s="7" t="n">
        <f aca="false">IF(AND(T1904=1,P1904&lt;&gt;"",P1904&lt;=Q1904),1,0)</f>
        <v>0</v>
      </c>
    </row>
    <row r="1905" customFormat="false" ht="15" hidden="false" customHeight="false" outlineLevel="0" collapsed="false">
      <c r="A1905" s="7" t="s">
        <v>2295</v>
      </c>
      <c r="B1905" s="7" t="s">
        <v>46</v>
      </c>
      <c r="C1905" s="7" t="s">
        <v>177</v>
      </c>
      <c r="D1905" s="7" t="s">
        <v>91</v>
      </c>
      <c r="E1905" s="7" t="s">
        <v>92</v>
      </c>
      <c r="F1905" s="7" t="s">
        <v>50</v>
      </c>
      <c r="G1905" s="7" t="s">
        <v>20</v>
      </c>
      <c r="H1905" s="9" t="n">
        <v>46100</v>
      </c>
      <c r="I1905" s="9" t="n">
        <v>46112</v>
      </c>
      <c r="J1905" s="7" t="n">
        <v>8.1</v>
      </c>
      <c r="K1905" s="7" t="s">
        <v>2260</v>
      </c>
      <c r="L1905" s="7" t="s">
        <v>20</v>
      </c>
      <c r="M1905" s="7" t="s">
        <v>2296</v>
      </c>
      <c r="N1905" s="7" t="s">
        <v>53</v>
      </c>
      <c r="O1905" s="10" t="n">
        <f aca="false">'Exec Summary'!$E$2-H1905</f>
        <v>134</v>
      </c>
      <c r="P1905" s="10" t="n">
        <f aca="false">IF(I1905="","",I1905-H1905)</f>
        <v>12</v>
      </c>
      <c r="Q1905" s="10" t="n">
        <f aca="false">VLOOKUP(G1905,$AA$2:$AB$5,2,FALSE())</f>
        <v>30</v>
      </c>
      <c r="R1905" s="7" t="n">
        <f aca="false">IF(OR(F1905="Open",F1905="Reopened"),1,0)</f>
        <v>0</v>
      </c>
      <c r="S1905" s="7" t="n">
        <f aca="false">IF(AND(H1905&gt;='Exec Summary'!$E$1,H1905&lt;='Exec Summary'!$E$2),1,0)</f>
        <v>0</v>
      </c>
      <c r="T1905" s="7" t="n">
        <f aca="false">IF(AND(F1905="Closed",I1905&lt;&gt;"",I1905&gt;='Exec Summary'!$E$1,I1905&lt;='Exec Summary'!$E$2),1,0)</f>
        <v>0</v>
      </c>
      <c r="U1905" s="7" t="n">
        <f aca="false">IF(F1905="Reopened",1,0)</f>
        <v>0</v>
      </c>
      <c r="V1905" s="7" t="n">
        <f aca="false">IF(AND(R1905=1,O1905&gt;Q1905),1,0)</f>
        <v>0</v>
      </c>
      <c r="W1905" s="7" t="n">
        <f aca="false">IF(AND(T1905=1,P1905&lt;&gt;"",P1905&lt;=Q1905),1,0)</f>
        <v>0</v>
      </c>
    </row>
    <row r="1906" customFormat="false" ht="15" hidden="false" customHeight="false" outlineLevel="0" collapsed="false">
      <c r="A1906" s="7" t="s">
        <v>2295</v>
      </c>
      <c r="B1906" s="7" t="s">
        <v>46</v>
      </c>
      <c r="C1906" s="7" t="s">
        <v>177</v>
      </c>
      <c r="D1906" s="7" t="s">
        <v>206</v>
      </c>
      <c r="E1906" s="7" t="s">
        <v>207</v>
      </c>
      <c r="F1906" s="7" t="s">
        <v>56</v>
      </c>
      <c r="G1906" s="7" t="s">
        <v>20</v>
      </c>
      <c r="H1906" s="9" t="n">
        <v>46005</v>
      </c>
      <c r="I1906" s="9"/>
      <c r="J1906" s="7" t="n">
        <v>8.8</v>
      </c>
      <c r="K1906" s="7" t="s">
        <v>2260</v>
      </c>
      <c r="L1906" s="7" t="s">
        <v>20</v>
      </c>
      <c r="M1906" s="7" t="s">
        <v>2297</v>
      </c>
      <c r="N1906" s="7" t="s">
        <v>53</v>
      </c>
      <c r="O1906" s="10" t="n">
        <f aca="false">'Exec Summary'!$E$2-H1906</f>
        <v>229</v>
      </c>
      <c r="P1906" s="10" t="str">
        <f aca="false">IF(I1906="","",I1906-H1906)</f>
        <v/>
      </c>
      <c r="Q1906" s="10" t="n">
        <f aca="false">VLOOKUP(G1906,$AA$2:$AB$5,2,FALSE())</f>
        <v>30</v>
      </c>
      <c r="R1906" s="7" t="n">
        <f aca="false">IF(OR(F1906="Open",F1906="Reopened"),1,0)</f>
        <v>1</v>
      </c>
      <c r="S1906" s="7" t="n">
        <f aca="false">IF(AND(H1906&gt;='Exec Summary'!$E$1,H1906&lt;='Exec Summary'!$E$2),1,0)</f>
        <v>0</v>
      </c>
      <c r="T1906" s="7" t="n">
        <f aca="false">IF(AND(F1906="Closed",I1906&lt;&gt;"",I1906&gt;='Exec Summary'!$E$1,I1906&lt;='Exec Summary'!$E$2),1,0)</f>
        <v>0</v>
      </c>
      <c r="U1906" s="7" t="n">
        <f aca="false">IF(F1906="Reopened",1,0)</f>
        <v>0</v>
      </c>
      <c r="V1906" s="7" t="n">
        <f aca="false">IF(AND(R1906=1,O1906&gt;Q1906),1,0)</f>
        <v>1</v>
      </c>
      <c r="W1906" s="7" t="n">
        <f aca="false">IF(AND(T1906=1,P1906&lt;&gt;"",P1906&lt;=Q1906),1,0)</f>
        <v>0</v>
      </c>
    </row>
    <row r="1907" customFormat="false" ht="15" hidden="false" customHeight="false" outlineLevel="0" collapsed="false">
      <c r="A1907" s="7" t="s">
        <v>2295</v>
      </c>
      <c r="B1907" s="7" t="s">
        <v>46</v>
      </c>
      <c r="C1907" s="7" t="s">
        <v>177</v>
      </c>
      <c r="D1907" s="7" t="s">
        <v>54</v>
      </c>
      <c r="E1907" s="7" t="s">
        <v>55</v>
      </c>
      <c r="F1907" s="7" t="s">
        <v>50</v>
      </c>
      <c r="G1907" s="7" t="s">
        <v>19</v>
      </c>
      <c r="H1907" s="9" t="n">
        <v>45985</v>
      </c>
      <c r="I1907" s="9" t="n">
        <v>45993</v>
      </c>
      <c r="J1907" s="7" t="n">
        <v>9.8</v>
      </c>
      <c r="K1907" s="7" t="s">
        <v>2260</v>
      </c>
      <c r="L1907" s="7" t="s">
        <v>20</v>
      </c>
      <c r="M1907" s="7" t="s">
        <v>2298</v>
      </c>
      <c r="N1907" s="7" t="s">
        <v>58</v>
      </c>
      <c r="O1907" s="10" t="n">
        <f aca="false">'Exec Summary'!$E$2-H1907</f>
        <v>249</v>
      </c>
      <c r="P1907" s="10" t="n">
        <f aca="false">IF(I1907="","",I1907-H1907)</f>
        <v>8</v>
      </c>
      <c r="Q1907" s="10" t="n">
        <f aca="false">VLOOKUP(G1907,$AA$2:$AB$5,2,FALSE())</f>
        <v>15</v>
      </c>
      <c r="R1907" s="7" t="n">
        <f aca="false">IF(OR(F1907="Open",F1907="Reopened"),1,0)</f>
        <v>0</v>
      </c>
      <c r="S1907" s="7" t="n">
        <f aca="false">IF(AND(H1907&gt;='Exec Summary'!$E$1,H1907&lt;='Exec Summary'!$E$2),1,0)</f>
        <v>0</v>
      </c>
      <c r="T1907" s="7" t="n">
        <f aca="false">IF(AND(F1907="Closed",I1907&lt;&gt;"",I1907&gt;='Exec Summary'!$E$1,I1907&lt;='Exec Summary'!$E$2),1,0)</f>
        <v>0</v>
      </c>
      <c r="U1907" s="7" t="n">
        <f aca="false">IF(F1907="Reopened",1,0)</f>
        <v>0</v>
      </c>
      <c r="V1907" s="7" t="n">
        <f aca="false">IF(AND(R1907=1,O1907&gt;Q1907),1,0)</f>
        <v>0</v>
      </c>
      <c r="W1907" s="7" t="n">
        <f aca="false">IF(AND(T1907=1,P1907&lt;&gt;"",P1907&lt;=Q1907),1,0)</f>
        <v>0</v>
      </c>
    </row>
    <row r="1908" customFormat="false" ht="15" hidden="false" customHeight="false" outlineLevel="0" collapsed="false">
      <c r="A1908" s="7" t="s">
        <v>2295</v>
      </c>
      <c r="B1908" s="7" t="s">
        <v>46</v>
      </c>
      <c r="C1908" s="7" t="s">
        <v>177</v>
      </c>
      <c r="D1908" s="7" t="s">
        <v>65</v>
      </c>
      <c r="E1908" s="7" t="s">
        <v>66</v>
      </c>
      <c r="F1908" s="7" t="s">
        <v>50</v>
      </c>
      <c r="G1908" s="7" t="s">
        <v>19</v>
      </c>
      <c r="H1908" s="9" t="n">
        <v>46184</v>
      </c>
      <c r="I1908" s="9" t="n">
        <v>46197</v>
      </c>
      <c r="J1908" s="7" t="n">
        <v>9.8</v>
      </c>
      <c r="K1908" s="7" t="s">
        <v>2260</v>
      </c>
      <c r="L1908" s="7" t="s">
        <v>20</v>
      </c>
      <c r="M1908" s="7" t="s">
        <v>2299</v>
      </c>
      <c r="N1908" s="7" t="s">
        <v>58</v>
      </c>
      <c r="O1908" s="10" t="n">
        <f aca="false">'Exec Summary'!$E$2-H1908</f>
        <v>50</v>
      </c>
      <c r="P1908" s="10" t="n">
        <f aca="false">IF(I1908="","",I1908-H1908)</f>
        <v>13</v>
      </c>
      <c r="Q1908" s="10" t="n">
        <f aca="false">VLOOKUP(G1908,$AA$2:$AB$5,2,FALSE())</f>
        <v>15</v>
      </c>
      <c r="R1908" s="7" t="n">
        <f aca="false">IF(OR(F1908="Open",F1908="Reopened"),1,0)</f>
        <v>0</v>
      </c>
      <c r="S1908" s="7" t="n">
        <f aca="false">IF(AND(H1908&gt;='Exec Summary'!$E$1,H1908&lt;='Exec Summary'!$E$2),1,0)</f>
        <v>0</v>
      </c>
      <c r="T1908" s="7" t="n">
        <f aca="false">IF(AND(F1908="Closed",I1908&lt;&gt;"",I1908&gt;='Exec Summary'!$E$1,I1908&lt;='Exec Summary'!$E$2),1,0)</f>
        <v>0</v>
      </c>
      <c r="U1908" s="7" t="n">
        <f aca="false">IF(F1908="Reopened",1,0)</f>
        <v>0</v>
      </c>
      <c r="V1908" s="7" t="n">
        <f aca="false">IF(AND(R1908=1,O1908&gt;Q1908),1,0)</f>
        <v>0</v>
      </c>
      <c r="W1908" s="7" t="n">
        <f aca="false">IF(AND(T1908=1,P1908&lt;&gt;"",P1908&lt;=Q1908),1,0)</f>
        <v>0</v>
      </c>
    </row>
    <row r="1909" customFormat="false" ht="15" hidden="false" customHeight="false" outlineLevel="0" collapsed="false">
      <c r="A1909" s="7" t="s">
        <v>2295</v>
      </c>
      <c r="B1909" s="7" t="s">
        <v>46</v>
      </c>
      <c r="C1909" s="7" t="s">
        <v>177</v>
      </c>
      <c r="D1909" s="7" t="s">
        <v>166</v>
      </c>
      <c r="E1909" s="7" t="s">
        <v>167</v>
      </c>
      <c r="F1909" s="7" t="s">
        <v>56</v>
      </c>
      <c r="G1909" s="7" t="s">
        <v>19</v>
      </c>
      <c r="H1909" s="9" t="n">
        <v>46204</v>
      </c>
      <c r="I1909" s="9"/>
      <c r="J1909" s="7" t="n">
        <v>9.8</v>
      </c>
      <c r="K1909" s="7" t="s">
        <v>2260</v>
      </c>
      <c r="L1909" s="7" t="s">
        <v>20</v>
      </c>
      <c r="M1909" s="7" t="s">
        <v>2300</v>
      </c>
      <c r="N1909" s="7" t="s">
        <v>58</v>
      </c>
      <c r="O1909" s="10" t="n">
        <f aca="false">'Exec Summary'!$E$2-H1909</f>
        <v>30</v>
      </c>
      <c r="P1909" s="10" t="str">
        <f aca="false">IF(I1909="","",I1909-H1909)</f>
        <v/>
      </c>
      <c r="Q1909" s="10" t="n">
        <f aca="false">VLOOKUP(G1909,$AA$2:$AB$5,2,FALSE())</f>
        <v>15</v>
      </c>
      <c r="R1909" s="7" t="n">
        <f aca="false">IF(OR(F1909="Open",F1909="Reopened"),1,0)</f>
        <v>1</v>
      </c>
      <c r="S1909" s="7" t="n">
        <f aca="false">IF(AND(H1909&gt;='Exec Summary'!$E$1,H1909&lt;='Exec Summary'!$E$2),1,0)</f>
        <v>1</v>
      </c>
      <c r="T1909" s="7" t="n">
        <f aca="false">IF(AND(F1909="Closed",I1909&lt;&gt;"",I1909&gt;='Exec Summary'!$E$1,I1909&lt;='Exec Summary'!$E$2),1,0)</f>
        <v>0</v>
      </c>
      <c r="U1909" s="7" t="n">
        <f aca="false">IF(F1909="Reopened",1,0)</f>
        <v>0</v>
      </c>
      <c r="V1909" s="7" t="n">
        <f aca="false">IF(AND(R1909=1,O1909&gt;Q1909),1,0)</f>
        <v>1</v>
      </c>
      <c r="W1909" s="7" t="n">
        <f aca="false">IF(AND(T1909=1,P1909&lt;&gt;"",P1909&lt;=Q1909),1,0)</f>
        <v>0</v>
      </c>
    </row>
    <row r="1910" customFormat="false" ht="15" hidden="false" customHeight="false" outlineLevel="0" collapsed="false">
      <c r="A1910" s="7" t="s">
        <v>2295</v>
      </c>
      <c r="B1910" s="7" t="s">
        <v>46</v>
      </c>
      <c r="C1910" s="7" t="s">
        <v>177</v>
      </c>
      <c r="D1910" s="7" t="s">
        <v>74</v>
      </c>
      <c r="E1910" s="7" t="s">
        <v>75</v>
      </c>
      <c r="F1910" s="7" t="s">
        <v>123</v>
      </c>
      <c r="G1910" s="7" t="s">
        <v>21</v>
      </c>
      <c r="H1910" s="9" t="n">
        <v>46119</v>
      </c>
      <c r="I1910" s="9" t="n">
        <v>46194</v>
      </c>
      <c r="J1910" s="7" t="n">
        <v>6.5</v>
      </c>
      <c r="K1910" s="7" t="s">
        <v>2260</v>
      </c>
      <c r="L1910" s="7" t="s">
        <v>20</v>
      </c>
      <c r="M1910" s="7" t="s">
        <v>2301</v>
      </c>
      <c r="N1910" s="7" t="s">
        <v>77</v>
      </c>
      <c r="O1910" s="10" t="n">
        <f aca="false">'Exec Summary'!$E$2-H1910</f>
        <v>115</v>
      </c>
      <c r="P1910" s="10" t="n">
        <f aca="false">IF(I1910="","",I1910-H1910)</f>
        <v>75</v>
      </c>
      <c r="Q1910" s="10" t="n">
        <f aca="false">VLOOKUP(G1910,$AA$2:$AB$5,2,FALSE())</f>
        <v>90</v>
      </c>
      <c r="R1910" s="7" t="n">
        <f aca="false">IF(OR(F1910="Open",F1910="Reopened"),1,0)</f>
        <v>1</v>
      </c>
      <c r="S1910" s="7" t="n">
        <f aca="false">IF(AND(H1910&gt;='Exec Summary'!$E$1,H1910&lt;='Exec Summary'!$E$2),1,0)</f>
        <v>0</v>
      </c>
      <c r="T1910" s="7" t="n">
        <f aca="false">IF(AND(F1910="Closed",I1910&lt;&gt;"",I1910&gt;='Exec Summary'!$E$1,I1910&lt;='Exec Summary'!$E$2),1,0)</f>
        <v>0</v>
      </c>
      <c r="U1910" s="7" t="n">
        <f aca="false">IF(F1910="Reopened",1,0)</f>
        <v>1</v>
      </c>
      <c r="V1910" s="7" t="n">
        <f aca="false">IF(AND(R1910=1,O1910&gt;Q1910),1,0)</f>
        <v>1</v>
      </c>
      <c r="W1910" s="7" t="n">
        <f aca="false">IF(AND(T1910=1,P1910&lt;&gt;"",P1910&lt;=Q1910),1,0)</f>
        <v>0</v>
      </c>
    </row>
    <row r="1911" customFormat="false" ht="15" hidden="false" customHeight="false" outlineLevel="0" collapsed="false">
      <c r="A1911" s="7" t="s">
        <v>2295</v>
      </c>
      <c r="B1911" s="7" t="s">
        <v>46</v>
      </c>
      <c r="C1911" s="7" t="s">
        <v>177</v>
      </c>
      <c r="D1911" s="7" t="s">
        <v>163</v>
      </c>
      <c r="E1911" s="7" t="s">
        <v>164</v>
      </c>
      <c r="F1911" s="7" t="s">
        <v>50</v>
      </c>
      <c r="G1911" s="7" t="s">
        <v>19</v>
      </c>
      <c r="H1911" s="9" t="n">
        <v>46166</v>
      </c>
      <c r="I1911" s="9" t="n">
        <v>46167</v>
      </c>
      <c r="J1911" s="7" t="n">
        <v>9.1</v>
      </c>
      <c r="K1911" s="7" t="s">
        <v>2260</v>
      </c>
      <c r="L1911" s="7" t="s">
        <v>20</v>
      </c>
      <c r="M1911" s="7" t="s">
        <v>2302</v>
      </c>
      <c r="N1911" s="7" t="s">
        <v>58</v>
      </c>
      <c r="O1911" s="10" t="n">
        <f aca="false">'Exec Summary'!$E$2-H1911</f>
        <v>68</v>
      </c>
      <c r="P1911" s="10" t="n">
        <f aca="false">IF(I1911="","",I1911-H1911)</f>
        <v>1</v>
      </c>
      <c r="Q1911" s="10" t="n">
        <f aca="false">VLOOKUP(G1911,$AA$2:$AB$5,2,FALSE())</f>
        <v>15</v>
      </c>
      <c r="R1911" s="7" t="n">
        <f aca="false">IF(OR(F1911="Open",F1911="Reopened"),1,0)</f>
        <v>0</v>
      </c>
      <c r="S1911" s="7" t="n">
        <f aca="false">IF(AND(H1911&gt;='Exec Summary'!$E$1,H1911&lt;='Exec Summary'!$E$2),1,0)</f>
        <v>0</v>
      </c>
      <c r="T1911" s="7" t="n">
        <f aca="false">IF(AND(F1911="Closed",I1911&lt;&gt;"",I1911&gt;='Exec Summary'!$E$1,I1911&lt;='Exec Summary'!$E$2),1,0)</f>
        <v>0</v>
      </c>
      <c r="U1911" s="7" t="n">
        <f aca="false">IF(F1911="Reopened",1,0)</f>
        <v>0</v>
      </c>
      <c r="V1911" s="7" t="n">
        <f aca="false">IF(AND(R1911=1,O1911&gt;Q1911),1,0)</f>
        <v>0</v>
      </c>
      <c r="W1911" s="7" t="n">
        <f aca="false">IF(AND(T1911=1,P1911&lt;&gt;"",P1911&lt;=Q1911),1,0)</f>
        <v>0</v>
      </c>
    </row>
    <row r="1912" customFormat="false" ht="15" hidden="false" customHeight="false" outlineLevel="0" collapsed="false">
      <c r="A1912" s="7" t="s">
        <v>2295</v>
      </c>
      <c r="B1912" s="7" t="s">
        <v>46</v>
      </c>
      <c r="C1912" s="7" t="s">
        <v>177</v>
      </c>
      <c r="D1912" s="7" t="s">
        <v>173</v>
      </c>
      <c r="E1912" s="7" t="s">
        <v>174</v>
      </c>
      <c r="F1912" s="7" t="s">
        <v>50</v>
      </c>
      <c r="G1912" s="7" t="s">
        <v>19</v>
      </c>
      <c r="H1912" s="9" t="n">
        <v>46006</v>
      </c>
      <c r="I1912" s="9" t="n">
        <v>46019</v>
      </c>
      <c r="J1912" s="7" t="n">
        <v>9.8</v>
      </c>
      <c r="K1912" s="7" t="s">
        <v>2260</v>
      </c>
      <c r="L1912" s="7" t="s">
        <v>20</v>
      </c>
      <c r="M1912" s="7" t="s">
        <v>2303</v>
      </c>
      <c r="N1912" s="7" t="s">
        <v>58</v>
      </c>
      <c r="O1912" s="10" t="n">
        <f aca="false">'Exec Summary'!$E$2-H1912</f>
        <v>228</v>
      </c>
      <c r="P1912" s="10" t="n">
        <f aca="false">IF(I1912="","",I1912-H1912)</f>
        <v>13</v>
      </c>
      <c r="Q1912" s="10" t="n">
        <f aca="false">VLOOKUP(G1912,$AA$2:$AB$5,2,FALSE())</f>
        <v>15</v>
      </c>
      <c r="R1912" s="7" t="n">
        <f aca="false">IF(OR(F1912="Open",F1912="Reopened"),1,0)</f>
        <v>0</v>
      </c>
      <c r="S1912" s="7" t="n">
        <f aca="false">IF(AND(H1912&gt;='Exec Summary'!$E$1,H1912&lt;='Exec Summary'!$E$2),1,0)</f>
        <v>0</v>
      </c>
      <c r="T1912" s="7" t="n">
        <f aca="false">IF(AND(F1912="Closed",I1912&lt;&gt;"",I1912&gt;='Exec Summary'!$E$1,I1912&lt;='Exec Summary'!$E$2),1,0)</f>
        <v>0</v>
      </c>
      <c r="U1912" s="7" t="n">
        <f aca="false">IF(F1912="Reopened",1,0)</f>
        <v>0</v>
      </c>
      <c r="V1912" s="7" t="n">
        <f aca="false">IF(AND(R1912=1,O1912&gt;Q1912),1,0)</f>
        <v>0</v>
      </c>
      <c r="W1912" s="7" t="n">
        <f aca="false">IF(AND(T1912=1,P1912&lt;&gt;"",P1912&lt;=Q1912),1,0)</f>
        <v>0</v>
      </c>
    </row>
    <row r="1913" customFormat="false" ht="15" hidden="false" customHeight="false" outlineLevel="0" collapsed="false">
      <c r="A1913" s="7" t="s">
        <v>2295</v>
      </c>
      <c r="B1913" s="7" t="s">
        <v>46</v>
      </c>
      <c r="C1913" s="7" t="s">
        <v>177</v>
      </c>
      <c r="D1913" s="7" t="s">
        <v>117</v>
      </c>
      <c r="E1913" s="7" t="s">
        <v>118</v>
      </c>
      <c r="F1913" s="7" t="s">
        <v>56</v>
      </c>
      <c r="G1913" s="7" t="s">
        <v>19</v>
      </c>
      <c r="H1913" s="9" t="n">
        <v>45991</v>
      </c>
      <c r="I1913" s="9"/>
      <c r="J1913" s="7" t="n">
        <v>10</v>
      </c>
      <c r="K1913" s="7" t="s">
        <v>2260</v>
      </c>
      <c r="L1913" s="7" t="s">
        <v>20</v>
      </c>
      <c r="M1913" s="7" t="s">
        <v>2304</v>
      </c>
      <c r="N1913" s="7" t="s">
        <v>58</v>
      </c>
      <c r="O1913" s="10" t="n">
        <f aca="false">'Exec Summary'!$E$2-H1913</f>
        <v>243</v>
      </c>
      <c r="P1913" s="10" t="str">
        <f aca="false">IF(I1913="","",I1913-H1913)</f>
        <v/>
      </c>
      <c r="Q1913" s="10" t="n">
        <f aca="false">VLOOKUP(G1913,$AA$2:$AB$5,2,FALSE())</f>
        <v>15</v>
      </c>
      <c r="R1913" s="7" t="n">
        <f aca="false">IF(OR(F1913="Open",F1913="Reopened"),1,0)</f>
        <v>1</v>
      </c>
      <c r="S1913" s="7" t="n">
        <f aca="false">IF(AND(H1913&gt;='Exec Summary'!$E$1,H1913&lt;='Exec Summary'!$E$2),1,0)</f>
        <v>0</v>
      </c>
      <c r="T1913" s="7" t="n">
        <f aca="false">IF(AND(F1913="Closed",I1913&lt;&gt;"",I1913&gt;='Exec Summary'!$E$1,I1913&lt;='Exec Summary'!$E$2),1,0)</f>
        <v>0</v>
      </c>
      <c r="U1913" s="7" t="n">
        <f aca="false">IF(F1913="Reopened",1,0)</f>
        <v>0</v>
      </c>
      <c r="V1913" s="7" t="n">
        <f aca="false">IF(AND(R1913=1,O1913&gt;Q1913),1,0)</f>
        <v>1</v>
      </c>
      <c r="W1913" s="7" t="n">
        <f aca="false">IF(AND(T1913=1,P1913&lt;&gt;"",P1913&lt;=Q1913),1,0)</f>
        <v>0</v>
      </c>
    </row>
    <row r="1914" customFormat="false" ht="15" hidden="false" customHeight="false" outlineLevel="0" collapsed="false">
      <c r="A1914" s="7" t="s">
        <v>2295</v>
      </c>
      <c r="B1914" s="7" t="s">
        <v>46</v>
      </c>
      <c r="C1914" s="7" t="s">
        <v>177</v>
      </c>
      <c r="D1914" s="7" t="s">
        <v>210</v>
      </c>
      <c r="E1914" s="7" t="s">
        <v>211</v>
      </c>
      <c r="F1914" s="7" t="s">
        <v>50</v>
      </c>
      <c r="G1914" s="7" t="s">
        <v>19</v>
      </c>
      <c r="H1914" s="9" t="n">
        <v>45994</v>
      </c>
      <c r="I1914" s="9" t="n">
        <v>46001</v>
      </c>
      <c r="J1914" s="7" t="n">
        <v>9.8</v>
      </c>
      <c r="K1914" s="7" t="s">
        <v>2260</v>
      </c>
      <c r="L1914" s="7" t="s">
        <v>20</v>
      </c>
      <c r="M1914" s="7" t="s">
        <v>2305</v>
      </c>
      <c r="N1914" s="7" t="s">
        <v>58</v>
      </c>
      <c r="O1914" s="10" t="n">
        <f aca="false">'Exec Summary'!$E$2-H1914</f>
        <v>240</v>
      </c>
      <c r="P1914" s="10" t="n">
        <f aca="false">IF(I1914="","",I1914-H1914)</f>
        <v>7</v>
      </c>
      <c r="Q1914" s="10" t="n">
        <f aca="false">VLOOKUP(G1914,$AA$2:$AB$5,2,FALSE())</f>
        <v>15</v>
      </c>
      <c r="R1914" s="7" t="n">
        <f aca="false">IF(OR(F1914="Open",F1914="Reopened"),1,0)</f>
        <v>0</v>
      </c>
      <c r="S1914" s="7" t="n">
        <f aca="false">IF(AND(H1914&gt;='Exec Summary'!$E$1,H1914&lt;='Exec Summary'!$E$2),1,0)</f>
        <v>0</v>
      </c>
      <c r="T1914" s="7" t="n">
        <f aca="false">IF(AND(F1914="Closed",I1914&lt;&gt;"",I1914&gt;='Exec Summary'!$E$1,I1914&lt;='Exec Summary'!$E$2),1,0)</f>
        <v>0</v>
      </c>
      <c r="U1914" s="7" t="n">
        <f aca="false">IF(F1914="Reopened",1,0)</f>
        <v>0</v>
      </c>
      <c r="V1914" s="7" t="n">
        <f aca="false">IF(AND(R1914=1,O1914&gt;Q1914),1,0)</f>
        <v>0</v>
      </c>
      <c r="W1914" s="7" t="n">
        <f aca="false">IF(AND(T1914=1,P1914&lt;&gt;"",P1914&lt;=Q1914),1,0)</f>
        <v>0</v>
      </c>
    </row>
    <row r="1915" customFormat="false" ht="15" hidden="false" customHeight="false" outlineLevel="0" collapsed="false">
      <c r="A1915" s="7" t="s">
        <v>2295</v>
      </c>
      <c r="B1915" s="7" t="s">
        <v>46</v>
      </c>
      <c r="C1915" s="7" t="s">
        <v>177</v>
      </c>
      <c r="D1915" s="7" t="s">
        <v>152</v>
      </c>
      <c r="E1915" s="7" t="s">
        <v>153</v>
      </c>
      <c r="F1915" s="7" t="s">
        <v>50</v>
      </c>
      <c r="G1915" s="7" t="s">
        <v>20</v>
      </c>
      <c r="H1915" s="9" t="n">
        <v>46067</v>
      </c>
      <c r="I1915" s="9" t="n">
        <v>46112</v>
      </c>
      <c r="J1915" s="7" t="n">
        <v>7.5</v>
      </c>
      <c r="K1915" s="7" t="s">
        <v>2260</v>
      </c>
      <c r="L1915" s="7" t="s">
        <v>20</v>
      </c>
      <c r="M1915" s="7" t="s">
        <v>2306</v>
      </c>
      <c r="N1915" s="7" t="s">
        <v>53</v>
      </c>
      <c r="O1915" s="10" t="n">
        <f aca="false">'Exec Summary'!$E$2-H1915</f>
        <v>167</v>
      </c>
      <c r="P1915" s="10" t="n">
        <f aca="false">IF(I1915="","",I1915-H1915)</f>
        <v>45</v>
      </c>
      <c r="Q1915" s="10" t="n">
        <f aca="false">VLOOKUP(G1915,$AA$2:$AB$5,2,FALSE())</f>
        <v>30</v>
      </c>
      <c r="R1915" s="7" t="n">
        <f aca="false">IF(OR(F1915="Open",F1915="Reopened"),1,0)</f>
        <v>0</v>
      </c>
      <c r="S1915" s="7" t="n">
        <f aca="false">IF(AND(H1915&gt;='Exec Summary'!$E$1,H1915&lt;='Exec Summary'!$E$2),1,0)</f>
        <v>0</v>
      </c>
      <c r="T1915" s="7" t="n">
        <f aca="false">IF(AND(F1915="Closed",I1915&lt;&gt;"",I1915&gt;='Exec Summary'!$E$1,I1915&lt;='Exec Summary'!$E$2),1,0)</f>
        <v>0</v>
      </c>
      <c r="U1915" s="7" t="n">
        <f aca="false">IF(F1915="Reopened",1,0)</f>
        <v>0</v>
      </c>
      <c r="V1915" s="7" t="n">
        <f aca="false">IF(AND(R1915=1,O1915&gt;Q1915),1,0)</f>
        <v>0</v>
      </c>
      <c r="W1915" s="7" t="n">
        <f aca="false">IF(AND(T1915=1,P1915&lt;&gt;"",P1915&lt;=Q1915),1,0)</f>
        <v>0</v>
      </c>
    </row>
    <row r="1916" customFormat="false" ht="15" hidden="false" customHeight="false" outlineLevel="0" collapsed="false">
      <c r="A1916" s="7" t="s">
        <v>2307</v>
      </c>
      <c r="B1916" s="7" t="s">
        <v>46</v>
      </c>
      <c r="C1916" s="7" t="s">
        <v>128</v>
      </c>
      <c r="D1916" s="7" t="s">
        <v>131</v>
      </c>
      <c r="E1916" s="7" t="s">
        <v>132</v>
      </c>
      <c r="F1916" s="7" t="s">
        <v>56</v>
      </c>
      <c r="G1916" s="7" t="s">
        <v>19</v>
      </c>
      <c r="H1916" s="9" t="n">
        <v>45976</v>
      </c>
      <c r="I1916" s="9"/>
      <c r="J1916" s="7" t="n">
        <v>9.8</v>
      </c>
      <c r="K1916" s="7" t="s">
        <v>2260</v>
      </c>
      <c r="L1916" s="7" t="s">
        <v>20</v>
      </c>
      <c r="M1916" s="7" t="s">
        <v>2308</v>
      </c>
      <c r="N1916" s="7" t="s">
        <v>58</v>
      </c>
      <c r="O1916" s="10" t="n">
        <f aca="false">'Exec Summary'!$E$2-H1916</f>
        <v>258</v>
      </c>
      <c r="P1916" s="10" t="str">
        <f aca="false">IF(I1916="","",I1916-H1916)</f>
        <v/>
      </c>
      <c r="Q1916" s="10" t="n">
        <f aca="false">VLOOKUP(G1916,$AA$2:$AB$5,2,FALSE())</f>
        <v>15</v>
      </c>
      <c r="R1916" s="7" t="n">
        <f aca="false">IF(OR(F1916="Open",F1916="Reopened"),1,0)</f>
        <v>1</v>
      </c>
      <c r="S1916" s="7" t="n">
        <f aca="false">IF(AND(H1916&gt;='Exec Summary'!$E$1,H1916&lt;='Exec Summary'!$E$2),1,0)</f>
        <v>0</v>
      </c>
      <c r="T1916" s="7" t="n">
        <f aca="false">IF(AND(F1916="Closed",I1916&lt;&gt;"",I1916&gt;='Exec Summary'!$E$1,I1916&lt;='Exec Summary'!$E$2),1,0)</f>
        <v>0</v>
      </c>
      <c r="U1916" s="7" t="n">
        <f aca="false">IF(F1916="Reopened",1,0)</f>
        <v>0</v>
      </c>
      <c r="V1916" s="7" t="n">
        <f aca="false">IF(AND(R1916=1,O1916&gt;Q1916),1,0)</f>
        <v>1</v>
      </c>
      <c r="W1916" s="7" t="n">
        <f aca="false">IF(AND(T1916=1,P1916&lt;&gt;"",P1916&lt;=Q1916),1,0)</f>
        <v>0</v>
      </c>
    </row>
    <row r="1917" customFormat="false" ht="15" hidden="false" customHeight="false" outlineLevel="0" collapsed="false">
      <c r="A1917" s="7" t="s">
        <v>2307</v>
      </c>
      <c r="B1917" s="7" t="s">
        <v>46</v>
      </c>
      <c r="C1917" s="7" t="s">
        <v>128</v>
      </c>
      <c r="D1917" s="7" t="s">
        <v>108</v>
      </c>
      <c r="E1917" s="7" t="s">
        <v>109</v>
      </c>
      <c r="F1917" s="7" t="s">
        <v>50</v>
      </c>
      <c r="G1917" s="7" t="s">
        <v>20</v>
      </c>
      <c r="H1917" s="9" t="n">
        <v>46036</v>
      </c>
      <c r="I1917" s="9" t="n">
        <v>46039</v>
      </c>
      <c r="J1917" s="7" t="n">
        <v>8.6</v>
      </c>
      <c r="K1917" s="7" t="s">
        <v>2260</v>
      </c>
      <c r="L1917" s="7" t="s">
        <v>20</v>
      </c>
      <c r="M1917" s="7" t="s">
        <v>2309</v>
      </c>
      <c r="N1917" s="7" t="s">
        <v>53</v>
      </c>
      <c r="O1917" s="10" t="n">
        <f aca="false">'Exec Summary'!$E$2-H1917</f>
        <v>198</v>
      </c>
      <c r="P1917" s="10" t="n">
        <f aca="false">IF(I1917="","",I1917-H1917)</f>
        <v>3</v>
      </c>
      <c r="Q1917" s="10" t="n">
        <f aca="false">VLOOKUP(G1917,$AA$2:$AB$5,2,FALSE())</f>
        <v>30</v>
      </c>
      <c r="R1917" s="7" t="n">
        <f aca="false">IF(OR(F1917="Open",F1917="Reopened"),1,0)</f>
        <v>0</v>
      </c>
      <c r="S1917" s="7" t="n">
        <f aca="false">IF(AND(H1917&gt;='Exec Summary'!$E$1,H1917&lt;='Exec Summary'!$E$2),1,0)</f>
        <v>0</v>
      </c>
      <c r="T1917" s="7" t="n">
        <f aca="false">IF(AND(F1917="Closed",I1917&lt;&gt;"",I1917&gt;='Exec Summary'!$E$1,I1917&lt;='Exec Summary'!$E$2),1,0)</f>
        <v>0</v>
      </c>
      <c r="U1917" s="7" t="n">
        <f aca="false">IF(F1917="Reopened",1,0)</f>
        <v>0</v>
      </c>
      <c r="V1917" s="7" t="n">
        <f aca="false">IF(AND(R1917=1,O1917&gt;Q1917),1,0)</f>
        <v>0</v>
      </c>
      <c r="W1917" s="7" t="n">
        <f aca="false">IF(AND(T1917=1,P1917&lt;&gt;"",P1917&lt;=Q1917),1,0)</f>
        <v>0</v>
      </c>
    </row>
    <row r="1918" customFormat="false" ht="15" hidden="false" customHeight="false" outlineLevel="0" collapsed="false">
      <c r="A1918" s="7" t="s">
        <v>2307</v>
      </c>
      <c r="B1918" s="7" t="s">
        <v>46</v>
      </c>
      <c r="C1918" s="7" t="s">
        <v>128</v>
      </c>
      <c r="D1918" s="7" t="s">
        <v>98</v>
      </c>
      <c r="E1918" s="7" t="s">
        <v>99</v>
      </c>
      <c r="F1918" s="7" t="s">
        <v>50</v>
      </c>
      <c r="G1918" s="7" t="s">
        <v>19</v>
      </c>
      <c r="H1918" s="9" t="n">
        <v>45953</v>
      </c>
      <c r="I1918" s="9" t="n">
        <v>45954</v>
      </c>
      <c r="J1918" s="7" t="n">
        <v>10</v>
      </c>
      <c r="K1918" s="7" t="s">
        <v>2260</v>
      </c>
      <c r="L1918" s="7" t="s">
        <v>20</v>
      </c>
      <c r="M1918" s="7" t="s">
        <v>2310</v>
      </c>
      <c r="N1918" s="7" t="s">
        <v>58</v>
      </c>
      <c r="O1918" s="10" t="n">
        <f aca="false">'Exec Summary'!$E$2-H1918</f>
        <v>281</v>
      </c>
      <c r="P1918" s="10" t="n">
        <f aca="false">IF(I1918="","",I1918-H1918)</f>
        <v>1</v>
      </c>
      <c r="Q1918" s="10" t="n">
        <f aca="false">VLOOKUP(G1918,$AA$2:$AB$5,2,FALSE())</f>
        <v>15</v>
      </c>
      <c r="R1918" s="7" t="n">
        <f aca="false">IF(OR(F1918="Open",F1918="Reopened"),1,0)</f>
        <v>0</v>
      </c>
      <c r="S1918" s="7" t="n">
        <f aca="false">IF(AND(H1918&gt;='Exec Summary'!$E$1,H1918&lt;='Exec Summary'!$E$2),1,0)</f>
        <v>0</v>
      </c>
      <c r="T1918" s="7" t="n">
        <f aca="false">IF(AND(F1918="Closed",I1918&lt;&gt;"",I1918&gt;='Exec Summary'!$E$1,I1918&lt;='Exec Summary'!$E$2),1,0)</f>
        <v>0</v>
      </c>
      <c r="U1918" s="7" t="n">
        <f aca="false">IF(F1918="Reopened",1,0)</f>
        <v>0</v>
      </c>
      <c r="V1918" s="7" t="n">
        <f aca="false">IF(AND(R1918=1,O1918&gt;Q1918),1,0)</f>
        <v>0</v>
      </c>
      <c r="W1918" s="7" t="n">
        <f aca="false">IF(AND(T1918=1,P1918&lt;&gt;"",P1918&lt;=Q1918),1,0)</f>
        <v>0</v>
      </c>
    </row>
    <row r="1919" customFormat="false" ht="15" hidden="false" customHeight="false" outlineLevel="0" collapsed="false">
      <c r="A1919" s="7" t="s">
        <v>2307</v>
      </c>
      <c r="B1919" s="7" t="s">
        <v>46</v>
      </c>
      <c r="C1919" s="7" t="s">
        <v>128</v>
      </c>
      <c r="D1919" s="7" t="s">
        <v>62</v>
      </c>
      <c r="E1919" s="7" t="s">
        <v>63</v>
      </c>
      <c r="F1919" s="7" t="s">
        <v>50</v>
      </c>
      <c r="G1919" s="7" t="s">
        <v>20</v>
      </c>
      <c r="H1919" s="9" t="n">
        <v>46219</v>
      </c>
      <c r="I1919" s="9" t="n">
        <v>46234</v>
      </c>
      <c r="J1919" s="7" t="n">
        <v>8.1</v>
      </c>
      <c r="K1919" s="7" t="s">
        <v>2260</v>
      </c>
      <c r="L1919" s="7" t="s">
        <v>20</v>
      </c>
      <c r="M1919" s="7" t="s">
        <v>2311</v>
      </c>
      <c r="N1919" s="7" t="s">
        <v>53</v>
      </c>
      <c r="O1919" s="10" t="n">
        <f aca="false">'Exec Summary'!$E$2-H1919</f>
        <v>15</v>
      </c>
      <c r="P1919" s="10" t="n">
        <f aca="false">IF(I1919="","",I1919-H1919)</f>
        <v>15</v>
      </c>
      <c r="Q1919" s="10" t="n">
        <f aca="false">VLOOKUP(G1919,$AA$2:$AB$5,2,FALSE())</f>
        <v>30</v>
      </c>
      <c r="R1919" s="7" t="n">
        <f aca="false">IF(OR(F1919="Open",F1919="Reopened"),1,0)</f>
        <v>0</v>
      </c>
      <c r="S1919" s="7" t="n">
        <f aca="false">IF(AND(H1919&gt;='Exec Summary'!$E$1,H1919&lt;='Exec Summary'!$E$2),1,0)</f>
        <v>1</v>
      </c>
      <c r="T1919" s="7" t="n">
        <f aca="false">IF(AND(F1919="Closed",I1919&lt;&gt;"",I1919&gt;='Exec Summary'!$E$1,I1919&lt;='Exec Summary'!$E$2),1,0)</f>
        <v>1</v>
      </c>
      <c r="U1919" s="7" t="n">
        <f aca="false">IF(F1919="Reopened",1,0)</f>
        <v>0</v>
      </c>
      <c r="V1919" s="7" t="n">
        <f aca="false">IF(AND(R1919=1,O1919&gt;Q1919),1,0)</f>
        <v>0</v>
      </c>
      <c r="W1919" s="7" t="n">
        <f aca="false">IF(AND(T1919=1,P1919&lt;&gt;"",P1919&lt;=Q1919),1,0)</f>
        <v>1</v>
      </c>
    </row>
    <row r="1920" customFormat="false" ht="15" hidden="false" customHeight="false" outlineLevel="0" collapsed="false">
      <c r="A1920" s="7" t="s">
        <v>2312</v>
      </c>
      <c r="B1920" s="7" t="s">
        <v>46</v>
      </c>
      <c r="C1920" s="7" t="s">
        <v>79</v>
      </c>
      <c r="D1920" s="7" t="s">
        <v>131</v>
      </c>
      <c r="E1920" s="7" t="s">
        <v>132</v>
      </c>
      <c r="F1920" s="7" t="s">
        <v>50</v>
      </c>
      <c r="G1920" s="7" t="s">
        <v>19</v>
      </c>
      <c r="H1920" s="9" t="n">
        <v>46090</v>
      </c>
      <c r="I1920" s="9" t="n">
        <v>46093</v>
      </c>
      <c r="J1920" s="7" t="n">
        <v>9.8</v>
      </c>
      <c r="K1920" s="7" t="s">
        <v>2260</v>
      </c>
      <c r="L1920" s="7" t="s">
        <v>20</v>
      </c>
      <c r="M1920" s="7" t="s">
        <v>2313</v>
      </c>
      <c r="N1920" s="7" t="s">
        <v>58</v>
      </c>
      <c r="O1920" s="10" t="n">
        <f aca="false">'Exec Summary'!$E$2-H1920</f>
        <v>144</v>
      </c>
      <c r="P1920" s="10" t="n">
        <f aca="false">IF(I1920="","",I1920-H1920)</f>
        <v>3</v>
      </c>
      <c r="Q1920" s="10" t="n">
        <f aca="false">VLOOKUP(G1920,$AA$2:$AB$5,2,FALSE())</f>
        <v>15</v>
      </c>
      <c r="R1920" s="7" t="n">
        <f aca="false">IF(OR(F1920="Open",F1920="Reopened"),1,0)</f>
        <v>0</v>
      </c>
      <c r="S1920" s="7" t="n">
        <f aca="false">IF(AND(H1920&gt;='Exec Summary'!$E$1,H1920&lt;='Exec Summary'!$E$2),1,0)</f>
        <v>0</v>
      </c>
      <c r="T1920" s="7" t="n">
        <f aca="false">IF(AND(F1920="Closed",I1920&lt;&gt;"",I1920&gt;='Exec Summary'!$E$1,I1920&lt;='Exec Summary'!$E$2),1,0)</f>
        <v>0</v>
      </c>
      <c r="U1920" s="7" t="n">
        <f aca="false">IF(F1920="Reopened",1,0)</f>
        <v>0</v>
      </c>
      <c r="V1920" s="7" t="n">
        <f aca="false">IF(AND(R1920=1,O1920&gt;Q1920),1,0)</f>
        <v>0</v>
      </c>
      <c r="W1920" s="7" t="n">
        <f aca="false">IF(AND(T1920=1,P1920&lt;&gt;"",P1920&lt;=Q1920),1,0)</f>
        <v>0</v>
      </c>
    </row>
    <row r="1921" customFormat="false" ht="15" hidden="false" customHeight="false" outlineLevel="0" collapsed="false">
      <c r="A1921" s="7" t="s">
        <v>2312</v>
      </c>
      <c r="B1921" s="7" t="s">
        <v>46</v>
      </c>
      <c r="C1921" s="7" t="s">
        <v>79</v>
      </c>
      <c r="D1921" s="7" t="s">
        <v>112</v>
      </c>
      <c r="E1921" s="7" t="s">
        <v>113</v>
      </c>
      <c r="F1921" s="7" t="s">
        <v>56</v>
      </c>
      <c r="G1921" s="7" t="s">
        <v>20</v>
      </c>
      <c r="H1921" s="9" t="n">
        <v>46101</v>
      </c>
      <c r="I1921" s="9"/>
      <c r="J1921" s="7" t="n">
        <v>7.8</v>
      </c>
      <c r="K1921" s="7" t="s">
        <v>2260</v>
      </c>
      <c r="L1921" s="7" t="s">
        <v>20</v>
      </c>
      <c r="M1921" s="7" t="s">
        <v>2314</v>
      </c>
      <c r="N1921" s="7" t="s">
        <v>53</v>
      </c>
      <c r="O1921" s="10" t="n">
        <f aca="false">'Exec Summary'!$E$2-H1921</f>
        <v>133</v>
      </c>
      <c r="P1921" s="10" t="str">
        <f aca="false">IF(I1921="","",I1921-H1921)</f>
        <v/>
      </c>
      <c r="Q1921" s="10" t="n">
        <f aca="false">VLOOKUP(G1921,$AA$2:$AB$5,2,FALSE())</f>
        <v>30</v>
      </c>
      <c r="R1921" s="7" t="n">
        <f aca="false">IF(OR(F1921="Open",F1921="Reopened"),1,0)</f>
        <v>1</v>
      </c>
      <c r="S1921" s="7" t="n">
        <f aca="false">IF(AND(H1921&gt;='Exec Summary'!$E$1,H1921&lt;='Exec Summary'!$E$2),1,0)</f>
        <v>0</v>
      </c>
      <c r="T1921" s="7" t="n">
        <f aca="false">IF(AND(F1921="Closed",I1921&lt;&gt;"",I1921&gt;='Exec Summary'!$E$1,I1921&lt;='Exec Summary'!$E$2),1,0)</f>
        <v>0</v>
      </c>
      <c r="U1921" s="7" t="n">
        <f aca="false">IF(F1921="Reopened",1,0)</f>
        <v>0</v>
      </c>
      <c r="V1921" s="7" t="n">
        <f aca="false">IF(AND(R1921=1,O1921&gt;Q1921),1,0)</f>
        <v>1</v>
      </c>
      <c r="W1921" s="7" t="n">
        <f aca="false">IF(AND(T1921=1,P1921&lt;&gt;"",P1921&lt;=Q1921),1,0)</f>
        <v>0</v>
      </c>
    </row>
    <row r="1922" customFormat="false" ht="15" hidden="false" customHeight="false" outlineLevel="0" collapsed="false">
      <c r="A1922" s="7" t="s">
        <v>2312</v>
      </c>
      <c r="B1922" s="7" t="s">
        <v>46</v>
      </c>
      <c r="C1922" s="7" t="s">
        <v>79</v>
      </c>
      <c r="D1922" s="7" t="s">
        <v>173</v>
      </c>
      <c r="E1922" s="7" t="s">
        <v>174</v>
      </c>
      <c r="F1922" s="7" t="s">
        <v>50</v>
      </c>
      <c r="G1922" s="7" t="s">
        <v>19</v>
      </c>
      <c r="H1922" s="9" t="n">
        <v>46196</v>
      </c>
      <c r="I1922" s="9" t="n">
        <v>46197</v>
      </c>
      <c r="J1922" s="7" t="n">
        <v>9.8</v>
      </c>
      <c r="K1922" s="7" t="s">
        <v>2260</v>
      </c>
      <c r="L1922" s="7" t="s">
        <v>20</v>
      </c>
      <c r="M1922" s="7" t="s">
        <v>2315</v>
      </c>
      <c r="N1922" s="7" t="s">
        <v>58</v>
      </c>
      <c r="O1922" s="10" t="n">
        <f aca="false">'Exec Summary'!$E$2-H1922</f>
        <v>38</v>
      </c>
      <c r="P1922" s="10" t="n">
        <f aca="false">IF(I1922="","",I1922-H1922)</f>
        <v>1</v>
      </c>
      <c r="Q1922" s="10" t="n">
        <f aca="false">VLOOKUP(G1922,$AA$2:$AB$5,2,FALSE())</f>
        <v>15</v>
      </c>
      <c r="R1922" s="7" t="n">
        <f aca="false">IF(OR(F1922="Open",F1922="Reopened"),1,0)</f>
        <v>0</v>
      </c>
      <c r="S1922" s="7" t="n">
        <f aca="false">IF(AND(H1922&gt;='Exec Summary'!$E$1,H1922&lt;='Exec Summary'!$E$2),1,0)</f>
        <v>0</v>
      </c>
      <c r="T1922" s="7" t="n">
        <f aca="false">IF(AND(F1922="Closed",I1922&lt;&gt;"",I1922&gt;='Exec Summary'!$E$1,I1922&lt;='Exec Summary'!$E$2),1,0)</f>
        <v>0</v>
      </c>
      <c r="U1922" s="7" t="n">
        <f aca="false">IF(F1922="Reopened",1,0)</f>
        <v>0</v>
      </c>
      <c r="V1922" s="7" t="n">
        <f aca="false">IF(AND(R1922=1,O1922&gt;Q1922),1,0)</f>
        <v>0</v>
      </c>
      <c r="W1922" s="7" t="n">
        <f aca="false">IF(AND(T1922=1,P1922&lt;&gt;"",P1922&lt;=Q1922),1,0)</f>
        <v>0</v>
      </c>
    </row>
    <row r="1923" customFormat="false" ht="15" hidden="false" customHeight="false" outlineLevel="0" collapsed="false">
      <c r="A1923" s="7" t="s">
        <v>2316</v>
      </c>
      <c r="B1923" s="7" t="s">
        <v>46</v>
      </c>
      <c r="C1923" s="7" t="s">
        <v>47</v>
      </c>
      <c r="D1923" s="7" t="s">
        <v>145</v>
      </c>
      <c r="E1923" s="7" t="s">
        <v>146</v>
      </c>
      <c r="F1923" s="7" t="s">
        <v>56</v>
      </c>
      <c r="G1923" s="7" t="s">
        <v>19</v>
      </c>
      <c r="H1923" s="9" t="n">
        <v>46065</v>
      </c>
      <c r="I1923" s="9"/>
      <c r="J1923" s="7" t="n">
        <v>9.8</v>
      </c>
      <c r="K1923" s="7" t="s">
        <v>2260</v>
      </c>
      <c r="L1923" s="7" t="s">
        <v>22</v>
      </c>
      <c r="M1923" s="7" t="s">
        <v>2317</v>
      </c>
      <c r="N1923" s="7" t="s">
        <v>58</v>
      </c>
      <c r="O1923" s="10" t="n">
        <f aca="false">'Exec Summary'!$E$2-H1923</f>
        <v>169</v>
      </c>
      <c r="P1923" s="10" t="str">
        <f aca="false">IF(I1923="","",I1923-H1923)</f>
        <v/>
      </c>
      <c r="Q1923" s="10" t="n">
        <f aca="false">VLOOKUP(G1923,$AA$2:$AB$5,2,FALSE())</f>
        <v>15</v>
      </c>
      <c r="R1923" s="7" t="n">
        <f aca="false">IF(OR(F1923="Open",F1923="Reopened"),1,0)</f>
        <v>1</v>
      </c>
      <c r="S1923" s="7" t="n">
        <f aca="false">IF(AND(H1923&gt;='Exec Summary'!$E$1,H1923&lt;='Exec Summary'!$E$2),1,0)</f>
        <v>0</v>
      </c>
      <c r="T1923" s="7" t="n">
        <f aca="false">IF(AND(F1923="Closed",I1923&lt;&gt;"",I1923&gt;='Exec Summary'!$E$1,I1923&lt;='Exec Summary'!$E$2),1,0)</f>
        <v>0</v>
      </c>
      <c r="U1923" s="7" t="n">
        <f aca="false">IF(F1923="Reopened",1,0)</f>
        <v>0</v>
      </c>
      <c r="V1923" s="7" t="n">
        <f aca="false">IF(AND(R1923=1,O1923&gt;Q1923),1,0)</f>
        <v>1</v>
      </c>
      <c r="W1923" s="7" t="n">
        <f aca="false">IF(AND(T1923=1,P1923&lt;&gt;"",P1923&lt;=Q1923),1,0)</f>
        <v>0</v>
      </c>
    </row>
    <row r="1924" customFormat="false" ht="15" hidden="false" customHeight="false" outlineLevel="0" collapsed="false">
      <c r="A1924" s="7" t="s">
        <v>2316</v>
      </c>
      <c r="B1924" s="7" t="s">
        <v>46</v>
      </c>
      <c r="C1924" s="7" t="s">
        <v>47</v>
      </c>
      <c r="D1924" s="7" t="s">
        <v>48</v>
      </c>
      <c r="E1924" s="7" t="s">
        <v>49</v>
      </c>
      <c r="F1924" s="7" t="s">
        <v>56</v>
      </c>
      <c r="G1924" s="7" t="s">
        <v>20</v>
      </c>
      <c r="H1924" s="9" t="n">
        <v>46068</v>
      </c>
      <c r="I1924" s="9"/>
      <c r="J1924" s="7" t="n">
        <v>7.5</v>
      </c>
      <c r="K1924" s="7" t="s">
        <v>2260</v>
      </c>
      <c r="L1924" s="7" t="s">
        <v>22</v>
      </c>
      <c r="M1924" s="7" t="s">
        <v>2318</v>
      </c>
      <c r="N1924" s="7" t="s">
        <v>53</v>
      </c>
      <c r="O1924" s="10" t="n">
        <f aca="false">'Exec Summary'!$E$2-H1924</f>
        <v>166</v>
      </c>
      <c r="P1924" s="10" t="str">
        <f aca="false">IF(I1924="","",I1924-H1924)</f>
        <v/>
      </c>
      <c r="Q1924" s="10" t="n">
        <f aca="false">VLOOKUP(G1924,$AA$2:$AB$5,2,FALSE())</f>
        <v>30</v>
      </c>
      <c r="R1924" s="7" t="n">
        <f aca="false">IF(OR(F1924="Open",F1924="Reopened"),1,0)</f>
        <v>1</v>
      </c>
      <c r="S1924" s="7" t="n">
        <f aca="false">IF(AND(H1924&gt;='Exec Summary'!$E$1,H1924&lt;='Exec Summary'!$E$2),1,0)</f>
        <v>0</v>
      </c>
      <c r="T1924" s="7" t="n">
        <f aca="false">IF(AND(F1924="Closed",I1924&lt;&gt;"",I1924&gt;='Exec Summary'!$E$1,I1924&lt;='Exec Summary'!$E$2),1,0)</f>
        <v>0</v>
      </c>
      <c r="U1924" s="7" t="n">
        <f aca="false">IF(F1924="Reopened",1,0)</f>
        <v>0</v>
      </c>
      <c r="V1924" s="7" t="n">
        <f aca="false">IF(AND(R1924=1,O1924&gt;Q1924),1,0)</f>
        <v>1</v>
      </c>
      <c r="W1924" s="7" t="n">
        <f aca="false">IF(AND(T1924=1,P1924&lt;&gt;"",P1924&lt;=Q1924),1,0)</f>
        <v>0</v>
      </c>
    </row>
    <row r="1925" customFormat="false" ht="15" hidden="false" customHeight="false" outlineLevel="0" collapsed="false">
      <c r="A1925" s="7" t="s">
        <v>2316</v>
      </c>
      <c r="B1925" s="7" t="s">
        <v>46</v>
      </c>
      <c r="C1925" s="7" t="s">
        <v>47</v>
      </c>
      <c r="D1925" s="7" t="s">
        <v>71</v>
      </c>
      <c r="E1925" s="7" t="s">
        <v>72</v>
      </c>
      <c r="F1925" s="7" t="s">
        <v>56</v>
      </c>
      <c r="G1925" s="7" t="s">
        <v>19</v>
      </c>
      <c r="H1925" s="9" t="n">
        <v>45960</v>
      </c>
      <c r="I1925" s="9"/>
      <c r="J1925" s="7" t="n">
        <v>9.8</v>
      </c>
      <c r="K1925" s="7" t="s">
        <v>2260</v>
      </c>
      <c r="L1925" s="7" t="s">
        <v>22</v>
      </c>
      <c r="M1925" s="7" t="s">
        <v>2319</v>
      </c>
      <c r="N1925" s="7" t="s">
        <v>58</v>
      </c>
      <c r="O1925" s="10" t="n">
        <f aca="false">'Exec Summary'!$E$2-H1925</f>
        <v>274</v>
      </c>
      <c r="P1925" s="10" t="str">
        <f aca="false">IF(I1925="","",I1925-H1925)</f>
        <v/>
      </c>
      <c r="Q1925" s="10" t="n">
        <f aca="false">VLOOKUP(G1925,$AA$2:$AB$5,2,FALSE())</f>
        <v>15</v>
      </c>
      <c r="R1925" s="7" t="n">
        <f aca="false">IF(OR(F1925="Open",F1925="Reopened"),1,0)</f>
        <v>1</v>
      </c>
      <c r="S1925" s="7" t="n">
        <f aca="false">IF(AND(H1925&gt;='Exec Summary'!$E$1,H1925&lt;='Exec Summary'!$E$2),1,0)</f>
        <v>0</v>
      </c>
      <c r="T1925" s="7" t="n">
        <f aca="false">IF(AND(F1925="Closed",I1925&lt;&gt;"",I1925&gt;='Exec Summary'!$E$1,I1925&lt;='Exec Summary'!$E$2),1,0)</f>
        <v>0</v>
      </c>
      <c r="U1925" s="7" t="n">
        <f aca="false">IF(F1925="Reopened",1,0)</f>
        <v>0</v>
      </c>
      <c r="V1925" s="7" t="n">
        <f aca="false">IF(AND(R1925=1,O1925&gt;Q1925),1,0)</f>
        <v>1</v>
      </c>
      <c r="W1925" s="7" t="n">
        <f aca="false">IF(AND(T1925=1,P1925&lt;&gt;"",P1925&lt;=Q1925),1,0)</f>
        <v>0</v>
      </c>
    </row>
    <row r="1926" customFormat="false" ht="15" hidden="false" customHeight="false" outlineLevel="0" collapsed="false">
      <c r="A1926" s="7" t="s">
        <v>2316</v>
      </c>
      <c r="B1926" s="7" t="s">
        <v>46</v>
      </c>
      <c r="C1926" s="7" t="s">
        <v>47</v>
      </c>
      <c r="D1926" s="7" t="s">
        <v>120</v>
      </c>
      <c r="E1926" s="7" t="s">
        <v>121</v>
      </c>
      <c r="F1926" s="7" t="s">
        <v>50</v>
      </c>
      <c r="G1926" s="7" t="s">
        <v>19</v>
      </c>
      <c r="H1926" s="9" t="n">
        <v>45952</v>
      </c>
      <c r="I1926" s="9" t="n">
        <v>45962</v>
      </c>
      <c r="J1926" s="7" t="n">
        <v>8.8</v>
      </c>
      <c r="K1926" s="7" t="s">
        <v>2260</v>
      </c>
      <c r="L1926" s="7" t="s">
        <v>22</v>
      </c>
      <c r="M1926" s="7" t="s">
        <v>2320</v>
      </c>
      <c r="N1926" s="7" t="s">
        <v>58</v>
      </c>
      <c r="O1926" s="10" t="n">
        <f aca="false">'Exec Summary'!$E$2-H1926</f>
        <v>282</v>
      </c>
      <c r="P1926" s="10" t="n">
        <f aca="false">IF(I1926="","",I1926-H1926)</f>
        <v>10</v>
      </c>
      <c r="Q1926" s="10" t="n">
        <f aca="false">VLOOKUP(G1926,$AA$2:$AB$5,2,FALSE())</f>
        <v>15</v>
      </c>
      <c r="R1926" s="7" t="n">
        <f aca="false">IF(OR(F1926="Open",F1926="Reopened"),1,0)</f>
        <v>0</v>
      </c>
      <c r="S1926" s="7" t="n">
        <f aca="false">IF(AND(H1926&gt;='Exec Summary'!$E$1,H1926&lt;='Exec Summary'!$E$2),1,0)</f>
        <v>0</v>
      </c>
      <c r="T1926" s="7" t="n">
        <f aca="false">IF(AND(F1926="Closed",I1926&lt;&gt;"",I1926&gt;='Exec Summary'!$E$1,I1926&lt;='Exec Summary'!$E$2),1,0)</f>
        <v>0</v>
      </c>
      <c r="U1926" s="7" t="n">
        <f aca="false">IF(F1926="Reopened",1,0)</f>
        <v>0</v>
      </c>
      <c r="V1926" s="7" t="n">
        <f aca="false">IF(AND(R1926=1,O1926&gt;Q1926),1,0)</f>
        <v>0</v>
      </c>
      <c r="W1926" s="7" t="n">
        <f aca="false">IF(AND(T1926=1,P1926&lt;&gt;"",P1926&lt;=Q1926),1,0)</f>
        <v>0</v>
      </c>
    </row>
    <row r="1927" customFormat="false" ht="15" hidden="false" customHeight="false" outlineLevel="0" collapsed="false">
      <c r="A1927" s="7" t="s">
        <v>2316</v>
      </c>
      <c r="B1927" s="7" t="s">
        <v>46</v>
      </c>
      <c r="C1927" s="7" t="s">
        <v>47</v>
      </c>
      <c r="D1927" s="7" t="s">
        <v>74</v>
      </c>
      <c r="E1927" s="7" t="s">
        <v>75</v>
      </c>
      <c r="F1927" s="7" t="s">
        <v>50</v>
      </c>
      <c r="G1927" s="7" t="s">
        <v>21</v>
      </c>
      <c r="H1927" s="9" t="n">
        <v>46179</v>
      </c>
      <c r="I1927" s="9" t="n">
        <v>46234</v>
      </c>
      <c r="J1927" s="7" t="n">
        <v>6.5</v>
      </c>
      <c r="K1927" s="7" t="s">
        <v>2260</v>
      </c>
      <c r="L1927" s="7" t="s">
        <v>22</v>
      </c>
      <c r="M1927" s="7" t="s">
        <v>2321</v>
      </c>
      <c r="N1927" s="7" t="s">
        <v>77</v>
      </c>
      <c r="O1927" s="10" t="n">
        <f aca="false">'Exec Summary'!$E$2-H1927</f>
        <v>55</v>
      </c>
      <c r="P1927" s="10" t="n">
        <f aca="false">IF(I1927="","",I1927-H1927)</f>
        <v>55</v>
      </c>
      <c r="Q1927" s="10" t="n">
        <f aca="false">VLOOKUP(G1927,$AA$2:$AB$5,2,FALSE())</f>
        <v>90</v>
      </c>
      <c r="R1927" s="7" t="n">
        <f aca="false">IF(OR(F1927="Open",F1927="Reopened"),1,0)</f>
        <v>0</v>
      </c>
      <c r="S1927" s="7" t="n">
        <f aca="false">IF(AND(H1927&gt;='Exec Summary'!$E$1,H1927&lt;='Exec Summary'!$E$2),1,0)</f>
        <v>0</v>
      </c>
      <c r="T1927" s="7" t="n">
        <f aca="false">IF(AND(F1927="Closed",I1927&lt;&gt;"",I1927&gt;='Exec Summary'!$E$1,I1927&lt;='Exec Summary'!$E$2),1,0)</f>
        <v>1</v>
      </c>
      <c r="U1927" s="7" t="n">
        <f aca="false">IF(F1927="Reopened",1,0)</f>
        <v>0</v>
      </c>
      <c r="V1927" s="7" t="n">
        <f aca="false">IF(AND(R1927=1,O1927&gt;Q1927),1,0)</f>
        <v>0</v>
      </c>
      <c r="W1927" s="7" t="n">
        <f aca="false">IF(AND(T1927=1,P1927&lt;&gt;"",P1927&lt;=Q1927),1,0)</f>
        <v>1</v>
      </c>
    </row>
    <row r="1928" customFormat="false" ht="15" hidden="false" customHeight="false" outlineLevel="0" collapsed="false">
      <c r="A1928" s="7" t="s">
        <v>2316</v>
      </c>
      <c r="B1928" s="7" t="s">
        <v>46</v>
      </c>
      <c r="C1928" s="7" t="s">
        <v>47</v>
      </c>
      <c r="D1928" s="7" t="s">
        <v>81</v>
      </c>
      <c r="E1928" s="7" t="s">
        <v>82</v>
      </c>
      <c r="F1928" s="7" t="s">
        <v>123</v>
      </c>
      <c r="G1928" s="7" t="s">
        <v>20</v>
      </c>
      <c r="H1928" s="9" t="n">
        <v>46017</v>
      </c>
      <c r="I1928" s="9" t="n">
        <v>46042</v>
      </c>
      <c r="J1928" s="7" t="n">
        <v>7.8</v>
      </c>
      <c r="K1928" s="7" t="s">
        <v>2260</v>
      </c>
      <c r="L1928" s="7" t="s">
        <v>22</v>
      </c>
      <c r="M1928" s="7" t="s">
        <v>2322</v>
      </c>
      <c r="N1928" s="7" t="s">
        <v>53</v>
      </c>
      <c r="O1928" s="10" t="n">
        <f aca="false">'Exec Summary'!$E$2-H1928</f>
        <v>217</v>
      </c>
      <c r="P1928" s="10" t="n">
        <f aca="false">IF(I1928="","",I1928-H1928)</f>
        <v>25</v>
      </c>
      <c r="Q1928" s="10" t="n">
        <f aca="false">VLOOKUP(G1928,$AA$2:$AB$5,2,FALSE())</f>
        <v>30</v>
      </c>
      <c r="R1928" s="7" t="n">
        <f aca="false">IF(OR(F1928="Open",F1928="Reopened"),1,0)</f>
        <v>1</v>
      </c>
      <c r="S1928" s="7" t="n">
        <f aca="false">IF(AND(H1928&gt;='Exec Summary'!$E$1,H1928&lt;='Exec Summary'!$E$2),1,0)</f>
        <v>0</v>
      </c>
      <c r="T1928" s="7" t="n">
        <f aca="false">IF(AND(F1928="Closed",I1928&lt;&gt;"",I1928&gt;='Exec Summary'!$E$1,I1928&lt;='Exec Summary'!$E$2),1,0)</f>
        <v>0</v>
      </c>
      <c r="U1928" s="7" t="n">
        <f aca="false">IF(F1928="Reopened",1,0)</f>
        <v>1</v>
      </c>
      <c r="V1928" s="7" t="n">
        <f aca="false">IF(AND(R1928=1,O1928&gt;Q1928),1,0)</f>
        <v>1</v>
      </c>
      <c r="W1928" s="7" t="n">
        <f aca="false">IF(AND(T1928=1,P1928&lt;&gt;"",P1928&lt;=Q1928),1,0)</f>
        <v>0</v>
      </c>
    </row>
    <row r="1929" customFormat="false" ht="15" hidden="false" customHeight="false" outlineLevel="0" collapsed="false">
      <c r="A1929" s="7" t="s">
        <v>2316</v>
      </c>
      <c r="B1929" s="7" t="s">
        <v>46</v>
      </c>
      <c r="C1929" s="7" t="s">
        <v>47</v>
      </c>
      <c r="D1929" s="7" t="s">
        <v>84</v>
      </c>
      <c r="E1929" s="7" t="s">
        <v>85</v>
      </c>
      <c r="F1929" s="7" t="s">
        <v>50</v>
      </c>
      <c r="G1929" s="7" t="s">
        <v>20</v>
      </c>
      <c r="H1929" s="9" t="n">
        <v>46201</v>
      </c>
      <c r="I1929" s="9" t="n">
        <v>46218</v>
      </c>
      <c r="J1929" s="7" t="n">
        <v>7.5</v>
      </c>
      <c r="K1929" s="7" t="s">
        <v>2260</v>
      </c>
      <c r="L1929" s="7" t="s">
        <v>22</v>
      </c>
      <c r="M1929" s="7" t="s">
        <v>2323</v>
      </c>
      <c r="N1929" s="7" t="s">
        <v>53</v>
      </c>
      <c r="O1929" s="10" t="n">
        <f aca="false">'Exec Summary'!$E$2-H1929</f>
        <v>33</v>
      </c>
      <c r="P1929" s="10" t="n">
        <f aca="false">IF(I1929="","",I1929-H1929)</f>
        <v>17</v>
      </c>
      <c r="Q1929" s="10" t="n">
        <f aca="false">VLOOKUP(G1929,$AA$2:$AB$5,2,FALSE())</f>
        <v>30</v>
      </c>
      <c r="R1929" s="7" t="n">
        <f aca="false">IF(OR(F1929="Open",F1929="Reopened"),1,0)</f>
        <v>0</v>
      </c>
      <c r="S1929" s="7" t="n">
        <f aca="false">IF(AND(H1929&gt;='Exec Summary'!$E$1,H1929&lt;='Exec Summary'!$E$2),1,0)</f>
        <v>0</v>
      </c>
      <c r="T1929" s="7" t="n">
        <f aca="false">IF(AND(F1929="Closed",I1929&lt;&gt;"",I1929&gt;='Exec Summary'!$E$1,I1929&lt;='Exec Summary'!$E$2),1,0)</f>
        <v>1</v>
      </c>
      <c r="U1929" s="7" t="n">
        <f aca="false">IF(F1929="Reopened",1,0)</f>
        <v>0</v>
      </c>
      <c r="V1929" s="7" t="n">
        <f aca="false">IF(AND(R1929=1,O1929&gt;Q1929),1,0)</f>
        <v>0</v>
      </c>
      <c r="W1929" s="7" t="n">
        <f aca="false">IF(AND(T1929=1,P1929&lt;&gt;"",P1929&lt;=Q1929),1,0)</f>
        <v>1</v>
      </c>
    </row>
    <row r="1930" customFormat="false" ht="15" hidden="false" customHeight="false" outlineLevel="0" collapsed="false">
      <c r="A1930" s="7" t="s">
        <v>2316</v>
      </c>
      <c r="B1930" s="7" t="s">
        <v>46</v>
      </c>
      <c r="C1930" s="7" t="s">
        <v>47</v>
      </c>
      <c r="D1930" s="7" t="s">
        <v>87</v>
      </c>
      <c r="E1930" s="7" t="s">
        <v>88</v>
      </c>
      <c r="F1930" s="7" t="s">
        <v>50</v>
      </c>
      <c r="G1930" s="7" t="s">
        <v>19</v>
      </c>
      <c r="H1930" s="9" t="n">
        <v>46198</v>
      </c>
      <c r="I1930" s="9" t="n">
        <v>46218</v>
      </c>
      <c r="J1930" s="7" t="n">
        <v>10</v>
      </c>
      <c r="K1930" s="7" t="s">
        <v>2260</v>
      </c>
      <c r="L1930" s="7" t="s">
        <v>22</v>
      </c>
      <c r="M1930" s="7" t="s">
        <v>2324</v>
      </c>
      <c r="N1930" s="7" t="s">
        <v>58</v>
      </c>
      <c r="O1930" s="10" t="n">
        <f aca="false">'Exec Summary'!$E$2-H1930</f>
        <v>36</v>
      </c>
      <c r="P1930" s="10" t="n">
        <f aca="false">IF(I1930="","",I1930-H1930)</f>
        <v>20</v>
      </c>
      <c r="Q1930" s="10" t="n">
        <f aca="false">VLOOKUP(G1930,$AA$2:$AB$5,2,FALSE())</f>
        <v>15</v>
      </c>
      <c r="R1930" s="7" t="n">
        <f aca="false">IF(OR(F1930="Open",F1930="Reopened"),1,0)</f>
        <v>0</v>
      </c>
      <c r="S1930" s="7" t="n">
        <f aca="false">IF(AND(H1930&gt;='Exec Summary'!$E$1,H1930&lt;='Exec Summary'!$E$2),1,0)</f>
        <v>0</v>
      </c>
      <c r="T1930" s="7" t="n">
        <f aca="false">IF(AND(F1930="Closed",I1930&lt;&gt;"",I1930&gt;='Exec Summary'!$E$1,I1930&lt;='Exec Summary'!$E$2),1,0)</f>
        <v>1</v>
      </c>
      <c r="U1930" s="7" t="n">
        <f aca="false">IF(F1930="Reopened",1,0)</f>
        <v>0</v>
      </c>
      <c r="V1930" s="7" t="n">
        <f aca="false">IF(AND(R1930=1,O1930&gt;Q1930),1,0)</f>
        <v>0</v>
      </c>
      <c r="W1930" s="7" t="n">
        <f aca="false">IF(AND(T1930=1,P1930&lt;&gt;"",P1930&lt;=Q1930),1,0)</f>
        <v>0</v>
      </c>
    </row>
    <row r="1931" customFormat="false" ht="15" hidden="false" customHeight="false" outlineLevel="0" collapsed="false">
      <c r="A1931" s="7" t="s">
        <v>2316</v>
      </c>
      <c r="B1931" s="7" t="s">
        <v>46</v>
      </c>
      <c r="C1931" s="7" t="s">
        <v>47</v>
      </c>
      <c r="D1931" s="7" t="s">
        <v>54</v>
      </c>
      <c r="E1931" s="7" t="s">
        <v>55</v>
      </c>
      <c r="F1931" s="7" t="s">
        <v>50</v>
      </c>
      <c r="G1931" s="7" t="s">
        <v>19</v>
      </c>
      <c r="H1931" s="9" t="n">
        <v>46123</v>
      </c>
      <c r="I1931" s="9" t="n">
        <v>46124</v>
      </c>
      <c r="J1931" s="7" t="n">
        <v>9.8</v>
      </c>
      <c r="K1931" s="7" t="s">
        <v>2260</v>
      </c>
      <c r="L1931" s="7" t="s">
        <v>22</v>
      </c>
      <c r="M1931" s="7" t="s">
        <v>2325</v>
      </c>
      <c r="N1931" s="7" t="s">
        <v>58</v>
      </c>
      <c r="O1931" s="10" t="n">
        <f aca="false">'Exec Summary'!$E$2-H1931</f>
        <v>111</v>
      </c>
      <c r="P1931" s="10" t="n">
        <f aca="false">IF(I1931="","",I1931-H1931)</f>
        <v>1</v>
      </c>
      <c r="Q1931" s="10" t="n">
        <f aca="false">VLOOKUP(G1931,$AA$2:$AB$5,2,FALSE())</f>
        <v>15</v>
      </c>
      <c r="R1931" s="7" t="n">
        <f aca="false">IF(OR(F1931="Open",F1931="Reopened"),1,0)</f>
        <v>0</v>
      </c>
      <c r="S1931" s="7" t="n">
        <f aca="false">IF(AND(H1931&gt;='Exec Summary'!$E$1,H1931&lt;='Exec Summary'!$E$2),1,0)</f>
        <v>0</v>
      </c>
      <c r="T1931" s="7" t="n">
        <f aca="false">IF(AND(F1931="Closed",I1931&lt;&gt;"",I1931&gt;='Exec Summary'!$E$1,I1931&lt;='Exec Summary'!$E$2),1,0)</f>
        <v>0</v>
      </c>
      <c r="U1931" s="7" t="n">
        <f aca="false">IF(F1931="Reopened",1,0)</f>
        <v>0</v>
      </c>
      <c r="V1931" s="7" t="n">
        <f aca="false">IF(AND(R1931=1,O1931&gt;Q1931),1,0)</f>
        <v>0</v>
      </c>
      <c r="W1931" s="7" t="n">
        <f aca="false">IF(AND(T1931=1,P1931&lt;&gt;"",P1931&lt;=Q1931),1,0)</f>
        <v>0</v>
      </c>
    </row>
    <row r="1932" customFormat="false" ht="15" hidden="false" customHeight="false" outlineLevel="0" collapsed="false">
      <c r="A1932" s="7" t="s">
        <v>2316</v>
      </c>
      <c r="B1932" s="7" t="s">
        <v>46</v>
      </c>
      <c r="C1932" s="7" t="s">
        <v>47</v>
      </c>
      <c r="D1932" s="7" t="s">
        <v>98</v>
      </c>
      <c r="E1932" s="7" t="s">
        <v>99</v>
      </c>
      <c r="F1932" s="7" t="s">
        <v>56</v>
      </c>
      <c r="G1932" s="7" t="s">
        <v>19</v>
      </c>
      <c r="H1932" s="9" t="n">
        <v>46102</v>
      </c>
      <c r="I1932" s="9"/>
      <c r="J1932" s="7" t="n">
        <v>10</v>
      </c>
      <c r="K1932" s="7" t="s">
        <v>2260</v>
      </c>
      <c r="L1932" s="7" t="s">
        <v>22</v>
      </c>
      <c r="M1932" s="7" t="s">
        <v>2326</v>
      </c>
      <c r="N1932" s="7" t="s">
        <v>58</v>
      </c>
      <c r="O1932" s="10" t="n">
        <f aca="false">'Exec Summary'!$E$2-H1932</f>
        <v>132</v>
      </c>
      <c r="P1932" s="10" t="str">
        <f aca="false">IF(I1932="","",I1932-H1932)</f>
        <v/>
      </c>
      <c r="Q1932" s="10" t="n">
        <f aca="false">VLOOKUP(G1932,$AA$2:$AB$5,2,FALSE())</f>
        <v>15</v>
      </c>
      <c r="R1932" s="7" t="n">
        <f aca="false">IF(OR(F1932="Open",F1932="Reopened"),1,0)</f>
        <v>1</v>
      </c>
      <c r="S1932" s="7" t="n">
        <f aca="false">IF(AND(H1932&gt;='Exec Summary'!$E$1,H1932&lt;='Exec Summary'!$E$2),1,0)</f>
        <v>0</v>
      </c>
      <c r="T1932" s="7" t="n">
        <f aca="false">IF(AND(F1932="Closed",I1932&lt;&gt;"",I1932&gt;='Exec Summary'!$E$1,I1932&lt;='Exec Summary'!$E$2),1,0)</f>
        <v>0</v>
      </c>
      <c r="U1932" s="7" t="n">
        <f aca="false">IF(F1932="Reopened",1,0)</f>
        <v>0</v>
      </c>
      <c r="V1932" s="7" t="n">
        <f aca="false">IF(AND(R1932=1,O1932&gt;Q1932),1,0)</f>
        <v>1</v>
      </c>
      <c r="W1932" s="7" t="n">
        <f aca="false">IF(AND(T1932=1,P1932&lt;&gt;"",P1932&lt;=Q1932),1,0)</f>
        <v>0</v>
      </c>
    </row>
    <row r="1933" customFormat="false" ht="15" hidden="false" customHeight="false" outlineLevel="0" collapsed="false">
      <c r="A1933" s="7" t="s">
        <v>2316</v>
      </c>
      <c r="B1933" s="7" t="s">
        <v>46</v>
      </c>
      <c r="C1933" s="7" t="s">
        <v>47</v>
      </c>
      <c r="D1933" s="7" t="s">
        <v>59</v>
      </c>
      <c r="E1933" s="7" t="s">
        <v>60</v>
      </c>
      <c r="F1933" s="7" t="s">
        <v>50</v>
      </c>
      <c r="G1933" s="7" t="s">
        <v>19</v>
      </c>
      <c r="H1933" s="9" t="n">
        <v>46200</v>
      </c>
      <c r="I1933" s="9" t="n">
        <v>46206</v>
      </c>
      <c r="J1933" s="7" t="n">
        <v>7.8</v>
      </c>
      <c r="K1933" s="7" t="s">
        <v>2260</v>
      </c>
      <c r="L1933" s="7" t="s">
        <v>22</v>
      </c>
      <c r="M1933" s="7" t="s">
        <v>2327</v>
      </c>
      <c r="N1933" s="7" t="s">
        <v>58</v>
      </c>
      <c r="O1933" s="10" t="n">
        <f aca="false">'Exec Summary'!$E$2-H1933</f>
        <v>34</v>
      </c>
      <c r="P1933" s="10" t="n">
        <f aca="false">IF(I1933="","",I1933-H1933)</f>
        <v>6</v>
      </c>
      <c r="Q1933" s="10" t="n">
        <f aca="false">VLOOKUP(G1933,$AA$2:$AB$5,2,FALSE())</f>
        <v>15</v>
      </c>
      <c r="R1933" s="7" t="n">
        <f aca="false">IF(OR(F1933="Open",F1933="Reopened"),1,0)</f>
        <v>0</v>
      </c>
      <c r="S1933" s="7" t="n">
        <f aca="false">IF(AND(H1933&gt;='Exec Summary'!$E$1,H1933&lt;='Exec Summary'!$E$2),1,0)</f>
        <v>0</v>
      </c>
      <c r="T1933" s="7" t="n">
        <f aca="false">IF(AND(F1933="Closed",I1933&lt;&gt;"",I1933&gt;='Exec Summary'!$E$1,I1933&lt;='Exec Summary'!$E$2),1,0)</f>
        <v>1</v>
      </c>
      <c r="U1933" s="7" t="n">
        <f aca="false">IF(F1933="Reopened",1,0)</f>
        <v>0</v>
      </c>
      <c r="V1933" s="7" t="n">
        <f aca="false">IF(AND(R1933=1,O1933&gt;Q1933),1,0)</f>
        <v>0</v>
      </c>
      <c r="W1933" s="7" t="n">
        <f aca="false">IF(AND(T1933=1,P1933&lt;&gt;"",P1933&lt;=Q1933),1,0)</f>
        <v>1</v>
      </c>
    </row>
    <row r="1934" customFormat="false" ht="15" hidden="false" customHeight="false" outlineLevel="0" collapsed="false">
      <c r="A1934" s="7" t="s">
        <v>2316</v>
      </c>
      <c r="B1934" s="7" t="s">
        <v>46</v>
      </c>
      <c r="C1934" s="7" t="s">
        <v>47</v>
      </c>
      <c r="D1934" s="7" t="s">
        <v>68</v>
      </c>
      <c r="E1934" s="7" t="s">
        <v>69</v>
      </c>
      <c r="F1934" s="7" t="s">
        <v>50</v>
      </c>
      <c r="G1934" s="7" t="s">
        <v>19</v>
      </c>
      <c r="H1934" s="9" t="n">
        <v>45960</v>
      </c>
      <c r="I1934" s="9" t="n">
        <v>45981</v>
      </c>
      <c r="J1934" s="7" t="n">
        <v>9.8</v>
      </c>
      <c r="K1934" s="7" t="s">
        <v>2260</v>
      </c>
      <c r="L1934" s="7" t="s">
        <v>22</v>
      </c>
      <c r="M1934" s="7" t="s">
        <v>2328</v>
      </c>
      <c r="N1934" s="7" t="s">
        <v>58</v>
      </c>
      <c r="O1934" s="10" t="n">
        <f aca="false">'Exec Summary'!$E$2-H1934</f>
        <v>274</v>
      </c>
      <c r="P1934" s="10" t="n">
        <f aca="false">IF(I1934="","",I1934-H1934)</f>
        <v>21</v>
      </c>
      <c r="Q1934" s="10" t="n">
        <f aca="false">VLOOKUP(G1934,$AA$2:$AB$5,2,FALSE())</f>
        <v>15</v>
      </c>
      <c r="R1934" s="7" t="n">
        <f aca="false">IF(OR(F1934="Open",F1934="Reopened"),1,0)</f>
        <v>0</v>
      </c>
      <c r="S1934" s="7" t="n">
        <f aca="false">IF(AND(H1934&gt;='Exec Summary'!$E$1,H1934&lt;='Exec Summary'!$E$2),1,0)</f>
        <v>0</v>
      </c>
      <c r="T1934" s="7" t="n">
        <f aca="false">IF(AND(F1934="Closed",I1934&lt;&gt;"",I1934&gt;='Exec Summary'!$E$1,I1934&lt;='Exec Summary'!$E$2),1,0)</f>
        <v>0</v>
      </c>
      <c r="U1934" s="7" t="n">
        <f aca="false">IF(F1934="Reopened",1,0)</f>
        <v>0</v>
      </c>
      <c r="V1934" s="7" t="n">
        <f aca="false">IF(AND(R1934=1,O1934&gt;Q1934),1,0)</f>
        <v>0</v>
      </c>
      <c r="W1934" s="7" t="n">
        <f aca="false">IF(AND(T1934=1,P1934&lt;&gt;"",P1934&lt;=Q1934),1,0)</f>
        <v>0</v>
      </c>
    </row>
    <row r="1935" customFormat="false" ht="15" hidden="false" customHeight="false" outlineLevel="0" collapsed="false">
      <c r="A1935" s="7" t="s">
        <v>2329</v>
      </c>
      <c r="B1935" s="7" t="s">
        <v>135</v>
      </c>
      <c r="C1935" s="7" t="s">
        <v>136</v>
      </c>
      <c r="D1935" s="7" t="s">
        <v>112</v>
      </c>
      <c r="E1935" s="7" t="s">
        <v>113</v>
      </c>
      <c r="F1935" s="7" t="s">
        <v>56</v>
      </c>
      <c r="G1935" s="7" t="s">
        <v>20</v>
      </c>
      <c r="H1935" s="9" t="n">
        <v>46102</v>
      </c>
      <c r="I1935" s="9"/>
      <c r="J1935" s="7" t="n">
        <v>7.8</v>
      </c>
      <c r="K1935" s="7" t="s">
        <v>2260</v>
      </c>
      <c r="L1935" s="7" t="s">
        <v>20</v>
      </c>
      <c r="M1935" s="7" t="s">
        <v>2330</v>
      </c>
      <c r="N1935" s="7" t="s">
        <v>53</v>
      </c>
      <c r="O1935" s="10" t="n">
        <f aca="false">'Exec Summary'!$E$2-H1935</f>
        <v>132</v>
      </c>
      <c r="P1935" s="10" t="str">
        <f aca="false">IF(I1935="","",I1935-H1935)</f>
        <v/>
      </c>
      <c r="Q1935" s="10" t="n">
        <f aca="false">VLOOKUP(G1935,$AA$2:$AB$5,2,FALSE())</f>
        <v>30</v>
      </c>
      <c r="R1935" s="7" t="n">
        <f aca="false">IF(OR(F1935="Open",F1935="Reopened"),1,0)</f>
        <v>1</v>
      </c>
      <c r="S1935" s="7" t="n">
        <f aca="false">IF(AND(H1935&gt;='Exec Summary'!$E$1,H1935&lt;='Exec Summary'!$E$2),1,0)</f>
        <v>0</v>
      </c>
      <c r="T1935" s="7" t="n">
        <f aca="false">IF(AND(F1935="Closed",I1935&lt;&gt;"",I1935&gt;='Exec Summary'!$E$1,I1935&lt;='Exec Summary'!$E$2),1,0)</f>
        <v>0</v>
      </c>
      <c r="U1935" s="7" t="n">
        <f aca="false">IF(F1935="Reopened",1,0)</f>
        <v>0</v>
      </c>
      <c r="V1935" s="7" t="n">
        <f aca="false">IF(AND(R1935=1,O1935&gt;Q1935),1,0)</f>
        <v>1</v>
      </c>
      <c r="W1935" s="7" t="n">
        <f aca="false">IF(AND(T1935=1,P1935&lt;&gt;"",P1935&lt;=Q1935),1,0)</f>
        <v>0</v>
      </c>
    </row>
    <row r="1936" customFormat="false" ht="15" hidden="false" customHeight="false" outlineLevel="0" collapsed="false">
      <c r="A1936" s="7" t="s">
        <v>2329</v>
      </c>
      <c r="B1936" s="7" t="s">
        <v>135</v>
      </c>
      <c r="C1936" s="7" t="s">
        <v>136</v>
      </c>
      <c r="D1936" s="7" t="s">
        <v>101</v>
      </c>
      <c r="E1936" s="7" t="s">
        <v>102</v>
      </c>
      <c r="F1936" s="7" t="s">
        <v>56</v>
      </c>
      <c r="G1936" s="7" t="s">
        <v>19</v>
      </c>
      <c r="H1936" s="9" t="n">
        <v>46087</v>
      </c>
      <c r="I1936" s="9"/>
      <c r="J1936" s="7" t="n">
        <v>10</v>
      </c>
      <c r="K1936" s="7" t="s">
        <v>2260</v>
      </c>
      <c r="L1936" s="7" t="s">
        <v>20</v>
      </c>
      <c r="M1936" s="7" t="s">
        <v>2331</v>
      </c>
      <c r="N1936" s="7" t="s">
        <v>58</v>
      </c>
      <c r="O1936" s="10" t="n">
        <f aca="false">'Exec Summary'!$E$2-H1936</f>
        <v>147</v>
      </c>
      <c r="P1936" s="10" t="str">
        <f aca="false">IF(I1936="","",I1936-H1936)</f>
        <v/>
      </c>
      <c r="Q1936" s="10" t="n">
        <f aca="false">VLOOKUP(G1936,$AA$2:$AB$5,2,FALSE())</f>
        <v>15</v>
      </c>
      <c r="R1936" s="7" t="n">
        <f aca="false">IF(OR(F1936="Open",F1936="Reopened"),1,0)</f>
        <v>1</v>
      </c>
      <c r="S1936" s="7" t="n">
        <f aca="false">IF(AND(H1936&gt;='Exec Summary'!$E$1,H1936&lt;='Exec Summary'!$E$2),1,0)</f>
        <v>0</v>
      </c>
      <c r="T1936" s="7" t="n">
        <f aca="false">IF(AND(F1936="Closed",I1936&lt;&gt;"",I1936&gt;='Exec Summary'!$E$1,I1936&lt;='Exec Summary'!$E$2),1,0)</f>
        <v>0</v>
      </c>
      <c r="U1936" s="7" t="n">
        <f aca="false">IF(F1936="Reopened",1,0)</f>
        <v>0</v>
      </c>
      <c r="V1936" s="7" t="n">
        <f aca="false">IF(AND(R1936=1,O1936&gt;Q1936),1,0)</f>
        <v>1</v>
      </c>
      <c r="W1936" s="7" t="n">
        <f aca="false">IF(AND(T1936=1,P1936&lt;&gt;"",P1936&lt;=Q1936),1,0)</f>
        <v>0</v>
      </c>
    </row>
    <row r="1937" customFormat="false" ht="15" hidden="false" customHeight="false" outlineLevel="0" collapsed="false">
      <c r="A1937" s="7" t="s">
        <v>2332</v>
      </c>
      <c r="B1937" s="7" t="s">
        <v>135</v>
      </c>
      <c r="C1937" s="7" t="s">
        <v>306</v>
      </c>
      <c r="D1937" s="7" t="s">
        <v>48</v>
      </c>
      <c r="E1937" s="7" t="s">
        <v>49</v>
      </c>
      <c r="F1937" s="7" t="s">
        <v>56</v>
      </c>
      <c r="G1937" s="7" t="s">
        <v>20</v>
      </c>
      <c r="H1937" s="9" t="n">
        <v>46156</v>
      </c>
      <c r="I1937" s="9"/>
      <c r="J1937" s="7" t="n">
        <v>7.5</v>
      </c>
      <c r="K1937" s="7" t="s">
        <v>2260</v>
      </c>
      <c r="L1937" s="7" t="s">
        <v>20</v>
      </c>
      <c r="M1937" s="7" t="s">
        <v>2333</v>
      </c>
      <c r="N1937" s="7" t="s">
        <v>53</v>
      </c>
      <c r="O1937" s="10" t="n">
        <f aca="false">'Exec Summary'!$E$2-H1937</f>
        <v>78</v>
      </c>
      <c r="P1937" s="10" t="str">
        <f aca="false">IF(I1937="","",I1937-H1937)</f>
        <v/>
      </c>
      <c r="Q1937" s="10" t="n">
        <f aca="false">VLOOKUP(G1937,$AA$2:$AB$5,2,FALSE())</f>
        <v>30</v>
      </c>
      <c r="R1937" s="7" t="n">
        <f aca="false">IF(OR(F1937="Open",F1937="Reopened"),1,0)</f>
        <v>1</v>
      </c>
      <c r="S1937" s="7" t="n">
        <f aca="false">IF(AND(H1937&gt;='Exec Summary'!$E$1,H1937&lt;='Exec Summary'!$E$2),1,0)</f>
        <v>0</v>
      </c>
      <c r="T1937" s="7" t="n">
        <f aca="false">IF(AND(F1937="Closed",I1937&lt;&gt;"",I1937&gt;='Exec Summary'!$E$1,I1937&lt;='Exec Summary'!$E$2),1,0)</f>
        <v>0</v>
      </c>
      <c r="U1937" s="7" t="n">
        <f aca="false">IF(F1937="Reopened",1,0)</f>
        <v>0</v>
      </c>
      <c r="V1937" s="7" t="n">
        <f aca="false">IF(AND(R1937=1,O1937&gt;Q1937),1,0)</f>
        <v>1</v>
      </c>
      <c r="W1937" s="7" t="n">
        <f aca="false">IF(AND(T1937=1,P1937&lt;&gt;"",P1937&lt;=Q1937),1,0)</f>
        <v>0</v>
      </c>
    </row>
    <row r="1938" customFormat="false" ht="15" hidden="false" customHeight="false" outlineLevel="0" collapsed="false">
      <c r="A1938" s="7" t="s">
        <v>2332</v>
      </c>
      <c r="B1938" s="7" t="s">
        <v>135</v>
      </c>
      <c r="C1938" s="7" t="s">
        <v>306</v>
      </c>
      <c r="D1938" s="7" t="s">
        <v>108</v>
      </c>
      <c r="E1938" s="7" t="s">
        <v>109</v>
      </c>
      <c r="F1938" s="7" t="s">
        <v>50</v>
      </c>
      <c r="G1938" s="7" t="s">
        <v>20</v>
      </c>
      <c r="H1938" s="9" t="n">
        <v>45975</v>
      </c>
      <c r="I1938" s="9" t="n">
        <v>46007</v>
      </c>
      <c r="J1938" s="7" t="n">
        <v>8.6</v>
      </c>
      <c r="K1938" s="7" t="s">
        <v>2260</v>
      </c>
      <c r="L1938" s="7" t="s">
        <v>20</v>
      </c>
      <c r="M1938" s="7" t="s">
        <v>2334</v>
      </c>
      <c r="N1938" s="7" t="s">
        <v>53</v>
      </c>
      <c r="O1938" s="10" t="n">
        <f aca="false">'Exec Summary'!$E$2-H1938</f>
        <v>259</v>
      </c>
      <c r="P1938" s="10" t="n">
        <f aca="false">IF(I1938="","",I1938-H1938)</f>
        <v>32</v>
      </c>
      <c r="Q1938" s="10" t="n">
        <f aca="false">VLOOKUP(G1938,$AA$2:$AB$5,2,FALSE())</f>
        <v>30</v>
      </c>
      <c r="R1938" s="7" t="n">
        <f aca="false">IF(OR(F1938="Open",F1938="Reopened"),1,0)</f>
        <v>0</v>
      </c>
      <c r="S1938" s="7" t="n">
        <f aca="false">IF(AND(H1938&gt;='Exec Summary'!$E$1,H1938&lt;='Exec Summary'!$E$2),1,0)</f>
        <v>0</v>
      </c>
      <c r="T1938" s="7" t="n">
        <f aca="false">IF(AND(F1938="Closed",I1938&lt;&gt;"",I1938&gt;='Exec Summary'!$E$1,I1938&lt;='Exec Summary'!$E$2),1,0)</f>
        <v>0</v>
      </c>
      <c r="U1938" s="7" t="n">
        <f aca="false">IF(F1938="Reopened",1,0)</f>
        <v>0</v>
      </c>
      <c r="V1938" s="7" t="n">
        <f aca="false">IF(AND(R1938=1,O1938&gt;Q1938),1,0)</f>
        <v>0</v>
      </c>
      <c r="W1938" s="7" t="n">
        <f aca="false">IF(AND(T1938=1,P1938&lt;&gt;"",P1938&lt;=Q1938),1,0)</f>
        <v>0</v>
      </c>
    </row>
    <row r="1939" customFormat="false" ht="15" hidden="false" customHeight="false" outlineLevel="0" collapsed="false">
      <c r="A1939" s="7" t="s">
        <v>2332</v>
      </c>
      <c r="B1939" s="7" t="s">
        <v>135</v>
      </c>
      <c r="C1939" s="7" t="s">
        <v>306</v>
      </c>
      <c r="D1939" s="7" t="s">
        <v>145</v>
      </c>
      <c r="E1939" s="7" t="s">
        <v>146</v>
      </c>
      <c r="F1939" s="7" t="s">
        <v>123</v>
      </c>
      <c r="G1939" s="7" t="s">
        <v>19</v>
      </c>
      <c r="H1939" s="9" t="n">
        <v>46209</v>
      </c>
      <c r="I1939" s="9" t="n">
        <v>46226</v>
      </c>
      <c r="J1939" s="7" t="n">
        <v>9.8</v>
      </c>
      <c r="K1939" s="7" t="s">
        <v>2260</v>
      </c>
      <c r="L1939" s="7" t="s">
        <v>20</v>
      </c>
      <c r="M1939" s="7" t="s">
        <v>2335</v>
      </c>
      <c r="N1939" s="7" t="s">
        <v>58</v>
      </c>
      <c r="O1939" s="10" t="n">
        <f aca="false">'Exec Summary'!$E$2-H1939</f>
        <v>25</v>
      </c>
      <c r="P1939" s="10" t="n">
        <f aca="false">IF(I1939="","",I1939-H1939)</f>
        <v>17</v>
      </c>
      <c r="Q1939" s="10" t="n">
        <f aca="false">VLOOKUP(G1939,$AA$2:$AB$5,2,FALSE())</f>
        <v>15</v>
      </c>
      <c r="R1939" s="7" t="n">
        <f aca="false">IF(OR(F1939="Open",F1939="Reopened"),1,0)</f>
        <v>1</v>
      </c>
      <c r="S1939" s="7" t="n">
        <f aca="false">IF(AND(H1939&gt;='Exec Summary'!$E$1,H1939&lt;='Exec Summary'!$E$2),1,0)</f>
        <v>1</v>
      </c>
      <c r="T1939" s="7" t="n">
        <f aca="false">IF(AND(F1939="Closed",I1939&lt;&gt;"",I1939&gt;='Exec Summary'!$E$1,I1939&lt;='Exec Summary'!$E$2),1,0)</f>
        <v>0</v>
      </c>
      <c r="U1939" s="7" t="n">
        <f aca="false">IF(F1939="Reopened",1,0)</f>
        <v>1</v>
      </c>
      <c r="V1939" s="7" t="n">
        <f aca="false">IF(AND(R1939=1,O1939&gt;Q1939),1,0)</f>
        <v>1</v>
      </c>
      <c r="W1939" s="7" t="n">
        <f aca="false">IF(AND(T1939=1,P1939&lt;&gt;"",P1939&lt;=Q1939),1,0)</f>
        <v>0</v>
      </c>
    </row>
    <row r="1940" customFormat="false" ht="15" hidden="false" customHeight="false" outlineLevel="0" collapsed="false">
      <c r="A1940" s="7" t="s">
        <v>2332</v>
      </c>
      <c r="B1940" s="7" t="s">
        <v>135</v>
      </c>
      <c r="C1940" s="7" t="s">
        <v>306</v>
      </c>
      <c r="D1940" s="7" t="s">
        <v>210</v>
      </c>
      <c r="E1940" s="7" t="s">
        <v>211</v>
      </c>
      <c r="F1940" s="7" t="s">
        <v>56</v>
      </c>
      <c r="G1940" s="7" t="s">
        <v>19</v>
      </c>
      <c r="H1940" s="9" t="n">
        <v>46019</v>
      </c>
      <c r="I1940" s="9"/>
      <c r="J1940" s="7" t="n">
        <v>9.8</v>
      </c>
      <c r="K1940" s="7" t="s">
        <v>2260</v>
      </c>
      <c r="L1940" s="7" t="s">
        <v>20</v>
      </c>
      <c r="M1940" s="7" t="s">
        <v>2336</v>
      </c>
      <c r="N1940" s="7" t="s">
        <v>58</v>
      </c>
      <c r="O1940" s="10" t="n">
        <f aca="false">'Exec Summary'!$E$2-H1940</f>
        <v>215</v>
      </c>
      <c r="P1940" s="10" t="str">
        <f aca="false">IF(I1940="","",I1940-H1940)</f>
        <v/>
      </c>
      <c r="Q1940" s="10" t="n">
        <f aca="false">VLOOKUP(G1940,$AA$2:$AB$5,2,FALSE())</f>
        <v>15</v>
      </c>
      <c r="R1940" s="7" t="n">
        <f aca="false">IF(OR(F1940="Open",F1940="Reopened"),1,0)</f>
        <v>1</v>
      </c>
      <c r="S1940" s="7" t="n">
        <f aca="false">IF(AND(H1940&gt;='Exec Summary'!$E$1,H1940&lt;='Exec Summary'!$E$2),1,0)</f>
        <v>0</v>
      </c>
      <c r="T1940" s="7" t="n">
        <f aca="false">IF(AND(F1940="Closed",I1940&lt;&gt;"",I1940&gt;='Exec Summary'!$E$1,I1940&lt;='Exec Summary'!$E$2),1,0)</f>
        <v>0</v>
      </c>
      <c r="U1940" s="7" t="n">
        <f aca="false">IF(F1940="Reopened",1,0)</f>
        <v>0</v>
      </c>
      <c r="V1940" s="7" t="n">
        <f aca="false">IF(AND(R1940=1,O1940&gt;Q1940),1,0)</f>
        <v>1</v>
      </c>
      <c r="W1940" s="7" t="n">
        <f aca="false">IF(AND(T1940=1,P1940&lt;&gt;"",P1940&lt;=Q1940),1,0)</f>
        <v>0</v>
      </c>
    </row>
    <row r="1941" customFormat="false" ht="15" hidden="false" customHeight="false" outlineLevel="0" collapsed="false">
      <c r="A1941" s="7" t="s">
        <v>2332</v>
      </c>
      <c r="B1941" s="7" t="s">
        <v>135</v>
      </c>
      <c r="C1941" s="7" t="s">
        <v>306</v>
      </c>
      <c r="D1941" s="7" t="s">
        <v>131</v>
      </c>
      <c r="E1941" s="7" t="s">
        <v>132</v>
      </c>
      <c r="F1941" s="7" t="s">
        <v>50</v>
      </c>
      <c r="G1941" s="7" t="s">
        <v>19</v>
      </c>
      <c r="H1941" s="9" t="n">
        <v>46173</v>
      </c>
      <c r="I1941" s="9" t="n">
        <v>46182</v>
      </c>
      <c r="J1941" s="7" t="n">
        <v>9.8</v>
      </c>
      <c r="K1941" s="7" t="s">
        <v>2260</v>
      </c>
      <c r="L1941" s="7" t="s">
        <v>20</v>
      </c>
      <c r="M1941" s="7" t="s">
        <v>2337</v>
      </c>
      <c r="N1941" s="7" t="s">
        <v>58</v>
      </c>
      <c r="O1941" s="10" t="n">
        <f aca="false">'Exec Summary'!$E$2-H1941</f>
        <v>61</v>
      </c>
      <c r="P1941" s="10" t="n">
        <f aca="false">IF(I1941="","",I1941-H1941)</f>
        <v>9</v>
      </c>
      <c r="Q1941" s="10" t="n">
        <f aca="false">VLOOKUP(G1941,$AA$2:$AB$5,2,FALSE())</f>
        <v>15</v>
      </c>
      <c r="R1941" s="7" t="n">
        <f aca="false">IF(OR(F1941="Open",F1941="Reopened"),1,0)</f>
        <v>0</v>
      </c>
      <c r="S1941" s="7" t="n">
        <f aca="false">IF(AND(H1941&gt;='Exec Summary'!$E$1,H1941&lt;='Exec Summary'!$E$2),1,0)</f>
        <v>0</v>
      </c>
      <c r="T1941" s="7" t="n">
        <f aca="false">IF(AND(F1941="Closed",I1941&lt;&gt;"",I1941&gt;='Exec Summary'!$E$1,I1941&lt;='Exec Summary'!$E$2),1,0)</f>
        <v>0</v>
      </c>
      <c r="U1941" s="7" t="n">
        <f aca="false">IF(F1941="Reopened",1,0)</f>
        <v>0</v>
      </c>
      <c r="V1941" s="7" t="n">
        <f aca="false">IF(AND(R1941=1,O1941&gt;Q1941),1,0)</f>
        <v>0</v>
      </c>
      <c r="W1941" s="7" t="n">
        <f aca="false">IF(AND(T1941=1,P1941&lt;&gt;"",P1941&lt;=Q1941),1,0)</f>
        <v>0</v>
      </c>
    </row>
    <row r="1942" customFormat="false" ht="15" hidden="false" customHeight="false" outlineLevel="0" collapsed="false">
      <c r="A1942" s="7" t="s">
        <v>2332</v>
      </c>
      <c r="B1942" s="7" t="s">
        <v>135</v>
      </c>
      <c r="C1942" s="7" t="s">
        <v>306</v>
      </c>
      <c r="D1942" s="7" t="s">
        <v>84</v>
      </c>
      <c r="E1942" s="7" t="s">
        <v>85</v>
      </c>
      <c r="F1942" s="7" t="s">
        <v>56</v>
      </c>
      <c r="G1942" s="7" t="s">
        <v>20</v>
      </c>
      <c r="H1942" s="9" t="n">
        <v>46220</v>
      </c>
      <c r="I1942" s="9"/>
      <c r="J1942" s="7" t="n">
        <v>7.5</v>
      </c>
      <c r="K1942" s="7" t="s">
        <v>2260</v>
      </c>
      <c r="L1942" s="7" t="s">
        <v>20</v>
      </c>
      <c r="M1942" s="7" t="s">
        <v>2338</v>
      </c>
      <c r="N1942" s="7" t="s">
        <v>53</v>
      </c>
      <c r="O1942" s="10" t="n">
        <f aca="false">'Exec Summary'!$E$2-H1942</f>
        <v>14</v>
      </c>
      <c r="P1942" s="10" t="str">
        <f aca="false">IF(I1942="","",I1942-H1942)</f>
        <v/>
      </c>
      <c r="Q1942" s="10" t="n">
        <f aca="false">VLOOKUP(G1942,$AA$2:$AB$5,2,FALSE())</f>
        <v>30</v>
      </c>
      <c r="R1942" s="7" t="n">
        <f aca="false">IF(OR(F1942="Open",F1942="Reopened"),1,0)</f>
        <v>1</v>
      </c>
      <c r="S1942" s="7" t="n">
        <f aca="false">IF(AND(H1942&gt;='Exec Summary'!$E$1,H1942&lt;='Exec Summary'!$E$2),1,0)</f>
        <v>1</v>
      </c>
      <c r="T1942" s="7" t="n">
        <f aca="false">IF(AND(F1942="Closed",I1942&lt;&gt;"",I1942&gt;='Exec Summary'!$E$1,I1942&lt;='Exec Summary'!$E$2),1,0)</f>
        <v>0</v>
      </c>
      <c r="U1942" s="7" t="n">
        <f aca="false">IF(F1942="Reopened",1,0)</f>
        <v>0</v>
      </c>
      <c r="V1942" s="7" t="n">
        <f aca="false">IF(AND(R1942=1,O1942&gt;Q1942),1,0)</f>
        <v>0</v>
      </c>
      <c r="W1942" s="7" t="n">
        <f aca="false">IF(AND(T1942=1,P1942&lt;&gt;"",P1942&lt;=Q1942),1,0)</f>
        <v>0</v>
      </c>
    </row>
    <row r="1943" customFormat="false" ht="15" hidden="false" customHeight="false" outlineLevel="0" collapsed="false">
      <c r="A1943" s="7" t="s">
        <v>2332</v>
      </c>
      <c r="B1943" s="7" t="s">
        <v>135</v>
      </c>
      <c r="C1943" s="7" t="s">
        <v>306</v>
      </c>
      <c r="D1943" s="7" t="s">
        <v>74</v>
      </c>
      <c r="E1943" s="7" t="s">
        <v>75</v>
      </c>
      <c r="F1943" s="7" t="s">
        <v>50</v>
      </c>
      <c r="G1943" s="7" t="s">
        <v>21</v>
      </c>
      <c r="H1943" s="9" t="n">
        <v>46040</v>
      </c>
      <c r="I1943" s="9" t="n">
        <v>46111</v>
      </c>
      <c r="J1943" s="7" t="n">
        <v>6.5</v>
      </c>
      <c r="K1943" s="7" t="s">
        <v>2260</v>
      </c>
      <c r="L1943" s="7" t="s">
        <v>20</v>
      </c>
      <c r="M1943" s="7" t="s">
        <v>2339</v>
      </c>
      <c r="N1943" s="7" t="s">
        <v>77</v>
      </c>
      <c r="O1943" s="10" t="n">
        <f aca="false">'Exec Summary'!$E$2-H1943</f>
        <v>194</v>
      </c>
      <c r="P1943" s="10" t="n">
        <f aca="false">IF(I1943="","",I1943-H1943)</f>
        <v>71</v>
      </c>
      <c r="Q1943" s="10" t="n">
        <f aca="false">VLOOKUP(G1943,$AA$2:$AB$5,2,FALSE())</f>
        <v>90</v>
      </c>
      <c r="R1943" s="7" t="n">
        <f aca="false">IF(OR(F1943="Open",F1943="Reopened"),1,0)</f>
        <v>0</v>
      </c>
      <c r="S1943" s="7" t="n">
        <f aca="false">IF(AND(H1943&gt;='Exec Summary'!$E$1,H1943&lt;='Exec Summary'!$E$2),1,0)</f>
        <v>0</v>
      </c>
      <c r="T1943" s="7" t="n">
        <f aca="false">IF(AND(F1943="Closed",I1943&lt;&gt;"",I1943&gt;='Exec Summary'!$E$1,I1943&lt;='Exec Summary'!$E$2),1,0)</f>
        <v>0</v>
      </c>
      <c r="U1943" s="7" t="n">
        <f aca="false">IF(F1943="Reopened",1,0)</f>
        <v>0</v>
      </c>
      <c r="V1943" s="7" t="n">
        <f aca="false">IF(AND(R1943=1,O1943&gt;Q1943),1,0)</f>
        <v>0</v>
      </c>
      <c r="W1943" s="7" t="n">
        <f aca="false">IF(AND(T1943=1,P1943&lt;&gt;"",P1943&lt;=Q1943),1,0)</f>
        <v>0</v>
      </c>
    </row>
    <row r="1944" customFormat="false" ht="15" hidden="false" customHeight="false" outlineLevel="0" collapsed="false">
      <c r="A1944" s="7" t="s">
        <v>2332</v>
      </c>
      <c r="B1944" s="7" t="s">
        <v>135</v>
      </c>
      <c r="C1944" s="7" t="s">
        <v>306</v>
      </c>
      <c r="D1944" s="7" t="s">
        <v>98</v>
      </c>
      <c r="E1944" s="7" t="s">
        <v>99</v>
      </c>
      <c r="F1944" s="7" t="s">
        <v>123</v>
      </c>
      <c r="G1944" s="7" t="s">
        <v>19</v>
      </c>
      <c r="H1944" s="9" t="n">
        <v>46192</v>
      </c>
      <c r="I1944" s="9" t="n">
        <v>46200</v>
      </c>
      <c r="J1944" s="7" t="n">
        <v>10</v>
      </c>
      <c r="K1944" s="7" t="s">
        <v>2260</v>
      </c>
      <c r="L1944" s="7" t="s">
        <v>20</v>
      </c>
      <c r="M1944" s="7" t="s">
        <v>2340</v>
      </c>
      <c r="N1944" s="7" t="s">
        <v>58</v>
      </c>
      <c r="O1944" s="10" t="n">
        <f aca="false">'Exec Summary'!$E$2-H1944</f>
        <v>42</v>
      </c>
      <c r="P1944" s="10" t="n">
        <f aca="false">IF(I1944="","",I1944-H1944)</f>
        <v>8</v>
      </c>
      <c r="Q1944" s="10" t="n">
        <f aca="false">VLOOKUP(G1944,$AA$2:$AB$5,2,FALSE())</f>
        <v>15</v>
      </c>
      <c r="R1944" s="7" t="n">
        <f aca="false">IF(OR(F1944="Open",F1944="Reopened"),1,0)</f>
        <v>1</v>
      </c>
      <c r="S1944" s="7" t="n">
        <f aca="false">IF(AND(H1944&gt;='Exec Summary'!$E$1,H1944&lt;='Exec Summary'!$E$2),1,0)</f>
        <v>0</v>
      </c>
      <c r="T1944" s="7" t="n">
        <f aca="false">IF(AND(F1944="Closed",I1944&lt;&gt;"",I1944&gt;='Exec Summary'!$E$1,I1944&lt;='Exec Summary'!$E$2),1,0)</f>
        <v>0</v>
      </c>
      <c r="U1944" s="7" t="n">
        <f aca="false">IF(F1944="Reopened",1,0)</f>
        <v>1</v>
      </c>
      <c r="V1944" s="7" t="n">
        <f aca="false">IF(AND(R1944=1,O1944&gt;Q1944),1,0)</f>
        <v>1</v>
      </c>
      <c r="W1944" s="7" t="n">
        <f aca="false">IF(AND(T1944=1,P1944&lt;&gt;"",P1944&lt;=Q1944),1,0)</f>
        <v>0</v>
      </c>
    </row>
    <row r="1945" customFormat="false" ht="15" hidden="false" customHeight="false" outlineLevel="0" collapsed="false">
      <c r="A1945" s="7" t="s">
        <v>2332</v>
      </c>
      <c r="B1945" s="7" t="s">
        <v>135</v>
      </c>
      <c r="C1945" s="7" t="s">
        <v>306</v>
      </c>
      <c r="D1945" s="7" t="s">
        <v>104</v>
      </c>
      <c r="E1945" s="7" t="s">
        <v>105</v>
      </c>
      <c r="F1945" s="7" t="s">
        <v>56</v>
      </c>
      <c r="G1945" s="7" t="s">
        <v>19</v>
      </c>
      <c r="H1945" s="9" t="n">
        <v>45940</v>
      </c>
      <c r="I1945" s="9"/>
      <c r="J1945" s="7" t="n">
        <v>9.8</v>
      </c>
      <c r="K1945" s="7" t="s">
        <v>2260</v>
      </c>
      <c r="L1945" s="7" t="s">
        <v>20</v>
      </c>
      <c r="M1945" s="7" t="s">
        <v>2341</v>
      </c>
      <c r="N1945" s="7" t="s">
        <v>58</v>
      </c>
      <c r="O1945" s="10" t="n">
        <f aca="false">'Exec Summary'!$E$2-H1945</f>
        <v>294</v>
      </c>
      <c r="P1945" s="10" t="str">
        <f aca="false">IF(I1945="","",I1945-H1945)</f>
        <v/>
      </c>
      <c r="Q1945" s="10" t="n">
        <f aca="false">VLOOKUP(G1945,$AA$2:$AB$5,2,FALSE())</f>
        <v>15</v>
      </c>
      <c r="R1945" s="7" t="n">
        <f aca="false">IF(OR(F1945="Open",F1945="Reopened"),1,0)</f>
        <v>1</v>
      </c>
      <c r="S1945" s="7" t="n">
        <f aca="false">IF(AND(H1945&gt;='Exec Summary'!$E$1,H1945&lt;='Exec Summary'!$E$2),1,0)</f>
        <v>0</v>
      </c>
      <c r="T1945" s="7" t="n">
        <f aca="false">IF(AND(F1945="Closed",I1945&lt;&gt;"",I1945&gt;='Exec Summary'!$E$1,I1945&lt;='Exec Summary'!$E$2),1,0)</f>
        <v>0</v>
      </c>
      <c r="U1945" s="7" t="n">
        <f aca="false">IF(F1945="Reopened",1,0)</f>
        <v>0</v>
      </c>
      <c r="V1945" s="7" t="n">
        <f aca="false">IF(AND(R1945=1,O1945&gt;Q1945),1,0)</f>
        <v>1</v>
      </c>
      <c r="W1945" s="7" t="n">
        <f aca="false">IF(AND(T1945=1,P1945&lt;&gt;"",P1945&lt;=Q1945),1,0)</f>
        <v>0</v>
      </c>
    </row>
    <row r="1946" customFormat="false" ht="15" hidden="false" customHeight="false" outlineLevel="0" collapsed="false">
      <c r="A1946" s="7" t="s">
        <v>2332</v>
      </c>
      <c r="B1946" s="7" t="s">
        <v>135</v>
      </c>
      <c r="C1946" s="7" t="s">
        <v>306</v>
      </c>
      <c r="D1946" s="7" t="s">
        <v>101</v>
      </c>
      <c r="E1946" s="7" t="s">
        <v>102</v>
      </c>
      <c r="F1946" s="7" t="s">
        <v>50</v>
      </c>
      <c r="G1946" s="7" t="s">
        <v>19</v>
      </c>
      <c r="H1946" s="9" t="n">
        <v>46033</v>
      </c>
      <c r="I1946" s="9" t="n">
        <v>46035</v>
      </c>
      <c r="J1946" s="7" t="n">
        <v>10</v>
      </c>
      <c r="K1946" s="7" t="s">
        <v>2260</v>
      </c>
      <c r="L1946" s="7" t="s">
        <v>20</v>
      </c>
      <c r="M1946" s="7" t="s">
        <v>2342</v>
      </c>
      <c r="N1946" s="7" t="s">
        <v>58</v>
      </c>
      <c r="O1946" s="10" t="n">
        <f aca="false">'Exec Summary'!$E$2-H1946</f>
        <v>201</v>
      </c>
      <c r="P1946" s="10" t="n">
        <f aca="false">IF(I1946="","",I1946-H1946)</f>
        <v>2</v>
      </c>
      <c r="Q1946" s="10" t="n">
        <f aca="false">VLOOKUP(G1946,$AA$2:$AB$5,2,FALSE())</f>
        <v>15</v>
      </c>
      <c r="R1946" s="7" t="n">
        <f aca="false">IF(OR(F1946="Open",F1946="Reopened"),1,0)</f>
        <v>0</v>
      </c>
      <c r="S1946" s="7" t="n">
        <f aca="false">IF(AND(H1946&gt;='Exec Summary'!$E$1,H1946&lt;='Exec Summary'!$E$2),1,0)</f>
        <v>0</v>
      </c>
      <c r="T1946" s="7" t="n">
        <f aca="false">IF(AND(F1946="Closed",I1946&lt;&gt;"",I1946&gt;='Exec Summary'!$E$1,I1946&lt;='Exec Summary'!$E$2),1,0)</f>
        <v>0</v>
      </c>
      <c r="U1946" s="7" t="n">
        <f aca="false">IF(F1946="Reopened",1,0)</f>
        <v>0</v>
      </c>
      <c r="V1946" s="7" t="n">
        <f aca="false">IF(AND(R1946=1,O1946&gt;Q1946),1,0)</f>
        <v>0</v>
      </c>
      <c r="W1946" s="7" t="n">
        <f aca="false">IF(AND(T1946=1,P1946&lt;&gt;"",P1946&lt;=Q1946),1,0)</f>
        <v>0</v>
      </c>
    </row>
    <row r="1947" customFormat="false" ht="15" hidden="false" customHeight="false" outlineLevel="0" collapsed="false">
      <c r="A1947" s="7" t="s">
        <v>2332</v>
      </c>
      <c r="B1947" s="7" t="s">
        <v>135</v>
      </c>
      <c r="C1947" s="7" t="s">
        <v>306</v>
      </c>
      <c r="D1947" s="7" t="s">
        <v>173</v>
      </c>
      <c r="E1947" s="7" t="s">
        <v>174</v>
      </c>
      <c r="F1947" s="7" t="s">
        <v>50</v>
      </c>
      <c r="G1947" s="7" t="s">
        <v>19</v>
      </c>
      <c r="H1947" s="9" t="n">
        <v>45974</v>
      </c>
      <c r="I1947" s="9" t="n">
        <v>45992</v>
      </c>
      <c r="J1947" s="7" t="n">
        <v>9.8</v>
      </c>
      <c r="K1947" s="7" t="s">
        <v>2260</v>
      </c>
      <c r="L1947" s="7" t="s">
        <v>20</v>
      </c>
      <c r="M1947" s="7" t="s">
        <v>2343</v>
      </c>
      <c r="N1947" s="7" t="s">
        <v>58</v>
      </c>
      <c r="O1947" s="10" t="n">
        <f aca="false">'Exec Summary'!$E$2-H1947</f>
        <v>260</v>
      </c>
      <c r="P1947" s="10" t="n">
        <f aca="false">IF(I1947="","",I1947-H1947)</f>
        <v>18</v>
      </c>
      <c r="Q1947" s="10" t="n">
        <f aca="false">VLOOKUP(G1947,$AA$2:$AB$5,2,FALSE())</f>
        <v>15</v>
      </c>
      <c r="R1947" s="7" t="n">
        <f aca="false">IF(OR(F1947="Open",F1947="Reopened"),1,0)</f>
        <v>0</v>
      </c>
      <c r="S1947" s="7" t="n">
        <f aca="false">IF(AND(H1947&gt;='Exec Summary'!$E$1,H1947&lt;='Exec Summary'!$E$2),1,0)</f>
        <v>0</v>
      </c>
      <c r="T1947" s="7" t="n">
        <f aca="false">IF(AND(F1947="Closed",I1947&lt;&gt;"",I1947&gt;='Exec Summary'!$E$1,I1947&lt;='Exec Summary'!$E$2),1,0)</f>
        <v>0</v>
      </c>
      <c r="U1947" s="7" t="n">
        <f aca="false">IF(F1947="Reopened",1,0)</f>
        <v>0</v>
      </c>
      <c r="V1947" s="7" t="n">
        <f aca="false">IF(AND(R1947=1,O1947&gt;Q1947),1,0)</f>
        <v>0</v>
      </c>
      <c r="W1947" s="7" t="n">
        <f aca="false">IF(AND(T1947=1,P1947&lt;&gt;"",P1947&lt;=Q1947),1,0)</f>
        <v>0</v>
      </c>
    </row>
    <row r="1948" customFormat="false" ht="15" hidden="false" customHeight="false" outlineLevel="0" collapsed="false">
      <c r="A1948" s="7" t="s">
        <v>2332</v>
      </c>
      <c r="B1948" s="7" t="s">
        <v>135</v>
      </c>
      <c r="C1948" s="7" t="s">
        <v>306</v>
      </c>
      <c r="D1948" s="7" t="s">
        <v>59</v>
      </c>
      <c r="E1948" s="7" t="s">
        <v>60</v>
      </c>
      <c r="F1948" s="7" t="s">
        <v>56</v>
      </c>
      <c r="G1948" s="7" t="s">
        <v>19</v>
      </c>
      <c r="H1948" s="9" t="n">
        <v>45998</v>
      </c>
      <c r="I1948" s="9"/>
      <c r="J1948" s="7" t="n">
        <v>7.8</v>
      </c>
      <c r="K1948" s="7" t="s">
        <v>2260</v>
      </c>
      <c r="L1948" s="7" t="s">
        <v>20</v>
      </c>
      <c r="M1948" s="7" t="s">
        <v>2344</v>
      </c>
      <c r="N1948" s="7" t="s">
        <v>58</v>
      </c>
      <c r="O1948" s="10" t="n">
        <f aca="false">'Exec Summary'!$E$2-H1948</f>
        <v>236</v>
      </c>
      <c r="P1948" s="10" t="str">
        <f aca="false">IF(I1948="","",I1948-H1948)</f>
        <v/>
      </c>
      <c r="Q1948" s="10" t="n">
        <f aca="false">VLOOKUP(G1948,$AA$2:$AB$5,2,FALSE())</f>
        <v>15</v>
      </c>
      <c r="R1948" s="7" t="n">
        <f aca="false">IF(OR(F1948="Open",F1948="Reopened"),1,0)</f>
        <v>1</v>
      </c>
      <c r="S1948" s="7" t="n">
        <f aca="false">IF(AND(H1948&gt;='Exec Summary'!$E$1,H1948&lt;='Exec Summary'!$E$2),1,0)</f>
        <v>0</v>
      </c>
      <c r="T1948" s="7" t="n">
        <f aca="false">IF(AND(F1948="Closed",I1948&lt;&gt;"",I1948&gt;='Exec Summary'!$E$1,I1948&lt;='Exec Summary'!$E$2),1,0)</f>
        <v>0</v>
      </c>
      <c r="U1948" s="7" t="n">
        <f aca="false">IF(F1948="Reopened",1,0)</f>
        <v>0</v>
      </c>
      <c r="V1948" s="7" t="n">
        <f aca="false">IF(AND(R1948=1,O1948&gt;Q1948),1,0)</f>
        <v>1</v>
      </c>
      <c r="W1948" s="7" t="n">
        <f aca="false">IF(AND(T1948=1,P1948&lt;&gt;"",P1948&lt;=Q1948),1,0)</f>
        <v>0</v>
      </c>
    </row>
    <row r="1949" customFormat="false" ht="15" hidden="false" customHeight="false" outlineLevel="0" collapsed="false">
      <c r="A1949" s="7" t="s">
        <v>2332</v>
      </c>
      <c r="B1949" s="7" t="s">
        <v>135</v>
      </c>
      <c r="C1949" s="7" t="s">
        <v>306</v>
      </c>
      <c r="D1949" s="7" t="s">
        <v>71</v>
      </c>
      <c r="E1949" s="7" t="s">
        <v>72</v>
      </c>
      <c r="F1949" s="7" t="s">
        <v>50</v>
      </c>
      <c r="G1949" s="7" t="s">
        <v>19</v>
      </c>
      <c r="H1949" s="9" t="n">
        <v>46091</v>
      </c>
      <c r="I1949" s="9" t="n">
        <v>46106</v>
      </c>
      <c r="J1949" s="7" t="n">
        <v>9.8</v>
      </c>
      <c r="K1949" s="7" t="s">
        <v>2260</v>
      </c>
      <c r="L1949" s="7" t="s">
        <v>20</v>
      </c>
      <c r="M1949" s="7" t="s">
        <v>2345</v>
      </c>
      <c r="N1949" s="7" t="s">
        <v>58</v>
      </c>
      <c r="O1949" s="10" t="n">
        <f aca="false">'Exec Summary'!$E$2-H1949</f>
        <v>143</v>
      </c>
      <c r="P1949" s="10" t="n">
        <f aca="false">IF(I1949="","",I1949-H1949)</f>
        <v>15</v>
      </c>
      <c r="Q1949" s="10" t="n">
        <f aca="false">VLOOKUP(G1949,$AA$2:$AB$5,2,FALSE())</f>
        <v>15</v>
      </c>
      <c r="R1949" s="7" t="n">
        <f aca="false">IF(OR(F1949="Open",F1949="Reopened"),1,0)</f>
        <v>0</v>
      </c>
      <c r="S1949" s="7" t="n">
        <f aca="false">IF(AND(H1949&gt;='Exec Summary'!$E$1,H1949&lt;='Exec Summary'!$E$2),1,0)</f>
        <v>0</v>
      </c>
      <c r="T1949" s="7" t="n">
        <f aca="false">IF(AND(F1949="Closed",I1949&lt;&gt;"",I1949&gt;='Exec Summary'!$E$1,I1949&lt;='Exec Summary'!$E$2),1,0)</f>
        <v>0</v>
      </c>
      <c r="U1949" s="7" t="n">
        <f aca="false">IF(F1949="Reopened",1,0)</f>
        <v>0</v>
      </c>
      <c r="V1949" s="7" t="n">
        <f aca="false">IF(AND(R1949=1,O1949&gt;Q1949),1,0)</f>
        <v>0</v>
      </c>
      <c r="W1949" s="7" t="n">
        <f aca="false">IF(AND(T1949=1,P1949&lt;&gt;"",P1949&lt;=Q1949),1,0)</f>
        <v>0</v>
      </c>
    </row>
    <row r="1950" customFormat="false" ht="15" hidden="false" customHeight="false" outlineLevel="0" collapsed="false">
      <c r="A1950" s="7" t="s">
        <v>2332</v>
      </c>
      <c r="B1950" s="7" t="s">
        <v>135</v>
      </c>
      <c r="C1950" s="7" t="s">
        <v>306</v>
      </c>
      <c r="D1950" s="7" t="s">
        <v>163</v>
      </c>
      <c r="E1950" s="7" t="s">
        <v>164</v>
      </c>
      <c r="F1950" s="7" t="s">
        <v>50</v>
      </c>
      <c r="G1950" s="7" t="s">
        <v>19</v>
      </c>
      <c r="H1950" s="9" t="n">
        <v>45955</v>
      </c>
      <c r="I1950" s="9" t="n">
        <v>45961</v>
      </c>
      <c r="J1950" s="7" t="n">
        <v>9.1</v>
      </c>
      <c r="K1950" s="7" t="s">
        <v>2260</v>
      </c>
      <c r="L1950" s="7" t="s">
        <v>20</v>
      </c>
      <c r="M1950" s="7" t="s">
        <v>2346</v>
      </c>
      <c r="N1950" s="7" t="s">
        <v>58</v>
      </c>
      <c r="O1950" s="10" t="n">
        <f aca="false">'Exec Summary'!$E$2-H1950</f>
        <v>279</v>
      </c>
      <c r="P1950" s="10" t="n">
        <f aca="false">IF(I1950="","",I1950-H1950)</f>
        <v>6</v>
      </c>
      <c r="Q1950" s="10" t="n">
        <f aca="false">VLOOKUP(G1950,$AA$2:$AB$5,2,FALSE())</f>
        <v>15</v>
      </c>
      <c r="R1950" s="7" t="n">
        <f aca="false">IF(OR(F1950="Open",F1950="Reopened"),1,0)</f>
        <v>0</v>
      </c>
      <c r="S1950" s="7" t="n">
        <f aca="false">IF(AND(H1950&gt;='Exec Summary'!$E$1,H1950&lt;='Exec Summary'!$E$2),1,0)</f>
        <v>0</v>
      </c>
      <c r="T1950" s="7" t="n">
        <f aca="false">IF(AND(F1950="Closed",I1950&lt;&gt;"",I1950&gt;='Exec Summary'!$E$1,I1950&lt;='Exec Summary'!$E$2),1,0)</f>
        <v>0</v>
      </c>
      <c r="U1950" s="7" t="n">
        <f aca="false">IF(F1950="Reopened",1,0)</f>
        <v>0</v>
      </c>
      <c r="V1950" s="7" t="n">
        <f aca="false">IF(AND(R1950=1,O1950&gt;Q1950),1,0)</f>
        <v>0</v>
      </c>
      <c r="W1950" s="7" t="n">
        <f aca="false">IF(AND(T1950=1,P1950&lt;&gt;"",P1950&lt;=Q1950),1,0)</f>
        <v>0</v>
      </c>
    </row>
    <row r="1951" customFormat="false" ht="15" hidden="false" customHeight="false" outlineLevel="0" collapsed="false">
      <c r="A1951" s="7" t="s">
        <v>2347</v>
      </c>
      <c r="B1951" s="7" t="s">
        <v>135</v>
      </c>
      <c r="C1951" s="7" t="s">
        <v>306</v>
      </c>
      <c r="D1951" s="7" t="s">
        <v>210</v>
      </c>
      <c r="E1951" s="7" t="s">
        <v>211</v>
      </c>
      <c r="F1951" s="7" t="s">
        <v>123</v>
      </c>
      <c r="G1951" s="7" t="s">
        <v>19</v>
      </c>
      <c r="H1951" s="9" t="n">
        <v>46003</v>
      </c>
      <c r="I1951" s="9" t="n">
        <v>46013</v>
      </c>
      <c r="J1951" s="7" t="n">
        <v>9.8</v>
      </c>
      <c r="K1951" s="7" t="s">
        <v>2260</v>
      </c>
      <c r="L1951" s="7" t="s">
        <v>19</v>
      </c>
      <c r="M1951" s="7" t="s">
        <v>2348</v>
      </c>
      <c r="N1951" s="7" t="s">
        <v>58</v>
      </c>
      <c r="O1951" s="10" t="n">
        <f aca="false">'Exec Summary'!$E$2-H1951</f>
        <v>231</v>
      </c>
      <c r="P1951" s="10" t="n">
        <f aca="false">IF(I1951="","",I1951-H1951)</f>
        <v>10</v>
      </c>
      <c r="Q1951" s="10" t="n">
        <f aca="false">VLOOKUP(G1951,$AA$2:$AB$5,2,FALSE())</f>
        <v>15</v>
      </c>
      <c r="R1951" s="7" t="n">
        <f aca="false">IF(OR(F1951="Open",F1951="Reopened"),1,0)</f>
        <v>1</v>
      </c>
      <c r="S1951" s="7" t="n">
        <f aca="false">IF(AND(H1951&gt;='Exec Summary'!$E$1,H1951&lt;='Exec Summary'!$E$2),1,0)</f>
        <v>0</v>
      </c>
      <c r="T1951" s="7" t="n">
        <f aca="false">IF(AND(F1951="Closed",I1951&lt;&gt;"",I1951&gt;='Exec Summary'!$E$1,I1951&lt;='Exec Summary'!$E$2),1,0)</f>
        <v>0</v>
      </c>
      <c r="U1951" s="7" t="n">
        <f aca="false">IF(F1951="Reopened",1,0)</f>
        <v>1</v>
      </c>
      <c r="V1951" s="7" t="n">
        <f aca="false">IF(AND(R1951=1,O1951&gt;Q1951),1,0)</f>
        <v>1</v>
      </c>
      <c r="W1951" s="7" t="n">
        <f aca="false">IF(AND(T1951=1,P1951&lt;&gt;"",P1951&lt;=Q1951),1,0)</f>
        <v>0</v>
      </c>
    </row>
    <row r="1952" customFormat="false" ht="15" hidden="false" customHeight="false" outlineLevel="0" collapsed="false">
      <c r="A1952" s="7" t="s">
        <v>2349</v>
      </c>
      <c r="B1952" s="7" t="s">
        <v>135</v>
      </c>
      <c r="C1952" s="7" t="s">
        <v>247</v>
      </c>
      <c r="D1952" s="7" t="s">
        <v>84</v>
      </c>
      <c r="E1952" s="7" t="s">
        <v>85</v>
      </c>
      <c r="F1952" s="7" t="s">
        <v>50</v>
      </c>
      <c r="G1952" s="7" t="s">
        <v>20</v>
      </c>
      <c r="H1952" s="9" t="n">
        <v>46224</v>
      </c>
      <c r="I1952" s="9" t="n">
        <v>46234</v>
      </c>
      <c r="J1952" s="7" t="n">
        <v>7.5</v>
      </c>
      <c r="K1952" s="7" t="s">
        <v>2260</v>
      </c>
      <c r="L1952" s="7" t="s">
        <v>20</v>
      </c>
      <c r="M1952" s="7" t="s">
        <v>2350</v>
      </c>
      <c r="N1952" s="7" t="s">
        <v>53</v>
      </c>
      <c r="O1952" s="10" t="n">
        <f aca="false">'Exec Summary'!$E$2-H1952</f>
        <v>10</v>
      </c>
      <c r="P1952" s="10" t="n">
        <f aca="false">IF(I1952="","",I1952-H1952)</f>
        <v>10</v>
      </c>
      <c r="Q1952" s="10" t="n">
        <f aca="false">VLOOKUP(G1952,$AA$2:$AB$5,2,FALSE())</f>
        <v>30</v>
      </c>
      <c r="R1952" s="7" t="n">
        <f aca="false">IF(OR(F1952="Open",F1952="Reopened"),1,0)</f>
        <v>0</v>
      </c>
      <c r="S1952" s="7" t="n">
        <f aca="false">IF(AND(H1952&gt;='Exec Summary'!$E$1,H1952&lt;='Exec Summary'!$E$2),1,0)</f>
        <v>1</v>
      </c>
      <c r="T1952" s="7" t="n">
        <f aca="false">IF(AND(F1952="Closed",I1952&lt;&gt;"",I1952&gt;='Exec Summary'!$E$1,I1952&lt;='Exec Summary'!$E$2),1,0)</f>
        <v>1</v>
      </c>
      <c r="U1952" s="7" t="n">
        <f aca="false">IF(F1952="Reopened",1,0)</f>
        <v>0</v>
      </c>
      <c r="V1952" s="7" t="n">
        <f aca="false">IF(AND(R1952=1,O1952&gt;Q1952),1,0)</f>
        <v>0</v>
      </c>
      <c r="W1952" s="7" t="n">
        <f aca="false">IF(AND(T1952=1,P1952&lt;&gt;"",P1952&lt;=Q1952),1,0)</f>
        <v>1</v>
      </c>
    </row>
    <row r="1953" customFormat="false" ht="15" hidden="false" customHeight="false" outlineLevel="0" collapsed="false">
      <c r="A1953" s="7" t="s">
        <v>2349</v>
      </c>
      <c r="B1953" s="7" t="s">
        <v>135</v>
      </c>
      <c r="C1953" s="7" t="s">
        <v>247</v>
      </c>
      <c r="D1953" s="7" t="s">
        <v>98</v>
      </c>
      <c r="E1953" s="7" t="s">
        <v>99</v>
      </c>
      <c r="F1953" s="7" t="s">
        <v>56</v>
      </c>
      <c r="G1953" s="7" t="s">
        <v>19</v>
      </c>
      <c r="H1953" s="9" t="n">
        <v>45937</v>
      </c>
      <c r="I1953" s="9"/>
      <c r="J1953" s="7" t="n">
        <v>10</v>
      </c>
      <c r="K1953" s="7" t="s">
        <v>2260</v>
      </c>
      <c r="L1953" s="7" t="s">
        <v>20</v>
      </c>
      <c r="M1953" s="7" t="s">
        <v>2351</v>
      </c>
      <c r="N1953" s="7" t="s">
        <v>58</v>
      </c>
      <c r="O1953" s="10" t="n">
        <f aca="false">'Exec Summary'!$E$2-H1953</f>
        <v>297</v>
      </c>
      <c r="P1953" s="10" t="str">
        <f aca="false">IF(I1953="","",I1953-H1953)</f>
        <v/>
      </c>
      <c r="Q1953" s="10" t="n">
        <f aca="false">VLOOKUP(G1953,$AA$2:$AB$5,2,FALSE())</f>
        <v>15</v>
      </c>
      <c r="R1953" s="7" t="n">
        <f aca="false">IF(OR(F1953="Open",F1953="Reopened"),1,0)</f>
        <v>1</v>
      </c>
      <c r="S1953" s="7" t="n">
        <f aca="false">IF(AND(H1953&gt;='Exec Summary'!$E$1,H1953&lt;='Exec Summary'!$E$2),1,0)</f>
        <v>0</v>
      </c>
      <c r="T1953" s="7" t="n">
        <f aca="false">IF(AND(F1953="Closed",I1953&lt;&gt;"",I1953&gt;='Exec Summary'!$E$1,I1953&lt;='Exec Summary'!$E$2),1,0)</f>
        <v>0</v>
      </c>
      <c r="U1953" s="7" t="n">
        <f aca="false">IF(F1953="Reopened",1,0)</f>
        <v>0</v>
      </c>
      <c r="V1953" s="7" t="n">
        <f aca="false">IF(AND(R1953=1,O1953&gt;Q1953),1,0)</f>
        <v>1</v>
      </c>
      <c r="W1953" s="7" t="n">
        <f aca="false">IF(AND(T1953=1,P1953&lt;&gt;"",P1953&lt;=Q1953),1,0)</f>
        <v>0</v>
      </c>
    </row>
    <row r="1954" customFormat="false" ht="15" hidden="false" customHeight="false" outlineLevel="0" collapsed="false">
      <c r="A1954" s="7" t="s">
        <v>2349</v>
      </c>
      <c r="B1954" s="7" t="s">
        <v>135</v>
      </c>
      <c r="C1954" s="7" t="s">
        <v>247</v>
      </c>
      <c r="D1954" s="7" t="s">
        <v>173</v>
      </c>
      <c r="E1954" s="7" t="s">
        <v>174</v>
      </c>
      <c r="F1954" s="7" t="s">
        <v>50</v>
      </c>
      <c r="G1954" s="7" t="s">
        <v>19</v>
      </c>
      <c r="H1954" s="9" t="n">
        <v>46154</v>
      </c>
      <c r="I1954" s="9" t="n">
        <v>46161</v>
      </c>
      <c r="J1954" s="7" t="n">
        <v>9.8</v>
      </c>
      <c r="K1954" s="7" t="s">
        <v>2260</v>
      </c>
      <c r="L1954" s="7" t="s">
        <v>20</v>
      </c>
      <c r="M1954" s="7" t="s">
        <v>2352</v>
      </c>
      <c r="N1954" s="7" t="s">
        <v>58</v>
      </c>
      <c r="O1954" s="10" t="n">
        <f aca="false">'Exec Summary'!$E$2-H1954</f>
        <v>80</v>
      </c>
      <c r="P1954" s="10" t="n">
        <f aca="false">IF(I1954="","",I1954-H1954)</f>
        <v>7</v>
      </c>
      <c r="Q1954" s="10" t="n">
        <f aca="false">VLOOKUP(G1954,$AA$2:$AB$5,2,FALSE())</f>
        <v>15</v>
      </c>
      <c r="R1954" s="7" t="n">
        <f aca="false">IF(OR(F1954="Open",F1954="Reopened"),1,0)</f>
        <v>0</v>
      </c>
      <c r="S1954" s="7" t="n">
        <f aca="false">IF(AND(H1954&gt;='Exec Summary'!$E$1,H1954&lt;='Exec Summary'!$E$2),1,0)</f>
        <v>0</v>
      </c>
      <c r="T1954" s="7" t="n">
        <f aca="false">IF(AND(F1954="Closed",I1954&lt;&gt;"",I1954&gt;='Exec Summary'!$E$1,I1954&lt;='Exec Summary'!$E$2),1,0)</f>
        <v>0</v>
      </c>
      <c r="U1954" s="7" t="n">
        <f aca="false">IF(F1954="Reopened",1,0)</f>
        <v>0</v>
      </c>
      <c r="V1954" s="7" t="n">
        <f aca="false">IF(AND(R1954=1,O1954&gt;Q1954),1,0)</f>
        <v>0</v>
      </c>
      <c r="W1954" s="7" t="n">
        <f aca="false">IF(AND(T1954=1,P1954&lt;&gt;"",P1954&lt;=Q1954),1,0)</f>
        <v>0</v>
      </c>
    </row>
    <row r="1955" customFormat="false" ht="15" hidden="false" customHeight="false" outlineLevel="0" collapsed="false">
      <c r="A1955" s="7" t="s">
        <v>2349</v>
      </c>
      <c r="B1955" s="7" t="s">
        <v>135</v>
      </c>
      <c r="C1955" s="7" t="s">
        <v>247</v>
      </c>
      <c r="D1955" s="7" t="s">
        <v>166</v>
      </c>
      <c r="E1955" s="7" t="s">
        <v>167</v>
      </c>
      <c r="F1955" s="7" t="s">
        <v>56</v>
      </c>
      <c r="G1955" s="7" t="s">
        <v>19</v>
      </c>
      <c r="H1955" s="9" t="n">
        <v>46105</v>
      </c>
      <c r="I1955" s="9"/>
      <c r="J1955" s="7" t="n">
        <v>9.8</v>
      </c>
      <c r="K1955" s="7" t="s">
        <v>2260</v>
      </c>
      <c r="L1955" s="7" t="s">
        <v>20</v>
      </c>
      <c r="M1955" s="7" t="s">
        <v>2353</v>
      </c>
      <c r="N1955" s="7" t="s">
        <v>58</v>
      </c>
      <c r="O1955" s="10" t="n">
        <f aca="false">'Exec Summary'!$E$2-H1955</f>
        <v>129</v>
      </c>
      <c r="P1955" s="10" t="str">
        <f aca="false">IF(I1955="","",I1955-H1955)</f>
        <v/>
      </c>
      <c r="Q1955" s="10" t="n">
        <f aca="false">VLOOKUP(G1955,$AA$2:$AB$5,2,FALSE())</f>
        <v>15</v>
      </c>
      <c r="R1955" s="7" t="n">
        <f aca="false">IF(OR(F1955="Open",F1955="Reopened"),1,0)</f>
        <v>1</v>
      </c>
      <c r="S1955" s="7" t="n">
        <f aca="false">IF(AND(H1955&gt;='Exec Summary'!$E$1,H1955&lt;='Exec Summary'!$E$2),1,0)</f>
        <v>0</v>
      </c>
      <c r="T1955" s="7" t="n">
        <f aca="false">IF(AND(F1955="Closed",I1955&lt;&gt;"",I1955&gt;='Exec Summary'!$E$1,I1955&lt;='Exec Summary'!$E$2),1,0)</f>
        <v>0</v>
      </c>
      <c r="U1955" s="7" t="n">
        <f aca="false">IF(F1955="Reopened",1,0)</f>
        <v>0</v>
      </c>
      <c r="V1955" s="7" t="n">
        <f aca="false">IF(AND(R1955=1,O1955&gt;Q1955),1,0)</f>
        <v>1</v>
      </c>
      <c r="W1955" s="7" t="n">
        <f aca="false">IF(AND(T1955=1,P1955&lt;&gt;"",P1955&lt;=Q1955),1,0)</f>
        <v>0</v>
      </c>
    </row>
    <row r="1956" customFormat="false" ht="15" hidden="false" customHeight="false" outlineLevel="0" collapsed="false">
      <c r="A1956" s="7" t="s">
        <v>2349</v>
      </c>
      <c r="B1956" s="7" t="s">
        <v>135</v>
      </c>
      <c r="C1956" s="7" t="s">
        <v>247</v>
      </c>
      <c r="D1956" s="7" t="s">
        <v>108</v>
      </c>
      <c r="E1956" s="7" t="s">
        <v>109</v>
      </c>
      <c r="F1956" s="7" t="s">
        <v>56</v>
      </c>
      <c r="G1956" s="7" t="s">
        <v>20</v>
      </c>
      <c r="H1956" s="9" t="n">
        <v>46056</v>
      </c>
      <c r="I1956" s="9"/>
      <c r="J1956" s="7" t="n">
        <v>8.6</v>
      </c>
      <c r="K1956" s="7" t="s">
        <v>2260</v>
      </c>
      <c r="L1956" s="7" t="s">
        <v>20</v>
      </c>
      <c r="M1956" s="7" t="s">
        <v>2354</v>
      </c>
      <c r="N1956" s="7" t="s">
        <v>53</v>
      </c>
      <c r="O1956" s="10" t="n">
        <f aca="false">'Exec Summary'!$E$2-H1956</f>
        <v>178</v>
      </c>
      <c r="P1956" s="10" t="str">
        <f aca="false">IF(I1956="","",I1956-H1956)</f>
        <v/>
      </c>
      <c r="Q1956" s="10" t="n">
        <f aca="false">VLOOKUP(G1956,$AA$2:$AB$5,2,FALSE())</f>
        <v>30</v>
      </c>
      <c r="R1956" s="7" t="n">
        <f aca="false">IF(OR(F1956="Open",F1956="Reopened"),1,0)</f>
        <v>1</v>
      </c>
      <c r="S1956" s="7" t="n">
        <f aca="false">IF(AND(H1956&gt;='Exec Summary'!$E$1,H1956&lt;='Exec Summary'!$E$2),1,0)</f>
        <v>0</v>
      </c>
      <c r="T1956" s="7" t="n">
        <f aca="false">IF(AND(F1956="Closed",I1956&lt;&gt;"",I1956&gt;='Exec Summary'!$E$1,I1956&lt;='Exec Summary'!$E$2),1,0)</f>
        <v>0</v>
      </c>
      <c r="U1956" s="7" t="n">
        <f aca="false">IF(F1956="Reopened",1,0)</f>
        <v>0</v>
      </c>
      <c r="V1956" s="7" t="n">
        <f aca="false">IF(AND(R1956=1,O1956&gt;Q1956),1,0)</f>
        <v>1</v>
      </c>
      <c r="W1956" s="7" t="n">
        <f aca="false">IF(AND(T1956=1,P1956&lt;&gt;"",P1956&lt;=Q1956),1,0)</f>
        <v>0</v>
      </c>
    </row>
    <row r="1957" customFormat="false" ht="15" hidden="false" customHeight="false" outlineLevel="0" collapsed="false">
      <c r="A1957" s="7" t="s">
        <v>2349</v>
      </c>
      <c r="B1957" s="7" t="s">
        <v>135</v>
      </c>
      <c r="C1957" s="7" t="s">
        <v>247</v>
      </c>
      <c r="D1957" s="7" t="s">
        <v>206</v>
      </c>
      <c r="E1957" s="7" t="s">
        <v>207</v>
      </c>
      <c r="F1957" s="7" t="s">
        <v>50</v>
      </c>
      <c r="G1957" s="7" t="s">
        <v>20</v>
      </c>
      <c r="H1957" s="9" t="n">
        <v>46116</v>
      </c>
      <c r="I1957" s="9" t="n">
        <v>46130</v>
      </c>
      <c r="J1957" s="7" t="n">
        <v>8.8</v>
      </c>
      <c r="K1957" s="7" t="s">
        <v>2260</v>
      </c>
      <c r="L1957" s="7" t="s">
        <v>20</v>
      </c>
      <c r="M1957" s="7" t="s">
        <v>2355</v>
      </c>
      <c r="N1957" s="7" t="s">
        <v>53</v>
      </c>
      <c r="O1957" s="10" t="n">
        <f aca="false">'Exec Summary'!$E$2-H1957</f>
        <v>118</v>
      </c>
      <c r="P1957" s="10" t="n">
        <f aca="false">IF(I1957="","",I1957-H1957)</f>
        <v>14</v>
      </c>
      <c r="Q1957" s="10" t="n">
        <f aca="false">VLOOKUP(G1957,$AA$2:$AB$5,2,FALSE())</f>
        <v>30</v>
      </c>
      <c r="R1957" s="7" t="n">
        <f aca="false">IF(OR(F1957="Open",F1957="Reopened"),1,0)</f>
        <v>0</v>
      </c>
      <c r="S1957" s="7" t="n">
        <f aca="false">IF(AND(H1957&gt;='Exec Summary'!$E$1,H1957&lt;='Exec Summary'!$E$2),1,0)</f>
        <v>0</v>
      </c>
      <c r="T1957" s="7" t="n">
        <f aca="false">IF(AND(F1957="Closed",I1957&lt;&gt;"",I1957&gt;='Exec Summary'!$E$1,I1957&lt;='Exec Summary'!$E$2),1,0)</f>
        <v>0</v>
      </c>
      <c r="U1957" s="7" t="n">
        <f aca="false">IF(F1957="Reopened",1,0)</f>
        <v>0</v>
      </c>
      <c r="V1957" s="7" t="n">
        <f aca="false">IF(AND(R1957=1,O1957&gt;Q1957),1,0)</f>
        <v>0</v>
      </c>
      <c r="W1957" s="7" t="n">
        <f aca="false">IF(AND(T1957=1,P1957&lt;&gt;"",P1957&lt;=Q1957),1,0)</f>
        <v>0</v>
      </c>
    </row>
    <row r="1958" customFormat="false" ht="15" hidden="false" customHeight="false" outlineLevel="0" collapsed="false">
      <c r="A1958" s="7" t="s">
        <v>2349</v>
      </c>
      <c r="B1958" s="7" t="s">
        <v>135</v>
      </c>
      <c r="C1958" s="7" t="s">
        <v>247</v>
      </c>
      <c r="D1958" s="7" t="s">
        <v>65</v>
      </c>
      <c r="E1958" s="7" t="s">
        <v>66</v>
      </c>
      <c r="F1958" s="7" t="s">
        <v>123</v>
      </c>
      <c r="G1958" s="7" t="s">
        <v>19</v>
      </c>
      <c r="H1958" s="9" t="n">
        <v>46128</v>
      </c>
      <c r="I1958" s="9" t="n">
        <v>46131</v>
      </c>
      <c r="J1958" s="7" t="n">
        <v>9.8</v>
      </c>
      <c r="K1958" s="7" t="s">
        <v>2260</v>
      </c>
      <c r="L1958" s="7" t="s">
        <v>20</v>
      </c>
      <c r="M1958" s="7" t="s">
        <v>2356</v>
      </c>
      <c r="N1958" s="7" t="s">
        <v>58</v>
      </c>
      <c r="O1958" s="10" t="n">
        <f aca="false">'Exec Summary'!$E$2-H1958</f>
        <v>106</v>
      </c>
      <c r="P1958" s="10" t="n">
        <f aca="false">IF(I1958="","",I1958-H1958)</f>
        <v>3</v>
      </c>
      <c r="Q1958" s="10" t="n">
        <f aca="false">VLOOKUP(G1958,$AA$2:$AB$5,2,FALSE())</f>
        <v>15</v>
      </c>
      <c r="R1958" s="7" t="n">
        <f aca="false">IF(OR(F1958="Open",F1958="Reopened"),1,0)</f>
        <v>1</v>
      </c>
      <c r="S1958" s="7" t="n">
        <f aca="false">IF(AND(H1958&gt;='Exec Summary'!$E$1,H1958&lt;='Exec Summary'!$E$2),1,0)</f>
        <v>0</v>
      </c>
      <c r="T1958" s="7" t="n">
        <f aca="false">IF(AND(F1958="Closed",I1958&lt;&gt;"",I1958&gt;='Exec Summary'!$E$1,I1958&lt;='Exec Summary'!$E$2),1,0)</f>
        <v>0</v>
      </c>
      <c r="U1958" s="7" t="n">
        <f aca="false">IF(F1958="Reopened",1,0)</f>
        <v>1</v>
      </c>
      <c r="V1958" s="7" t="n">
        <f aca="false">IF(AND(R1958=1,O1958&gt;Q1958),1,0)</f>
        <v>1</v>
      </c>
      <c r="W1958" s="7" t="n">
        <f aca="false">IF(AND(T1958=1,P1958&lt;&gt;"",P1958&lt;=Q1958),1,0)</f>
        <v>0</v>
      </c>
    </row>
    <row r="1959" customFormat="false" ht="15" hidden="false" customHeight="false" outlineLevel="0" collapsed="false">
      <c r="A1959" s="7" t="s">
        <v>2349</v>
      </c>
      <c r="B1959" s="7" t="s">
        <v>135</v>
      </c>
      <c r="C1959" s="7" t="s">
        <v>247</v>
      </c>
      <c r="D1959" s="7" t="s">
        <v>145</v>
      </c>
      <c r="E1959" s="7" t="s">
        <v>146</v>
      </c>
      <c r="F1959" s="7" t="s">
        <v>56</v>
      </c>
      <c r="G1959" s="7" t="s">
        <v>19</v>
      </c>
      <c r="H1959" s="9" t="n">
        <v>46194</v>
      </c>
      <c r="I1959" s="9"/>
      <c r="J1959" s="7" t="n">
        <v>9.8</v>
      </c>
      <c r="K1959" s="7" t="s">
        <v>2260</v>
      </c>
      <c r="L1959" s="7" t="s">
        <v>20</v>
      </c>
      <c r="M1959" s="7" t="s">
        <v>2357</v>
      </c>
      <c r="N1959" s="7" t="s">
        <v>58</v>
      </c>
      <c r="O1959" s="10" t="n">
        <f aca="false">'Exec Summary'!$E$2-H1959</f>
        <v>40</v>
      </c>
      <c r="P1959" s="10" t="str">
        <f aca="false">IF(I1959="","",I1959-H1959)</f>
        <v/>
      </c>
      <c r="Q1959" s="10" t="n">
        <f aca="false">VLOOKUP(G1959,$AA$2:$AB$5,2,FALSE())</f>
        <v>15</v>
      </c>
      <c r="R1959" s="7" t="n">
        <f aca="false">IF(OR(F1959="Open",F1959="Reopened"),1,0)</f>
        <v>1</v>
      </c>
      <c r="S1959" s="7" t="n">
        <f aca="false">IF(AND(H1959&gt;='Exec Summary'!$E$1,H1959&lt;='Exec Summary'!$E$2),1,0)</f>
        <v>0</v>
      </c>
      <c r="T1959" s="7" t="n">
        <f aca="false">IF(AND(F1959="Closed",I1959&lt;&gt;"",I1959&gt;='Exec Summary'!$E$1,I1959&lt;='Exec Summary'!$E$2),1,0)</f>
        <v>0</v>
      </c>
      <c r="U1959" s="7" t="n">
        <f aca="false">IF(F1959="Reopened",1,0)</f>
        <v>0</v>
      </c>
      <c r="V1959" s="7" t="n">
        <f aca="false">IF(AND(R1959=1,O1959&gt;Q1959),1,0)</f>
        <v>1</v>
      </c>
      <c r="W1959" s="7" t="n">
        <f aca="false">IF(AND(T1959=1,P1959&lt;&gt;"",P1959&lt;=Q1959),1,0)</f>
        <v>0</v>
      </c>
    </row>
    <row r="1960" customFormat="false" ht="15" hidden="false" customHeight="false" outlineLevel="0" collapsed="false">
      <c r="A1960" s="7" t="s">
        <v>2358</v>
      </c>
      <c r="B1960" s="7" t="s">
        <v>46</v>
      </c>
      <c r="C1960" s="7" t="s">
        <v>177</v>
      </c>
      <c r="D1960" s="7" t="s">
        <v>145</v>
      </c>
      <c r="E1960" s="7" t="s">
        <v>146</v>
      </c>
      <c r="F1960" s="7" t="s">
        <v>50</v>
      </c>
      <c r="G1960" s="7" t="s">
        <v>19</v>
      </c>
      <c r="H1960" s="9" t="n">
        <v>46065</v>
      </c>
      <c r="I1960" s="9" t="n">
        <v>46082</v>
      </c>
      <c r="J1960" s="7" t="n">
        <v>9.8</v>
      </c>
      <c r="K1960" s="7" t="s">
        <v>2260</v>
      </c>
      <c r="L1960" s="7" t="s">
        <v>20</v>
      </c>
      <c r="M1960" s="7" t="s">
        <v>2359</v>
      </c>
      <c r="N1960" s="7" t="s">
        <v>58</v>
      </c>
      <c r="O1960" s="10" t="n">
        <f aca="false">'Exec Summary'!$E$2-H1960</f>
        <v>169</v>
      </c>
      <c r="P1960" s="10" t="n">
        <f aca="false">IF(I1960="","",I1960-H1960)</f>
        <v>17</v>
      </c>
      <c r="Q1960" s="10" t="n">
        <f aca="false">VLOOKUP(G1960,$AA$2:$AB$5,2,FALSE())</f>
        <v>15</v>
      </c>
      <c r="R1960" s="7" t="n">
        <f aca="false">IF(OR(F1960="Open",F1960="Reopened"),1,0)</f>
        <v>0</v>
      </c>
      <c r="S1960" s="7" t="n">
        <f aca="false">IF(AND(H1960&gt;='Exec Summary'!$E$1,H1960&lt;='Exec Summary'!$E$2),1,0)</f>
        <v>0</v>
      </c>
      <c r="T1960" s="7" t="n">
        <f aca="false">IF(AND(F1960="Closed",I1960&lt;&gt;"",I1960&gt;='Exec Summary'!$E$1,I1960&lt;='Exec Summary'!$E$2),1,0)</f>
        <v>0</v>
      </c>
      <c r="U1960" s="7" t="n">
        <f aca="false">IF(F1960="Reopened",1,0)</f>
        <v>0</v>
      </c>
      <c r="V1960" s="7" t="n">
        <f aca="false">IF(AND(R1960=1,O1960&gt;Q1960),1,0)</f>
        <v>0</v>
      </c>
      <c r="W1960" s="7" t="n">
        <f aca="false">IF(AND(T1960=1,P1960&lt;&gt;"",P1960&lt;=Q1960),1,0)</f>
        <v>0</v>
      </c>
    </row>
    <row r="1961" customFormat="false" ht="15" hidden="false" customHeight="false" outlineLevel="0" collapsed="false">
      <c r="A1961" s="7" t="s">
        <v>2358</v>
      </c>
      <c r="B1961" s="7" t="s">
        <v>46</v>
      </c>
      <c r="C1961" s="7" t="s">
        <v>177</v>
      </c>
      <c r="D1961" s="7" t="s">
        <v>62</v>
      </c>
      <c r="E1961" s="7" t="s">
        <v>63</v>
      </c>
      <c r="F1961" s="7" t="s">
        <v>50</v>
      </c>
      <c r="G1961" s="7" t="s">
        <v>20</v>
      </c>
      <c r="H1961" s="9" t="n">
        <v>45973</v>
      </c>
      <c r="I1961" s="9" t="n">
        <v>46035</v>
      </c>
      <c r="J1961" s="7" t="n">
        <v>8.1</v>
      </c>
      <c r="K1961" s="7" t="s">
        <v>2260</v>
      </c>
      <c r="L1961" s="7" t="s">
        <v>20</v>
      </c>
      <c r="M1961" s="7" t="s">
        <v>2360</v>
      </c>
      <c r="N1961" s="7" t="s">
        <v>53</v>
      </c>
      <c r="O1961" s="10" t="n">
        <f aca="false">'Exec Summary'!$E$2-H1961</f>
        <v>261</v>
      </c>
      <c r="P1961" s="10" t="n">
        <f aca="false">IF(I1961="","",I1961-H1961)</f>
        <v>62</v>
      </c>
      <c r="Q1961" s="10" t="n">
        <f aca="false">VLOOKUP(G1961,$AA$2:$AB$5,2,FALSE())</f>
        <v>30</v>
      </c>
      <c r="R1961" s="7" t="n">
        <f aca="false">IF(OR(F1961="Open",F1961="Reopened"),1,0)</f>
        <v>0</v>
      </c>
      <c r="S1961" s="7" t="n">
        <f aca="false">IF(AND(H1961&gt;='Exec Summary'!$E$1,H1961&lt;='Exec Summary'!$E$2),1,0)</f>
        <v>0</v>
      </c>
      <c r="T1961" s="7" t="n">
        <f aca="false">IF(AND(F1961="Closed",I1961&lt;&gt;"",I1961&gt;='Exec Summary'!$E$1,I1961&lt;='Exec Summary'!$E$2),1,0)</f>
        <v>0</v>
      </c>
      <c r="U1961" s="7" t="n">
        <f aca="false">IF(F1961="Reopened",1,0)</f>
        <v>0</v>
      </c>
      <c r="V1961" s="7" t="n">
        <f aca="false">IF(AND(R1961=1,O1961&gt;Q1961),1,0)</f>
        <v>0</v>
      </c>
      <c r="W1961" s="7" t="n">
        <f aca="false">IF(AND(T1961=1,P1961&lt;&gt;"",P1961&lt;=Q1961),1,0)</f>
        <v>0</v>
      </c>
    </row>
    <row r="1962" customFormat="false" ht="15" hidden="false" customHeight="false" outlineLevel="0" collapsed="false">
      <c r="A1962" s="7" t="s">
        <v>2358</v>
      </c>
      <c r="B1962" s="7" t="s">
        <v>46</v>
      </c>
      <c r="C1962" s="7" t="s">
        <v>177</v>
      </c>
      <c r="D1962" s="7" t="s">
        <v>101</v>
      </c>
      <c r="E1962" s="7" t="s">
        <v>102</v>
      </c>
      <c r="F1962" s="7" t="s">
        <v>50</v>
      </c>
      <c r="G1962" s="7" t="s">
        <v>19</v>
      </c>
      <c r="H1962" s="9" t="n">
        <v>46038</v>
      </c>
      <c r="I1962" s="9" t="n">
        <v>46064</v>
      </c>
      <c r="J1962" s="7" t="n">
        <v>10</v>
      </c>
      <c r="K1962" s="7" t="s">
        <v>2260</v>
      </c>
      <c r="L1962" s="7" t="s">
        <v>20</v>
      </c>
      <c r="M1962" s="7" t="s">
        <v>2361</v>
      </c>
      <c r="N1962" s="7" t="s">
        <v>58</v>
      </c>
      <c r="O1962" s="10" t="n">
        <f aca="false">'Exec Summary'!$E$2-H1962</f>
        <v>196</v>
      </c>
      <c r="P1962" s="10" t="n">
        <f aca="false">IF(I1962="","",I1962-H1962)</f>
        <v>26</v>
      </c>
      <c r="Q1962" s="10" t="n">
        <f aca="false">VLOOKUP(G1962,$AA$2:$AB$5,2,FALSE())</f>
        <v>15</v>
      </c>
      <c r="R1962" s="7" t="n">
        <f aca="false">IF(OR(F1962="Open",F1962="Reopened"),1,0)</f>
        <v>0</v>
      </c>
      <c r="S1962" s="7" t="n">
        <f aca="false">IF(AND(H1962&gt;='Exec Summary'!$E$1,H1962&lt;='Exec Summary'!$E$2),1,0)</f>
        <v>0</v>
      </c>
      <c r="T1962" s="7" t="n">
        <f aca="false">IF(AND(F1962="Closed",I1962&lt;&gt;"",I1962&gt;='Exec Summary'!$E$1,I1962&lt;='Exec Summary'!$E$2),1,0)</f>
        <v>0</v>
      </c>
      <c r="U1962" s="7" t="n">
        <f aca="false">IF(F1962="Reopened",1,0)</f>
        <v>0</v>
      </c>
      <c r="V1962" s="7" t="n">
        <f aca="false">IF(AND(R1962=1,O1962&gt;Q1962),1,0)</f>
        <v>0</v>
      </c>
      <c r="W1962" s="7" t="n">
        <f aca="false">IF(AND(T1962=1,P1962&lt;&gt;"",P1962&lt;=Q1962),1,0)</f>
        <v>0</v>
      </c>
    </row>
    <row r="1963" customFormat="false" ht="15" hidden="false" customHeight="false" outlineLevel="0" collapsed="false">
      <c r="A1963" s="7" t="s">
        <v>2358</v>
      </c>
      <c r="B1963" s="7" t="s">
        <v>46</v>
      </c>
      <c r="C1963" s="7" t="s">
        <v>177</v>
      </c>
      <c r="D1963" s="7" t="s">
        <v>163</v>
      </c>
      <c r="E1963" s="7" t="s">
        <v>164</v>
      </c>
      <c r="F1963" s="7" t="s">
        <v>56</v>
      </c>
      <c r="G1963" s="7" t="s">
        <v>19</v>
      </c>
      <c r="H1963" s="9" t="n">
        <v>46143</v>
      </c>
      <c r="I1963" s="9"/>
      <c r="J1963" s="7" t="n">
        <v>9.1</v>
      </c>
      <c r="K1963" s="7" t="s">
        <v>2260</v>
      </c>
      <c r="L1963" s="7" t="s">
        <v>20</v>
      </c>
      <c r="M1963" s="7" t="s">
        <v>2362</v>
      </c>
      <c r="N1963" s="7" t="s">
        <v>58</v>
      </c>
      <c r="O1963" s="10" t="n">
        <f aca="false">'Exec Summary'!$E$2-H1963</f>
        <v>91</v>
      </c>
      <c r="P1963" s="10" t="str">
        <f aca="false">IF(I1963="","",I1963-H1963)</f>
        <v/>
      </c>
      <c r="Q1963" s="10" t="n">
        <f aca="false">VLOOKUP(G1963,$AA$2:$AB$5,2,FALSE())</f>
        <v>15</v>
      </c>
      <c r="R1963" s="7" t="n">
        <f aca="false">IF(OR(F1963="Open",F1963="Reopened"),1,0)</f>
        <v>1</v>
      </c>
      <c r="S1963" s="7" t="n">
        <f aca="false">IF(AND(H1963&gt;='Exec Summary'!$E$1,H1963&lt;='Exec Summary'!$E$2),1,0)</f>
        <v>0</v>
      </c>
      <c r="T1963" s="7" t="n">
        <f aca="false">IF(AND(F1963="Closed",I1963&lt;&gt;"",I1963&gt;='Exec Summary'!$E$1,I1963&lt;='Exec Summary'!$E$2),1,0)</f>
        <v>0</v>
      </c>
      <c r="U1963" s="7" t="n">
        <f aca="false">IF(F1963="Reopened",1,0)</f>
        <v>0</v>
      </c>
      <c r="V1963" s="7" t="n">
        <f aca="false">IF(AND(R1963=1,O1963&gt;Q1963),1,0)</f>
        <v>1</v>
      </c>
      <c r="W1963" s="7" t="n">
        <f aca="false">IF(AND(T1963=1,P1963&lt;&gt;"",P1963&lt;=Q1963),1,0)</f>
        <v>0</v>
      </c>
    </row>
    <row r="1964" customFormat="false" ht="15" hidden="false" customHeight="false" outlineLevel="0" collapsed="false">
      <c r="A1964" s="7" t="s">
        <v>2358</v>
      </c>
      <c r="B1964" s="7" t="s">
        <v>46</v>
      </c>
      <c r="C1964" s="7" t="s">
        <v>177</v>
      </c>
      <c r="D1964" s="7" t="s">
        <v>54</v>
      </c>
      <c r="E1964" s="7" t="s">
        <v>55</v>
      </c>
      <c r="F1964" s="7" t="s">
        <v>56</v>
      </c>
      <c r="G1964" s="7" t="s">
        <v>19</v>
      </c>
      <c r="H1964" s="9" t="n">
        <v>46125</v>
      </c>
      <c r="I1964" s="9"/>
      <c r="J1964" s="7" t="n">
        <v>9.8</v>
      </c>
      <c r="K1964" s="7" t="s">
        <v>2260</v>
      </c>
      <c r="L1964" s="7" t="s">
        <v>20</v>
      </c>
      <c r="M1964" s="7" t="s">
        <v>2363</v>
      </c>
      <c r="N1964" s="7" t="s">
        <v>58</v>
      </c>
      <c r="O1964" s="10" t="n">
        <f aca="false">'Exec Summary'!$E$2-H1964</f>
        <v>109</v>
      </c>
      <c r="P1964" s="10" t="str">
        <f aca="false">IF(I1964="","",I1964-H1964)</f>
        <v/>
      </c>
      <c r="Q1964" s="10" t="n">
        <f aca="false">VLOOKUP(G1964,$AA$2:$AB$5,2,FALSE())</f>
        <v>15</v>
      </c>
      <c r="R1964" s="7" t="n">
        <f aca="false">IF(OR(F1964="Open",F1964="Reopened"),1,0)</f>
        <v>1</v>
      </c>
      <c r="S1964" s="7" t="n">
        <f aca="false">IF(AND(H1964&gt;='Exec Summary'!$E$1,H1964&lt;='Exec Summary'!$E$2),1,0)</f>
        <v>0</v>
      </c>
      <c r="T1964" s="7" t="n">
        <f aca="false">IF(AND(F1964="Closed",I1964&lt;&gt;"",I1964&gt;='Exec Summary'!$E$1,I1964&lt;='Exec Summary'!$E$2),1,0)</f>
        <v>0</v>
      </c>
      <c r="U1964" s="7" t="n">
        <f aca="false">IF(F1964="Reopened",1,0)</f>
        <v>0</v>
      </c>
      <c r="V1964" s="7" t="n">
        <f aca="false">IF(AND(R1964=1,O1964&gt;Q1964),1,0)</f>
        <v>1</v>
      </c>
      <c r="W1964" s="7" t="n">
        <f aca="false">IF(AND(T1964=1,P1964&lt;&gt;"",P1964&lt;=Q1964),1,0)</f>
        <v>0</v>
      </c>
    </row>
    <row r="1965" customFormat="false" ht="15" hidden="false" customHeight="false" outlineLevel="0" collapsed="false">
      <c r="A1965" s="7" t="s">
        <v>2358</v>
      </c>
      <c r="B1965" s="7" t="s">
        <v>46</v>
      </c>
      <c r="C1965" s="7" t="s">
        <v>177</v>
      </c>
      <c r="D1965" s="7" t="s">
        <v>87</v>
      </c>
      <c r="E1965" s="7" t="s">
        <v>88</v>
      </c>
      <c r="F1965" s="7" t="s">
        <v>56</v>
      </c>
      <c r="G1965" s="7" t="s">
        <v>19</v>
      </c>
      <c r="H1965" s="9" t="n">
        <v>46030</v>
      </c>
      <c r="I1965" s="9"/>
      <c r="J1965" s="7" t="n">
        <v>10</v>
      </c>
      <c r="K1965" s="7" t="s">
        <v>2260</v>
      </c>
      <c r="L1965" s="7" t="s">
        <v>20</v>
      </c>
      <c r="M1965" s="7" t="s">
        <v>2364</v>
      </c>
      <c r="N1965" s="7" t="s">
        <v>58</v>
      </c>
      <c r="O1965" s="10" t="n">
        <f aca="false">'Exec Summary'!$E$2-H1965</f>
        <v>204</v>
      </c>
      <c r="P1965" s="10" t="str">
        <f aca="false">IF(I1965="","",I1965-H1965)</f>
        <v/>
      </c>
      <c r="Q1965" s="10" t="n">
        <f aca="false">VLOOKUP(G1965,$AA$2:$AB$5,2,FALSE())</f>
        <v>15</v>
      </c>
      <c r="R1965" s="7" t="n">
        <f aca="false">IF(OR(F1965="Open",F1965="Reopened"),1,0)</f>
        <v>1</v>
      </c>
      <c r="S1965" s="7" t="n">
        <f aca="false">IF(AND(H1965&gt;='Exec Summary'!$E$1,H1965&lt;='Exec Summary'!$E$2),1,0)</f>
        <v>0</v>
      </c>
      <c r="T1965" s="7" t="n">
        <f aca="false">IF(AND(F1965="Closed",I1965&lt;&gt;"",I1965&gt;='Exec Summary'!$E$1,I1965&lt;='Exec Summary'!$E$2),1,0)</f>
        <v>0</v>
      </c>
      <c r="U1965" s="7" t="n">
        <f aca="false">IF(F1965="Reopened",1,0)</f>
        <v>0</v>
      </c>
      <c r="V1965" s="7" t="n">
        <f aca="false">IF(AND(R1965=1,O1965&gt;Q1965),1,0)</f>
        <v>1</v>
      </c>
      <c r="W1965" s="7" t="n">
        <f aca="false">IF(AND(T1965=1,P1965&lt;&gt;"",P1965&lt;=Q1965),1,0)</f>
        <v>0</v>
      </c>
    </row>
    <row r="1966" customFormat="false" ht="15" hidden="false" customHeight="false" outlineLevel="0" collapsed="false">
      <c r="A1966" s="7" t="s">
        <v>2358</v>
      </c>
      <c r="B1966" s="7" t="s">
        <v>46</v>
      </c>
      <c r="C1966" s="7" t="s">
        <v>177</v>
      </c>
      <c r="D1966" s="7" t="s">
        <v>48</v>
      </c>
      <c r="E1966" s="7" t="s">
        <v>49</v>
      </c>
      <c r="F1966" s="7" t="s">
        <v>50</v>
      </c>
      <c r="G1966" s="7" t="s">
        <v>20</v>
      </c>
      <c r="H1966" s="9" t="n">
        <v>46003</v>
      </c>
      <c r="I1966" s="9" t="n">
        <v>46027</v>
      </c>
      <c r="J1966" s="7" t="n">
        <v>7.5</v>
      </c>
      <c r="K1966" s="7" t="s">
        <v>2260</v>
      </c>
      <c r="L1966" s="7" t="s">
        <v>20</v>
      </c>
      <c r="M1966" s="7" t="s">
        <v>2365</v>
      </c>
      <c r="N1966" s="7" t="s">
        <v>53</v>
      </c>
      <c r="O1966" s="10" t="n">
        <f aca="false">'Exec Summary'!$E$2-H1966</f>
        <v>231</v>
      </c>
      <c r="P1966" s="10" t="n">
        <f aca="false">IF(I1966="","",I1966-H1966)</f>
        <v>24</v>
      </c>
      <c r="Q1966" s="10" t="n">
        <f aca="false">VLOOKUP(G1966,$AA$2:$AB$5,2,FALSE())</f>
        <v>30</v>
      </c>
      <c r="R1966" s="7" t="n">
        <f aca="false">IF(OR(F1966="Open",F1966="Reopened"),1,0)</f>
        <v>0</v>
      </c>
      <c r="S1966" s="7" t="n">
        <f aca="false">IF(AND(H1966&gt;='Exec Summary'!$E$1,H1966&lt;='Exec Summary'!$E$2),1,0)</f>
        <v>0</v>
      </c>
      <c r="T1966" s="7" t="n">
        <f aca="false">IF(AND(F1966="Closed",I1966&lt;&gt;"",I1966&gt;='Exec Summary'!$E$1,I1966&lt;='Exec Summary'!$E$2),1,0)</f>
        <v>0</v>
      </c>
      <c r="U1966" s="7" t="n">
        <f aca="false">IF(F1966="Reopened",1,0)</f>
        <v>0</v>
      </c>
      <c r="V1966" s="7" t="n">
        <f aca="false">IF(AND(R1966=1,O1966&gt;Q1966),1,0)</f>
        <v>0</v>
      </c>
      <c r="W1966" s="7" t="n">
        <f aca="false">IF(AND(T1966=1,P1966&lt;&gt;"",P1966&lt;=Q1966),1,0)</f>
        <v>0</v>
      </c>
    </row>
    <row r="1967" customFormat="false" ht="15" hidden="false" customHeight="false" outlineLevel="0" collapsed="false">
      <c r="A1967" s="7" t="s">
        <v>2358</v>
      </c>
      <c r="B1967" s="7" t="s">
        <v>46</v>
      </c>
      <c r="C1967" s="7" t="s">
        <v>177</v>
      </c>
      <c r="D1967" s="7" t="s">
        <v>108</v>
      </c>
      <c r="E1967" s="7" t="s">
        <v>109</v>
      </c>
      <c r="F1967" s="7" t="s">
        <v>50</v>
      </c>
      <c r="G1967" s="7" t="s">
        <v>20</v>
      </c>
      <c r="H1967" s="9" t="n">
        <v>46150</v>
      </c>
      <c r="I1967" s="9" t="n">
        <v>46182</v>
      </c>
      <c r="J1967" s="7" t="n">
        <v>8.6</v>
      </c>
      <c r="K1967" s="7" t="s">
        <v>2260</v>
      </c>
      <c r="L1967" s="7" t="s">
        <v>20</v>
      </c>
      <c r="M1967" s="7" t="s">
        <v>2366</v>
      </c>
      <c r="N1967" s="7" t="s">
        <v>53</v>
      </c>
      <c r="O1967" s="10" t="n">
        <f aca="false">'Exec Summary'!$E$2-H1967</f>
        <v>84</v>
      </c>
      <c r="P1967" s="10" t="n">
        <f aca="false">IF(I1967="","",I1967-H1967)</f>
        <v>32</v>
      </c>
      <c r="Q1967" s="10" t="n">
        <f aca="false">VLOOKUP(G1967,$AA$2:$AB$5,2,FALSE())</f>
        <v>30</v>
      </c>
      <c r="R1967" s="7" t="n">
        <f aca="false">IF(OR(F1967="Open",F1967="Reopened"),1,0)</f>
        <v>0</v>
      </c>
      <c r="S1967" s="7" t="n">
        <f aca="false">IF(AND(H1967&gt;='Exec Summary'!$E$1,H1967&lt;='Exec Summary'!$E$2),1,0)</f>
        <v>0</v>
      </c>
      <c r="T1967" s="7" t="n">
        <f aca="false">IF(AND(F1967="Closed",I1967&lt;&gt;"",I1967&gt;='Exec Summary'!$E$1,I1967&lt;='Exec Summary'!$E$2),1,0)</f>
        <v>0</v>
      </c>
      <c r="U1967" s="7" t="n">
        <f aca="false">IF(F1967="Reopened",1,0)</f>
        <v>0</v>
      </c>
      <c r="V1967" s="7" t="n">
        <f aca="false">IF(AND(R1967=1,O1967&gt;Q1967),1,0)</f>
        <v>0</v>
      </c>
      <c r="W1967" s="7" t="n">
        <f aca="false">IF(AND(T1967=1,P1967&lt;&gt;"",P1967&lt;=Q1967),1,0)</f>
        <v>0</v>
      </c>
    </row>
    <row r="1968" customFormat="false" ht="15" hidden="false" customHeight="false" outlineLevel="0" collapsed="false">
      <c r="A1968" s="7" t="s">
        <v>2358</v>
      </c>
      <c r="B1968" s="7" t="s">
        <v>46</v>
      </c>
      <c r="C1968" s="7" t="s">
        <v>177</v>
      </c>
      <c r="D1968" s="7" t="s">
        <v>84</v>
      </c>
      <c r="E1968" s="7" t="s">
        <v>85</v>
      </c>
      <c r="F1968" s="7" t="s">
        <v>56</v>
      </c>
      <c r="G1968" s="7" t="s">
        <v>20</v>
      </c>
      <c r="H1968" s="9" t="n">
        <v>46068</v>
      </c>
      <c r="I1968" s="9"/>
      <c r="J1968" s="7" t="n">
        <v>7.5</v>
      </c>
      <c r="K1968" s="7" t="s">
        <v>2260</v>
      </c>
      <c r="L1968" s="7" t="s">
        <v>20</v>
      </c>
      <c r="M1968" s="7" t="s">
        <v>2367</v>
      </c>
      <c r="N1968" s="7" t="s">
        <v>53</v>
      </c>
      <c r="O1968" s="10" t="n">
        <f aca="false">'Exec Summary'!$E$2-H1968</f>
        <v>166</v>
      </c>
      <c r="P1968" s="10" t="str">
        <f aca="false">IF(I1968="","",I1968-H1968)</f>
        <v/>
      </c>
      <c r="Q1968" s="10" t="n">
        <f aca="false">VLOOKUP(G1968,$AA$2:$AB$5,2,FALSE())</f>
        <v>30</v>
      </c>
      <c r="R1968" s="7" t="n">
        <f aca="false">IF(OR(F1968="Open",F1968="Reopened"),1,0)</f>
        <v>1</v>
      </c>
      <c r="S1968" s="7" t="n">
        <f aca="false">IF(AND(H1968&gt;='Exec Summary'!$E$1,H1968&lt;='Exec Summary'!$E$2),1,0)</f>
        <v>0</v>
      </c>
      <c r="T1968" s="7" t="n">
        <f aca="false">IF(AND(F1968="Closed",I1968&lt;&gt;"",I1968&gt;='Exec Summary'!$E$1,I1968&lt;='Exec Summary'!$E$2),1,0)</f>
        <v>0</v>
      </c>
      <c r="U1968" s="7" t="n">
        <f aca="false">IF(F1968="Reopened",1,0)</f>
        <v>0</v>
      </c>
      <c r="V1968" s="7" t="n">
        <f aca="false">IF(AND(R1968=1,O1968&gt;Q1968),1,0)</f>
        <v>1</v>
      </c>
      <c r="W1968" s="7" t="n">
        <f aca="false">IF(AND(T1968=1,P1968&lt;&gt;"",P1968&lt;=Q1968),1,0)</f>
        <v>0</v>
      </c>
    </row>
    <row r="1969" customFormat="false" ht="15" hidden="false" customHeight="false" outlineLevel="0" collapsed="false">
      <c r="A1969" s="7" t="s">
        <v>2358</v>
      </c>
      <c r="B1969" s="7" t="s">
        <v>46</v>
      </c>
      <c r="C1969" s="7" t="s">
        <v>177</v>
      </c>
      <c r="D1969" s="7" t="s">
        <v>74</v>
      </c>
      <c r="E1969" s="7" t="s">
        <v>75</v>
      </c>
      <c r="F1969" s="7" t="s">
        <v>50</v>
      </c>
      <c r="G1969" s="7" t="s">
        <v>21</v>
      </c>
      <c r="H1969" s="9" t="n">
        <v>46166</v>
      </c>
      <c r="I1969" s="9" t="n">
        <v>46234</v>
      </c>
      <c r="J1969" s="7" t="n">
        <v>6.5</v>
      </c>
      <c r="K1969" s="7" t="s">
        <v>2260</v>
      </c>
      <c r="L1969" s="7" t="s">
        <v>20</v>
      </c>
      <c r="M1969" s="7" t="s">
        <v>2368</v>
      </c>
      <c r="N1969" s="7" t="s">
        <v>77</v>
      </c>
      <c r="O1969" s="10" t="n">
        <f aca="false">'Exec Summary'!$E$2-H1969</f>
        <v>68</v>
      </c>
      <c r="P1969" s="10" t="n">
        <f aca="false">IF(I1969="","",I1969-H1969)</f>
        <v>68</v>
      </c>
      <c r="Q1969" s="10" t="n">
        <f aca="false">VLOOKUP(G1969,$AA$2:$AB$5,2,FALSE())</f>
        <v>90</v>
      </c>
      <c r="R1969" s="7" t="n">
        <f aca="false">IF(OR(F1969="Open",F1969="Reopened"),1,0)</f>
        <v>0</v>
      </c>
      <c r="S1969" s="7" t="n">
        <f aca="false">IF(AND(H1969&gt;='Exec Summary'!$E$1,H1969&lt;='Exec Summary'!$E$2),1,0)</f>
        <v>0</v>
      </c>
      <c r="T1969" s="7" t="n">
        <f aca="false">IF(AND(F1969="Closed",I1969&lt;&gt;"",I1969&gt;='Exec Summary'!$E$1,I1969&lt;='Exec Summary'!$E$2),1,0)</f>
        <v>1</v>
      </c>
      <c r="U1969" s="7" t="n">
        <f aca="false">IF(F1969="Reopened",1,0)</f>
        <v>0</v>
      </c>
      <c r="V1969" s="7" t="n">
        <f aca="false">IF(AND(R1969=1,O1969&gt;Q1969),1,0)</f>
        <v>0</v>
      </c>
      <c r="W1969" s="7" t="n">
        <f aca="false">IF(AND(T1969=1,P1969&lt;&gt;"",P1969&lt;=Q1969),1,0)</f>
        <v>1</v>
      </c>
    </row>
    <row r="1970" customFormat="false" ht="15" hidden="false" customHeight="false" outlineLevel="0" collapsed="false">
      <c r="A1970" s="7" t="s">
        <v>2358</v>
      </c>
      <c r="B1970" s="7" t="s">
        <v>46</v>
      </c>
      <c r="C1970" s="7" t="s">
        <v>177</v>
      </c>
      <c r="D1970" s="7" t="s">
        <v>95</v>
      </c>
      <c r="E1970" s="7" t="s">
        <v>96</v>
      </c>
      <c r="F1970" s="7" t="s">
        <v>50</v>
      </c>
      <c r="G1970" s="7" t="s">
        <v>20</v>
      </c>
      <c r="H1970" s="9" t="n">
        <v>45945</v>
      </c>
      <c r="I1970" s="9" t="n">
        <v>45957</v>
      </c>
      <c r="J1970" s="7" t="n">
        <v>8.8</v>
      </c>
      <c r="K1970" s="7" t="s">
        <v>2260</v>
      </c>
      <c r="L1970" s="7" t="s">
        <v>20</v>
      </c>
      <c r="M1970" s="7" t="s">
        <v>2369</v>
      </c>
      <c r="N1970" s="7" t="s">
        <v>53</v>
      </c>
      <c r="O1970" s="10" t="n">
        <f aca="false">'Exec Summary'!$E$2-H1970</f>
        <v>289</v>
      </c>
      <c r="P1970" s="10" t="n">
        <f aca="false">IF(I1970="","",I1970-H1970)</f>
        <v>12</v>
      </c>
      <c r="Q1970" s="10" t="n">
        <f aca="false">VLOOKUP(G1970,$AA$2:$AB$5,2,FALSE())</f>
        <v>30</v>
      </c>
      <c r="R1970" s="7" t="n">
        <f aca="false">IF(OR(F1970="Open",F1970="Reopened"),1,0)</f>
        <v>0</v>
      </c>
      <c r="S1970" s="7" t="n">
        <f aca="false">IF(AND(H1970&gt;='Exec Summary'!$E$1,H1970&lt;='Exec Summary'!$E$2),1,0)</f>
        <v>0</v>
      </c>
      <c r="T1970" s="7" t="n">
        <f aca="false">IF(AND(F1970="Closed",I1970&lt;&gt;"",I1970&gt;='Exec Summary'!$E$1,I1970&lt;='Exec Summary'!$E$2),1,0)</f>
        <v>0</v>
      </c>
      <c r="U1970" s="7" t="n">
        <f aca="false">IF(F1970="Reopened",1,0)</f>
        <v>0</v>
      </c>
      <c r="V1970" s="7" t="n">
        <f aca="false">IF(AND(R1970=1,O1970&gt;Q1970),1,0)</f>
        <v>0</v>
      </c>
      <c r="W1970" s="7" t="n">
        <f aca="false">IF(AND(T1970=1,P1970&lt;&gt;"",P1970&lt;=Q1970),1,0)</f>
        <v>0</v>
      </c>
    </row>
    <row r="1971" customFormat="false" ht="15" hidden="false" customHeight="false" outlineLevel="0" collapsed="false">
      <c r="A1971" s="7" t="s">
        <v>2370</v>
      </c>
      <c r="B1971" s="7" t="s">
        <v>46</v>
      </c>
      <c r="C1971" s="7" t="s">
        <v>177</v>
      </c>
      <c r="D1971" s="7" t="s">
        <v>48</v>
      </c>
      <c r="E1971" s="7" t="s">
        <v>49</v>
      </c>
      <c r="F1971" s="7" t="s">
        <v>56</v>
      </c>
      <c r="G1971" s="7" t="s">
        <v>20</v>
      </c>
      <c r="H1971" s="9" t="n">
        <v>46076</v>
      </c>
      <c r="I1971" s="9"/>
      <c r="J1971" s="7" t="n">
        <v>7.5</v>
      </c>
      <c r="K1971" s="7" t="s">
        <v>2260</v>
      </c>
      <c r="L1971" s="7" t="s">
        <v>20</v>
      </c>
      <c r="M1971" s="7" t="s">
        <v>2371</v>
      </c>
      <c r="N1971" s="7" t="s">
        <v>53</v>
      </c>
      <c r="O1971" s="10" t="n">
        <f aca="false">'Exec Summary'!$E$2-H1971</f>
        <v>158</v>
      </c>
      <c r="P1971" s="10" t="str">
        <f aca="false">IF(I1971="","",I1971-H1971)</f>
        <v/>
      </c>
      <c r="Q1971" s="10" t="n">
        <f aca="false">VLOOKUP(G1971,$AA$2:$AB$5,2,FALSE())</f>
        <v>30</v>
      </c>
      <c r="R1971" s="7" t="n">
        <f aca="false">IF(OR(F1971="Open",F1971="Reopened"),1,0)</f>
        <v>1</v>
      </c>
      <c r="S1971" s="7" t="n">
        <f aca="false">IF(AND(H1971&gt;='Exec Summary'!$E$1,H1971&lt;='Exec Summary'!$E$2),1,0)</f>
        <v>0</v>
      </c>
      <c r="T1971" s="7" t="n">
        <f aca="false">IF(AND(F1971="Closed",I1971&lt;&gt;"",I1971&gt;='Exec Summary'!$E$1,I1971&lt;='Exec Summary'!$E$2),1,0)</f>
        <v>0</v>
      </c>
      <c r="U1971" s="7" t="n">
        <f aca="false">IF(F1971="Reopened",1,0)</f>
        <v>0</v>
      </c>
      <c r="V1971" s="7" t="n">
        <f aca="false">IF(AND(R1971=1,O1971&gt;Q1971),1,0)</f>
        <v>1</v>
      </c>
      <c r="W1971" s="7" t="n">
        <f aca="false">IF(AND(T1971=1,P1971&lt;&gt;"",P1971&lt;=Q1971),1,0)</f>
        <v>0</v>
      </c>
    </row>
    <row r="1972" customFormat="false" ht="15" hidden="false" customHeight="false" outlineLevel="0" collapsed="false">
      <c r="A1972" s="7" t="s">
        <v>2370</v>
      </c>
      <c r="B1972" s="7" t="s">
        <v>46</v>
      </c>
      <c r="C1972" s="7" t="s">
        <v>177</v>
      </c>
      <c r="D1972" s="7" t="s">
        <v>108</v>
      </c>
      <c r="E1972" s="7" t="s">
        <v>109</v>
      </c>
      <c r="F1972" s="7" t="s">
        <v>56</v>
      </c>
      <c r="G1972" s="7" t="s">
        <v>20</v>
      </c>
      <c r="H1972" s="9" t="n">
        <v>46166</v>
      </c>
      <c r="I1972" s="9"/>
      <c r="J1972" s="7" t="n">
        <v>8.6</v>
      </c>
      <c r="K1972" s="7" t="s">
        <v>2260</v>
      </c>
      <c r="L1972" s="7" t="s">
        <v>20</v>
      </c>
      <c r="M1972" s="7" t="s">
        <v>2372</v>
      </c>
      <c r="N1972" s="7" t="s">
        <v>53</v>
      </c>
      <c r="O1972" s="10" t="n">
        <f aca="false">'Exec Summary'!$E$2-H1972</f>
        <v>68</v>
      </c>
      <c r="P1972" s="10" t="str">
        <f aca="false">IF(I1972="","",I1972-H1972)</f>
        <v/>
      </c>
      <c r="Q1972" s="10" t="n">
        <f aca="false">VLOOKUP(G1972,$AA$2:$AB$5,2,FALSE())</f>
        <v>30</v>
      </c>
      <c r="R1972" s="7" t="n">
        <f aca="false">IF(OR(F1972="Open",F1972="Reopened"),1,0)</f>
        <v>1</v>
      </c>
      <c r="S1972" s="7" t="n">
        <f aca="false">IF(AND(H1972&gt;='Exec Summary'!$E$1,H1972&lt;='Exec Summary'!$E$2),1,0)</f>
        <v>0</v>
      </c>
      <c r="T1972" s="7" t="n">
        <f aca="false">IF(AND(F1972="Closed",I1972&lt;&gt;"",I1972&gt;='Exec Summary'!$E$1,I1972&lt;='Exec Summary'!$E$2),1,0)</f>
        <v>0</v>
      </c>
      <c r="U1972" s="7" t="n">
        <f aca="false">IF(F1972="Reopened",1,0)</f>
        <v>0</v>
      </c>
      <c r="V1972" s="7" t="n">
        <f aca="false">IF(AND(R1972=1,O1972&gt;Q1972),1,0)</f>
        <v>1</v>
      </c>
      <c r="W1972" s="7" t="n">
        <f aca="false">IF(AND(T1972=1,P1972&lt;&gt;"",P1972&lt;=Q1972),1,0)</f>
        <v>0</v>
      </c>
    </row>
    <row r="1973" customFormat="false" ht="15" hidden="false" customHeight="false" outlineLevel="0" collapsed="false">
      <c r="A1973" s="7" t="s">
        <v>2370</v>
      </c>
      <c r="B1973" s="7" t="s">
        <v>46</v>
      </c>
      <c r="C1973" s="7" t="s">
        <v>177</v>
      </c>
      <c r="D1973" s="7" t="s">
        <v>91</v>
      </c>
      <c r="E1973" s="7" t="s">
        <v>92</v>
      </c>
      <c r="F1973" s="7" t="s">
        <v>50</v>
      </c>
      <c r="G1973" s="7" t="s">
        <v>20</v>
      </c>
      <c r="H1973" s="9" t="n">
        <v>46113</v>
      </c>
      <c r="I1973" s="9" t="n">
        <v>46128</v>
      </c>
      <c r="J1973" s="7" t="n">
        <v>8.1</v>
      </c>
      <c r="K1973" s="7" t="s">
        <v>2260</v>
      </c>
      <c r="L1973" s="7" t="s">
        <v>20</v>
      </c>
      <c r="M1973" s="7" t="s">
        <v>2373</v>
      </c>
      <c r="N1973" s="7" t="s">
        <v>53</v>
      </c>
      <c r="O1973" s="10" t="n">
        <f aca="false">'Exec Summary'!$E$2-H1973</f>
        <v>121</v>
      </c>
      <c r="P1973" s="10" t="n">
        <f aca="false">IF(I1973="","",I1973-H1973)</f>
        <v>15</v>
      </c>
      <c r="Q1973" s="10" t="n">
        <f aca="false">VLOOKUP(G1973,$AA$2:$AB$5,2,FALSE())</f>
        <v>30</v>
      </c>
      <c r="R1973" s="7" t="n">
        <f aca="false">IF(OR(F1973="Open",F1973="Reopened"),1,0)</f>
        <v>0</v>
      </c>
      <c r="S1973" s="7" t="n">
        <f aca="false">IF(AND(H1973&gt;='Exec Summary'!$E$1,H1973&lt;='Exec Summary'!$E$2),1,0)</f>
        <v>0</v>
      </c>
      <c r="T1973" s="7" t="n">
        <f aca="false">IF(AND(F1973="Closed",I1973&lt;&gt;"",I1973&gt;='Exec Summary'!$E$1,I1973&lt;='Exec Summary'!$E$2),1,0)</f>
        <v>0</v>
      </c>
      <c r="U1973" s="7" t="n">
        <f aca="false">IF(F1973="Reopened",1,0)</f>
        <v>0</v>
      </c>
      <c r="V1973" s="7" t="n">
        <f aca="false">IF(AND(R1973=1,O1973&gt;Q1973),1,0)</f>
        <v>0</v>
      </c>
      <c r="W1973" s="7" t="n">
        <f aca="false">IF(AND(T1973=1,P1973&lt;&gt;"",P1973&lt;=Q1973),1,0)</f>
        <v>0</v>
      </c>
    </row>
    <row r="1974" customFormat="false" ht="15" hidden="false" customHeight="false" outlineLevel="0" collapsed="false">
      <c r="A1974" s="7" t="s">
        <v>2374</v>
      </c>
      <c r="B1974" s="7" t="s">
        <v>46</v>
      </c>
      <c r="C1974" s="7" t="s">
        <v>177</v>
      </c>
      <c r="D1974" s="7" t="s">
        <v>62</v>
      </c>
      <c r="E1974" s="7" t="s">
        <v>63</v>
      </c>
      <c r="F1974" s="7" t="s">
        <v>56</v>
      </c>
      <c r="G1974" s="7" t="s">
        <v>20</v>
      </c>
      <c r="H1974" s="9" t="n">
        <v>46040</v>
      </c>
      <c r="I1974" s="9"/>
      <c r="J1974" s="7" t="n">
        <v>8.1</v>
      </c>
      <c r="K1974" s="7" t="s">
        <v>2260</v>
      </c>
      <c r="L1974" s="7" t="s">
        <v>20</v>
      </c>
      <c r="M1974" s="7" t="s">
        <v>2375</v>
      </c>
      <c r="N1974" s="7" t="s">
        <v>53</v>
      </c>
      <c r="O1974" s="10" t="n">
        <f aca="false">'Exec Summary'!$E$2-H1974</f>
        <v>194</v>
      </c>
      <c r="P1974" s="10" t="str">
        <f aca="false">IF(I1974="","",I1974-H1974)</f>
        <v/>
      </c>
      <c r="Q1974" s="10" t="n">
        <f aca="false">VLOOKUP(G1974,$AA$2:$AB$5,2,FALSE())</f>
        <v>30</v>
      </c>
      <c r="R1974" s="7" t="n">
        <f aca="false">IF(OR(F1974="Open",F1974="Reopened"),1,0)</f>
        <v>1</v>
      </c>
      <c r="S1974" s="7" t="n">
        <f aca="false">IF(AND(H1974&gt;='Exec Summary'!$E$1,H1974&lt;='Exec Summary'!$E$2),1,0)</f>
        <v>0</v>
      </c>
      <c r="T1974" s="7" t="n">
        <f aca="false">IF(AND(F1974="Closed",I1974&lt;&gt;"",I1974&gt;='Exec Summary'!$E$1,I1974&lt;='Exec Summary'!$E$2),1,0)</f>
        <v>0</v>
      </c>
      <c r="U1974" s="7" t="n">
        <f aca="false">IF(F1974="Reopened",1,0)</f>
        <v>0</v>
      </c>
      <c r="V1974" s="7" t="n">
        <f aca="false">IF(AND(R1974=1,O1974&gt;Q1974),1,0)</f>
        <v>1</v>
      </c>
      <c r="W1974" s="7" t="n">
        <f aca="false">IF(AND(T1974=1,P1974&lt;&gt;"",P1974&lt;=Q1974),1,0)</f>
        <v>0</v>
      </c>
    </row>
    <row r="1975" customFormat="false" ht="15" hidden="false" customHeight="false" outlineLevel="0" collapsed="false">
      <c r="A1975" s="7" t="s">
        <v>2374</v>
      </c>
      <c r="B1975" s="7" t="s">
        <v>46</v>
      </c>
      <c r="C1975" s="7" t="s">
        <v>177</v>
      </c>
      <c r="D1975" s="7" t="s">
        <v>120</v>
      </c>
      <c r="E1975" s="7" t="s">
        <v>121</v>
      </c>
      <c r="F1975" s="7" t="s">
        <v>50</v>
      </c>
      <c r="G1975" s="7" t="s">
        <v>19</v>
      </c>
      <c r="H1975" s="9" t="n">
        <v>45967</v>
      </c>
      <c r="I1975" s="9" t="n">
        <v>45968</v>
      </c>
      <c r="J1975" s="7" t="n">
        <v>8.8</v>
      </c>
      <c r="K1975" s="7" t="s">
        <v>2260</v>
      </c>
      <c r="L1975" s="7" t="s">
        <v>20</v>
      </c>
      <c r="M1975" s="7" t="s">
        <v>2376</v>
      </c>
      <c r="N1975" s="7" t="s">
        <v>58</v>
      </c>
      <c r="O1975" s="10" t="n">
        <f aca="false">'Exec Summary'!$E$2-H1975</f>
        <v>267</v>
      </c>
      <c r="P1975" s="10" t="n">
        <f aca="false">IF(I1975="","",I1975-H1975)</f>
        <v>1</v>
      </c>
      <c r="Q1975" s="10" t="n">
        <f aca="false">VLOOKUP(G1975,$AA$2:$AB$5,2,FALSE())</f>
        <v>15</v>
      </c>
      <c r="R1975" s="7" t="n">
        <f aca="false">IF(OR(F1975="Open",F1975="Reopened"),1,0)</f>
        <v>0</v>
      </c>
      <c r="S1975" s="7" t="n">
        <f aca="false">IF(AND(H1975&gt;='Exec Summary'!$E$1,H1975&lt;='Exec Summary'!$E$2),1,0)</f>
        <v>0</v>
      </c>
      <c r="T1975" s="7" t="n">
        <f aca="false">IF(AND(F1975="Closed",I1975&lt;&gt;"",I1975&gt;='Exec Summary'!$E$1,I1975&lt;='Exec Summary'!$E$2),1,0)</f>
        <v>0</v>
      </c>
      <c r="U1975" s="7" t="n">
        <f aca="false">IF(F1975="Reopened",1,0)</f>
        <v>0</v>
      </c>
      <c r="V1975" s="7" t="n">
        <f aca="false">IF(AND(R1975=1,O1975&gt;Q1975),1,0)</f>
        <v>0</v>
      </c>
      <c r="W1975" s="7" t="n">
        <f aca="false">IF(AND(T1975=1,P1975&lt;&gt;"",P1975&lt;=Q1975),1,0)</f>
        <v>0</v>
      </c>
    </row>
    <row r="1976" customFormat="false" ht="15" hidden="false" customHeight="false" outlineLevel="0" collapsed="false">
      <c r="A1976" s="7" t="s">
        <v>2374</v>
      </c>
      <c r="B1976" s="7" t="s">
        <v>46</v>
      </c>
      <c r="C1976" s="7" t="s">
        <v>177</v>
      </c>
      <c r="D1976" s="7" t="s">
        <v>91</v>
      </c>
      <c r="E1976" s="7" t="s">
        <v>92</v>
      </c>
      <c r="F1976" s="7" t="s">
        <v>56</v>
      </c>
      <c r="G1976" s="7" t="s">
        <v>20</v>
      </c>
      <c r="H1976" s="9" t="n">
        <v>46160</v>
      </c>
      <c r="I1976" s="9"/>
      <c r="J1976" s="7" t="n">
        <v>8.1</v>
      </c>
      <c r="K1976" s="7" t="s">
        <v>2260</v>
      </c>
      <c r="L1976" s="7" t="s">
        <v>20</v>
      </c>
      <c r="M1976" s="7" t="s">
        <v>2377</v>
      </c>
      <c r="N1976" s="7" t="s">
        <v>53</v>
      </c>
      <c r="O1976" s="10" t="n">
        <f aca="false">'Exec Summary'!$E$2-H1976</f>
        <v>74</v>
      </c>
      <c r="P1976" s="10" t="str">
        <f aca="false">IF(I1976="","",I1976-H1976)</f>
        <v/>
      </c>
      <c r="Q1976" s="10" t="n">
        <f aca="false">VLOOKUP(G1976,$AA$2:$AB$5,2,FALSE())</f>
        <v>30</v>
      </c>
      <c r="R1976" s="7" t="n">
        <f aca="false">IF(OR(F1976="Open",F1976="Reopened"),1,0)</f>
        <v>1</v>
      </c>
      <c r="S1976" s="7" t="n">
        <f aca="false">IF(AND(H1976&gt;='Exec Summary'!$E$1,H1976&lt;='Exec Summary'!$E$2),1,0)</f>
        <v>0</v>
      </c>
      <c r="T1976" s="7" t="n">
        <f aca="false">IF(AND(F1976="Closed",I1976&lt;&gt;"",I1976&gt;='Exec Summary'!$E$1,I1976&lt;='Exec Summary'!$E$2),1,0)</f>
        <v>0</v>
      </c>
      <c r="U1976" s="7" t="n">
        <f aca="false">IF(F1976="Reopened",1,0)</f>
        <v>0</v>
      </c>
      <c r="V1976" s="7" t="n">
        <f aca="false">IF(AND(R1976=1,O1976&gt;Q1976),1,0)</f>
        <v>1</v>
      </c>
      <c r="W1976" s="7" t="n">
        <f aca="false">IF(AND(T1976=1,P1976&lt;&gt;"",P1976&lt;=Q1976),1,0)</f>
        <v>0</v>
      </c>
    </row>
    <row r="1977" customFormat="false" ht="15" hidden="false" customHeight="false" outlineLevel="0" collapsed="false">
      <c r="A1977" s="7" t="s">
        <v>2374</v>
      </c>
      <c r="B1977" s="7" t="s">
        <v>46</v>
      </c>
      <c r="C1977" s="7" t="s">
        <v>177</v>
      </c>
      <c r="D1977" s="7" t="s">
        <v>81</v>
      </c>
      <c r="E1977" s="7" t="s">
        <v>82</v>
      </c>
      <c r="F1977" s="7" t="s">
        <v>50</v>
      </c>
      <c r="G1977" s="7" t="s">
        <v>20</v>
      </c>
      <c r="H1977" s="9" t="n">
        <v>46196</v>
      </c>
      <c r="I1977" s="9" t="n">
        <v>46219</v>
      </c>
      <c r="J1977" s="7" t="n">
        <v>7.8</v>
      </c>
      <c r="K1977" s="7" t="s">
        <v>2260</v>
      </c>
      <c r="L1977" s="7" t="s">
        <v>20</v>
      </c>
      <c r="M1977" s="7" t="s">
        <v>2378</v>
      </c>
      <c r="N1977" s="7" t="s">
        <v>53</v>
      </c>
      <c r="O1977" s="10" t="n">
        <f aca="false">'Exec Summary'!$E$2-H1977</f>
        <v>38</v>
      </c>
      <c r="P1977" s="10" t="n">
        <f aca="false">IF(I1977="","",I1977-H1977)</f>
        <v>23</v>
      </c>
      <c r="Q1977" s="10" t="n">
        <f aca="false">VLOOKUP(G1977,$AA$2:$AB$5,2,FALSE())</f>
        <v>30</v>
      </c>
      <c r="R1977" s="7" t="n">
        <f aca="false">IF(OR(F1977="Open",F1977="Reopened"),1,0)</f>
        <v>0</v>
      </c>
      <c r="S1977" s="7" t="n">
        <f aca="false">IF(AND(H1977&gt;='Exec Summary'!$E$1,H1977&lt;='Exec Summary'!$E$2),1,0)</f>
        <v>0</v>
      </c>
      <c r="T1977" s="7" t="n">
        <f aca="false">IF(AND(F1977="Closed",I1977&lt;&gt;"",I1977&gt;='Exec Summary'!$E$1,I1977&lt;='Exec Summary'!$E$2),1,0)</f>
        <v>1</v>
      </c>
      <c r="U1977" s="7" t="n">
        <f aca="false">IF(F1977="Reopened",1,0)</f>
        <v>0</v>
      </c>
      <c r="V1977" s="7" t="n">
        <f aca="false">IF(AND(R1977=1,O1977&gt;Q1977),1,0)</f>
        <v>0</v>
      </c>
      <c r="W1977" s="7" t="n">
        <f aca="false">IF(AND(T1977=1,P1977&lt;&gt;"",P1977&lt;=Q1977),1,0)</f>
        <v>1</v>
      </c>
    </row>
    <row r="1978" customFormat="false" ht="15" hidden="false" customHeight="false" outlineLevel="0" collapsed="false">
      <c r="A1978" s="7" t="s">
        <v>2374</v>
      </c>
      <c r="B1978" s="7" t="s">
        <v>46</v>
      </c>
      <c r="C1978" s="7" t="s">
        <v>177</v>
      </c>
      <c r="D1978" s="7" t="s">
        <v>131</v>
      </c>
      <c r="E1978" s="7" t="s">
        <v>132</v>
      </c>
      <c r="F1978" s="7" t="s">
        <v>56</v>
      </c>
      <c r="G1978" s="7" t="s">
        <v>19</v>
      </c>
      <c r="H1978" s="9" t="n">
        <v>45941</v>
      </c>
      <c r="I1978" s="9"/>
      <c r="J1978" s="7" t="n">
        <v>9.8</v>
      </c>
      <c r="K1978" s="7" t="s">
        <v>2260</v>
      </c>
      <c r="L1978" s="7" t="s">
        <v>20</v>
      </c>
      <c r="M1978" s="7" t="s">
        <v>2379</v>
      </c>
      <c r="N1978" s="7" t="s">
        <v>58</v>
      </c>
      <c r="O1978" s="10" t="n">
        <f aca="false">'Exec Summary'!$E$2-H1978</f>
        <v>293</v>
      </c>
      <c r="P1978" s="10" t="str">
        <f aca="false">IF(I1978="","",I1978-H1978)</f>
        <v/>
      </c>
      <c r="Q1978" s="10" t="n">
        <f aca="false">VLOOKUP(G1978,$AA$2:$AB$5,2,FALSE())</f>
        <v>15</v>
      </c>
      <c r="R1978" s="7" t="n">
        <f aca="false">IF(OR(F1978="Open",F1978="Reopened"),1,0)</f>
        <v>1</v>
      </c>
      <c r="S1978" s="7" t="n">
        <f aca="false">IF(AND(H1978&gt;='Exec Summary'!$E$1,H1978&lt;='Exec Summary'!$E$2),1,0)</f>
        <v>0</v>
      </c>
      <c r="T1978" s="7" t="n">
        <f aca="false">IF(AND(F1978="Closed",I1978&lt;&gt;"",I1978&gt;='Exec Summary'!$E$1,I1978&lt;='Exec Summary'!$E$2),1,0)</f>
        <v>0</v>
      </c>
      <c r="U1978" s="7" t="n">
        <f aca="false">IF(F1978="Reopened",1,0)</f>
        <v>0</v>
      </c>
      <c r="V1978" s="7" t="n">
        <f aca="false">IF(AND(R1978=1,O1978&gt;Q1978),1,0)</f>
        <v>1</v>
      </c>
      <c r="W1978" s="7" t="n">
        <f aca="false">IF(AND(T1978=1,P1978&lt;&gt;"",P1978&lt;=Q1978),1,0)</f>
        <v>0</v>
      </c>
    </row>
    <row r="1979" customFormat="false" ht="15" hidden="false" customHeight="false" outlineLevel="0" collapsed="false">
      <c r="A1979" s="7" t="s">
        <v>2374</v>
      </c>
      <c r="B1979" s="7" t="s">
        <v>46</v>
      </c>
      <c r="C1979" s="7" t="s">
        <v>177</v>
      </c>
      <c r="D1979" s="7" t="s">
        <v>210</v>
      </c>
      <c r="E1979" s="7" t="s">
        <v>211</v>
      </c>
      <c r="F1979" s="7" t="s">
        <v>56</v>
      </c>
      <c r="G1979" s="7" t="s">
        <v>19</v>
      </c>
      <c r="H1979" s="9" t="n">
        <v>46053</v>
      </c>
      <c r="I1979" s="9"/>
      <c r="J1979" s="7" t="n">
        <v>9.8</v>
      </c>
      <c r="K1979" s="7" t="s">
        <v>2260</v>
      </c>
      <c r="L1979" s="7" t="s">
        <v>20</v>
      </c>
      <c r="M1979" s="7" t="s">
        <v>2380</v>
      </c>
      <c r="N1979" s="7" t="s">
        <v>58</v>
      </c>
      <c r="O1979" s="10" t="n">
        <f aca="false">'Exec Summary'!$E$2-H1979</f>
        <v>181</v>
      </c>
      <c r="P1979" s="10" t="str">
        <f aca="false">IF(I1979="","",I1979-H1979)</f>
        <v/>
      </c>
      <c r="Q1979" s="10" t="n">
        <f aca="false">VLOOKUP(G1979,$AA$2:$AB$5,2,FALSE())</f>
        <v>15</v>
      </c>
      <c r="R1979" s="7" t="n">
        <f aca="false">IF(OR(F1979="Open",F1979="Reopened"),1,0)</f>
        <v>1</v>
      </c>
      <c r="S1979" s="7" t="n">
        <f aca="false">IF(AND(H1979&gt;='Exec Summary'!$E$1,H1979&lt;='Exec Summary'!$E$2),1,0)</f>
        <v>0</v>
      </c>
      <c r="T1979" s="7" t="n">
        <f aca="false">IF(AND(F1979="Closed",I1979&lt;&gt;"",I1979&gt;='Exec Summary'!$E$1,I1979&lt;='Exec Summary'!$E$2),1,0)</f>
        <v>0</v>
      </c>
      <c r="U1979" s="7" t="n">
        <f aca="false">IF(F1979="Reopened",1,0)</f>
        <v>0</v>
      </c>
      <c r="V1979" s="7" t="n">
        <f aca="false">IF(AND(R1979=1,O1979&gt;Q1979),1,0)</f>
        <v>1</v>
      </c>
      <c r="W1979" s="7" t="n">
        <f aca="false">IF(AND(T1979=1,P1979&lt;&gt;"",P1979&lt;=Q1979),1,0)</f>
        <v>0</v>
      </c>
    </row>
    <row r="1980" customFormat="false" ht="15" hidden="false" customHeight="false" outlineLevel="0" collapsed="false">
      <c r="A1980" s="7" t="s">
        <v>2374</v>
      </c>
      <c r="B1980" s="7" t="s">
        <v>46</v>
      </c>
      <c r="C1980" s="7" t="s">
        <v>177</v>
      </c>
      <c r="D1980" s="7" t="s">
        <v>145</v>
      </c>
      <c r="E1980" s="7" t="s">
        <v>146</v>
      </c>
      <c r="F1980" s="7" t="s">
        <v>56</v>
      </c>
      <c r="G1980" s="7" t="s">
        <v>19</v>
      </c>
      <c r="H1980" s="9" t="n">
        <v>45991</v>
      </c>
      <c r="I1980" s="9"/>
      <c r="J1980" s="7" t="n">
        <v>9.8</v>
      </c>
      <c r="K1980" s="7" t="s">
        <v>2260</v>
      </c>
      <c r="L1980" s="7" t="s">
        <v>20</v>
      </c>
      <c r="M1980" s="7" t="s">
        <v>2381</v>
      </c>
      <c r="N1980" s="7" t="s">
        <v>58</v>
      </c>
      <c r="O1980" s="10" t="n">
        <f aca="false">'Exec Summary'!$E$2-H1980</f>
        <v>243</v>
      </c>
      <c r="P1980" s="10" t="str">
        <f aca="false">IF(I1980="","",I1980-H1980)</f>
        <v/>
      </c>
      <c r="Q1980" s="10" t="n">
        <f aca="false">VLOOKUP(G1980,$AA$2:$AB$5,2,FALSE())</f>
        <v>15</v>
      </c>
      <c r="R1980" s="7" t="n">
        <f aca="false">IF(OR(F1980="Open",F1980="Reopened"),1,0)</f>
        <v>1</v>
      </c>
      <c r="S1980" s="7" t="n">
        <f aca="false">IF(AND(H1980&gt;='Exec Summary'!$E$1,H1980&lt;='Exec Summary'!$E$2),1,0)</f>
        <v>0</v>
      </c>
      <c r="T1980" s="7" t="n">
        <f aca="false">IF(AND(F1980="Closed",I1980&lt;&gt;"",I1980&gt;='Exec Summary'!$E$1,I1980&lt;='Exec Summary'!$E$2),1,0)</f>
        <v>0</v>
      </c>
      <c r="U1980" s="7" t="n">
        <f aca="false">IF(F1980="Reopened",1,0)</f>
        <v>0</v>
      </c>
      <c r="V1980" s="7" t="n">
        <f aca="false">IF(AND(R1980=1,O1980&gt;Q1980),1,0)</f>
        <v>1</v>
      </c>
      <c r="W1980" s="7" t="n">
        <f aca="false">IF(AND(T1980=1,P1980&lt;&gt;"",P1980&lt;=Q1980),1,0)</f>
        <v>0</v>
      </c>
    </row>
    <row r="1981" customFormat="false" ht="15" hidden="false" customHeight="false" outlineLevel="0" collapsed="false">
      <c r="A1981" s="7" t="s">
        <v>2374</v>
      </c>
      <c r="B1981" s="7" t="s">
        <v>46</v>
      </c>
      <c r="C1981" s="7" t="s">
        <v>177</v>
      </c>
      <c r="D1981" s="7" t="s">
        <v>95</v>
      </c>
      <c r="E1981" s="7" t="s">
        <v>96</v>
      </c>
      <c r="F1981" s="7" t="s">
        <v>50</v>
      </c>
      <c r="G1981" s="7" t="s">
        <v>20</v>
      </c>
      <c r="H1981" s="9" t="n">
        <v>46032</v>
      </c>
      <c r="I1981" s="9" t="n">
        <v>46068</v>
      </c>
      <c r="J1981" s="7" t="n">
        <v>8.8</v>
      </c>
      <c r="K1981" s="7" t="s">
        <v>2260</v>
      </c>
      <c r="L1981" s="7" t="s">
        <v>20</v>
      </c>
      <c r="M1981" s="7" t="s">
        <v>2382</v>
      </c>
      <c r="N1981" s="7" t="s">
        <v>53</v>
      </c>
      <c r="O1981" s="10" t="n">
        <f aca="false">'Exec Summary'!$E$2-H1981</f>
        <v>202</v>
      </c>
      <c r="P1981" s="10" t="n">
        <f aca="false">IF(I1981="","",I1981-H1981)</f>
        <v>36</v>
      </c>
      <c r="Q1981" s="10" t="n">
        <f aca="false">VLOOKUP(G1981,$AA$2:$AB$5,2,FALSE())</f>
        <v>30</v>
      </c>
      <c r="R1981" s="7" t="n">
        <f aca="false">IF(OR(F1981="Open",F1981="Reopened"),1,0)</f>
        <v>0</v>
      </c>
      <c r="S1981" s="7" t="n">
        <f aca="false">IF(AND(H1981&gt;='Exec Summary'!$E$1,H1981&lt;='Exec Summary'!$E$2),1,0)</f>
        <v>0</v>
      </c>
      <c r="T1981" s="7" t="n">
        <f aca="false">IF(AND(F1981="Closed",I1981&lt;&gt;"",I1981&gt;='Exec Summary'!$E$1,I1981&lt;='Exec Summary'!$E$2),1,0)</f>
        <v>0</v>
      </c>
      <c r="U1981" s="7" t="n">
        <f aca="false">IF(F1981="Reopened",1,0)</f>
        <v>0</v>
      </c>
      <c r="V1981" s="7" t="n">
        <f aca="false">IF(AND(R1981=1,O1981&gt;Q1981),1,0)</f>
        <v>0</v>
      </c>
      <c r="W1981" s="7" t="n">
        <f aca="false">IF(AND(T1981=1,P1981&lt;&gt;"",P1981&lt;=Q1981),1,0)</f>
        <v>0</v>
      </c>
    </row>
    <row r="1982" customFormat="false" ht="15" hidden="false" customHeight="false" outlineLevel="0" collapsed="false">
      <c r="A1982" s="7" t="s">
        <v>2374</v>
      </c>
      <c r="B1982" s="7" t="s">
        <v>46</v>
      </c>
      <c r="C1982" s="7" t="s">
        <v>177</v>
      </c>
      <c r="D1982" s="7" t="s">
        <v>192</v>
      </c>
      <c r="E1982" s="7" t="s">
        <v>193</v>
      </c>
      <c r="F1982" s="7" t="s">
        <v>50</v>
      </c>
      <c r="G1982" s="7" t="s">
        <v>19</v>
      </c>
      <c r="H1982" s="9" t="n">
        <v>45945</v>
      </c>
      <c r="I1982" s="9" t="n">
        <v>45958</v>
      </c>
      <c r="J1982" s="7" t="n">
        <v>9.8</v>
      </c>
      <c r="K1982" s="7" t="s">
        <v>2260</v>
      </c>
      <c r="L1982" s="7" t="s">
        <v>20</v>
      </c>
      <c r="M1982" s="7" t="s">
        <v>2383</v>
      </c>
      <c r="N1982" s="7" t="s">
        <v>58</v>
      </c>
      <c r="O1982" s="10" t="n">
        <f aca="false">'Exec Summary'!$E$2-H1982</f>
        <v>289</v>
      </c>
      <c r="P1982" s="10" t="n">
        <f aca="false">IF(I1982="","",I1982-H1982)</f>
        <v>13</v>
      </c>
      <c r="Q1982" s="10" t="n">
        <f aca="false">VLOOKUP(G1982,$AA$2:$AB$5,2,FALSE())</f>
        <v>15</v>
      </c>
      <c r="R1982" s="7" t="n">
        <f aca="false">IF(OR(F1982="Open",F1982="Reopened"),1,0)</f>
        <v>0</v>
      </c>
      <c r="S1982" s="7" t="n">
        <f aca="false">IF(AND(H1982&gt;='Exec Summary'!$E$1,H1982&lt;='Exec Summary'!$E$2),1,0)</f>
        <v>0</v>
      </c>
      <c r="T1982" s="7" t="n">
        <f aca="false">IF(AND(F1982="Closed",I1982&lt;&gt;"",I1982&gt;='Exec Summary'!$E$1,I1982&lt;='Exec Summary'!$E$2),1,0)</f>
        <v>0</v>
      </c>
      <c r="U1982" s="7" t="n">
        <f aca="false">IF(F1982="Reopened",1,0)</f>
        <v>0</v>
      </c>
      <c r="V1982" s="7" t="n">
        <f aca="false">IF(AND(R1982=1,O1982&gt;Q1982),1,0)</f>
        <v>0</v>
      </c>
      <c r="W1982" s="7" t="n">
        <f aca="false">IF(AND(T1982=1,P1982&lt;&gt;"",P1982&lt;=Q1982),1,0)</f>
        <v>0</v>
      </c>
    </row>
    <row r="1983" customFormat="false" ht="15" hidden="false" customHeight="false" outlineLevel="0" collapsed="false">
      <c r="A1983" s="7" t="s">
        <v>2374</v>
      </c>
      <c r="B1983" s="7" t="s">
        <v>46</v>
      </c>
      <c r="C1983" s="7" t="s">
        <v>177</v>
      </c>
      <c r="D1983" s="7" t="s">
        <v>98</v>
      </c>
      <c r="E1983" s="7" t="s">
        <v>99</v>
      </c>
      <c r="F1983" s="7" t="s">
        <v>56</v>
      </c>
      <c r="G1983" s="7" t="s">
        <v>19</v>
      </c>
      <c r="H1983" s="9" t="n">
        <v>45954</v>
      </c>
      <c r="I1983" s="9"/>
      <c r="J1983" s="7" t="n">
        <v>10</v>
      </c>
      <c r="K1983" s="7" t="s">
        <v>2260</v>
      </c>
      <c r="L1983" s="7" t="s">
        <v>20</v>
      </c>
      <c r="M1983" s="7" t="s">
        <v>2384</v>
      </c>
      <c r="N1983" s="7" t="s">
        <v>58</v>
      </c>
      <c r="O1983" s="10" t="n">
        <f aca="false">'Exec Summary'!$E$2-H1983</f>
        <v>280</v>
      </c>
      <c r="P1983" s="10" t="str">
        <f aca="false">IF(I1983="","",I1983-H1983)</f>
        <v/>
      </c>
      <c r="Q1983" s="10" t="n">
        <f aca="false">VLOOKUP(G1983,$AA$2:$AB$5,2,FALSE())</f>
        <v>15</v>
      </c>
      <c r="R1983" s="7" t="n">
        <f aca="false">IF(OR(F1983="Open",F1983="Reopened"),1,0)</f>
        <v>1</v>
      </c>
      <c r="S1983" s="7" t="n">
        <f aca="false">IF(AND(H1983&gt;='Exec Summary'!$E$1,H1983&lt;='Exec Summary'!$E$2),1,0)</f>
        <v>0</v>
      </c>
      <c r="T1983" s="7" t="n">
        <f aca="false">IF(AND(F1983="Closed",I1983&lt;&gt;"",I1983&gt;='Exec Summary'!$E$1,I1983&lt;='Exec Summary'!$E$2),1,0)</f>
        <v>0</v>
      </c>
      <c r="U1983" s="7" t="n">
        <f aca="false">IF(F1983="Reopened",1,0)</f>
        <v>0</v>
      </c>
      <c r="V1983" s="7" t="n">
        <f aca="false">IF(AND(R1983=1,O1983&gt;Q1983),1,0)</f>
        <v>1</v>
      </c>
      <c r="W1983" s="7" t="n">
        <f aca="false">IF(AND(T1983=1,P1983&lt;&gt;"",P1983&lt;=Q1983),1,0)</f>
        <v>0</v>
      </c>
    </row>
    <row r="1984" customFormat="false" ht="15" hidden="false" customHeight="false" outlineLevel="0" collapsed="false">
      <c r="A1984" s="7" t="s">
        <v>2374</v>
      </c>
      <c r="B1984" s="7" t="s">
        <v>46</v>
      </c>
      <c r="C1984" s="7" t="s">
        <v>177</v>
      </c>
      <c r="D1984" s="7" t="s">
        <v>87</v>
      </c>
      <c r="E1984" s="7" t="s">
        <v>88</v>
      </c>
      <c r="F1984" s="7" t="s">
        <v>56</v>
      </c>
      <c r="G1984" s="7" t="s">
        <v>19</v>
      </c>
      <c r="H1984" s="9" t="n">
        <v>46021</v>
      </c>
      <c r="I1984" s="9"/>
      <c r="J1984" s="7" t="n">
        <v>10</v>
      </c>
      <c r="K1984" s="7" t="s">
        <v>2260</v>
      </c>
      <c r="L1984" s="7" t="s">
        <v>20</v>
      </c>
      <c r="M1984" s="7" t="s">
        <v>2385</v>
      </c>
      <c r="N1984" s="7" t="s">
        <v>58</v>
      </c>
      <c r="O1984" s="10" t="n">
        <f aca="false">'Exec Summary'!$E$2-H1984</f>
        <v>213</v>
      </c>
      <c r="P1984" s="10" t="str">
        <f aca="false">IF(I1984="","",I1984-H1984)</f>
        <v/>
      </c>
      <c r="Q1984" s="10" t="n">
        <f aca="false">VLOOKUP(G1984,$AA$2:$AB$5,2,FALSE())</f>
        <v>15</v>
      </c>
      <c r="R1984" s="7" t="n">
        <f aca="false">IF(OR(F1984="Open",F1984="Reopened"),1,0)</f>
        <v>1</v>
      </c>
      <c r="S1984" s="7" t="n">
        <f aca="false">IF(AND(H1984&gt;='Exec Summary'!$E$1,H1984&lt;='Exec Summary'!$E$2),1,0)</f>
        <v>0</v>
      </c>
      <c r="T1984" s="7" t="n">
        <f aca="false">IF(AND(F1984="Closed",I1984&lt;&gt;"",I1984&gt;='Exec Summary'!$E$1,I1984&lt;='Exec Summary'!$E$2),1,0)</f>
        <v>0</v>
      </c>
      <c r="U1984" s="7" t="n">
        <f aca="false">IF(F1984="Reopened",1,0)</f>
        <v>0</v>
      </c>
      <c r="V1984" s="7" t="n">
        <f aca="false">IF(AND(R1984=1,O1984&gt;Q1984),1,0)</f>
        <v>1</v>
      </c>
      <c r="W1984" s="7" t="n">
        <f aca="false">IF(AND(T1984=1,P1984&lt;&gt;"",P1984&lt;=Q1984),1,0)</f>
        <v>0</v>
      </c>
    </row>
    <row r="1985" customFormat="false" ht="15" hidden="false" customHeight="false" outlineLevel="0" collapsed="false">
      <c r="A1985" s="7" t="s">
        <v>2386</v>
      </c>
      <c r="B1985" s="7" t="s">
        <v>135</v>
      </c>
      <c r="C1985" s="7" t="s">
        <v>247</v>
      </c>
      <c r="D1985" s="7" t="s">
        <v>68</v>
      </c>
      <c r="E1985" s="7" t="s">
        <v>69</v>
      </c>
      <c r="F1985" s="7" t="s">
        <v>56</v>
      </c>
      <c r="G1985" s="7" t="s">
        <v>19</v>
      </c>
      <c r="H1985" s="9" t="n">
        <v>46187</v>
      </c>
      <c r="I1985" s="9"/>
      <c r="J1985" s="7" t="n">
        <v>9.8</v>
      </c>
      <c r="K1985" s="7" t="s">
        <v>2260</v>
      </c>
      <c r="L1985" s="7" t="s">
        <v>20</v>
      </c>
      <c r="M1985" s="7" t="s">
        <v>2387</v>
      </c>
      <c r="N1985" s="7" t="s">
        <v>58</v>
      </c>
      <c r="O1985" s="10" t="n">
        <f aca="false">'Exec Summary'!$E$2-H1985</f>
        <v>47</v>
      </c>
      <c r="P1985" s="10" t="str">
        <f aca="false">IF(I1985="","",I1985-H1985)</f>
        <v/>
      </c>
      <c r="Q1985" s="10" t="n">
        <f aca="false">VLOOKUP(G1985,$AA$2:$AB$5,2,FALSE())</f>
        <v>15</v>
      </c>
      <c r="R1985" s="7" t="n">
        <f aca="false">IF(OR(F1985="Open",F1985="Reopened"),1,0)</f>
        <v>1</v>
      </c>
      <c r="S1985" s="7" t="n">
        <f aca="false">IF(AND(H1985&gt;='Exec Summary'!$E$1,H1985&lt;='Exec Summary'!$E$2),1,0)</f>
        <v>0</v>
      </c>
      <c r="T1985" s="7" t="n">
        <f aca="false">IF(AND(F1985="Closed",I1985&lt;&gt;"",I1985&gt;='Exec Summary'!$E$1,I1985&lt;='Exec Summary'!$E$2),1,0)</f>
        <v>0</v>
      </c>
      <c r="U1985" s="7" t="n">
        <f aca="false">IF(F1985="Reopened",1,0)</f>
        <v>0</v>
      </c>
      <c r="V1985" s="7" t="n">
        <f aca="false">IF(AND(R1985=1,O1985&gt;Q1985),1,0)</f>
        <v>1</v>
      </c>
      <c r="W1985" s="7" t="n">
        <f aca="false">IF(AND(T1985=1,P1985&lt;&gt;"",P1985&lt;=Q1985),1,0)</f>
        <v>0</v>
      </c>
    </row>
    <row r="1986" customFormat="false" ht="15" hidden="false" customHeight="false" outlineLevel="0" collapsed="false">
      <c r="A1986" s="7" t="s">
        <v>2386</v>
      </c>
      <c r="B1986" s="7" t="s">
        <v>135</v>
      </c>
      <c r="C1986" s="7" t="s">
        <v>247</v>
      </c>
      <c r="D1986" s="7" t="s">
        <v>101</v>
      </c>
      <c r="E1986" s="7" t="s">
        <v>102</v>
      </c>
      <c r="F1986" s="7" t="s">
        <v>50</v>
      </c>
      <c r="G1986" s="7" t="s">
        <v>19</v>
      </c>
      <c r="H1986" s="9" t="n">
        <v>45985</v>
      </c>
      <c r="I1986" s="9" t="n">
        <v>45998</v>
      </c>
      <c r="J1986" s="7" t="n">
        <v>10</v>
      </c>
      <c r="K1986" s="7" t="s">
        <v>2260</v>
      </c>
      <c r="L1986" s="7" t="s">
        <v>20</v>
      </c>
      <c r="M1986" s="7" t="s">
        <v>2388</v>
      </c>
      <c r="N1986" s="7" t="s">
        <v>58</v>
      </c>
      <c r="O1986" s="10" t="n">
        <f aca="false">'Exec Summary'!$E$2-H1986</f>
        <v>249</v>
      </c>
      <c r="P1986" s="10" t="n">
        <f aca="false">IF(I1986="","",I1986-H1986)</f>
        <v>13</v>
      </c>
      <c r="Q1986" s="10" t="n">
        <f aca="false">VLOOKUP(G1986,$AA$2:$AB$5,2,FALSE())</f>
        <v>15</v>
      </c>
      <c r="R1986" s="7" t="n">
        <f aca="false">IF(OR(F1986="Open",F1986="Reopened"),1,0)</f>
        <v>0</v>
      </c>
      <c r="S1986" s="7" t="n">
        <f aca="false">IF(AND(H1986&gt;='Exec Summary'!$E$1,H1986&lt;='Exec Summary'!$E$2),1,0)</f>
        <v>0</v>
      </c>
      <c r="T1986" s="7" t="n">
        <f aca="false">IF(AND(F1986="Closed",I1986&lt;&gt;"",I1986&gt;='Exec Summary'!$E$1,I1986&lt;='Exec Summary'!$E$2),1,0)</f>
        <v>0</v>
      </c>
      <c r="U1986" s="7" t="n">
        <f aca="false">IF(F1986="Reopened",1,0)</f>
        <v>0</v>
      </c>
      <c r="V1986" s="7" t="n">
        <f aca="false">IF(AND(R1986=1,O1986&gt;Q1986),1,0)</f>
        <v>0</v>
      </c>
      <c r="W1986" s="7" t="n">
        <f aca="false">IF(AND(T1986=1,P1986&lt;&gt;"",P1986&lt;=Q1986),1,0)</f>
        <v>0</v>
      </c>
    </row>
    <row r="1987" customFormat="false" ht="15" hidden="false" customHeight="false" outlineLevel="0" collapsed="false">
      <c r="A1987" s="7" t="s">
        <v>2386</v>
      </c>
      <c r="B1987" s="7" t="s">
        <v>135</v>
      </c>
      <c r="C1987" s="7" t="s">
        <v>247</v>
      </c>
      <c r="D1987" s="7" t="s">
        <v>95</v>
      </c>
      <c r="E1987" s="7" t="s">
        <v>96</v>
      </c>
      <c r="F1987" s="7" t="s">
        <v>56</v>
      </c>
      <c r="G1987" s="7" t="s">
        <v>20</v>
      </c>
      <c r="H1987" s="9" t="n">
        <v>46056</v>
      </c>
      <c r="I1987" s="9"/>
      <c r="J1987" s="7" t="n">
        <v>8.8</v>
      </c>
      <c r="K1987" s="7" t="s">
        <v>2260</v>
      </c>
      <c r="L1987" s="7" t="s">
        <v>20</v>
      </c>
      <c r="M1987" s="7" t="s">
        <v>2389</v>
      </c>
      <c r="N1987" s="7" t="s">
        <v>53</v>
      </c>
      <c r="O1987" s="10" t="n">
        <f aca="false">'Exec Summary'!$E$2-H1987</f>
        <v>178</v>
      </c>
      <c r="P1987" s="10" t="str">
        <f aca="false">IF(I1987="","",I1987-H1987)</f>
        <v/>
      </c>
      <c r="Q1987" s="10" t="n">
        <f aca="false">VLOOKUP(G1987,$AA$2:$AB$5,2,FALSE())</f>
        <v>30</v>
      </c>
      <c r="R1987" s="7" t="n">
        <f aca="false">IF(OR(F1987="Open",F1987="Reopened"),1,0)</f>
        <v>1</v>
      </c>
      <c r="S1987" s="7" t="n">
        <f aca="false">IF(AND(H1987&gt;='Exec Summary'!$E$1,H1987&lt;='Exec Summary'!$E$2),1,0)</f>
        <v>0</v>
      </c>
      <c r="T1987" s="7" t="n">
        <f aca="false">IF(AND(F1987="Closed",I1987&lt;&gt;"",I1987&gt;='Exec Summary'!$E$1,I1987&lt;='Exec Summary'!$E$2),1,0)</f>
        <v>0</v>
      </c>
      <c r="U1987" s="7" t="n">
        <f aca="false">IF(F1987="Reopened",1,0)</f>
        <v>0</v>
      </c>
      <c r="V1987" s="7" t="n">
        <f aca="false">IF(AND(R1987=1,O1987&gt;Q1987),1,0)</f>
        <v>1</v>
      </c>
      <c r="W1987" s="7" t="n">
        <f aca="false">IF(AND(T1987=1,P1987&lt;&gt;"",P1987&lt;=Q1987),1,0)</f>
        <v>0</v>
      </c>
    </row>
    <row r="1988" customFormat="false" ht="15" hidden="false" customHeight="false" outlineLevel="0" collapsed="false">
      <c r="A1988" s="7" t="s">
        <v>2386</v>
      </c>
      <c r="B1988" s="7" t="s">
        <v>135</v>
      </c>
      <c r="C1988" s="7" t="s">
        <v>247</v>
      </c>
      <c r="D1988" s="7" t="s">
        <v>152</v>
      </c>
      <c r="E1988" s="7" t="s">
        <v>153</v>
      </c>
      <c r="F1988" s="7" t="s">
        <v>56</v>
      </c>
      <c r="G1988" s="7" t="s">
        <v>20</v>
      </c>
      <c r="H1988" s="9" t="n">
        <v>45964</v>
      </c>
      <c r="I1988" s="9"/>
      <c r="J1988" s="7" t="n">
        <v>7.5</v>
      </c>
      <c r="K1988" s="7" t="s">
        <v>2260</v>
      </c>
      <c r="L1988" s="7" t="s">
        <v>20</v>
      </c>
      <c r="M1988" s="7" t="s">
        <v>2390</v>
      </c>
      <c r="N1988" s="7" t="s">
        <v>53</v>
      </c>
      <c r="O1988" s="10" t="n">
        <f aca="false">'Exec Summary'!$E$2-H1988</f>
        <v>270</v>
      </c>
      <c r="P1988" s="10" t="str">
        <f aca="false">IF(I1988="","",I1988-H1988)</f>
        <v/>
      </c>
      <c r="Q1988" s="10" t="n">
        <f aca="false">VLOOKUP(G1988,$AA$2:$AB$5,2,FALSE())</f>
        <v>30</v>
      </c>
      <c r="R1988" s="7" t="n">
        <f aca="false">IF(OR(F1988="Open",F1988="Reopened"),1,0)</f>
        <v>1</v>
      </c>
      <c r="S1988" s="7" t="n">
        <f aca="false">IF(AND(H1988&gt;='Exec Summary'!$E$1,H1988&lt;='Exec Summary'!$E$2),1,0)</f>
        <v>0</v>
      </c>
      <c r="T1988" s="7" t="n">
        <f aca="false">IF(AND(F1988="Closed",I1988&lt;&gt;"",I1988&gt;='Exec Summary'!$E$1,I1988&lt;='Exec Summary'!$E$2),1,0)</f>
        <v>0</v>
      </c>
      <c r="U1988" s="7" t="n">
        <f aca="false">IF(F1988="Reopened",1,0)</f>
        <v>0</v>
      </c>
      <c r="V1988" s="7" t="n">
        <f aca="false">IF(AND(R1988=1,O1988&gt;Q1988),1,0)</f>
        <v>1</v>
      </c>
      <c r="W1988" s="7" t="n">
        <f aca="false">IF(AND(T1988=1,P1988&lt;&gt;"",P1988&lt;=Q1988),1,0)</f>
        <v>0</v>
      </c>
    </row>
    <row r="1989" customFormat="false" ht="15" hidden="false" customHeight="false" outlineLevel="0" collapsed="false">
      <c r="A1989" s="7" t="s">
        <v>2386</v>
      </c>
      <c r="B1989" s="7" t="s">
        <v>135</v>
      </c>
      <c r="C1989" s="7" t="s">
        <v>247</v>
      </c>
      <c r="D1989" s="7" t="s">
        <v>81</v>
      </c>
      <c r="E1989" s="7" t="s">
        <v>82</v>
      </c>
      <c r="F1989" s="7" t="s">
        <v>56</v>
      </c>
      <c r="G1989" s="7" t="s">
        <v>20</v>
      </c>
      <c r="H1989" s="9" t="n">
        <v>45984</v>
      </c>
      <c r="I1989" s="9"/>
      <c r="J1989" s="7" t="n">
        <v>7.8</v>
      </c>
      <c r="K1989" s="7" t="s">
        <v>2260</v>
      </c>
      <c r="L1989" s="7" t="s">
        <v>20</v>
      </c>
      <c r="M1989" s="7" t="s">
        <v>2391</v>
      </c>
      <c r="N1989" s="7" t="s">
        <v>53</v>
      </c>
      <c r="O1989" s="10" t="n">
        <f aca="false">'Exec Summary'!$E$2-H1989</f>
        <v>250</v>
      </c>
      <c r="P1989" s="10" t="str">
        <f aca="false">IF(I1989="","",I1989-H1989)</f>
        <v/>
      </c>
      <c r="Q1989" s="10" t="n">
        <f aca="false">VLOOKUP(G1989,$AA$2:$AB$5,2,FALSE())</f>
        <v>30</v>
      </c>
      <c r="R1989" s="7" t="n">
        <f aca="false">IF(OR(F1989="Open",F1989="Reopened"),1,0)</f>
        <v>1</v>
      </c>
      <c r="S1989" s="7" t="n">
        <f aca="false">IF(AND(H1989&gt;='Exec Summary'!$E$1,H1989&lt;='Exec Summary'!$E$2),1,0)</f>
        <v>0</v>
      </c>
      <c r="T1989" s="7" t="n">
        <f aca="false">IF(AND(F1989="Closed",I1989&lt;&gt;"",I1989&gt;='Exec Summary'!$E$1,I1989&lt;='Exec Summary'!$E$2),1,0)</f>
        <v>0</v>
      </c>
      <c r="U1989" s="7" t="n">
        <f aca="false">IF(F1989="Reopened",1,0)</f>
        <v>0</v>
      </c>
      <c r="V1989" s="7" t="n">
        <f aca="false">IF(AND(R1989=1,O1989&gt;Q1989),1,0)</f>
        <v>1</v>
      </c>
      <c r="W1989" s="7" t="n">
        <f aca="false">IF(AND(T1989=1,P1989&lt;&gt;"",P1989&lt;=Q1989),1,0)</f>
        <v>0</v>
      </c>
    </row>
    <row r="1990" customFormat="false" ht="15" hidden="false" customHeight="false" outlineLevel="0" collapsed="false">
      <c r="A1990" s="7" t="s">
        <v>2386</v>
      </c>
      <c r="B1990" s="7" t="s">
        <v>135</v>
      </c>
      <c r="C1990" s="7" t="s">
        <v>247</v>
      </c>
      <c r="D1990" s="7" t="s">
        <v>84</v>
      </c>
      <c r="E1990" s="7" t="s">
        <v>85</v>
      </c>
      <c r="F1990" s="7" t="s">
        <v>56</v>
      </c>
      <c r="G1990" s="7" t="s">
        <v>20</v>
      </c>
      <c r="H1990" s="9" t="n">
        <v>46007</v>
      </c>
      <c r="I1990" s="9"/>
      <c r="J1990" s="7" t="n">
        <v>7.5</v>
      </c>
      <c r="K1990" s="7" t="s">
        <v>2260</v>
      </c>
      <c r="L1990" s="7" t="s">
        <v>20</v>
      </c>
      <c r="M1990" s="7" t="s">
        <v>2392</v>
      </c>
      <c r="N1990" s="7" t="s">
        <v>53</v>
      </c>
      <c r="O1990" s="10" t="n">
        <f aca="false">'Exec Summary'!$E$2-H1990</f>
        <v>227</v>
      </c>
      <c r="P1990" s="10" t="str">
        <f aca="false">IF(I1990="","",I1990-H1990)</f>
        <v/>
      </c>
      <c r="Q1990" s="10" t="n">
        <f aca="false">VLOOKUP(G1990,$AA$2:$AB$5,2,FALSE())</f>
        <v>30</v>
      </c>
      <c r="R1990" s="7" t="n">
        <f aca="false">IF(OR(F1990="Open",F1990="Reopened"),1,0)</f>
        <v>1</v>
      </c>
      <c r="S1990" s="7" t="n">
        <f aca="false">IF(AND(H1990&gt;='Exec Summary'!$E$1,H1990&lt;='Exec Summary'!$E$2),1,0)</f>
        <v>0</v>
      </c>
      <c r="T1990" s="7" t="n">
        <f aca="false">IF(AND(F1990="Closed",I1990&lt;&gt;"",I1990&gt;='Exec Summary'!$E$1,I1990&lt;='Exec Summary'!$E$2),1,0)</f>
        <v>0</v>
      </c>
      <c r="U1990" s="7" t="n">
        <f aca="false">IF(F1990="Reopened",1,0)</f>
        <v>0</v>
      </c>
      <c r="V1990" s="7" t="n">
        <f aca="false">IF(AND(R1990=1,O1990&gt;Q1990),1,0)</f>
        <v>1</v>
      </c>
      <c r="W1990" s="7" t="n">
        <f aca="false">IF(AND(T1990=1,P1990&lt;&gt;"",P1990&lt;=Q1990),1,0)</f>
        <v>0</v>
      </c>
    </row>
    <row r="1991" customFormat="false" ht="15" hidden="false" customHeight="false" outlineLevel="0" collapsed="false">
      <c r="A1991" s="7" t="s">
        <v>2386</v>
      </c>
      <c r="B1991" s="7" t="s">
        <v>135</v>
      </c>
      <c r="C1991" s="7" t="s">
        <v>247</v>
      </c>
      <c r="D1991" s="7" t="s">
        <v>210</v>
      </c>
      <c r="E1991" s="7" t="s">
        <v>211</v>
      </c>
      <c r="F1991" s="7" t="s">
        <v>56</v>
      </c>
      <c r="G1991" s="7" t="s">
        <v>19</v>
      </c>
      <c r="H1991" s="9" t="n">
        <v>45948</v>
      </c>
      <c r="I1991" s="9"/>
      <c r="J1991" s="7" t="n">
        <v>9.8</v>
      </c>
      <c r="K1991" s="7" t="s">
        <v>2260</v>
      </c>
      <c r="L1991" s="7" t="s">
        <v>20</v>
      </c>
      <c r="M1991" s="7" t="s">
        <v>2393</v>
      </c>
      <c r="N1991" s="7" t="s">
        <v>58</v>
      </c>
      <c r="O1991" s="10" t="n">
        <f aca="false">'Exec Summary'!$E$2-H1991</f>
        <v>286</v>
      </c>
      <c r="P1991" s="10" t="str">
        <f aca="false">IF(I1991="","",I1991-H1991)</f>
        <v/>
      </c>
      <c r="Q1991" s="10" t="n">
        <f aca="false">VLOOKUP(G1991,$AA$2:$AB$5,2,FALSE())</f>
        <v>15</v>
      </c>
      <c r="R1991" s="7" t="n">
        <f aca="false">IF(OR(F1991="Open",F1991="Reopened"),1,0)</f>
        <v>1</v>
      </c>
      <c r="S1991" s="7" t="n">
        <f aca="false">IF(AND(H1991&gt;='Exec Summary'!$E$1,H1991&lt;='Exec Summary'!$E$2),1,0)</f>
        <v>0</v>
      </c>
      <c r="T1991" s="7" t="n">
        <f aca="false">IF(AND(F1991="Closed",I1991&lt;&gt;"",I1991&gt;='Exec Summary'!$E$1,I1991&lt;='Exec Summary'!$E$2),1,0)</f>
        <v>0</v>
      </c>
      <c r="U1991" s="7" t="n">
        <f aca="false">IF(F1991="Reopened",1,0)</f>
        <v>0</v>
      </c>
      <c r="V1991" s="7" t="n">
        <f aca="false">IF(AND(R1991=1,O1991&gt;Q1991),1,0)</f>
        <v>1</v>
      </c>
      <c r="W1991" s="7" t="n">
        <f aca="false">IF(AND(T1991=1,P1991&lt;&gt;"",P1991&lt;=Q1991),1,0)</f>
        <v>0</v>
      </c>
    </row>
    <row r="1992" customFormat="false" ht="15" hidden="false" customHeight="false" outlineLevel="0" collapsed="false">
      <c r="A1992" s="7" t="s">
        <v>2386</v>
      </c>
      <c r="B1992" s="7" t="s">
        <v>135</v>
      </c>
      <c r="C1992" s="7" t="s">
        <v>247</v>
      </c>
      <c r="D1992" s="7" t="s">
        <v>192</v>
      </c>
      <c r="E1992" s="7" t="s">
        <v>193</v>
      </c>
      <c r="F1992" s="7" t="s">
        <v>56</v>
      </c>
      <c r="G1992" s="7" t="s">
        <v>19</v>
      </c>
      <c r="H1992" s="9" t="n">
        <v>46011</v>
      </c>
      <c r="I1992" s="9"/>
      <c r="J1992" s="7" t="n">
        <v>9.8</v>
      </c>
      <c r="K1992" s="7" t="s">
        <v>2260</v>
      </c>
      <c r="L1992" s="7" t="s">
        <v>20</v>
      </c>
      <c r="M1992" s="7" t="s">
        <v>2394</v>
      </c>
      <c r="N1992" s="7" t="s">
        <v>58</v>
      </c>
      <c r="O1992" s="10" t="n">
        <f aca="false">'Exec Summary'!$E$2-H1992</f>
        <v>223</v>
      </c>
      <c r="P1992" s="10" t="str">
        <f aca="false">IF(I1992="","",I1992-H1992)</f>
        <v/>
      </c>
      <c r="Q1992" s="10" t="n">
        <f aca="false">VLOOKUP(G1992,$AA$2:$AB$5,2,FALSE())</f>
        <v>15</v>
      </c>
      <c r="R1992" s="7" t="n">
        <f aca="false">IF(OR(F1992="Open",F1992="Reopened"),1,0)</f>
        <v>1</v>
      </c>
      <c r="S1992" s="7" t="n">
        <f aca="false">IF(AND(H1992&gt;='Exec Summary'!$E$1,H1992&lt;='Exec Summary'!$E$2),1,0)</f>
        <v>0</v>
      </c>
      <c r="T1992" s="7" t="n">
        <f aca="false">IF(AND(F1992="Closed",I1992&lt;&gt;"",I1992&gt;='Exec Summary'!$E$1,I1992&lt;='Exec Summary'!$E$2),1,0)</f>
        <v>0</v>
      </c>
      <c r="U1992" s="7" t="n">
        <f aca="false">IF(F1992="Reopened",1,0)</f>
        <v>0</v>
      </c>
      <c r="V1992" s="7" t="n">
        <f aca="false">IF(AND(R1992=1,O1992&gt;Q1992),1,0)</f>
        <v>1</v>
      </c>
      <c r="W1992" s="7" t="n">
        <f aca="false">IF(AND(T1992=1,P1992&lt;&gt;"",P1992&lt;=Q1992),1,0)</f>
        <v>0</v>
      </c>
    </row>
    <row r="1993" customFormat="false" ht="15" hidden="false" customHeight="false" outlineLevel="0" collapsed="false">
      <c r="A1993" s="7" t="s">
        <v>2395</v>
      </c>
      <c r="B1993" s="7" t="s">
        <v>135</v>
      </c>
      <c r="C1993" s="7" t="s">
        <v>247</v>
      </c>
      <c r="D1993" s="7" t="s">
        <v>139</v>
      </c>
      <c r="E1993" s="7" t="s">
        <v>140</v>
      </c>
      <c r="F1993" s="7" t="s">
        <v>56</v>
      </c>
      <c r="G1993" s="7" t="s">
        <v>19</v>
      </c>
      <c r="H1993" s="9" t="n">
        <v>46086</v>
      </c>
      <c r="I1993" s="9"/>
      <c r="J1993" s="7" t="n">
        <v>9.8</v>
      </c>
      <c r="K1993" s="7" t="s">
        <v>2260</v>
      </c>
      <c r="L1993" s="7" t="s">
        <v>20</v>
      </c>
      <c r="M1993" s="7" t="s">
        <v>2396</v>
      </c>
      <c r="N1993" s="7" t="s">
        <v>58</v>
      </c>
      <c r="O1993" s="10" t="n">
        <f aca="false">'Exec Summary'!$E$2-H1993</f>
        <v>148</v>
      </c>
      <c r="P1993" s="10" t="str">
        <f aca="false">IF(I1993="","",I1993-H1993)</f>
        <v/>
      </c>
      <c r="Q1993" s="10" t="n">
        <f aca="false">VLOOKUP(G1993,$AA$2:$AB$5,2,FALSE())</f>
        <v>15</v>
      </c>
      <c r="R1993" s="7" t="n">
        <f aca="false">IF(OR(F1993="Open",F1993="Reopened"),1,0)</f>
        <v>1</v>
      </c>
      <c r="S1993" s="7" t="n">
        <f aca="false">IF(AND(H1993&gt;='Exec Summary'!$E$1,H1993&lt;='Exec Summary'!$E$2),1,0)</f>
        <v>0</v>
      </c>
      <c r="T1993" s="7" t="n">
        <f aca="false">IF(AND(F1993="Closed",I1993&lt;&gt;"",I1993&gt;='Exec Summary'!$E$1,I1993&lt;='Exec Summary'!$E$2),1,0)</f>
        <v>0</v>
      </c>
      <c r="U1993" s="7" t="n">
        <f aca="false">IF(F1993="Reopened",1,0)</f>
        <v>0</v>
      </c>
      <c r="V1993" s="7" t="n">
        <f aca="false">IF(AND(R1993=1,O1993&gt;Q1993),1,0)</f>
        <v>1</v>
      </c>
      <c r="W1993" s="7" t="n">
        <f aca="false">IF(AND(T1993=1,P1993&lt;&gt;"",P1993&lt;=Q1993),1,0)</f>
        <v>0</v>
      </c>
    </row>
    <row r="1994" customFormat="false" ht="15" hidden="false" customHeight="false" outlineLevel="0" collapsed="false">
      <c r="A1994" s="7" t="s">
        <v>2395</v>
      </c>
      <c r="B1994" s="7" t="s">
        <v>135</v>
      </c>
      <c r="C1994" s="7" t="s">
        <v>247</v>
      </c>
      <c r="D1994" s="7" t="s">
        <v>59</v>
      </c>
      <c r="E1994" s="7" t="s">
        <v>60</v>
      </c>
      <c r="F1994" s="7" t="s">
        <v>50</v>
      </c>
      <c r="G1994" s="7" t="s">
        <v>19</v>
      </c>
      <c r="H1994" s="9" t="n">
        <v>46082</v>
      </c>
      <c r="I1994" s="9" t="n">
        <v>46098</v>
      </c>
      <c r="J1994" s="7" t="n">
        <v>7.8</v>
      </c>
      <c r="K1994" s="7" t="s">
        <v>2260</v>
      </c>
      <c r="L1994" s="7" t="s">
        <v>20</v>
      </c>
      <c r="M1994" s="7" t="s">
        <v>2397</v>
      </c>
      <c r="N1994" s="7" t="s">
        <v>58</v>
      </c>
      <c r="O1994" s="10" t="n">
        <f aca="false">'Exec Summary'!$E$2-H1994</f>
        <v>152</v>
      </c>
      <c r="P1994" s="10" t="n">
        <f aca="false">IF(I1994="","",I1994-H1994)</f>
        <v>16</v>
      </c>
      <c r="Q1994" s="10" t="n">
        <f aca="false">VLOOKUP(G1994,$AA$2:$AB$5,2,FALSE())</f>
        <v>15</v>
      </c>
      <c r="R1994" s="7" t="n">
        <f aca="false">IF(OR(F1994="Open",F1994="Reopened"),1,0)</f>
        <v>0</v>
      </c>
      <c r="S1994" s="7" t="n">
        <f aca="false">IF(AND(H1994&gt;='Exec Summary'!$E$1,H1994&lt;='Exec Summary'!$E$2),1,0)</f>
        <v>0</v>
      </c>
      <c r="T1994" s="7" t="n">
        <f aca="false">IF(AND(F1994="Closed",I1994&lt;&gt;"",I1994&gt;='Exec Summary'!$E$1,I1994&lt;='Exec Summary'!$E$2),1,0)</f>
        <v>0</v>
      </c>
      <c r="U1994" s="7" t="n">
        <f aca="false">IF(F1994="Reopened",1,0)</f>
        <v>0</v>
      </c>
      <c r="V1994" s="7" t="n">
        <f aca="false">IF(AND(R1994=1,O1994&gt;Q1994),1,0)</f>
        <v>0</v>
      </c>
      <c r="W1994" s="7" t="n">
        <f aca="false">IF(AND(T1994=1,P1994&lt;&gt;"",P1994&lt;=Q1994),1,0)</f>
        <v>0</v>
      </c>
    </row>
    <row r="1995" customFormat="false" ht="15" hidden="false" customHeight="false" outlineLevel="0" collapsed="false">
      <c r="A1995" s="7" t="s">
        <v>2398</v>
      </c>
      <c r="B1995" s="7" t="s">
        <v>46</v>
      </c>
      <c r="C1995" s="7" t="s">
        <v>158</v>
      </c>
      <c r="D1995" s="7" t="s">
        <v>87</v>
      </c>
      <c r="E1995" s="7" t="s">
        <v>88</v>
      </c>
      <c r="F1995" s="7" t="s">
        <v>56</v>
      </c>
      <c r="G1995" s="7" t="s">
        <v>19</v>
      </c>
      <c r="H1995" s="9" t="n">
        <v>45984</v>
      </c>
      <c r="I1995" s="9"/>
      <c r="J1995" s="7" t="n">
        <v>10</v>
      </c>
      <c r="K1995" s="7" t="s">
        <v>2260</v>
      </c>
      <c r="L1995" s="7" t="s">
        <v>20</v>
      </c>
      <c r="M1995" s="7" t="s">
        <v>2399</v>
      </c>
      <c r="N1995" s="7" t="s">
        <v>58</v>
      </c>
      <c r="O1995" s="10" t="n">
        <f aca="false">'Exec Summary'!$E$2-H1995</f>
        <v>250</v>
      </c>
      <c r="P1995" s="10" t="str">
        <f aca="false">IF(I1995="","",I1995-H1995)</f>
        <v/>
      </c>
      <c r="Q1995" s="10" t="n">
        <f aca="false">VLOOKUP(G1995,$AA$2:$AB$5,2,FALSE())</f>
        <v>15</v>
      </c>
      <c r="R1995" s="7" t="n">
        <f aca="false">IF(OR(F1995="Open",F1995="Reopened"),1,0)</f>
        <v>1</v>
      </c>
      <c r="S1995" s="7" t="n">
        <f aca="false">IF(AND(H1995&gt;='Exec Summary'!$E$1,H1995&lt;='Exec Summary'!$E$2),1,0)</f>
        <v>0</v>
      </c>
      <c r="T1995" s="7" t="n">
        <f aca="false">IF(AND(F1995="Closed",I1995&lt;&gt;"",I1995&gt;='Exec Summary'!$E$1,I1995&lt;='Exec Summary'!$E$2),1,0)</f>
        <v>0</v>
      </c>
      <c r="U1995" s="7" t="n">
        <f aca="false">IF(F1995="Reopened",1,0)</f>
        <v>0</v>
      </c>
      <c r="V1995" s="7" t="n">
        <f aca="false">IF(AND(R1995=1,O1995&gt;Q1995),1,0)</f>
        <v>1</v>
      </c>
      <c r="W1995" s="7" t="n">
        <f aca="false">IF(AND(T1995=1,P1995&lt;&gt;"",P1995&lt;=Q1995),1,0)</f>
        <v>0</v>
      </c>
    </row>
    <row r="1996" customFormat="false" ht="15" hidden="false" customHeight="false" outlineLevel="0" collapsed="false">
      <c r="A1996" s="7" t="s">
        <v>2398</v>
      </c>
      <c r="B1996" s="7" t="s">
        <v>46</v>
      </c>
      <c r="C1996" s="7" t="s">
        <v>158</v>
      </c>
      <c r="D1996" s="7" t="s">
        <v>145</v>
      </c>
      <c r="E1996" s="7" t="s">
        <v>146</v>
      </c>
      <c r="F1996" s="7" t="s">
        <v>50</v>
      </c>
      <c r="G1996" s="7" t="s">
        <v>19</v>
      </c>
      <c r="H1996" s="9" t="n">
        <v>45959</v>
      </c>
      <c r="I1996" s="9" t="n">
        <v>45961</v>
      </c>
      <c r="J1996" s="7" t="n">
        <v>9.8</v>
      </c>
      <c r="K1996" s="7" t="s">
        <v>2260</v>
      </c>
      <c r="L1996" s="7" t="s">
        <v>20</v>
      </c>
      <c r="M1996" s="7" t="s">
        <v>2400</v>
      </c>
      <c r="N1996" s="7" t="s">
        <v>58</v>
      </c>
      <c r="O1996" s="10" t="n">
        <f aca="false">'Exec Summary'!$E$2-H1996</f>
        <v>275</v>
      </c>
      <c r="P1996" s="10" t="n">
        <f aca="false">IF(I1996="","",I1996-H1996)</f>
        <v>2</v>
      </c>
      <c r="Q1996" s="10" t="n">
        <f aca="false">VLOOKUP(G1996,$AA$2:$AB$5,2,FALSE())</f>
        <v>15</v>
      </c>
      <c r="R1996" s="7" t="n">
        <f aca="false">IF(OR(F1996="Open",F1996="Reopened"),1,0)</f>
        <v>0</v>
      </c>
      <c r="S1996" s="7" t="n">
        <f aca="false">IF(AND(H1996&gt;='Exec Summary'!$E$1,H1996&lt;='Exec Summary'!$E$2),1,0)</f>
        <v>0</v>
      </c>
      <c r="T1996" s="7" t="n">
        <f aca="false">IF(AND(F1996="Closed",I1996&lt;&gt;"",I1996&gt;='Exec Summary'!$E$1,I1996&lt;='Exec Summary'!$E$2),1,0)</f>
        <v>0</v>
      </c>
      <c r="U1996" s="7" t="n">
        <f aca="false">IF(F1996="Reopened",1,0)</f>
        <v>0</v>
      </c>
      <c r="V1996" s="7" t="n">
        <f aca="false">IF(AND(R1996=1,O1996&gt;Q1996),1,0)</f>
        <v>0</v>
      </c>
      <c r="W1996" s="7" t="n">
        <f aca="false">IF(AND(T1996=1,P1996&lt;&gt;"",P1996&lt;=Q1996),1,0)</f>
        <v>0</v>
      </c>
    </row>
    <row r="1997" customFormat="false" ht="15" hidden="false" customHeight="false" outlineLevel="0" collapsed="false">
      <c r="A1997" s="7" t="s">
        <v>2398</v>
      </c>
      <c r="B1997" s="7" t="s">
        <v>46</v>
      </c>
      <c r="C1997" s="7" t="s">
        <v>158</v>
      </c>
      <c r="D1997" s="7" t="s">
        <v>108</v>
      </c>
      <c r="E1997" s="7" t="s">
        <v>109</v>
      </c>
      <c r="F1997" s="7" t="s">
        <v>56</v>
      </c>
      <c r="G1997" s="7" t="s">
        <v>20</v>
      </c>
      <c r="H1997" s="9" t="n">
        <v>46163</v>
      </c>
      <c r="I1997" s="9"/>
      <c r="J1997" s="7" t="n">
        <v>8.6</v>
      </c>
      <c r="K1997" s="7" t="s">
        <v>2260</v>
      </c>
      <c r="L1997" s="7" t="s">
        <v>20</v>
      </c>
      <c r="M1997" s="7" t="s">
        <v>2401</v>
      </c>
      <c r="N1997" s="7" t="s">
        <v>53</v>
      </c>
      <c r="O1997" s="10" t="n">
        <f aca="false">'Exec Summary'!$E$2-H1997</f>
        <v>71</v>
      </c>
      <c r="P1997" s="10" t="str">
        <f aca="false">IF(I1997="","",I1997-H1997)</f>
        <v/>
      </c>
      <c r="Q1997" s="10" t="n">
        <f aca="false">VLOOKUP(G1997,$AA$2:$AB$5,2,FALSE())</f>
        <v>30</v>
      </c>
      <c r="R1997" s="7" t="n">
        <f aca="false">IF(OR(F1997="Open",F1997="Reopened"),1,0)</f>
        <v>1</v>
      </c>
      <c r="S1997" s="7" t="n">
        <f aca="false">IF(AND(H1997&gt;='Exec Summary'!$E$1,H1997&lt;='Exec Summary'!$E$2),1,0)</f>
        <v>0</v>
      </c>
      <c r="T1997" s="7" t="n">
        <f aca="false">IF(AND(F1997="Closed",I1997&lt;&gt;"",I1997&gt;='Exec Summary'!$E$1,I1997&lt;='Exec Summary'!$E$2),1,0)</f>
        <v>0</v>
      </c>
      <c r="U1997" s="7" t="n">
        <f aca="false">IF(F1997="Reopened",1,0)</f>
        <v>0</v>
      </c>
      <c r="V1997" s="7" t="n">
        <f aca="false">IF(AND(R1997=1,O1997&gt;Q1997),1,0)</f>
        <v>1</v>
      </c>
      <c r="W1997" s="7" t="n">
        <f aca="false">IF(AND(T1997=1,P1997&lt;&gt;"",P1997&lt;=Q1997),1,0)</f>
        <v>0</v>
      </c>
    </row>
    <row r="1998" customFormat="false" ht="15" hidden="false" customHeight="false" outlineLevel="0" collapsed="false">
      <c r="A1998" s="7" t="s">
        <v>2398</v>
      </c>
      <c r="B1998" s="7" t="s">
        <v>46</v>
      </c>
      <c r="C1998" s="7" t="s">
        <v>158</v>
      </c>
      <c r="D1998" s="7" t="s">
        <v>62</v>
      </c>
      <c r="E1998" s="7" t="s">
        <v>63</v>
      </c>
      <c r="F1998" s="7" t="s">
        <v>56</v>
      </c>
      <c r="G1998" s="7" t="s">
        <v>20</v>
      </c>
      <c r="H1998" s="9" t="n">
        <v>45962</v>
      </c>
      <c r="I1998" s="9"/>
      <c r="J1998" s="7" t="n">
        <v>8.1</v>
      </c>
      <c r="K1998" s="7" t="s">
        <v>2260</v>
      </c>
      <c r="L1998" s="7" t="s">
        <v>20</v>
      </c>
      <c r="M1998" s="7" t="s">
        <v>2402</v>
      </c>
      <c r="N1998" s="7" t="s">
        <v>53</v>
      </c>
      <c r="O1998" s="10" t="n">
        <f aca="false">'Exec Summary'!$E$2-H1998</f>
        <v>272</v>
      </c>
      <c r="P1998" s="10" t="str">
        <f aca="false">IF(I1998="","",I1998-H1998)</f>
        <v/>
      </c>
      <c r="Q1998" s="10" t="n">
        <f aca="false">VLOOKUP(G1998,$AA$2:$AB$5,2,FALSE())</f>
        <v>30</v>
      </c>
      <c r="R1998" s="7" t="n">
        <f aca="false">IF(OR(F1998="Open",F1998="Reopened"),1,0)</f>
        <v>1</v>
      </c>
      <c r="S1998" s="7" t="n">
        <f aca="false">IF(AND(H1998&gt;='Exec Summary'!$E$1,H1998&lt;='Exec Summary'!$E$2),1,0)</f>
        <v>0</v>
      </c>
      <c r="T1998" s="7" t="n">
        <f aca="false">IF(AND(F1998="Closed",I1998&lt;&gt;"",I1998&gt;='Exec Summary'!$E$1,I1998&lt;='Exec Summary'!$E$2),1,0)</f>
        <v>0</v>
      </c>
      <c r="U1998" s="7" t="n">
        <f aca="false">IF(F1998="Reopened",1,0)</f>
        <v>0</v>
      </c>
      <c r="V1998" s="7" t="n">
        <f aca="false">IF(AND(R1998=1,O1998&gt;Q1998),1,0)</f>
        <v>1</v>
      </c>
      <c r="W1998" s="7" t="n">
        <f aca="false">IF(AND(T1998=1,P1998&lt;&gt;"",P1998&lt;=Q1998),1,0)</f>
        <v>0</v>
      </c>
    </row>
    <row r="1999" customFormat="false" ht="15" hidden="false" customHeight="false" outlineLevel="0" collapsed="false">
      <c r="A1999" s="7" t="s">
        <v>2403</v>
      </c>
      <c r="B1999" s="7" t="s">
        <v>135</v>
      </c>
      <c r="C1999" s="7" t="s">
        <v>306</v>
      </c>
      <c r="D1999" s="7" t="s">
        <v>62</v>
      </c>
      <c r="E1999" s="7" t="s">
        <v>63</v>
      </c>
      <c r="F1999" s="7" t="s">
        <v>50</v>
      </c>
      <c r="G1999" s="7" t="s">
        <v>20</v>
      </c>
      <c r="H1999" s="9" t="n">
        <v>46172</v>
      </c>
      <c r="I1999" s="9" t="n">
        <v>46192</v>
      </c>
      <c r="J1999" s="7" t="n">
        <v>8.1</v>
      </c>
      <c r="K1999" s="7" t="s">
        <v>2260</v>
      </c>
      <c r="L1999" s="7" t="s">
        <v>20</v>
      </c>
      <c r="M1999" s="7" t="s">
        <v>2404</v>
      </c>
      <c r="N1999" s="7" t="s">
        <v>53</v>
      </c>
      <c r="O1999" s="10" t="n">
        <f aca="false">'Exec Summary'!$E$2-H1999</f>
        <v>62</v>
      </c>
      <c r="P1999" s="10" t="n">
        <f aca="false">IF(I1999="","",I1999-H1999)</f>
        <v>20</v>
      </c>
      <c r="Q1999" s="10" t="n">
        <f aca="false">VLOOKUP(G1999,$AA$2:$AB$5,2,FALSE())</f>
        <v>30</v>
      </c>
      <c r="R1999" s="7" t="n">
        <f aca="false">IF(OR(F1999="Open",F1999="Reopened"),1,0)</f>
        <v>0</v>
      </c>
      <c r="S1999" s="7" t="n">
        <f aca="false">IF(AND(H1999&gt;='Exec Summary'!$E$1,H1999&lt;='Exec Summary'!$E$2),1,0)</f>
        <v>0</v>
      </c>
      <c r="T1999" s="7" t="n">
        <f aca="false">IF(AND(F1999="Closed",I1999&lt;&gt;"",I1999&gt;='Exec Summary'!$E$1,I1999&lt;='Exec Summary'!$E$2),1,0)</f>
        <v>0</v>
      </c>
      <c r="U1999" s="7" t="n">
        <f aca="false">IF(F1999="Reopened",1,0)</f>
        <v>0</v>
      </c>
      <c r="V1999" s="7" t="n">
        <f aca="false">IF(AND(R1999=1,O1999&gt;Q1999),1,0)</f>
        <v>0</v>
      </c>
      <c r="W1999" s="7" t="n">
        <f aca="false">IF(AND(T1999=1,P1999&lt;&gt;"",P1999&lt;=Q1999),1,0)</f>
        <v>0</v>
      </c>
    </row>
    <row r="2000" customFormat="false" ht="15" hidden="false" customHeight="false" outlineLevel="0" collapsed="false">
      <c r="A2000" s="7" t="s">
        <v>2403</v>
      </c>
      <c r="B2000" s="7" t="s">
        <v>135</v>
      </c>
      <c r="C2000" s="7" t="s">
        <v>306</v>
      </c>
      <c r="D2000" s="7" t="s">
        <v>206</v>
      </c>
      <c r="E2000" s="7" t="s">
        <v>207</v>
      </c>
      <c r="F2000" s="7" t="s">
        <v>56</v>
      </c>
      <c r="G2000" s="7" t="s">
        <v>20</v>
      </c>
      <c r="H2000" s="9" t="n">
        <v>46104</v>
      </c>
      <c r="I2000" s="9"/>
      <c r="J2000" s="7" t="n">
        <v>8.8</v>
      </c>
      <c r="K2000" s="7" t="s">
        <v>2260</v>
      </c>
      <c r="L2000" s="7" t="s">
        <v>20</v>
      </c>
      <c r="M2000" s="7" t="s">
        <v>2405</v>
      </c>
      <c r="N2000" s="7" t="s">
        <v>53</v>
      </c>
      <c r="O2000" s="10" t="n">
        <f aca="false">'Exec Summary'!$E$2-H2000</f>
        <v>130</v>
      </c>
      <c r="P2000" s="10" t="str">
        <f aca="false">IF(I2000="","",I2000-H2000)</f>
        <v/>
      </c>
      <c r="Q2000" s="10" t="n">
        <f aca="false">VLOOKUP(G2000,$AA$2:$AB$5,2,FALSE())</f>
        <v>30</v>
      </c>
      <c r="R2000" s="7" t="n">
        <f aca="false">IF(OR(F2000="Open",F2000="Reopened"),1,0)</f>
        <v>1</v>
      </c>
      <c r="S2000" s="7" t="n">
        <f aca="false">IF(AND(H2000&gt;='Exec Summary'!$E$1,H2000&lt;='Exec Summary'!$E$2),1,0)</f>
        <v>0</v>
      </c>
      <c r="T2000" s="7" t="n">
        <f aca="false">IF(AND(F2000="Closed",I2000&lt;&gt;"",I2000&gt;='Exec Summary'!$E$1,I2000&lt;='Exec Summary'!$E$2),1,0)</f>
        <v>0</v>
      </c>
      <c r="U2000" s="7" t="n">
        <f aca="false">IF(F2000="Reopened",1,0)</f>
        <v>0</v>
      </c>
      <c r="V2000" s="7" t="n">
        <f aca="false">IF(AND(R2000=1,O2000&gt;Q2000),1,0)</f>
        <v>1</v>
      </c>
      <c r="W2000" s="7" t="n">
        <f aca="false">IF(AND(T2000=1,P2000&lt;&gt;"",P2000&lt;=Q2000),1,0)</f>
        <v>0</v>
      </c>
    </row>
    <row r="2001" customFormat="false" ht="15" hidden="false" customHeight="false" outlineLevel="0" collapsed="false">
      <c r="A2001" s="7" t="s">
        <v>2403</v>
      </c>
      <c r="B2001" s="7" t="s">
        <v>135</v>
      </c>
      <c r="C2001" s="7" t="s">
        <v>306</v>
      </c>
      <c r="D2001" s="7" t="s">
        <v>68</v>
      </c>
      <c r="E2001" s="7" t="s">
        <v>69</v>
      </c>
      <c r="F2001" s="7" t="s">
        <v>56</v>
      </c>
      <c r="G2001" s="7" t="s">
        <v>19</v>
      </c>
      <c r="H2001" s="9" t="n">
        <v>45947</v>
      </c>
      <c r="I2001" s="9"/>
      <c r="J2001" s="7" t="n">
        <v>9.8</v>
      </c>
      <c r="K2001" s="7" t="s">
        <v>2260</v>
      </c>
      <c r="L2001" s="7" t="s">
        <v>20</v>
      </c>
      <c r="M2001" s="7" t="s">
        <v>2406</v>
      </c>
      <c r="N2001" s="7" t="s">
        <v>58</v>
      </c>
      <c r="O2001" s="10" t="n">
        <f aca="false">'Exec Summary'!$E$2-H2001</f>
        <v>287</v>
      </c>
      <c r="P2001" s="10" t="str">
        <f aca="false">IF(I2001="","",I2001-H2001)</f>
        <v/>
      </c>
      <c r="Q2001" s="10" t="n">
        <f aca="false">VLOOKUP(G2001,$AA$2:$AB$5,2,FALSE())</f>
        <v>15</v>
      </c>
      <c r="R2001" s="7" t="n">
        <f aca="false">IF(OR(F2001="Open",F2001="Reopened"),1,0)</f>
        <v>1</v>
      </c>
      <c r="S2001" s="7" t="n">
        <f aca="false">IF(AND(H2001&gt;='Exec Summary'!$E$1,H2001&lt;='Exec Summary'!$E$2),1,0)</f>
        <v>0</v>
      </c>
      <c r="T2001" s="7" t="n">
        <f aca="false">IF(AND(F2001="Closed",I2001&lt;&gt;"",I2001&gt;='Exec Summary'!$E$1,I2001&lt;='Exec Summary'!$E$2),1,0)</f>
        <v>0</v>
      </c>
      <c r="U2001" s="7" t="n">
        <f aca="false">IF(F2001="Reopened",1,0)</f>
        <v>0</v>
      </c>
      <c r="V2001" s="7" t="n">
        <f aca="false">IF(AND(R2001=1,O2001&gt;Q2001),1,0)</f>
        <v>1</v>
      </c>
      <c r="W2001" s="7" t="n">
        <f aca="false">IF(AND(T2001=1,P2001&lt;&gt;"",P2001&lt;=Q2001),1,0)</f>
        <v>0</v>
      </c>
    </row>
    <row r="2002" customFormat="false" ht="15" hidden="false" customHeight="false" outlineLevel="0" collapsed="false">
      <c r="A2002" s="7" t="s">
        <v>2403</v>
      </c>
      <c r="B2002" s="7" t="s">
        <v>135</v>
      </c>
      <c r="C2002" s="7" t="s">
        <v>306</v>
      </c>
      <c r="D2002" s="7" t="s">
        <v>84</v>
      </c>
      <c r="E2002" s="7" t="s">
        <v>85</v>
      </c>
      <c r="F2002" s="7" t="s">
        <v>50</v>
      </c>
      <c r="G2002" s="7" t="s">
        <v>20</v>
      </c>
      <c r="H2002" s="9" t="n">
        <v>46170</v>
      </c>
      <c r="I2002" s="9" t="n">
        <v>46196</v>
      </c>
      <c r="J2002" s="7" t="n">
        <v>7.5</v>
      </c>
      <c r="K2002" s="7" t="s">
        <v>2260</v>
      </c>
      <c r="L2002" s="7" t="s">
        <v>20</v>
      </c>
      <c r="M2002" s="7" t="s">
        <v>2407</v>
      </c>
      <c r="N2002" s="7" t="s">
        <v>53</v>
      </c>
      <c r="O2002" s="10" t="n">
        <f aca="false">'Exec Summary'!$E$2-H2002</f>
        <v>64</v>
      </c>
      <c r="P2002" s="10" t="n">
        <f aca="false">IF(I2002="","",I2002-H2002)</f>
        <v>26</v>
      </c>
      <c r="Q2002" s="10" t="n">
        <f aca="false">VLOOKUP(G2002,$AA$2:$AB$5,2,FALSE())</f>
        <v>30</v>
      </c>
      <c r="R2002" s="7" t="n">
        <f aca="false">IF(OR(F2002="Open",F2002="Reopened"),1,0)</f>
        <v>0</v>
      </c>
      <c r="S2002" s="7" t="n">
        <f aca="false">IF(AND(H2002&gt;='Exec Summary'!$E$1,H2002&lt;='Exec Summary'!$E$2),1,0)</f>
        <v>0</v>
      </c>
      <c r="T2002" s="7" t="n">
        <f aca="false">IF(AND(F2002="Closed",I2002&lt;&gt;"",I2002&gt;='Exec Summary'!$E$1,I2002&lt;='Exec Summary'!$E$2),1,0)</f>
        <v>0</v>
      </c>
      <c r="U2002" s="7" t="n">
        <f aca="false">IF(F2002="Reopened",1,0)</f>
        <v>0</v>
      </c>
      <c r="V2002" s="7" t="n">
        <f aca="false">IF(AND(R2002=1,O2002&gt;Q2002),1,0)</f>
        <v>0</v>
      </c>
      <c r="W2002" s="7" t="n">
        <f aca="false">IF(AND(T2002=1,P2002&lt;&gt;"",P2002&lt;=Q2002),1,0)</f>
        <v>0</v>
      </c>
    </row>
    <row r="2003" customFormat="false" ht="15" hidden="false" customHeight="false" outlineLevel="0" collapsed="false">
      <c r="A2003" s="7" t="s">
        <v>2403</v>
      </c>
      <c r="B2003" s="7" t="s">
        <v>135</v>
      </c>
      <c r="C2003" s="7" t="s">
        <v>306</v>
      </c>
      <c r="D2003" s="7" t="s">
        <v>71</v>
      </c>
      <c r="E2003" s="7" t="s">
        <v>72</v>
      </c>
      <c r="F2003" s="7" t="s">
        <v>50</v>
      </c>
      <c r="G2003" s="7" t="s">
        <v>19</v>
      </c>
      <c r="H2003" s="9" t="n">
        <v>46165</v>
      </c>
      <c r="I2003" s="9" t="n">
        <v>46180</v>
      </c>
      <c r="J2003" s="7" t="n">
        <v>9.8</v>
      </c>
      <c r="K2003" s="7" t="s">
        <v>2260</v>
      </c>
      <c r="L2003" s="7" t="s">
        <v>20</v>
      </c>
      <c r="M2003" s="7" t="s">
        <v>2408</v>
      </c>
      <c r="N2003" s="7" t="s">
        <v>58</v>
      </c>
      <c r="O2003" s="10" t="n">
        <f aca="false">'Exec Summary'!$E$2-H2003</f>
        <v>69</v>
      </c>
      <c r="P2003" s="10" t="n">
        <f aca="false">IF(I2003="","",I2003-H2003)</f>
        <v>15</v>
      </c>
      <c r="Q2003" s="10" t="n">
        <f aca="false">VLOOKUP(G2003,$AA$2:$AB$5,2,FALSE())</f>
        <v>15</v>
      </c>
      <c r="R2003" s="7" t="n">
        <f aca="false">IF(OR(F2003="Open",F2003="Reopened"),1,0)</f>
        <v>0</v>
      </c>
      <c r="S2003" s="7" t="n">
        <f aca="false">IF(AND(H2003&gt;='Exec Summary'!$E$1,H2003&lt;='Exec Summary'!$E$2),1,0)</f>
        <v>0</v>
      </c>
      <c r="T2003" s="7" t="n">
        <f aca="false">IF(AND(F2003="Closed",I2003&lt;&gt;"",I2003&gt;='Exec Summary'!$E$1,I2003&lt;='Exec Summary'!$E$2),1,0)</f>
        <v>0</v>
      </c>
      <c r="U2003" s="7" t="n">
        <f aca="false">IF(F2003="Reopened",1,0)</f>
        <v>0</v>
      </c>
      <c r="V2003" s="7" t="n">
        <f aca="false">IF(AND(R2003=1,O2003&gt;Q2003),1,0)</f>
        <v>0</v>
      </c>
      <c r="W2003" s="7" t="n">
        <f aca="false">IF(AND(T2003=1,P2003&lt;&gt;"",P2003&lt;=Q2003),1,0)</f>
        <v>0</v>
      </c>
    </row>
    <row r="2004" customFormat="false" ht="15" hidden="false" customHeight="false" outlineLevel="0" collapsed="false">
      <c r="A2004" s="7" t="s">
        <v>2403</v>
      </c>
      <c r="B2004" s="7" t="s">
        <v>135</v>
      </c>
      <c r="C2004" s="7" t="s">
        <v>306</v>
      </c>
      <c r="D2004" s="7" t="s">
        <v>166</v>
      </c>
      <c r="E2004" s="7" t="s">
        <v>167</v>
      </c>
      <c r="F2004" s="7" t="s">
        <v>123</v>
      </c>
      <c r="G2004" s="7" t="s">
        <v>19</v>
      </c>
      <c r="H2004" s="9" t="n">
        <v>46194</v>
      </c>
      <c r="I2004" s="9" t="n">
        <v>46207</v>
      </c>
      <c r="J2004" s="7" t="n">
        <v>9.8</v>
      </c>
      <c r="K2004" s="7" t="s">
        <v>2260</v>
      </c>
      <c r="L2004" s="7" t="s">
        <v>20</v>
      </c>
      <c r="M2004" s="7" t="s">
        <v>2409</v>
      </c>
      <c r="N2004" s="7" t="s">
        <v>58</v>
      </c>
      <c r="O2004" s="10" t="n">
        <f aca="false">'Exec Summary'!$E$2-H2004</f>
        <v>40</v>
      </c>
      <c r="P2004" s="10" t="n">
        <f aca="false">IF(I2004="","",I2004-H2004)</f>
        <v>13</v>
      </c>
      <c r="Q2004" s="10" t="n">
        <f aca="false">VLOOKUP(G2004,$AA$2:$AB$5,2,FALSE())</f>
        <v>15</v>
      </c>
      <c r="R2004" s="7" t="n">
        <f aca="false">IF(OR(F2004="Open",F2004="Reopened"),1,0)</f>
        <v>1</v>
      </c>
      <c r="S2004" s="7" t="n">
        <f aca="false">IF(AND(H2004&gt;='Exec Summary'!$E$1,H2004&lt;='Exec Summary'!$E$2),1,0)</f>
        <v>0</v>
      </c>
      <c r="T2004" s="7" t="n">
        <f aca="false">IF(AND(F2004="Closed",I2004&lt;&gt;"",I2004&gt;='Exec Summary'!$E$1,I2004&lt;='Exec Summary'!$E$2),1,0)</f>
        <v>0</v>
      </c>
      <c r="U2004" s="7" t="n">
        <f aca="false">IF(F2004="Reopened",1,0)</f>
        <v>1</v>
      </c>
      <c r="V2004" s="7" t="n">
        <f aca="false">IF(AND(R2004=1,O2004&gt;Q2004),1,0)</f>
        <v>1</v>
      </c>
      <c r="W2004" s="7" t="n">
        <f aca="false">IF(AND(T2004=1,P2004&lt;&gt;"",P2004&lt;=Q2004),1,0)</f>
        <v>0</v>
      </c>
    </row>
    <row r="2005" customFormat="false" ht="15" hidden="false" customHeight="false" outlineLevel="0" collapsed="false">
      <c r="A2005" s="7" t="s">
        <v>2403</v>
      </c>
      <c r="B2005" s="7" t="s">
        <v>135</v>
      </c>
      <c r="C2005" s="7" t="s">
        <v>306</v>
      </c>
      <c r="D2005" s="7" t="s">
        <v>98</v>
      </c>
      <c r="E2005" s="7" t="s">
        <v>99</v>
      </c>
      <c r="F2005" s="7" t="s">
        <v>50</v>
      </c>
      <c r="G2005" s="7" t="s">
        <v>19</v>
      </c>
      <c r="H2005" s="9" t="n">
        <v>46187</v>
      </c>
      <c r="I2005" s="9" t="n">
        <v>46207</v>
      </c>
      <c r="J2005" s="7" t="n">
        <v>10</v>
      </c>
      <c r="K2005" s="7" t="s">
        <v>2260</v>
      </c>
      <c r="L2005" s="7" t="s">
        <v>20</v>
      </c>
      <c r="M2005" s="7" t="s">
        <v>2410</v>
      </c>
      <c r="N2005" s="7" t="s">
        <v>58</v>
      </c>
      <c r="O2005" s="10" t="n">
        <f aca="false">'Exec Summary'!$E$2-H2005</f>
        <v>47</v>
      </c>
      <c r="P2005" s="10" t="n">
        <f aca="false">IF(I2005="","",I2005-H2005)</f>
        <v>20</v>
      </c>
      <c r="Q2005" s="10" t="n">
        <f aca="false">VLOOKUP(G2005,$AA$2:$AB$5,2,FALSE())</f>
        <v>15</v>
      </c>
      <c r="R2005" s="7" t="n">
        <f aca="false">IF(OR(F2005="Open",F2005="Reopened"),1,0)</f>
        <v>0</v>
      </c>
      <c r="S2005" s="7" t="n">
        <f aca="false">IF(AND(H2005&gt;='Exec Summary'!$E$1,H2005&lt;='Exec Summary'!$E$2),1,0)</f>
        <v>0</v>
      </c>
      <c r="T2005" s="7" t="n">
        <f aca="false">IF(AND(F2005="Closed",I2005&lt;&gt;"",I2005&gt;='Exec Summary'!$E$1,I2005&lt;='Exec Summary'!$E$2),1,0)</f>
        <v>1</v>
      </c>
      <c r="U2005" s="7" t="n">
        <f aca="false">IF(F2005="Reopened",1,0)</f>
        <v>0</v>
      </c>
      <c r="V2005" s="7" t="n">
        <f aca="false">IF(AND(R2005=1,O2005&gt;Q2005),1,0)</f>
        <v>0</v>
      </c>
      <c r="W2005" s="7" t="n">
        <f aca="false">IF(AND(T2005=1,P2005&lt;&gt;"",P2005&lt;=Q2005),1,0)</f>
        <v>0</v>
      </c>
    </row>
    <row r="2006" customFormat="false" ht="15" hidden="false" customHeight="false" outlineLevel="0" collapsed="false">
      <c r="A2006" s="7" t="s">
        <v>2403</v>
      </c>
      <c r="B2006" s="7" t="s">
        <v>135</v>
      </c>
      <c r="C2006" s="7" t="s">
        <v>306</v>
      </c>
      <c r="D2006" s="7" t="s">
        <v>74</v>
      </c>
      <c r="E2006" s="7" t="s">
        <v>75</v>
      </c>
      <c r="F2006" s="7" t="s">
        <v>56</v>
      </c>
      <c r="G2006" s="7" t="s">
        <v>21</v>
      </c>
      <c r="H2006" s="9" t="n">
        <v>46142</v>
      </c>
      <c r="I2006" s="9"/>
      <c r="J2006" s="7" t="n">
        <v>6.5</v>
      </c>
      <c r="K2006" s="7" t="s">
        <v>2260</v>
      </c>
      <c r="L2006" s="7" t="s">
        <v>20</v>
      </c>
      <c r="M2006" s="7" t="s">
        <v>2411</v>
      </c>
      <c r="N2006" s="7" t="s">
        <v>77</v>
      </c>
      <c r="O2006" s="10" t="n">
        <f aca="false">'Exec Summary'!$E$2-H2006</f>
        <v>92</v>
      </c>
      <c r="P2006" s="10" t="str">
        <f aca="false">IF(I2006="","",I2006-H2006)</f>
        <v/>
      </c>
      <c r="Q2006" s="10" t="n">
        <f aca="false">VLOOKUP(G2006,$AA$2:$AB$5,2,FALSE())</f>
        <v>90</v>
      </c>
      <c r="R2006" s="7" t="n">
        <f aca="false">IF(OR(F2006="Open",F2006="Reopened"),1,0)</f>
        <v>1</v>
      </c>
      <c r="S2006" s="7" t="n">
        <f aca="false">IF(AND(H2006&gt;='Exec Summary'!$E$1,H2006&lt;='Exec Summary'!$E$2),1,0)</f>
        <v>0</v>
      </c>
      <c r="T2006" s="7" t="n">
        <f aca="false">IF(AND(F2006="Closed",I2006&lt;&gt;"",I2006&gt;='Exec Summary'!$E$1,I2006&lt;='Exec Summary'!$E$2),1,0)</f>
        <v>0</v>
      </c>
      <c r="U2006" s="7" t="n">
        <f aca="false">IF(F2006="Reopened",1,0)</f>
        <v>0</v>
      </c>
      <c r="V2006" s="7" t="n">
        <f aca="false">IF(AND(R2006=1,O2006&gt;Q2006),1,0)</f>
        <v>1</v>
      </c>
      <c r="W2006" s="7" t="n">
        <f aca="false">IF(AND(T2006=1,P2006&lt;&gt;"",P2006&lt;=Q2006),1,0)</f>
        <v>0</v>
      </c>
    </row>
    <row r="2007" customFormat="false" ht="15" hidden="false" customHeight="false" outlineLevel="0" collapsed="false">
      <c r="A2007" s="7" t="s">
        <v>2403</v>
      </c>
      <c r="B2007" s="7" t="s">
        <v>135</v>
      </c>
      <c r="C2007" s="7" t="s">
        <v>306</v>
      </c>
      <c r="D2007" s="7" t="s">
        <v>91</v>
      </c>
      <c r="E2007" s="7" t="s">
        <v>92</v>
      </c>
      <c r="F2007" s="7" t="s">
        <v>50</v>
      </c>
      <c r="G2007" s="7" t="s">
        <v>20</v>
      </c>
      <c r="H2007" s="9" t="n">
        <v>45990</v>
      </c>
      <c r="I2007" s="9" t="n">
        <v>46029</v>
      </c>
      <c r="J2007" s="7" t="n">
        <v>8.1</v>
      </c>
      <c r="K2007" s="7" t="s">
        <v>2260</v>
      </c>
      <c r="L2007" s="7" t="s">
        <v>20</v>
      </c>
      <c r="M2007" s="7" t="s">
        <v>2412</v>
      </c>
      <c r="N2007" s="7" t="s">
        <v>53</v>
      </c>
      <c r="O2007" s="10" t="n">
        <f aca="false">'Exec Summary'!$E$2-H2007</f>
        <v>244</v>
      </c>
      <c r="P2007" s="10" t="n">
        <f aca="false">IF(I2007="","",I2007-H2007)</f>
        <v>39</v>
      </c>
      <c r="Q2007" s="10" t="n">
        <f aca="false">VLOOKUP(G2007,$AA$2:$AB$5,2,FALSE())</f>
        <v>30</v>
      </c>
      <c r="R2007" s="7" t="n">
        <f aca="false">IF(OR(F2007="Open",F2007="Reopened"),1,0)</f>
        <v>0</v>
      </c>
      <c r="S2007" s="7" t="n">
        <f aca="false">IF(AND(H2007&gt;='Exec Summary'!$E$1,H2007&lt;='Exec Summary'!$E$2),1,0)</f>
        <v>0</v>
      </c>
      <c r="T2007" s="7" t="n">
        <f aca="false">IF(AND(F2007="Closed",I2007&lt;&gt;"",I2007&gt;='Exec Summary'!$E$1,I2007&lt;='Exec Summary'!$E$2),1,0)</f>
        <v>0</v>
      </c>
      <c r="U2007" s="7" t="n">
        <f aca="false">IF(F2007="Reopened",1,0)</f>
        <v>0</v>
      </c>
      <c r="V2007" s="7" t="n">
        <f aca="false">IF(AND(R2007=1,O2007&gt;Q2007),1,0)</f>
        <v>0</v>
      </c>
      <c r="W2007" s="7" t="n">
        <f aca="false">IF(AND(T2007=1,P2007&lt;&gt;"",P2007&lt;=Q2007),1,0)</f>
        <v>0</v>
      </c>
    </row>
    <row r="2008" customFormat="false" ht="15" hidden="false" customHeight="false" outlineLevel="0" collapsed="false">
      <c r="A2008" s="7" t="s">
        <v>2403</v>
      </c>
      <c r="B2008" s="7" t="s">
        <v>135</v>
      </c>
      <c r="C2008" s="7" t="s">
        <v>306</v>
      </c>
      <c r="D2008" s="7" t="s">
        <v>120</v>
      </c>
      <c r="E2008" s="7" t="s">
        <v>121</v>
      </c>
      <c r="F2008" s="7" t="s">
        <v>56</v>
      </c>
      <c r="G2008" s="7" t="s">
        <v>19</v>
      </c>
      <c r="H2008" s="9" t="n">
        <v>46176</v>
      </c>
      <c r="I2008" s="9"/>
      <c r="J2008" s="7" t="n">
        <v>8.8</v>
      </c>
      <c r="K2008" s="7" t="s">
        <v>2260</v>
      </c>
      <c r="L2008" s="7" t="s">
        <v>20</v>
      </c>
      <c r="M2008" s="7" t="s">
        <v>2413</v>
      </c>
      <c r="N2008" s="7" t="s">
        <v>58</v>
      </c>
      <c r="O2008" s="10" t="n">
        <f aca="false">'Exec Summary'!$E$2-H2008</f>
        <v>58</v>
      </c>
      <c r="P2008" s="10" t="str">
        <f aca="false">IF(I2008="","",I2008-H2008)</f>
        <v/>
      </c>
      <c r="Q2008" s="10" t="n">
        <f aca="false">VLOOKUP(G2008,$AA$2:$AB$5,2,FALSE())</f>
        <v>15</v>
      </c>
      <c r="R2008" s="7" t="n">
        <f aca="false">IF(OR(F2008="Open",F2008="Reopened"),1,0)</f>
        <v>1</v>
      </c>
      <c r="S2008" s="7" t="n">
        <f aca="false">IF(AND(H2008&gt;='Exec Summary'!$E$1,H2008&lt;='Exec Summary'!$E$2),1,0)</f>
        <v>0</v>
      </c>
      <c r="T2008" s="7" t="n">
        <f aca="false">IF(AND(F2008="Closed",I2008&lt;&gt;"",I2008&gt;='Exec Summary'!$E$1,I2008&lt;='Exec Summary'!$E$2),1,0)</f>
        <v>0</v>
      </c>
      <c r="U2008" s="7" t="n">
        <f aca="false">IF(F2008="Reopened",1,0)</f>
        <v>0</v>
      </c>
      <c r="V2008" s="7" t="n">
        <f aca="false">IF(AND(R2008=1,O2008&gt;Q2008),1,0)</f>
        <v>1</v>
      </c>
      <c r="W2008" s="7" t="n">
        <f aca="false">IF(AND(T2008=1,P2008&lt;&gt;"",P2008&lt;=Q2008),1,0)</f>
        <v>0</v>
      </c>
    </row>
    <row r="2009" customFormat="false" ht="15" hidden="false" customHeight="false" outlineLevel="0" collapsed="false">
      <c r="A2009" s="7" t="s">
        <v>2403</v>
      </c>
      <c r="B2009" s="7" t="s">
        <v>135</v>
      </c>
      <c r="C2009" s="7" t="s">
        <v>306</v>
      </c>
      <c r="D2009" s="7" t="s">
        <v>101</v>
      </c>
      <c r="E2009" s="7" t="s">
        <v>102</v>
      </c>
      <c r="F2009" s="7" t="s">
        <v>50</v>
      </c>
      <c r="G2009" s="7" t="s">
        <v>19</v>
      </c>
      <c r="H2009" s="9" t="n">
        <v>46065</v>
      </c>
      <c r="I2009" s="9" t="n">
        <v>46066</v>
      </c>
      <c r="J2009" s="7" t="n">
        <v>10</v>
      </c>
      <c r="K2009" s="7" t="s">
        <v>2260</v>
      </c>
      <c r="L2009" s="7" t="s">
        <v>20</v>
      </c>
      <c r="M2009" s="7" t="s">
        <v>2414</v>
      </c>
      <c r="N2009" s="7" t="s">
        <v>58</v>
      </c>
      <c r="O2009" s="10" t="n">
        <f aca="false">'Exec Summary'!$E$2-H2009</f>
        <v>169</v>
      </c>
      <c r="P2009" s="10" t="n">
        <f aca="false">IF(I2009="","",I2009-H2009)</f>
        <v>1</v>
      </c>
      <c r="Q2009" s="10" t="n">
        <f aca="false">VLOOKUP(G2009,$AA$2:$AB$5,2,FALSE())</f>
        <v>15</v>
      </c>
      <c r="R2009" s="7" t="n">
        <f aca="false">IF(OR(F2009="Open",F2009="Reopened"),1,0)</f>
        <v>0</v>
      </c>
      <c r="S2009" s="7" t="n">
        <f aca="false">IF(AND(H2009&gt;='Exec Summary'!$E$1,H2009&lt;='Exec Summary'!$E$2),1,0)</f>
        <v>0</v>
      </c>
      <c r="T2009" s="7" t="n">
        <f aca="false">IF(AND(F2009="Closed",I2009&lt;&gt;"",I2009&gt;='Exec Summary'!$E$1,I2009&lt;='Exec Summary'!$E$2),1,0)</f>
        <v>0</v>
      </c>
      <c r="U2009" s="7" t="n">
        <f aca="false">IF(F2009="Reopened",1,0)</f>
        <v>0</v>
      </c>
      <c r="V2009" s="7" t="n">
        <f aca="false">IF(AND(R2009=1,O2009&gt;Q2009),1,0)</f>
        <v>0</v>
      </c>
      <c r="W2009" s="7" t="n">
        <f aca="false">IF(AND(T2009=1,P2009&lt;&gt;"",P2009&lt;=Q2009),1,0)</f>
        <v>0</v>
      </c>
    </row>
    <row r="2010" customFormat="false" ht="15" hidden="false" customHeight="false" outlineLevel="0" collapsed="false">
      <c r="A2010" s="7" t="s">
        <v>2403</v>
      </c>
      <c r="B2010" s="7" t="s">
        <v>135</v>
      </c>
      <c r="C2010" s="7" t="s">
        <v>306</v>
      </c>
      <c r="D2010" s="7" t="s">
        <v>65</v>
      </c>
      <c r="E2010" s="7" t="s">
        <v>66</v>
      </c>
      <c r="F2010" s="7" t="s">
        <v>50</v>
      </c>
      <c r="G2010" s="7" t="s">
        <v>19</v>
      </c>
      <c r="H2010" s="9" t="n">
        <v>46088</v>
      </c>
      <c r="I2010" s="9" t="n">
        <v>46109</v>
      </c>
      <c r="J2010" s="7" t="n">
        <v>9.8</v>
      </c>
      <c r="K2010" s="7" t="s">
        <v>2260</v>
      </c>
      <c r="L2010" s="7" t="s">
        <v>20</v>
      </c>
      <c r="M2010" s="7" t="s">
        <v>2415</v>
      </c>
      <c r="N2010" s="7" t="s">
        <v>58</v>
      </c>
      <c r="O2010" s="10" t="n">
        <f aca="false">'Exec Summary'!$E$2-H2010</f>
        <v>146</v>
      </c>
      <c r="P2010" s="10" t="n">
        <f aca="false">IF(I2010="","",I2010-H2010)</f>
        <v>21</v>
      </c>
      <c r="Q2010" s="10" t="n">
        <f aca="false">VLOOKUP(G2010,$AA$2:$AB$5,2,FALSE())</f>
        <v>15</v>
      </c>
      <c r="R2010" s="7" t="n">
        <f aca="false">IF(OR(F2010="Open",F2010="Reopened"),1,0)</f>
        <v>0</v>
      </c>
      <c r="S2010" s="7" t="n">
        <f aca="false">IF(AND(H2010&gt;='Exec Summary'!$E$1,H2010&lt;='Exec Summary'!$E$2),1,0)</f>
        <v>0</v>
      </c>
      <c r="T2010" s="7" t="n">
        <f aca="false">IF(AND(F2010="Closed",I2010&lt;&gt;"",I2010&gt;='Exec Summary'!$E$1,I2010&lt;='Exec Summary'!$E$2),1,0)</f>
        <v>0</v>
      </c>
      <c r="U2010" s="7" t="n">
        <f aca="false">IF(F2010="Reopened",1,0)</f>
        <v>0</v>
      </c>
      <c r="V2010" s="7" t="n">
        <f aca="false">IF(AND(R2010=1,O2010&gt;Q2010),1,0)</f>
        <v>0</v>
      </c>
      <c r="W2010" s="7" t="n">
        <f aca="false">IF(AND(T2010=1,P2010&lt;&gt;"",P2010&lt;=Q2010),1,0)</f>
        <v>0</v>
      </c>
    </row>
    <row r="2011" customFormat="false" ht="15" hidden="false" customHeight="false" outlineLevel="0" collapsed="false">
      <c r="A2011" s="7" t="s">
        <v>2403</v>
      </c>
      <c r="B2011" s="7" t="s">
        <v>135</v>
      </c>
      <c r="C2011" s="7" t="s">
        <v>306</v>
      </c>
      <c r="D2011" s="7" t="s">
        <v>163</v>
      </c>
      <c r="E2011" s="7" t="s">
        <v>164</v>
      </c>
      <c r="F2011" s="7" t="s">
        <v>50</v>
      </c>
      <c r="G2011" s="7" t="s">
        <v>19</v>
      </c>
      <c r="H2011" s="9" t="n">
        <v>46028</v>
      </c>
      <c r="I2011" s="9" t="n">
        <v>46044</v>
      </c>
      <c r="J2011" s="7" t="n">
        <v>9.1</v>
      </c>
      <c r="K2011" s="7" t="s">
        <v>2260</v>
      </c>
      <c r="L2011" s="7" t="s">
        <v>20</v>
      </c>
      <c r="M2011" s="7" t="s">
        <v>2416</v>
      </c>
      <c r="N2011" s="7" t="s">
        <v>58</v>
      </c>
      <c r="O2011" s="10" t="n">
        <f aca="false">'Exec Summary'!$E$2-H2011</f>
        <v>206</v>
      </c>
      <c r="P2011" s="10" t="n">
        <f aca="false">IF(I2011="","",I2011-H2011)</f>
        <v>16</v>
      </c>
      <c r="Q2011" s="10" t="n">
        <f aca="false">VLOOKUP(G2011,$AA$2:$AB$5,2,FALSE())</f>
        <v>15</v>
      </c>
      <c r="R2011" s="7" t="n">
        <f aca="false">IF(OR(F2011="Open",F2011="Reopened"),1,0)</f>
        <v>0</v>
      </c>
      <c r="S2011" s="7" t="n">
        <f aca="false">IF(AND(H2011&gt;='Exec Summary'!$E$1,H2011&lt;='Exec Summary'!$E$2),1,0)</f>
        <v>0</v>
      </c>
      <c r="T2011" s="7" t="n">
        <f aca="false">IF(AND(F2011="Closed",I2011&lt;&gt;"",I2011&gt;='Exec Summary'!$E$1,I2011&lt;='Exec Summary'!$E$2),1,0)</f>
        <v>0</v>
      </c>
      <c r="U2011" s="7" t="n">
        <f aca="false">IF(F2011="Reopened",1,0)</f>
        <v>0</v>
      </c>
      <c r="V2011" s="7" t="n">
        <f aca="false">IF(AND(R2011=1,O2011&gt;Q2011),1,0)</f>
        <v>0</v>
      </c>
      <c r="W2011" s="7" t="n">
        <f aca="false">IF(AND(T2011=1,P2011&lt;&gt;"",P2011&lt;=Q2011),1,0)</f>
        <v>0</v>
      </c>
    </row>
    <row r="2012" customFormat="false" ht="15" hidden="false" customHeight="false" outlineLevel="0" collapsed="false">
      <c r="A2012" s="7" t="s">
        <v>2417</v>
      </c>
      <c r="B2012" s="7" t="s">
        <v>46</v>
      </c>
      <c r="C2012" s="7" t="s">
        <v>79</v>
      </c>
      <c r="D2012" s="7" t="s">
        <v>74</v>
      </c>
      <c r="E2012" s="7" t="s">
        <v>75</v>
      </c>
      <c r="F2012" s="7" t="s">
        <v>56</v>
      </c>
      <c r="G2012" s="7" t="s">
        <v>21</v>
      </c>
      <c r="H2012" s="9" t="n">
        <v>46040</v>
      </c>
      <c r="I2012" s="9"/>
      <c r="J2012" s="7" t="n">
        <v>6.5</v>
      </c>
      <c r="K2012" s="7" t="s">
        <v>2260</v>
      </c>
      <c r="L2012" s="7" t="s">
        <v>20</v>
      </c>
      <c r="M2012" s="7" t="s">
        <v>2418</v>
      </c>
      <c r="N2012" s="7" t="s">
        <v>77</v>
      </c>
      <c r="O2012" s="10" t="n">
        <f aca="false">'Exec Summary'!$E$2-H2012</f>
        <v>194</v>
      </c>
      <c r="P2012" s="10" t="str">
        <f aca="false">IF(I2012="","",I2012-H2012)</f>
        <v/>
      </c>
      <c r="Q2012" s="10" t="n">
        <f aca="false">VLOOKUP(G2012,$AA$2:$AB$5,2,FALSE())</f>
        <v>90</v>
      </c>
      <c r="R2012" s="7" t="n">
        <f aca="false">IF(OR(F2012="Open",F2012="Reopened"),1,0)</f>
        <v>1</v>
      </c>
      <c r="S2012" s="7" t="n">
        <f aca="false">IF(AND(H2012&gt;='Exec Summary'!$E$1,H2012&lt;='Exec Summary'!$E$2),1,0)</f>
        <v>0</v>
      </c>
      <c r="T2012" s="7" t="n">
        <f aca="false">IF(AND(F2012="Closed",I2012&lt;&gt;"",I2012&gt;='Exec Summary'!$E$1,I2012&lt;='Exec Summary'!$E$2),1,0)</f>
        <v>0</v>
      </c>
      <c r="U2012" s="7" t="n">
        <f aca="false">IF(F2012="Reopened",1,0)</f>
        <v>0</v>
      </c>
      <c r="V2012" s="7" t="n">
        <f aca="false">IF(AND(R2012=1,O2012&gt;Q2012),1,0)</f>
        <v>1</v>
      </c>
      <c r="W2012" s="7" t="n">
        <f aca="false">IF(AND(T2012=1,P2012&lt;&gt;"",P2012&lt;=Q2012),1,0)</f>
        <v>0</v>
      </c>
    </row>
    <row r="2013" customFormat="false" ht="15" hidden="false" customHeight="false" outlineLevel="0" collapsed="false">
      <c r="A2013" s="7" t="s">
        <v>2417</v>
      </c>
      <c r="B2013" s="7" t="s">
        <v>46</v>
      </c>
      <c r="C2013" s="7" t="s">
        <v>79</v>
      </c>
      <c r="D2013" s="7" t="s">
        <v>117</v>
      </c>
      <c r="E2013" s="7" t="s">
        <v>118</v>
      </c>
      <c r="F2013" s="7" t="s">
        <v>50</v>
      </c>
      <c r="G2013" s="7" t="s">
        <v>19</v>
      </c>
      <c r="H2013" s="9" t="n">
        <v>46114</v>
      </c>
      <c r="I2013" s="9" t="n">
        <v>46128</v>
      </c>
      <c r="J2013" s="7" t="n">
        <v>10</v>
      </c>
      <c r="K2013" s="7" t="s">
        <v>2260</v>
      </c>
      <c r="L2013" s="7" t="s">
        <v>20</v>
      </c>
      <c r="M2013" s="7" t="s">
        <v>2419</v>
      </c>
      <c r="N2013" s="7" t="s">
        <v>58</v>
      </c>
      <c r="O2013" s="10" t="n">
        <f aca="false">'Exec Summary'!$E$2-H2013</f>
        <v>120</v>
      </c>
      <c r="P2013" s="10" t="n">
        <f aca="false">IF(I2013="","",I2013-H2013)</f>
        <v>14</v>
      </c>
      <c r="Q2013" s="10" t="n">
        <f aca="false">VLOOKUP(G2013,$AA$2:$AB$5,2,FALSE())</f>
        <v>15</v>
      </c>
      <c r="R2013" s="7" t="n">
        <f aca="false">IF(OR(F2013="Open",F2013="Reopened"),1,0)</f>
        <v>0</v>
      </c>
      <c r="S2013" s="7" t="n">
        <f aca="false">IF(AND(H2013&gt;='Exec Summary'!$E$1,H2013&lt;='Exec Summary'!$E$2),1,0)</f>
        <v>0</v>
      </c>
      <c r="T2013" s="7" t="n">
        <f aca="false">IF(AND(F2013="Closed",I2013&lt;&gt;"",I2013&gt;='Exec Summary'!$E$1,I2013&lt;='Exec Summary'!$E$2),1,0)</f>
        <v>0</v>
      </c>
      <c r="U2013" s="7" t="n">
        <f aca="false">IF(F2013="Reopened",1,0)</f>
        <v>0</v>
      </c>
      <c r="V2013" s="7" t="n">
        <f aca="false">IF(AND(R2013=1,O2013&gt;Q2013),1,0)</f>
        <v>0</v>
      </c>
      <c r="W2013" s="7" t="n">
        <f aca="false">IF(AND(T2013=1,P2013&lt;&gt;"",P2013&lt;=Q2013),1,0)</f>
        <v>0</v>
      </c>
    </row>
    <row r="2014" customFormat="false" ht="15" hidden="false" customHeight="false" outlineLevel="0" collapsed="false">
      <c r="A2014" s="7" t="s">
        <v>2417</v>
      </c>
      <c r="B2014" s="7" t="s">
        <v>46</v>
      </c>
      <c r="C2014" s="7" t="s">
        <v>79</v>
      </c>
      <c r="D2014" s="7" t="s">
        <v>206</v>
      </c>
      <c r="E2014" s="7" t="s">
        <v>207</v>
      </c>
      <c r="F2014" s="7" t="s">
        <v>50</v>
      </c>
      <c r="G2014" s="7" t="s">
        <v>20</v>
      </c>
      <c r="H2014" s="9" t="n">
        <v>46174</v>
      </c>
      <c r="I2014" s="9" t="n">
        <v>46185</v>
      </c>
      <c r="J2014" s="7" t="n">
        <v>8.8</v>
      </c>
      <c r="K2014" s="7" t="s">
        <v>2260</v>
      </c>
      <c r="L2014" s="7" t="s">
        <v>20</v>
      </c>
      <c r="M2014" s="7" t="s">
        <v>2420</v>
      </c>
      <c r="N2014" s="7" t="s">
        <v>53</v>
      </c>
      <c r="O2014" s="10" t="n">
        <f aca="false">'Exec Summary'!$E$2-H2014</f>
        <v>60</v>
      </c>
      <c r="P2014" s="10" t="n">
        <f aca="false">IF(I2014="","",I2014-H2014)</f>
        <v>11</v>
      </c>
      <c r="Q2014" s="10" t="n">
        <f aca="false">VLOOKUP(G2014,$AA$2:$AB$5,2,FALSE())</f>
        <v>30</v>
      </c>
      <c r="R2014" s="7" t="n">
        <f aca="false">IF(OR(F2014="Open",F2014="Reopened"),1,0)</f>
        <v>0</v>
      </c>
      <c r="S2014" s="7" t="n">
        <f aca="false">IF(AND(H2014&gt;='Exec Summary'!$E$1,H2014&lt;='Exec Summary'!$E$2),1,0)</f>
        <v>0</v>
      </c>
      <c r="T2014" s="7" t="n">
        <f aca="false">IF(AND(F2014="Closed",I2014&lt;&gt;"",I2014&gt;='Exec Summary'!$E$1,I2014&lt;='Exec Summary'!$E$2),1,0)</f>
        <v>0</v>
      </c>
      <c r="U2014" s="7" t="n">
        <f aca="false">IF(F2014="Reopened",1,0)</f>
        <v>0</v>
      </c>
      <c r="V2014" s="7" t="n">
        <f aca="false">IF(AND(R2014=1,O2014&gt;Q2014),1,0)</f>
        <v>0</v>
      </c>
      <c r="W2014" s="7" t="n">
        <f aca="false">IF(AND(T2014=1,P2014&lt;&gt;"",P2014&lt;=Q2014),1,0)</f>
        <v>0</v>
      </c>
    </row>
    <row r="2015" customFormat="false" ht="15" hidden="false" customHeight="false" outlineLevel="0" collapsed="false">
      <c r="A2015" s="7" t="s">
        <v>2417</v>
      </c>
      <c r="B2015" s="7" t="s">
        <v>46</v>
      </c>
      <c r="C2015" s="7" t="s">
        <v>79</v>
      </c>
      <c r="D2015" s="7" t="s">
        <v>101</v>
      </c>
      <c r="E2015" s="7" t="s">
        <v>102</v>
      </c>
      <c r="F2015" s="7" t="s">
        <v>50</v>
      </c>
      <c r="G2015" s="7" t="s">
        <v>19</v>
      </c>
      <c r="H2015" s="9" t="n">
        <v>46002</v>
      </c>
      <c r="I2015" s="9" t="n">
        <v>46005</v>
      </c>
      <c r="J2015" s="7" t="n">
        <v>10</v>
      </c>
      <c r="K2015" s="7" t="s">
        <v>2260</v>
      </c>
      <c r="L2015" s="7" t="s">
        <v>20</v>
      </c>
      <c r="M2015" s="7" t="s">
        <v>2421</v>
      </c>
      <c r="N2015" s="7" t="s">
        <v>58</v>
      </c>
      <c r="O2015" s="10" t="n">
        <f aca="false">'Exec Summary'!$E$2-H2015</f>
        <v>232</v>
      </c>
      <c r="P2015" s="10" t="n">
        <f aca="false">IF(I2015="","",I2015-H2015)</f>
        <v>3</v>
      </c>
      <c r="Q2015" s="10" t="n">
        <f aca="false">VLOOKUP(G2015,$AA$2:$AB$5,2,FALSE())</f>
        <v>15</v>
      </c>
      <c r="R2015" s="7" t="n">
        <f aca="false">IF(OR(F2015="Open",F2015="Reopened"),1,0)</f>
        <v>0</v>
      </c>
      <c r="S2015" s="7" t="n">
        <f aca="false">IF(AND(H2015&gt;='Exec Summary'!$E$1,H2015&lt;='Exec Summary'!$E$2),1,0)</f>
        <v>0</v>
      </c>
      <c r="T2015" s="7" t="n">
        <f aca="false">IF(AND(F2015="Closed",I2015&lt;&gt;"",I2015&gt;='Exec Summary'!$E$1,I2015&lt;='Exec Summary'!$E$2),1,0)</f>
        <v>0</v>
      </c>
      <c r="U2015" s="7" t="n">
        <f aca="false">IF(F2015="Reopened",1,0)</f>
        <v>0</v>
      </c>
      <c r="V2015" s="7" t="n">
        <f aca="false">IF(AND(R2015=1,O2015&gt;Q2015),1,0)</f>
        <v>0</v>
      </c>
      <c r="W2015" s="7" t="n">
        <f aca="false">IF(AND(T2015=1,P2015&lt;&gt;"",P2015&lt;=Q2015),1,0)</f>
        <v>0</v>
      </c>
    </row>
    <row r="2016" customFormat="false" ht="15" hidden="false" customHeight="false" outlineLevel="0" collapsed="false">
      <c r="A2016" s="7" t="s">
        <v>2417</v>
      </c>
      <c r="B2016" s="7" t="s">
        <v>46</v>
      </c>
      <c r="C2016" s="7" t="s">
        <v>79</v>
      </c>
      <c r="D2016" s="7" t="s">
        <v>71</v>
      </c>
      <c r="E2016" s="7" t="s">
        <v>72</v>
      </c>
      <c r="F2016" s="7" t="s">
        <v>50</v>
      </c>
      <c r="G2016" s="7" t="s">
        <v>19</v>
      </c>
      <c r="H2016" s="9" t="n">
        <v>46210</v>
      </c>
      <c r="I2016" s="9" t="n">
        <v>46218</v>
      </c>
      <c r="J2016" s="7" t="n">
        <v>9.8</v>
      </c>
      <c r="K2016" s="7" t="s">
        <v>2260</v>
      </c>
      <c r="L2016" s="7" t="s">
        <v>20</v>
      </c>
      <c r="M2016" s="7" t="s">
        <v>2422</v>
      </c>
      <c r="N2016" s="7" t="s">
        <v>58</v>
      </c>
      <c r="O2016" s="10" t="n">
        <f aca="false">'Exec Summary'!$E$2-H2016</f>
        <v>24</v>
      </c>
      <c r="P2016" s="10" t="n">
        <f aca="false">IF(I2016="","",I2016-H2016)</f>
        <v>8</v>
      </c>
      <c r="Q2016" s="10" t="n">
        <f aca="false">VLOOKUP(G2016,$AA$2:$AB$5,2,FALSE())</f>
        <v>15</v>
      </c>
      <c r="R2016" s="7" t="n">
        <f aca="false">IF(OR(F2016="Open",F2016="Reopened"),1,0)</f>
        <v>0</v>
      </c>
      <c r="S2016" s="7" t="n">
        <f aca="false">IF(AND(H2016&gt;='Exec Summary'!$E$1,H2016&lt;='Exec Summary'!$E$2),1,0)</f>
        <v>1</v>
      </c>
      <c r="T2016" s="7" t="n">
        <f aca="false">IF(AND(F2016="Closed",I2016&lt;&gt;"",I2016&gt;='Exec Summary'!$E$1,I2016&lt;='Exec Summary'!$E$2),1,0)</f>
        <v>1</v>
      </c>
      <c r="U2016" s="7" t="n">
        <f aca="false">IF(F2016="Reopened",1,0)</f>
        <v>0</v>
      </c>
      <c r="V2016" s="7" t="n">
        <f aca="false">IF(AND(R2016=1,O2016&gt;Q2016),1,0)</f>
        <v>0</v>
      </c>
      <c r="W2016" s="7" t="n">
        <f aca="false">IF(AND(T2016=1,P2016&lt;&gt;"",P2016&lt;=Q2016),1,0)</f>
        <v>1</v>
      </c>
    </row>
    <row r="2017" customFormat="false" ht="15" hidden="false" customHeight="false" outlineLevel="0" collapsed="false">
      <c r="A2017" s="7" t="s">
        <v>2417</v>
      </c>
      <c r="B2017" s="7" t="s">
        <v>46</v>
      </c>
      <c r="C2017" s="7" t="s">
        <v>79</v>
      </c>
      <c r="D2017" s="7" t="s">
        <v>95</v>
      </c>
      <c r="E2017" s="7" t="s">
        <v>96</v>
      </c>
      <c r="F2017" s="7" t="s">
        <v>56</v>
      </c>
      <c r="G2017" s="7" t="s">
        <v>20</v>
      </c>
      <c r="H2017" s="9" t="n">
        <v>46097</v>
      </c>
      <c r="I2017" s="9"/>
      <c r="J2017" s="7" t="n">
        <v>8.8</v>
      </c>
      <c r="K2017" s="7" t="s">
        <v>2260</v>
      </c>
      <c r="L2017" s="7" t="s">
        <v>20</v>
      </c>
      <c r="M2017" s="7" t="s">
        <v>2423</v>
      </c>
      <c r="N2017" s="7" t="s">
        <v>53</v>
      </c>
      <c r="O2017" s="10" t="n">
        <f aca="false">'Exec Summary'!$E$2-H2017</f>
        <v>137</v>
      </c>
      <c r="P2017" s="10" t="str">
        <f aca="false">IF(I2017="","",I2017-H2017)</f>
        <v/>
      </c>
      <c r="Q2017" s="10" t="n">
        <f aca="false">VLOOKUP(G2017,$AA$2:$AB$5,2,FALSE())</f>
        <v>30</v>
      </c>
      <c r="R2017" s="7" t="n">
        <f aca="false">IF(OR(F2017="Open",F2017="Reopened"),1,0)</f>
        <v>1</v>
      </c>
      <c r="S2017" s="7" t="n">
        <f aca="false">IF(AND(H2017&gt;='Exec Summary'!$E$1,H2017&lt;='Exec Summary'!$E$2),1,0)</f>
        <v>0</v>
      </c>
      <c r="T2017" s="7" t="n">
        <f aca="false">IF(AND(F2017="Closed",I2017&lt;&gt;"",I2017&gt;='Exec Summary'!$E$1,I2017&lt;='Exec Summary'!$E$2),1,0)</f>
        <v>0</v>
      </c>
      <c r="U2017" s="7" t="n">
        <f aca="false">IF(F2017="Reopened",1,0)</f>
        <v>0</v>
      </c>
      <c r="V2017" s="7" t="n">
        <f aca="false">IF(AND(R2017=1,O2017&gt;Q2017),1,0)</f>
        <v>1</v>
      </c>
      <c r="W2017" s="7" t="n">
        <f aca="false">IF(AND(T2017=1,P2017&lt;&gt;"",P2017&lt;=Q2017),1,0)</f>
        <v>0</v>
      </c>
    </row>
    <row r="2018" customFormat="false" ht="15" hidden="false" customHeight="false" outlineLevel="0" collapsed="false">
      <c r="A2018" s="7" t="s">
        <v>2417</v>
      </c>
      <c r="B2018" s="7" t="s">
        <v>46</v>
      </c>
      <c r="C2018" s="7" t="s">
        <v>79</v>
      </c>
      <c r="D2018" s="7" t="s">
        <v>87</v>
      </c>
      <c r="E2018" s="7" t="s">
        <v>88</v>
      </c>
      <c r="F2018" s="7" t="s">
        <v>56</v>
      </c>
      <c r="G2018" s="7" t="s">
        <v>19</v>
      </c>
      <c r="H2018" s="9" t="n">
        <v>46021</v>
      </c>
      <c r="I2018" s="9"/>
      <c r="J2018" s="7" t="n">
        <v>10</v>
      </c>
      <c r="K2018" s="7" t="s">
        <v>2260</v>
      </c>
      <c r="L2018" s="7" t="s">
        <v>20</v>
      </c>
      <c r="M2018" s="7" t="s">
        <v>2424</v>
      </c>
      <c r="N2018" s="7" t="s">
        <v>58</v>
      </c>
      <c r="O2018" s="10" t="n">
        <f aca="false">'Exec Summary'!$E$2-H2018</f>
        <v>213</v>
      </c>
      <c r="P2018" s="10" t="str">
        <f aca="false">IF(I2018="","",I2018-H2018)</f>
        <v/>
      </c>
      <c r="Q2018" s="10" t="n">
        <f aca="false">VLOOKUP(G2018,$AA$2:$AB$5,2,FALSE())</f>
        <v>15</v>
      </c>
      <c r="R2018" s="7" t="n">
        <f aca="false">IF(OR(F2018="Open",F2018="Reopened"),1,0)</f>
        <v>1</v>
      </c>
      <c r="S2018" s="7" t="n">
        <f aca="false">IF(AND(H2018&gt;='Exec Summary'!$E$1,H2018&lt;='Exec Summary'!$E$2),1,0)</f>
        <v>0</v>
      </c>
      <c r="T2018" s="7" t="n">
        <f aca="false">IF(AND(F2018="Closed",I2018&lt;&gt;"",I2018&gt;='Exec Summary'!$E$1,I2018&lt;='Exec Summary'!$E$2),1,0)</f>
        <v>0</v>
      </c>
      <c r="U2018" s="7" t="n">
        <f aca="false">IF(F2018="Reopened",1,0)</f>
        <v>0</v>
      </c>
      <c r="V2018" s="7" t="n">
        <f aca="false">IF(AND(R2018=1,O2018&gt;Q2018),1,0)</f>
        <v>1</v>
      </c>
      <c r="W2018" s="7" t="n">
        <f aca="false">IF(AND(T2018=1,P2018&lt;&gt;"",P2018&lt;=Q2018),1,0)</f>
        <v>0</v>
      </c>
    </row>
    <row r="2019" customFormat="false" ht="15" hidden="false" customHeight="false" outlineLevel="0" collapsed="false">
      <c r="A2019" s="7" t="s">
        <v>2417</v>
      </c>
      <c r="B2019" s="7" t="s">
        <v>46</v>
      </c>
      <c r="C2019" s="7" t="s">
        <v>79</v>
      </c>
      <c r="D2019" s="7" t="s">
        <v>112</v>
      </c>
      <c r="E2019" s="7" t="s">
        <v>113</v>
      </c>
      <c r="F2019" s="7" t="s">
        <v>56</v>
      </c>
      <c r="G2019" s="7" t="s">
        <v>20</v>
      </c>
      <c r="H2019" s="9" t="n">
        <v>46080</v>
      </c>
      <c r="I2019" s="9"/>
      <c r="J2019" s="7" t="n">
        <v>7.8</v>
      </c>
      <c r="K2019" s="7" t="s">
        <v>2260</v>
      </c>
      <c r="L2019" s="7" t="s">
        <v>20</v>
      </c>
      <c r="M2019" s="7" t="s">
        <v>2425</v>
      </c>
      <c r="N2019" s="7" t="s">
        <v>53</v>
      </c>
      <c r="O2019" s="10" t="n">
        <f aca="false">'Exec Summary'!$E$2-H2019</f>
        <v>154</v>
      </c>
      <c r="P2019" s="10" t="str">
        <f aca="false">IF(I2019="","",I2019-H2019)</f>
        <v/>
      </c>
      <c r="Q2019" s="10" t="n">
        <f aca="false">VLOOKUP(G2019,$AA$2:$AB$5,2,FALSE())</f>
        <v>30</v>
      </c>
      <c r="R2019" s="7" t="n">
        <f aca="false">IF(OR(F2019="Open",F2019="Reopened"),1,0)</f>
        <v>1</v>
      </c>
      <c r="S2019" s="7" t="n">
        <f aca="false">IF(AND(H2019&gt;='Exec Summary'!$E$1,H2019&lt;='Exec Summary'!$E$2),1,0)</f>
        <v>0</v>
      </c>
      <c r="T2019" s="7" t="n">
        <f aca="false">IF(AND(F2019="Closed",I2019&lt;&gt;"",I2019&gt;='Exec Summary'!$E$1,I2019&lt;='Exec Summary'!$E$2),1,0)</f>
        <v>0</v>
      </c>
      <c r="U2019" s="7" t="n">
        <f aca="false">IF(F2019="Reopened",1,0)</f>
        <v>0</v>
      </c>
      <c r="V2019" s="7" t="n">
        <f aca="false">IF(AND(R2019=1,O2019&gt;Q2019),1,0)</f>
        <v>1</v>
      </c>
      <c r="W2019" s="7" t="n">
        <f aca="false">IF(AND(T2019=1,P2019&lt;&gt;"",P2019&lt;=Q2019),1,0)</f>
        <v>0</v>
      </c>
    </row>
    <row r="2020" customFormat="false" ht="15" hidden="false" customHeight="false" outlineLevel="0" collapsed="false">
      <c r="A2020" s="7" t="s">
        <v>2417</v>
      </c>
      <c r="B2020" s="7" t="s">
        <v>46</v>
      </c>
      <c r="C2020" s="7" t="s">
        <v>79</v>
      </c>
      <c r="D2020" s="7" t="s">
        <v>139</v>
      </c>
      <c r="E2020" s="7" t="s">
        <v>140</v>
      </c>
      <c r="F2020" s="7" t="s">
        <v>50</v>
      </c>
      <c r="G2020" s="7" t="s">
        <v>19</v>
      </c>
      <c r="H2020" s="9" t="n">
        <v>46145</v>
      </c>
      <c r="I2020" s="9" t="n">
        <v>46158</v>
      </c>
      <c r="J2020" s="7" t="n">
        <v>9.8</v>
      </c>
      <c r="K2020" s="7" t="s">
        <v>2260</v>
      </c>
      <c r="L2020" s="7" t="s">
        <v>20</v>
      </c>
      <c r="M2020" s="7" t="s">
        <v>2426</v>
      </c>
      <c r="N2020" s="7" t="s">
        <v>58</v>
      </c>
      <c r="O2020" s="10" t="n">
        <f aca="false">'Exec Summary'!$E$2-H2020</f>
        <v>89</v>
      </c>
      <c r="P2020" s="10" t="n">
        <f aca="false">IF(I2020="","",I2020-H2020)</f>
        <v>13</v>
      </c>
      <c r="Q2020" s="10" t="n">
        <f aca="false">VLOOKUP(G2020,$AA$2:$AB$5,2,FALSE())</f>
        <v>15</v>
      </c>
      <c r="R2020" s="7" t="n">
        <f aca="false">IF(OR(F2020="Open",F2020="Reopened"),1,0)</f>
        <v>0</v>
      </c>
      <c r="S2020" s="7" t="n">
        <f aca="false">IF(AND(H2020&gt;='Exec Summary'!$E$1,H2020&lt;='Exec Summary'!$E$2),1,0)</f>
        <v>0</v>
      </c>
      <c r="T2020" s="7" t="n">
        <f aca="false">IF(AND(F2020="Closed",I2020&lt;&gt;"",I2020&gt;='Exec Summary'!$E$1,I2020&lt;='Exec Summary'!$E$2),1,0)</f>
        <v>0</v>
      </c>
      <c r="U2020" s="7" t="n">
        <f aca="false">IF(F2020="Reopened",1,0)</f>
        <v>0</v>
      </c>
      <c r="V2020" s="7" t="n">
        <f aca="false">IF(AND(R2020=1,O2020&gt;Q2020),1,0)</f>
        <v>0</v>
      </c>
      <c r="W2020" s="7" t="n">
        <f aca="false">IF(AND(T2020=1,P2020&lt;&gt;"",P2020&lt;=Q2020),1,0)</f>
        <v>0</v>
      </c>
    </row>
    <row r="2021" customFormat="false" ht="15" hidden="false" customHeight="false" outlineLevel="0" collapsed="false">
      <c r="A2021" s="7" t="s">
        <v>2417</v>
      </c>
      <c r="B2021" s="7" t="s">
        <v>46</v>
      </c>
      <c r="C2021" s="7" t="s">
        <v>79</v>
      </c>
      <c r="D2021" s="7" t="s">
        <v>48</v>
      </c>
      <c r="E2021" s="7" t="s">
        <v>49</v>
      </c>
      <c r="F2021" s="7" t="s">
        <v>50</v>
      </c>
      <c r="G2021" s="7" t="s">
        <v>20</v>
      </c>
      <c r="H2021" s="9" t="n">
        <v>46149</v>
      </c>
      <c r="I2021" s="9" t="n">
        <v>46150</v>
      </c>
      <c r="J2021" s="7" t="n">
        <v>7.5</v>
      </c>
      <c r="K2021" s="7" t="s">
        <v>2260</v>
      </c>
      <c r="L2021" s="7" t="s">
        <v>20</v>
      </c>
      <c r="M2021" s="7" t="s">
        <v>2427</v>
      </c>
      <c r="N2021" s="7" t="s">
        <v>53</v>
      </c>
      <c r="O2021" s="10" t="n">
        <f aca="false">'Exec Summary'!$E$2-H2021</f>
        <v>85</v>
      </c>
      <c r="P2021" s="10" t="n">
        <f aca="false">IF(I2021="","",I2021-H2021)</f>
        <v>1</v>
      </c>
      <c r="Q2021" s="10" t="n">
        <f aca="false">VLOOKUP(G2021,$AA$2:$AB$5,2,FALSE())</f>
        <v>30</v>
      </c>
      <c r="R2021" s="7" t="n">
        <f aca="false">IF(OR(F2021="Open",F2021="Reopened"),1,0)</f>
        <v>0</v>
      </c>
      <c r="S2021" s="7" t="n">
        <f aca="false">IF(AND(H2021&gt;='Exec Summary'!$E$1,H2021&lt;='Exec Summary'!$E$2),1,0)</f>
        <v>0</v>
      </c>
      <c r="T2021" s="7" t="n">
        <f aca="false">IF(AND(F2021="Closed",I2021&lt;&gt;"",I2021&gt;='Exec Summary'!$E$1,I2021&lt;='Exec Summary'!$E$2),1,0)</f>
        <v>0</v>
      </c>
      <c r="U2021" s="7" t="n">
        <f aca="false">IF(F2021="Reopened",1,0)</f>
        <v>0</v>
      </c>
      <c r="V2021" s="7" t="n">
        <f aca="false">IF(AND(R2021=1,O2021&gt;Q2021),1,0)</f>
        <v>0</v>
      </c>
      <c r="W2021" s="7" t="n">
        <f aca="false">IF(AND(T2021=1,P2021&lt;&gt;"",P2021&lt;=Q2021),1,0)</f>
        <v>0</v>
      </c>
    </row>
    <row r="2022" customFormat="false" ht="15" hidden="false" customHeight="false" outlineLevel="0" collapsed="false">
      <c r="A2022" s="7" t="s">
        <v>2417</v>
      </c>
      <c r="B2022" s="7" t="s">
        <v>46</v>
      </c>
      <c r="C2022" s="7" t="s">
        <v>79</v>
      </c>
      <c r="D2022" s="7" t="s">
        <v>145</v>
      </c>
      <c r="E2022" s="7" t="s">
        <v>146</v>
      </c>
      <c r="F2022" s="7" t="s">
        <v>50</v>
      </c>
      <c r="G2022" s="7" t="s">
        <v>19</v>
      </c>
      <c r="H2022" s="9" t="n">
        <v>46203</v>
      </c>
      <c r="I2022" s="9" t="n">
        <v>46219</v>
      </c>
      <c r="J2022" s="7" t="n">
        <v>9.8</v>
      </c>
      <c r="K2022" s="7" t="s">
        <v>2260</v>
      </c>
      <c r="L2022" s="7" t="s">
        <v>20</v>
      </c>
      <c r="M2022" s="7" t="s">
        <v>2428</v>
      </c>
      <c r="N2022" s="7" t="s">
        <v>58</v>
      </c>
      <c r="O2022" s="10" t="n">
        <f aca="false">'Exec Summary'!$E$2-H2022</f>
        <v>31</v>
      </c>
      <c r="P2022" s="10" t="n">
        <f aca="false">IF(I2022="","",I2022-H2022)</f>
        <v>16</v>
      </c>
      <c r="Q2022" s="10" t="n">
        <f aca="false">VLOOKUP(G2022,$AA$2:$AB$5,2,FALSE())</f>
        <v>15</v>
      </c>
      <c r="R2022" s="7" t="n">
        <f aca="false">IF(OR(F2022="Open",F2022="Reopened"),1,0)</f>
        <v>0</v>
      </c>
      <c r="S2022" s="7" t="n">
        <f aca="false">IF(AND(H2022&gt;='Exec Summary'!$E$1,H2022&lt;='Exec Summary'!$E$2),1,0)</f>
        <v>0</v>
      </c>
      <c r="T2022" s="7" t="n">
        <f aca="false">IF(AND(F2022="Closed",I2022&lt;&gt;"",I2022&gt;='Exec Summary'!$E$1,I2022&lt;='Exec Summary'!$E$2),1,0)</f>
        <v>1</v>
      </c>
      <c r="U2022" s="7" t="n">
        <f aca="false">IF(F2022="Reopened",1,0)</f>
        <v>0</v>
      </c>
      <c r="V2022" s="7" t="n">
        <f aca="false">IF(AND(R2022=1,O2022&gt;Q2022),1,0)</f>
        <v>0</v>
      </c>
      <c r="W2022" s="7" t="n">
        <f aca="false">IF(AND(T2022=1,P2022&lt;&gt;"",P2022&lt;=Q2022),1,0)</f>
        <v>0</v>
      </c>
    </row>
    <row r="2023" customFormat="false" ht="15" hidden="false" customHeight="false" outlineLevel="0" collapsed="false">
      <c r="A2023" s="7" t="s">
        <v>2417</v>
      </c>
      <c r="B2023" s="7" t="s">
        <v>46</v>
      </c>
      <c r="C2023" s="7" t="s">
        <v>79</v>
      </c>
      <c r="D2023" s="7" t="s">
        <v>59</v>
      </c>
      <c r="E2023" s="7" t="s">
        <v>60</v>
      </c>
      <c r="F2023" s="7" t="s">
        <v>56</v>
      </c>
      <c r="G2023" s="7" t="s">
        <v>19</v>
      </c>
      <c r="H2023" s="9" t="n">
        <v>46195</v>
      </c>
      <c r="I2023" s="9"/>
      <c r="J2023" s="7" t="n">
        <v>7.8</v>
      </c>
      <c r="K2023" s="7" t="s">
        <v>2260</v>
      </c>
      <c r="L2023" s="7" t="s">
        <v>20</v>
      </c>
      <c r="M2023" s="7" t="s">
        <v>2429</v>
      </c>
      <c r="N2023" s="7" t="s">
        <v>58</v>
      </c>
      <c r="O2023" s="10" t="n">
        <f aca="false">'Exec Summary'!$E$2-H2023</f>
        <v>39</v>
      </c>
      <c r="P2023" s="10" t="str">
        <f aca="false">IF(I2023="","",I2023-H2023)</f>
        <v/>
      </c>
      <c r="Q2023" s="10" t="n">
        <f aca="false">VLOOKUP(G2023,$AA$2:$AB$5,2,FALSE())</f>
        <v>15</v>
      </c>
      <c r="R2023" s="7" t="n">
        <f aca="false">IF(OR(F2023="Open",F2023="Reopened"),1,0)</f>
        <v>1</v>
      </c>
      <c r="S2023" s="7" t="n">
        <f aca="false">IF(AND(H2023&gt;='Exec Summary'!$E$1,H2023&lt;='Exec Summary'!$E$2),1,0)</f>
        <v>0</v>
      </c>
      <c r="T2023" s="7" t="n">
        <f aca="false">IF(AND(F2023="Closed",I2023&lt;&gt;"",I2023&gt;='Exec Summary'!$E$1,I2023&lt;='Exec Summary'!$E$2),1,0)</f>
        <v>0</v>
      </c>
      <c r="U2023" s="7" t="n">
        <f aca="false">IF(F2023="Reopened",1,0)</f>
        <v>0</v>
      </c>
      <c r="V2023" s="7" t="n">
        <f aca="false">IF(AND(R2023=1,O2023&gt;Q2023),1,0)</f>
        <v>1</v>
      </c>
      <c r="W2023" s="7" t="n">
        <f aca="false">IF(AND(T2023=1,P2023&lt;&gt;"",P2023&lt;=Q2023),1,0)</f>
        <v>0</v>
      </c>
    </row>
    <row r="2024" customFormat="false" ht="15" hidden="false" customHeight="false" outlineLevel="0" collapsed="false">
      <c r="A2024" s="7" t="s">
        <v>2430</v>
      </c>
      <c r="B2024" s="7" t="s">
        <v>135</v>
      </c>
      <c r="C2024" s="7" t="s">
        <v>247</v>
      </c>
      <c r="D2024" s="7" t="s">
        <v>65</v>
      </c>
      <c r="E2024" s="7" t="s">
        <v>66</v>
      </c>
      <c r="F2024" s="7" t="s">
        <v>50</v>
      </c>
      <c r="G2024" s="7" t="s">
        <v>19</v>
      </c>
      <c r="H2024" s="9" t="n">
        <v>46157</v>
      </c>
      <c r="I2024" s="9" t="n">
        <v>46176</v>
      </c>
      <c r="J2024" s="7" t="n">
        <v>9.8</v>
      </c>
      <c r="K2024" s="7" t="s">
        <v>2260</v>
      </c>
      <c r="L2024" s="7" t="s">
        <v>19</v>
      </c>
      <c r="M2024" s="7" t="s">
        <v>2431</v>
      </c>
      <c r="N2024" s="7" t="s">
        <v>58</v>
      </c>
      <c r="O2024" s="10" t="n">
        <f aca="false">'Exec Summary'!$E$2-H2024</f>
        <v>77</v>
      </c>
      <c r="P2024" s="10" t="n">
        <f aca="false">IF(I2024="","",I2024-H2024)</f>
        <v>19</v>
      </c>
      <c r="Q2024" s="10" t="n">
        <f aca="false">VLOOKUP(G2024,$AA$2:$AB$5,2,FALSE())</f>
        <v>15</v>
      </c>
      <c r="R2024" s="7" t="n">
        <f aca="false">IF(OR(F2024="Open",F2024="Reopened"),1,0)</f>
        <v>0</v>
      </c>
      <c r="S2024" s="7" t="n">
        <f aca="false">IF(AND(H2024&gt;='Exec Summary'!$E$1,H2024&lt;='Exec Summary'!$E$2),1,0)</f>
        <v>0</v>
      </c>
      <c r="T2024" s="7" t="n">
        <f aca="false">IF(AND(F2024="Closed",I2024&lt;&gt;"",I2024&gt;='Exec Summary'!$E$1,I2024&lt;='Exec Summary'!$E$2),1,0)</f>
        <v>0</v>
      </c>
      <c r="U2024" s="7" t="n">
        <f aca="false">IF(F2024="Reopened",1,0)</f>
        <v>0</v>
      </c>
      <c r="V2024" s="7" t="n">
        <f aca="false">IF(AND(R2024=1,O2024&gt;Q2024),1,0)</f>
        <v>0</v>
      </c>
      <c r="W2024" s="7" t="n">
        <f aca="false">IF(AND(T2024=1,P2024&lt;&gt;"",P2024&lt;=Q2024),1,0)</f>
        <v>0</v>
      </c>
    </row>
    <row r="2025" customFormat="false" ht="15" hidden="false" customHeight="false" outlineLevel="0" collapsed="false">
      <c r="A2025" s="7" t="s">
        <v>2430</v>
      </c>
      <c r="B2025" s="7" t="s">
        <v>135</v>
      </c>
      <c r="C2025" s="7" t="s">
        <v>247</v>
      </c>
      <c r="D2025" s="7" t="s">
        <v>81</v>
      </c>
      <c r="E2025" s="7" t="s">
        <v>82</v>
      </c>
      <c r="F2025" s="7" t="s">
        <v>50</v>
      </c>
      <c r="G2025" s="7" t="s">
        <v>20</v>
      </c>
      <c r="H2025" s="9" t="n">
        <v>46037</v>
      </c>
      <c r="I2025" s="9" t="n">
        <v>46064</v>
      </c>
      <c r="J2025" s="7" t="n">
        <v>7.8</v>
      </c>
      <c r="K2025" s="7" t="s">
        <v>2260</v>
      </c>
      <c r="L2025" s="7" t="s">
        <v>19</v>
      </c>
      <c r="M2025" s="7" t="s">
        <v>2432</v>
      </c>
      <c r="N2025" s="7" t="s">
        <v>53</v>
      </c>
      <c r="O2025" s="10" t="n">
        <f aca="false">'Exec Summary'!$E$2-H2025</f>
        <v>197</v>
      </c>
      <c r="P2025" s="10" t="n">
        <f aca="false">IF(I2025="","",I2025-H2025)</f>
        <v>27</v>
      </c>
      <c r="Q2025" s="10" t="n">
        <f aca="false">VLOOKUP(G2025,$AA$2:$AB$5,2,FALSE())</f>
        <v>30</v>
      </c>
      <c r="R2025" s="7" t="n">
        <f aca="false">IF(OR(F2025="Open",F2025="Reopened"),1,0)</f>
        <v>0</v>
      </c>
      <c r="S2025" s="7" t="n">
        <f aca="false">IF(AND(H2025&gt;='Exec Summary'!$E$1,H2025&lt;='Exec Summary'!$E$2),1,0)</f>
        <v>0</v>
      </c>
      <c r="T2025" s="7" t="n">
        <f aca="false">IF(AND(F2025="Closed",I2025&lt;&gt;"",I2025&gt;='Exec Summary'!$E$1,I2025&lt;='Exec Summary'!$E$2),1,0)</f>
        <v>0</v>
      </c>
      <c r="U2025" s="7" t="n">
        <f aca="false">IF(F2025="Reopened",1,0)</f>
        <v>0</v>
      </c>
      <c r="V2025" s="7" t="n">
        <f aca="false">IF(AND(R2025=1,O2025&gt;Q2025),1,0)</f>
        <v>0</v>
      </c>
      <c r="W2025" s="7" t="n">
        <f aca="false">IF(AND(T2025=1,P2025&lt;&gt;"",P2025&lt;=Q2025),1,0)</f>
        <v>0</v>
      </c>
    </row>
    <row r="2026" customFormat="false" ht="15" hidden="false" customHeight="false" outlineLevel="0" collapsed="false">
      <c r="A2026" s="7" t="s">
        <v>2430</v>
      </c>
      <c r="B2026" s="7" t="s">
        <v>135</v>
      </c>
      <c r="C2026" s="7" t="s">
        <v>247</v>
      </c>
      <c r="D2026" s="7" t="s">
        <v>71</v>
      </c>
      <c r="E2026" s="7" t="s">
        <v>72</v>
      </c>
      <c r="F2026" s="7" t="s">
        <v>56</v>
      </c>
      <c r="G2026" s="7" t="s">
        <v>19</v>
      </c>
      <c r="H2026" s="9" t="n">
        <v>46035</v>
      </c>
      <c r="I2026" s="9"/>
      <c r="J2026" s="7" t="n">
        <v>9.8</v>
      </c>
      <c r="K2026" s="7" t="s">
        <v>2260</v>
      </c>
      <c r="L2026" s="7" t="s">
        <v>19</v>
      </c>
      <c r="M2026" s="7" t="s">
        <v>2433</v>
      </c>
      <c r="N2026" s="7" t="s">
        <v>58</v>
      </c>
      <c r="O2026" s="10" t="n">
        <f aca="false">'Exec Summary'!$E$2-H2026</f>
        <v>199</v>
      </c>
      <c r="P2026" s="10" t="str">
        <f aca="false">IF(I2026="","",I2026-H2026)</f>
        <v/>
      </c>
      <c r="Q2026" s="10" t="n">
        <f aca="false">VLOOKUP(G2026,$AA$2:$AB$5,2,FALSE())</f>
        <v>15</v>
      </c>
      <c r="R2026" s="7" t="n">
        <f aca="false">IF(OR(F2026="Open",F2026="Reopened"),1,0)</f>
        <v>1</v>
      </c>
      <c r="S2026" s="7" t="n">
        <f aca="false">IF(AND(H2026&gt;='Exec Summary'!$E$1,H2026&lt;='Exec Summary'!$E$2),1,0)</f>
        <v>0</v>
      </c>
      <c r="T2026" s="7" t="n">
        <f aca="false">IF(AND(F2026="Closed",I2026&lt;&gt;"",I2026&gt;='Exec Summary'!$E$1,I2026&lt;='Exec Summary'!$E$2),1,0)</f>
        <v>0</v>
      </c>
      <c r="U2026" s="7" t="n">
        <f aca="false">IF(F2026="Reopened",1,0)</f>
        <v>0</v>
      </c>
      <c r="V2026" s="7" t="n">
        <f aca="false">IF(AND(R2026=1,O2026&gt;Q2026),1,0)</f>
        <v>1</v>
      </c>
      <c r="W2026" s="7" t="n">
        <f aca="false">IF(AND(T2026=1,P2026&lt;&gt;"",P2026&lt;=Q2026),1,0)</f>
        <v>0</v>
      </c>
    </row>
    <row r="2027" customFormat="false" ht="15" hidden="false" customHeight="false" outlineLevel="0" collapsed="false">
      <c r="A2027" s="7" t="s">
        <v>2430</v>
      </c>
      <c r="B2027" s="7" t="s">
        <v>135</v>
      </c>
      <c r="C2027" s="7" t="s">
        <v>247</v>
      </c>
      <c r="D2027" s="7" t="s">
        <v>68</v>
      </c>
      <c r="E2027" s="7" t="s">
        <v>69</v>
      </c>
      <c r="F2027" s="7" t="s">
        <v>50</v>
      </c>
      <c r="G2027" s="7" t="s">
        <v>19</v>
      </c>
      <c r="H2027" s="9" t="n">
        <v>46076</v>
      </c>
      <c r="I2027" s="9" t="n">
        <v>46081</v>
      </c>
      <c r="J2027" s="7" t="n">
        <v>9.8</v>
      </c>
      <c r="K2027" s="7" t="s">
        <v>2260</v>
      </c>
      <c r="L2027" s="7" t="s">
        <v>19</v>
      </c>
      <c r="M2027" s="7" t="s">
        <v>2434</v>
      </c>
      <c r="N2027" s="7" t="s">
        <v>58</v>
      </c>
      <c r="O2027" s="10" t="n">
        <f aca="false">'Exec Summary'!$E$2-H2027</f>
        <v>158</v>
      </c>
      <c r="P2027" s="10" t="n">
        <f aca="false">IF(I2027="","",I2027-H2027)</f>
        <v>5</v>
      </c>
      <c r="Q2027" s="10" t="n">
        <f aca="false">VLOOKUP(G2027,$AA$2:$AB$5,2,FALSE())</f>
        <v>15</v>
      </c>
      <c r="R2027" s="7" t="n">
        <f aca="false">IF(OR(F2027="Open",F2027="Reopened"),1,0)</f>
        <v>0</v>
      </c>
      <c r="S2027" s="7" t="n">
        <f aca="false">IF(AND(H2027&gt;='Exec Summary'!$E$1,H2027&lt;='Exec Summary'!$E$2),1,0)</f>
        <v>0</v>
      </c>
      <c r="T2027" s="7" t="n">
        <f aca="false">IF(AND(F2027="Closed",I2027&lt;&gt;"",I2027&gt;='Exec Summary'!$E$1,I2027&lt;='Exec Summary'!$E$2),1,0)</f>
        <v>0</v>
      </c>
      <c r="U2027" s="7" t="n">
        <f aca="false">IF(F2027="Reopened",1,0)</f>
        <v>0</v>
      </c>
      <c r="V2027" s="7" t="n">
        <f aca="false">IF(AND(R2027=1,O2027&gt;Q2027),1,0)</f>
        <v>0</v>
      </c>
      <c r="W2027" s="7" t="n">
        <f aca="false">IF(AND(T2027=1,P2027&lt;&gt;"",P2027&lt;=Q2027),1,0)</f>
        <v>0</v>
      </c>
    </row>
    <row r="2028" customFormat="false" ht="15" hidden="false" customHeight="false" outlineLevel="0" collapsed="false">
      <c r="A2028" s="7" t="s">
        <v>2430</v>
      </c>
      <c r="B2028" s="7" t="s">
        <v>135</v>
      </c>
      <c r="C2028" s="7" t="s">
        <v>247</v>
      </c>
      <c r="D2028" s="7" t="s">
        <v>84</v>
      </c>
      <c r="E2028" s="7" t="s">
        <v>85</v>
      </c>
      <c r="F2028" s="7" t="s">
        <v>50</v>
      </c>
      <c r="G2028" s="7" t="s">
        <v>20</v>
      </c>
      <c r="H2028" s="9" t="n">
        <v>46192</v>
      </c>
      <c r="I2028" s="9" t="n">
        <v>46213</v>
      </c>
      <c r="J2028" s="7" t="n">
        <v>7.5</v>
      </c>
      <c r="K2028" s="7" t="s">
        <v>2260</v>
      </c>
      <c r="L2028" s="7" t="s">
        <v>19</v>
      </c>
      <c r="M2028" s="7" t="s">
        <v>2435</v>
      </c>
      <c r="N2028" s="7" t="s">
        <v>53</v>
      </c>
      <c r="O2028" s="10" t="n">
        <f aca="false">'Exec Summary'!$E$2-H2028</f>
        <v>42</v>
      </c>
      <c r="P2028" s="10" t="n">
        <f aca="false">IF(I2028="","",I2028-H2028)</f>
        <v>21</v>
      </c>
      <c r="Q2028" s="10" t="n">
        <f aca="false">VLOOKUP(G2028,$AA$2:$AB$5,2,FALSE())</f>
        <v>30</v>
      </c>
      <c r="R2028" s="7" t="n">
        <f aca="false">IF(OR(F2028="Open",F2028="Reopened"),1,0)</f>
        <v>0</v>
      </c>
      <c r="S2028" s="7" t="n">
        <f aca="false">IF(AND(H2028&gt;='Exec Summary'!$E$1,H2028&lt;='Exec Summary'!$E$2),1,0)</f>
        <v>0</v>
      </c>
      <c r="T2028" s="7" t="n">
        <f aca="false">IF(AND(F2028="Closed",I2028&lt;&gt;"",I2028&gt;='Exec Summary'!$E$1,I2028&lt;='Exec Summary'!$E$2),1,0)</f>
        <v>1</v>
      </c>
      <c r="U2028" s="7" t="n">
        <f aca="false">IF(F2028="Reopened",1,0)</f>
        <v>0</v>
      </c>
      <c r="V2028" s="7" t="n">
        <f aca="false">IF(AND(R2028=1,O2028&gt;Q2028),1,0)</f>
        <v>0</v>
      </c>
      <c r="W2028" s="7" t="n">
        <f aca="false">IF(AND(T2028=1,P2028&lt;&gt;"",P2028&lt;=Q2028),1,0)</f>
        <v>1</v>
      </c>
    </row>
    <row r="2029" customFormat="false" ht="15" hidden="false" customHeight="false" outlineLevel="0" collapsed="false">
      <c r="A2029" s="7" t="s">
        <v>2436</v>
      </c>
      <c r="B2029" s="7" t="s">
        <v>46</v>
      </c>
      <c r="C2029" s="7" t="s">
        <v>47</v>
      </c>
      <c r="D2029" s="7" t="s">
        <v>48</v>
      </c>
      <c r="E2029" s="7" t="s">
        <v>49</v>
      </c>
      <c r="F2029" s="7" t="s">
        <v>56</v>
      </c>
      <c r="G2029" s="7" t="s">
        <v>20</v>
      </c>
      <c r="H2029" s="9" t="n">
        <v>46185</v>
      </c>
      <c r="I2029" s="9"/>
      <c r="J2029" s="7" t="n">
        <v>7.5</v>
      </c>
      <c r="K2029" s="7" t="s">
        <v>2260</v>
      </c>
      <c r="L2029" s="7" t="s">
        <v>20</v>
      </c>
      <c r="M2029" s="7" t="s">
        <v>2437</v>
      </c>
      <c r="N2029" s="7" t="s">
        <v>53</v>
      </c>
      <c r="O2029" s="10" t="n">
        <f aca="false">'Exec Summary'!$E$2-H2029</f>
        <v>49</v>
      </c>
      <c r="P2029" s="10" t="str">
        <f aca="false">IF(I2029="","",I2029-H2029)</f>
        <v/>
      </c>
      <c r="Q2029" s="10" t="n">
        <f aca="false">VLOOKUP(G2029,$AA$2:$AB$5,2,FALSE())</f>
        <v>30</v>
      </c>
      <c r="R2029" s="7" t="n">
        <f aca="false">IF(OR(F2029="Open",F2029="Reopened"),1,0)</f>
        <v>1</v>
      </c>
      <c r="S2029" s="7" t="n">
        <f aca="false">IF(AND(H2029&gt;='Exec Summary'!$E$1,H2029&lt;='Exec Summary'!$E$2),1,0)</f>
        <v>0</v>
      </c>
      <c r="T2029" s="7" t="n">
        <f aca="false">IF(AND(F2029="Closed",I2029&lt;&gt;"",I2029&gt;='Exec Summary'!$E$1,I2029&lt;='Exec Summary'!$E$2),1,0)</f>
        <v>0</v>
      </c>
      <c r="U2029" s="7" t="n">
        <f aca="false">IF(F2029="Reopened",1,0)</f>
        <v>0</v>
      </c>
      <c r="V2029" s="7" t="n">
        <f aca="false">IF(AND(R2029=1,O2029&gt;Q2029),1,0)</f>
        <v>1</v>
      </c>
      <c r="W2029" s="7" t="n">
        <f aca="false">IF(AND(T2029=1,P2029&lt;&gt;"",P2029&lt;=Q2029),1,0)</f>
        <v>0</v>
      </c>
    </row>
    <row r="2030" customFormat="false" ht="15" hidden="false" customHeight="false" outlineLevel="0" collapsed="false">
      <c r="A2030" s="7" t="s">
        <v>2436</v>
      </c>
      <c r="B2030" s="7" t="s">
        <v>46</v>
      </c>
      <c r="C2030" s="7" t="s">
        <v>47</v>
      </c>
      <c r="D2030" s="7" t="s">
        <v>98</v>
      </c>
      <c r="E2030" s="7" t="s">
        <v>99</v>
      </c>
      <c r="F2030" s="7" t="s">
        <v>50</v>
      </c>
      <c r="G2030" s="7" t="s">
        <v>19</v>
      </c>
      <c r="H2030" s="9" t="n">
        <v>45941</v>
      </c>
      <c r="I2030" s="9" t="n">
        <v>45945</v>
      </c>
      <c r="J2030" s="7" t="n">
        <v>10</v>
      </c>
      <c r="K2030" s="7" t="s">
        <v>2260</v>
      </c>
      <c r="L2030" s="7" t="s">
        <v>20</v>
      </c>
      <c r="M2030" s="7" t="s">
        <v>2438</v>
      </c>
      <c r="N2030" s="7" t="s">
        <v>58</v>
      </c>
      <c r="O2030" s="10" t="n">
        <f aca="false">'Exec Summary'!$E$2-H2030</f>
        <v>293</v>
      </c>
      <c r="P2030" s="10" t="n">
        <f aca="false">IF(I2030="","",I2030-H2030)</f>
        <v>4</v>
      </c>
      <c r="Q2030" s="10" t="n">
        <f aca="false">VLOOKUP(G2030,$AA$2:$AB$5,2,FALSE())</f>
        <v>15</v>
      </c>
      <c r="R2030" s="7" t="n">
        <f aca="false">IF(OR(F2030="Open",F2030="Reopened"),1,0)</f>
        <v>0</v>
      </c>
      <c r="S2030" s="7" t="n">
        <f aca="false">IF(AND(H2030&gt;='Exec Summary'!$E$1,H2030&lt;='Exec Summary'!$E$2),1,0)</f>
        <v>0</v>
      </c>
      <c r="T2030" s="7" t="n">
        <f aca="false">IF(AND(F2030="Closed",I2030&lt;&gt;"",I2030&gt;='Exec Summary'!$E$1,I2030&lt;='Exec Summary'!$E$2),1,0)</f>
        <v>0</v>
      </c>
      <c r="U2030" s="7" t="n">
        <f aca="false">IF(F2030="Reopened",1,0)</f>
        <v>0</v>
      </c>
      <c r="V2030" s="7" t="n">
        <f aca="false">IF(AND(R2030=1,O2030&gt;Q2030),1,0)</f>
        <v>0</v>
      </c>
      <c r="W2030" s="7" t="n">
        <f aca="false">IF(AND(T2030=1,P2030&lt;&gt;"",P2030&lt;=Q2030),1,0)</f>
        <v>0</v>
      </c>
    </row>
    <row r="2031" customFormat="false" ht="15" hidden="false" customHeight="false" outlineLevel="0" collapsed="false">
      <c r="A2031" s="7" t="s">
        <v>2439</v>
      </c>
      <c r="B2031" s="7" t="s">
        <v>46</v>
      </c>
      <c r="C2031" s="7" t="s">
        <v>158</v>
      </c>
      <c r="D2031" s="7" t="s">
        <v>206</v>
      </c>
      <c r="E2031" s="7" t="s">
        <v>207</v>
      </c>
      <c r="F2031" s="7" t="s">
        <v>56</v>
      </c>
      <c r="G2031" s="7" t="s">
        <v>20</v>
      </c>
      <c r="H2031" s="9" t="n">
        <v>45990</v>
      </c>
      <c r="I2031" s="9"/>
      <c r="J2031" s="7" t="n">
        <v>8.8</v>
      </c>
      <c r="K2031" s="7" t="s">
        <v>2260</v>
      </c>
      <c r="L2031" s="7" t="s">
        <v>20</v>
      </c>
      <c r="M2031" s="7" t="s">
        <v>2440</v>
      </c>
      <c r="N2031" s="7" t="s">
        <v>53</v>
      </c>
      <c r="O2031" s="10" t="n">
        <f aca="false">'Exec Summary'!$E$2-H2031</f>
        <v>244</v>
      </c>
      <c r="P2031" s="10" t="str">
        <f aca="false">IF(I2031="","",I2031-H2031)</f>
        <v/>
      </c>
      <c r="Q2031" s="10" t="n">
        <f aca="false">VLOOKUP(G2031,$AA$2:$AB$5,2,FALSE())</f>
        <v>30</v>
      </c>
      <c r="R2031" s="7" t="n">
        <f aca="false">IF(OR(F2031="Open",F2031="Reopened"),1,0)</f>
        <v>1</v>
      </c>
      <c r="S2031" s="7" t="n">
        <f aca="false">IF(AND(H2031&gt;='Exec Summary'!$E$1,H2031&lt;='Exec Summary'!$E$2),1,0)</f>
        <v>0</v>
      </c>
      <c r="T2031" s="7" t="n">
        <f aca="false">IF(AND(F2031="Closed",I2031&lt;&gt;"",I2031&gt;='Exec Summary'!$E$1,I2031&lt;='Exec Summary'!$E$2),1,0)</f>
        <v>0</v>
      </c>
      <c r="U2031" s="7" t="n">
        <f aca="false">IF(F2031="Reopened",1,0)</f>
        <v>0</v>
      </c>
      <c r="V2031" s="7" t="n">
        <f aca="false">IF(AND(R2031=1,O2031&gt;Q2031),1,0)</f>
        <v>1</v>
      </c>
      <c r="W2031" s="7" t="n">
        <f aca="false">IF(AND(T2031=1,P2031&lt;&gt;"",P2031&lt;=Q2031),1,0)</f>
        <v>0</v>
      </c>
    </row>
    <row r="2032" customFormat="false" ht="15" hidden="false" customHeight="false" outlineLevel="0" collapsed="false">
      <c r="A2032" s="7" t="s">
        <v>2439</v>
      </c>
      <c r="B2032" s="7" t="s">
        <v>46</v>
      </c>
      <c r="C2032" s="7" t="s">
        <v>158</v>
      </c>
      <c r="D2032" s="7" t="s">
        <v>173</v>
      </c>
      <c r="E2032" s="7" t="s">
        <v>174</v>
      </c>
      <c r="F2032" s="7" t="s">
        <v>50</v>
      </c>
      <c r="G2032" s="7" t="s">
        <v>19</v>
      </c>
      <c r="H2032" s="9" t="n">
        <v>46198</v>
      </c>
      <c r="I2032" s="9" t="n">
        <v>46221</v>
      </c>
      <c r="J2032" s="7" t="n">
        <v>9.8</v>
      </c>
      <c r="K2032" s="7" t="s">
        <v>2260</v>
      </c>
      <c r="L2032" s="7" t="s">
        <v>20</v>
      </c>
      <c r="M2032" s="7" t="s">
        <v>2441</v>
      </c>
      <c r="N2032" s="7" t="s">
        <v>58</v>
      </c>
      <c r="O2032" s="10" t="n">
        <f aca="false">'Exec Summary'!$E$2-H2032</f>
        <v>36</v>
      </c>
      <c r="P2032" s="10" t="n">
        <f aca="false">IF(I2032="","",I2032-H2032)</f>
        <v>23</v>
      </c>
      <c r="Q2032" s="10" t="n">
        <f aca="false">VLOOKUP(G2032,$AA$2:$AB$5,2,FALSE())</f>
        <v>15</v>
      </c>
      <c r="R2032" s="7" t="n">
        <f aca="false">IF(OR(F2032="Open",F2032="Reopened"),1,0)</f>
        <v>0</v>
      </c>
      <c r="S2032" s="7" t="n">
        <f aca="false">IF(AND(H2032&gt;='Exec Summary'!$E$1,H2032&lt;='Exec Summary'!$E$2),1,0)</f>
        <v>0</v>
      </c>
      <c r="T2032" s="7" t="n">
        <f aca="false">IF(AND(F2032="Closed",I2032&lt;&gt;"",I2032&gt;='Exec Summary'!$E$1,I2032&lt;='Exec Summary'!$E$2),1,0)</f>
        <v>1</v>
      </c>
      <c r="U2032" s="7" t="n">
        <f aca="false">IF(F2032="Reopened",1,0)</f>
        <v>0</v>
      </c>
      <c r="V2032" s="7" t="n">
        <f aca="false">IF(AND(R2032=1,O2032&gt;Q2032),1,0)</f>
        <v>0</v>
      </c>
      <c r="W2032" s="7" t="n">
        <f aca="false">IF(AND(T2032=1,P2032&lt;&gt;"",P2032&lt;=Q2032),1,0)</f>
        <v>0</v>
      </c>
    </row>
    <row r="2033" customFormat="false" ht="15" hidden="false" customHeight="false" outlineLevel="0" collapsed="false">
      <c r="A2033" s="7" t="s">
        <v>2439</v>
      </c>
      <c r="B2033" s="7" t="s">
        <v>46</v>
      </c>
      <c r="C2033" s="7" t="s">
        <v>158</v>
      </c>
      <c r="D2033" s="7" t="s">
        <v>145</v>
      </c>
      <c r="E2033" s="7" t="s">
        <v>146</v>
      </c>
      <c r="F2033" s="7" t="s">
        <v>50</v>
      </c>
      <c r="G2033" s="7" t="s">
        <v>19</v>
      </c>
      <c r="H2033" s="9" t="n">
        <v>45996</v>
      </c>
      <c r="I2033" s="9" t="n">
        <v>46006</v>
      </c>
      <c r="J2033" s="7" t="n">
        <v>9.8</v>
      </c>
      <c r="K2033" s="7" t="s">
        <v>2260</v>
      </c>
      <c r="L2033" s="7" t="s">
        <v>20</v>
      </c>
      <c r="M2033" s="7" t="s">
        <v>2442</v>
      </c>
      <c r="N2033" s="7" t="s">
        <v>58</v>
      </c>
      <c r="O2033" s="10" t="n">
        <f aca="false">'Exec Summary'!$E$2-H2033</f>
        <v>238</v>
      </c>
      <c r="P2033" s="10" t="n">
        <f aca="false">IF(I2033="","",I2033-H2033)</f>
        <v>10</v>
      </c>
      <c r="Q2033" s="10" t="n">
        <f aca="false">VLOOKUP(G2033,$AA$2:$AB$5,2,FALSE())</f>
        <v>15</v>
      </c>
      <c r="R2033" s="7" t="n">
        <f aca="false">IF(OR(F2033="Open",F2033="Reopened"),1,0)</f>
        <v>0</v>
      </c>
      <c r="S2033" s="7" t="n">
        <f aca="false">IF(AND(H2033&gt;='Exec Summary'!$E$1,H2033&lt;='Exec Summary'!$E$2),1,0)</f>
        <v>0</v>
      </c>
      <c r="T2033" s="7" t="n">
        <f aca="false">IF(AND(F2033="Closed",I2033&lt;&gt;"",I2033&gt;='Exec Summary'!$E$1,I2033&lt;='Exec Summary'!$E$2),1,0)</f>
        <v>0</v>
      </c>
      <c r="U2033" s="7" t="n">
        <f aca="false">IF(F2033="Reopened",1,0)</f>
        <v>0</v>
      </c>
      <c r="V2033" s="7" t="n">
        <f aca="false">IF(AND(R2033=1,O2033&gt;Q2033),1,0)</f>
        <v>0</v>
      </c>
      <c r="W2033" s="7" t="n">
        <f aca="false">IF(AND(T2033=1,P2033&lt;&gt;"",P2033&lt;=Q2033),1,0)</f>
        <v>0</v>
      </c>
    </row>
    <row r="2034" customFormat="false" ht="15" hidden="false" customHeight="false" outlineLevel="0" collapsed="false">
      <c r="A2034" s="7" t="s">
        <v>2439</v>
      </c>
      <c r="B2034" s="7" t="s">
        <v>46</v>
      </c>
      <c r="C2034" s="7" t="s">
        <v>158</v>
      </c>
      <c r="D2034" s="7" t="s">
        <v>112</v>
      </c>
      <c r="E2034" s="7" t="s">
        <v>113</v>
      </c>
      <c r="F2034" s="7" t="s">
        <v>50</v>
      </c>
      <c r="G2034" s="7" t="s">
        <v>20</v>
      </c>
      <c r="H2034" s="9" t="n">
        <v>46130</v>
      </c>
      <c r="I2034" s="9" t="n">
        <v>46153</v>
      </c>
      <c r="J2034" s="7" t="n">
        <v>7.8</v>
      </c>
      <c r="K2034" s="7" t="s">
        <v>2260</v>
      </c>
      <c r="L2034" s="7" t="s">
        <v>20</v>
      </c>
      <c r="M2034" s="7" t="s">
        <v>2443</v>
      </c>
      <c r="N2034" s="7" t="s">
        <v>53</v>
      </c>
      <c r="O2034" s="10" t="n">
        <f aca="false">'Exec Summary'!$E$2-H2034</f>
        <v>104</v>
      </c>
      <c r="P2034" s="10" t="n">
        <f aca="false">IF(I2034="","",I2034-H2034)</f>
        <v>23</v>
      </c>
      <c r="Q2034" s="10" t="n">
        <f aca="false">VLOOKUP(G2034,$AA$2:$AB$5,2,FALSE())</f>
        <v>30</v>
      </c>
      <c r="R2034" s="7" t="n">
        <f aca="false">IF(OR(F2034="Open",F2034="Reopened"),1,0)</f>
        <v>0</v>
      </c>
      <c r="S2034" s="7" t="n">
        <f aca="false">IF(AND(H2034&gt;='Exec Summary'!$E$1,H2034&lt;='Exec Summary'!$E$2),1,0)</f>
        <v>0</v>
      </c>
      <c r="T2034" s="7" t="n">
        <f aca="false">IF(AND(F2034="Closed",I2034&lt;&gt;"",I2034&gt;='Exec Summary'!$E$1,I2034&lt;='Exec Summary'!$E$2),1,0)</f>
        <v>0</v>
      </c>
      <c r="U2034" s="7" t="n">
        <f aca="false">IF(F2034="Reopened",1,0)</f>
        <v>0</v>
      </c>
      <c r="V2034" s="7" t="n">
        <f aca="false">IF(AND(R2034=1,O2034&gt;Q2034),1,0)</f>
        <v>0</v>
      </c>
      <c r="W2034" s="7" t="n">
        <f aca="false">IF(AND(T2034=1,P2034&lt;&gt;"",P2034&lt;=Q2034),1,0)</f>
        <v>0</v>
      </c>
    </row>
    <row r="2035" customFormat="false" ht="15" hidden="false" customHeight="false" outlineLevel="0" collapsed="false">
      <c r="A2035" s="7" t="s">
        <v>2439</v>
      </c>
      <c r="B2035" s="7" t="s">
        <v>46</v>
      </c>
      <c r="C2035" s="7" t="s">
        <v>158</v>
      </c>
      <c r="D2035" s="7" t="s">
        <v>54</v>
      </c>
      <c r="E2035" s="7" t="s">
        <v>55</v>
      </c>
      <c r="F2035" s="7" t="s">
        <v>50</v>
      </c>
      <c r="G2035" s="7" t="s">
        <v>19</v>
      </c>
      <c r="H2035" s="9" t="n">
        <v>46054</v>
      </c>
      <c r="I2035" s="9" t="n">
        <v>46055</v>
      </c>
      <c r="J2035" s="7" t="n">
        <v>9.8</v>
      </c>
      <c r="K2035" s="7" t="s">
        <v>2260</v>
      </c>
      <c r="L2035" s="7" t="s">
        <v>20</v>
      </c>
      <c r="M2035" s="7" t="s">
        <v>2444</v>
      </c>
      <c r="N2035" s="7" t="s">
        <v>58</v>
      </c>
      <c r="O2035" s="10" t="n">
        <f aca="false">'Exec Summary'!$E$2-H2035</f>
        <v>180</v>
      </c>
      <c r="P2035" s="10" t="n">
        <f aca="false">IF(I2035="","",I2035-H2035)</f>
        <v>1</v>
      </c>
      <c r="Q2035" s="10" t="n">
        <f aca="false">VLOOKUP(G2035,$AA$2:$AB$5,2,FALSE())</f>
        <v>15</v>
      </c>
      <c r="R2035" s="7" t="n">
        <f aca="false">IF(OR(F2035="Open",F2035="Reopened"),1,0)</f>
        <v>0</v>
      </c>
      <c r="S2035" s="7" t="n">
        <f aca="false">IF(AND(H2035&gt;='Exec Summary'!$E$1,H2035&lt;='Exec Summary'!$E$2),1,0)</f>
        <v>0</v>
      </c>
      <c r="T2035" s="7" t="n">
        <f aca="false">IF(AND(F2035="Closed",I2035&lt;&gt;"",I2035&gt;='Exec Summary'!$E$1,I2035&lt;='Exec Summary'!$E$2),1,0)</f>
        <v>0</v>
      </c>
      <c r="U2035" s="7" t="n">
        <f aca="false">IF(F2035="Reopened",1,0)</f>
        <v>0</v>
      </c>
      <c r="V2035" s="7" t="n">
        <f aca="false">IF(AND(R2035=1,O2035&gt;Q2035),1,0)</f>
        <v>0</v>
      </c>
      <c r="W2035" s="7" t="n">
        <f aca="false">IF(AND(T2035=1,P2035&lt;&gt;"",P2035&lt;=Q2035),1,0)</f>
        <v>0</v>
      </c>
    </row>
    <row r="2036" customFormat="false" ht="15" hidden="false" customHeight="false" outlineLevel="0" collapsed="false">
      <c r="A2036" s="7" t="s">
        <v>2445</v>
      </c>
      <c r="B2036" s="7" t="s">
        <v>135</v>
      </c>
      <c r="C2036" s="7" t="s">
        <v>247</v>
      </c>
      <c r="D2036" s="7" t="s">
        <v>206</v>
      </c>
      <c r="E2036" s="7" t="s">
        <v>207</v>
      </c>
      <c r="F2036" s="7" t="s">
        <v>56</v>
      </c>
      <c r="G2036" s="7" t="s">
        <v>20</v>
      </c>
      <c r="H2036" s="9" t="n">
        <v>45945</v>
      </c>
      <c r="I2036" s="9"/>
      <c r="J2036" s="7" t="n">
        <v>8.8</v>
      </c>
      <c r="K2036" s="7" t="s">
        <v>2260</v>
      </c>
      <c r="L2036" s="7" t="s">
        <v>19</v>
      </c>
      <c r="M2036" s="7" t="s">
        <v>2446</v>
      </c>
      <c r="N2036" s="7" t="s">
        <v>53</v>
      </c>
      <c r="O2036" s="10" t="n">
        <f aca="false">'Exec Summary'!$E$2-H2036</f>
        <v>289</v>
      </c>
      <c r="P2036" s="10" t="str">
        <f aca="false">IF(I2036="","",I2036-H2036)</f>
        <v/>
      </c>
      <c r="Q2036" s="10" t="n">
        <f aca="false">VLOOKUP(G2036,$AA$2:$AB$5,2,FALSE())</f>
        <v>30</v>
      </c>
      <c r="R2036" s="7" t="n">
        <f aca="false">IF(OR(F2036="Open",F2036="Reopened"),1,0)</f>
        <v>1</v>
      </c>
      <c r="S2036" s="7" t="n">
        <f aca="false">IF(AND(H2036&gt;='Exec Summary'!$E$1,H2036&lt;='Exec Summary'!$E$2),1,0)</f>
        <v>0</v>
      </c>
      <c r="T2036" s="7" t="n">
        <f aca="false">IF(AND(F2036="Closed",I2036&lt;&gt;"",I2036&gt;='Exec Summary'!$E$1,I2036&lt;='Exec Summary'!$E$2),1,0)</f>
        <v>0</v>
      </c>
      <c r="U2036" s="7" t="n">
        <f aca="false">IF(F2036="Reopened",1,0)</f>
        <v>0</v>
      </c>
      <c r="V2036" s="7" t="n">
        <f aca="false">IF(AND(R2036=1,O2036&gt;Q2036),1,0)</f>
        <v>1</v>
      </c>
      <c r="W2036" s="7" t="n">
        <f aca="false">IF(AND(T2036=1,P2036&lt;&gt;"",P2036&lt;=Q2036),1,0)</f>
        <v>0</v>
      </c>
    </row>
    <row r="2037" customFormat="false" ht="15" hidden="false" customHeight="false" outlineLevel="0" collapsed="false">
      <c r="A2037" s="7" t="s">
        <v>2445</v>
      </c>
      <c r="B2037" s="7" t="s">
        <v>135</v>
      </c>
      <c r="C2037" s="7" t="s">
        <v>247</v>
      </c>
      <c r="D2037" s="7" t="s">
        <v>163</v>
      </c>
      <c r="E2037" s="7" t="s">
        <v>164</v>
      </c>
      <c r="F2037" s="7" t="s">
        <v>56</v>
      </c>
      <c r="G2037" s="7" t="s">
        <v>19</v>
      </c>
      <c r="H2037" s="9" t="n">
        <v>46075</v>
      </c>
      <c r="I2037" s="9"/>
      <c r="J2037" s="7" t="n">
        <v>9.1</v>
      </c>
      <c r="K2037" s="7" t="s">
        <v>2260</v>
      </c>
      <c r="L2037" s="7" t="s">
        <v>19</v>
      </c>
      <c r="M2037" s="7" t="s">
        <v>2447</v>
      </c>
      <c r="N2037" s="7" t="s">
        <v>58</v>
      </c>
      <c r="O2037" s="10" t="n">
        <f aca="false">'Exec Summary'!$E$2-H2037</f>
        <v>159</v>
      </c>
      <c r="P2037" s="10" t="str">
        <f aca="false">IF(I2037="","",I2037-H2037)</f>
        <v/>
      </c>
      <c r="Q2037" s="10" t="n">
        <f aca="false">VLOOKUP(G2037,$AA$2:$AB$5,2,FALSE())</f>
        <v>15</v>
      </c>
      <c r="R2037" s="7" t="n">
        <f aca="false">IF(OR(F2037="Open",F2037="Reopened"),1,0)</f>
        <v>1</v>
      </c>
      <c r="S2037" s="7" t="n">
        <f aca="false">IF(AND(H2037&gt;='Exec Summary'!$E$1,H2037&lt;='Exec Summary'!$E$2),1,0)</f>
        <v>0</v>
      </c>
      <c r="T2037" s="7" t="n">
        <f aca="false">IF(AND(F2037="Closed",I2037&lt;&gt;"",I2037&gt;='Exec Summary'!$E$1,I2037&lt;='Exec Summary'!$E$2),1,0)</f>
        <v>0</v>
      </c>
      <c r="U2037" s="7" t="n">
        <f aca="false">IF(F2037="Reopened",1,0)</f>
        <v>0</v>
      </c>
      <c r="V2037" s="7" t="n">
        <f aca="false">IF(AND(R2037=1,O2037&gt;Q2037),1,0)</f>
        <v>1</v>
      </c>
      <c r="W2037" s="7" t="n">
        <f aca="false">IF(AND(T2037=1,P2037&lt;&gt;"",P2037&lt;=Q2037),1,0)</f>
        <v>0</v>
      </c>
    </row>
    <row r="2038" customFormat="false" ht="15" hidden="false" customHeight="false" outlineLevel="0" collapsed="false">
      <c r="A2038" s="7" t="s">
        <v>2445</v>
      </c>
      <c r="B2038" s="7" t="s">
        <v>135</v>
      </c>
      <c r="C2038" s="7" t="s">
        <v>247</v>
      </c>
      <c r="D2038" s="7" t="s">
        <v>87</v>
      </c>
      <c r="E2038" s="7" t="s">
        <v>88</v>
      </c>
      <c r="F2038" s="7" t="s">
        <v>123</v>
      </c>
      <c r="G2038" s="7" t="s">
        <v>19</v>
      </c>
      <c r="H2038" s="9" t="n">
        <v>46156</v>
      </c>
      <c r="I2038" s="9" t="n">
        <v>46167</v>
      </c>
      <c r="J2038" s="7" t="n">
        <v>10</v>
      </c>
      <c r="K2038" s="7" t="s">
        <v>2260</v>
      </c>
      <c r="L2038" s="7" t="s">
        <v>19</v>
      </c>
      <c r="M2038" s="7" t="s">
        <v>2448</v>
      </c>
      <c r="N2038" s="7" t="s">
        <v>58</v>
      </c>
      <c r="O2038" s="10" t="n">
        <f aca="false">'Exec Summary'!$E$2-H2038</f>
        <v>78</v>
      </c>
      <c r="P2038" s="10" t="n">
        <f aca="false">IF(I2038="","",I2038-H2038)</f>
        <v>11</v>
      </c>
      <c r="Q2038" s="10" t="n">
        <f aca="false">VLOOKUP(G2038,$AA$2:$AB$5,2,FALSE())</f>
        <v>15</v>
      </c>
      <c r="R2038" s="7" t="n">
        <f aca="false">IF(OR(F2038="Open",F2038="Reopened"),1,0)</f>
        <v>1</v>
      </c>
      <c r="S2038" s="7" t="n">
        <f aca="false">IF(AND(H2038&gt;='Exec Summary'!$E$1,H2038&lt;='Exec Summary'!$E$2),1,0)</f>
        <v>0</v>
      </c>
      <c r="T2038" s="7" t="n">
        <f aca="false">IF(AND(F2038="Closed",I2038&lt;&gt;"",I2038&gt;='Exec Summary'!$E$1,I2038&lt;='Exec Summary'!$E$2),1,0)</f>
        <v>0</v>
      </c>
      <c r="U2038" s="7" t="n">
        <f aca="false">IF(F2038="Reopened",1,0)</f>
        <v>1</v>
      </c>
      <c r="V2038" s="7" t="n">
        <f aca="false">IF(AND(R2038=1,O2038&gt;Q2038),1,0)</f>
        <v>1</v>
      </c>
      <c r="W2038" s="7" t="n">
        <f aca="false">IF(AND(T2038=1,P2038&lt;&gt;"",P2038&lt;=Q2038),1,0)</f>
        <v>0</v>
      </c>
    </row>
    <row r="2039" customFormat="false" ht="15" hidden="false" customHeight="false" outlineLevel="0" collapsed="false">
      <c r="A2039" s="7" t="s">
        <v>2445</v>
      </c>
      <c r="B2039" s="7" t="s">
        <v>135</v>
      </c>
      <c r="C2039" s="7" t="s">
        <v>247</v>
      </c>
      <c r="D2039" s="7" t="s">
        <v>91</v>
      </c>
      <c r="E2039" s="7" t="s">
        <v>92</v>
      </c>
      <c r="F2039" s="7" t="s">
        <v>50</v>
      </c>
      <c r="G2039" s="7" t="s">
        <v>20</v>
      </c>
      <c r="H2039" s="9" t="n">
        <v>46162</v>
      </c>
      <c r="I2039" s="9" t="n">
        <v>46207</v>
      </c>
      <c r="J2039" s="7" t="n">
        <v>8.1</v>
      </c>
      <c r="K2039" s="7" t="s">
        <v>2260</v>
      </c>
      <c r="L2039" s="7" t="s">
        <v>19</v>
      </c>
      <c r="M2039" s="7" t="s">
        <v>2449</v>
      </c>
      <c r="N2039" s="7" t="s">
        <v>53</v>
      </c>
      <c r="O2039" s="10" t="n">
        <f aca="false">'Exec Summary'!$E$2-H2039</f>
        <v>72</v>
      </c>
      <c r="P2039" s="10" t="n">
        <f aca="false">IF(I2039="","",I2039-H2039)</f>
        <v>45</v>
      </c>
      <c r="Q2039" s="10" t="n">
        <f aca="false">VLOOKUP(G2039,$AA$2:$AB$5,2,FALSE())</f>
        <v>30</v>
      </c>
      <c r="R2039" s="7" t="n">
        <f aca="false">IF(OR(F2039="Open",F2039="Reopened"),1,0)</f>
        <v>0</v>
      </c>
      <c r="S2039" s="7" t="n">
        <f aca="false">IF(AND(H2039&gt;='Exec Summary'!$E$1,H2039&lt;='Exec Summary'!$E$2),1,0)</f>
        <v>0</v>
      </c>
      <c r="T2039" s="7" t="n">
        <f aca="false">IF(AND(F2039="Closed",I2039&lt;&gt;"",I2039&gt;='Exec Summary'!$E$1,I2039&lt;='Exec Summary'!$E$2),1,0)</f>
        <v>1</v>
      </c>
      <c r="U2039" s="7" t="n">
        <f aca="false">IF(F2039="Reopened",1,0)</f>
        <v>0</v>
      </c>
      <c r="V2039" s="7" t="n">
        <f aca="false">IF(AND(R2039=1,O2039&gt;Q2039),1,0)</f>
        <v>0</v>
      </c>
      <c r="W2039" s="7" t="n">
        <f aca="false">IF(AND(T2039=1,P2039&lt;&gt;"",P2039&lt;=Q2039),1,0)</f>
        <v>0</v>
      </c>
    </row>
    <row r="2040" customFormat="false" ht="15" hidden="false" customHeight="false" outlineLevel="0" collapsed="false">
      <c r="A2040" s="7" t="s">
        <v>2445</v>
      </c>
      <c r="B2040" s="7" t="s">
        <v>135</v>
      </c>
      <c r="C2040" s="7" t="s">
        <v>247</v>
      </c>
      <c r="D2040" s="7" t="s">
        <v>84</v>
      </c>
      <c r="E2040" s="7" t="s">
        <v>85</v>
      </c>
      <c r="F2040" s="7" t="s">
        <v>50</v>
      </c>
      <c r="G2040" s="7" t="s">
        <v>20</v>
      </c>
      <c r="H2040" s="9" t="n">
        <v>46066</v>
      </c>
      <c r="I2040" s="9" t="n">
        <v>46104</v>
      </c>
      <c r="J2040" s="7" t="n">
        <v>7.5</v>
      </c>
      <c r="K2040" s="7" t="s">
        <v>2260</v>
      </c>
      <c r="L2040" s="7" t="s">
        <v>19</v>
      </c>
      <c r="M2040" s="7" t="s">
        <v>2450</v>
      </c>
      <c r="N2040" s="7" t="s">
        <v>53</v>
      </c>
      <c r="O2040" s="10" t="n">
        <f aca="false">'Exec Summary'!$E$2-H2040</f>
        <v>168</v>
      </c>
      <c r="P2040" s="10" t="n">
        <f aca="false">IF(I2040="","",I2040-H2040)</f>
        <v>38</v>
      </c>
      <c r="Q2040" s="10" t="n">
        <f aca="false">VLOOKUP(G2040,$AA$2:$AB$5,2,FALSE())</f>
        <v>30</v>
      </c>
      <c r="R2040" s="7" t="n">
        <f aca="false">IF(OR(F2040="Open",F2040="Reopened"),1,0)</f>
        <v>0</v>
      </c>
      <c r="S2040" s="7" t="n">
        <f aca="false">IF(AND(H2040&gt;='Exec Summary'!$E$1,H2040&lt;='Exec Summary'!$E$2),1,0)</f>
        <v>0</v>
      </c>
      <c r="T2040" s="7" t="n">
        <f aca="false">IF(AND(F2040="Closed",I2040&lt;&gt;"",I2040&gt;='Exec Summary'!$E$1,I2040&lt;='Exec Summary'!$E$2),1,0)</f>
        <v>0</v>
      </c>
      <c r="U2040" s="7" t="n">
        <f aca="false">IF(F2040="Reopened",1,0)</f>
        <v>0</v>
      </c>
      <c r="V2040" s="7" t="n">
        <f aca="false">IF(AND(R2040=1,O2040&gt;Q2040),1,0)</f>
        <v>0</v>
      </c>
      <c r="W2040" s="7" t="n">
        <f aca="false">IF(AND(T2040=1,P2040&lt;&gt;"",P2040&lt;=Q2040),1,0)</f>
        <v>0</v>
      </c>
    </row>
    <row r="2041" customFormat="false" ht="15" hidden="false" customHeight="false" outlineLevel="0" collapsed="false">
      <c r="A2041" s="7" t="s">
        <v>2445</v>
      </c>
      <c r="B2041" s="7" t="s">
        <v>135</v>
      </c>
      <c r="C2041" s="7" t="s">
        <v>247</v>
      </c>
      <c r="D2041" s="7" t="s">
        <v>59</v>
      </c>
      <c r="E2041" s="7" t="s">
        <v>60</v>
      </c>
      <c r="F2041" s="7" t="s">
        <v>56</v>
      </c>
      <c r="G2041" s="7" t="s">
        <v>19</v>
      </c>
      <c r="H2041" s="9" t="n">
        <v>46010</v>
      </c>
      <c r="I2041" s="9"/>
      <c r="J2041" s="7" t="n">
        <v>7.8</v>
      </c>
      <c r="K2041" s="7" t="s">
        <v>2260</v>
      </c>
      <c r="L2041" s="7" t="s">
        <v>19</v>
      </c>
      <c r="M2041" s="7" t="s">
        <v>2451</v>
      </c>
      <c r="N2041" s="7" t="s">
        <v>58</v>
      </c>
      <c r="O2041" s="10" t="n">
        <f aca="false">'Exec Summary'!$E$2-H2041</f>
        <v>224</v>
      </c>
      <c r="P2041" s="10" t="str">
        <f aca="false">IF(I2041="","",I2041-H2041)</f>
        <v/>
      </c>
      <c r="Q2041" s="10" t="n">
        <f aca="false">VLOOKUP(G2041,$AA$2:$AB$5,2,FALSE())</f>
        <v>15</v>
      </c>
      <c r="R2041" s="7" t="n">
        <f aca="false">IF(OR(F2041="Open",F2041="Reopened"),1,0)</f>
        <v>1</v>
      </c>
      <c r="S2041" s="7" t="n">
        <f aca="false">IF(AND(H2041&gt;='Exec Summary'!$E$1,H2041&lt;='Exec Summary'!$E$2),1,0)</f>
        <v>0</v>
      </c>
      <c r="T2041" s="7" t="n">
        <f aca="false">IF(AND(F2041="Closed",I2041&lt;&gt;"",I2041&gt;='Exec Summary'!$E$1,I2041&lt;='Exec Summary'!$E$2),1,0)</f>
        <v>0</v>
      </c>
      <c r="U2041" s="7" t="n">
        <f aca="false">IF(F2041="Reopened",1,0)</f>
        <v>0</v>
      </c>
      <c r="V2041" s="7" t="n">
        <f aca="false">IF(AND(R2041=1,O2041&gt;Q2041),1,0)</f>
        <v>1</v>
      </c>
      <c r="W2041" s="7" t="n">
        <f aca="false">IF(AND(T2041=1,P2041&lt;&gt;"",P2041&lt;=Q2041),1,0)</f>
        <v>0</v>
      </c>
    </row>
    <row r="2042" customFormat="false" ht="15" hidden="false" customHeight="false" outlineLevel="0" collapsed="false">
      <c r="A2042" s="7" t="s">
        <v>2445</v>
      </c>
      <c r="B2042" s="7" t="s">
        <v>135</v>
      </c>
      <c r="C2042" s="7" t="s">
        <v>247</v>
      </c>
      <c r="D2042" s="7" t="s">
        <v>62</v>
      </c>
      <c r="E2042" s="7" t="s">
        <v>63</v>
      </c>
      <c r="F2042" s="7" t="s">
        <v>56</v>
      </c>
      <c r="G2042" s="7" t="s">
        <v>20</v>
      </c>
      <c r="H2042" s="9" t="n">
        <v>46067</v>
      </c>
      <c r="I2042" s="9"/>
      <c r="J2042" s="7" t="n">
        <v>8.1</v>
      </c>
      <c r="K2042" s="7" t="s">
        <v>2260</v>
      </c>
      <c r="L2042" s="7" t="s">
        <v>19</v>
      </c>
      <c r="M2042" s="7" t="s">
        <v>2452</v>
      </c>
      <c r="N2042" s="7" t="s">
        <v>53</v>
      </c>
      <c r="O2042" s="10" t="n">
        <f aca="false">'Exec Summary'!$E$2-H2042</f>
        <v>167</v>
      </c>
      <c r="P2042" s="10" t="str">
        <f aca="false">IF(I2042="","",I2042-H2042)</f>
        <v/>
      </c>
      <c r="Q2042" s="10" t="n">
        <f aca="false">VLOOKUP(G2042,$AA$2:$AB$5,2,FALSE())</f>
        <v>30</v>
      </c>
      <c r="R2042" s="7" t="n">
        <f aca="false">IF(OR(F2042="Open",F2042="Reopened"),1,0)</f>
        <v>1</v>
      </c>
      <c r="S2042" s="7" t="n">
        <f aca="false">IF(AND(H2042&gt;='Exec Summary'!$E$1,H2042&lt;='Exec Summary'!$E$2),1,0)</f>
        <v>0</v>
      </c>
      <c r="T2042" s="7" t="n">
        <f aca="false">IF(AND(F2042="Closed",I2042&lt;&gt;"",I2042&gt;='Exec Summary'!$E$1,I2042&lt;='Exec Summary'!$E$2),1,0)</f>
        <v>0</v>
      </c>
      <c r="U2042" s="7" t="n">
        <f aca="false">IF(F2042="Reopened",1,0)</f>
        <v>0</v>
      </c>
      <c r="V2042" s="7" t="n">
        <f aca="false">IF(AND(R2042=1,O2042&gt;Q2042),1,0)</f>
        <v>1</v>
      </c>
      <c r="W2042" s="7" t="n">
        <f aca="false">IF(AND(T2042=1,P2042&lt;&gt;"",P2042&lt;=Q2042),1,0)</f>
        <v>0</v>
      </c>
    </row>
    <row r="2043" customFormat="false" ht="15" hidden="false" customHeight="false" outlineLevel="0" collapsed="false">
      <c r="A2043" s="7" t="s">
        <v>2445</v>
      </c>
      <c r="B2043" s="7" t="s">
        <v>135</v>
      </c>
      <c r="C2043" s="7" t="s">
        <v>247</v>
      </c>
      <c r="D2043" s="7" t="s">
        <v>139</v>
      </c>
      <c r="E2043" s="7" t="s">
        <v>140</v>
      </c>
      <c r="F2043" s="7" t="s">
        <v>50</v>
      </c>
      <c r="G2043" s="7" t="s">
        <v>19</v>
      </c>
      <c r="H2043" s="9" t="n">
        <v>45969</v>
      </c>
      <c r="I2043" s="9" t="n">
        <v>45978</v>
      </c>
      <c r="J2043" s="7" t="n">
        <v>9.8</v>
      </c>
      <c r="K2043" s="7" t="s">
        <v>2260</v>
      </c>
      <c r="L2043" s="7" t="s">
        <v>19</v>
      </c>
      <c r="M2043" s="7" t="s">
        <v>2453</v>
      </c>
      <c r="N2043" s="7" t="s">
        <v>58</v>
      </c>
      <c r="O2043" s="10" t="n">
        <f aca="false">'Exec Summary'!$E$2-H2043</f>
        <v>265</v>
      </c>
      <c r="P2043" s="10" t="n">
        <f aca="false">IF(I2043="","",I2043-H2043)</f>
        <v>9</v>
      </c>
      <c r="Q2043" s="10" t="n">
        <f aca="false">VLOOKUP(G2043,$AA$2:$AB$5,2,FALSE())</f>
        <v>15</v>
      </c>
      <c r="R2043" s="7" t="n">
        <f aca="false">IF(OR(F2043="Open",F2043="Reopened"),1,0)</f>
        <v>0</v>
      </c>
      <c r="S2043" s="7" t="n">
        <f aca="false">IF(AND(H2043&gt;='Exec Summary'!$E$1,H2043&lt;='Exec Summary'!$E$2),1,0)</f>
        <v>0</v>
      </c>
      <c r="T2043" s="7" t="n">
        <f aca="false">IF(AND(F2043="Closed",I2043&lt;&gt;"",I2043&gt;='Exec Summary'!$E$1,I2043&lt;='Exec Summary'!$E$2),1,0)</f>
        <v>0</v>
      </c>
      <c r="U2043" s="7" t="n">
        <f aca="false">IF(F2043="Reopened",1,0)</f>
        <v>0</v>
      </c>
      <c r="V2043" s="7" t="n">
        <f aca="false">IF(AND(R2043=1,O2043&gt;Q2043),1,0)</f>
        <v>0</v>
      </c>
      <c r="W2043" s="7" t="n">
        <f aca="false">IF(AND(T2043=1,P2043&lt;&gt;"",P2043&lt;=Q2043),1,0)</f>
        <v>0</v>
      </c>
    </row>
    <row r="2044" customFormat="false" ht="15" hidden="false" customHeight="false" outlineLevel="0" collapsed="false">
      <c r="A2044" s="7" t="s">
        <v>2445</v>
      </c>
      <c r="B2044" s="7" t="s">
        <v>135</v>
      </c>
      <c r="C2044" s="7" t="s">
        <v>247</v>
      </c>
      <c r="D2044" s="7" t="s">
        <v>95</v>
      </c>
      <c r="E2044" s="7" t="s">
        <v>96</v>
      </c>
      <c r="F2044" s="7" t="s">
        <v>50</v>
      </c>
      <c r="G2044" s="7" t="s">
        <v>20</v>
      </c>
      <c r="H2044" s="9" t="n">
        <v>46162</v>
      </c>
      <c r="I2044" s="9" t="n">
        <v>46193</v>
      </c>
      <c r="J2044" s="7" t="n">
        <v>8.8</v>
      </c>
      <c r="K2044" s="7" t="s">
        <v>2260</v>
      </c>
      <c r="L2044" s="7" t="s">
        <v>19</v>
      </c>
      <c r="M2044" s="7" t="s">
        <v>2454</v>
      </c>
      <c r="N2044" s="7" t="s">
        <v>53</v>
      </c>
      <c r="O2044" s="10" t="n">
        <f aca="false">'Exec Summary'!$E$2-H2044</f>
        <v>72</v>
      </c>
      <c r="P2044" s="10" t="n">
        <f aca="false">IF(I2044="","",I2044-H2044)</f>
        <v>31</v>
      </c>
      <c r="Q2044" s="10" t="n">
        <f aca="false">VLOOKUP(G2044,$AA$2:$AB$5,2,FALSE())</f>
        <v>30</v>
      </c>
      <c r="R2044" s="7" t="n">
        <f aca="false">IF(OR(F2044="Open",F2044="Reopened"),1,0)</f>
        <v>0</v>
      </c>
      <c r="S2044" s="7" t="n">
        <f aca="false">IF(AND(H2044&gt;='Exec Summary'!$E$1,H2044&lt;='Exec Summary'!$E$2),1,0)</f>
        <v>0</v>
      </c>
      <c r="T2044" s="7" t="n">
        <f aca="false">IF(AND(F2044="Closed",I2044&lt;&gt;"",I2044&gt;='Exec Summary'!$E$1,I2044&lt;='Exec Summary'!$E$2),1,0)</f>
        <v>0</v>
      </c>
      <c r="U2044" s="7" t="n">
        <f aca="false">IF(F2044="Reopened",1,0)</f>
        <v>0</v>
      </c>
      <c r="V2044" s="7" t="n">
        <f aca="false">IF(AND(R2044=1,O2044&gt;Q2044),1,0)</f>
        <v>0</v>
      </c>
      <c r="W2044" s="7" t="n">
        <f aca="false">IF(AND(T2044=1,P2044&lt;&gt;"",P2044&lt;=Q2044),1,0)</f>
        <v>0</v>
      </c>
    </row>
    <row r="2045" customFormat="false" ht="15" hidden="false" customHeight="false" outlineLevel="0" collapsed="false">
      <c r="A2045" s="7" t="s">
        <v>2445</v>
      </c>
      <c r="B2045" s="7" t="s">
        <v>135</v>
      </c>
      <c r="C2045" s="7" t="s">
        <v>247</v>
      </c>
      <c r="D2045" s="7" t="s">
        <v>145</v>
      </c>
      <c r="E2045" s="7" t="s">
        <v>146</v>
      </c>
      <c r="F2045" s="7" t="s">
        <v>56</v>
      </c>
      <c r="G2045" s="7" t="s">
        <v>19</v>
      </c>
      <c r="H2045" s="9" t="n">
        <v>46079</v>
      </c>
      <c r="I2045" s="9"/>
      <c r="J2045" s="7" t="n">
        <v>9.8</v>
      </c>
      <c r="K2045" s="7" t="s">
        <v>2260</v>
      </c>
      <c r="L2045" s="7" t="s">
        <v>19</v>
      </c>
      <c r="M2045" s="7" t="s">
        <v>2455</v>
      </c>
      <c r="N2045" s="7" t="s">
        <v>58</v>
      </c>
      <c r="O2045" s="10" t="n">
        <f aca="false">'Exec Summary'!$E$2-H2045</f>
        <v>155</v>
      </c>
      <c r="P2045" s="10" t="str">
        <f aca="false">IF(I2045="","",I2045-H2045)</f>
        <v/>
      </c>
      <c r="Q2045" s="10" t="n">
        <f aca="false">VLOOKUP(G2045,$AA$2:$AB$5,2,FALSE())</f>
        <v>15</v>
      </c>
      <c r="R2045" s="7" t="n">
        <f aca="false">IF(OR(F2045="Open",F2045="Reopened"),1,0)</f>
        <v>1</v>
      </c>
      <c r="S2045" s="7" t="n">
        <f aca="false">IF(AND(H2045&gt;='Exec Summary'!$E$1,H2045&lt;='Exec Summary'!$E$2),1,0)</f>
        <v>0</v>
      </c>
      <c r="T2045" s="7" t="n">
        <f aca="false">IF(AND(F2045="Closed",I2045&lt;&gt;"",I2045&gt;='Exec Summary'!$E$1,I2045&lt;='Exec Summary'!$E$2),1,0)</f>
        <v>0</v>
      </c>
      <c r="U2045" s="7" t="n">
        <f aca="false">IF(F2045="Reopened",1,0)</f>
        <v>0</v>
      </c>
      <c r="V2045" s="7" t="n">
        <f aca="false">IF(AND(R2045=1,O2045&gt;Q2045),1,0)</f>
        <v>1</v>
      </c>
      <c r="W2045" s="7" t="n">
        <f aca="false">IF(AND(T2045=1,P2045&lt;&gt;"",P2045&lt;=Q2045),1,0)</f>
        <v>0</v>
      </c>
    </row>
    <row r="2046" customFormat="false" ht="15" hidden="false" customHeight="false" outlineLevel="0" collapsed="false">
      <c r="A2046" s="7" t="s">
        <v>2445</v>
      </c>
      <c r="B2046" s="7" t="s">
        <v>135</v>
      </c>
      <c r="C2046" s="7" t="s">
        <v>247</v>
      </c>
      <c r="D2046" s="7" t="s">
        <v>54</v>
      </c>
      <c r="E2046" s="7" t="s">
        <v>55</v>
      </c>
      <c r="F2046" s="7" t="s">
        <v>123</v>
      </c>
      <c r="G2046" s="7" t="s">
        <v>19</v>
      </c>
      <c r="H2046" s="9" t="n">
        <v>46141</v>
      </c>
      <c r="I2046" s="9" t="n">
        <v>46153</v>
      </c>
      <c r="J2046" s="7" t="n">
        <v>9.8</v>
      </c>
      <c r="K2046" s="7" t="s">
        <v>2260</v>
      </c>
      <c r="L2046" s="7" t="s">
        <v>19</v>
      </c>
      <c r="M2046" s="7" t="s">
        <v>2456</v>
      </c>
      <c r="N2046" s="7" t="s">
        <v>58</v>
      </c>
      <c r="O2046" s="10" t="n">
        <f aca="false">'Exec Summary'!$E$2-H2046</f>
        <v>93</v>
      </c>
      <c r="P2046" s="10" t="n">
        <f aca="false">IF(I2046="","",I2046-H2046)</f>
        <v>12</v>
      </c>
      <c r="Q2046" s="10" t="n">
        <f aca="false">VLOOKUP(G2046,$AA$2:$AB$5,2,FALSE())</f>
        <v>15</v>
      </c>
      <c r="R2046" s="7" t="n">
        <f aca="false">IF(OR(F2046="Open",F2046="Reopened"),1,0)</f>
        <v>1</v>
      </c>
      <c r="S2046" s="7" t="n">
        <f aca="false">IF(AND(H2046&gt;='Exec Summary'!$E$1,H2046&lt;='Exec Summary'!$E$2),1,0)</f>
        <v>0</v>
      </c>
      <c r="T2046" s="7" t="n">
        <f aca="false">IF(AND(F2046="Closed",I2046&lt;&gt;"",I2046&gt;='Exec Summary'!$E$1,I2046&lt;='Exec Summary'!$E$2),1,0)</f>
        <v>0</v>
      </c>
      <c r="U2046" s="7" t="n">
        <f aca="false">IF(F2046="Reopened",1,0)</f>
        <v>1</v>
      </c>
      <c r="V2046" s="7" t="n">
        <f aca="false">IF(AND(R2046=1,O2046&gt;Q2046),1,0)</f>
        <v>1</v>
      </c>
      <c r="W2046" s="7" t="n">
        <f aca="false">IF(AND(T2046=1,P2046&lt;&gt;"",P2046&lt;=Q2046),1,0)</f>
        <v>0</v>
      </c>
    </row>
    <row r="2047" customFormat="false" ht="15" hidden="false" customHeight="false" outlineLevel="0" collapsed="false">
      <c r="A2047" s="7" t="s">
        <v>2445</v>
      </c>
      <c r="B2047" s="7" t="s">
        <v>135</v>
      </c>
      <c r="C2047" s="7" t="s">
        <v>247</v>
      </c>
      <c r="D2047" s="7" t="s">
        <v>192</v>
      </c>
      <c r="E2047" s="7" t="s">
        <v>193</v>
      </c>
      <c r="F2047" s="7" t="s">
        <v>56</v>
      </c>
      <c r="G2047" s="7" t="s">
        <v>19</v>
      </c>
      <c r="H2047" s="9" t="n">
        <v>46070</v>
      </c>
      <c r="I2047" s="9"/>
      <c r="J2047" s="7" t="n">
        <v>9.8</v>
      </c>
      <c r="K2047" s="7" t="s">
        <v>2260</v>
      </c>
      <c r="L2047" s="7" t="s">
        <v>19</v>
      </c>
      <c r="M2047" s="7" t="s">
        <v>2457</v>
      </c>
      <c r="N2047" s="7" t="s">
        <v>58</v>
      </c>
      <c r="O2047" s="10" t="n">
        <f aca="false">'Exec Summary'!$E$2-H2047</f>
        <v>164</v>
      </c>
      <c r="P2047" s="10" t="str">
        <f aca="false">IF(I2047="","",I2047-H2047)</f>
        <v/>
      </c>
      <c r="Q2047" s="10" t="n">
        <f aca="false">VLOOKUP(G2047,$AA$2:$AB$5,2,FALSE())</f>
        <v>15</v>
      </c>
      <c r="R2047" s="7" t="n">
        <f aca="false">IF(OR(F2047="Open",F2047="Reopened"),1,0)</f>
        <v>1</v>
      </c>
      <c r="S2047" s="7" t="n">
        <f aca="false">IF(AND(H2047&gt;='Exec Summary'!$E$1,H2047&lt;='Exec Summary'!$E$2),1,0)</f>
        <v>0</v>
      </c>
      <c r="T2047" s="7" t="n">
        <f aca="false">IF(AND(F2047="Closed",I2047&lt;&gt;"",I2047&gt;='Exec Summary'!$E$1,I2047&lt;='Exec Summary'!$E$2),1,0)</f>
        <v>0</v>
      </c>
      <c r="U2047" s="7" t="n">
        <f aca="false">IF(F2047="Reopened",1,0)</f>
        <v>0</v>
      </c>
      <c r="V2047" s="7" t="n">
        <f aca="false">IF(AND(R2047=1,O2047&gt;Q2047),1,0)</f>
        <v>1</v>
      </c>
      <c r="W2047" s="7" t="n">
        <f aca="false">IF(AND(T2047=1,P2047&lt;&gt;"",P2047&lt;=Q2047),1,0)</f>
        <v>0</v>
      </c>
    </row>
    <row r="2048" customFormat="false" ht="15" hidden="false" customHeight="false" outlineLevel="0" collapsed="false">
      <c r="A2048" s="7" t="s">
        <v>2445</v>
      </c>
      <c r="B2048" s="7" t="s">
        <v>135</v>
      </c>
      <c r="C2048" s="7" t="s">
        <v>247</v>
      </c>
      <c r="D2048" s="7" t="s">
        <v>71</v>
      </c>
      <c r="E2048" s="7" t="s">
        <v>72</v>
      </c>
      <c r="F2048" s="7" t="s">
        <v>56</v>
      </c>
      <c r="G2048" s="7" t="s">
        <v>19</v>
      </c>
      <c r="H2048" s="9" t="n">
        <v>46005</v>
      </c>
      <c r="I2048" s="9"/>
      <c r="J2048" s="7" t="n">
        <v>9.8</v>
      </c>
      <c r="K2048" s="7" t="s">
        <v>2260</v>
      </c>
      <c r="L2048" s="7" t="s">
        <v>19</v>
      </c>
      <c r="M2048" s="7" t="s">
        <v>2458</v>
      </c>
      <c r="N2048" s="7" t="s">
        <v>58</v>
      </c>
      <c r="O2048" s="10" t="n">
        <f aca="false">'Exec Summary'!$E$2-H2048</f>
        <v>229</v>
      </c>
      <c r="P2048" s="10" t="str">
        <f aca="false">IF(I2048="","",I2048-H2048)</f>
        <v/>
      </c>
      <c r="Q2048" s="10" t="n">
        <f aca="false">VLOOKUP(G2048,$AA$2:$AB$5,2,FALSE())</f>
        <v>15</v>
      </c>
      <c r="R2048" s="7" t="n">
        <f aca="false">IF(OR(F2048="Open",F2048="Reopened"),1,0)</f>
        <v>1</v>
      </c>
      <c r="S2048" s="7" t="n">
        <f aca="false">IF(AND(H2048&gt;='Exec Summary'!$E$1,H2048&lt;='Exec Summary'!$E$2),1,0)</f>
        <v>0</v>
      </c>
      <c r="T2048" s="7" t="n">
        <f aca="false">IF(AND(F2048="Closed",I2048&lt;&gt;"",I2048&gt;='Exec Summary'!$E$1,I2048&lt;='Exec Summary'!$E$2),1,0)</f>
        <v>0</v>
      </c>
      <c r="U2048" s="7" t="n">
        <f aca="false">IF(F2048="Reopened",1,0)</f>
        <v>0</v>
      </c>
      <c r="V2048" s="7" t="n">
        <f aca="false">IF(AND(R2048=1,O2048&gt;Q2048),1,0)</f>
        <v>1</v>
      </c>
      <c r="W2048" s="7" t="n">
        <f aca="false">IF(AND(T2048=1,P2048&lt;&gt;"",P2048&lt;=Q2048),1,0)</f>
        <v>0</v>
      </c>
    </row>
    <row r="2049" customFormat="false" ht="15" hidden="false" customHeight="false" outlineLevel="0" collapsed="false">
      <c r="A2049" s="7" t="s">
        <v>2459</v>
      </c>
      <c r="B2049" s="7" t="s">
        <v>46</v>
      </c>
      <c r="C2049" s="7" t="s">
        <v>128</v>
      </c>
      <c r="D2049" s="7" t="s">
        <v>87</v>
      </c>
      <c r="E2049" s="7" t="s">
        <v>88</v>
      </c>
      <c r="F2049" s="7" t="s">
        <v>50</v>
      </c>
      <c r="G2049" s="7" t="s">
        <v>19</v>
      </c>
      <c r="H2049" s="9" t="n">
        <v>46003</v>
      </c>
      <c r="I2049" s="9" t="n">
        <v>46016</v>
      </c>
      <c r="J2049" s="7" t="n">
        <v>10</v>
      </c>
      <c r="K2049" s="7" t="s">
        <v>2260</v>
      </c>
      <c r="L2049" s="7" t="s">
        <v>20</v>
      </c>
      <c r="M2049" s="7" t="s">
        <v>2460</v>
      </c>
      <c r="N2049" s="7" t="s">
        <v>58</v>
      </c>
      <c r="O2049" s="10" t="n">
        <f aca="false">'Exec Summary'!$E$2-H2049</f>
        <v>231</v>
      </c>
      <c r="P2049" s="10" t="n">
        <f aca="false">IF(I2049="","",I2049-H2049)</f>
        <v>13</v>
      </c>
      <c r="Q2049" s="10" t="n">
        <f aca="false">VLOOKUP(G2049,$AA$2:$AB$5,2,FALSE())</f>
        <v>15</v>
      </c>
      <c r="R2049" s="7" t="n">
        <f aca="false">IF(OR(F2049="Open",F2049="Reopened"),1,0)</f>
        <v>0</v>
      </c>
      <c r="S2049" s="7" t="n">
        <f aca="false">IF(AND(H2049&gt;='Exec Summary'!$E$1,H2049&lt;='Exec Summary'!$E$2),1,0)</f>
        <v>0</v>
      </c>
      <c r="T2049" s="7" t="n">
        <f aca="false">IF(AND(F2049="Closed",I2049&lt;&gt;"",I2049&gt;='Exec Summary'!$E$1,I2049&lt;='Exec Summary'!$E$2),1,0)</f>
        <v>0</v>
      </c>
      <c r="U2049" s="7" t="n">
        <f aca="false">IF(F2049="Reopened",1,0)</f>
        <v>0</v>
      </c>
      <c r="V2049" s="7" t="n">
        <f aca="false">IF(AND(R2049=1,O2049&gt;Q2049),1,0)</f>
        <v>0</v>
      </c>
      <c r="W2049" s="7" t="n">
        <f aca="false">IF(AND(T2049=1,P2049&lt;&gt;"",P2049&lt;=Q2049),1,0)</f>
        <v>0</v>
      </c>
    </row>
    <row r="2050" customFormat="false" ht="15" hidden="false" customHeight="false" outlineLevel="0" collapsed="false">
      <c r="A2050" s="7" t="s">
        <v>2459</v>
      </c>
      <c r="B2050" s="7" t="s">
        <v>46</v>
      </c>
      <c r="C2050" s="7" t="s">
        <v>128</v>
      </c>
      <c r="D2050" s="7" t="s">
        <v>101</v>
      </c>
      <c r="E2050" s="7" t="s">
        <v>102</v>
      </c>
      <c r="F2050" s="7" t="s">
        <v>50</v>
      </c>
      <c r="G2050" s="7" t="s">
        <v>19</v>
      </c>
      <c r="H2050" s="9" t="n">
        <v>46032</v>
      </c>
      <c r="I2050" s="9" t="n">
        <v>46051</v>
      </c>
      <c r="J2050" s="7" t="n">
        <v>10</v>
      </c>
      <c r="K2050" s="7" t="s">
        <v>2260</v>
      </c>
      <c r="L2050" s="7" t="s">
        <v>20</v>
      </c>
      <c r="M2050" s="7" t="s">
        <v>2461</v>
      </c>
      <c r="N2050" s="7" t="s">
        <v>58</v>
      </c>
      <c r="O2050" s="10" t="n">
        <f aca="false">'Exec Summary'!$E$2-H2050</f>
        <v>202</v>
      </c>
      <c r="P2050" s="10" t="n">
        <f aca="false">IF(I2050="","",I2050-H2050)</f>
        <v>19</v>
      </c>
      <c r="Q2050" s="10" t="n">
        <f aca="false">VLOOKUP(G2050,$AA$2:$AB$5,2,FALSE())</f>
        <v>15</v>
      </c>
      <c r="R2050" s="7" t="n">
        <f aca="false">IF(OR(F2050="Open",F2050="Reopened"),1,0)</f>
        <v>0</v>
      </c>
      <c r="S2050" s="7" t="n">
        <f aca="false">IF(AND(H2050&gt;='Exec Summary'!$E$1,H2050&lt;='Exec Summary'!$E$2),1,0)</f>
        <v>0</v>
      </c>
      <c r="T2050" s="7" t="n">
        <f aca="false">IF(AND(F2050="Closed",I2050&lt;&gt;"",I2050&gt;='Exec Summary'!$E$1,I2050&lt;='Exec Summary'!$E$2),1,0)</f>
        <v>0</v>
      </c>
      <c r="U2050" s="7" t="n">
        <f aca="false">IF(F2050="Reopened",1,0)</f>
        <v>0</v>
      </c>
      <c r="V2050" s="7" t="n">
        <f aca="false">IF(AND(R2050=1,O2050&gt;Q2050),1,0)</f>
        <v>0</v>
      </c>
      <c r="W2050" s="7" t="n">
        <f aca="false">IF(AND(T2050=1,P2050&lt;&gt;"",P2050&lt;=Q2050),1,0)</f>
        <v>0</v>
      </c>
    </row>
    <row r="2051" customFormat="false" ht="15" hidden="false" customHeight="false" outlineLevel="0" collapsed="false">
      <c r="A2051" s="7" t="s">
        <v>2459</v>
      </c>
      <c r="B2051" s="7" t="s">
        <v>46</v>
      </c>
      <c r="C2051" s="7" t="s">
        <v>128</v>
      </c>
      <c r="D2051" s="7" t="s">
        <v>68</v>
      </c>
      <c r="E2051" s="7" t="s">
        <v>69</v>
      </c>
      <c r="F2051" s="7" t="s">
        <v>123</v>
      </c>
      <c r="G2051" s="7" t="s">
        <v>19</v>
      </c>
      <c r="H2051" s="9" t="n">
        <v>45942</v>
      </c>
      <c r="I2051" s="9" t="n">
        <v>45966</v>
      </c>
      <c r="J2051" s="7" t="n">
        <v>9.8</v>
      </c>
      <c r="K2051" s="7" t="s">
        <v>2260</v>
      </c>
      <c r="L2051" s="7" t="s">
        <v>20</v>
      </c>
      <c r="M2051" s="7" t="s">
        <v>2462</v>
      </c>
      <c r="N2051" s="7" t="s">
        <v>58</v>
      </c>
      <c r="O2051" s="10" t="n">
        <f aca="false">'Exec Summary'!$E$2-H2051</f>
        <v>292</v>
      </c>
      <c r="P2051" s="10" t="n">
        <f aca="false">IF(I2051="","",I2051-H2051)</f>
        <v>24</v>
      </c>
      <c r="Q2051" s="10" t="n">
        <f aca="false">VLOOKUP(G2051,$AA$2:$AB$5,2,FALSE())</f>
        <v>15</v>
      </c>
      <c r="R2051" s="7" t="n">
        <f aca="false">IF(OR(F2051="Open",F2051="Reopened"),1,0)</f>
        <v>1</v>
      </c>
      <c r="S2051" s="7" t="n">
        <f aca="false">IF(AND(H2051&gt;='Exec Summary'!$E$1,H2051&lt;='Exec Summary'!$E$2),1,0)</f>
        <v>0</v>
      </c>
      <c r="T2051" s="7" t="n">
        <f aca="false">IF(AND(F2051="Closed",I2051&lt;&gt;"",I2051&gt;='Exec Summary'!$E$1,I2051&lt;='Exec Summary'!$E$2),1,0)</f>
        <v>0</v>
      </c>
      <c r="U2051" s="7" t="n">
        <f aca="false">IF(F2051="Reopened",1,0)</f>
        <v>1</v>
      </c>
      <c r="V2051" s="7" t="n">
        <f aca="false">IF(AND(R2051=1,O2051&gt;Q2051),1,0)</f>
        <v>1</v>
      </c>
      <c r="W2051" s="7" t="n">
        <f aca="false">IF(AND(T2051=1,P2051&lt;&gt;"",P2051&lt;=Q2051),1,0)</f>
        <v>0</v>
      </c>
    </row>
    <row r="2052" customFormat="false" ht="15" hidden="false" customHeight="false" outlineLevel="0" collapsed="false">
      <c r="A2052" s="7" t="s">
        <v>2459</v>
      </c>
      <c r="B2052" s="7" t="s">
        <v>46</v>
      </c>
      <c r="C2052" s="7" t="s">
        <v>128</v>
      </c>
      <c r="D2052" s="7" t="s">
        <v>145</v>
      </c>
      <c r="E2052" s="7" t="s">
        <v>146</v>
      </c>
      <c r="F2052" s="7" t="s">
        <v>56</v>
      </c>
      <c r="G2052" s="7" t="s">
        <v>19</v>
      </c>
      <c r="H2052" s="9" t="n">
        <v>46220</v>
      </c>
      <c r="I2052" s="9"/>
      <c r="J2052" s="7" t="n">
        <v>9.8</v>
      </c>
      <c r="K2052" s="7" t="s">
        <v>2260</v>
      </c>
      <c r="L2052" s="7" t="s">
        <v>20</v>
      </c>
      <c r="M2052" s="7" t="s">
        <v>2463</v>
      </c>
      <c r="N2052" s="7" t="s">
        <v>58</v>
      </c>
      <c r="O2052" s="10" t="n">
        <f aca="false">'Exec Summary'!$E$2-H2052</f>
        <v>14</v>
      </c>
      <c r="P2052" s="10" t="str">
        <f aca="false">IF(I2052="","",I2052-H2052)</f>
        <v/>
      </c>
      <c r="Q2052" s="10" t="n">
        <f aca="false">VLOOKUP(G2052,$AA$2:$AB$5,2,FALSE())</f>
        <v>15</v>
      </c>
      <c r="R2052" s="7" t="n">
        <f aca="false">IF(OR(F2052="Open",F2052="Reopened"),1,0)</f>
        <v>1</v>
      </c>
      <c r="S2052" s="7" t="n">
        <f aca="false">IF(AND(H2052&gt;='Exec Summary'!$E$1,H2052&lt;='Exec Summary'!$E$2),1,0)</f>
        <v>1</v>
      </c>
      <c r="T2052" s="7" t="n">
        <f aca="false">IF(AND(F2052="Closed",I2052&lt;&gt;"",I2052&gt;='Exec Summary'!$E$1,I2052&lt;='Exec Summary'!$E$2),1,0)</f>
        <v>0</v>
      </c>
      <c r="U2052" s="7" t="n">
        <f aca="false">IF(F2052="Reopened",1,0)</f>
        <v>0</v>
      </c>
      <c r="V2052" s="7" t="n">
        <f aca="false">IF(AND(R2052=1,O2052&gt;Q2052),1,0)</f>
        <v>0</v>
      </c>
      <c r="W2052" s="7" t="n">
        <f aca="false">IF(AND(T2052=1,P2052&lt;&gt;"",P2052&lt;=Q2052),1,0)</f>
        <v>0</v>
      </c>
    </row>
    <row r="2053" customFormat="false" ht="15" hidden="false" customHeight="false" outlineLevel="0" collapsed="false">
      <c r="A2053" s="7" t="s">
        <v>2459</v>
      </c>
      <c r="B2053" s="7" t="s">
        <v>46</v>
      </c>
      <c r="C2053" s="7" t="s">
        <v>128</v>
      </c>
      <c r="D2053" s="7" t="s">
        <v>81</v>
      </c>
      <c r="E2053" s="7" t="s">
        <v>82</v>
      </c>
      <c r="F2053" s="7" t="s">
        <v>50</v>
      </c>
      <c r="G2053" s="7" t="s">
        <v>20</v>
      </c>
      <c r="H2053" s="9" t="n">
        <v>45988</v>
      </c>
      <c r="I2053" s="9" t="n">
        <v>45998</v>
      </c>
      <c r="J2053" s="7" t="n">
        <v>7.8</v>
      </c>
      <c r="K2053" s="7" t="s">
        <v>2260</v>
      </c>
      <c r="L2053" s="7" t="s">
        <v>20</v>
      </c>
      <c r="M2053" s="7" t="s">
        <v>2464</v>
      </c>
      <c r="N2053" s="7" t="s">
        <v>53</v>
      </c>
      <c r="O2053" s="10" t="n">
        <f aca="false">'Exec Summary'!$E$2-H2053</f>
        <v>246</v>
      </c>
      <c r="P2053" s="10" t="n">
        <f aca="false">IF(I2053="","",I2053-H2053)</f>
        <v>10</v>
      </c>
      <c r="Q2053" s="10" t="n">
        <f aca="false">VLOOKUP(G2053,$AA$2:$AB$5,2,FALSE())</f>
        <v>30</v>
      </c>
      <c r="R2053" s="7" t="n">
        <f aca="false">IF(OR(F2053="Open",F2053="Reopened"),1,0)</f>
        <v>0</v>
      </c>
      <c r="S2053" s="7" t="n">
        <f aca="false">IF(AND(H2053&gt;='Exec Summary'!$E$1,H2053&lt;='Exec Summary'!$E$2),1,0)</f>
        <v>0</v>
      </c>
      <c r="T2053" s="7" t="n">
        <f aca="false">IF(AND(F2053="Closed",I2053&lt;&gt;"",I2053&gt;='Exec Summary'!$E$1,I2053&lt;='Exec Summary'!$E$2),1,0)</f>
        <v>0</v>
      </c>
      <c r="U2053" s="7" t="n">
        <f aca="false">IF(F2053="Reopened",1,0)</f>
        <v>0</v>
      </c>
      <c r="V2053" s="7" t="n">
        <f aca="false">IF(AND(R2053=1,O2053&gt;Q2053),1,0)</f>
        <v>0</v>
      </c>
      <c r="W2053" s="7" t="n">
        <f aca="false">IF(AND(T2053=1,P2053&lt;&gt;"",P2053&lt;=Q2053),1,0)</f>
        <v>0</v>
      </c>
    </row>
    <row r="2054" customFormat="false" ht="15" hidden="false" customHeight="false" outlineLevel="0" collapsed="false">
      <c r="A2054" s="7" t="s">
        <v>2459</v>
      </c>
      <c r="B2054" s="7" t="s">
        <v>46</v>
      </c>
      <c r="C2054" s="7" t="s">
        <v>128</v>
      </c>
      <c r="D2054" s="7" t="s">
        <v>192</v>
      </c>
      <c r="E2054" s="7" t="s">
        <v>193</v>
      </c>
      <c r="F2054" s="7" t="s">
        <v>50</v>
      </c>
      <c r="G2054" s="7" t="s">
        <v>19</v>
      </c>
      <c r="H2054" s="9" t="n">
        <v>46111</v>
      </c>
      <c r="I2054" s="9" t="n">
        <v>46112</v>
      </c>
      <c r="J2054" s="7" t="n">
        <v>9.8</v>
      </c>
      <c r="K2054" s="7" t="s">
        <v>2260</v>
      </c>
      <c r="L2054" s="7" t="s">
        <v>20</v>
      </c>
      <c r="M2054" s="7" t="s">
        <v>2465</v>
      </c>
      <c r="N2054" s="7" t="s">
        <v>58</v>
      </c>
      <c r="O2054" s="10" t="n">
        <f aca="false">'Exec Summary'!$E$2-H2054</f>
        <v>123</v>
      </c>
      <c r="P2054" s="10" t="n">
        <f aca="false">IF(I2054="","",I2054-H2054)</f>
        <v>1</v>
      </c>
      <c r="Q2054" s="10" t="n">
        <f aca="false">VLOOKUP(G2054,$AA$2:$AB$5,2,FALSE())</f>
        <v>15</v>
      </c>
      <c r="R2054" s="7" t="n">
        <f aca="false">IF(OR(F2054="Open",F2054="Reopened"),1,0)</f>
        <v>0</v>
      </c>
      <c r="S2054" s="7" t="n">
        <f aca="false">IF(AND(H2054&gt;='Exec Summary'!$E$1,H2054&lt;='Exec Summary'!$E$2),1,0)</f>
        <v>0</v>
      </c>
      <c r="T2054" s="7" t="n">
        <f aca="false">IF(AND(F2054="Closed",I2054&lt;&gt;"",I2054&gt;='Exec Summary'!$E$1,I2054&lt;='Exec Summary'!$E$2),1,0)</f>
        <v>0</v>
      </c>
      <c r="U2054" s="7" t="n">
        <f aca="false">IF(F2054="Reopened",1,0)</f>
        <v>0</v>
      </c>
      <c r="V2054" s="7" t="n">
        <f aca="false">IF(AND(R2054=1,O2054&gt;Q2054),1,0)</f>
        <v>0</v>
      </c>
      <c r="W2054" s="7" t="n">
        <f aca="false">IF(AND(T2054=1,P2054&lt;&gt;"",P2054&lt;=Q2054),1,0)</f>
        <v>0</v>
      </c>
    </row>
    <row r="2055" customFormat="false" ht="15" hidden="false" customHeight="false" outlineLevel="0" collapsed="false">
      <c r="A2055" s="7" t="s">
        <v>2459</v>
      </c>
      <c r="B2055" s="7" t="s">
        <v>46</v>
      </c>
      <c r="C2055" s="7" t="s">
        <v>128</v>
      </c>
      <c r="D2055" s="7" t="s">
        <v>108</v>
      </c>
      <c r="E2055" s="7" t="s">
        <v>109</v>
      </c>
      <c r="F2055" s="7" t="s">
        <v>56</v>
      </c>
      <c r="G2055" s="7" t="s">
        <v>20</v>
      </c>
      <c r="H2055" s="9" t="n">
        <v>45992</v>
      </c>
      <c r="I2055" s="9"/>
      <c r="J2055" s="7" t="n">
        <v>8.6</v>
      </c>
      <c r="K2055" s="7" t="s">
        <v>2260</v>
      </c>
      <c r="L2055" s="7" t="s">
        <v>20</v>
      </c>
      <c r="M2055" s="7" t="s">
        <v>2466</v>
      </c>
      <c r="N2055" s="7" t="s">
        <v>53</v>
      </c>
      <c r="O2055" s="10" t="n">
        <f aca="false">'Exec Summary'!$E$2-H2055</f>
        <v>242</v>
      </c>
      <c r="P2055" s="10" t="str">
        <f aca="false">IF(I2055="","",I2055-H2055)</f>
        <v/>
      </c>
      <c r="Q2055" s="10" t="n">
        <f aca="false">VLOOKUP(G2055,$AA$2:$AB$5,2,FALSE())</f>
        <v>30</v>
      </c>
      <c r="R2055" s="7" t="n">
        <f aca="false">IF(OR(F2055="Open",F2055="Reopened"),1,0)</f>
        <v>1</v>
      </c>
      <c r="S2055" s="7" t="n">
        <f aca="false">IF(AND(H2055&gt;='Exec Summary'!$E$1,H2055&lt;='Exec Summary'!$E$2),1,0)</f>
        <v>0</v>
      </c>
      <c r="T2055" s="7" t="n">
        <f aca="false">IF(AND(F2055="Closed",I2055&lt;&gt;"",I2055&gt;='Exec Summary'!$E$1,I2055&lt;='Exec Summary'!$E$2),1,0)</f>
        <v>0</v>
      </c>
      <c r="U2055" s="7" t="n">
        <f aca="false">IF(F2055="Reopened",1,0)</f>
        <v>0</v>
      </c>
      <c r="V2055" s="7" t="n">
        <f aca="false">IF(AND(R2055=1,O2055&gt;Q2055),1,0)</f>
        <v>1</v>
      </c>
      <c r="W2055" s="7" t="n">
        <f aca="false">IF(AND(T2055=1,P2055&lt;&gt;"",P2055&lt;=Q2055),1,0)</f>
        <v>0</v>
      </c>
    </row>
    <row r="2056" customFormat="false" ht="15" hidden="false" customHeight="false" outlineLevel="0" collapsed="false">
      <c r="A2056" s="7" t="s">
        <v>2459</v>
      </c>
      <c r="B2056" s="7" t="s">
        <v>46</v>
      </c>
      <c r="C2056" s="7" t="s">
        <v>128</v>
      </c>
      <c r="D2056" s="7" t="s">
        <v>166</v>
      </c>
      <c r="E2056" s="7" t="s">
        <v>167</v>
      </c>
      <c r="F2056" s="7" t="s">
        <v>56</v>
      </c>
      <c r="G2056" s="7" t="s">
        <v>19</v>
      </c>
      <c r="H2056" s="9" t="n">
        <v>46171</v>
      </c>
      <c r="I2056" s="9"/>
      <c r="J2056" s="7" t="n">
        <v>9.8</v>
      </c>
      <c r="K2056" s="7" t="s">
        <v>2260</v>
      </c>
      <c r="L2056" s="7" t="s">
        <v>20</v>
      </c>
      <c r="M2056" s="7" t="s">
        <v>2467</v>
      </c>
      <c r="N2056" s="7" t="s">
        <v>58</v>
      </c>
      <c r="O2056" s="10" t="n">
        <f aca="false">'Exec Summary'!$E$2-H2056</f>
        <v>63</v>
      </c>
      <c r="P2056" s="10" t="str">
        <f aca="false">IF(I2056="","",I2056-H2056)</f>
        <v/>
      </c>
      <c r="Q2056" s="10" t="n">
        <f aca="false">VLOOKUP(G2056,$AA$2:$AB$5,2,FALSE())</f>
        <v>15</v>
      </c>
      <c r="R2056" s="7" t="n">
        <f aca="false">IF(OR(F2056="Open",F2056="Reopened"),1,0)</f>
        <v>1</v>
      </c>
      <c r="S2056" s="7" t="n">
        <f aca="false">IF(AND(H2056&gt;='Exec Summary'!$E$1,H2056&lt;='Exec Summary'!$E$2),1,0)</f>
        <v>0</v>
      </c>
      <c r="T2056" s="7" t="n">
        <f aca="false">IF(AND(F2056="Closed",I2056&lt;&gt;"",I2056&gt;='Exec Summary'!$E$1,I2056&lt;='Exec Summary'!$E$2),1,0)</f>
        <v>0</v>
      </c>
      <c r="U2056" s="7" t="n">
        <f aca="false">IF(F2056="Reopened",1,0)</f>
        <v>0</v>
      </c>
      <c r="V2056" s="7" t="n">
        <f aca="false">IF(AND(R2056=1,O2056&gt;Q2056),1,0)</f>
        <v>1</v>
      </c>
      <c r="W2056" s="7" t="n">
        <f aca="false">IF(AND(T2056=1,P2056&lt;&gt;"",P2056&lt;=Q2056),1,0)</f>
        <v>0</v>
      </c>
    </row>
    <row r="2057" customFormat="false" ht="15" hidden="false" customHeight="false" outlineLevel="0" collapsed="false">
      <c r="A2057" s="7" t="s">
        <v>2459</v>
      </c>
      <c r="B2057" s="7" t="s">
        <v>46</v>
      </c>
      <c r="C2057" s="7" t="s">
        <v>128</v>
      </c>
      <c r="D2057" s="7" t="s">
        <v>206</v>
      </c>
      <c r="E2057" s="7" t="s">
        <v>207</v>
      </c>
      <c r="F2057" s="7" t="s">
        <v>50</v>
      </c>
      <c r="G2057" s="7" t="s">
        <v>20</v>
      </c>
      <c r="H2057" s="9" t="n">
        <v>45962</v>
      </c>
      <c r="I2057" s="9" t="n">
        <v>45980</v>
      </c>
      <c r="J2057" s="7" t="n">
        <v>8.8</v>
      </c>
      <c r="K2057" s="7" t="s">
        <v>2260</v>
      </c>
      <c r="L2057" s="7" t="s">
        <v>20</v>
      </c>
      <c r="M2057" s="7" t="s">
        <v>2468</v>
      </c>
      <c r="N2057" s="7" t="s">
        <v>53</v>
      </c>
      <c r="O2057" s="10" t="n">
        <f aca="false">'Exec Summary'!$E$2-H2057</f>
        <v>272</v>
      </c>
      <c r="P2057" s="10" t="n">
        <f aca="false">IF(I2057="","",I2057-H2057)</f>
        <v>18</v>
      </c>
      <c r="Q2057" s="10" t="n">
        <f aca="false">VLOOKUP(G2057,$AA$2:$AB$5,2,FALSE())</f>
        <v>30</v>
      </c>
      <c r="R2057" s="7" t="n">
        <f aca="false">IF(OR(F2057="Open",F2057="Reopened"),1,0)</f>
        <v>0</v>
      </c>
      <c r="S2057" s="7" t="n">
        <f aca="false">IF(AND(H2057&gt;='Exec Summary'!$E$1,H2057&lt;='Exec Summary'!$E$2),1,0)</f>
        <v>0</v>
      </c>
      <c r="T2057" s="7" t="n">
        <f aca="false">IF(AND(F2057="Closed",I2057&lt;&gt;"",I2057&gt;='Exec Summary'!$E$1,I2057&lt;='Exec Summary'!$E$2),1,0)</f>
        <v>0</v>
      </c>
      <c r="U2057" s="7" t="n">
        <f aca="false">IF(F2057="Reopened",1,0)</f>
        <v>0</v>
      </c>
      <c r="V2057" s="7" t="n">
        <f aca="false">IF(AND(R2057=1,O2057&gt;Q2057),1,0)</f>
        <v>0</v>
      </c>
      <c r="W2057" s="7" t="n">
        <f aca="false">IF(AND(T2057=1,P2057&lt;&gt;"",P2057&lt;=Q2057),1,0)</f>
        <v>0</v>
      </c>
    </row>
    <row r="2058" customFormat="false" ht="15" hidden="false" customHeight="false" outlineLevel="0" collapsed="false">
      <c r="A2058" s="7" t="s">
        <v>2459</v>
      </c>
      <c r="B2058" s="7" t="s">
        <v>46</v>
      </c>
      <c r="C2058" s="7" t="s">
        <v>128</v>
      </c>
      <c r="D2058" s="7" t="s">
        <v>84</v>
      </c>
      <c r="E2058" s="7" t="s">
        <v>85</v>
      </c>
      <c r="F2058" s="7" t="s">
        <v>123</v>
      </c>
      <c r="G2058" s="7" t="s">
        <v>20</v>
      </c>
      <c r="H2058" s="9" t="n">
        <v>46201</v>
      </c>
      <c r="I2058" s="9" t="n">
        <v>46225</v>
      </c>
      <c r="J2058" s="7" t="n">
        <v>7.5</v>
      </c>
      <c r="K2058" s="7" t="s">
        <v>2260</v>
      </c>
      <c r="L2058" s="7" t="s">
        <v>20</v>
      </c>
      <c r="M2058" s="7" t="s">
        <v>2469</v>
      </c>
      <c r="N2058" s="7" t="s">
        <v>53</v>
      </c>
      <c r="O2058" s="10" t="n">
        <f aca="false">'Exec Summary'!$E$2-H2058</f>
        <v>33</v>
      </c>
      <c r="P2058" s="10" t="n">
        <f aca="false">IF(I2058="","",I2058-H2058)</f>
        <v>24</v>
      </c>
      <c r="Q2058" s="10" t="n">
        <f aca="false">VLOOKUP(G2058,$AA$2:$AB$5,2,FALSE())</f>
        <v>30</v>
      </c>
      <c r="R2058" s="7" t="n">
        <f aca="false">IF(OR(F2058="Open",F2058="Reopened"),1,0)</f>
        <v>1</v>
      </c>
      <c r="S2058" s="7" t="n">
        <f aca="false">IF(AND(H2058&gt;='Exec Summary'!$E$1,H2058&lt;='Exec Summary'!$E$2),1,0)</f>
        <v>0</v>
      </c>
      <c r="T2058" s="7" t="n">
        <f aca="false">IF(AND(F2058="Closed",I2058&lt;&gt;"",I2058&gt;='Exec Summary'!$E$1,I2058&lt;='Exec Summary'!$E$2),1,0)</f>
        <v>0</v>
      </c>
      <c r="U2058" s="7" t="n">
        <f aca="false">IF(F2058="Reopened",1,0)</f>
        <v>1</v>
      </c>
      <c r="V2058" s="7" t="n">
        <f aca="false">IF(AND(R2058=1,O2058&gt;Q2058),1,0)</f>
        <v>1</v>
      </c>
      <c r="W2058" s="7" t="n">
        <f aca="false">IF(AND(T2058=1,P2058&lt;&gt;"",P2058&lt;=Q2058),1,0)</f>
        <v>0</v>
      </c>
    </row>
    <row r="2059" customFormat="false" ht="15" hidden="false" customHeight="false" outlineLevel="0" collapsed="false">
      <c r="A2059" s="7" t="s">
        <v>2459</v>
      </c>
      <c r="B2059" s="7" t="s">
        <v>46</v>
      </c>
      <c r="C2059" s="7" t="s">
        <v>128</v>
      </c>
      <c r="D2059" s="7" t="s">
        <v>139</v>
      </c>
      <c r="E2059" s="7" t="s">
        <v>140</v>
      </c>
      <c r="F2059" s="7" t="s">
        <v>50</v>
      </c>
      <c r="G2059" s="7" t="s">
        <v>19</v>
      </c>
      <c r="H2059" s="9" t="n">
        <v>46023</v>
      </c>
      <c r="I2059" s="9" t="n">
        <v>46041</v>
      </c>
      <c r="J2059" s="7" t="n">
        <v>9.8</v>
      </c>
      <c r="K2059" s="7" t="s">
        <v>2260</v>
      </c>
      <c r="L2059" s="7" t="s">
        <v>20</v>
      </c>
      <c r="M2059" s="7" t="s">
        <v>2470</v>
      </c>
      <c r="N2059" s="7" t="s">
        <v>58</v>
      </c>
      <c r="O2059" s="10" t="n">
        <f aca="false">'Exec Summary'!$E$2-H2059</f>
        <v>211</v>
      </c>
      <c r="P2059" s="10" t="n">
        <f aca="false">IF(I2059="","",I2059-H2059)</f>
        <v>18</v>
      </c>
      <c r="Q2059" s="10" t="n">
        <f aca="false">VLOOKUP(G2059,$AA$2:$AB$5,2,FALSE())</f>
        <v>15</v>
      </c>
      <c r="R2059" s="7" t="n">
        <f aca="false">IF(OR(F2059="Open",F2059="Reopened"),1,0)</f>
        <v>0</v>
      </c>
      <c r="S2059" s="7" t="n">
        <f aca="false">IF(AND(H2059&gt;='Exec Summary'!$E$1,H2059&lt;='Exec Summary'!$E$2),1,0)</f>
        <v>0</v>
      </c>
      <c r="T2059" s="7" t="n">
        <f aca="false">IF(AND(F2059="Closed",I2059&lt;&gt;"",I2059&gt;='Exec Summary'!$E$1,I2059&lt;='Exec Summary'!$E$2),1,0)</f>
        <v>0</v>
      </c>
      <c r="U2059" s="7" t="n">
        <f aca="false">IF(F2059="Reopened",1,0)</f>
        <v>0</v>
      </c>
      <c r="V2059" s="7" t="n">
        <f aca="false">IF(AND(R2059=1,O2059&gt;Q2059),1,0)</f>
        <v>0</v>
      </c>
      <c r="W2059" s="7" t="n">
        <f aca="false">IF(AND(T2059=1,P2059&lt;&gt;"",P2059&lt;=Q2059),1,0)</f>
        <v>0</v>
      </c>
    </row>
    <row r="2060" customFormat="false" ht="15" hidden="false" customHeight="false" outlineLevel="0" collapsed="false">
      <c r="A2060" s="7" t="s">
        <v>2459</v>
      </c>
      <c r="B2060" s="7" t="s">
        <v>46</v>
      </c>
      <c r="C2060" s="7" t="s">
        <v>128</v>
      </c>
      <c r="D2060" s="7" t="s">
        <v>95</v>
      </c>
      <c r="E2060" s="7" t="s">
        <v>96</v>
      </c>
      <c r="F2060" s="7" t="s">
        <v>50</v>
      </c>
      <c r="G2060" s="7" t="s">
        <v>20</v>
      </c>
      <c r="H2060" s="9" t="n">
        <v>45969</v>
      </c>
      <c r="I2060" s="9" t="n">
        <v>45981</v>
      </c>
      <c r="J2060" s="7" t="n">
        <v>8.8</v>
      </c>
      <c r="K2060" s="7" t="s">
        <v>2260</v>
      </c>
      <c r="L2060" s="7" t="s">
        <v>20</v>
      </c>
      <c r="M2060" s="7" t="s">
        <v>2471</v>
      </c>
      <c r="N2060" s="7" t="s">
        <v>53</v>
      </c>
      <c r="O2060" s="10" t="n">
        <f aca="false">'Exec Summary'!$E$2-H2060</f>
        <v>265</v>
      </c>
      <c r="P2060" s="10" t="n">
        <f aca="false">IF(I2060="","",I2060-H2060)</f>
        <v>12</v>
      </c>
      <c r="Q2060" s="10" t="n">
        <f aca="false">VLOOKUP(G2060,$AA$2:$AB$5,2,FALSE())</f>
        <v>30</v>
      </c>
      <c r="R2060" s="7" t="n">
        <f aca="false">IF(OR(F2060="Open",F2060="Reopened"),1,0)</f>
        <v>0</v>
      </c>
      <c r="S2060" s="7" t="n">
        <f aca="false">IF(AND(H2060&gt;='Exec Summary'!$E$1,H2060&lt;='Exec Summary'!$E$2),1,0)</f>
        <v>0</v>
      </c>
      <c r="T2060" s="7" t="n">
        <f aca="false">IF(AND(F2060="Closed",I2060&lt;&gt;"",I2060&gt;='Exec Summary'!$E$1,I2060&lt;='Exec Summary'!$E$2),1,0)</f>
        <v>0</v>
      </c>
      <c r="U2060" s="7" t="n">
        <f aca="false">IF(F2060="Reopened",1,0)</f>
        <v>0</v>
      </c>
      <c r="V2060" s="7" t="n">
        <f aca="false">IF(AND(R2060=1,O2060&gt;Q2060),1,0)</f>
        <v>0</v>
      </c>
      <c r="W2060" s="7" t="n">
        <f aca="false">IF(AND(T2060=1,P2060&lt;&gt;"",P2060&lt;=Q2060),1,0)</f>
        <v>0</v>
      </c>
    </row>
    <row r="2061" customFormat="false" ht="15" hidden="false" customHeight="false" outlineLevel="0" collapsed="false">
      <c r="A2061" s="7" t="s">
        <v>2459</v>
      </c>
      <c r="B2061" s="7" t="s">
        <v>46</v>
      </c>
      <c r="C2061" s="7" t="s">
        <v>128</v>
      </c>
      <c r="D2061" s="7" t="s">
        <v>163</v>
      </c>
      <c r="E2061" s="7" t="s">
        <v>164</v>
      </c>
      <c r="F2061" s="7" t="s">
        <v>56</v>
      </c>
      <c r="G2061" s="7" t="s">
        <v>19</v>
      </c>
      <c r="H2061" s="9" t="n">
        <v>46206</v>
      </c>
      <c r="I2061" s="9"/>
      <c r="J2061" s="7" t="n">
        <v>9.1</v>
      </c>
      <c r="K2061" s="7" t="s">
        <v>2260</v>
      </c>
      <c r="L2061" s="7" t="s">
        <v>20</v>
      </c>
      <c r="M2061" s="7" t="s">
        <v>2472</v>
      </c>
      <c r="N2061" s="7" t="s">
        <v>58</v>
      </c>
      <c r="O2061" s="10" t="n">
        <f aca="false">'Exec Summary'!$E$2-H2061</f>
        <v>28</v>
      </c>
      <c r="P2061" s="10" t="str">
        <f aca="false">IF(I2061="","",I2061-H2061)</f>
        <v/>
      </c>
      <c r="Q2061" s="10" t="n">
        <f aca="false">VLOOKUP(G2061,$AA$2:$AB$5,2,FALSE())</f>
        <v>15</v>
      </c>
      <c r="R2061" s="7" t="n">
        <f aca="false">IF(OR(F2061="Open",F2061="Reopened"),1,0)</f>
        <v>1</v>
      </c>
      <c r="S2061" s="7" t="n">
        <f aca="false">IF(AND(H2061&gt;='Exec Summary'!$E$1,H2061&lt;='Exec Summary'!$E$2),1,0)</f>
        <v>1</v>
      </c>
      <c r="T2061" s="7" t="n">
        <f aca="false">IF(AND(F2061="Closed",I2061&lt;&gt;"",I2061&gt;='Exec Summary'!$E$1,I2061&lt;='Exec Summary'!$E$2),1,0)</f>
        <v>0</v>
      </c>
      <c r="U2061" s="7" t="n">
        <f aca="false">IF(F2061="Reopened",1,0)</f>
        <v>0</v>
      </c>
      <c r="V2061" s="7" t="n">
        <f aca="false">IF(AND(R2061=1,O2061&gt;Q2061),1,0)</f>
        <v>1</v>
      </c>
      <c r="W2061" s="7" t="n">
        <f aca="false">IF(AND(T2061=1,P2061&lt;&gt;"",P2061&lt;=Q2061),1,0)</f>
        <v>0</v>
      </c>
    </row>
    <row r="2062" customFormat="false" ht="15" hidden="false" customHeight="false" outlineLevel="0" collapsed="false">
      <c r="A2062" s="7" t="s">
        <v>2473</v>
      </c>
      <c r="B2062" s="7" t="s">
        <v>46</v>
      </c>
      <c r="C2062" s="7" t="s">
        <v>177</v>
      </c>
      <c r="D2062" s="7" t="s">
        <v>152</v>
      </c>
      <c r="E2062" s="7" t="s">
        <v>153</v>
      </c>
      <c r="F2062" s="7" t="s">
        <v>56</v>
      </c>
      <c r="G2062" s="7" t="s">
        <v>20</v>
      </c>
      <c r="H2062" s="9" t="n">
        <v>46046</v>
      </c>
      <c r="I2062" s="9"/>
      <c r="J2062" s="7" t="n">
        <v>7.5</v>
      </c>
      <c r="K2062" s="7" t="s">
        <v>2260</v>
      </c>
      <c r="L2062" s="7" t="s">
        <v>20</v>
      </c>
      <c r="M2062" s="7" t="s">
        <v>2474</v>
      </c>
      <c r="N2062" s="7" t="s">
        <v>53</v>
      </c>
      <c r="O2062" s="10" t="n">
        <f aca="false">'Exec Summary'!$E$2-H2062</f>
        <v>188</v>
      </c>
      <c r="P2062" s="10" t="str">
        <f aca="false">IF(I2062="","",I2062-H2062)</f>
        <v/>
      </c>
      <c r="Q2062" s="10" t="n">
        <f aca="false">VLOOKUP(G2062,$AA$2:$AB$5,2,FALSE())</f>
        <v>30</v>
      </c>
      <c r="R2062" s="7" t="n">
        <f aca="false">IF(OR(F2062="Open",F2062="Reopened"),1,0)</f>
        <v>1</v>
      </c>
      <c r="S2062" s="7" t="n">
        <f aca="false">IF(AND(H2062&gt;='Exec Summary'!$E$1,H2062&lt;='Exec Summary'!$E$2),1,0)</f>
        <v>0</v>
      </c>
      <c r="T2062" s="7" t="n">
        <f aca="false">IF(AND(F2062="Closed",I2062&lt;&gt;"",I2062&gt;='Exec Summary'!$E$1,I2062&lt;='Exec Summary'!$E$2),1,0)</f>
        <v>0</v>
      </c>
      <c r="U2062" s="7" t="n">
        <f aca="false">IF(F2062="Reopened",1,0)</f>
        <v>0</v>
      </c>
      <c r="V2062" s="7" t="n">
        <f aca="false">IF(AND(R2062=1,O2062&gt;Q2062),1,0)</f>
        <v>1</v>
      </c>
      <c r="W2062" s="7" t="n">
        <f aca="false">IF(AND(T2062=1,P2062&lt;&gt;"",P2062&lt;=Q2062),1,0)</f>
        <v>0</v>
      </c>
    </row>
    <row r="2063" customFormat="false" ht="15" hidden="false" customHeight="false" outlineLevel="0" collapsed="false">
      <c r="A2063" s="7" t="s">
        <v>2473</v>
      </c>
      <c r="B2063" s="7" t="s">
        <v>46</v>
      </c>
      <c r="C2063" s="7" t="s">
        <v>177</v>
      </c>
      <c r="D2063" s="7" t="s">
        <v>210</v>
      </c>
      <c r="E2063" s="7" t="s">
        <v>211</v>
      </c>
      <c r="F2063" s="7" t="s">
        <v>56</v>
      </c>
      <c r="G2063" s="7" t="s">
        <v>19</v>
      </c>
      <c r="H2063" s="9" t="n">
        <v>46130</v>
      </c>
      <c r="I2063" s="9"/>
      <c r="J2063" s="7" t="n">
        <v>9.8</v>
      </c>
      <c r="K2063" s="7" t="s">
        <v>2260</v>
      </c>
      <c r="L2063" s="7" t="s">
        <v>20</v>
      </c>
      <c r="M2063" s="7" t="s">
        <v>2475</v>
      </c>
      <c r="N2063" s="7" t="s">
        <v>58</v>
      </c>
      <c r="O2063" s="10" t="n">
        <f aca="false">'Exec Summary'!$E$2-H2063</f>
        <v>104</v>
      </c>
      <c r="P2063" s="10" t="str">
        <f aca="false">IF(I2063="","",I2063-H2063)</f>
        <v/>
      </c>
      <c r="Q2063" s="10" t="n">
        <f aca="false">VLOOKUP(G2063,$AA$2:$AB$5,2,FALSE())</f>
        <v>15</v>
      </c>
      <c r="R2063" s="7" t="n">
        <f aca="false">IF(OR(F2063="Open",F2063="Reopened"),1,0)</f>
        <v>1</v>
      </c>
      <c r="S2063" s="7" t="n">
        <f aca="false">IF(AND(H2063&gt;='Exec Summary'!$E$1,H2063&lt;='Exec Summary'!$E$2),1,0)</f>
        <v>0</v>
      </c>
      <c r="T2063" s="7" t="n">
        <f aca="false">IF(AND(F2063="Closed",I2063&lt;&gt;"",I2063&gt;='Exec Summary'!$E$1,I2063&lt;='Exec Summary'!$E$2),1,0)</f>
        <v>0</v>
      </c>
      <c r="U2063" s="7" t="n">
        <f aca="false">IF(F2063="Reopened",1,0)</f>
        <v>0</v>
      </c>
      <c r="V2063" s="7" t="n">
        <f aca="false">IF(AND(R2063=1,O2063&gt;Q2063),1,0)</f>
        <v>1</v>
      </c>
      <c r="W2063" s="7" t="n">
        <f aca="false">IF(AND(T2063=1,P2063&lt;&gt;"",P2063&lt;=Q2063),1,0)</f>
        <v>0</v>
      </c>
    </row>
    <row r="2064" customFormat="false" ht="15" hidden="false" customHeight="false" outlineLevel="0" collapsed="false">
      <c r="A2064" s="7" t="s">
        <v>2473</v>
      </c>
      <c r="B2064" s="7" t="s">
        <v>46</v>
      </c>
      <c r="C2064" s="7" t="s">
        <v>177</v>
      </c>
      <c r="D2064" s="7" t="s">
        <v>206</v>
      </c>
      <c r="E2064" s="7" t="s">
        <v>207</v>
      </c>
      <c r="F2064" s="7" t="s">
        <v>56</v>
      </c>
      <c r="G2064" s="7" t="s">
        <v>20</v>
      </c>
      <c r="H2064" s="9" t="n">
        <v>45988</v>
      </c>
      <c r="I2064" s="9"/>
      <c r="J2064" s="7" t="n">
        <v>8.8</v>
      </c>
      <c r="K2064" s="7" t="s">
        <v>2260</v>
      </c>
      <c r="L2064" s="7" t="s">
        <v>20</v>
      </c>
      <c r="M2064" s="7" t="s">
        <v>2476</v>
      </c>
      <c r="N2064" s="7" t="s">
        <v>53</v>
      </c>
      <c r="O2064" s="10" t="n">
        <f aca="false">'Exec Summary'!$E$2-H2064</f>
        <v>246</v>
      </c>
      <c r="P2064" s="10" t="str">
        <f aca="false">IF(I2064="","",I2064-H2064)</f>
        <v/>
      </c>
      <c r="Q2064" s="10" t="n">
        <f aca="false">VLOOKUP(G2064,$AA$2:$AB$5,2,FALSE())</f>
        <v>30</v>
      </c>
      <c r="R2064" s="7" t="n">
        <f aca="false">IF(OR(F2064="Open",F2064="Reopened"),1,0)</f>
        <v>1</v>
      </c>
      <c r="S2064" s="7" t="n">
        <f aca="false">IF(AND(H2064&gt;='Exec Summary'!$E$1,H2064&lt;='Exec Summary'!$E$2),1,0)</f>
        <v>0</v>
      </c>
      <c r="T2064" s="7" t="n">
        <f aca="false">IF(AND(F2064="Closed",I2064&lt;&gt;"",I2064&gt;='Exec Summary'!$E$1,I2064&lt;='Exec Summary'!$E$2),1,0)</f>
        <v>0</v>
      </c>
      <c r="U2064" s="7" t="n">
        <f aca="false">IF(F2064="Reopened",1,0)</f>
        <v>0</v>
      </c>
      <c r="V2064" s="7" t="n">
        <f aca="false">IF(AND(R2064=1,O2064&gt;Q2064),1,0)</f>
        <v>1</v>
      </c>
      <c r="W2064" s="7" t="n">
        <f aca="false">IF(AND(T2064=1,P2064&lt;&gt;"",P2064&lt;=Q2064),1,0)</f>
        <v>0</v>
      </c>
    </row>
    <row r="2065" customFormat="false" ht="15" hidden="false" customHeight="false" outlineLevel="0" collapsed="false">
      <c r="A2065" s="7" t="s">
        <v>2473</v>
      </c>
      <c r="B2065" s="7" t="s">
        <v>46</v>
      </c>
      <c r="C2065" s="7" t="s">
        <v>177</v>
      </c>
      <c r="D2065" s="7" t="s">
        <v>74</v>
      </c>
      <c r="E2065" s="7" t="s">
        <v>75</v>
      </c>
      <c r="F2065" s="7" t="s">
        <v>50</v>
      </c>
      <c r="G2065" s="7" t="s">
        <v>21</v>
      </c>
      <c r="H2065" s="9" t="n">
        <v>46055</v>
      </c>
      <c r="I2065" s="9" t="n">
        <v>46056</v>
      </c>
      <c r="J2065" s="7" t="n">
        <v>6.5</v>
      </c>
      <c r="K2065" s="7" t="s">
        <v>2260</v>
      </c>
      <c r="L2065" s="7" t="s">
        <v>20</v>
      </c>
      <c r="M2065" s="7" t="s">
        <v>2477</v>
      </c>
      <c r="N2065" s="7" t="s">
        <v>77</v>
      </c>
      <c r="O2065" s="10" t="n">
        <f aca="false">'Exec Summary'!$E$2-H2065</f>
        <v>179</v>
      </c>
      <c r="P2065" s="10" t="n">
        <f aca="false">IF(I2065="","",I2065-H2065)</f>
        <v>1</v>
      </c>
      <c r="Q2065" s="10" t="n">
        <f aca="false">VLOOKUP(G2065,$AA$2:$AB$5,2,FALSE())</f>
        <v>90</v>
      </c>
      <c r="R2065" s="7" t="n">
        <f aca="false">IF(OR(F2065="Open",F2065="Reopened"),1,0)</f>
        <v>0</v>
      </c>
      <c r="S2065" s="7" t="n">
        <f aca="false">IF(AND(H2065&gt;='Exec Summary'!$E$1,H2065&lt;='Exec Summary'!$E$2),1,0)</f>
        <v>0</v>
      </c>
      <c r="T2065" s="7" t="n">
        <f aca="false">IF(AND(F2065="Closed",I2065&lt;&gt;"",I2065&gt;='Exec Summary'!$E$1,I2065&lt;='Exec Summary'!$E$2),1,0)</f>
        <v>0</v>
      </c>
      <c r="U2065" s="7" t="n">
        <f aca="false">IF(F2065="Reopened",1,0)</f>
        <v>0</v>
      </c>
      <c r="V2065" s="7" t="n">
        <f aca="false">IF(AND(R2065=1,O2065&gt;Q2065),1,0)</f>
        <v>0</v>
      </c>
      <c r="W2065" s="7" t="n">
        <f aca="false">IF(AND(T2065=1,P2065&lt;&gt;"",P2065&lt;=Q2065),1,0)</f>
        <v>0</v>
      </c>
    </row>
    <row r="2066" customFormat="false" ht="15" hidden="false" customHeight="false" outlineLevel="0" collapsed="false">
      <c r="A2066" s="7" t="s">
        <v>2473</v>
      </c>
      <c r="B2066" s="7" t="s">
        <v>46</v>
      </c>
      <c r="C2066" s="7" t="s">
        <v>177</v>
      </c>
      <c r="D2066" s="7" t="s">
        <v>95</v>
      </c>
      <c r="E2066" s="7" t="s">
        <v>96</v>
      </c>
      <c r="F2066" s="7" t="s">
        <v>50</v>
      </c>
      <c r="G2066" s="7" t="s">
        <v>20</v>
      </c>
      <c r="H2066" s="9" t="n">
        <v>46092</v>
      </c>
      <c r="I2066" s="9" t="n">
        <v>46114</v>
      </c>
      <c r="J2066" s="7" t="n">
        <v>8.8</v>
      </c>
      <c r="K2066" s="7" t="s">
        <v>2260</v>
      </c>
      <c r="L2066" s="7" t="s">
        <v>20</v>
      </c>
      <c r="M2066" s="7" t="s">
        <v>2478</v>
      </c>
      <c r="N2066" s="7" t="s">
        <v>53</v>
      </c>
      <c r="O2066" s="10" t="n">
        <f aca="false">'Exec Summary'!$E$2-H2066</f>
        <v>142</v>
      </c>
      <c r="P2066" s="10" t="n">
        <f aca="false">IF(I2066="","",I2066-H2066)</f>
        <v>22</v>
      </c>
      <c r="Q2066" s="10" t="n">
        <f aca="false">VLOOKUP(G2066,$AA$2:$AB$5,2,FALSE())</f>
        <v>30</v>
      </c>
      <c r="R2066" s="7" t="n">
        <f aca="false">IF(OR(F2066="Open",F2066="Reopened"),1,0)</f>
        <v>0</v>
      </c>
      <c r="S2066" s="7" t="n">
        <f aca="false">IF(AND(H2066&gt;='Exec Summary'!$E$1,H2066&lt;='Exec Summary'!$E$2),1,0)</f>
        <v>0</v>
      </c>
      <c r="T2066" s="7" t="n">
        <f aca="false">IF(AND(F2066="Closed",I2066&lt;&gt;"",I2066&gt;='Exec Summary'!$E$1,I2066&lt;='Exec Summary'!$E$2),1,0)</f>
        <v>0</v>
      </c>
      <c r="U2066" s="7" t="n">
        <f aca="false">IF(F2066="Reopened",1,0)</f>
        <v>0</v>
      </c>
      <c r="V2066" s="7" t="n">
        <f aca="false">IF(AND(R2066=1,O2066&gt;Q2066),1,0)</f>
        <v>0</v>
      </c>
      <c r="W2066" s="7" t="n">
        <f aca="false">IF(AND(T2066=1,P2066&lt;&gt;"",P2066&lt;=Q2066),1,0)</f>
        <v>0</v>
      </c>
    </row>
    <row r="2067" customFormat="false" ht="15" hidden="false" customHeight="false" outlineLevel="0" collapsed="false">
      <c r="A2067" s="7" t="s">
        <v>2473</v>
      </c>
      <c r="B2067" s="7" t="s">
        <v>46</v>
      </c>
      <c r="C2067" s="7" t="s">
        <v>177</v>
      </c>
      <c r="D2067" s="7" t="s">
        <v>87</v>
      </c>
      <c r="E2067" s="7" t="s">
        <v>88</v>
      </c>
      <c r="F2067" s="7" t="s">
        <v>50</v>
      </c>
      <c r="G2067" s="7" t="s">
        <v>19</v>
      </c>
      <c r="H2067" s="9" t="n">
        <v>46113</v>
      </c>
      <c r="I2067" s="9" t="n">
        <v>46117</v>
      </c>
      <c r="J2067" s="7" t="n">
        <v>10</v>
      </c>
      <c r="K2067" s="7" t="s">
        <v>2260</v>
      </c>
      <c r="L2067" s="7" t="s">
        <v>20</v>
      </c>
      <c r="M2067" s="7" t="s">
        <v>2479</v>
      </c>
      <c r="N2067" s="7" t="s">
        <v>58</v>
      </c>
      <c r="O2067" s="10" t="n">
        <f aca="false">'Exec Summary'!$E$2-H2067</f>
        <v>121</v>
      </c>
      <c r="P2067" s="10" t="n">
        <f aca="false">IF(I2067="","",I2067-H2067)</f>
        <v>4</v>
      </c>
      <c r="Q2067" s="10" t="n">
        <f aca="false">VLOOKUP(G2067,$AA$2:$AB$5,2,FALSE())</f>
        <v>15</v>
      </c>
      <c r="R2067" s="7" t="n">
        <f aca="false">IF(OR(F2067="Open",F2067="Reopened"),1,0)</f>
        <v>0</v>
      </c>
      <c r="S2067" s="7" t="n">
        <f aca="false">IF(AND(H2067&gt;='Exec Summary'!$E$1,H2067&lt;='Exec Summary'!$E$2),1,0)</f>
        <v>0</v>
      </c>
      <c r="T2067" s="7" t="n">
        <f aca="false">IF(AND(F2067="Closed",I2067&lt;&gt;"",I2067&gt;='Exec Summary'!$E$1,I2067&lt;='Exec Summary'!$E$2),1,0)</f>
        <v>0</v>
      </c>
      <c r="U2067" s="7" t="n">
        <f aca="false">IF(F2067="Reopened",1,0)</f>
        <v>0</v>
      </c>
      <c r="V2067" s="7" t="n">
        <f aca="false">IF(AND(R2067=1,O2067&gt;Q2067),1,0)</f>
        <v>0</v>
      </c>
      <c r="W2067" s="7" t="n">
        <f aca="false">IF(AND(T2067=1,P2067&lt;&gt;"",P2067&lt;=Q2067),1,0)</f>
        <v>0</v>
      </c>
    </row>
    <row r="2068" customFormat="false" ht="15" hidden="false" customHeight="false" outlineLevel="0" collapsed="false">
      <c r="A2068" s="7" t="s">
        <v>2473</v>
      </c>
      <c r="B2068" s="7" t="s">
        <v>46</v>
      </c>
      <c r="C2068" s="7" t="s">
        <v>177</v>
      </c>
      <c r="D2068" s="7" t="s">
        <v>145</v>
      </c>
      <c r="E2068" s="7" t="s">
        <v>146</v>
      </c>
      <c r="F2068" s="7" t="s">
        <v>56</v>
      </c>
      <c r="G2068" s="7" t="s">
        <v>19</v>
      </c>
      <c r="H2068" s="9" t="n">
        <v>46017</v>
      </c>
      <c r="I2068" s="9"/>
      <c r="J2068" s="7" t="n">
        <v>9.8</v>
      </c>
      <c r="K2068" s="7" t="s">
        <v>2260</v>
      </c>
      <c r="L2068" s="7" t="s">
        <v>20</v>
      </c>
      <c r="M2068" s="7" t="s">
        <v>2480</v>
      </c>
      <c r="N2068" s="7" t="s">
        <v>58</v>
      </c>
      <c r="O2068" s="10" t="n">
        <f aca="false">'Exec Summary'!$E$2-H2068</f>
        <v>217</v>
      </c>
      <c r="P2068" s="10" t="str">
        <f aca="false">IF(I2068="","",I2068-H2068)</f>
        <v/>
      </c>
      <c r="Q2068" s="10" t="n">
        <f aca="false">VLOOKUP(G2068,$AA$2:$AB$5,2,FALSE())</f>
        <v>15</v>
      </c>
      <c r="R2068" s="7" t="n">
        <f aca="false">IF(OR(F2068="Open",F2068="Reopened"),1,0)</f>
        <v>1</v>
      </c>
      <c r="S2068" s="7" t="n">
        <f aca="false">IF(AND(H2068&gt;='Exec Summary'!$E$1,H2068&lt;='Exec Summary'!$E$2),1,0)</f>
        <v>0</v>
      </c>
      <c r="T2068" s="7" t="n">
        <f aca="false">IF(AND(F2068="Closed",I2068&lt;&gt;"",I2068&gt;='Exec Summary'!$E$1,I2068&lt;='Exec Summary'!$E$2),1,0)</f>
        <v>0</v>
      </c>
      <c r="U2068" s="7" t="n">
        <f aca="false">IF(F2068="Reopened",1,0)</f>
        <v>0</v>
      </c>
      <c r="V2068" s="7" t="n">
        <f aca="false">IF(AND(R2068=1,O2068&gt;Q2068),1,0)</f>
        <v>1</v>
      </c>
      <c r="W2068" s="7" t="n">
        <f aca="false">IF(AND(T2068=1,P2068&lt;&gt;"",P2068&lt;=Q2068),1,0)</f>
        <v>0</v>
      </c>
    </row>
    <row r="2069" customFormat="false" ht="15" hidden="false" customHeight="false" outlineLevel="0" collapsed="false">
      <c r="A2069" s="7" t="s">
        <v>2473</v>
      </c>
      <c r="B2069" s="7" t="s">
        <v>46</v>
      </c>
      <c r="C2069" s="7" t="s">
        <v>177</v>
      </c>
      <c r="D2069" s="7" t="s">
        <v>192</v>
      </c>
      <c r="E2069" s="7" t="s">
        <v>193</v>
      </c>
      <c r="F2069" s="7" t="s">
        <v>56</v>
      </c>
      <c r="G2069" s="7" t="s">
        <v>19</v>
      </c>
      <c r="H2069" s="9" t="n">
        <v>45998</v>
      </c>
      <c r="I2069" s="9"/>
      <c r="J2069" s="7" t="n">
        <v>9.8</v>
      </c>
      <c r="K2069" s="7" t="s">
        <v>2260</v>
      </c>
      <c r="L2069" s="7" t="s">
        <v>20</v>
      </c>
      <c r="M2069" s="7" t="s">
        <v>2481</v>
      </c>
      <c r="N2069" s="7" t="s">
        <v>58</v>
      </c>
      <c r="O2069" s="10" t="n">
        <f aca="false">'Exec Summary'!$E$2-H2069</f>
        <v>236</v>
      </c>
      <c r="P2069" s="10" t="str">
        <f aca="false">IF(I2069="","",I2069-H2069)</f>
        <v/>
      </c>
      <c r="Q2069" s="10" t="n">
        <f aca="false">VLOOKUP(G2069,$AA$2:$AB$5,2,FALSE())</f>
        <v>15</v>
      </c>
      <c r="R2069" s="7" t="n">
        <f aca="false">IF(OR(F2069="Open",F2069="Reopened"),1,0)</f>
        <v>1</v>
      </c>
      <c r="S2069" s="7" t="n">
        <f aca="false">IF(AND(H2069&gt;='Exec Summary'!$E$1,H2069&lt;='Exec Summary'!$E$2),1,0)</f>
        <v>0</v>
      </c>
      <c r="T2069" s="7" t="n">
        <f aca="false">IF(AND(F2069="Closed",I2069&lt;&gt;"",I2069&gt;='Exec Summary'!$E$1,I2069&lt;='Exec Summary'!$E$2),1,0)</f>
        <v>0</v>
      </c>
      <c r="U2069" s="7" t="n">
        <f aca="false">IF(F2069="Reopened",1,0)</f>
        <v>0</v>
      </c>
      <c r="V2069" s="7" t="n">
        <f aca="false">IF(AND(R2069=1,O2069&gt;Q2069),1,0)</f>
        <v>1</v>
      </c>
      <c r="W2069" s="7" t="n">
        <f aca="false">IF(AND(T2069=1,P2069&lt;&gt;"",P2069&lt;=Q2069),1,0)</f>
        <v>0</v>
      </c>
    </row>
    <row r="2070" customFormat="false" ht="15" hidden="false" customHeight="false" outlineLevel="0" collapsed="false">
      <c r="A2070" s="7" t="s">
        <v>2473</v>
      </c>
      <c r="B2070" s="7" t="s">
        <v>46</v>
      </c>
      <c r="C2070" s="7" t="s">
        <v>177</v>
      </c>
      <c r="D2070" s="7" t="s">
        <v>59</v>
      </c>
      <c r="E2070" s="7" t="s">
        <v>60</v>
      </c>
      <c r="F2070" s="7" t="s">
        <v>123</v>
      </c>
      <c r="G2070" s="7" t="s">
        <v>19</v>
      </c>
      <c r="H2070" s="9" t="n">
        <v>46135</v>
      </c>
      <c r="I2070" s="9" t="n">
        <v>46149</v>
      </c>
      <c r="J2070" s="7" t="n">
        <v>7.8</v>
      </c>
      <c r="K2070" s="7" t="s">
        <v>2260</v>
      </c>
      <c r="L2070" s="7" t="s">
        <v>20</v>
      </c>
      <c r="M2070" s="7" t="s">
        <v>2482</v>
      </c>
      <c r="N2070" s="7" t="s">
        <v>58</v>
      </c>
      <c r="O2070" s="10" t="n">
        <f aca="false">'Exec Summary'!$E$2-H2070</f>
        <v>99</v>
      </c>
      <c r="P2070" s="10" t="n">
        <f aca="false">IF(I2070="","",I2070-H2070)</f>
        <v>14</v>
      </c>
      <c r="Q2070" s="10" t="n">
        <f aca="false">VLOOKUP(G2070,$AA$2:$AB$5,2,FALSE())</f>
        <v>15</v>
      </c>
      <c r="R2070" s="7" t="n">
        <f aca="false">IF(OR(F2070="Open",F2070="Reopened"),1,0)</f>
        <v>1</v>
      </c>
      <c r="S2070" s="7" t="n">
        <f aca="false">IF(AND(H2070&gt;='Exec Summary'!$E$1,H2070&lt;='Exec Summary'!$E$2),1,0)</f>
        <v>0</v>
      </c>
      <c r="T2070" s="7" t="n">
        <f aca="false">IF(AND(F2070="Closed",I2070&lt;&gt;"",I2070&gt;='Exec Summary'!$E$1,I2070&lt;='Exec Summary'!$E$2),1,0)</f>
        <v>0</v>
      </c>
      <c r="U2070" s="7" t="n">
        <f aca="false">IF(F2070="Reopened",1,0)</f>
        <v>1</v>
      </c>
      <c r="V2070" s="7" t="n">
        <f aca="false">IF(AND(R2070=1,O2070&gt;Q2070),1,0)</f>
        <v>1</v>
      </c>
      <c r="W2070" s="7" t="n">
        <f aca="false">IF(AND(T2070=1,P2070&lt;&gt;"",P2070&lt;=Q2070),1,0)</f>
        <v>0</v>
      </c>
    </row>
    <row r="2071" customFormat="false" ht="15" hidden="false" customHeight="false" outlineLevel="0" collapsed="false">
      <c r="A2071" s="7" t="s">
        <v>2473</v>
      </c>
      <c r="B2071" s="7" t="s">
        <v>46</v>
      </c>
      <c r="C2071" s="7" t="s">
        <v>177</v>
      </c>
      <c r="D2071" s="7" t="s">
        <v>104</v>
      </c>
      <c r="E2071" s="7" t="s">
        <v>105</v>
      </c>
      <c r="F2071" s="7" t="s">
        <v>56</v>
      </c>
      <c r="G2071" s="7" t="s">
        <v>19</v>
      </c>
      <c r="H2071" s="9" t="n">
        <v>46148</v>
      </c>
      <c r="I2071" s="9"/>
      <c r="J2071" s="7" t="n">
        <v>9.8</v>
      </c>
      <c r="K2071" s="7" t="s">
        <v>2260</v>
      </c>
      <c r="L2071" s="7" t="s">
        <v>20</v>
      </c>
      <c r="M2071" s="7" t="s">
        <v>2483</v>
      </c>
      <c r="N2071" s="7" t="s">
        <v>58</v>
      </c>
      <c r="O2071" s="10" t="n">
        <f aca="false">'Exec Summary'!$E$2-H2071</f>
        <v>86</v>
      </c>
      <c r="P2071" s="10" t="str">
        <f aca="false">IF(I2071="","",I2071-H2071)</f>
        <v/>
      </c>
      <c r="Q2071" s="10" t="n">
        <f aca="false">VLOOKUP(G2071,$AA$2:$AB$5,2,FALSE())</f>
        <v>15</v>
      </c>
      <c r="R2071" s="7" t="n">
        <f aca="false">IF(OR(F2071="Open",F2071="Reopened"),1,0)</f>
        <v>1</v>
      </c>
      <c r="S2071" s="7" t="n">
        <f aca="false">IF(AND(H2071&gt;='Exec Summary'!$E$1,H2071&lt;='Exec Summary'!$E$2),1,0)</f>
        <v>0</v>
      </c>
      <c r="T2071" s="7" t="n">
        <f aca="false">IF(AND(F2071="Closed",I2071&lt;&gt;"",I2071&gt;='Exec Summary'!$E$1,I2071&lt;='Exec Summary'!$E$2),1,0)</f>
        <v>0</v>
      </c>
      <c r="U2071" s="7" t="n">
        <f aca="false">IF(F2071="Reopened",1,0)</f>
        <v>0</v>
      </c>
      <c r="V2071" s="7" t="n">
        <f aca="false">IF(AND(R2071=1,O2071&gt;Q2071),1,0)</f>
        <v>1</v>
      </c>
      <c r="W2071" s="7" t="n">
        <f aca="false">IF(AND(T2071=1,P2071&lt;&gt;"",P2071&lt;=Q2071),1,0)</f>
        <v>0</v>
      </c>
    </row>
    <row r="2072" customFormat="false" ht="15" hidden="false" customHeight="false" outlineLevel="0" collapsed="false">
      <c r="A2072" s="7" t="s">
        <v>2473</v>
      </c>
      <c r="B2072" s="7" t="s">
        <v>46</v>
      </c>
      <c r="C2072" s="7" t="s">
        <v>177</v>
      </c>
      <c r="D2072" s="7" t="s">
        <v>48</v>
      </c>
      <c r="E2072" s="7" t="s">
        <v>49</v>
      </c>
      <c r="F2072" s="7" t="s">
        <v>56</v>
      </c>
      <c r="G2072" s="7" t="s">
        <v>20</v>
      </c>
      <c r="H2072" s="9" t="n">
        <v>46113</v>
      </c>
      <c r="I2072" s="9"/>
      <c r="J2072" s="7" t="n">
        <v>7.5</v>
      </c>
      <c r="K2072" s="7" t="s">
        <v>2260</v>
      </c>
      <c r="L2072" s="7" t="s">
        <v>20</v>
      </c>
      <c r="M2072" s="7" t="s">
        <v>2484</v>
      </c>
      <c r="N2072" s="7" t="s">
        <v>53</v>
      </c>
      <c r="O2072" s="10" t="n">
        <f aca="false">'Exec Summary'!$E$2-H2072</f>
        <v>121</v>
      </c>
      <c r="P2072" s="10" t="str">
        <f aca="false">IF(I2072="","",I2072-H2072)</f>
        <v/>
      </c>
      <c r="Q2072" s="10" t="n">
        <f aca="false">VLOOKUP(G2072,$AA$2:$AB$5,2,FALSE())</f>
        <v>30</v>
      </c>
      <c r="R2072" s="7" t="n">
        <f aca="false">IF(OR(F2072="Open",F2072="Reopened"),1,0)</f>
        <v>1</v>
      </c>
      <c r="S2072" s="7" t="n">
        <f aca="false">IF(AND(H2072&gt;='Exec Summary'!$E$1,H2072&lt;='Exec Summary'!$E$2),1,0)</f>
        <v>0</v>
      </c>
      <c r="T2072" s="7" t="n">
        <f aca="false">IF(AND(F2072="Closed",I2072&lt;&gt;"",I2072&gt;='Exec Summary'!$E$1,I2072&lt;='Exec Summary'!$E$2),1,0)</f>
        <v>0</v>
      </c>
      <c r="U2072" s="7" t="n">
        <f aca="false">IF(F2072="Reopened",1,0)</f>
        <v>0</v>
      </c>
      <c r="V2072" s="7" t="n">
        <f aca="false">IF(AND(R2072=1,O2072&gt;Q2072),1,0)</f>
        <v>1</v>
      </c>
      <c r="W2072" s="7" t="n">
        <f aca="false">IF(AND(T2072=1,P2072&lt;&gt;"",P2072&lt;=Q2072),1,0)</f>
        <v>0</v>
      </c>
    </row>
    <row r="2073" customFormat="false" ht="15" hidden="false" customHeight="false" outlineLevel="0" collapsed="false">
      <c r="A2073" s="7" t="s">
        <v>2473</v>
      </c>
      <c r="B2073" s="7" t="s">
        <v>46</v>
      </c>
      <c r="C2073" s="7" t="s">
        <v>177</v>
      </c>
      <c r="D2073" s="7" t="s">
        <v>68</v>
      </c>
      <c r="E2073" s="7" t="s">
        <v>69</v>
      </c>
      <c r="F2073" s="7" t="s">
        <v>56</v>
      </c>
      <c r="G2073" s="7" t="s">
        <v>19</v>
      </c>
      <c r="H2073" s="9" t="n">
        <v>46012</v>
      </c>
      <c r="I2073" s="9"/>
      <c r="J2073" s="7" t="n">
        <v>9.8</v>
      </c>
      <c r="K2073" s="7" t="s">
        <v>2260</v>
      </c>
      <c r="L2073" s="7" t="s">
        <v>20</v>
      </c>
      <c r="M2073" s="7" t="s">
        <v>2485</v>
      </c>
      <c r="N2073" s="7" t="s">
        <v>58</v>
      </c>
      <c r="O2073" s="10" t="n">
        <f aca="false">'Exec Summary'!$E$2-H2073</f>
        <v>222</v>
      </c>
      <c r="P2073" s="10" t="str">
        <f aca="false">IF(I2073="","",I2073-H2073)</f>
        <v/>
      </c>
      <c r="Q2073" s="10" t="n">
        <f aca="false">VLOOKUP(G2073,$AA$2:$AB$5,2,FALSE())</f>
        <v>15</v>
      </c>
      <c r="R2073" s="7" t="n">
        <f aca="false">IF(OR(F2073="Open",F2073="Reopened"),1,0)</f>
        <v>1</v>
      </c>
      <c r="S2073" s="7" t="n">
        <f aca="false">IF(AND(H2073&gt;='Exec Summary'!$E$1,H2073&lt;='Exec Summary'!$E$2),1,0)</f>
        <v>0</v>
      </c>
      <c r="T2073" s="7" t="n">
        <f aca="false">IF(AND(F2073="Closed",I2073&lt;&gt;"",I2073&gt;='Exec Summary'!$E$1,I2073&lt;='Exec Summary'!$E$2),1,0)</f>
        <v>0</v>
      </c>
      <c r="U2073" s="7" t="n">
        <f aca="false">IF(F2073="Reopened",1,0)</f>
        <v>0</v>
      </c>
      <c r="V2073" s="7" t="n">
        <f aca="false">IF(AND(R2073=1,O2073&gt;Q2073),1,0)</f>
        <v>1</v>
      </c>
      <c r="W2073" s="7" t="n">
        <f aca="false">IF(AND(T2073=1,P2073&lt;&gt;"",P2073&lt;=Q2073),1,0)</f>
        <v>0</v>
      </c>
    </row>
    <row r="2074" customFormat="false" ht="15" hidden="false" customHeight="false" outlineLevel="0" collapsed="false">
      <c r="A2074" s="7" t="s">
        <v>2473</v>
      </c>
      <c r="B2074" s="7" t="s">
        <v>46</v>
      </c>
      <c r="C2074" s="7" t="s">
        <v>177</v>
      </c>
      <c r="D2074" s="7" t="s">
        <v>112</v>
      </c>
      <c r="E2074" s="7" t="s">
        <v>113</v>
      </c>
      <c r="F2074" s="7" t="s">
        <v>56</v>
      </c>
      <c r="G2074" s="7" t="s">
        <v>20</v>
      </c>
      <c r="H2074" s="9" t="n">
        <v>45973</v>
      </c>
      <c r="I2074" s="9"/>
      <c r="J2074" s="7" t="n">
        <v>7.8</v>
      </c>
      <c r="K2074" s="7" t="s">
        <v>2260</v>
      </c>
      <c r="L2074" s="7" t="s">
        <v>20</v>
      </c>
      <c r="M2074" s="7" t="s">
        <v>2486</v>
      </c>
      <c r="N2074" s="7" t="s">
        <v>53</v>
      </c>
      <c r="O2074" s="10" t="n">
        <f aca="false">'Exec Summary'!$E$2-H2074</f>
        <v>261</v>
      </c>
      <c r="P2074" s="10" t="str">
        <f aca="false">IF(I2074="","",I2074-H2074)</f>
        <v/>
      </c>
      <c r="Q2074" s="10" t="n">
        <f aca="false">VLOOKUP(G2074,$AA$2:$AB$5,2,FALSE())</f>
        <v>30</v>
      </c>
      <c r="R2074" s="7" t="n">
        <f aca="false">IF(OR(F2074="Open",F2074="Reopened"),1,0)</f>
        <v>1</v>
      </c>
      <c r="S2074" s="7" t="n">
        <f aca="false">IF(AND(H2074&gt;='Exec Summary'!$E$1,H2074&lt;='Exec Summary'!$E$2),1,0)</f>
        <v>0</v>
      </c>
      <c r="T2074" s="7" t="n">
        <f aca="false">IF(AND(F2074="Closed",I2074&lt;&gt;"",I2074&gt;='Exec Summary'!$E$1,I2074&lt;='Exec Summary'!$E$2),1,0)</f>
        <v>0</v>
      </c>
      <c r="U2074" s="7" t="n">
        <f aca="false">IF(F2074="Reopened",1,0)</f>
        <v>0</v>
      </c>
      <c r="V2074" s="7" t="n">
        <f aca="false">IF(AND(R2074=1,O2074&gt;Q2074),1,0)</f>
        <v>1</v>
      </c>
      <c r="W2074" s="7" t="n">
        <f aca="false">IF(AND(T2074=1,P2074&lt;&gt;"",P2074&lt;=Q2074),1,0)</f>
        <v>0</v>
      </c>
    </row>
    <row r="2075" customFormat="false" ht="15" hidden="false" customHeight="false" outlineLevel="0" collapsed="false">
      <c r="A2075" s="7" t="s">
        <v>2473</v>
      </c>
      <c r="B2075" s="7" t="s">
        <v>46</v>
      </c>
      <c r="C2075" s="7" t="s">
        <v>177</v>
      </c>
      <c r="D2075" s="7" t="s">
        <v>62</v>
      </c>
      <c r="E2075" s="7" t="s">
        <v>63</v>
      </c>
      <c r="F2075" s="7" t="s">
        <v>56</v>
      </c>
      <c r="G2075" s="7" t="s">
        <v>20</v>
      </c>
      <c r="H2075" s="9" t="n">
        <v>46143</v>
      </c>
      <c r="I2075" s="9"/>
      <c r="J2075" s="7" t="n">
        <v>8.1</v>
      </c>
      <c r="K2075" s="7" t="s">
        <v>2260</v>
      </c>
      <c r="L2075" s="7" t="s">
        <v>20</v>
      </c>
      <c r="M2075" s="7" t="s">
        <v>2487</v>
      </c>
      <c r="N2075" s="7" t="s">
        <v>53</v>
      </c>
      <c r="O2075" s="10" t="n">
        <f aca="false">'Exec Summary'!$E$2-H2075</f>
        <v>91</v>
      </c>
      <c r="P2075" s="10" t="str">
        <f aca="false">IF(I2075="","",I2075-H2075)</f>
        <v/>
      </c>
      <c r="Q2075" s="10" t="n">
        <f aca="false">VLOOKUP(G2075,$AA$2:$AB$5,2,FALSE())</f>
        <v>30</v>
      </c>
      <c r="R2075" s="7" t="n">
        <f aca="false">IF(OR(F2075="Open",F2075="Reopened"),1,0)</f>
        <v>1</v>
      </c>
      <c r="S2075" s="7" t="n">
        <f aca="false">IF(AND(H2075&gt;='Exec Summary'!$E$1,H2075&lt;='Exec Summary'!$E$2),1,0)</f>
        <v>0</v>
      </c>
      <c r="T2075" s="7" t="n">
        <f aca="false">IF(AND(F2075="Closed",I2075&lt;&gt;"",I2075&gt;='Exec Summary'!$E$1,I2075&lt;='Exec Summary'!$E$2),1,0)</f>
        <v>0</v>
      </c>
      <c r="U2075" s="7" t="n">
        <f aca="false">IF(F2075="Reopened",1,0)</f>
        <v>0</v>
      </c>
      <c r="V2075" s="7" t="n">
        <f aca="false">IF(AND(R2075=1,O2075&gt;Q2075),1,0)</f>
        <v>1</v>
      </c>
      <c r="W2075" s="7" t="n">
        <f aca="false">IF(AND(T2075=1,P2075&lt;&gt;"",P2075&lt;=Q2075),1,0)</f>
        <v>0</v>
      </c>
    </row>
    <row r="2076" customFormat="false" ht="15" hidden="false" customHeight="false" outlineLevel="0" collapsed="false">
      <c r="A2076" s="7" t="s">
        <v>2488</v>
      </c>
      <c r="B2076" s="7" t="s">
        <v>46</v>
      </c>
      <c r="C2076" s="7" t="s">
        <v>47</v>
      </c>
      <c r="D2076" s="7" t="s">
        <v>117</v>
      </c>
      <c r="E2076" s="7" t="s">
        <v>118</v>
      </c>
      <c r="F2076" s="7" t="s">
        <v>56</v>
      </c>
      <c r="G2076" s="7" t="s">
        <v>19</v>
      </c>
      <c r="H2076" s="9" t="n">
        <v>45964</v>
      </c>
      <c r="I2076" s="9"/>
      <c r="J2076" s="7" t="n">
        <v>10</v>
      </c>
      <c r="K2076" s="7" t="s">
        <v>2260</v>
      </c>
      <c r="L2076" s="7" t="s">
        <v>21</v>
      </c>
      <c r="M2076" s="7" t="s">
        <v>2489</v>
      </c>
      <c r="N2076" s="7" t="s">
        <v>58</v>
      </c>
      <c r="O2076" s="10" t="n">
        <f aca="false">'Exec Summary'!$E$2-H2076</f>
        <v>270</v>
      </c>
      <c r="P2076" s="10" t="str">
        <f aca="false">IF(I2076="","",I2076-H2076)</f>
        <v/>
      </c>
      <c r="Q2076" s="10" t="n">
        <f aca="false">VLOOKUP(G2076,$AA$2:$AB$5,2,FALSE())</f>
        <v>15</v>
      </c>
      <c r="R2076" s="7" t="n">
        <f aca="false">IF(OR(F2076="Open",F2076="Reopened"),1,0)</f>
        <v>1</v>
      </c>
      <c r="S2076" s="7" t="n">
        <f aca="false">IF(AND(H2076&gt;='Exec Summary'!$E$1,H2076&lt;='Exec Summary'!$E$2),1,0)</f>
        <v>0</v>
      </c>
      <c r="T2076" s="7" t="n">
        <f aca="false">IF(AND(F2076="Closed",I2076&lt;&gt;"",I2076&gt;='Exec Summary'!$E$1,I2076&lt;='Exec Summary'!$E$2),1,0)</f>
        <v>0</v>
      </c>
      <c r="U2076" s="7" t="n">
        <f aca="false">IF(F2076="Reopened",1,0)</f>
        <v>0</v>
      </c>
      <c r="V2076" s="7" t="n">
        <f aca="false">IF(AND(R2076=1,O2076&gt;Q2076),1,0)</f>
        <v>1</v>
      </c>
      <c r="W2076" s="7" t="n">
        <f aca="false">IF(AND(T2076=1,P2076&lt;&gt;"",P2076&lt;=Q2076),1,0)</f>
        <v>0</v>
      </c>
    </row>
    <row r="2077" customFormat="false" ht="15" hidden="false" customHeight="false" outlineLevel="0" collapsed="false">
      <c r="A2077" s="7" t="s">
        <v>2488</v>
      </c>
      <c r="B2077" s="7" t="s">
        <v>46</v>
      </c>
      <c r="C2077" s="7" t="s">
        <v>47</v>
      </c>
      <c r="D2077" s="7" t="s">
        <v>48</v>
      </c>
      <c r="E2077" s="7" t="s">
        <v>49</v>
      </c>
      <c r="F2077" s="7" t="s">
        <v>50</v>
      </c>
      <c r="G2077" s="7" t="s">
        <v>20</v>
      </c>
      <c r="H2077" s="9" t="n">
        <v>45941</v>
      </c>
      <c r="I2077" s="9" t="n">
        <v>45969</v>
      </c>
      <c r="J2077" s="7" t="n">
        <v>7.5</v>
      </c>
      <c r="K2077" s="7" t="s">
        <v>2260</v>
      </c>
      <c r="L2077" s="7" t="s">
        <v>21</v>
      </c>
      <c r="M2077" s="7" t="s">
        <v>2490</v>
      </c>
      <c r="N2077" s="7" t="s">
        <v>53</v>
      </c>
      <c r="O2077" s="10" t="n">
        <f aca="false">'Exec Summary'!$E$2-H2077</f>
        <v>293</v>
      </c>
      <c r="P2077" s="10" t="n">
        <f aca="false">IF(I2077="","",I2077-H2077)</f>
        <v>28</v>
      </c>
      <c r="Q2077" s="10" t="n">
        <f aca="false">VLOOKUP(G2077,$AA$2:$AB$5,2,FALSE())</f>
        <v>30</v>
      </c>
      <c r="R2077" s="7" t="n">
        <f aca="false">IF(OR(F2077="Open",F2077="Reopened"),1,0)</f>
        <v>0</v>
      </c>
      <c r="S2077" s="7" t="n">
        <f aca="false">IF(AND(H2077&gt;='Exec Summary'!$E$1,H2077&lt;='Exec Summary'!$E$2),1,0)</f>
        <v>0</v>
      </c>
      <c r="T2077" s="7" t="n">
        <f aca="false">IF(AND(F2077="Closed",I2077&lt;&gt;"",I2077&gt;='Exec Summary'!$E$1,I2077&lt;='Exec Summary'!$E$2),1,0)</f>
        <v>0</v>
      </c>
      <c r="U2077" s="7" t="n">
        <f aca="false">IF(F2077="Reopened",1,0)</f>
        <v>0</v>
      </c>
      <c r="V2077" s="7" t="n">
        <f aca="false">IF(AND(R2077=1,O2077&gt;Q2077),1,0)</f>
        <v>0</v>
      </c>
      <c r="W2077" s="7" t="n">
        <f aca="false">IF(AND(T2077=1,P2077&lt;&gt;"",P2077&lt;=Q2077),1,0)</f>
        <v>0</v>
      </c>
    </row>
    <row r="2078" customFormat="false" ht="15" hidden="false" customHeight="false" outlineLevel="0" collapsed="false">
      <c r="A2078" s="7" t="s">
        <v>2491</v>
      </c>
      <c r="B2078" s="7" t="s">
        <v>46</v>
      </c>
      <c r="C2078" s="7" t="s">
        <v>47</v>
      </c>
      <c r="D2078" s="7" t="s">
        <v>120</v>
      </c>
      <c r="E2078" s="7" t="s">
        <v>121</v>
      </c>
      <c r="F2078" s="7" t="s">
        <v>56</v>
      </c>
      <c r="G2078" s="7" t="s">
        <v>19</v>
      </c>
      <c r="H2078" s="9" t="n">
        <v>46148</v>
      </c>
      <c r="I2078" s="9"/>
      <c r="J2078" s="7" t="n">
        <v>8.8</v>
      </c>
      <c r="K2078" s="7" t="s">
        <v>2260</v>
      </c>
      <c r="L2078" s="7" t="s">
        <v>20</v>
      </c>
      <c r="M2078" s="7" t="s">
        <v>2492</v>
      </c>
      <c r="N2078" s="7" t="s">
        <v>58</v>
      </c>
      <c r="O2078" s="10" t="n">
        <f aca="false">'Exec Summary'!$E$2-H2078</f>
        <v>86</v>
      </c>
      <c r="P2078" s="10" t="str">
        <f aca="false">IF(I2078="","",I2078-H2078)</f>
        <v/>
      </c>
      <c r="Q2078" s="10" t="n">
        <f aca="false">VLOOKUP(G2078,$AA$2:$AB$5,2,FALSE())</f>
        <v>15</v>
      </c>
      <c r="R2078" s="7" t="n">
        <f aca="false">IF(OR(F2078="Open",F2078="Reopened"),1,0)</f>
        <v>1</v>
      </c>
      <c r="S2078" s="7" t="n">
        <f aca="false">IF(AND(H2078&gt;='Exec Summary'!$E$1,H2078&lt;='Exec Summary'!$E$2),1,0)</f>
        <v>0</v>
      </c>
      <c r="T2078" s="7" t="n">
        <f aca="false">IF(AND(F2078="Closed",I2078&lt;&gt;"",I2078&gt;='Exec Summary'!$E$1,I2078&lt;='Exec Summary'!$E$2),1,0)</f>
        <v>0</v>
      </c>
      <c r="U2078" s="7" t="n">
        <f aca="false">IF(F2078="Reopened",1,0)</f>
        <v>0</v>
      </c>
      <c r="V2078" s="7" t="n">
        <f aca="false">IF(AND(R2078=1,O2078&gt;Q2078),1,0)</f>
        <v>1</v>
      </c>
      <c r="W2078" s="7" t="n">
        <f aca="false">IF(AND(T2078=1,P2078&lt;&gt;"",P2078&lt;=Q2078),1,0)</f>
        <v>0</v>
      </c>
    </row>
    <row r="2079" customFormat="false" ht="15" hidden="false" customHeight="false" outlineLevel="0" collapsed="false">
      <c r="A2079" s="7" t="s">
        <v>2491</v>
      </c>
      <c r="B2079" s="7" t="s">
        <v>46</v>
      </c>
      <c r="C2079" s="7" t="s">
        <v>47</v>
      </c>
      <c r="D2079" s="7" t="s">
        <v>98</v>
      </c>
      <c r="E2079" s="7" t="s">
        <v>99</v>
      </c>
      <c r="F2079" s="7" t="s">
        <v>50</v>
      </c>
      <c r="G2079" s="7" t="s">
        <v>19</v>
      </c>
      <c r="H2079" s="9" t="n">
        <v>46214</v>
      </c>
      <c r="I2079" s="9" t="n">
        <v>46224</v>
      </c>
      <c r="J2079" s="7" t="n">
        <v>10</v>
      </c>
      <c r="K2079" s="7" t="s">
        <v>2260</v>
      </c>
      <c r="L2079" s="7" t="s">
        <v>20</v>
      </c>
      <c r="M2079" s="7" t="s">
        <v>2493</v>
      </c>
      <c r="N2079" s="7" t="s">
        <v>58</v>
      </c>
      <c r="O2079" s="10" t="n">
        <f aca="false">'Exec Summary'!$E$2-H2079</f>
        <v>20</v>
      </c>
      <c r="P2079" s="10" t="n">
        <f aca="false">IF(I2079="","",I2079-H2079)</f>
        <v>10</v>
      </c>
      <c r="Q2079" s="10" t="n">
        <f aca="false">VLOOKUP(G2079,$AA$2:$AB$5,2,FALSE())</f>
        <v>15</v>
      </c>
      <c r="R2079" s="7" t="n">
        <f aca="false">IF(OR(F2079="Open",F2079="Reopened"),1,0)</f>
        <v>0</v>
      </c>
      <c r="S2079" s="7" t="n">
        <f aca="false">IF(AND(H2079&gt;='Exec Summary'!$E$1,H2079&lt;='Exec Summary'!$E$2),1,0)</f>
        <v>1</v>
      </c>
      <c r="T2079" s="7" t="n">
        <f aca="false">IF(AND(F2079="Closed",I2079&lt;&gt;"",I2079&gt;='Exec Summary'!$E$1,I2079&lt;='Exec Summary'!$E$2),1,0)</f>
        <v>1</v>
      </c>
      <c r="U2079" s="7" t="n">
        <f aca="false">IF(F2079="Reopened",1,0)</f>
        <v>0</v>
      </c>
      <c r="V2079" s="7" t="n">
        <f aca="false">IF(AND(R2079=1,O2079&gt;Q2079),1,0)</f>
        <v>0</v>
      </c>
      <c r="W2079" s="7" t="n">
        <f aca="false">IF(AND(T2079=1,P2079&lt;&gt;"",P2079&lt;=Q2079),1,0)</f>
        <v>1</v>
      </c>
    </row>
    <row r="2080" customFormat="false" ht="15" hidden="false" customHeight="false" outlineLevel="0" collapsed="false">
      <c r="A2080" s="7" t="s">
        <v>2491</v>
      </c>
      <c r="B2080" s="7" t="s">
        <v>46</v>
      </c>
      <c r="C2080" s="7" t="s">
        <v>47</v>
      </c>
      <c r="D2080" s="7" t="s">
        <v>87</v>
      </c>
      <c r="E2080" s="7" t="s">
        <v>88</v>
      </c>
      <c r="F2080" s="7" t="s">
        <v>56</v>
      </c>
      <c r="G2080" s="7" t="s">
        <v>19</v>
      </c>
      <c r="H2080" s="9" t="n">
        <v>46106</v>
      </c>
      <c r="I2080" s="9"/>
      <c r="J2080" s="7" t="n">
        <v>10</v>
      </c>
      <c r="K2080" s="7" t="s">
        <v>2260</v>
      </c>
      <c r="L2080" s="7" t="s">
        <v>20</v>
      </c>
      <c r="M2080" s="7" t="s">
        <v>2494</v>
      </c>
      <c r="N2080" s="7" t="s">
        <v>58</v>
      </c>
      <c r="O2080" s="10" t="n">
        <f aca="false">'Exec Summary'!$E$2-H2080</f>
        <v>128</v>
      </c>
      <c r="P2080" s="10" t="str">
        <f aca="false">IF(I2080="","",I2080-H2080)</f>
        <v/>
      </c>
      <c r="Q2080" s="10" t="n">
        <f aca="false">VLOOKUP(G2080,$AA$2:$AB$5,2,FALSE())</f>
        <v>15</v>
      </c>
      <c r="R2080" s="7" t="n">
        <f aca="false">IF(OR(F2080="Open",F2080="Reopened"),1,0)</f>
        <v>1</v>
      </c>
      <c r="S2080" s="7" t="n">
        <f aca="false">IF(AND(H2080&gt;='Exec Summary'!$E$1,H2080&lt;='Exec Summary'!$E$2),1,0)</f>
        <v>0</v>
      </c>
      <c r="T2080" s="7" t="n">
        <f aca="false">IF(AND(F2080="Closed",I2080&lt;&gt;"",I2080&gt;='Exec Summary'!$E$1,I2080&lt;='Exec Summary'!$E$2),1,0)</f>
        <v>0</v>
      </c>
      <c r="U2080" s="7" t="n">
        <f aca="false">IF(F2080="Reopened",1,0)</f>
        <v>0</v>
      </c>
      <c r="V2080" s="7" t="n">
        <f aca="false">IF(AND(R2080=1,O2080&gt;Q2080),1,0)</f>
        <v>1</v>
      </c>
      <c r="W2080" s="7" t="n">
        <f aca="false">IF(AND(T2080=1,P2080&lt;&gt;"",P2080&lt;=Q2080),1,0)</f>
        <v>0</v>
      </c>
    </row>
    <row r="2081" customFormat="false" ht="15" hidden="false" customHeight="false" outlineLevel="0" collapsed="false">
      <c r="A2081" s="7" t="s">
        <v>2491</v>
      </c>
      <c r="B2081" s="7" t="s">
        <v>46</v>
      </c>
      <c r="C2081" s="7" t="s">
        <v>47</v>
      </c>
      <c r="D2081" s="7" t="s">
        <v>192</v>
      </c>
      <c r="E2081" s="7" t="s">
        <v>193</v>
      </c>
      <c r="F2081" s="7" t="s">
        <v>56</v>
      </c>
      <c r="G2081" s="7" t="s">
        <v>19</v>
      </c>
      <c r="H2081" s="9" t="n">
        <v>46063</v>
      </c>
      <c r="I2081" s="9"/>
      <c r="J2081" s="7" t="n">
        <v>9.8</v>
      </c>
      <c r="K2081" s="7" t="s">
        <v>2260</v>
      </c>
      <c r="L2081" s="7" t="s">
        <v>20</v>
      </c>
      <c r="M2081" s="7" t="s">
        <v>2495</v>
      </c>
      <c r="N2081" s="7" t="s">
        <v>58</v>
      </c>
      <c r="O2081" s="10" t="n">
        <f aca="false">'Exec Summary'!$E$2-H2081</f>
        <v>171</v>
      </c>
      <c r="P2081" s="10" t="str">
        <f aca="false">IF(I2081="","",I2081-H2081)</f>
        <v/>
      </c>
      <c r="Q2081" s="10" t="n">
        <f aca="false">VLOOKUP(G2081,$AA$2:$AB$5,2,FALSE())</f>
        <v>15</v>
      </c>
      <c r="R2081" s="7" t="n">
        <f aca="false">IF(OR(F2081="Open",F2081="Reopened"),1,0)</f>
        <v>1</v>
      </c>
      <c r="S2081" s="7" t="n">
        <f aca="false">IF(AND(H2081&gt;='Exec Summary'!$E$1,H2081&lt;='Exec Summary'!$E$2),1,0)</f>
        <v>0</v>
      </c>
      <c r="T2081" s="7" t="n">
        <f aca="false">IF(AND(F2081="Closed",I2081&lt;&gt;"",I2081&gt;='Exec Summary'!$E$1,I2081&lt;='Exec Summary'!$E$2),1,0)</f>
        <v>0</v>
      </c>
      <c r="U2081" s="7" t="n">
        <f aca="false">IF(F2081="Reopened",1,0)</f>
        <v>0</v>
      </c>
      <c r="V2081" s="7" t="n">
        <f aca="false">IF(AND(R2081=1,O2081&gt;Q2081),1,0)</f>
        <v>1</v>
      </c>
      <c r="W2081" s="7" t="n">
        <f aca="false">IF(AND(T2081=1,P2081&lt;&gt;"",P2081&lt;=Q2081),1,0)</f>
        <v>0</v>
      </c>
    </row>
    <row r="2082" customFormat="false" ht="15" hidden="false" customHeight="false" outlineLevel="0" collapsed="false">
      <c r="A2082" s="7" t="s">
        <v>2491</v>
      </c>
      <c r="B2082" s="7" t="s">
        <v>46</v>
      </c>
      <c r="C2082" s="7" t="s">
        <v>47</v>
      </c>
      <c r="D2082" s="7" t="s">
        <v>206</v>
      </c>
      <c r="E2082" s="7" t="s">
        <v>207</v>
      </c>
      <c r="F2082" s="7" t="s">
        <v>50</v>
      </c>
      <c r="G2082" s="7" t="s">
        <v>20</v>
      </c>
      <c r="H2082" s="9" t="n">
        <v>46017</v>
      </c>
      <c r="I2082" s="9" t="n">
        <v>46032</v>
      </c>
      <c r="J2082" s="7" t="n">
        <v>8.8</v>
      </c>
      <c r="K2082" s="7" t="s">
        <v>2260</v>
      </c>
      <c r="L2082" s="7" t="s">
        <v>20</v>
      </c>
      <c r="M2082" s="7" t="s">
        <v>2496</v>
      </c>
      <c r="N2082" s="7" t="s">
        <v>53</v>
      </c>
      <c r="O2082" s="10" t="n">
        <f aca="false">'Exec Summary'!$E$2-H2082</f>
        <v>217</v>
      </c>
      <c r="P2082" s="10" t="n">
        <f aca="false">IF(I2082="","",I2082-H2082)</f>
        <v>15</v>
      </c>
      <c r="Q2082" s="10" t="n">
        <f aca="false">VLOOKUP(G2082,$AA$2:$AB$5,2,FALSE())</f>
        <v>30</v>
      </c>
      <c r="R2082" s="7" t="n">
        <f aca="false">IF(OR(F2082="Open",F2082="Reopened"),1,0)</f>
        <v>0</v>
      </c>
      <c r="S2082" s="7" t="n">
        <f aca="false">IF(AND(H2082&gt;='Exec Summary'!$E$1,H2082&lt;='Exec Summary'!$E$2),1,0)</f>
        <v>0</v>
      </c>
      <c r="T2082" s="7" t="n">
        <f aca="false">IF(AND(F2082="Closed",I2082&lt;&gt;"",I2082&gt;='Exec Summary'!$E$1,I2082&lt;='Exec Summary'!$E$2),1,0)</f>
        <v>0</v>
      </c>
      <c r="U2082" s="7" t="n">
        <f aca="false">IF(F2082="Reopened",1,0)</f>
        <v>0</v>
      </c>
      <c r="V2082" s="7" t="n">
        <f aca="false">IF(AND(R2082=1,O2082&gt;Q2082),1,0)</f>
        <v>0</v>
      </c>
      <c r="W2082" s="7" t="n">
        <f aca="false">IF(AND(T2082=1,P2082&lt;&gt;"",P2082&lt;=Q2082),1,0)</f>
        <v>0</v>
      </c>
    </row>
    <row r="2083" customFormat="false" ht="15" hidden="false" customHeight="false" outlineLevel="0" collapsed="false">
      <c r="A2083" s="7" t="s">
        <v>2497</v>
      </c>
      <c r="B2083" s="7" t="s">
        <v>135</v>
      </c>
      <c r="C2083" s="7" t="s">
        <v>247</v>
      </c>
      <c r="D2083" s="7" t="s">
        <v>91</v>
      </c>
      <c r="E2083" s="7" t="s">
        <v>92</v>
      </c>
      <c r="F2083" s="7" t="s">
        <v>50</v>
      </c>
      <c r="G2083" s="7" t="s">
        <v>20</v>
      </c>
      <c r="H2083" s="9" t="n">
        <v>46171</v>
      </c>
      <c r="I2083" s="9" t="n">
        <v>46189</v>
      </c>
      <c r="J2083" s="7" t="n">
        <v>8.1</v>
      </c>
      <c r="K2083" s="7" t="s">
        <v>2260</v>
      </c>
      <c r="L2083" s="7" t="s">
        <v>19</v>
      </c>
      <c r="M2083" s="7" t="s">
        <v>2498</v>
      </c>
      <c r="N2083" s="7" t="s">
        <v>53</v>
      </c>
      <c r="O2083" s="10" t="n">
        <f aca="false">'Exec Summary'!$E$2-H2083</f>
        <v>63</v>
      </c>
      <c r="P2083" s="10" t="n">
        <f aca="false">IF(I2083="","",I2083-H2083)</f>
        <v>18</v>
      </c>
      <c r="Q2083" s="10" t="n">
        <f aca="false">VLOOKUP(G2083,$AA$2:$AB$5,2,FALSE())</f>
        <v>30</v>
      </c>
      <c r="R2083" s="7" t="n">
        <f aca="false">IF(OR(F2083="Open",F2083="Reopened"),1,0)</f>
        <v>0</v>
      </c>
      <c r="S2083" s="7" t="n">
        <f aca="false">IF(AND(H2083&gt;='Exec Summary'!$E$1,H2083&lt;='Exec Summary'!$E$2),1,0)</f>
        <v>0</v>
      </c>
      <c r="T2083" s="7" t="n">
        <f aca="false">IF(AND(F2083="Closed",I2083&lt;&gt;"",I2083&gt;='Exec Summary'!$E$1,I2083&lt;='Exec Summary'!$E$2),1,0)</f>
        <v>0</v>
      </c>
      <c r="U2083" s="7" t="n">
        <f aca="false">IF(F2083="Reopened",1,0)</f>
        <v>0</v>
      </c>
      <c r="V2083" s="7" t="n">
        <f aca="false">IF(AND(R2083=1,O2083&gt;Q2083),1,0)</f>
        <v>0</v>
      </c>
      <c r="W2083" s="7" t="n">
        <f aca="false">IF(AND(T2083=1,P2083&lt;&gt;"",P2083&lt;=Q2083),1,0)</f>
        <v>0</v>
      </c>
    </row>
    <row r="2084" customFormat="false" ht="15" hidden="false" customHeight="false" outlineLevel="0" collapsed="false">
      <c r="A2084" s="7" t="s">
        <v>2497</v>
      </c>
      <c r="B2084" s="7" t="s">
        <v>135</v>
      </c>
      <c r="C2084" s="7" t="s">
        <v>247</v>
      </c>
      <c r="D2084" s="7" t="s">
        <v>84</v>
      </c>
      <c r="E2084" s="7" t="s">
        <v>85</v>
      </c>
      <c r="F2084" s="7" t="s">
        <v>50</v>
      </c>
      <c r="G2084" s="7" t="s">
        <v>20</v>
      </c>
      <c r="H2084" s="9" t="n">
        <v>46053</v>
      </c>
      <c r="I2084" s="9" t="n">
        <v>46066</v>
      </c>
      <c r="J2084" s="7" t="n">
        <v>7.5</v>
      </c>
      <c r="K2084" s="7" t="s">
        <v>2260</v>
      </c>
      <c r="L2084" s="7" t="s">
        <v>19</v>
      </c>
      <c r="M2084" s="7" t="s">
        <v>2499</v>
      </c>
      <c r="N2084" s="7" t="s">
        <v>53</v>
      </c>
      <c r="O2084" s="10" t="n">
        <f aca="false">'Exec Summary'!$E$2-H2084</f>
        <v>181</v>
      </c>
      <c r="P2084" s="10" t="n">
        <f aca="false">IF(I2084="","",I2084-H2084)</f>
        <v>13</v>
      </c>
      <c r="Q2084" s="10" t="n">
        <f aca="false">VLOOKUP(G2084,$AA$2:$AB$5,2,FALSE())</f>
        <v>30</v>
      </c>
      <c r="R2084" s="7" t="n">
        <f aca="false">IF(OR(F2084="Open",F2084="Reopened"),1,0)</f>
        <v>0</v>
      </c>
      <c r="S2084" s="7" t="n">
        <f aca="false">IF(AND(H2084&gt;='Exec Summary'!$E$1,H2084&lt;='Exec Summary'!$E$2),1,0)</f>
        <v>0</v>
      </c>
      <c r="T2084" s="7" t="n">
        <f aca="false">IF(AND(F2084="Closed",I2084&lt;&gt;"",I2084&gt;='Exec Summary'!$E$1,I2084&lt;='Exec Summary'!$E$2),1,0)</f>
        <v>0</v>
      </c>
      <c r="U2084" s="7" t="n">
        <f aca="false">IF(F2084="Reopened",1,0)</f>
        <v>0</v>
      </c>
      <c r="V2084" s="7" t="n">
        <f aca="false">IF(AND(R2084=1,O2084&gt;Q2084),1,0)</f>
        <v>0</v>
      </c>
      <c r="W2084" s="7" t="n">
        <f aca="false">IF(AND(T2084=1,P2084&lt;&gt;"",P2084&lt;=Q2084),1,0)</f>
        <v>0</v>
      </c>
    </row>
    <row r="2085" customFormat="false" ht="15" hidden="false" customHeight="false" outlineLevel="0" collapsed="false">
      <c r="A2085" s="7" t="s">
        <v>2497</v>
      </c>
      <c r="B2085" s="7" t="s">
        <v>135</v>
      </c>
      <c r="C2085" s="7" t="s">
        <v>247</v>
      </c>
      <c r="D2085" s="7" t="s">
        <v>108</v>
      </c>
      <c r="E2085" s="7" t="s">
        <v>109</v>
      </c>
      <c r="F2085" s="7" t="s">
        <v>56</v>
      </c>
      <c r="G2085" s="7" t="s">
        <v>20</v>
      </c>
      <c r="H2085" s="9" t="n">
        <v>46025</v>
      </c>
      <c r="I2085" s="9"/>
      <c r="J2085" s="7" t="n">
        <v>8.6</v>
      </c>
      <c r="K2085" s="7" t="s">
        <v>2260</v>
      </c>
      <c r="L2085" s="7" t="s">
        <v>19</v>
      </c>
      <c r="M2085" s="7" t="s">
        <v>2500</v>
      </c>
      <c r="N2085" s="7" t="s">
        <v>53</v>
      </c>
      <c r="O2085" s="10" t="n">
        <f aca="false">'Exec Summary'!$E$2-H2085</f>
        <v>209</v>
      </c>
      <c r="P2085" s="10" t="str">
        <f aca="false">IF(I2085="","",I2085-H2085)</f>
        <v/>
      </c>
      <c r="Q2085" s="10" t="n">
        <f aca="false">VLOOKUP(G2085,$AA$2:$AB$5,2,FALSE())</f>
        <v>30</v>
      </c>
      <c r="R2085" s="7" t="n">
        <f aca="false">IF(OR(F2085="Open",F2085="Reopened"),1,0)</f>
        <v>1</v>
      </c>
      <c r="S2085" s="7" t="n">
        <f aca="false">IF(AND(H2085&gt;='Exec Summary'!$E$1,H2085&lt;='Exec Summary'!$E$2),1,0)</f>
        <v>0</v>
      </c>
      <c r="T2085" s="7" t="n">
        <f aca="false">IF(AND(F2085="Closed",I2085&lt;&gt;"",I2085&gt;='Exec Summary'!$E$1,I2085&lt;='Exec Summary'!$E$2),1,0)</f>
        <v>0</v>
      </c>
      <c r="U2085" s="7" t="n">
        <f aca="false">IF(F2085="Reopened",1,0)</f>
        <v>0</v>
      </c>
      <c r="V2085" s="7" t="n">
        <f aca="false">IF(AND(R2085=1,O2085&gt;Q2085),1,0)</f>
        <v>1</v>
      </c>
      <c r="W2085" s="7" t="n">
        <f aca="false">IF(AND(T2085=1,P2085&lt;&gt;"",P2085&lt;=Q2085),1,0)</f>
        <v>0</v>
      </c>
    </row>
    <row r="2086" customFormat="false" ht="15" hidden="false" customHeight="false" outlineLevel="0" collapsed="false">
      <c r="A2086" s="7" t="s">
        <v>2497</v>
      </c>
      <c r="B2086" s="7" t="s">
        <v>135</v>
      </c>
      <c r="C2086" s="7" t="s">
        <v>247</v>
      </c>
      <c r="D2086" s="7" t="s">
        <v>68</v>
      </c>
      <c r="E2086" s="7" t="s">
        <v>69</v>
      </c>
      <c r="F2086" s="7" t="s">
        <v>50</v>
      </c>
      <c r="G2086" s="7" t="s">
        <v>19</v>
      </c>
      <c r="H2086" s="9" t="n">
        <v>46198</v>
      </c>
      <c r="I2086" s="9" t="n">
        <v>46216</v>
      </c>
      <c r="J2086" s="7" t="n">
        <v>9.8</v>
      </c>
      <c r="K2086" s="7" t="s">
        <v>2260</v>
      </c>
      <c r="L2086" s="7" t="s">
        <v>19</v>
      </c>
      <c r="M2086" s="7" t="s">
        <v>2501</v>
      </c>
      <c r="N2086" s="7" t="s">
        <v>58</v>
      </c>
      <c r="O2086" s="10" t="n">
        <f aca="false">'Exec Summary'!$E$2-H2086</f>
        <v>36</v>
      </c>
      <c r="P2086" s="10" t="n">
        <f aca="false">IF(I2086="","",I2086-H2086)</f>
        <v>18</v>
      </c>
      <c r="Q2086" s="10" t="n">
        <f aca="false">VLOOKUP(G2086,$AA$2:$AB$5,2,FALSE())</f>
        <v>15</v>
      </c>
      <c r="R2086" s="7" t="n">
        <f aca="false">IF(OR(F2086="Open",F2086="Reopened"),1,0)</f>
        <v>0</v>
      </c>
      <c r="S2086" s="7" t="n">
        <f aca="false">IF(AND(H2086&gt;='Exec Summary'!$E$1,H2086&lt;='Exec Summary'!$E$2),1,0)</f>
        <v>0</v>
      </c>
      <c r="T2086" s="7" t="n">
        <f aca="false">IF(AND(F2086="Closed",I2086&lt;&gt;"",I2086&gt;='Exec Summary'!$E$1,I2086&lt;='Exec Summary'!$E$2),1,0)</f>
        <v>1</v>
      </c>
      <c r="U2086" s="7" t="n">
        <f aca="false">IF(F2086="Reopened",1,0)</f>
        <v>0</v>
      </c>
      <c r="V2086" s="7" t="n">
        <f aca="false">IF(AND(R2086=1,O2086&gt;Q2086),1,0)</f>
        <v>0</v>
      </c>
      <c r="W2086" s="7" t="n">
        <f aca="false">IF(AND(T2086=1,P2086&lt;&gt;"",P2086&lt;=Q2086),1,0)</f>
        <v>0</v>
      </c>
    </row>
    <row r="2087" customFormat="false" ht="15" hidden="false" customHeight="false" outlineLevel="0" collapsed="false">
      <c r="A2087" s="7" t="s">
        <v>2502</v>
      </c>
      <c r="B2087" s="7" t="s">
        <v>135</v>
      </c>
      <c r="C2087" s="7" t="s">
        <v>136</v>
      </c>
      <c r="D2087" s="7" t="s">
        <v>131</v>
      </c>
      <c r="E2087" s="7" t="s">
        <v>132</v>
      </c>
      <c r="F2087" s="7" t="s">
        <v>50</v>
      </c>
      <c r="G2087" s="7" t="s">
        <v>19</v>
      </c>
      <c r="H2087" s="9" t="n">
        <v>45949</v>
      </c>
      <c r="I2087" s="9" t="n">
        <v>45955</v>
      </c>
      <c r="J2087" s="7" t="n">
        <v>9.8</v>
      </c>
      <c r="K2087" s="7" t="s">
        <v>2260</v>
      </c>
      <c r="L2087" s="7" t="s">
        <v>20</v>
      </c>
      <c r="M2087" s="7" t="s">
        <v>2503</v>
      </c>
      <c r="N2087" s="7" t="s">
        <v>58</v>
      </c>
      <c r="O2087" s="10" t="n">
        <f aca="false">'Exec Summary'!$E$2-H2087</f>
        <v>285</v>
      </c>
      <c r="P2087" s="10" t="n">
        <f aca="false">IF(I2087="","",I2087-H2087)</f>
        <v>6</v>
      </c>
      <c r="Q2087" s="10" t="n">
        <f aca="false">VLOOKUP(G2087,$AA$2:$AB$5,2,FALSE())</f>
        <v>15</v>
      </c>
      <c r="R2087" s="7" t="n">
        <f aca="false">IF(OR(F2087="Open",F2087="Reopened"),1,0)</f>
        <v>0</v>
      </c>
      <c r="S2087" s="7" t="n">
        <f aca="false">IF(AND(H2087&gt;='Exec Summary'!$E$1,H2087&lt;='Exec Summary'!$E$2),1,0)</f>
        <v>0</v>
      </c>
      <c r="T2087" s="7" t="n">
        <f aca="false">IF(AND(F2087="Closed",I2087&lt;&gt;"",I2087&gt;='Exec Summary'!$E$1,I2087&lt;='Exec Summary'!$E$2),1,0)</f>
        <v>0</v>
      </c>
      <c r="U2087" s="7" t="n">
        <f aca="false">IF(F2087="Reopened",1,0)</f>
        <v>0</v>
      </c>
      <c r="V2087" s="7" t="n">
        <f aca="false">IF(AND(R2087=1,O2087&gt;Q2087),1,0)</f>
        <v>0</v>
      </c>
      <c r="W2087" s="7" t="n">
        <f aca="false">IF(AND(T2087=1,P2087&lt;&gt;"",P2087&lt;=Q2087),1,0)</f>
        <v>0</v>
      </c>
    </row>
    <row r="2088" customFormat="false" ht="15" hidden="false" customHeight="false" outlineLevel="0" collapsed="false">
      <c r="A2088" s="7" t="s">
        <v>2502</v>
      </c>
      <c r="B2088" s="7" t="s">
        <v>135</v>
      </c>
      <c r="C2088" s="7" t="s">
        <v>136</v>
      </c>
      <c r="D2088" s="7" t="s">
        <v>59</v>
      </c>
      <c r="E2088" s="7" t="s">
        <v>60</v>
      </c>
      <c r="F2088" s="7" t="s">
        <v>50</v>
      </c>
      <c r="G2088" s="7" t="s">
        <v>19</v>
      </c>
      <c r="H2088" s="9" t="n">
        <v>46151</v>
      </c>
      <c r="I2088" s="9" t="n">
        <v>46165</v>
      </c>
      <c r="J2088" s="7" t="n">
        <v>7.8</v>
      </c>
      <c r="K2088" s="7" t="s">
        <v>2260</v>
      </c>
      <c r="L2088" s="7" t="s">
        <v>20</v>
      </c>
      <c r="M2088" s="7" t="s">
        <v>2504</v>
      </c>
      <c r="N2088" s="7" t="s">
        <v>58</v>
      </c>
      <c r="O2088" s="10" t="n">
        <f aca="false">'Exec Summary'!$E$2-H2088</f>
        <v>83</v>
      </c>
      <c r="P2088" s="10" t="n">
        <f aca="false">IF(I2088="","",I2088-H2088)</f>
        <v>14</v>
      </c>
      <c r="Q2088" s="10" t="n">
        <f aca="false">VLOOKUP(G2088,$AA$2:$AB$5,2,FALSE())</f>
        <v>15</v>
      </c>
      <c r="R2088" s="7" t="n">
        <f aca="false">IF(OR(F2088="Open",F2088="Reopened"),1,0)</f>
        <v>0</v>
      </c>
      <c r="S2088" s="7" t="n">
        <f aca="false">IF(AND(H2088&gt;='Exec Summary'!$E$1,H2088&lt;='Exec Summary'!$E$2),1,0)</f>
        <v>0</v>
      </c>
      <c r="T2088" s="7" t="n">
        <f aca="false">IF(AND(F2088="Closed",I2088&lt;&gt;"",I2088&gt;='Exec Summary'!$E$1,I2088&lt;='Exec Summary'!$E$2),1,0)</f>
        <v>0</v>
      </c>
      <c r="U2088" s="7" t="n">
        <f aca="false">IF(F2088="Reopened",1,0)</f>
        <v>0</v>
      </c>
      <c r="V2088" s="7" t="n">
        <f aca="false">IF(AND(R2088=1,O2088&gt;Q2088),1,0)</f>
        <v>0</v>
      </c>
      <c r="W2088" s="7" t="n">
        <f aca="false">IF(AND(T2088=1,P2088&lt;&gt;"",P2088&lt;=Q2088),1,0)</f>
        <v>0</v>
      </c>
    </row>
    <row r="2089" customFormat="false" ht="15" hidden="false" customHeight="false" outlineLevel="0" collapsed="false">
      <c r="A2089" s="7" t="s">
        <v>2502</v>
      </c>
      <c r="B2089" s="7" t="s">
        <v>135</v>
      </c>
      <c r="C2089" s="7" t="s">
        <v>136</v>
      </c>
      <c r="D2089" s="7" t="s">
        <v>74</v>
      </c>
      <c r="E2089" s="7" t="s">
        <v>75</v>
      </c>
      <c r="F2089" s="7" t="s">
        <v>50</v>
      </c>
      <c r="G2089" s="7" t="s">
        <v>21</v>
      </c>
      <c r="H2089" s="9" t="n">
        <v>46006</v>
      </c>
      <c r="I2089" s="9" t="n">
        <v>46063</v>
      </c>
      <c r="J2089" s="7" t="n">
        <v>6.5</v>
      </c>
      <c r="K2089" s="7" t="s">
        <v>2260</v>
      </c>
      <c r="L2089" s="7" t="s">
        <v>20</v>
      </c>
      <c r="M2089" s="7" t="s">
        <v>2505</v>
      </c>
      <c r="N2089" s="7" t="s">
        <v>77</v>
      </c>
      <c r="O2089" s="10" t="n">
        <f aca="false">'Exec Summary'!$E$2-H2089</f>
        <v>228</v>
      </c>
      <c r="P2089" s="10" t="n">
        <f aca="false">IF(I2089="","",I2089-H2089)</f>
        <v>57</v>
      </c>
      <c r="Q2089" s="10" t="n">
        <f aca="false">VLOOKUP(G2089,$AA$2:$AB$5,2,FALSE())</f>
        <v>90</v>
      </c>
      <c r="R2089" s="7" t="n">
        <f aca="false">IF(OR(F2089="Open",F2089="Reopened"),1,0)</f>
        <v>0</v>
      </c>
      <c r="S2089" s="7" t="n">
        <f aca="false">IF(AND(H2089&gt;='Exec Summary'!$E$1,H2089&lt;='Exec Summary'!$E$2),1,0)</f>
        <v>0</v>
      </c>
      <c r="T2089" s="7" t="n">
        <f aca="false">IF(AND(F2089="Closed",I2089&lt;&gt;"",I2089&gt;='Exec Summary'!$E$1,I2089&lt;='Exec Summary'!$E$2),1,0)</f>
        <v>0</v>
      </c>
      <c r="U2089" s="7" t="n">
        <f aca="false">IF(F2089="Reopened",1,0)</f>
        <v>0</v>
      </c>
      <c r="V2089" s="7" t="n">
        <f aca="false">IF(AND(R2089=1,O2089&gt;Q2089),1,0)</f>
        <v>0</v>
      </c>
      <c r="W2089" s="7" t="n">
        <f aca="false">IF(AND(T2089=1,P2089&lt;&gt;"",P2089&lt;=Q2089),1,0)</f>
        <v>0</v>
      </c>
    </row>
    <row r="2090" customFormat="false" ht="15" hidden="false" customHeight="false" outlineLevel="0" collapsed="false">
      <c r="A2090" s="7" t="s">
        <v>2502</v>
      </c>
      <c r="B2090" s="7" t="s">
        <v>135</v>
      </c>
      <c r="C2090" s="7" t="s">
        <v>136</v>
      </c>
      <c r="D2090" s="7" t="s">
        <v>192</v>
      </c>
      <c r="E2090" s="7" t="s">
        <v>193</v>
      </c>
      <c r="F2090" s="7" t="s">
        <v>50</v>
      </c>
      <c r="G2090" s="7" t="s">
        <v>19</v>
      </c>
      <c r="H2090" s="9" t="n">
        <v>46037</v>
      </c>
      <c r="I2090" s="9" t="n">
        <v>46038</v>
      </c>
      <c r="J2090" s="7" t="n">
        <v>9.8</v>
      </c>
      <c r="K2090" s="7" t="s">
        <v>2260</v>
      </c>
      <c r="L2090" s="7" t="s">
        <v>20</v>
      </c>
      <c r="M2090" s="7" t="s">
        <v>2506</v>
      </c>
      <c r="N2090" s="7" t="s">
        <v>58</v>
      </c>
      <c r="O2090" s="10" t="n">
        <f aca="false">'Exec Summary'!$E$2-H2090</f>
        <v>197</v>
      </c>
      <c r="P2090" s="10" t="n">
        <f aca="false">IF(I2090="","",I2090-H2090)</f>
        <v>1</v>
      </c>
      <c r="Q2090" s="10" t="n">
        <f aca="false">VLOOKUP(G2090,$AA$2:$AB$5,2,FALSE())</f>
        <v>15</v>
      </c>
      <c r="R2090" s="7" t="n">
        <f aca="false">IF(OR(F2090="Open",F2090="Reopened"),1,0)</f>
        <v>0</v>
      </c>
      <c r="S2090" s="7" t="n">
        <f aca="false">IF(AND(H2090&gt;='Exec Summary'!$E$1,H2090&lt;='Exec Summary'!$E$2),1,0)</f>
        <v>0</v>
      </c>
      <c r="T2090" s="7" t="n">
        <f aca="false">IF(AND(F2090="Closed",I2090&lt;&gt;"",I2090&gt;='Exec Summary'!$E$1,I2090&lt;='Exec Summary'!$E$2),1,0)</f>
        <v>0</v>
      </c>
      <c r="U2090" s="7" t="n">
        <f aca="false">IF(F2090="Reopened",1,0)</f>
        <v>0</v>
      </c>
      <c r="V2090" s="7" t="n">
        <f aca="false">IF(AND(R2090=1,O2090&gt;Q2090),1,0)</f>
        <v>0</v>
      </c>
      <c r="W2090" s="7" t="n">
        <f aca="false">IF(AND(T2090=1,P2090&lt;&gt;"",P2090&lt;=Q2090),1,0)</f>
        <v>0</v>
      </c>
    </row>
    <row r="2091" customFormat="false" ht="15" hidden="false" customHeight="false" outlineLevel="0" collapsed="false">
      <c r="A2091" s="7" t="s">
        <v>2502</v>
      </c>
      <c r="B2091" s="7" t="s">
        <v>135</v>
      </c>
      <c r="C2091" s="7" t="s">
        <v>136</v>
      </c>
      <c r="D2091" s="7" t="s">
        <v>48</v>
      </c>
      <c r="E2091" s="7" t="s">
        <v>49</v>
      </c>
      <c r="F2091" s="7" t="s">
        <v>56</v>
      </c>
      <c r="G2091" s="7" t="s">
        <v>20</v>
      </c>
      <c r="H2091" s="9" t="n">
        <v>45987</v>
      </c>
      <c r="I2091" s="9"/>
      <c r="J2091" s="7" t="n">
        <v>7.5</v>
      </c>
      <c r="K2091" s="7" t="s">
        <v>2260</v>
      </c>
      <c r="L2091" s="7" t="s">
        <v>20</v>
      </c>
      <c r="M2091" s="7" t="s">
        <v>2507</v>
      </c>
      <c r="N2091" s="7" t="s">
        <v>53</v>
      </c>
      <c r="O2091" s="10" t="n">
        <f aca="false">'Exec Summary'!$E$2-H2091</f>
        <v>247</v>
      </c>
      <c r="P2091" s="10" t="str">
        <f aca="false">IF(I2091="","",I2091-H2091)</f>
        <v/>
      </c>
      <c r="Q2091" s="10" t="n">
        <f aca="false">VLOOKUP(G2091,$AA$2:$AB$5,2,FALSE())</f>
        <v>30</v>
      </c>
      <c r="R2091" s="7" t="n">
        <f aca="false">IF(OR(F2091="Open",F2091="Reopened"),1,0)</f>
        <v>1</v>
      </c>
      <c r="S2091" s="7" t="n">
        <f aca="false">IF(AND(H2091&gt;='Exec Summary'!$E$1,H2091&lt;='Exec Summary'!$E$2),1,0)</f>
        <v>0</v>
      </c>
      <c r="T2091" s="7" t="n">
        <f aca="false">IF(AND(F2091="Closed",I2091&lt;&gt;"",I2091&gt;='Exec Summary'!$E$1,I2091&lt;='Exec Summary'!$E$2),1,0)</f>
        <v>0</v>
      </c>
      <c r="U2091" s="7" t="n">
        <f aca="false">IF(F2091="Reopened",1,0)</f>
        <v>0</v>
      </c>
      <c r="V2091" s="7" t="n">
        <f aca="false">IF(AND(R2091=1,O2091&gt;Q2091),1,0)</f>
        <v>1</v>
      </c>
      <c r="W2091" s="7" t="n">
        <f aca="false">IF(AND(T2091=1,P2091&lt;&gt;"",P2091&lt;=Q2091),1,0)</f>
        <v>0</v>
      </c>
    </row>
    <row r="2092" customFormat="false" ht="15" hidden="false" customHeight="false" outlineLevel="0" collapsed="false">
      <c r="A2092" s="7" t="s">
        <v>2502</v>
      </c>
      <c r="B2092" s="7" t="s">
        <v>135</v>
      </c>
      <c r="C2092" s="7" t="s">
        <v>136</v>
      </c>
      <c r="D2092" s="7" t="s">
        <v>84</v>
      </c>
      <c r="E2092" s="7" t="s">
        <v>85</v>
      </c>
      <c r="F2092" s="7" t="s">
        <v>50</v>
      </c>
      <c r="G2092" s="7" t="s">
        <v>20</v>
      </c>
      <c r="H2092" s="9" t="n">
        <v>45975</v>
      </c>
      <c r="I2092" s="9" t="n">
        <v>45992</v>
      </c>
      <c r="J2092" s="7" t="n">
        <v>7.5</v>
      </c>
      <c r="K2092" s="7" t="s">
        <v>2260</v>
      </c>
      <c r="L2092" s="7" t="s">
        <v>20</v>
      </c>
      <c r="M2092" s="7" t="s">
        <v>2508</v>
      </c>
      <c r="N2092" s="7" t="s">
        <v>53</v>
      </c>
      <c r="O2092" s="10" t="n">
        <f aca="false">'Exec Summary'!$E$2-H2092</f>
        <v>259</v>
      </c>
      <c r="P2092" s="10" t="n">
        <f aca="false">IF(I2092="","",I2092-H2092)</f>
        <v>17</v>
      </c>
      <c r="Q2092" s="10" t="n">
        <f aca="false">VLOOKUP(G2092,$AA$2:$AB$5,2,FALSE())</f>
        <v>30</v>
      </c>
      <c r="R2092" s="7" t="n">
        <f aca="false">IF(OR(F2092="Open",F2092="Reopened"),1,0)</f>
        <v>0</v>
      </c>
      <c r="S2092" s="7" t="n">
        <f aca="false">IF(AND(H2092&gt;='Exec Summary'!$E$1,H2092&lt;='Exec Summary'!$E$2),1,0)</f>
        <v>0</v>
      </c>
      <c r="T2092" s="7" t="n">
        <f aca="false">IF(AND(F2092="Closed",I2092&lt;&gt;"",I2092&gt;='Exec Summary'!$E$1,I2092&lt;='Exec Summary'!$E$2),1,0)</f>
        <v>0</v>
      </c>
      <c r="U2092" s="7" t="n">
        <f aca="false">IF(F2092="Reopened",1,0)</f>
        <v>0</v>
      </c>
      <c r="V2092" s="7" t="n">
        <f aca="false">IF(AND(R2092=1,O2092&gt;Q2092),1,0)</f>
        <v>0</v>
      </c>
      <c r="W2092" s="7" t="n">
        <f aca="false">IF(AND(T2092=1,P2092&lt;&gt;"",P2092&lt;=Q2092),1,0)</f>
        <v>0</v>
      </c>
    </row>
    <row r="2093" customFormat="false" ht="15" hidden="false" customHeight="false" outlineLevel="0" collapsed="false">
      <c r="A2093" s="7" t="s">
        <v>2502</v>
      </c>
      <c r="B2093" s="7" t="s">
        <v>135</v>
      </c>
      <c r="C2093" s="7" t="s">
        <v>136</v>
      </c>
      <c r="D2093" s="7" t="s">
        <v>120</v>
      </c>
      <c r="E2093" s="7" t="s">
        <v>121</v>
      </c>
      <c r="F2093" s="7" t="s">
        <v>50</v>
      </c>
      <c r="G2093" s="7" t="s">
        <v>19</v>
      </c>
      <c r="H2093" s="9" t="n">
        <v>45993</v>
      </c>
      <c r="I2093" s="9" t="n">
        <v>46019</v>
      </c>
      <c r="J2093" s="7" t="n">
        <v>8.8</v>
      </c>
      <c r="K2093" s="7" t="s">
        <v>2260</v>
      </c>
      <c r="L2093" s="7" t="s">
        <v>20</v>
      </c>
      <c r="M2093" s="7" t="s">
        <v>2509</v>
      </c>
      <c r="N2093" s="7" t="s">
        <v>58</v>
      </c>
      <c r="O2093" s="10" t="n">
        <f aca="false">'Exec Summary'!$E$2-H2093</f>
        <v>241</v>
      </c>
      <c r="P2093" s="10" t="n">
        <f aca="false">IF(I2093="","",I2093-H2093)</f>
        <v>26</v>
      </c>
      <c r="Q2093" s="10" t="n">
        <f aca="false">VLOOKUP(G2093,$AA$2:$AB$5,2,FALSE())</f>
        <v>15</v>
      </c>
      <c r="R2093" s="7" t="n">
        <f aca="false">IF(OR(F2093="Open",F2093="Reopened"),1,0)</f>
        <v>0</v>
      </c>
      <c r="S2093" s="7" t="n">
        <f aca="false">IF(AND(H2093&gt;='Exec Summary'!$E$1,H2093&lt;='Exec Summary'!$E$2),1,0)</f>
        <v>0</v>
      </c>
      <c r="T2093" s="7" t="n">
        <f aca="false">IF(AND(F2093="Closed",I2093&lt;&gt;"",I2093&gt;='Exec Summary'!$E$1,I2093&lt;='Exec Summary'!$E$2),1,0)</f>
        <v>0</v>
      </c>
      <c r="U2093" s="7" t="n">
        <f aca="false">IF(F2093="Reopened",1,0)</f>
        <v>0</v>
      </c>
      <c r="V2093" s="7" t="n">
        <f aca="false">IF(AND(R2093=1,O2093&gt;Q2093),1,0)</f>
        <v>0</v>
      </c>
      <c r="W2093" s="7" t="n">
        <f aca="false">IF(AND(T2093=1,P2093&lt;&gt;"",P2093&lt;=Q2093),1,0)</f>
        <v>0</v>
      </c>
    </row>
    <row r="2094" customFormat="false" ht="15" hidden="false" customHeight="false" outlineLevel="0" collapsed="false">
      <c r="A2094" s="7" t="s">
        <v>2502</v>
      </c>
      <c r="B2094" s="7" t="s">
        <v>135</v>
      </c>
      <c r="C2094" s="7" t="s">
        <v>136</v>
      </c>
      <c r="D2094" s="7" t="s">
        <v>166</v>
      </c>
      <c r="E2094" s="7" t="s">
        <v>167</v>
      </c>
      <c r="F2094" s="7" t="s">
        <v>56</v>
      </c>
      <c r="G2094" s="7" t="s">
        <v>19</v>
      </c>
      <c r="H2094" s="9" t="n">
        <v>45984</v>
      </c>
      <c r="I2094" s="9"/>
      <c r="J2094" s="7" t="n">
        <v>9.8</v>
      </c>
      <c r="K2094" s="7" t="s">
        <v>2260</v>
      </c>
      <c r="L2094" s="7" t="s">
        <v>20</v>
      </c>
      <c r="M2094" s="7" t="s">
        <v>2510</v>
      </c>
      <c r="N2094" s="7" t="s">
        <v>58</v>
      </c>
      <c r="O2094" s="10" t="n">
        <f aca="false">'Exec Summary'!$E$2-H2094</f>
        <v>250</v>
      </c>
      <c r="P2094" s="10" t="str">
        <f aca="false">IF(I2094="","",I2094-H2094)</f>
        <v/>
      </c>
      <c r="Q2094" s="10" t="n">
        <f aca="false">VLOOKUP(G2094,$AA$2:$AB$5,2,FALSE())</f>
        <v>15</v>
      </c>
      <c r="R2094" s="7" t="n">
        <f aca="false">IF(OR(F2094="Open",F2094="Reopened"),1,0)</f>
        <v>1</v>
      </c>
      <c r="S2094" s="7" t="n">
        <f aca="false">IF(AND(H2094&gt;='Exec Summary'!$E$1,H2094&lt;='Exec Summary'!$E$2),1,0)</f>
        <v>0</v>
      </c>
      <c r="T2094" s="7" t="n">
        <f aca="false">IF(AND(F2094="Closed",I2094&lt;&gt;"",I2094&gt;='Exec Summary'!$E$1,I2094&lt;='Exec Summary'!$E$2),1,0)</f>
        <v>0</v>
      </c>
      <c r="U2094" s="7" t="n">
        <f aca="false">IF(F2094="Reopened",1,0)</f>
        <v>0</v>
      </c>
      <c r="V2094" s="7" t="n">
        <f aca="false">IF(AND(R2094=1,O2094&gt;Q2094),1,0)</f>
        <v>1</v>
      </c>
      <c r="W2094" s="7" t="n">
        <f aca="false">IF(AND(T2094=1,P2094&lt;&gt;"",P2094&lt;=Q2094),1,0)</f>
        <v>0</v>
      </c>
    </row>
    <row r="2095" customFormat="false" ht="15" hidden="false" customHeight="false" outlineLevel="0" collapsed="false">
      <c r="A2095" s="7" t="s">
        <v>2502</v>
      </c>
      <c r="B2095" s="7" t="s">
        <v>135</v>
      </c>
      <c r="C2095" s="7" t="s">
        <v>136</v>
      </c>
      <c r="D2095" s="7" t="s">
        <v>87</v>
      </c>
      <c r="E2095" s="7" t="s">
        <v>88</v>
      </c>
      <c r="F2095" s="7" t="s">
        <v>50</v>
      </c>
      <c r="G2095" s="7" t="s">
        <v>19</v>
      </c>
      <c r="H2095" s="9" t="n">
        <v>46218</v>
      </c>
      <c r="I2095" s="9" t="n">
        <v>46229</v>
      </c>
      <c r="J2095" s="7" t="n">
        <v>10</v>
      </c>
      <c r="K2095" s="7" t="s">
        <v>2260</v>
      </c>
      <c r="L2095" s="7" t="s">
        <v>20</v>
      </c>
      <c r="M2095" s="7" t="s">
        <v>2511</v>
      </c>
      <c r="N2095" s="7" t="s">
        <v>58</v>
      </c>
      <c r="O2095" s="10" t="n">
        <f aca="false">'Exec Summary'!$E$2-H2095</f>
        <v>16</v>
      </c>
      <c r="P2095" s="10" t="n">
        <f aca="false">IF(I2095="","",I2095-H2095)</f>
        <v>11</v>
      </c>
      <c r="Q2095" s="10" t="n">
        <f aca="false">VLOOKUP(G2095,$AA$2:$AB$5,2,FALSE())</f>
        <v>15</v>
      </c>
      <c r="R2095" s="7" t="n">
        <f aca="false">IF(OR(F2095="Open",F2095="Reopened"),1,0)</f>
        <v>0</v>
      </c>
      <c r="S2095" s="7" t="n">
        <f aca="false">IF(AND(H2095&gt;='Exec Summary'!$E$1,H2095&lt;='Exec Summary'!$E$2),1,0)</f>
        <v>1</v>
      </c>
      <c r="T2095" s="7" t="n">
        <f aca="false">IF(AND(F2095="Closed",I2095&lt;&gt;"",I2095&gt;='Exec Summary'!$E$1,I2095&lt;='Exec Summary'!$E$2),1,0)</f>
        <v>1</v>
      </c>
      <c r="U2095" s="7" t="n">
        <f aca="false">IF(F2095="Reopened",1,0)</f>
        <v>0</v>
      </c>
      <c r="V2095" s="7" t="n">
        <f aca="false">IF(AND(R2095=1,O2095&gt;Q2095),1,0)</f>
        <v>0</v>
      </c>
      <c r="W2095" s="7" t="n">
        <f aca="false">IF(AND(T2095=1,P2095&lt;&gt;"",P2095&lt;=Q2095),1,0)</f>
        <v>1</v>
      </c>
    </row>
    <row r="2096" customFormat="false" ht="15" hidden="false" customHeight="false" outlineLevel="0" collapsed="false">
      <c r="A2096" s="7" t="s">
        <v>2502</v>
      </c>
      <c r="B2096" s="7" t="s">
        <v>135</v>
      </c>
      <c r="C2096" s="7" t="s">
        <v>136</v>
      </c>
      <c r="D2096" s="7" t="s">
        <v>98</v>
      </c>
      <c r="E2096" s="7" t="s">
        <v>99</v>
      </c>
      <c r="F2096" s="7" t="s">
        <v>56</v>
      </c>
      <c r="G2096" s="7" t="s">
        <v>19</v>
      </c>
      <c r="H2096" s="9" t="n">
        <v>46013</v>
      </c>
      <c r="I2096" s="9"/>
      <c r="J2096" s="7" t="n">
        <v>10</v>
      </c>
      <c r="K2096" s="7" t="s">
        <v>2260</v>
      </c>
      <c r="L2096" s="7" t="s">
        <v>20</v>
      </c>
      <c r="M2096" s="7" t="s">
        <v>2512</v>
      </c>
      <c r="N2096" s="7" t="s">
        <v>58</v>
      </c>
      <c r="O2096" s="10" t="n">
        <f aca="false">'Exec Summary'!$E$2-H2096</f>
        <v>221</v>
      </c>
      <c r="P2096" s="10" t="str">
        <f aca="false">IF(I2096="","",I2096-H2096)</f>
        <v/>
      </c>
      <c r="Q2096" s="10" t="n">
        <f aca="false">VLOOKUP(G2096,$AA$2:$AB$5,2,FALSE())</f>
        <v>15</v>
      </c>
      <c r="R2096" s="7" t="n">
        <f aca="false">IF(OR(F2096="Open",F2096="Reopened"),1,0)</f>
        <v>1</v>
      </c>
      <c r="S2096" s="7" t="n">
        <f aca="false">IF(AND(H2096&gt;='Exec Summary'!$E$1,H2096&lt;='Exec Summary'!$E$2),1,0)</f>
        <v>0</v>
      </c>
      <c r="T2096" s="7" t="n">
        <f aca="false">IF(AND(F2096="Closed",I2096&lt;&gt;"",I2096&gt;='Exec Summary'!$E$1,I2096&lt;='Exec Summary'!$E$2),1,0)</f>
        <v>0</v>
      </c>
      <c r="U2096" s="7" t="n">
        <f aca="false">IF(F2096="Reopened",1,0)</f>
        <v>0</v>
      </c>
      <c r="V2096" s="7" t="n">
        <f aca="false">IF(AND(R2096=1,O2096&gt;Q2096),1,0)</f>
        <v>1</v>
      </c>
      <c r="W2096" s="7" t="n">
        <f aca="false">IF(AND(T2096=1,P2096&lt;&gt;"",P2096&lt;=Q2096),1,0)</f>
        <v>0</v>
      </c>
    </row>
    <row r="2097" customFormat="false" ht="15" hidden="false" customHeight="false" outlineLevel="0" collapsed="false">
      <c r="A2097" s="7" t="s">
        <v>2502</v>
      </c>
      <c r="B2097" s="7" t="s">
        <v>135</v>
      </c>
      <c r="C2097" s="7" t="s">
        <v>136</v>
      </c>
      <c r="D2097" s="7" t="s">
        <v>95</v>
      </c>
      <c r="E2097" s="7" t="s">
        <v>96</v>
      </c>
      <c r="F2097" s="7" t="s">
        <v>56</v>
      </c>
      <c r="G2097" s="7" t="s">
        <v>20</v>
      </c>
      <c r="H2097" s="9" t="n">
        <v>45960</v>
      </c>
      <c r="I2097" s="9"/>
      <c r="J2097" s="7" t="n">
        <v>8.8</v>
      </c>
      <c r="K2097" s="7" t="s">
        <v>2260</v>
      </c>
      <c r="L2097" s="7" t="s">
        <v>20</v>
      </c>
      <c r="M2097" s="7" t="s">
        <v>2513</v>
      </c>
      <c r="N2097" s="7" t="s">
        <v>53</v>
      </c>
      <c r="O2097" s="10" t="n">
        <f aca="false">'Exec Summary'!$E$2-H2097</f>
        <v>274</v>
      </c>
      <c r="P2097" s="10" t="str">
        <f aca="false">IF(I2097="","",I2097-H2097)</f>
        <v/>
      </c>
      <c r="Q2097" s="10" t="n">
        <f aca="false">VLOOKUP(G2097,$AA$2:$AB$5,2,FALSE())</f>
        <v>30</v>
      </c>
      <c r="R2097" s="7" t="n">
        <f aca="false">IF(OR(F2097="Open",F2097="Reopened"),1,0)</f>
        <v>1</v>
      </c>
      <c r="S2097" s="7" t="n">
        <f aca="false">IF(AND(H2097&gt;='Exec Summary'!$E$1,H2097&lt;='Exec Summary'!$E$2),1,0)</f>
        <v>0</v>
      </c>
      <c r="T2097" s="7" t="n">
        <f aca="false">IF(AND(F2097="Closed",I2097&lt;&gt;"",I2097&gt;='Exec Summary'!$E$1,I2097&lt;='Exec Summary'!$E$2),1,0)</f>
        <v>0</v>
      </c>
      <c r="U2097" s="7" t="n">
        <f aca="false">IF(F2097="Reopened",1,0)</f>
        <v>0</v>
      </c>
      <c r="V2097" s="7" t="n">
        <f aca="false">IF(AND(R2097=1,O2097&gt;Q2097),1,0)</f>
        <v>1</v>
      </c>
      <c r="W2097" s="7" t="n">
        <f aca="false">IF(AND(T2097=1,P2097&lt;&gt;"",P2097&lt;=Q2097),1,0)</f>
        <v>0</v>
      </c>
    </row>
    <row r="2098" customFormat="false" ht="15" hidden="false" customHeight="false" outlineLevel="0" collapsed="false">
      <c r="A2098" s="7" t="s">
        <v>2502</v>
      </c>
      <c r="B2098" s="7" t="s">
        <v>135</v>
      </c>
      <c r="C2098" s="7" t="s">
        <v>136</v>
      </c>
      <c r="D2098" s="7" t="s">
        <v>152</v>
      </c>
      <c r="E2098" s="7" t="s">
        <v>153</v>
      </c>
      <c r="F2098" s="7" t="s">
        <v>56</v>
      </c>
      <c r="G2098" s="7" t="s">
        <v>20</v>
      </c>
      <c r="H2098" s="9" t="n">
        <v>45984</v>
      </c>
      <c r="I2098" s="9"/>
      <c r="J2098" s="7" t="n">
        <v>7.5</v>
      </c>
      <c r="K2098" s="7" t="s">
        <v>2260</v>
      </c>
      <c r="L2098" s="7" t="s">
        <v>20</v>
      </c>
      <c r="M2098" s="7" t="s">
        <v>2514</v>
      </c>
      <c r="N2098" s="7" t="s">
        <v>53</v>
      </c>
      <c r="O2098" s="10" t="n">
        <f aca="false">'Exec Summary'!$E$2-H2098</f>
        <v>250</v>
      </c>
      <c r="P2098" s="10" t="str">
        <f aca="false">IF(I2098="","",I2098-H2098)</f>
        <v/>
      </c>
      <c r="Q2098" s="10" t="n">
        <f aca="false">VLOOKUP(G2098,$AA$2:$AB$5,2,FALSE())</f>
        <v>30</v>
      </c>
      <c r="R2098" s="7" t="n">
        <f aca="false">IF(OR(F2098="Open",F2098="Reopened"),1,0)</f>
        <v>1</v>
      </c>
      <c r="S2098" s="7" t="n">
        <f aca="false">IF(AND(H2098&gt;='Exec Summary'!$E$1,H2098&lt;='Exec Summary'!$E$2),1,0)</f>
        <v>0</v>
      </c>
      <c r="T2098" s="7" t="n">
        <f aca="false">IF(AND(F2098="Closed",I2098&lt;&gt;"",I2098&gt;='Exec Summary'!$E$1,I2098&lt;='Exec Summary'!$E$2),1,0)</f>
        <v>0</v>
      </c>
      <c r="U2098" s="7" t="n">
        <f aca="false">IF(F2098="Reopened",1,0)</f>
        <v>0</v>
      </c>
      <c r="V2098" s="7" t="n">
        <f aca="false">IF(AND(R2098=1,O2098&gt;Q2098),1,0)</f>
        <v>1</v>
      </c>
      <c r="W2098" s="7" t="n">
        <f aca="false">IF(AND(T2098=1,P2098&lt;&gt;"",P2098&lt;=Q2098),1,0)</f>
        <v>0</v>
      </c>
    </row>
    <row r="2099" customFormat="false" ht="15" hidden="false" customHeight="false" outlineLevel="0" collapsed="false">
      <c r="A2099" s="7" t="s">
        <v>2502</v>
      </c>
      <c r="B2099" s="7" t="s">
        <v>135</v>
      </c>
      <c r="C2099" s="7" t="s">
        <v>136</v>
      </c>
      <c r="D2099" s="7" t="s">
        <v>206</v>
      </c>
      <c r="E2099" s="7" t="s">
        <v>207</v>
      </c>
      <c r="F2099" s="7" t="s">
        <v>56</v>
      </c>
      <c r="G2099" s="7" t="s">
        <v>20</v>
      </c>
      <c r="H2099" s="9" t="n">
        <v>46172</v>
      </c>
      <c r="I2099" s="9"/>
      <c r="J2099" s="7" t="n">
        <v>8.8</v>
      </c>
      <c r="K2099" s="7" t="s">
        <v>2260</v>
      </c>
      <c r="L2099" s="7" t="s">
        <v>20</v>
      </c>
      <c r="M2099" s="7" t="s">
        <v>2515</v>
      </c>
      <c r="N2099" s="7" t="s">
        <v>53</v>
      </c>
      <c r="O2099" s="10" t="n">
        <f aca="false">'Exec Summary'!$E$2-H2099</f>
        <v>62</v>
      </c>
      <c r="P2099" s="10" t="str">
        <f aca="false">IF(I2099="","",I2099-H2099)</f>
        <v/>
      </c>
      <c r="Q2099" s="10" t="n">
        <f aca="false">VLOOKUP(G2099,$AA$2:$AB$5,2,FALSE())</f>
        <v>30</v>
      </c>
      <c r="R2099" s="7" t="n">
        <f aca="false">IF(OR(F2099="Open",F2099="Reopened"),1,0)</f>
        <v>1</v>
      </c>
      <c r="S2099" s="7" t="n">
        <f aca="false">IF(AND(H2099&gt;='Exec Summary'!$E$1,H2099&lt;='Exec Summary'!$E$2),1,0)</f>
        <v>0</v>
      </c>
      <c r="T2099" s="7" t="n">
        <f aca="false">IF(AND(F2099="Closed",I2099&lt;&gt;"",I2099&gt;='Exec Summary'!$E$1,I2099&lt;='Exec Summary'!$E$2),1,0)</f>
        <v>0</v>
      </c>
      <c r="U2099" s="7" t="n">
        <f aca="false">IF(F2099="Reopened",1,0)</f>
        <v>0</v>
      </c>
      <c r="V2099" s="7" t="n">
        <f aca="false">IF(AND(R2099=1,O2099&gt;Q2099),1,0)</f>
        <v>1</v>
      </c>
      <c r="W2099" s="7" t="n">
        <f aca="false">IF(AND(T2099=1,P2099&lt;&gt;"",P2099&lt;=Q2099),1,0)</f>
        <v>0</v>
      </c>
    </row>
    <row r="2100" customFormat="false" ht="15" hidden="false" customHeight="false" outlineLevel="0" collapsed="false">
      <c r="A2100" s="7" t="s">
        <v>2502</v>
      </c>
      <c r="B2100" s="7" t="s">
        <v>135</v>
      </c>
      <c r="C2100" s="7" t="s">
        <v>136</v>
      </c>
      <c r="D2100" s="7" t="s">
        <v>54</v>
      </c>
      <c r="E2100" s="7" t="s">
        <v>55</v>
      </c>
      <c r="F2100" s="7" t="s">
        <v>56</v>
      </c>
      <c r="G2100" s="7" t="s">
        <v>19</v>
      </c>
      <c r="H2100" s="9" t="n">
        <v>46120</v>
      </c>
      <c r="I2100" s="9"/>
      <c r="J2100" s="7" t="n">
        <v>9.8</v>
      </c>
      <c r="K2100" s="7" t="s">
        <v>2260</v>
      </c>
      <c r="L2100" s="7" t="s">
        <v>20</v>
      </c>
      <c r="M2100" s="7" t="s">
        <v>2516</v>
      </c>
      <c r="N2100" s="7" t="s">
        <v>58</v>
      </c>
      <c r="O2100" s="10" t="n">
        <f aca="false">'Exec Summary'!$E$2-H2100</f>
        <v>114</v>
      </c>
      <c r="P2100" s="10" t="str">
        <f aca="false">IF(I2100="","",I2100-H2100)</f>
        <v/>
      </c>
      <c r="Q2100" s="10" t="n">
        <f aca="false">VLOOKUP(G2100,$AA$2:$AB$5,2,FALSE())</f>
        <v>15</v>
      </c>
      <c r="R2100" s="7" t="n">
        <f aca="false">IF(OR(F2100="Open",F2100="Reopened"),1,0)</f>
        <v>1</v>
      </c>
      <c r="S2100" s="7" t="n">
        <f aca="false">IF(AND(H2100&gt;='Exec Summary'!$E$1,H2100&lt;='Exec Summary'!$E$2),1,0)</f>
        <v>0</v>
      </c>
      <c r="T2100" s="7" t="n">
        <f aca="false">IF(AND(F2100="Closed",I2100&lt;&gt;"",I2100&gt;='Exec Summary'!$E$1,I2100&lt;='Exec Summary'!$E$2),1,0)</f>
        <v>0</v>
      </c>
      <c r="U2100" s="7" t="n">
        <f aca="false">IF(F2100="Reopened",1,0)</f>
        <v>0</v>
      </c>
      <c r="V2100" s="7" t="n">
        <f aca="false">IF(AND(R2100=1,O2100&gt;Q2100),1,0)</f>
        <v>1</v>
      </c>
      <c r="W2100" s="7" t="n">
        <f aca="false">IF(AND(T2100=1,P2100&lt;&gt;"",P2100&lt;=Q2100),1,0)</f>
        <v>0</v>
      </c>
    </row>
    <row r="2101" customFormat="false" ht="15" hidden="false" customHeight="false" outlineLevel="0" collapsed="false">
      <c r="A2101" s="7" t="s">
        <v>2517</v>
      </c>
      <c r="B2101" s="7" t="s">
        <v>46</v>
      </c>
      <c r="C2101" s="7" t="s">
        <v>177</v>
      </c>
      <c r="D2101" s="7" t="s">
        <v>101</v>
      </c>
      <c r="E2101" s="7" t="s">
        <v>102</v>
      </c>
      <c r="F2101" s="7" t="s">
        <v>50</v>
      </c>
      <c r="G2101" s="7" t="s">
        <v>19</v>
      </c>
      <c r="H2101" s="9" t="n">
        <v>46019</v>
      </c>
      <c r="I2101" s="9" t="n">
        <v>46027</v>
      </c>
      <c r="J2101" s="7" t="n">
        <v>10</v>
      </c>
      <c r="K2101" s="7" t="s">
        <v>2260</v>
      </c>
      <c r="L2101" s="7" t="s">
        <v>20</v>
      </c>
      <c r="M2101" s="7" t="s">
        <v>2518</v>
      </c>
      <c r="N2101" s="7" t="s">
        <v>58</v>
      </c>
      <c r="O2101" s="10" t="n">
        <f aca="false">'Exec Summary'!$E$2-H2101</f>
        <v>215</v>
      </c>
      <c r="P2101" s="10" t="n">
        <f aca="false">IF(I2101="","",I2101-H2101)</f>
        <v>8</v>
      </c>
      <c r="Q2101" s="10" t="n">
        <f aca="false">VLOOKUP(G2101,$AA$2:$AB$5,2,FALSE())</f>
        <v>15</v>
      </c>
      <c r="R2101" s="7" t="n">
        <f aca="false">IF(OR(F2101="Open",F2101="Reopened"),1,0)</f>
        <v>0</v>
      </c>
      <c r="S2101" s="7" t="n">
        <f aca="false">IF(AND(H2101&gt;='Exec Summary'!$E$1,H2101&lt;='Exec Summary'!$E$2),1,0)</f>
        <v>0</v>
      </c>
      <c r="T2101" s="7" t="n">
        <f aca="false">IF(AND(F2101="Closed",I2101&lt;&gt;"",I2101&gt;='Exec Summary'!$E$1,I2101&lt;='Exec Summary'!$E$2),1,0)</f>
        <v>0</v>
      </c>
      <c r="U2101" s="7" t="n">
        <f aca="false">IF(F2101="Reopened",1,0)</f>
        <v>0</v>
      </c>
      <c r="V2101" s="7" t="n">
        <f aca="false">IF(AND(R2101=1,O2101&gt;Q2101),1,0)</f>
        <v>0</v>
      </c>
      <c r="W2101" s="7" t="n">
        <f aca="false">IF(AND(T2101=1,P2101&lt;&gt;"",P2101&lt;=Q2101),1,0)</f>
        <v>0</v>
      </c>
    </row>
    <row r="2102" customFormat="false" ht="15" hidden="false" customHeight="false" outlineLevel="0" collapsed="false">
      <c r="A2102" s="7" t="s">
        <v>2517</v>
      </c>
      <c r="B2102" s="7" t="s">
        <v>46</v>
      </c>
      <c r="C2102" s="7" t="s">
        <v>177</v>
      </c>
      <c r="D2102" s="7" t="s">
        <v>139</v>
      </c>
      <c r="E2102" s="7" t="s">
        <v>140</v>
      </c>
      <c r="F2102" s="7" t="s">
        <v>56</v>
      </c>
      <c r="G2102" s="7" t="s">
        <v>19</v>
      </c>
      <c r="H2102" s="9" t="n">
        <v>46201</v>
      </c>
      <c r="I2102" s="9"/>
      <c r="J2102" s="7" t="n">
        <v>9.8</v>
      </c>
      <c r="K2102" s="7" t="s">
        <v>2260</v>
      </c>
      <c r="L2102" s="7" t="s">
        <v>20</v>
      </c>
      <c r="M2102" s="7" t="s">
        <v>2519</v>
      </c>
      <c r="N2102" s="7" t="s">
        <v>58</v>
      </c>
      <c r="O2102" s="10" t="n">
        <f aca="false">'Exec Summary'!$E$2-H2102</f>
        <v>33</v>
      </c>
      <c r="P2102" s="10" t="str">
        <f aca="false">IF(I2102="","",I2102-H2102)</f>
        <v/>
      </c>
      <c r="Q2102" s="10" t="n">
        <f aca="false">VLOOKUP(G2102,$AA$2:$AB$5,2,FALSE())</f>
        <v>15</v>
      </c>
      <c r="R2102" s="7" t="n">
        <f aca="false">IF(OR(F2102="Open",F2102="Reopened"),1,0)</f>
        <v>1</v>
      </c>
      <c r="S2102" s="7" t="n">
        <f aca="false">IF(AND(H2102&gt;='Exec Summary'!$E$1,H2102&lt;='Exec Summary'!$E$2),1,0)</f>
        <v>0</v>
      </c>
      <c r="T2102" s="7" t="n">
        <f aca="false">IF(AND(F2102="Closed",I2102&lt;&gt;"",I2102&gt;='Exec Summary'!$E$1,I2102&lt;='Exec Summary'!$E$2),1,0)</f>
        <v>0</v>
      </c>
      <c r="U2102" s="7" t="n">
        <f aca="false">IF(F2102="Reopened",1,0)</f>
        <v>0</v>
      </c>
      <c r="V2102" s="7" t="n">
        <f aca="false">IF(AND(R2102=1,O2102&gt;Q2102),1,0)</f>
        <v>1</v>
      </c>
      <c r="W2102" s="7" t="n">
        <f aca="false">IF(AND(T2102=1,P2102&lt;&gt;"",P2102&lt;=Q2102),1,0)</f>
        <v>0</v>
      </c>
    </row>
    <row r="2103" customFormat="false" ht="15" hidden="false" customHeight="false" outlineLevel="0" collapsed="false">
      <c r="A2103" s="7" t="s">
        <v>2520</v>
      </c>
      <c r="B2103" s="7" t="s">
        <v>46</v>
      </c>
      <c r="C2103" s="7" t="s">
        <v>177</v>
      </c>
      <c r="D2103" s="7" t="s">
        <v>62</v>
      </c>
      <c r="E2103" s="7" t="s">
        <v>63</v>
      </c>
      <c r="F2103" s="7" t="s">
        <v>50</v>
      </c>
      <c r="G2103" s="7" t="s">
        <v>20</v>
      </c>
      <c r="H2103" s="9" t="n">
        <v>46152</v>
      </c>
      <c r="I2103" s="9" t="n">
        <v>46172</v>
      </c>
      <c r="J2103" s="7" t="n">
        <v>8.1</v>
      </c>
      <c r="K2103" s="7" t="s">
        <v>2260</v>
      </c>
      <c r="L2103" s="7" t="s">
        <v>20</v>
      </c>
      <c r="M2103" s="7" t="s">
        <v>2521</v>
      </c>
      <c r="N2103" s="7" t="s">
        <v>53</v>
      </c>
      <c r="O2103" s="10" t="n">
        <f aca="false">'Exec Summary'!$E$2-H2103</f>
        <v>82</v>
      </c>
      <c r="P2103" s="10" t="n">
        <f aca="false">IF(I2103="","",I2103-H2103)</f>
        <v>20</v>
      </c>
      <c r="Q2103" s="10" t="n">
        <f aca="false">VLOOKUP(G2103,$AA$2:$AB$5,2,FALSE())</f>
        <v>30</v>
      </c>
      <c r="R2103" s="7" t="n">
        <f aca="false">IF(OR(F2103="Open",F2103="Reopened"),1,0)</f>
        <v>0</v>
      </c>
      <c r="S2103" s="7" t="n">
        <f aca="false">IF(AND(H2103&gt;='Exec Summary'!$E$1,H2103&lt;='Exec Summary'!$E$2),1,0)</f>
        <v>0</v>
      </c>
      <c r="T2103" s="7" t="n">
        <f aca="false">IF(AND(F2103="Closed",I2103&lt;&gt;"",I2103&gt;='Exec Summary'!$E$1,I2103&lt;='Exec Summary'!$E$2),1,0)</f>
        <v>0</v>
      </c>
      <c r="U2103" s="7" t="n">
        <f aca="false">IF(F2103="Reopened",1,0)</f>
        <v>0</v>
      </c>
      <c r="V2103" s="7" t="n">
        <f aca="false">IF(AND(R2103=1,O2103&gt;Q2103),1,0)</f>
        <v>0</v>
      </c>
      <c r="W2103" s="7" t="n">
        <f aca="false">IF(AND(T2103=1,P2103&lt;&gt;"",P2103&lt;=Q2103),1,0)</f>
        <v>0</v>
      </c>
    </row>
    <row r="2104" customFormat="false" ht="15" hidden="false" customHeight="false" outlineLevel="0" collapsed="false">
      <c r="A2104" s="7" t="s">
        <v>2520</v>
      </c>
      <c r="B2104" s="7" t="s">
        <v>46</v>
      </c>
      <c r="C2104" s="7" t="s">
        <v>177</v>
      </c>
      <c r="D2104" s="7" t="s">
        <v>131</v>
      </c>
      <c r="E2104" s="7" t="s">
        <v>132</v>
      </c>
      <c r="F2104" s="7" t="s">
        <v>56</v>
      </c>
      <c r="G2104" s="7" t="s">
        <v>19</v>
      </c>
      <c r="H2104" s="9" t="n">
        <v>46000</v>
      </c>
      <c r="I2104" s="9"/>
      <c r="J2104" s="7" t="n">
        <v>9.8</v>
      </c>
      <c r="K2104" s="7" t="s">
        <v>2260</v>
      </c>
      <c r="L2104" s="7" t="s">
        <v>20</v>
      </c>
      <c r="M2104" s="7" t="s">
        <v>2522</v>
      </c>
      <c r="N2104" s="7" t="s">
        <v>58</v>
      </c>
      <c r="O2104" s="10" t="n">
        <f aca="false">'Exec Summary'!$E$2-H2104</f>
        <v>234</v>
      </c>
      <c r="P2104" s="10" t="str">
        <f aca="false">IF(I2104="","",I2104-H2104)</f>
        <v/>
      </c>
      <c r="Q2104" s="10" t="n">
        <f aca="false">VLOOKUP(G2104,$AA$2:$AB$5,2,FALSE())</f>
        <v>15</v>
      </c>
      <c r="R2104" s="7" t="n">
        <f aca="false">IF(OR(F2104="Open",F2104="Reopened"),1,0)</f>
        <v>1</v>
      </c>
      <c r="S2104" s="7" t="n">
        <f aca="false">IF(AND(H2104&gt;='Exec Summary'!$E$1,H2104&lt;='Exec Summary'!$E$2),1,0)</f>
        <v>0</v>
      </c>
      <c r="T2104" s="7" t="n">
        <f aca="false">IF(AND(F2104="Closed",I2104&lt;&gt;"",I2104&gt;='Exec Summary'!$E$1,I2104&lt;='Exec Summary'!$E$2),1,0)</f>
        <v>0</v>
      </c>
      <c r="U2104" s="7" t="n">
        <f aca="false">IF(F2104="Reopened",1,0)</f>
        <v>0</v>
      </c>
      <c r="V2104" s="7" t="n">
        <f aca="false">IF(AND(R2104=1,O2104&gt;Q2104),1,0)</f>
        <v>1</v>
      </c>
      <c r="W2104" s="7" t="n">
        <f aca="false">IF(AND(T2104=1,P2104&lt;&gt;"",P2104&lt;=Q2104),1,0)</f>
        <v>0</v>
      </c>
    </row>
    <row r="2105" customFormat="false" ht="15" hidden="false" customHeight="false" outlineLevel="0" collapsed="false">
      <c r="A2105" s="7" t="s">
        <v>2523</v>
      </c>
      <c r="B2105" s="7" t="s">
        <v>46</v>
      </c>
      <c r="C2105" s="7" t="s">
        <v>177</v>
      </c>
      <c r="D2105" s="7" t="s">
        <v>192</v>
      </c>
      <c r="E2105" s="7" t="s">
        <v>193</v>
      </c>
      <c r="F2105" s="7" t="s">
        <v>56</v>
      </c>
      <c r="G2105" s="7" t="s">
        <v>19</v>
      </c>
      <c r="H2105" s="9" t="n">
        <v>46220</v>
      </c>
      <c r="I2105" s="9"/>
      <c r="J2105" s="7" t="n">
        <v>9.8</v>
      </c>
      <c r="K2105" s="7" t="s">
        <v>2260</v>
      </c>
      <c r="L2105" s="7" t="s">
        <v>20</v>
      </c>
      <c r="M2105" s="7" t="s">
        <v>2524</v>
      </c>
      <c r="N2105" s="7" t="s">
        <v>58</v>
      </c>
      <c r="O2105" s="10" t="n">
        <f aca="false">'Exec Summary'!$E$2-H2105</f>
        <v>14</v>
      </c>
      <c r="P2105" s="10" t="str">
        <f aca="false">IF(I2105="","",I2105-H2105)</f>
        <v/>
      </c>
      <c r="Q2105" s="10" t="n">
        <f aca="false">VLOOKUP(G2105,$AA$2:$AB$5,2,FALSE())</f>
        <v>15</v>
      </c>
      <c r="R2105" s="7" t="n">
        <f aca="false">IF(OR(F2105="Open",F2105="Reopened"),1,0)</f>
        <v>1</v>
      </c>
      <c r="S2105" s="7" t="n">
        <f aca="false">IF(AND(H2105&gt;='Exec Summary'!$E$1,H2105&lt;='Exec Summary'!$E$2),1,0)</f>
        <v>1</v>
      </c>
      <c r="T2105" s="7" t="n">
        <f aca="false">IF(AND(F2105="Closed",I2105&lt;&gt;"",I2105&gt;='Exec Summary'!$E$1,I2105&lt;='Exec Summary'!$E$2),1,0)</f>
        <v>0</v>
      </c>
      <c r="U2105" s="7" t="n">
        <f aca="false">IF(F2105="Reopened",1,0)</f>
        <v>0</v>
      </c>
      <c r="V2105" s="7" t="n">
        <f aca="false">IF(AND(R2105=1,O2105&gt;Q2105),1,0)</f>
        <v>0</v>
      </c>
      <c r="W2105" s="7" t="n">
        <f aca="false">IF(AND(T2105=1,P2105&lt;&gt;"",P2105&lt;=Q2105),1,0)</f>
        <v>0</v>
      </c>
    </row>
    <row r="2106" customFormat="false" ht="15" hidden="false" customHeight="false" outlineLevel="0" collapsed="false">
      <c r="A2106" s="7" t="s">
        <v>2523</v>
      </c>
      <c r="B2106" s="7" t="s">
        <v>46</v>
      </c>
      <c r="C2106" s="7" t="s">
        <v>177</v>
      </c>
      <c r="D2106" s="7" t="s">
        <v>112</v>
      </c>
      <c r="E2106" s="7" t="s">
        <v>113</v>
      </c>
      <c r="F2106" s="7" t="s">
        <v>56</v>
      </c>
      <c r="G2106" s="7" t="s">
        <v>20</v>
      </c>
      <c r="H2106" s="9" t="n">
        <v>46027</v>
      </c>
      <c r="I2106" s="9"/>
      <c r="J2106" s="7" t="n">
        <v>7.8</v>
      </c>
      <c r="K2106" s="7" t="s">
        <v>2260</v>
      </c>
      <c r="L2106" s="7" t="s">
        <v>20</v>
      </c>
      <c r="M2106" s="7" t="s">
        <v>2525</v>
      </c>
      <c r="N2106" s="7" t="s">
        <v>53</v>
      </c>
      <c r="O2106" s="10" t="n">
        <f aca="false">'Exec Summary'!$E$2-H2106</f>
        <v>207</v>
      </c>
      <c r="P2106" s="10" t="str">
        <f aca="false">IF(I2106="","",I2106-H2106)</f>
        <v/>
      </c>
      <c r="Q2106" s="10" t="n">
        <f aca="false">VLOOKUP(G2106,$AA$2:$AB$5,2,FALSE())</f>
        <v>30</v>
      </c>
      <c r="R2106" s="7" t="n">
        <f aca="false">IF(OR(F2106="Open",F2106="Reopened"),1,0)</f>
        <v>1</v>
      </c>
      <c r="S2106" s="7" t="n">
        <f aca="false">IF(AND(H2106&gt;='Exec Summary'!$E$1,H2106&lt;='Exec Summary'!$E$2),1,0)</f>
        <v>0</v>
      </c>
      <c r="T2106" s="7" t="n">
        <f aca="false">IF(AND(F2106="Closed",I2106&lt;&gt;"",I2106&gt;='Exec Summary'!$E$1,I2106&lt;='Exec Summary'!$E$2),1,0)</f>
        <v>0</v>
      </c>
      <c r="U2106" s="7" t="n">
        <f aca="false">IF(F2106="Reopened",1,0)</f>
        <v>0</v>
      </c>
      <c r="V2106" s="7" t="n">
        <f aca="false">IF(AND(R2106=1,O2106&gt;Q2106),1,0)</f>
        <v>1</v>
      </c>
      <c r="W2106" s="7" t="n">
        <f aca="false">IF(AND(T2106=1,P2106&lt;&gt;"",P2106&lt;=Q2106),1,0)</f>
        <v>0</v>
      </c>
    </row>
    <row r="2107" customFormat="false" ht="15" hidden="false" customHeight="false" outlineLevel="0" collapsed="false">
      <c r="A2107" s="7" t="s">
        <v>2523</v>
      </c>
      <c r="B2107" s="7" t="s">
        <v>46</v>
      </c>
      <c r="C2107" s="7" t="s">
        <v>177</v>
      </c>
      <c r="D2107" s="7" t="s">
        <v>210</v>
      </c>
      <c r="E2107" s="7" t="s">
        <v>211</v>
      </c>
      <c r="F2107" s="7" t="s">
        <v>50</v>
      </c>
      <c r="G2107" s="7" t="s">
        <v>19</v>
      </c>
      <c r="H2107" s="9" t="n">
        <v>46215</v>
      </c>
      <c r="I2107" s="9" t="n">
        <v>46223</v>
      </c>
      <c r="J2107" s="7" t="n">
        <v>9.8</v>
      </c>
      <c r="K2107" s="7" t="s">
        <v>2260</v>
      </c>
      <c r="L2107" s="7" t="s">
        <v>20</v>
      </c>
      <c r="M2107" s="7" t="s">
        <v>2526</v>
      </c>
      <c r="N2107" s="7" t="s">
        <v>58</v>
      </c>
      <c r="O2107" s="10" t="n">
        <f aca="false">'Exec Summary'!$E$2-H2107</f>
        <v>19</v>
      </c>
      <c r="P2107" s="10" t="n">
        <f aca="false">IF(I2107="","",I2107-H2107)</f>
        <v>8</v>
      </c>
      <c r="Q2107" s="10" t="n">
        <f aca="false">VLOOKUP(G2107,$AA$2:$AB$5,2,FALSE())</f>
        <v>15</v>
      </c>
      <c r="R2107" s="7" t="n">
        <f aca="false">IF(OR(F2107="Open",F2107="Reopened"),1,0)</f>
        <v>0</v>
      </c>
      <c r="S2107" s="7" t="n">
        <f aca="false">IF(AND(H2107&gt;='Exec Summary'!$E$1,H2107&lt;='Exec Summary'!$E$2),1,0)</f>
        <v>1</v>
      </c>
      <c r="T2107" s="7" t="n">
        <f aca="false">IF(AND(F2107="Closed",I2107&lt;&gt;"",I2107&gt;='Exec Summary'!$E$1,I2107&lt;='Exec Summary'!$E$2),1,0)</f>
        <v>1</v>
      </c>
      <c r="U2107" s="7" t="n">
        <f aca="false">IF(F2107="Reopened",1,0)</f>
        <v>0</v>
      </c>
      <c r="V2107" s="7" t="n">
        <f aca="false">IF(AND(R2107=1,O2107&gt;Q2107),1,0)</f>
        <v>0</v>
      </c>
      <c r="W2107" s="7" t="n">
        <f aca="false">IF(AND(T2107=1,P2107&lt;&gt;"",P2107&lt;=Q2107),1,0)</f>
        <v>1</v>
      </c>
    </row>
    <row r="2108" customFormat="false" ht="15" hidden="false" customHeight="false" outlineLevel="0" collapsed="false">
      <c r="A2108" s="7" t="s">
        <v>2523</v>
      </c>
      <c r="B2108" s="7" t="s">
        <v>46</v>
      </c>
      <c r="C2108" s="7" t="s">
        <v>177</v>
      </c>
      <c r="D2108" s="7" t="s">
        <v>62</v>
      </c>
      <c r="E2108" s="7" t="s">
        <v>63</v>
      </c>
      <c r="F2108" s="7" t="s">
        <v>50</v>
      </c>
      <c r="G2108" s="7" t="s">
        <v>20</v>
      </c>
      <c r="H2108" s="9" t="n">
        <v>45950</v>
      </c>
      <c r="I2108" s="9" t="n">
        <v>45960</v>
      </c>
      <c r="J2108" s="7" t="n">
        <v>8.1</v>
      </c>
      <c r="K2108" s="7" t="s">
        <v>2260</v>
      </c>
      <c r="L2108" s="7" t="s">
        <v>20</v>
      </c>
      <c r="M2108" s="7" t="s">
        <v>2527</v>
      </c>
      <c r="N2108" s="7" t="s">
        <v>53</v>
      </c>
      <c r="O2108" s="10" t="n">
        <f aca="false">'Exec Summary'!$E$2-H2108</f>
        <v>284</v>
      </c>
      <c r="P2108" s="10" t="n">
        <f aca="false">IF(I2108="","",I2108-H2108)</f>
        <v>10</v>
      </c>
      <c r="Q2108" s="10" t="n">
        <f aca="false">VLOOKUP(G2108,$AA$2:$AB$5,2,FALSE())</f>
        <v>30</v>
      </c>
      <c r="R2108" s="7" t="n">
        <f aca="false">IF(OR(F2108="Open",F2108="Reopened"),1,0)</f>
        <v>0</v>
      </c>
      <c r="S2108" s="7" t="n">
        <f aca="false">IF(AND(H2108&gt;='Exec Summary'!$E$1,H2108&lt;='Exec Summary'!$E$2),1,0)</f>
        <v>0</v>
      </c>
      <c r="T2108" s="7" t="n">
        <f aca="false">IF(AND(F2108="Closed",I2108&lt;&gt;"",I2108&gt;='Exec Summary'!$E$1,I2108&lt;='Exec Summary'!$E$2),1,0)</f>
        <v>0</v>
      </c>
      <c r="U2108" s="7" t="n">
        <f aca="false">IF(F2108="Reopened",1,0)</f>
        <v>0</v>
      </c>
      <c r="V2108" s="7" t="n">
        <f aca="false">IF(AND(R2108=1,O2108&gt;Q2108),1,0)</f>
        <v>0</v>
      </c>
      <c r="W2108" s="7" t="n">
        <f aca="false">IF(AND(T2108=1,P2108&lt;&gt;"",P2108&lt;=Q2108),1,0)</f>
        <v>0</v>
      </c>
    </row>
    <row r="2109" customFormat="false" ht="15" hidden="false" customHeight="false" outlineLevel="0" collapsed="false">
      <c r="A2109" s="7" t="s">
        <v>2528</v>
      </c>
      <c r="B2109" s="7" t="s">
        <v>46</v>
      </c>
      <c r="C2109" s="7" t="s">
        <v>177</v>
      </c>
      <c r="D2109" s="7" t="s">
        <v>192</v>
      </c>
      <c r="E2109" s="7" t="s">
        <v>193</v>
      </c>
      <c r="F2109" s="7" t="s">
        <v>50</v>
      </c>
      <c r="G2109" s="7" t="s">
        <v>19</v>
      </c>
      <c r="H2109" s="9" t="n">
        <v>46066</v>
      </c>
      <c r="I2109" s="9" t="n">
        <v>46069</v>
      </c>
      <c r="J2109" s="7" t="n">
        <v>9.8</v>
      </c>
      <c r="K2109" s="7" t="s">
        <v>2260</v>
      </c>
      <c r="L2109" s="7" t="s">
        <v>20</v>
      </c>
      <c r="M2109" s="7" t="s">
        <v>2529</v>
      </c>
      <c r="N2109" s="7" t="s">
        <v>58</v>
      </c>
      <c r="O2109" s="10" t="n">
        <f aca="false">'Exec Summary'!$E$2-H2109</f>
        <v>168</v>
      </c>
      <c r="P2109" s="10" t="n">
        <f aca="false">IF(I2109="","",I2109-H2109)</f>
        <v>3</v>
      </c>
      <c r="Q2109" s="10" t="n">
        <f aca="false">VLOOKUP(G2109,$AA$2:$AB$5,2,FALSE())</f>
        <v>15</v>
      </c>
      <c r="R2109" s="7" t="n">
        <f aca="false">IF(OR(F2109="Open",F2109="Reopened"),1,0)</f>
        <v>0</v>
      </c>
      <c r="S2109" s="7" t="n">
        <f aca="false">IF(AND(H2109&gt;='Exec Summary'!$E$1,H2109&lt;='Exec Summary'!$E$2),1,0)</f>
        <v>0</v>
      </c>
      <c r="T2109" s="7" t="n">
        <f aca="false">IF(AND(F2109="Closed",I2109&lt;&gt;"",I2109&gt;='Exec Summary'!$E$1,I2109&lt;='Exec Summary'!$E$2),1,0)</f>
        <v>0</v>
      </c>
      <c r="U2109" s="7" t="n">
        <f aca="false">IF(F2109="Reopened",1,0)</f>
        <v>0</v>
      </c>
      <c r="V2109" s="7" t="n">
        <f aca="false">IF(AND(R2109=1,O2109&gt;Q2109),1,0)</f>
        <v>0</v>
      </c>
      <c r="W2109" s="7" t="n">
        <f aca="false">IF(AND(T2109=1,P2109&lt;&gt;"",P2109&lt;=Q2109),1,0)</f>
        <v>0</v>
      </c>
    </row>
    <row r="2110" customFormat="false" ht="15" hidden="false" customHeight="false" outlineLevel="0" collapsed="false">
      <c r="A2110" s="7" t="s">
        <v>2528</v>
      </c>
      <c r="B2110" s="7" t="s">
        <v>46</v>
      </c>
      <c r="C2110" s="7" t="s">
        <v>177</v>
      </c>
      <c r="D2110" s="7" t="s">
        <v>120</v>
      </c>
      <c r="E2110" s="7" t="s">
        <v>121</v>
      </c>
      <c r="F2110" s="7" t="s">
        <v>56</v>
      </c>
      <c r="G2110" s="7" t="s">
        <v>19</v>
      </c>
      <c r="H2110" s="9" t="n">
        <v>46160</v>
      </c>
      <c r="I2110" s="9"/>
      <c r="J2110" s="7" t="n">
        <v>8.8</v>
      </c>
      <c r="K2110" s="7" t="s">
        <v>2260</v>
      </c>
      <c r="L2110" s="7" t="s">
        <v>20</v>
      </c>
      <c r="M2110" s="7" t="s">
        <v>2530</v>
      </c>
      <c r="N2110" s="7" t="s">
        <v>58</v>
      </c>
      <c r="O2110" s="10" t="n">
        <f aca="false">'Exec Summary'!$E$2-H2110</f>
        <v>74</v>
      </c>
      <c r="P2110" s="10" t="str">
        <f aca="false">IF(I2110="","",I2110-H2110)</f>
        <v/>
      </c>
      <c r="Q2110" s="10" t="n">
        <f aca="false">VLOOKUP(G2110,$AA$2:$AB$5,2,FALSE())</f>
        <v>15</v>
      </c>
      <c r="R2110" s="7" t="n">
        <f aca="false">IF(OR(F2110="Open",F2110="Reopened"),1,0)</f>
        <v>1</v>
      </c>
      <c r="S2110" s="7" t="n">
        <f aca="false">IF(AND(H2110&gt;='Exec Summary'!$E$1,H2110&lt;='Exec Summary'!$E$2),1,0)</f>
        <v>0</v>
      </c>
      <c r="T2110" s="7" t="n">
        <f aca="false">IF(AND(F2110="Closed",I2110&lt;&gt;"",I2110&gt;='Exec Summary'!$E$1,I2110&lt;='Exec Summary'!$E$2),1,0)</f>
        <v>0</v>
      </c>
      <c r="U2110" s="7" t="n">
        <f aca="false">IF(F2110="Reopened",1,0)</f>
        <v>0</v>
      </c>
      <c r="V2110" s="7" t="n">
        <f aca="false">IF(AND(R2110=1,O2110&gt;Q2110),1,0)</f>
        <v>1</v>
      </c>
      <c r="W2110" s="7" t="n">
        <f aca="false">IF(AND(T2110=1,P2110&lt;&gt;"",P2110&lt;=Q2110),1,0)</f>
        <v>0</v>
      </c>
    </row>
    <row r="2111" customFormat="false" ht="15" hidden="false" customHeight="false" outlineLevel="0" collapsed="false">
      <c r="A2111" s="7" t="s">
        <v>2528</v>
      </c>
      <c r="B2111" s="7" t="s">
        <v>46</v>
      </c>
      <c r="C2111" s="7" t="s">
        <v>177</v>
      </c>
      <c r="D2111" s="7" t="s">
        <v>145</v>
      </c>
      <c r="E2111" s="7" t="s">
        <v>146</v>
      </c>
      <c r="F2111" s="7" t="s">
        <v>50</v>
      </c>
      <c r="G2111" s="7" t="s">
        <v>19</v>
      </c>
      <c r="H2111" s="9" t="n">
        <v>45967</v>
      </c>
      <c r="I2111" s="9" t="n">
        <v>45976</v>
      </c>
      <c r="J2111" s="7" t="n">
        <v>9.8</v>
      </c>
      <c r="K2111" s="7" t="s">
        <v>2260</v>
      </c>
      <c r="L2111" s="7" t="s">
        <v>20</v>
      </c>
      <c r="M2111" s="7" t="s">
        <v>2531</v>
      </c>
      <c r="N2111" s="7" t="s">
        <v>58</v>
      </c>
      <c r="O2111" s="10" t="n">
        <f aca="false">'Exec Summary'!$E$2-H2111</f>
        <v>267</v>
      </c>
      <c r="P2111" s="10" t="n">
        <f aca="false">IF(I2111="","",I2111-H2111)</f>
        <v>9</v>
      </c>
      <c r="Q2111" s="10" t="n">
        <f aca="false">VLOOKUP(G2111,$AA$2:$AB$5,2,FALSE())</f>
        <v>15</v>
      </c>
      <c r="R2111" s="7" t="n">
        <f aca="false">IF(OR(F2111="Open",F2111="Reopened"),1,0)</f>
        <v>0</v>
      </c>
      <c r="S2111" s="7" t="n">
        <f aca="false">IF(AND(H2111&gt;='Exec Summary'!$E$1,H2111&lt;='Exec Summary'!$E$2),1,0)</f>
        <v>0</v>
      </c>
      <c r="T2111" s="7" t="n">
        <f aca="false">IF(AND(F2111="Closed",I2111&lt;&gt;"",I2111&gt;='Exec Summary'!$E$1,I2111&lt;='Exec Summary'!$E$2),1,0)</f>
        <v>0</v>
      </c>
      <c r="U2111" s="7" t="n">
        <f aca="false">IF(F2111="Reopened",1,0)</f>
        <v>0</v>
      </c>
      <c r="V2111" s="7" t="n">
        <f aca="false">IF(AND(R2111=1,O2111&gt;Q2111),1,0)</f>
        <v>0</v>
      </c>
      <c r="W2111" s="7" t="n">
        <f aca="false">IF(AND(T2111=1,P2111&lt;&gt;"",P2111&lt;=Q2111),1,0)</f>
        <v>0</v>
      </c>
    </row>
    <row r="2112" customFormat="false" ht="15" hidden="false" customHeight="false" outlineLevel="0" collapsed="false">
      <c r="A2112" s="7" t="s">
        <v>2528</v>
      </c>
      <c r="B2112" s="7" t="s">
        <v>46</v>
      </c>
      <c r="C2112" s="7" t="s">
        <v>177</v>
      </c>
      <c r="D2112" s="7" t="s">
        <v>65</v>
      </c>
      <c r="E2112" s="7" t="s">
        <v>66</v>
      </c>
      <c r="F2112" s="7" t="s">
        <v>123</v>
      </c>
      <c r="G2112" s="7" t="s">
        <v>19</v>
      </c>
      <c r="H2112" s="9" t="n">
        <v>46006</v>
      </c>
      <c r="I2112" s="9" t="n">
        <v>46012</v>
      </c>
      <c r="J2112" s="7" t="n">
        <v>9.8</v>
      </c>
      <c r="K2112" s="7" t="s">
        <v>2260</v>
      </c>
      <c r="L2112" s="7" t="s">
        <v>20</v>
      </c>
      <c r="M2112" s="7" t="s">
        <v>2532</v>
      </c>
      <c r="N2112" s="7" t="s">
        <v>58</v>
      </c>
      <c r="O2112" s="10" t="n">
        <f aca="false">'Exec Summary'!$E$2-H2112</f>
        <v>228</v>
      </c>
      <c r="P2112" s="10" t="n">
        <f aca="false">IF(I2112="","",I2112-H2112)</f>
        <v>6</v>
      </c>
      <c r="Q2112" s="10" t="n">
        <f aca="false">VLOOKUP(G2112,$AA$2:$AB$5,2,FALSE())</f>
        <v>15</v>
      </c>
      <c r="R2112" s="7" t="n">
        <f aca="false">IF(OR(F2112="Open",F2112="Reopened"),1,0)</f>
        <v>1</v>
      </c>
      <c r="S2112" s="7" t="n">
        <f aca="false">IF(AND(H2112&gt;='Exec Summary'!$E$1,H2112&lt;='Exec Summary'!$E$2),1,0)</f>
        <v>0</v>
      </c>
      <c r="T2112" s="7" t="n">
        <f aca="false">IF(AND(F2112="Closed",I2112&lt;&gt;"",I2112&gt;='Exec Summary'!$E$1,I2112&lt;='Exec Summary'!$E$2),1,0)</f>
        <v>0</v>
      </c>
      <c r="U2112" s="7" t="n">
        <f aca="false">IF(F2112="Reopened",1,0)</f>
        <v>1</v>
      </c>
      <c r="V2112" s="7" t="n">
        <f aca="false">IF(AND(R2112=1,O2112&gt;Q2112),1,0)</f>
        <v>1</v>
      </c>
      <c r="W2112" s="7" t="n">
        <f aca="false">IF(AND(T2112=1,P2112&lt;&gt;"",P2112&lt;=Q2112),1,0)</f>
        <v>0</v>
      </c>
    </row>
    <row r="2113" customFormat="false" ht="15" hidden="false" customHeight="false" outlineLevel="0" collapsed="false">
      <c r="A2113" s="7" t="s">
        <v>2528</v>
      </c>
      <c r="B2113" s="7" t="s">
        <v>46</v>
      </c>
      <c r="C2113" s="7" t="s">
        <v>177</v>
      </c>
      <c r="D2113" s="7" t="s">
        <v>117</v>
      </c>
      <c r="E2113" s="7" t="s">
        <v>118</v>
      </c>
      <c r="F2113" s="7" t="s">
        <v>56</v>
      </c>
      <c r="G2113" s="7" t="s">
        <v>19</v>
      </c>
      <c r="H2113" s="9" t="n">
        <v>46142</v>
      </c>
      <c r="I2113" s="9"/>
      <c r="J2113" s="7" t="n">
        <v>10</v>
      </c>
      <c r="K2113" s="7" t="s">
        <v>2260</v>
      </c>
      <c r="L2113" s="7" t="s">
        <v>20</v>
      </c>
      <c r="M2113" s="7" t="s">
        <v>2533</v>
      </c>
      <c r="N2113" s="7" t="s">
        <v>58</v>
      </c>
      <c r="O2113" s="10" t="n">
        <f aca="false">'Exec Summary'!$E$2-H2113</f>
        <v>92</v>
      </c>
      <c r="P2113" s="10" t="str">
        <f aca="false">IF(I2113="","",I2113-H2113)</f>
        <v/>
      </c>
      <c r="Q2113" s="10" t="n">
        <f aca="false">VLOOKUP(G2113,$AA$2:$AB$5,2,FALSE())</f>
        <v>15</v>
      </c>
      <c r="R2113" s="7" t="n">
        <f aca="false">IF(OR(F2113="Open",F2113="Reopened"),1,0)</f>
        <v>1</v>
      </c>
      <c r="S2113" s="7" t="n">
        <f aca="false">IF(AND(H2113&gt;='Exec Summary'!$E$1,H2113&lt;='Exec Summary'!$E$2),1,0)</f>
        <v>0</v>
      </c>
      <c r="T2113" s="7" t="n">
        <f aca="false">IF(AND(F2113="Closed",I2113&lt;&gt;"",I2113&gt;='Exec Summary'!$E$1,I2113&lt;='Exec Summary'!$E$2),1,0)</f>
        <v>0</v>
      </c>
      <c r="U2113" s="7" t="n">
        <f aca="false">IF(F2113="Reopened",1,0)</f>
        <v>0</v>
      </c>
      <c r="V2113" s="7" t="n">
        <f aca="false">IF(AND(R2113=1,O2113&gt;Q2113),1,0)</f>
        <v>1</v>
      </c>
      <c r="W2113" s="7" t="n">
        <f aca="false">IF(AND(T2113=1,P2113&lt;&gt;"",P2113&lt;=Q2113),1,0)</f>
        <v>0</v>
      </c>
    </row>
    <row r="2114" customFormat="false" ht="15" hidden="false" customHeight="false" outlineLevel="0" collapsed="false">
      <c r="A2114" s="7" t="s">
        <v>2528</v>
      </c>
      <c r="B2114" s="7" t="s">
        <v>46</v>
      </c>
      <c r="C2114" s="7" t="s">
        <v>177</v>
      </c>
      <c r="D2114" s="7" t="s">
        <v>152</v>
      </c>
      <c r="E2114" s="7" t="s">
        <v>153</v>
      </c>
      <c r="F2114" s="7" t="s">
        <v>50</v>
      </c>
      <c r="G2114" s="7" t="s">
        <v>20</v>
      </c>
      <c r="H2114" s="9" t="n">
        <v>46132</v>
      </c>
      <c r="I2114" s="9" t="n">
        <v>46152</v>
      </c>
      <c r="J2114" s="7" t="n">
        <v>7.5</v>
      </c>
      <c r="K2114" s="7" t="s">
        <v>2260</v>
      </c>
      <c r="L2114" s="7" t="s">
        <v>20</v>
      </c>
      <c r="M2114" s="7" t="s">
        <v>2534</v>
      </c>
      <c r="N2114" s="7" t="s">
        <v>53</v>
      </c>
      <c r="O2114" s="10" t="n">
        <f aca="false">'Exec Summary'!$E$2-H2114</f>
        <v>102</v>
      </c>
      <c r="P2114" s="10" t="n">
        <f aca="false">IF(I2114="","",I2114-H2114)</f>
        <v>20</v>
      </c>
      <c r="Q2114" s="10" t="n">
        <f aca="false">VLOOKUP(G2114,$AA$2:$AB$5,2,FALSE())</f>
        <v>30</v>
      </c>
      <c r="R2114" s="7" t="n">
        <f aca="false">IF(OR(F2114="Open",F2114="Reopened"),1,0)</f>
        <v>0</v>
      </c>
      <c r="S2114" s="7" t="n">
        <f aca="false">IF(AND(H2114&gt;='Exec Summary'!$E$1,H2114&lt;='Exec Summary'!$E$2),1,0)</f>
        <v>0</v>
      </c>
      <c r="T2114" s="7" t="n">
        <f aca="false">IF(AND(F2114="Closed",I2114&lt;&gt;"",I2114&gt;='Exec Summary'!$E$1,I2114&lt;='Exec Summary'!$E$2),1,0)</f>
        <v>0</v>
      </c>
      <c r="U2114" s="7" t="n">
        <f aca="false">IF(F2114="Reopened",1,0)</f>
        <v>0</v>
      </c>
      <c r="V2114" s="7" t="n">
        <f aca="false">IF(AND(R2114=1,O2114&gt;Q2114),1,0)</f>
        <v>0</v>
      </c>
      <c r="W2114" s="7" t="n">
        <f aca="false">IF(AND(T2114=1,P2114&lt;&gt;"",P2114&lt;=Q2114),1,0)</f>
        <v>0</v>
      </c>
    </row>
    <row r="2115" customFormat="false" ht="15" hidden="false" customHeight="false" outlineLevel="0" collapsed="false">
      <c r="A2115" s="7" t="s">
        <v>2528</v>
      </c>
      <c r="B2115" s="7" t="s">
        <v>46</v>
      </c>
      <c r="C2115" s="7" t="s">
        <v>177</v>
      </c>
      <c r="D2115" s="7" t="s">
        <v>81</v>
      </c>
      <c r="E2115" s="7" t="s">
        <v>82</v>
      </c>
      <c r="F2115" s="7" t="s">
        <v>56</v>
      </c>
      <c r="G2115" s="7" t="s">
        <v>20</v>
      </c>
      <c r="H2115" s="9" t="n">
        <v>46201</v>
      </c>
      <c r="I2115" s="9"/>
      <c r="J2115" s="7" t="n">
        <v>7.8</v>
      </c>
      <c r="K2115" s="7" t="s">
        <v>2260</v>
      </c>
      <c r="L2115" s="7" t="s">
        <v>20</v>
      </c>
      <c r="M2115" s="7" t="s">
        <v>2535</v>
      </c>
      <c r="N2115" s="7" t="s">
        <v>53</v>
      </c>
      <c r="O2115" s="10" t="n">
        <f aca="false">'Exec Summary'!$E$2-H2115</f>
        <v>33</v>
      </c>
      <c r="P2115" s="10" t="str">
        <f aca="false">IF(I2115="","",I2115-H2115)</f>
        <v/>
      </c>
      <c r="Q2115" s="10" t="n">
        <f aca="false">VLOOKUP(G2115,$AA$2:$AB$5,2,FALSE())</f>
        <v>30</v>
      </c>
      <c r="R2115" s="7" t="n">
        <f aca="false">IF(OR(F2115="Open",F2115="Reopened"),1,0)</f>
        <v>1</v>
      </c>
      <c r="S2115" s="7" t="n">
        <f aca="false">IF(AND(H2115&gt;='Exec Summary'!$E$1,H2115&lt;='Exec Summary'!$E$2),1,0)</f>
        <v>0</v>
      </c>
      <c r="T2115" s="7" t="n">
        <f aca="false">IF(AND(F2115="Closed",I2115&lt;&gt;"",I2115&gt;='Exec Summary'!$E$1,I2115&lt;='Exec Summary'!$E$2),1,0)</f>
        <v>0</v>
      </c>
      <c r="U2115" s="7" t="n">
        <f aca="false">IF(F2115="Reopened",1,0)</f>
        <v>0</v>
      </c>
      <c r="V2115" s="7" t="n">
        <f aca="false">IF(AND(R2115=1,O2115&gt;Q2115),1,0)</f>
        <v>1</v>
      </c>
      <c r="W2115" s="7" t="n">
        <f aca="false">IF(AND(T2115=1,P2115&lt;&gt;"",P2115&lt;=Q2115),1,0)</f>
        <v>0</v>
      </c>
    </row>
    <row r="2116" customFormat="false" ht="15" hidden="false" customHeight="false" outlineLevel="0" collapsed="false">
      <c r="A2116" s="7" t="s">
        <v>2528</v>
      </c>
      <c r="B2116" s="7" t="s">
        <v>46</v>
      </c>
      <c r="C2116" s="7" t="s">
        <v>177</v>
      </c>
      <c r="D2116" s="7" t="s">
        <v>91</v>
      </c>
      <c r="E2116" s="7" t="s">
        <v>92</v>
      </c>
      <c r="F2116" s="7" t="s">
        <v>56</v>
      </c>
      <c r="G2116" s="7" t="s">
        <v>20</v>
      </c>
      <c r="H2116" s="9" t="n">
        <v>46078</v>
      </c>
      <c r="I2116" s="9"/>
      <c r="J2116" s="7" t="n">
        <v>8.1</v>
      </c>
      <c r="K2116" s="7" t="s">
        <v>2260</v>
      </c>
      <c r="L2116" s="7" t="s">
        <v>20</v>
      </c>
      <c r="M2116" s="7" t="s">
        <v>2536</v>
      </c>
      <c r="N2116" s="7" t="s">
        <v>53</v>
      </c>
      <c r="O2116" s="10" t="n">
        <f aca="false">'Exec Summary'!$E$2-H2116</f>
        <v>156</v>
      </c>
      <c r="P2116" s="10" t="str">
        <f aca="false">IF(I2116="","",I2116-H2116)</f>
        <v/>
      </c>
      <c r="Q2116" s="10" t="n">
        <f aca="false">VLOOKUP(G2116,$AA$2:$AB$5,2,FALSE())</f>
        <v>30</v>
      </c>
      <c r="R2116" s="7" t="n">
        <f aca="false">IF(OR(F2116="Open",F2116="Reopened"),1,0)</f>
        <v>1</v>
      </c>
      <c r="S2116" s="7" t="n">
        <f aca="false">IF(AND(H2116&gt;='Exec Summary'!$E$1,H2116&lt;='Exec Summary'!$E$2),1,0)</f>
        <v>0</v>
      </c>
      <c r="T2116" s="7" t="n">
        <f aca="false">IF(AND(F2116="Closed",I2116&lt;&gt;"",I2116&gt;='Exec Summary'!$E$1,I2116&lt;='Exec Summary'!$E$2),1,0)</f>
        <v>0</v>
      </c>
      <c r="U2116" s="7" t="n">
        <f aca="false">IF(F2116="Reopened",1,0)</f>
        <v>0</v>
      </c>
      <c r="V2116" s="7" t="n">
        <f aca="false">IF(AND(R2116=1,O2116&gt;Q2116),1,0)</f>
        <v>1</v>
      </c>
      <c r="W2116" s="7" t="n">
        <f aca="false">IF(AND(T2116=1,P2116&lt;&gt;"",P2116&lt;=Q2116),1,0)</f>
        <v>0</v>
      </c>
    </row>
    <row r="2117" customFormat="false" ht="15" hidden="false" customHeight="false" outlineLevel="0" collapsed="false">
      <c r="A2117" s="7" t="s">
        <v>2528</v>
      </c>
      <c r="B2117" s="7" t="s">
        <v>46</v>
      </c>
      <c r="C2117" s="7" t="s">
        <v>177</v>
      </c>
      <c r="D2117" s="7" t="s">
        <v>166</v>
      </c>
      <c r="E2117" s="7" t="s">
        <v>167</v>
      </c>
      <c r="F2117" s="7" t="s">
        <v>56</v>
      </c>
      <c r="G2117" s="7" t="s">
        <v>19</v>
      </c>
      <c r="H2117" s="9" t="n">
        <v>46209</v>
      </c>
      <c r="I2117" s="9"/>
      <c r="J2117" s="7" t="n">
        <v>9.8</v>
      </c>
      <c r="K2117" s="7" t="s">
        <v>2260</v>
      </c>
      <c r="L2117" s="7" t="s">
        <v>20</v>
      </c>
      <c r="M2117" s="7" t="s">
        <v>2537</v>
      </c>
      <c r="N2117" s="7" t="s">
        <v>58</v>
      </c>
      <c r="O2117" s="10" t="n">
        <f aca="false">'Exec Summary'!$E$2-H2117</f>
        <v>25</v>
      </c>
      <c r="P2117" s="10" t="str">
        <f aca="false">IF(I2117="","",I2117-H2117)</f>
        <v/>
      </c>
      <c r="Q2117" s="10" t="n">
        <f aca="false">VLOOKUP(G2117,$AA$2:$AB$5,2,FALSE())</f>
        <v>15</v>
      </c>
      <c r="R2117" s="7" t="n">
        <f aca="false">IF(OR(F2117="Open",F2117="Reopened"),1,0)</f>
        <v>1</v>
      </c>
      <c r="S2117" s="7" t="n">
        <f aca="false">IF(AND(H2117&gt;='Exec Summary'!$E$1,H2117&lt;='Exec Summary'!$E$2),1,0)</f>
        <v>1</v>
      </c>
      <c r="T2117" s="7" t="n">
        <f aca="false">IF(AND(F2117="Closed",I2117&lt;&gt;"",I2117&gt;='Exec Summary'!$E$1,I2117&lt;='Exec Summary'!$E$2),1,0)</f>
        <v>0</v>
      </c>
      <c r="U2117" s="7" t="n">
        <f aca="false">IF(F2117="Reopened",1,0)</f>
        <v>0</v>
      </c>
      <c r="V2117" s="7" t="n">
        <f aca="false">IF(AND(R2117=1,O2117&gt;Q2117),1,0)</f>
        <v>1</v>
      </c>
      <c r="W2117" s="7" t="n">
        <f aca="false">IF(AND(T2117=1,P2117&lt;&gt;"",P2117&lt;=Q2117),1,0)</f>
        <v>0</v>
      </c>
    </row>
    <row r="2118" customFormat="false" ht="15" hidden="false" customHeight="false" outlineLevel="0" collapsed="false">
      <c r="A2118" s="7" t="s">
        <v>2528</v>
      </c>
      <c r="B2118" s="7" t="s">
        <v>46</v>
      </c>
      <c r="C2118" s="7" t="s">
        <v>177</v>
      </c>
      <c r="D2118" s="7" t="s">
        <v>112</v>
      </c>
      <c r="E2118" s="7" t="s">
        <v>113</v>
      </c>
      <c r="F2118" s="7" t="s">
        <v>50</v>
      </c>
      <c r="G2118" s="7" t="s">
        <v>20</v>
      </c>
      <c r="H2118" s="9" t="n">
        <v>46081</v>
      </c>
      <c r="I2118" s="9" t="n">
        <v>46103</v>
      </c>
      <c r="J2118" s="7" t="n">
        <v>7.8</v>
      </c>
      <c r="K2118" s="7" t="s">
        <v>2260</v>
      </c>
      <c r="L2118" s="7" t="s">
        <v>20</v>
      </c>
      <c r="M2118" s="7" t="s">
        <v>2538</v>
      </c>
      <c r="N2118" s="7" t="s">
        <v>53</v>
      </c>
      <c r="O2118" s="10" t="n">
        <f aca="false">'Exec Summary'!$E$2-H2118</f>
        <v>153</v>
      </c>
      <c r="P2118" s="10" t="n">
        <f aca="false">IF(I2118="","",I2118-H2118)</f>
        <v>22</v>
      </c>
      <c r="Q2118" s="10" t="n">
        <f aca="false">VLOOKUP(G2118,$AA$2:$AB$5,2,FALSE())</f>
        <v>30</v>
      </c>
      <c r="R2118" s="7" t="n">
        <f aca="false">IF(OR(F2118="Open",F2118="Reopened"),1,0)</f>
        <v>0</v>
      </c>
      <c r="S2118" s="7" t="n">
        <f aca="false">IF(AND(H2118&gt;='Exec Summary'!$E$1,H2118&lt;='Exec Summary'!$E$2),1,0)</f>
        <v>0</v>
      </c>
      <c r="T2118" s="7" t="n">
        <f aca="false">IF(AND(F2118="Closed",I2118&lt;&gt;"",I2118&gt;='Exec Summary'!$E$1,I2118&lt;='Exec Summary'!$E$2),1,0)</f>
        <v>0</v>
      </c>
      <c r="U2118" s="7" t="n">
        <f aca="false">IF(F2118="Reopened",1,0)</f>
        <v>0</v>
      </c>
      <c r="V2118" s="7" t="n">
        <f aca="false">IF(AND(R2118=1,O2118&gt;Q2118),1,0)</f>
        <v>0</v>
      </c>
      <c r="W2118" s="7" t="n">
        <f aca="false">IF(AND(T2118=1,P2118&lt;&gt;"",P2118&lt;=Q2118),1,0)</f>
        <v>0</v>
      </c>
    </row>
    <row r="2119" customFormat="false" ht="15" hidden="false" customHeight="false" outlineLevel="0" collapsed="false">
      <c r="A2119" s="7" t="s">
        <v>2539</v>
      </c>
      <c r="B2119" s="7" t="s">
        <v>46</v>
      </c>
      <c r="C2119" s="7" t="s">
        <v>158</v>
      </c>
      <c r="D2119" s="7" t="s">
        <v>120</v>
      </c>
      <c r="E2119" s="7" t="s">
        <v>121</v>
      </c>
      <c r="F2119" s="7" t="s">
        <v>56</v>
      </c>
      <c r="G2119" s="7" t="s">
        <v>19</v>
      </c>
      <c r="H2119" s="9" t="n">
        <v>46120</v>
      </c>
      <c r="I2119" s="9"/>
      <c r="J2119" s="7" t="n">
        <v>8.8</v>
      </c>
      <c r="K2119" s="7" t="s">
        <v>2260</v>
      </c>
      <c r="L2119" s="7" t="s">
        <v>20</v>
      </c>
      <c r="M2119" s="7" t="s">
        <v>2540</v>
      </c>
      <c r="N2119" s="7" t="s">
        <v>58</v>
      </c>
      <c r="O2119" s="10" t="n">
        <f aca="false">'Exec Summary'!$E$2-H2119</f>
        <v>114</v>
      </c>
      <c r="P2119" s="10" t="str">
        <f aca="false">IF(I2119="","",I2119-H2119)</f>
        <v/>
      </c>
      <c r="Q2119" s="10" t="n">
        <f aca="false">VLOOKUP(G2119,$AA$2:$AB$5,2,FALSE())</f>
        <v>15</v>
      </c>
      <c r="R2119" s="7" t="n">
        <f aca="false">IF(OR(F2119="Open",F2119="Reopened"),1,0)</f>
        <v>1</v>
      </c>
      <c r="S2119" s="7" t="n">
        <f aca="false">IF(AND(H2119&gt;='Exec Summary'!$E$1,H2119&lt;='Exec Summary'!$E$2),1,0)</f>
        <v>0</v>
      </c>
      <c r="T2119" s="7" t="n">
        <f aca="false">IF(AND(F2119="Closed",I2119&lt;&gt;"",I2119&gt;='Exec Summary'!$E$1,I2119&lt;='Exec Summary'!$E$2),1,0)</f>
        <v>0</v>
      </c>
      <c r="U2119" s="7" t="n">
        <f aca="false">IF(F2119="Reopened",1,0)</f>
        <v>0</v>
      </c>
      <c r="V2119" s="7" t="n">
        <f aca="false">IF(AND(R2119=1,O2119&gt;Q2119),1,0)</f>
        <v>1</v>
      </c>
      <c r="W2119" s="7" t="n">
        <f aca="false">IF(AND(T2119=1,P2119&lt;&gt;"",P2119&lt;=Q2119),1,0)</f>
        <v>0</v>
      </c>
    </row>
    <row r="2120" customFormat="false" ht="15" hidden="false" customHeight="false" outlineLevel="0" collapsed="false">
      <c r="A2120" s="7" t="s">
        <v>2539</v>
      </c>
      <c r="B2120" s="7" t="s">
        <v>46</v>
      </c>
      <c r="C2120" s="7" t="s">
        <v>158</v>
      </c>
      <c r="D2120" s="7" t="s">
        <v>84</v>
      </c>
      <c r="E2120" s="7" t="s">
        <v>85</v>
      </c>
      <c r="F2120" s="7" t="s">
        <v>50</v>
      </c>
      <c r="G2120" s="7" t="s">
        <v>20</v>
      </c>
      <c r="H2120" s="9" t="n">
        <v>46082</v>
      </c>
      <c r="I2120" s="9" t="n">
        <v>46107</v>
      </c>
      <c r="J2120" s="7" t="n">
        <v>7.5</v>
      </c>
      <c r="K2120" s="7" t="s">
        <v>2260</v>
      </c>
      <c r="L2120" s="7" t="s">
        <v>20</v>
      </c>
      <c r="M2120" s="7" t="s">
        <v>2541</v>
      </c>
      <c r="N2120" s="7" t="s">
        <v>53</v>
      </c>
      <c r="O2120" s="10" t="n">
        <f aca="false">'Exec Summary'!$E$2-H2120</f>
        <v>152</v>
      </c>
      <c r="P2120" s="10" t="n">
        <f aca="false">IF(I2120="","",I2120-H2120)</f>
        <v>25</v>
      </c>
      <c r="Q2120" s="10" t="n">
        <f aca="false">VLOOKUP(G2120,$AA$2:$AB$5,2,FALSE())</f>
        <v>30</v>
      </c>
      <c r="R2120" s="7" t="n">
        <f aca="false">IF(OR(F2120="Open",F2120="Reopened"),1,0)</f>
        <v>0</v>
      </c>
      <c r="S2120" s="7" t="n">
        <f aca="false">IF(AND(H2120&gt;='Exec Summary'!$E$1,H2120&lt;='Exec Summary'!$E$2),1,0)</f>
        <v>0</v>
      </c>
      <c r="T2120" s="7" t="n">
        <f aca="false">IF(AND(F2120="Closed",I2120&lt;&gt;"",I2120&gt;='Exec Summary'!$E$1,I2120&lt;='Exec Summary'!$E$2),1,0)</f>
        <v>0</v>
      </c>
      <c r="U2120" s="7" t="n">
        <f aca="false">IF(F2120="Reopened",1,0)</f>
        <v>0</v>
      </c>
      <c r="V2120" s="7" t="n">
        <f aca="false">IF(AND(R2120=1,O2120&gt;Q2120),1,0)</f>
        <v>0</v>
      </c>
      <c r="W2120" s="7" t="n">
        <f aca="false">IF(AND(T2120=1,P2120&lt;&gt;"",P2120&lt;=Q2120),1,0)</f>
        <v>0</v>
      </c>
    </row>
    <row r="2121" customFormat="false" ht="15" hidden="false" customHeight="false" outlineLevel="0" collapsed="false">
      <c r="A2121" s="7" t="s">
        <v>2539</v>
      </c>
      <c r="B2121" s="7" t="s">
        <v>46</v>
      </c>
      <c r="C2121" s="7" t="s">
        <v>158</v>
      </c>
      <c r="D2121" s="7" t="s">
        <v>59</v>
      </c>
      <c r="E2121" s="7" t="s">
        <v>60</v>
      </c>
      <c r="F2121" s="7" t="s">
        <v>123</v>
      </c>
      <c r="G2121" s="7" t="s">
        <v>19</v>
      </c>
      <c r="H2121" s="9" t="n">
        <v>46053</v>
      </c>
      <c r="I2121" s="9" t="n">
        <v>46059</v>
      </c>
      <c r="J2121" s="7" t="n">
        <v>7.8</v>
      </c>
      <c r="K2121" s="7" t="s">
        <v>2260</v>
      </c>
      <c r="L2121" s="7" t="s">
        <v>20</v>
      </c>
      <c r="M2121" s="7" t="s">
        <v>2542</v>
      </c>
      <c r="N2121" s="7" t="s">
        <v>58</v>
      </c>
      <c r="O2121" s="10" t="n">
        <f aca="false">'Exec Summary'!$E$2-H2121</f>
        <v>181</v>
      </c>
      <c r="P2121" s="10" t="n">
        <f aca="false">IF(I2121="","",I2121-H2121)</f>
        <v>6</v>
      </c>
      <c r="Q2121" s="10" t="n">
        <f aca="false">VLOOKUP(G2121,$AA$2:$AB$5,2,FALSE())</f>
        <v>15</v>
      </c>
      <c r="R2121" s="7" t="n">
        <f aca="false">IF(OR(F2121="Open",F2121="Reopened"),1,0)</f>
        <v>1</v>
      </c>
      <c r="S2121" s="7" t="n">
        <f aca="false">IF(AND(H2121&gt;='Exec Summary'!$E$1,H2121&lt;='Exec Summary'!$E$2),1,0)</f>
        <v>0</v>
      </c>
      <c r="T2121" s="7" t="n">
        <f aca="false">IF(AND(F2121="Closed",I2121&lt;&gt;"",I2121&gt;='Exec Summary'!$E$1,I2121&lt;='Exec Summary'!$E$2),1,0)</f>
        <v>0</v>
      </c>
      <c r="U2121" s="7" t="n">
        <f aca="false">IF(F2121="Reopened",1,0)</f>
        <v>1</v>
      </c>
      <c r="V2121" s="7" t="n">
        <f aca="false">IF(AND(R2121=1,O2121&gt;Q2121),1,0)</f>
        <v>1</v>
      </c>
      <c r="W2121" s="7" t="n">
        <f aca="false">IF(AND(T2121=1,P2121&lt;&gt;"",P2121&lt;=Q2121),1,0)</f>
        <v>0</v>
      </c>
    </row>
    <row r="2122" customFormat="false" ht="15" hidden="false" customHeight="false" outlineLevel="0" collapsed="false">
      <c r="A2122" s="7" t="s">
        <v>2539</v>
      </c>
      <c r="B2122" s="7" t="s">
        <v>46</v>
      </c>
      <c r="C2122" s="7" t="s">
        <v>158</v>
      </c>
      <c r="D2122" s="7" t="s">
        <v>101</v>
      </c>
      <c r="E2122" s="7" t="s">
        <v>102</v>
      </c>
      <c r="F2122" s="7" t="s">
        <v>50</v>
      </c>
      <c r="G2122" s="7" t="s">
        <v>19</v>
      </c>
      <c r="H2122" s="9" t="n">
        <v>46100</v>
      </c>
      <c r="I2122" s="9" t="n">
        <v>46119</v>
      </c>
      <c r="J2122" s="7" t="n">
        <v>10</v>
      </c>
      <c r="K2122" s="7" t="s">
        <v>2260</v>
      </c>
      <c r="L2122" s="7" t="s">
        <v>20</v>
      </c>
      <c r="M2122" s="7" t="s">
        <v>2543</v>
      </c>
      <c r="N2122" s="7" t="s">
        <v>58</v>
      </c>
      <c r="O2122" s="10" t="n">
        <f aca="false">'Exec Summary'!$E$2-H2122</f>
        <v>134</v>
      </c>
      <c r="P2122" s="10" t="n">
        <f aca="false">IF(I2122="","",I2122-H2122)</f>
        <v>19</v>
      </c>
      <c r="Q2122" s="10" t="n">
        <f aca="false">VLOOKUP(G2122,$AA$2:$AB$5,2,FALSE())</f>
        <v>15</v>
      </c>
      <c r="R2122" s="7" t="n">
        <f aca="false">IF(OR(F2122="Open",F2122="Reopened"),1,0)</f>
        <v>0</v>
      </c>
      <c r="S2122" s="7" t="n">
        <f aca="false">IF(AND(H2122&gt;='Exec Summary'!$E$1,H2122&lt;='Exec Summary'!$E$2),1,0)</f>
        <v>0</v>
      </c>
      <c r="T2122" s="7" t="n">
        <f aca="false">IF(AND(F2122="Closed",I2122&lt;&gt;"",I2122&gt;='Exec Summary'!$E$1,I2122&lt;='Exec Summary'!$E$2),1,0)</f>
        <v>0</v>
      </c>
      <c r="U2122" s="7" t="n">
        <f aca="false">IF(F2122="Reopened",1,0)</f>
        <v>0</v>
      </c>
      <c r="V2122" s="7" t="n">
        <f aca="false">IF(AND(R2122=1,O2122&gt;Q2122),1,0)</f>
        <v>0</v>
      </c>
      <c r="W2122" s="7" t="n">
        <f aca="false">IF(AND(T2122=1,P2122&lt;&gt;"",P2122&lt;=Q2122),1,0)</f>
        <v>0</v>
      </c>
    </row>
    <row r="2123" customFormat="false" ht="15" hidden="false" customHeight="false" outlineLevel="0" collapsed="false">
      <c r="A2123" s="7" t="s">
        <v>2539</v>
      </c>
      <c r="B2123" s="7" t="s">
        <v>46</v>
      </c>
      <c r="C2123" s="7" t="s">
        <v>158</v>
      </c>
      <c r="D2123" s="7" t="s">
        <v>163</v>
      </c>
      <c r="E2123" s="7" t="s">
        <v>164</v>
      </c>
      <c r="F2123" s="7" t="s">
        <v>56</v>
      </c>
      <c r="G2123" s="7" t="s">
        <v>19</v>
      </c>
      <c r="H2123" s="9" t="n">
        <v>46066</v>
      </c>
      <c r="I2123" s="9"/>
      <c r="J2123" s="7" t="n">
        <v>9.1</v>
      </c>
      <c r="K2123" s="7" t="s">
        <v>2260</v>
      </c>
      <c r="L2123" s="7" t="s">
        <v>20</v>
      </c>
      <c r="M2123" s="7" t="s">
        <v>2544</v>
      </c>
      <c r="N2123" s="7" t="s">
        <v>58</v>
      </c>
      <c r="O2123" s="10" t="n">
        <f aca="false">'Exec Summary'!$E$2-H2123</f>
        <v>168</v>
      </c>
      <c r="P2123" s="10" t="str">
        <f aca="false">IF(I2123="","",I2123-H2123)</f>
        <v/>
      </c>
      <c r="Q2123" s="10" t="n">
        <f aca="false">VLOOKUP(G2123,$AA$2:$AB$5,2,FALSE())</f>
        <v>15</v>
      </c>
      <c r="R2123" s="7" t="n">
        <f aca="false">IF(OR(F2123="Open",F2123="Reopened"),1,0)</f>
        <v>1</v>
      </c>
      <c r="S2123" s="7" t="n">
        <f aca="false">IF(AND(H2123&gt;='Exec Summary'!$E$1,H2123&lt;='Exec Summary'!$E$2),1,0)</f>
        <v>0</v>
      </c>
      <c r="T2123" s="7" t="n">
        <f aca="false">IF(AND(F2123="Closed",I2123&lt;&gt;"",I2123&gt;='Exec Summary'!$E$1,I2123&lt;='Exec Summary'!$E$2),1,0)</f>
        <v>0</v>
      </c>
      <c r="U2123" s="7" t="n">
        <f aca="false">IF(F2123="Reopened",1,0)</f>
        <v>0</v>
      </c>
      <c r="V2123" s="7" t="n">
        <f aca="false">IF(AND(R2123=1,O2123&gt;Q2123),1,0)</f>
        <v>1</v>
      </c>
      <c r="W2123" s="7" t="n">
        <f aca="false">IF(AND(T2123=1,P2123&lt;&gt;"",P2123&lt;=Q2123),1,0)</f>
        <v>0</v>
      </c>
    </row>
    <row r="2124" customFormat="false" ht="15" hidden="false" customHeight="false" outlineLevel="0" collapsed="false">
      <c r="A2124" s="7" t="s">
        <v>2539</v>
      </c>
      <c r="B2124" s="7" t="s">
        <v>46</v>
      </c>
      <c r="C2124" s="7" t="s">
        <v>158</v>
      </c>
      <c r="D2124" s="7" t="s">
        <v>54</v>
      </c>
      <c r="E2124" s="7" t="s">
        <v>55</v>
      </c>
      <c r="F2124" s="7" t="s">
        <v>50</v>
      </c>
      <c r="G2124" s="7" t="s">
        <v>19</v>
      </c>
      <c r="H2124" s="9" t="n">
        <v>46185</v>
      </c>
      <c r="I2124" s="9" t="n">
        <v>46203</v>
      </c>
      <c r="J2124" s="7" t="n">
        <v>9.8</v>
      </c>
      <c r="K2124" s="7" t="s">
        <v>2260</v>
      </c>
      <c r="L2124" s="7" t="s">
        <v>20</v>
      </c>
      <c r="M2124" s="7" t="s">
        <v>2545</v>
      </c>
      <c r="N2124" s="7" t="s">
        <v>58</v>
      </c>
      <c r="O2124" s="10" t="n">
        <f aca="false">'Exec Summary'!$E$2-H2124</f>
        <v>49</v>
      </c>
      <c r="P2124" s="10" t="n">
        <f aca="false">IF(I2124="","",I2124-H2124)</f>
        <v>18</v>
      </c>
      <c r="Q2124" s="10" t="n">
        <f aca="false">VLOOKUP(G2124,$AA$2:$AB$5,2,FALSE())</f>
        <v>15</v>
      </c>
      <c r="R2124" s="7" t="n">
        <f aca="false">IF(OR(F2124="Open",F2124="Reopened"),1,0)</f>
        <v>0</v>
      </c>
      <c r="S2124" s="7" t="n">
        <f aca="false">IF(AND(H2124&gt;='Exec Summary'!$E$1,H2124&lt;='Exec Summary'!$E$2),1,0)</f>
        <v>0</v>
      </c>
      <c r="T2124" s="7" t="n">
        <f aca="false">IF(AND(F2124="Closed",I2124&lt;&gt;"",I2124&gt;='Exec Summary'!$E$1,I2124&lt;='Exec Summary'!$E$2),1,0)</f>
        <v>0</v>
      </c>
      <c r="U2124" s="7" t="n">
        <f aca="false">IF(F2124="Reopened",1,0)</f>
        <v>0</v>
      </c>
      <c r="V2124" s="7" t="n">
        <f aca="false">IF(AND(R2124=1,O2124&gt;Q2124),1,0)</f>
        <v>0</v>
      </c>
      <c r="W2124" s="7" t="n">
        <f aca="false">IF(AND(T2124=1,P2124&lt;&gt;"",P2124&lt;=Q2124),1,0)</f>
        <v>0</v>
      </c>
    </row>
    <row r="2125" customFormat="false" ht="15" hidden="false" customHeight="false" outlineLevel="0" collapsed="false">
      <c r="A2125" s="7" t="s">
        <v>2539</v>
      </c>
      <c r="B2125" s="7" t="s">
        <v>46</v>
      </c>
      <c r="C2125" s="7" t="s">
        <v>158</v>
      </c>
      <c r="D2125" s="7" t="s">
        <v>192</v>
      </c>
      <c r="E2125" s="7" t="s">
        <v>193</v>
      </c>
      <c r="F2125" s="7" t="s">
        <v>50</v>
      </c>
      <c r="G2125" s="7" t="s">
        <v>19</v>
      </c>
      <c r="H2125" s="9" t="n">
        <v>45996</v>
      </c>
      <c r="I2125" s="9" t="n">
        <v>46007</v>
      </c>
      <c r="J2125" s="7" t="n">
        <v>9.8</v>
      </c>
      <c r="K2125" s="7" t="s">
        <v>2260</v>
      </c>
      <c r="L2125" s="7" t="s">
        <v>20</v>
      </c>
      <c r="M2125" s="7" t="s">
        <v>2546</v>
      </c>
      <c r="N2125" s="7" t="s">
        <v>58</v>
      </c>
      <c r="O2125" s="10" t="n">
        <f aca="false">'Exec Summary'!$E$2-H2125</f>
        <v>238</v>
      </c>
      <c r="P2125" s="10" t="n">
        <f aca="false">IF(I2125="","",I2125-H2125)</f>
        <v>11</v>
      </c>
      <c r="Q2125" s="10" t="n">
        <f aca="false">VLOOKUP(G2125,$AA$2:$AB$5,2,FALSE())</f>
        <v>15</v>
      </c>
      <c r="R2125" s="7" t="n">
        <f aca="false">IF(OR(F2125="Open",F2125="Reopened"),1,0)</f>
        <v>0</v>
      </c>
      <c r="S2125" s="7" t="n">
        <f aca="false">IF(AND(H2125&gt;='Exec Summary'!$E$1,H2125&lt;='Exec Summary'!$E$2),1,0)</f>
        <v>0</v>
      </c>
      <c r="T2125" s="7" t="n">
        <f aca="false">IF(AND(F2125="Closed",I2125&lt;&gt;"",I2125&gt;='Exec Summary'!$E$1,I2125&lt;='Exec Summary'!$E$2),1,0)</f>
        <v>0</v>
      </c>
      <c r="U2125" s="7" t="n">
        <f aca="false">IF(F2125="Reopened",1,0)</f>
        <v>0</v>
      </c>
      <c r="V2125" s="7" t="n">
        <f aca="false">IF(AND(R2125=1,O2125&gt;Q2125),1,0)</f>
        <v>0</v>
      </c>
      <c r="W2125" s="7" t="n">
        <f aca="false">IF(AND(T2125=1,P2125&lt;&gt;"",P2125&lt;=Q2125),1,0)</f>
        <v>0</v>
      </c>
    </row>
    <row r="2126" customFormat="false" ht="15" hidden="false" customHeight="false" outlineLevel="0" collapsed="false">
      <c r="A2126" s="7" t="s">
        <v>2539</v>
      </c>
      <c r="B2126" s="7" t="s">
        <v>46</v>
      </c>
      <c r="C2126" s="7" t="s">
        <v>158</v>
      </c>
      <c r="D2126" s="7" t="s">
        <v>68</v>
      </c>
      <c r="E2126" s="7" t="s">
        <v>69</v>
      </c>
      <c r="F2126" s="7" t="s">
        <v>123</v>
      </c>
      <c r="G2126" s="7" t="s">
        <v>19</v>
      </c>
      <c r="H2126" s="9" t="n">
        <v>46004</v>
      </c>
      <c r="I2126" s="9" t="n">
        <v>46021</v>
      </c>
      <c r="J2126" s="7" t="n">
        <v>9.8</v>
      </c>
      <c r="K2126" s="7" t="s">
        <v>2260</v>
      </c>
      <c r="L2126" s="7" t="s">
        <v>20</v>
      </c>
      <c r="M2126" s="7" t="s">
        <v>2547</v>
      </c>
      <c r="N2126" s="7" t="s">
        <v>58</v>
      </c>
      <c r="O2126" s="10" t="n">
        <f aca="false">'Exec Summary'!$E$2-H2126</f>
        <v>230</v>
      </c>
      <c r="P2126" s="10" t="n">
        <f aca="false">IF(I2126="","",I2126-H2126)</f>
        <v>17</v>
      </c>
      <c r="Q2126" s="10" t="n">
        <f aca="false">VLOOKUP(G2126,$AA$2:$AB$5,2,FALSE())</f>
        <v>15</v>
      </c>
      <c r="R2126" s="7" t="n">
        <f aca="false">IF(OR(F2126="Open",F2126="Reopened"),1,0)</f>
        <v>1</v>
      </c>
      <c r="S2126" s="7" t="n">
        <f aca="false">IF(AND(H2126&gt;='Exec Summary'!$E$1,H2126&lt;='Exec Summary'!$E$2),1,0)</f>
        <v>0</v>
      </c>
      <c r="T2126" s="7" t="n">
        <f aca="false">IF(AND(F2126="Closed",I2126&lt;&gt;"",I2126&gt;='Exec Summary'!$E$1,I2126&lt;='Exec Summary'!$E$2),1,0)</f>
        <v>0</v>
      </c>
      <c r="U2126" s="7" t="n">
        <f aca="false">IF(F2126="Reopened",1,0)</f>
        <v>1</v>
      </c>
      <c r="V2126" s="7" t="n">
        <f aca="false">IF(AND(R2126=1,O2126&gt;Q2126),1,0)</f>
        <v>1</v>
      </c>
      <c r="W2126" s="7" t="n">
        <f aca="false">IF(AND(T2126=1,P2126&lt;&gt;"",P2126&lt;=Q2126),1,0)</f>
        <v>0</v>
      </c>
    </row>
    <row r="2127" customFormat="false" ht="15" hidden="false" customHeight="false" outlineLevel="0" collapsed="false">
      <c r="A2127" s="7" t="s">
        <v>2539</v>
      </c>
      <c r="B2127" s="7" t="s">
        <v>46</v>
      </c>
      <c r="C2127" s="7" t="s">
        <v>158</v>
      </c>
      <c r="D2127" s="7" t="s">
        <v>131</v>
      </c>
      <c r="E2127" s="7" t="s">
        <v>132</v>
      </c>
      <c r="F2127" s="7" t="s">
        <v>50</v>
      </c>
      <c r="G2127" s="7" t="s">
        <v>19</v>
      </c>
      <c r="H2127" s="9" t="n">
        <v>46186</v>
      </c>
      <c r="I2127" s="9" t="n">
        <v>46201</v>
      </c>
      <c r="J2127" s="7" t="n">
        <v>9.8</v>
      </c>
      <c r="K2127" s="7" t="s">
        <v>2260</v>
      </c>
      <c r="L2127" s="7" t="s">
        <v>20</v>
      </c>
      <c r="M2127" s="7" t="s">
        <v>2548</v>
      </c>
      <c r="N2127" s="7" t="s">
        <v>58</v>
      </c>
      <c r="O2127" s="10" t="n">
        <f aca="false">'Exec Summary'!$E$2-H2127</f>
        <v>48</v>
      </c>
      <c r="P2127" s="10" t="n">
        <f aca="false">IF(I2127="","",I2127-H2127)</f>
        <v>15</v>
      </c>
      <c r="Q2127" s="10" t="n">
        <f aca="false">VLOOKUP(G2127,$AA$2:$AB$5,2,FALSE())</f>
        <v>15</v>
      </c>
      <c r="R2127" s="7" t="n">
        <f aca="false">IF(OR(F2127="Open",F2127="Reopened"),1,0)</f>
        <v>0</v>
      </c>
      <c r="S2127" s="7" t="n">
        <f aca="false">IF(AND(H2127&gt;='Exec Summary'!$E$1,H2127&lt;='Exec Summary'!$E$2),1,0)</f>
        <v>0</v>
      </c>
      <c r="T2127" s="7" t="n">
        <f aca="false">IF(AND(F2127="Closed",I2127&lt;&gt;"",I2127&gt;='Exec Summary'!$E$1,I2127&lt;='Exec Summary'!$E$2),1,0)</f>
        <v>0</v>
      </c>
      <c r="U2127" s="7" t="n">
        <f aca="false">IF(F2127="Reopened",1,0)</f>
        <v>0</v>
      </c>
      <c r="V2127" s="7" t="n">
        <f aca="false">IF(AND(R2127=1,O2127&gt;Q2127),1,0)</f>
        <v>0</v>
      </c>
      <c r="W2127" s="7" t="n">
        <f aca="false">IF(AND(T2127=1,P2127&lt;&gt;"",P2127&lt;=Q2127),1,0)</f>
        <v>0</v>
      </c>
    </row>
    <row r="2128" customFormat="false" ht="15" hidden="false" customHeight="false" outlineLevel="0" collapsed="false">
      <c r="A2128" s="7" t="s">
        <v>2539</v>
      </c>
      <c r="B2128" s="7" t="s">
        <v>46</v>
      </c>
      <c r="C2128" s="7" t="s">
        <v>158</v>
      </c>
      <c r="D2128" s="7" t="s">
        <v>166</v>
      </c>
      <c r="E2128" s="7" t="s">
        <v>167</v>
      </c>
      <c r="F2128" s="7" t="s">
        <v>50</v>
      </c>
      <c r="G2128" s="7" t="s">
        <v>19</v>
      </c>
      <c r="H2128" s="9" t="n">
        <v>46193</v>
      </c>
      <c r="I2128" s="9" t="n">
        <v>46207</v>
      </c>
      <c r="J2128" s="7" t="n">
        <v>9.8</v>
      </c>
      <c r="K2128" s="7" t="s">
        <v>2260</v>
      </c>
      <c r="L2128" s="7" t="s">
        <v>20</v>
      </c>
      <c r="M2128" s="7" t="s">
        <v>2549</v>
      </c>
      <c r="N2128" s="7" t="s">
        <v>58</v>
      </c>
      <c r="O2128" s="10" t="n">
        <f aca="false">'Exec Summary'!$E$2-H2128</f>
        <v>41</v>
      </c>
      <c r="P2128" s="10" t="n">
        <f aca="false">IF(I2128="","",I2128-H2128)</f>
        <v>14</v>
      </c>
      <c r="Q2128" s="10" t="n">
        <f aca="false">VLOOKUP(G2128,$AA$2:$AB$5,2,FALSE())</f>
        <v>15</v>
      </c>
      <c r="R2128" s="7" t="n">
        <f aca="false">IF(OR(F2128="Open",F2128="Reopened"),1,0)</f>
        <v>0</v>
      </c>
      <c r="S2128" s="7" t="n">
        <f aca="false">IF(AND(H2128&gt;='Exec Summary'!$E$1,H2128&lt;='Exec Summary'!$E$2),1,0)</f>
        <v>0</v>
      </c>
      <c r="T2128" s="7" t="n">
        <f aca="false">IF(AND(F2128="Closed",I2128&lt;&gt;"",I2128&gt;='Exec Summary'!$E$1,I2128&lt;='Exec Summary'!$E$2),1,0)</f>
        <v>1</v>
      </c>
      <c r="U2128" s="7" t="n">
        <f aca="false">IF(F2128="Reopened",1,0)</f>
        <v>0</v>
      </c>
      <c r="V2128" s="7" t="n">
        <f aca="false">IF(AND(R2128=1,O2128&gt;Q2128),1,0)</f>
        <v>0</v>
      </c>
      <c r="W2128" s="7" t="n">
        <f aca="false">IF(AND(T2128=1,P2128&lt;&gt;"",P2128&lt;=Q2128),1,0)</f>
        <v>1</v>
      </c>
    </row>
    <row r="2129" customFormat="false" ht="15" hidden="false" customHeight="false" outlineLevel="0" collapsed="false">
      <c r="A2129" s="7" t="s">
        <v>2539</v>
      </c>
      <c r="B2129" s="7" t="s">
        <v>46</v>
      </c>
      <c r="C2129" s="7" t="s">
        <v>158</v>
      </c>
      <c r="D2129" s="7" t="s">
        <v>210</v>
      </c>
      <c r="E2129" s="7" t="s">
        <v>211</v>
      </c>
      <c r="F2129" s="7" t="s">
        <v>56</v>
      </c>
      <c r="G2129" s="7" t="s">
        <v>19</v>
      </c>
      <c r="H2129" s="9" t="n">
        <v>46126</v>
      </c>
      <c r="I2129" s="9"/>
      <c r="J2129" s="7" t="n">
        <v>9.8</v>
      </c>
      <c r="K2129" s="7" t="s">
        <v>2260</v>
      </c>
      <c r="L2129" s="7" t="s">
        <v>20</v>
      </c>
      <c r="M2129" s="7" t="s">
        <v>2550</v>
      </c>
      <c r="N2129" s="7" t="s">
        <v>58</v>
      </c>
      <c r="O2129" s="10" t="n">
        <f aca="false">'Exec Summary'!$E$2-H2129</f>
        <v>108</v>
      </c>
      <c r="P2129" s="10" t="str">
        <f aca="false">IF(I2129="","",I2129-H2129)</f>
        <v/>
      </c>
      <c r="Q2129" s="10" t="n">
        <f aca="false">VLOOKUP(G2129,$AA$2:$AB$5,2,FALSE())</f>
        <v>15</v>
      </c>
      <c r="R2129" s="7" t="n">
        <f aca="false">IF(OR(F2129="Open",F2129="Reopened"),1,0)</f>
        <v>1</v>
      </c>
      <c r="S2129" s="7" t="n">
        <f aca="false">IF(AND(H2129&gt;='Exec Summary'!$E$1,H2129&lt;='Exec Summary'!$E$2),1,0)</f>
        <v>0</v>
      </c>
      <c r="T2129" s="7" t="n">
        <f aca="false">IF(AND(F2129="Closed",I2129&lt;&gt;"",I2129&gt;='Exec Summary'!$E$1,I2129&lt;='Exec Summary'!$E$2),1,0)</f>
        <v>0</v>
      </c>
      <c r="U2129" s="7" t="n">
        <f aca="false">IF(F2129="Reopened",1,0)</f>
        <v>0</v>
      </c>
      <c r="V2129" s="7" t="n">
        <f aca="false">IF(AND(R2129=1,O2129&gt;Q2129),1,0)</f>
        <v>1</v>
      </c>
      <c r="W2129" s="7" t="n">
        <f aca="false">IF(AND(T2129=1,P2129&lt;&gt;"",P2129&lt;=Q2129),1,0)</f>
        <v>0</v>
      </c>
    </row>
    <row r="2130" customFormat="false" ht="15" hidden="false" customHeight="false" outlineLevel="0" collapsed="false">
      <c r="A2130" s="7" t="s">
        <v>2539</v>
      </c>
      <c r="B2130" s="7" t="s">
        <v>46</v>
      </c>
      <c r="C2130" s="7" t="s">
        <v>158</v>
      </c>
      <c r="D2130" s="7" t="s">
        <v>145</v>
      </c>
      <c r="E2130" s="7" t="s">
        <v>146</v>
      </c>
      <c r="F2130" s="7" t="s">
        <v>50</v>
      </c>
      <c r="G2130" s="7" t="s">
        <v>19</v>
      </c>
      <c r="H2130" s="9" t="n">
        <v>46170</v>
      </c>
      <c r="I2130" s="9" t="n">
        <v>46181</v>
      </c>
      <c r="J2130" s="7" t="n">
        <v>9.8</v>
      </c>
      <c r="K2130" s="7" t="s">
        <v>2260</v>
      </c>
      <c r="L2130" s="7" t="s">
        <v>20</v>
      </c>
      <c r="M2130" s="7" t="s">
        <v>2551</v>
      </c>
      <c r="N2130" s="7" t="s">
        <v>58</v>
      </c>
      <c r="O2130" s="10" t="n">
        <f aca="false">'Exec Summary'!$E$2-H2130</f>
        <v>64</v>
      </c>
      <c r="P2130" s="10" t="n">
        <f aca="false">IF(I2130="","",I2130-H2130)</f>
        <v>11</v>
      </c>
      <c r="Q2130" s="10" t="n">
        <f aca="false">VLOOKUP(G2130,$AA$2:$AB$5,2,FALSE())</f>
        <v>15</v>
      </c>
      <c r="R2130" s="7" t="n">
        <f aca="false">IF(OR(F2130="Open",F2130="Reopened"),1,0)</f>
        <v>0</v>
      </c>
      <c r="S2130" s="7" t="n">
        <f aca="false">IF(AND(H2130&gt;='Exec Summary'!$E$1,H2130&lt;='Exec Summary'!$E$2),1,0)</f>
        <v>0</v>
      </c>
      <c r="T2130" s="7" t="n">
        <f aca="false">IF(AND(F2130="Closed",I2130&lt;&gt;"",I2130&gt;='Exec Summary'!$E$1,I2130&lt;='Exec Summary'!$E$2),1,0)</f>
        <v>0</v>
      </c>
      <c r="U2130" s="7" t="n">
        <f aca="false">IF(F2130="Reopened",1,0)</f>
        <v>0</v>
      </c>
      <c r="V2130" s="7" t="n">
        <f aca="false">IF(AND(R2130=1,O2130&gt;Q2130),1,0)</f>
        <v>0</v>
      </c>
      <c r="W2130" s="7" t="n">
        <f aca="false">IF(AND(T2130=1,P2130&lt;&gt;"",P2130&lt;=Q2130),1,0)</f>
        <v>0</v>
      </c>
    </row>
    <row r="2131" customFormat="false" ht="15" hidden="false" customHeight="false" outlineLevel="0" collapsed="false">
      <c r="A2131" s="7" t="s">
        <v>2539</v>
      </c>
      <c r="B2131" s="7" t="s">
        <v>46</v>
      </c>
      <c r="C2131" s="7" t="s">
        <v>158</v>
      </c>
      <c r="D2131" s="7" t="s">
        <v>139</v>
      </c>
      <c r="E2131" s="7" t="s">
        <v>140</v>
      </c>
      <c r="F2131" s="7" t="s">
        <v>56</v>
      </c>
      <c r="G2131" s="7" t="s">
        <v>19</v>
      </c>
      <c r="H2131" s="9" t="n">
        <v>46156</v>
      </c>
      <c r="I2131" s="9"/>
      <c r="J2131" s="7" t="n">
        <v>9.8</v>
      </c>
      <c r="K2131" s="7" t="s">
        <v>2260</v>
      </c>
      <c r="L2131" s="7" t="s">
        <v>20</v>
      </c>
      <c r="M2131" s="7" t="s">
        <v>2552</v>
      </c>
      <c r="N2131" s="7" t="s">
        <v>58</v>
      </c>
      <c r="O2131" s="10" t="n">
        <f aca="false">'Exec Summary'!$E$2-H2131</f>
        <v>78</v>
      </c>
      <c r="P2131" s="10" t="str">
        <f aca="false">IF(I2131="","",I2131-H2131)</f>
        <v/>
      </c>
      <c r="Q2131" s="10" t="n">
        <f aca="false">VLOOKUP(G2131,$AA$2:$AB$5,2,FALSE())</f>
        <v>15</v>
      </c>
      <c r="R2131" s="7" t="n">
        <f aca="false">IF(OR(F2131="Open",F2131="Reopened"),1,0)</f>
        <v>1</v>
      </c>
      <c r="S2131" s="7" t="n">
        <f aca="false">IF(AND(H2131&gt;='Exec Summary'!$E$1,H2131&lt;='Exec Summary'!$E$2),1,0)</f>
        <v>0</v>
      </c>
      <c r="T2131" s="7" t="n">
        <f aca="false">IF(AND(F2131="Closed",I2131&lt;&gt;"",I2131&gt;='Exec Summary'!$E$1,I2131&lt;='Exec Summary'!$E$2),1,0)</f>
        <v>0</v>
      </c>
      <c r="U2131" s="7" t="n">
        <f aca="false">IF(F2131="Reopened",1,0)</f>
        <v>0</v>
      </c>
      <c r="V2131" s="7" t="n">
        <f aca="false">IF(AND(R2131=1,O2131&gt;Q2131),1,0)</f>
        <v>1</v>
      </c>
      <c r="W2131" s="7" t="n">
        <f aca="false">IF(AND(T2131=1,P2131&lt;&gt;"",P2131&lt;=Q2131),1,0)</f>
        <v>0</v>
      </c>
    </row>
    <row r="2132" customFormat="false" ht="15" hidden="false" customHeight="false" outlineLevel="0" collapsed="false">
      <c r="A2132" s="7" t="s">
        <v>2553</v>
      </c>
      <c r="B2132" s="7" t="s">
        <v>135</v>
      </c>
      <c r="C2132" s="7" t="s">
        <v>136</v>
      </c>
      <c r="D2132" s="7" t="s">
        <v>112</v>
      </c>
      <c r="E2132" s="7" t="s">
        <v>113</v>
      </c>
      <c r="F2132" s="7" t="s">
        <v>123</v>
      </c>
      <c r="G2132" s="7" t="s">
        <v>20</v>
      </c>
      <c r="H2132" s="9" t="n">
        <v>45947</v>
      </c>
      <c r="I2132" s="9" t="n">
        <v>45966</v>
      </c>
      <c r="J2132" s="7" t="n">
        <v>7.8</v>
      </c>
      <c r="K2132" s="7" t="s">
        <v>2260</v>
      </c>
      <c r="L2132" s="7" t="s">
        <v>22</v>
      </c>
      <c r="M2132" s="7" t="s">
        <v>2554</v>
      </c>
      <c r="N2132" s="7" t="s">
        <v>53</v>
      </c>
      <c r="O2132" s="10" t="n">
        <f aca="false">'Exec Summary'!$E$2-H2132</f>
        <v>287</v>
      </c>
      <c r="P2132" s="10" t="n">
        <f aca="false">IF(I2132="","",I2132-H2132)</f>
        <v>19</v>
      </c>
      <c r="Q2132" s="10" t="n">
        <f aca="false">VLOOKUP(G2132,$AA$2:$AB$5,2,FALSE())</f>
        <v>30</v>
      </c>
      <c r="R2132" s="7" t="n">
        <f aca="false">IF(OR(F2132="Open",F2132="Reopened"),1,0)</f>
        <v>1</v>
      </c>
      <c r="S2132" s="7" t="n">
        <f aca="false">IF(AND(H2132&gt;='Exec Summary'!$E$1,H2132&lt;='Exec Summary'!$E$2),1,0)</f>
        <v>0</v>
      </c>
      <c r="T2132" s="7" t="n">
        <f aca="false">IF(AND(F2132="Closed",I2132&lt;&gt;"",I2132&gt;='Exec Summary'!$E$1,I2132&lt;='Exec Summary'!$E$2),1,0)</f>
        <v>0</v>
      </c>
      <c r="U2132" s="7" t="n">
        <f aca="false">IF(F2132="Reopened",1,0)</f>
        <v>1</v>
      </c>
      <c r="V2132" s="7" t="n">
        <f aca="false">IF(AND(R2132=1,O2132&gt;Q2132),1,0)</f>
        <v>1</v>
      </c>
      <c r="W2132" s="7" t="n">
        <f aca="false">IF(AND(T2132=1,P2132&lt;&gt;"",P2132&lt;=Q2132),1,0)</f>
        <v>0</v>
      </c>
    </row>
    <row r="2133" customFormat="false" ht="15" hidden="false" customHeight="false" outlineLevel="0" collapsed="false">
      <c r="A2133" s="7" t="s">
        <v>2553</v>
      </c>
      <c r="B2133" s="7" t="s">
        <v>135</v>
      </c>
      <c r="C2133" s="7" t="s">
        <v>136</v>
      </c>
      <c r="D2133" s="7" t="s">
        <v>131</v>
      </c>
      <c r="E2133" s="7" t="s">
        <v>132</v>
      </c>
      <c r="F2133" s="7" t="s">
        <v>50</v>
      </c>
      <c r="G2133" s="7" t="s">
        <v>19</v>
      </c>
      <c r="H2133" s="9" t="n">
        <v>46171</v>
      </c>
      <c r="I2133" s="9" t="n">
        <v>46178</v>
      </c>
      <c r="J2133" s="7" t="n">
        <v>9.8</v>
      </c>
      <c r="K2133" s="7" t="s">
        <v>2260</v>
      </c>
      <c r="L2133" s="7" t="s">
        <v>22</v>
      </c>
      <c r="M2133" s="7" t="s">
        <v>2555</v>
      </c>
      <c r="N2133" s="7" t="s">
        <v>58</v>
      </c>
      <c r="O2133" s="10" t="n">
        <f aca="false">'Exec Summary'!$E$2-H2133</f>
        <v>63</v>
      </c>
      <c r="P2133" s="10" t="n">
        <f aca="false">IF(I2133="","",I2133-H2133)</f>
        <v>7</v>
      </c>
      <c r="Q2133" s="10" t="n">
        <f aca="false">VLOOKUP(G2133,$AA$2:$AB$5,2,FALSE())</f>
        <v>15</v>
      </c>
      <c r="R2133" s="7" t="n">
        <f aca="false">IF(OR(F2133="Open",F2133="Reopened"),1,0)</f>
        <v>0</v>
      </c>
      <c r="S2133" s="7" t="n">
        <f aca="false">IF(AND(H2133&gt;='Exec Summary'!$E$1,H2133&lt;='Exec Summary'!$E$2),1,0)</f>
        <v>0</v>
      </c>
      <c r="T2133" s="7" t="n">
        <f aca="false">IF(AND(F2133="Closed",I2133&lt;&gt;"",I2133&gt;='Exec Summary'!$E$1,I2133&lt;='Exec Summary'!$E$2),1,0)</f>
        <v>0</v>
      </c>
      <c r="U2133" s="7" t="n">
        <f aca="false">IF(F2133="Reopened",1,0)</f>
        <v>0</v>
      </c>
      <c r="V2133" s="7" t="n">
        <f aca="false">IF(AND(R2133=1,O2133&gt;Q2133),1,0)</f>
        <v>0</v>
      </c>
      <c r="W2133" s="7" t="n">
        <f aca="false">IF(AND(T2133=1,P2133&lt;&gt;"",P2133&lt;=Q2133),1,0)</f>
        <v>0</v>
      </c>
    </row>
    <row r="2134" customFormat="false" ht="15" hidden="false" customHeight="false" outlineLevel="0" collapsed="false">
      <c r="A2134" s="7" t="s">
        <v>2556</v>
      </c>
      <c r="B2134" s="7" t="s">
        <v>135</v>
      </c>
      <c r="C2134" s="7" t="s">
        <v>306</v>
      </c>
      <c r="D2134" s="7" t="s">
        <v>139</v>
      </c>
      <c r="E2134" s="7" t="s">
        <v>140</v>
      </c>
      <c r="F2134" s="7" t="s">
        <v>56</v>
      </c>
      <c r="G2134" s="7" t="s">
        <v>19</v>
      </c>
      <c r="H2134" s="9" t="n">
        <v>46091</v>
      </c>
      <c r="I2134" s="9"/>
      <c r="J2134" s="7" t="n">
        <v>9.8</v>
      </c>
      <c r="K2134" s="7" t="s">
        <v>2260</v>
      </c>
      <c r="L2134" s="7" t="s">
        <v>20</v>
      </c>
      <c r="M2134" s="7" t="s">
        <v>2557</v>
      </c>
      <c r="N2134" s="7" t="s">
        <v>58</v>
      </c>
      <c r="O2134" s="10" t="n">
        <f aca="false">'Exec Summary'!$E$2-H2134</f>
        <v>143</v>
      </c>
      <c r="P2134" s="10" t="str">
        <f aca="false">IF(I2134="","",I2134-H2134)</f>
        <v/>
      </c>
      <c r="Q2134" s="10" t="n">
        <f aca="false">VLOOKUP(G2134,$AA$2:$AB$5,2,FALSE())</f>
        <v>15</v>
      </c>
      <c r="R2134" s="7" t="n">
        <f aca="false">IF(OR(F2134="Open",F2134="Reopened"),1,0)</f>
        <v>1</v>
      </c>
      <c r="S2134" s="7" t="n">
        <f aca="false">IF(AND(H2134&gt;='Exec Summary'!$E$1,H2134&lt;='Exec Summary'!$E$2),1,0)</f>
        <v>0</v>
      </c>
      <c r="T2134" s="7" t="n">
        <f aca="false">IF(AND(F2134="Closed",I2134&lt;&gt;"",I2134&gt;='Exec Summary'!$E$1,I2134&lt;='Exec Summary'!$E$2),1,0)</f>
        <v>0</v>
      </c>
      <c r="U2134" s="7" t="n">
        <f aca="false">IF(F2134="Reopened",1,0)</f>
        <v>0</v>
      </c>
      <c r="V2134" s="7" t="n">
        <f aca="false">IF(AND(R2134=1,O2134&gt;Q2134),1,0)</f>
        <v>1</v>
      </c>
      <c r="W2134" s="7" t="n">
        <f aca="false">IF(AND(T2134=1,P2134&lt;&gt;"",P2134&lt;=Q2134),1,0)</f>
        <v>0</v>
      </c>
    </row>
    <row r="2135" customFormat="false" ht="15" hidden="false" customHeight="false" outlineLevel="0" collapsed="false">
      <c r="A2135" s="7" t="s">
        <v>2556</v>
      </c>
      <c r="B2135" s="7" t="s">
        <v>135</v>
      </c>
      <c r="C2135" s="7" t="s">
        <v>306</v>
      </c>
      <c r="D2135" s="7" t="s">
        <v>163</v>
      </c>
      <c r="E2135" s="7" t="s">
        <v>164</v>
      </c>
      <c r="F2135" s="7" t="s">
        <v>56</v>
      </c>
      <c r="G2135" s="7" t="s">
        <v>19</v>
      </c>
      <c r="H2135" s="9" t="n">
        <v>45942</v>
      </c>
      <c r="I2135" s="9"/>
      <c r="J2135" s="7" t="n">
        <v>9.1</v>
      </c>
      <c r="K2135" s="7" t="s">
        <v>2260</v>
      </c>
      <c r="L2135" s="7" t="s">
        <v>20</v>
      </c>
      <c r="M2135" s="7" t="s">
        <v>2558</v>
      </c>
      <c r="N2135" s="7" t="s">
        <v>58</v>
      </c>
      <c r="O2135" s="10" t="n">
        <f aca="false">'Exec Summary'!$E$2-H2135</f>
        <v>292</v>
      </c>
      <c r="P2135" s="10" t="str">
        <f aca="false">IF(I2135="","",I2135-H2135)</f>
        <v/>
      </c>
      <c r="Q2135" s="10" t="n">
        <f aca="false">VLOOKUP(G2135,$AA$2:$AB$5,2,FALSE())</f>
        <v>15</v>
      </c>
      <c r="R2135" s="7" t="n">
        <f aca="false">IF(OR(F2135="Open",F2135="Reopened"),1,0)</f>
        <v>1</v>
      </c>
      <c r="S2135" s="7" t="n">
        <f aca="false">IF(AND(H2135&gt;='Exec Summary'!$E$1,H2135&lt;='Exec Summary'!$E$2),1,0)</f>
        <v>0</v>
      </c>
      <c r="T2135" s="7" t="n">
        <f aca="false">IF(AND(F2135="Closed",I2135&lt;&gt;"",I2135&gt;='Exec Summary'!$E$1,I2135&lt;='Exec Summary'!$E$2),1,0)</f>
        <v>0</v>
      </c>
      <c r="U2135" s="7" t="n">
        <f aca="false">IF(F2135="Reopened",1,0)</f>
        <v>0</v>
      </c>
      <c r="V2135" s="7" t="n">
        <f aca="false">IF(AND(R2135=1,O2135&gt;Q2135),1,0)</f>
        <v>1</v>
      </c>
      <c r="W2135" s="7" t="n">
        <f aca="false">IF(AND(T2135=1,P2135&lt;&gt;"",P2135&lt;=Q2135),1,0)</f>
        <v>0</v>
      </c>
    </row>
    <row r="2136" customFormat="false" ht="15" hidden="false" customHeight="false" outlineLevel="0" collapsed="false">
      <c r="A2136" s="7" t="s">
        <v>2559</v>
      </c>
      <c r="B2136" s="7" t="s">
        <v>46</v>
      </c>
      <c r="C2136" s="7" t="s">
        <v>158</v>
      </c>
      <c r="D2136" s="7" t="s">
        <v>145</v>
      </c>
      <c r="E2136" s="7" t="s">
        <v>146</v>
      </c>
      <c r="F2136" s="7" t="s">
        <v>50</v>
      </c>
      <c r="G2136" s="7" t="s">
        <v>19</v>
      </c>
      <c r="H2136" s="9" t="n">
        <v>46222</v>
      </c>
      <c r="I2136" s="9" t="n">
        <v>46234</v>
      </c>
      <c r="J2136" s="7" t="n">
        <v>9.8</v>
      </c>
      <c r="K2136" s="7" t="s">
        <v>2260</v>
      </c>
      <c r="L2136" s="7" t="s">
        <v>21</v>
      </c>
      <c r="M2136" s="7" t="s">
        <v>2560</v>
      </c>
      <c r="N2136" s="7" t="s">
        <v>58</v>
      </c>
      <c r="O2136" s="10" t="n">
        <f aca="false">'Exec Summary'!$E$2-H2136</f>
        <v>12</v>
      </c>
      <c r="P2136" s="10" t="n">
        <f aca="false">IF(I2136="","",I2136-H2136)</f>
        <v>12</v>
      </c>
      <c r="Q2136" s="10" t="n">
        <f aca="false">VLOOKUP(G2136,$AA$2:$AB$5,2,FALSE())</f>
        <v>15</v>
      </c>
      <c r="R2136" s="7" t="n">
        <f aca="false">IF(OR(F2136="Open",F2136="Reopened"),1,0)</f>
        <v>0</v>
      </c>
      <c r="S2136" s="7" t="n">
        <f aca="false">IF(AND(H2136&gt;='Exec Summary'!$E$1,H2136&lt;='Exec Summary'!$E$2),1,0)</f>
        <v>1</v>
      </c>
      <c r="T2136" s="7" t="n">
        <f aca="false">IF(AND(F2136="Closed",I2136&lt;&gt;"",I2136&gt;='Exec Summary'!$E$1,I2136&lt;='Exec Summary'!$E$2),1,0)</f>
        <v>1</v>
      </c>
      <c r="U2136" s="7" t="n">
        <f aca="false">IF(F2136="Reopened",1,0)</f>
        <v>0</v>
      </c>
      <c r="V2136" s="7" t="n">
        <f aca="false">IF(AND(R2136=1,O2136&gt;Q2136),1,0)</f>
        <v>0</v>
      </c>
      <c r="W2136" s="7" t="n">
        <f aca="false">IF(AND(T2136=1,P2136&lt;&gt;"",P2136&lt;=Q2136),1,0)</f>
        <v>1</v>
      </c>
    </row>
    <row r="2137" customFormat="false" ht="15" hidden="false" customHeight="false" outlineLevel="0" collapsed="false">
      <c r="A2137" s="7" t="s">
        <v>2559</v>
      </c>
      <c r="B2137" s="7" t="s">
        <v>46</v>
      </c>
      <c r="C2137" s="7" t="s">
        <v>158</v>
      </c>
      <c r="D2137" s="7" t="s">
        <v>192</v>
      </c>
      <c r="E2137" s="7" t="s">
        <v>193</v>
      </c>
      <c r="F2137" s="7" t="s">
        <v>50</v>
      </c>
      <c r="G2137" s="7" t="s">
        <v>19</v>
      </c>
      <c r="H2137" s="9" t="n">
        <v>46204</v>
      </c>
      <c r="I2137" s="9" t="n">
        <v>46219</v>
      </c>
      <c r="J2137" s="7" t="n">
        <v>9.8</v>
      </c>
      <c r="K2137" s="7" t="s">
        <v>2260</v>
      </c>
      <c r="L2137" s="7" t="s">
        <v>21</v>
      </c>
      <c r="M2137" s="7" t="s">
        <v>2561</v>
      </c>
      <c r="N2137" s="7" t="s">
        <v>58</v>
      </c>
      <c r="O2137" s="10" t="n">
        <f aca="false">'Exec Summary'!$E$2-H2137</f>
        <v>30</v>
      </c>
      <c r="P2137" s="10" t="n">
        <f aca="false">IF(I2137="","",I2137-H2137)</f>
        <v>15</v>
      </c>
      <c r="Q2137" s="10" t="n">
        <f aca="false">VLOOKUP(G2137,$AA$2:$AB$5,2,FALSE())</f>
        <v>15</v>
      </c>
      <c r="R2137" s="7" t="n">
        <f aca="false">IF(OR(F2137="Open",F2137="Reopened"),1,0)</f>
        <v>0</v>
      </c>
      <c r="S2137" s="7" t="n">
        <f aca="false">IF(AND(H2137&gt;='Exec Summary'!$E$1,H2137&lt;='Exec Summary'!$E$2),1,0)</f>
        <v>1</v>
      </c>
      <c r="T2137" s="7" t="n">
        <f aca="false">IF(AND(F2137="Closed",I2137&lt;&gt;"",I2137&gt;='Exec Summary'!$E$1,I2137&lt;='Exec Summary'!$E$2),1,0)</f>
        <v>1</v>
      </c>
      <c r="U2137" s="7" t="n">
        <f aca="false">IF(F2137="Reopened",1,0)</f>
        <v>0</v>
      </c>
      <c r="V2137" s="7" t="n">
        <f aca="false">IF(AND(R2137=1,O2137&gt;Q2137),1,0)</f>
        <v>0</v>
      </c>
      <c r="W2137" s="7" t="n">
        <f aca="false">IF(AND(T2137=1,P2137&lt;&gt;"",P2137&lt;=Q2137),1,0)</f>
        <v>1</v>
      </c>
    </row>
    <row r="2138" customFormat="false" ht="15" hidden="false" customHeight="false" outlineLevel="0" collapsed="false">
      <c r="A2138" s="7" t="s">
        <v>2559</v>
      </c>
      <c r="B2138" s="7" t="s">
        <v>46</v>
      </c>
      <c r="C2138" s="7" t="s">
        <v>158</v>
      </c>
      <c r="D2138" s="7" t="s">
        <v>48</v>
      </c>
      <c r="E2138" s="7" t="s">
        <v>49</v>
      </c>
      <c r="F2138" s="7" t="s">
        <v>50</v>
      </c>
      <c r="G2138" s="7" t="s">
        <v>20</v>
      </c>
      <c r="H2138" s="9" t="n">
        <v>45957</v>
      </c>
      <c r="I2138" s="9" t="n">
        <v>45991</v>
      </c>
      <c r="J2138" s="7" t="n">
        <v>7.5</v>
      </c>
      <c r="K2138" s="7" t="s">
        <v>2260</v>
      </c>
      <c r="L2138" s="7" t="s">
        <v>21</v>
      </c>
      <c r="M2138" s="7" t="s">
        <v>2562</v>
      </c>
      <c r="N2138" s="7" t="s">
        <v>53</v>
      </c>
      <c r="O2138" s="10" t="n">
        <f aca="false">'Exec Summary'!$E$2-H2138</f>
        <v>277</v>
      </c>
      <c r="P2138" s="10" t="n">
        <f aca="false">IF(I2138="","",I2138-H2138)</f>
        <v>34</v>
      </c>
      <c r="Q2138" s="10" t="n">
        <f aca="false">VLOOKUP(G2138,$AA$2:$AB$5,2,FALSE())</f>
        <v>30</v>
      </c>
      <c r="R2138" s="7" t="n">
        <f aca="false">IF(OR(F2138="Open",F2138="Reopened"),1,0)</f>
        <v>0</v>
      </c>
      <c r="S2138" s="7" t="n">
        <f aca="false">IF(AND(H2138&gt;='Exec Summary'!$E$1,H2138&lt;='Exec Summary'!$E$2),1,0)</f>
        <v>0</v>
      </c>
      <c r="T2138" s="7" t="n">
        <f aca="false">IF(AND(F2138="Closed",I2138&lt;&gt;"",I2138&gt;='Exec Summary'!$E$1,I2138&lt;='Exec Summary'!$E$2),1,0)</f>
        <v>0</v>
      </c>
      <c r="U2138" s="7" t="n">
        <f aca="false">IF(F2138="Reopened",1,0)</f>
        <v>0</v>
      </c>
      <c r="V2138" s="7" t="n">
        <f aca="false">IF(AND(R2138=1,O2138&gt;Q2138),1,0)</f>
        <v>0</v>
      </c>
      <c r="W2138" s="7" t="n">
        <f aca="false">IF(AND(T2138=1,P2138&lt;&gt;"",P2138&lt;=Q2138),1,0)</f>
        <v>0</v>
      </c>
    </row>
    <row r="2139" customFormat="false" ht="15" hidden="false" customHeight="false" outlineLevel="0" collapsed="false">
      <c r="A2139" s="7" t="s">
        <v>2563</v>
      </c>
      <c r="B2139" s="7" t="s">
        <v>46</v>
      </c>
      <c r="C2139" s="7" t="s">
        <v>177</v>
      </c>
      <c r="D2139" s="7" t="s">
        <v>173</v>
      </c>
      <c r="E2139" s="7" t="s">
        <v>174</v>
      </c>
      <c r="F2139" s="7" t="s">
        <v>56</v>
      </c>
      <c r="G2139" s="7" t="s">
        <v>19</v>
      </c>
      <c r="H2139" s="9" t="n">
        <v>46154</v>
      </c>
      <c r="I2139" s="9"/>
      <c r="J2139" s="7" t="n">
        <v>9.8</v>
      </c>
      <c r="K2139" s="7" t="s">
        <v>2260</v>
      </c>
      <c r="L2139" s="7" t="s">
        <v>20</v>
      </c>
      <c r="M2139" s="7" t="s">
        <v>2564</v>
      </c>
      <c r="N2139" s="7" t="s">
        <v>58</v>
      </c>
      <c r="O2139" s="10" t="n">
        <f aca="false">'Exec Summary'!$E$2-H2139</f>
        <v>80</v>
      </c>
      <c r="P2139" s="10" t="str">
        <f aca="false">IF(I2139="","",I2139-H2139)</f>
        <v/>
      </c>
      <c r="Q2139" s="10" t="n">
        <f aca="false">VLOOKUP(G2139,$AA$2:$AB$5,2,FALSE())</f>
        <v>15</v>
      </c>
      <c r="R2139" s="7" t="n">
        <f aca="false">IF(OR(F2139="Open",F2139="Reopened"),1,0)</f>
        <v>1</v>
      </c>
      <c r="S2139" s="7" t="n">
        <f aca="false">IF(AND(H2139&gt;='Exec Summary'!$E$1,H2139&lt;='Exec Summary'!$E$2),1,0)</f>
        <v>0</v>
      </c>
      <c r="T2139" s="7" t="n">
        <f aca="false">IF(AND(F2139="Closed",I2139&lt;&gt;"",I2139&gt;='Exec Summary'!$E$1,I2139&lt;='Exec Summary'!$E$2),1,0)</f>
        <v>0</v>
      </c>
      <c r="U2139" s="7" t="n">
        <f aca="false">IF(F2139="Reopened",1,0)</f>
        <v>0</v>
      </c>
      <c r="V2139" s="7" t="n">
        <f aca="false">IF(AND(R2139=1,O2139&gt;Q2139),1,0)</f>
        <v>1</v>
      </c>
      <c r="W2139" s="7" t="n">
        <f aca="false">IF(AND(T2139=1,P2139&lt;&gt;"",P2139&lt;=Q2139),1,0)</f>
        <v>0</v>
      </c>
    </row>
    <row r="2140" customFormat="false" ht="15" hidden="false" customHeight="false" outlineLevel="0" collapsed="false">
      <c r="A2140" s="7" t="s">
        <v>2563</v>
      </c>
      <c r="B2140" s="7" t="s">
        <v>46</v>
      </c>
      <c r="C2140" s="7" t="s">
        <v>177</v>
      </c>
      <c r="D2140" s="7" t="s">
        <v>98</v>
      </c>
      <c r="E2140" s="7" t="s">
        <v>99</v>
      </c>
      <c r="F2140" s="7" t="s">
        <v>50</v>
      </c>
      <c r="G2140" s="7" t="s">
        <v>19</v>
      </c>
      <c r="H2140" s="9" t="n">
        <v>45960</v>
      </c>
      <c r="I2140" s="9" t="n">
        <v>45970</v>
      </c>
      <c r="J2140" s="7" t="n">
        <v>10</v>
      </c>
      <c r="K2140" s="7" t="s">
        <v>2260</v>
      </c>
      <c r="L2140" s="7" t="s">
        <v>20</v>
      </c>
      <c r="M2140" s="7" t="s">
        <v>2565</v>
      </c>
      <c r="N2140" s="7" t="s">
        <v>58</v>
      </c>
      <c r="O2140" s="10" t="n">
        <f aca="false">'Exec Summary'!$E$2-H2140</f>
        <v>274</v>
      </c>
      <c r="P2140" s="10" t="n">
        <f aca="false">IF(I2140="","",I2140-H2140)</f>
        <v>10</v>
      </c>
      <c r="Q2140" s="10" t="n">
        <f aca="false">VLOOKUP(G2140,$AA$2:$AB$5,2,FALSE())</f>
        <v>15</v>
      </c>
      <c r="R2140" s="7" t="n">
        <f aca="false">IF(OR(F2140="Open",F2140="Reopened"),1,0)</f>
        <v>0</v>
      </c>
      <c r="S2140" s="7" t="n">
        <f aca="false">IF(AND(H2140&gt;='Exec Summary'!$E$1,H2140&lt;='Exec Summary'!$E$2),1,0)</f>
        <v>0</v>
      </c>
      <c r="T2140" s="7" t="n">
        <f aca="false">IF(AND(F2140="Closed",I2140&lt;&gt;"",I2140&gt;='Exec Summary'!$E$1,I2140&lt;='Exec Summary'!$E$2),1,0)</f>
        <v>0</v>
      </c>
      <c r="U2140" s="7" t="n">
        <f aca="false">IF(F2140="Reopened",1,0)</f>
        <v>0</v>
      </c>
      <c r="V2140" s="7" t="n">
        <f aca="false">IF(AND(R2140=1,O2140&gt;Q2140),1,0)</f>
        <v>0</v>
      </c>
      <c r="W2140" s="7" t="n">
        <f aca="false">IF(AND(T2140=1,P2140&lt;&gt;"",P2140&lt;=Q2140),1,0)</f>
        <v>0</v>
      </c>
    </row>
    <row r="2141" customFormat="false" ht="15" hidden="false" customHeight="false" outlineLevel="0" collapsed="false">
      <c r="A2141" s="7" t="s">
        <v>2563</v>
      </c>
      <c r="B2141" s="7" t="s">
        <v>46</v>
      </c>
      <c r="C2141" s="7" t="s">
        <v>177</v>
      </c>
      <c r="D2141" s="7" t="s">
        <v>163</v>
      </c>
      <c r="E2141" s="7" t="s">
        <v>164</v>
      </c>
      <c r="F2141" s="7" t="s">
        <v>56</v>
      </c>
      <c r="G2141" s="7" t="s">
        <v>19</v>
      </c>
      <c r="H2141" s="9" t="n">
        <v>46135</v>
      </c>
      <c r="I2141" s="9"/>
      <c r="J2141" s="7" t="n">
        <v>9.1</v>
      </c>
      <c r="K2141" s="7" t="s">
        <v>2260</v>
      </c>
      <c r="L2141" s="7" t="s">
        <v>20</v>
      </c>
      <c r="M2141" s="7" t="s">
        <v>2566</v>
      </c>
      <c r="N2141" s="7" t="s">
        <v>58</v>
      </c>
      <c r="O2141" s="10" t="n">
        <f aca="false">'Exec Summary'!$E$2-H2141</f>
        <v>99</v>
      </c>
      <c r="P2141" s="10" t="str">
        <f aca="false">IF(I2141="","",I2141-H2141)</f>
        <v/>
      </c>
      <c r="Q2141" s="10" t="n">
        <f aca="false">VLOOKUP(G2141,$AA$2:$AB$5,2,FALSE())</f>
        <v>15</v>
      </c>
      <c r="R2141" s="7" t="n">
        <f aca="false">IF(OR(F2141="Open",F2141="Reopened"),1,0)</f>
        <v>1</v>
      </c>
      <c r="S2141" s="7" t="n">
        <f aca="false">IF(AND(H2141&gt;='Exec Summary'!$E$1,H2141&lt;='Exec Summary'!$E$2),1,0)</f>
        <v>0</v>
      </c>
      <c r="T2141" s="7" t="n">
        <f aca="false">IF(AND(F2141="Closed",I2141&lt;&gt;"",I2141&gt;='Exec Summary'!$E$1,I2141&lt;='Exec Summary'!$E$2),1,0)</f>
        <v>0</v>
      </c>
      <c r="U2141" s="7" t="n">
        <f aca="false">IF(F2141="Reopened",1,0)</f>
        <v>0</v>
      </c>
      <c r="V2141" s="7" t="n">
        <f aca="false">IF(AND(R2141=1,O2141&gt;Q2141),1,0)</f>
        <v>1</v>
      </c>
      <c r="W2141" s="7" t="n">
        <f aca="false">IF(AND(T2141=1,P2141&lt;&gt;"",P2141&lt;=Q2141),1,0)</f>
        <v>0</v>
      </c>
    </row>
    <row r="2142" customFormat="false" ht="15" hidden="false" customHeight="false" outlineLevel="0" collapsed="false">
      <c r="A2142" s="7" t="s">
        <v>2563</v>
      </c>
      <c r="B2142" s="7" t="s">
        <v>46</v>
      </c>
      <c r="C2142" s="7" t="s">
        <v>177</v>
      </c>
      <c r="D2142" s="7" t="s">
        <v>210</v>
      </c>
      <c r="E2142" s="7" t="s">
        <v>211</v>
      </c>
      <c r="F2142" s="7" t="s">
        <v>50</v>
      </c>
      <c r="G2142" s="7" t="s">
        <v>19</v>
      </c>
      <c r="H2142" s="9" t="n">
        <v>46024</v>
      </c>
      <c r="I2142" s="9" t="n">
        <v>46033</v>
      </c>
      <c r="J2142" s="7" t="n">
        <v>9.8</v>
      </c>
      <c r="K2142" s="7" t="s">
        <v>2260</v>
      </c>
      <c r="L2142" s="7" t="s">
        <v>20</v>
      </c>
      <c r="M2142" s="7" t="s">
        <v>2567</v>
      </c>
      <c r="N2142" s="7" t="s">
        <v>58</v>
      </c>
      <c r="O2142" s="10" t="n">
        <f aca="false">'Exec Summary'!$E$2-H2142</f>
        <v>210</v>
      </c>
      <c r="P2142" s="10" t="n">
        <f aca="false">IF(I2142="","",I2142-H2142)</f>
        <v>9</v>
      </c>
      <c r="Q2142" s="10" t="n">
        <f aca="false">VLOOKUP(G2142,$AA$2:$AB$5,2,FALSE())</f>
        <v>15</v>
      </c>
      <c r="R2142" s="7" t="n">
        <f aca="false">IF(OR(F2142="Open",F2142="Reopened"),1,0)</f>
        <v>0</v>
      </c>
      <c r="S2142" s="7" t="n">
        <f aca="false">IF(AND(H2142&gt;='Exec Summary'!$E$1,H2142&lt;='Exec Summary'!$E$2),1,0)</f>
        <v>0</v>
      </c>
      <c r="T2142" s="7" t="n">
        <f aca="false">IF(AND(F2142="Closed",I2142&lt;&gt;"",I2142&gt;='Exec Summary'!$E$1,I2142&lt;='Exec Summary'!$E$2),1,0)</f>
        <v>0</v>
      </c>
      <c r="U2142" s="7" t="n">
        <f aca="false">IF(F2142="Reopened",1,0)</f>
        <v>0</v>
      </c>
      <c r="V2142" s="7" t="n">
        <f aca="false">IF(AND(R2142=1,O2142&gt;Q2142),1,0)</f>
        <v>0</v>
      </c>
      <c r="W2142" s="7" t="n">
        <f aca="false">IF(AND(T2142=1,P2142&lt;&gt;"",P2142&lt;=Q2142),1,0)</f>
        <v>0</v>
      </c>
    </row>
    <row r="2143" customFormat="false" ht="15" hidden="false" customHeight="false" outlineLevel="0" collapsed="false">
      <c r="A2143" s="7" t="s">
        <v>2563</v>
      </c>
      <c r="B2143" s="7" t="s">
        <v>46</v>
      </c>
      <c r="C2143" s="7" t="s">
        <v>177</v>
      </c>
      <c r="D2143" s="7" t="s">
        <v>206</v>
      </c>
      <c r="E2143" s="7" t="s">
        <v>207</v>
      </c>
      <c r="F2143" s="7" t="s">
        <v>50</v>
      </c>
      <c r="G2143" s="7" t="s">
        <v>20</v>
      </c>
      <c r="H2143" s="9" t="n">
        <v>46054</v>
      </c>
      <c r="I2143" s="9" t="n">
        <v>46074</v>
      </c>
      <c r="J2143" s="7" t="n">
        <v>8.8</v>
      </c>
      <c r="K2143" s="7" t="s">
        <v>2260</v>
      </c>
      <c r="L2143" s="7" t="s">
        <v>20</v>
      </c>
      <c r="M2143" s="7" t="s">
        <v>2568</v>
      </c>
      <c r="N2143" s="7" t="s">
        <v>53</v>
      </c>
      <c r="O2143" s="10" t="n">
        <f aca="false">'Exec Summary'!$E$2-H2143</f>
        <v>180</v>
      </c>
      <c r="P2143" s="10" t="n">
        <f aca="false">IF(I2143="","",I2143-H2143)</f>
        <v>20</v>
      </c>
      <c r="Q2143" s="10" t="n">
        <f aca="false">VLOOKUP(G2143,$AA$2:$AB$5,2,FALSE())</f>
        <v>30</v>
      </c>
      <c r="R2143" s="7" t="n">
        <f aca="false">IF(OR(F2143="Open",F2143="Reopened"),1,0)</f>
        <v>0</v>
      </c>
      <c r="S2143" s="7" t="n">
        <f aca="false">IF(AND(H2143&gt;='Exec Summary'!$E$1,H2143&lt;='Exec Summary'!$E$2),1,0)</f>
        <v>0</v>
      </c>
      <c r="T2143" s="7" t="n">
        <f aca="false">IF(AND(F2143="Closed",I2143&lt;&gt;"",I2143&gt;='Exec Summary'!$E$1,I2143&lt;='Exec Summary'!$E$2),1,0)</f>
        <v>0</v>
      </c>
      <c r="U2143" s="7" t="n">
        <f aca="false">IF(F2143="Reopened",1,0)</f>
        <v>0</v>
      </c>
      <c r="V2143" s="7" t="n">
        <f aca="false">IF(AND(R2143=1,O2143&gt;Q2143),1,0)</f>
        <v>0</v>
      </c>
      <c r="W2143" s="7" t="n">
        <f aca="false">IF(AND(T2143=1,P2143&lt;&gt;"",P2143&lt;=Q2143),1,0)</f>
        <v>0</v>
      </c>
    </row>
    <row r="2144" customFormat="false" ht="15" hidden="false" customHeight="false" outlineLevel="0" collapsed="false">
      <c r="A2144" s="7" t="s">
        <v>2563</v>
      </c>
      <c r="B2144" s="7" t="s">
        <v>46</v>
      </c>
      <c r="C2144" s="7" t="s">
        <v>177</v>
      </c>
      <c r="D2144" s="7" t="s">
        <v>91</v>
      </c>
      <c r="E2144" s="7" t="s">
        <v>92</v>
      </c>
      <c r="F2144" s="7" t="s">
        <v>50</v>
      </c>
      <c r="G2144" s="7" t="s">
        <v>20</v>
      </c>
      <c r="H2144" s="9" t="n">
        <v>46176</v>
      </c>
      <c r="I2144" s="9" t="n">
        <v>46201</v>
      </c>
      <c r="J2144" s="7" t="n">
        <v>8.1</v>
      </c>
      <c r="K2144" s="7" t="s">
        <v>2260</v>
      </c>
      <c r="L2144" s="7" t="s">
        <v>20</v>
      </c>
      <c r="M2144" s="7" t="s">
        <v>2569</v>
      </c>
      <c r="N2144" s="7" t="s">
        <v>53</v>
      </c>
      <c r="O2144" s="10" t="n">
        <f aca="false">'Exec Summary'!$E$2-H2144</f>
        <v>58</v>
      </c>
      <c r="P2144" s="10" t="n">
        <f aca="false">IF(I2144="","",I2144-H2144)</f>
        <v>25</v>
      </c>
      <c r="Q2144" s="10" t="n">
        <f aca="false">VLOOKUP(G2144,$AA$2:$AB$5,2,FALSE())</f>
        <v>30</v>
      </c>
      <c r="R2144" s="7" t="n">
        <f aca="false">IF(OR(F2144="Open",F2144="Reopened"),1,0)</f>
        <v>0</v>
      </c>
      <c r="S2144" s="7" t="n">
        <f aca="false">IF(AND(H2144&gt;='Exec Summary'!$E$1,H2144&lt;='Exec Summary'!$E$2),1,0)</f>
        <v>0</v>
      </c>
      <c r="T2144" s="7" t="n">
        <f aca="false">IF(AND(F2144="Closed",I2144&lt;&gt;"",I2144&gt;='Exec Summary'!$E$1,I2144&lt;='Exec Summary'!$E$2),1,0)</f>
        <v>0</v>
      </c>
      <c r="U2144" s="7" t="n">
        <f aca="false">IF(F2144="Reopened",1,0)</f>
        <v>0</v>
      </c>
      <c r="V2144" s="7" t="n">
        <f aca="false">IF(AND(R2144=1,O2144&gt;Q2144),1,0)</f>
        <v>0</v>
      </c>
      <c r="W2144" s="7" t="n">
        <f aca="false">IF(AND(T2144=1,P2144&lt;&gt;"",P2144&lt;=Q2144),1,0)</f>
        <v>0</v>
      </c>
    </row>
    <row r="2145" customFormat="false" ht="15" hidden="false" customHeight="false" outlineLevel="0" collapsed="false">
      <c r="A2145" s="7" t="s">
        <v>2563</v>
      </c>
      <c r="B2145" s="7" t="s">
        <v>46</v>
      </c>
      <c r="C2145" s="7" t="s">
        <v>177</v>
      </c>
      <c r="D2145" s="7" t="s">
        <v>145</v>
      </c>
      <c r="E2145" s="7" t="s">
        <v>146</v>
      </c>
      <c r="F2145" s="7" t="s">
        <v>56</v>
      </c>
      <c r="G2145" s="7" t="s">
        <v>19</v>
      </c>
      <c r="H2145" s="9" t="n">
        <v>46101</v>
      </c>
      <c r="I2145" s="9"/>
      <c r="J2145" s="7" t="n">
        <v>9.8</v>
      </c>
      <c r="K2145" s="7" t="s">
        <v>2260</v>
      </c>
      <c r="L2145" s="7" t="s">
        <v>20</v>
      </c>
      <c r="M2145" s="7" t="s">
        <v>2570</v>
      </c>
      <c r="N2145" s="7" t="s">
        <v>58</v>
      </c>
      <c r="O2145" s="10" t="n">
        <f aca="false">'Exec Summary'!$E$2-H2145</f>
        <v>133</v>
      </c>
      <c r="P2145" s="10" t="str">
        <f aca="false">IF(I2145="","",I2145-H2145)</f>
        <v/>
      </c>
      <c r="Q2145" s="10" t="n">
        <f aca="false">VLOOKUP(G2145,$AA$2:$AB$5,2,FALSE())</f>
        <v>15</v>
      </c>
      <c r="R2145" s="7" t="n">
        <f aca="false">IF(OR(F2145="Open",F2145="Reopened"),1,0)</f>
        <v>1</v>
      </c>
      <c r="S2145" s="7" t="n">
        <f aca="false">IF(AND(H2145&gt;='Exec Summary'!$E$1,H2145&lt;='Exec Summary'!$E$2),1,0)</f>
        <v>0</v>
      </c>
      <c r="T2145" s="7" t="n">
        <f aca="false">IF(AND(F2145="Closed",I2145&lt;&gt;"",I2145&gt;='Exec Summary'!$E$1,I2145&lt;='Exec Summary'!$E$2),1,0)</f>
        <v>0</v>
      </c>
      <c r="U2145" s="7" t="n">
        <f aca="false">IF(F2145="Reopened",1,0)</f>
        <v>0</v>
      </c>
      <c r="V2145" s="7" t="n">
        <f aca="false">IF(AND(R2145=1,O2145&gt;Q2145),1,0)</f>
        <v>1</v>
      </c>
      <c r="W2145" s="7" t="n">
        <f aca="false">IF(AND(T2145=1,P2145&lt;&gt;"",P2145&lt;=Q2145),1,0)</f>
        <v>0</v>
      </c>
    </row>
    <row r="2146" customFormat="false" ht="15" hidden="false" customHeight="false" outlineLevel="0" collapsed="false">
      <c r="A2146" s="7" t="s">
        <v>2563</v>
      </c>
      <c r="B2146" s="7" t="s">
        <v>46</v>
      </c>
      <c r="C2146" s="7" t="s">
        <v>177</v>
      </c>
      <c r="D2146" s="7" t="s">
        <v>139</v>
      </c>
      <c r="E2146" s="7" t="s">
        <v>140</v>
      </c>
      <c r="F2146" s="7" t="s">
        <v>56</v>
      </c>
      <c r="G2146" s="7" t="s">
        <v>19</v>
      </c>
      <c r="H2146" s="9" t="n">
        <v>46153</v>
      </c>
      <c r="I2146" s="9"/>
      <c r="J2146" s="7" t="n">
        <v>9.8</v>
      </c>
      <c r="K2146" s="7" t="s">
        <v>2260</v>
      </c>
      <c r="L2146" s="7" t="s">
        <v>20</v>
      </c>
      <c r="M2146" s="7" t="s">
        <v>2571</v>
      </c>
      <c r="N2146" s="7" t="s">
        <v>58</v>
      </c>
      <c r="O2146" s="10" t="n">
        <f aca="false">'Exec Summary'!$E$2-H2146</f>
        <v>81</v>
      </c>
      <c r="P2146" s="10" t="str">
        <f aca="false">IF(I2146="","",I2146-H2146)</f>
        <v/>
      </c>
      <c r="Q2146" s="10" t="n">
        <f aca="false">VLOOKUP(G2146,$AA$2:$AB$5,2,FALSE())</f>
        <v>15</v>
      </c>
      <c r="R2146" s="7" t="n">
        <f aca="false">IF(OR(F2146="Open",F2146="Reopened"),1,0)</f>
        <v>1</v>
      </c>
      <c r="S2146" s="7" t="n">
        <f aca="false">IF(AND(H2146&gt;='Exec Summary'!$E$1,H2146&lt;='Exec Summary'!$E$2),1,0)</f>
        <v>0</v>
      </c>
      <c r="T2146" s="7" t="n">
        <f aca="false">IF(AND(F2146="Closed",I2146&lt;&gt;"",I2146&gt;='Exec Summary'!$E$1,I2146&lt;='Exec Summary'!$E$2),1,0)</f>
        <v>0</v>
      </c>
      <c r="U2146" s="7" t="n">
        <f aca="false">IF(F2146="Reopened",1,0)</f>
        <v>0</v>
      </c>
      <c r="V2146" s="7" t="n">
        <f aca="false">IF(AND(R2146=1,O2146&gt;Q2146),1,0)</f>
        <v>1</v>
      </c>
      <c r="W2146" s="7" t="n">
        <f aca="false">IF(AND(T2146=1,P2146&lt;&gt;"",P2146&lt;=Q2146),1,0)</f>
        <v>0</v>
      </c>
    </row>
    <row r="2147" customFormat="false" ht="15" hidden="false" customHeight="false" outlineLevel="0" collapsed="false">
      <c r="A2147" s="7" t="s">
        <v>2563</v>
      </c>
      <c r="B2147" s="7" t="s">
        <v>46</v>
      </c>
      <c r="C2147" s="7" t="s">
        <v>177</v>
      </c>
      <c r="D2147" s="7" t="s">
        <v>62</v>
      </c>
      <c r="E2147" s="7" t="s">
        <v>63</v>
      </c>
      <c r="F2147" s="7" t="s">
        <v>50</v>
      </c>
      <c r="G2147" s="7" t="s">
        <v>20</v>
      </c>
      <c r="H2147" s="9" t="n">
        <v>46094</v>
      </c>
      <c r="I2147" s="9" t="n">
        <v>46109</v>
      </c>
      <c r="J2147" s="7" t="n">
        <v>8.1</v>
      </c>
      <c r="K2147" s="7" t="s">
        <v>2260</v>
      </c>
      <c r="L2147" s="7" t="s">
        <v>20</v>
      </c>
      <c r="M2147" s="7" t="s">
        <v>2572</v>
      </c>
      <c r="N2147" s="7" t="s">
        <v>53</v>
      </c>
      <c r="O2147" s="10" t="n">
        <f aca="false">'Exec Summary'!$E$2-H2147</f>
        <v>140</v>
      </c>
      <c r="P2147" s="10" t="n">
        <f aca="false">IF(I2147="","",I2147-H2147)</f>
        <v>15</v>
      </c>
      <c r="Q2147" s="10" t="n">
        <f aca="false">VLOOKUP(G2147,$AA$2:$AB$5,2,FALSE())</f>
        <v>30</v>
      </c>
      <c r="R2147" s="7" t="n">
        <f aca="false">IF(OR(F2147="Open",F2147="Reopened"),1,0)</f>
        <v>0</v>
      </c>
      <c r="S2147" s="7" t="n">
        <f aca="false">IF(AND(H2147&gt;='Exec Summary'!$E$1,H2147&lt;='Exec Summary'!$E$2),1,0)</f>
        <v>0</v>
      </c>
      <c r="T2147" s="7" t="n">
        <f aca="false">IF(AND(F2147="Closed",I2147&lt;&gt;"",I2147&gt;='Exec Summary'!$E$1,I2147&lt;='Exec Summary'!$E$2),1,0)</f>
        <v>0</v>
      </c>
      <c r="U2147" s="7" t="n">
        <f aca="false">IF(F2147="Reopened",1,0)</f>
        <v>0</v>
      </c>
      <c r="V2147" s="7" t="n">
        <f aca="false">IF(AND(R2147=1,O2147&gt;Q2147),1,0)</f>
        <v>0</v>
      </c>
      <c r="W2147" s="7" t="n">
        <f aca="false">IF(AND(T2147=1,P2147&lt;&gt;"",P2147&lt;=Q2147),1,0)</f>
        <v>0</v>
      </c>
    </row>
    <row r="2148" customFormat="false" ht="15" hidden="false" customHeight="false" outlineLevel="0" collapsed="false">
      <c r="A2148" s="7" t="s">
        <v>2563</v>
      </c>
      <c r="B2148" s="7" t="s">
        <v>46</v>
      </c>
      <c r="C2148" s="7" t="s">
        <v>177</v>
      </c>
      <c r="D2148" s="7" t="s">
        <v>68</v>
      </c>
      <c r="E2148" s="7" t="s">
        <v>69</v>
      </c>
      <c r="F2148" s="7" t="s">
        <v>56</v>
      </c>
      <c r="G2148" s="7" t="s">
        <v>19</v>
      </c>
      <c r="H2148" s="9" t="n">
        <v>46190</v>
      </c>
      <c r="I2148" s="9"/>
      <c r="J2148" s="7" t="n">
        <v>9.8</v>
      </c>
      <c r="K2148" s="7" t="s">
        <v>2260</v>
      </c>
      <c r="L2148" s="7" t="s">
        <v>20</v>
      </c>
      <c r="M2148" s="7" t="s">
        <v>2573</v>
      </c>
      <c r="N2148" s="7" t="s">
        <v>58</v>
      </c>
      <c r="O2148" s="10" t="n">
        <f aca="false">'Exec Summary'!$E$2-H2148</f>
        <v>44</v>
      </c>
      <c r="P2148" s="10" t="str">
        <f aca="false">IF(I2148="","",I2148-H2148)</f>
        <v/>
      </c>
      <c r="Q2148" s="10" t="n">
        <f aca="false">VLOOKUP(G2148,$AA$2:$AB$5,2,FALSE())</f>
        <v>15</v>
      </c>
      <c r="R2148" s="7" t="n">
        <f aca="false">IF(OR(F2148="Open",F2148="Reopened"),1,0)</f>
        <v>1</v>
      </c>
      <c r="S2148" s="7" t="n">
        <f aca="false">IF(AND(H2148&gt;='Exec Summary'!$E$1,H2148&lt;='Exec Summary'!$E$2),1,0)</f>
        <v>0</v>
      </c>
      <c r="T2148" s="7" t="n">
        <f aca="false">IF(AND(F2148="Closed",I2148&lt;&gt;"",I2148&gt;='Exec Summary'!$E$1,I2148&lt;='Exec Summary'!$E$2),1,0)</f>
        <v>0</v>
      </c>
      <c r="U2148" s="7" t="n">
        <f aca="false">IF(F2148="Reopened",1,0)</f>
        <v>0</v>
      </c>
      <c r="V2148" s="7" t="n">
        <f aca="false">IF(AND(R2148=1,O2148&gt;Q2148),1,0)</f>
        <v>1</v>
      </c>
      <c r="W2148" s="7" t="n">
        <f aca="false">IF(AND(T2148=1,P2148&lt;&gt;"",P2148&lt;=Q2148),1,0)</f>
        <v>0</v>
      </c>
    </row>
    <row r="2149" customFormat="false" ht="15" hidden="false" customHeight="false" outlineLevel="0" collapsed="false">
      <c r="A2149" s="7" t="s">
        <v>2563</v>
      </c>
      <c r="B2149" s="7" t="s">
        <v>46</v>
      </c>
      <c r="C2149" s="7" t="s">
        <v>177</v>
      </c>
      <c r="D2149" s="7" t="s">
        <v>166</v>
      </c>
      <c r="E2149" s="7" t="s">
        <v>167</v>
      </c>
      <c r="F2149" s="7" t="s">
        <v>56</v>
      </c>
      <c r="G2149" s="7" t="s">
        <v>19</v>
      </c>
      <c r="H2149" s="9" t="n">
        <v>46189</v>
      </c>
      <c r="I2149" s="9"/>
      <c r="J2149" s="7" t="n">
        <v>9.8</v>
      </c>
      <c r="K2149" s="7" t="s">
        <v>2260</v>
      </c>
      <c r="L2149" s="7" t="s">
        <v>20</v>
      </c>
      <c r="M2149" s="7" t="s">
        <v>2574</v>
      </c>
      <c r="N2149" s="7" t="s">
        <v>58</v>
      </c>
      <c r="O2149" s="10" t="n">
        <f aca="false">'Exec Summary'!$E$2-H2149</f>
        <v>45</v>
      </c>
      <c r="P2149" s="10" t="str">
        <f aca="false">IF(I2149="","",I2149-H2149)</f>
        <v/>
      </c>
      <c r="Q2149" s="10" t="n">
        <f aca="false">VLOOKUP(G2149,$AA$2:$AB$5,2,FALSE())</f>
        <v>15</v>
      </c>
      <c r="R2149" s="7" t="n">
        <f aca="false">IF(OR(F2149="Open",F2149="Reopened"),1,0)</f>
        <v>1</v>
      </c>
      <c r="S2149" s="7" t="n">
        <f aca="false">IF(AND(H2149&gt;='Exec Summary'!$E$1,H2149&lt;='Exec Summary'!$E$2),1,0)</f>
        <v>0</v>
      </c>
      <c r="T2149" s="7" t="n">
        <f aca="false">IF(AND(F2149="Closed",I2149&lt;&gt;"",I2149&gt;='Exec Summary'!$E$1,I2149&lt;='Exec Summary'!$E$2),1,0)</f>
        <v>0</v>
      </c>
      <c r="U2149" s="7" t="n">
        <f aca="false">IF(F2149="Reopened",1,0)</f>
        <v>0</v>
      </c>
      <c r="V2149" s="7" t="n">
        <f aca="false">IF(AND(R2149=1,O2149&gt;Q2149),1,0)</f>
        <v>1</v>
      </c>
      <c r="W2149" s="7" t="n">
        <f aca="false">IF(AND(T2149=1,P2149&lt;&gt;"",P2149&lt;=Q2149),1,0)</f>
        <v>0</v>
      </c>
    </row>
    <row r="2150" customFormat="false" ht="15" hidden="false" customHeight="false" outlineLevel="0" collapsed="false">
      <c r="A2150" s="7" t="s">
        <v>2563</v>
      </c>
      <c r="B2150" s="7" t="s">
        <v>46</v>
      </c>
      <c r="C2150" s="7" t="s">
        <v>177</v>
      </c>
      <c r="D2150" s="7" t="s">
        <v>104</v>
      </c>
      <c r="E2150" s="7" t="s">
        <v>105</v>
      </c>
      <c r="F2150" s="7" t="s">
        <v>50</v>
      </c>
      <c r="G2150" s="7" t="s">
        <v>19</v>
      </c>
      <c r="H2150" s="9" t="n">
        <v>46064</v>
      </c>
      <c r="I2150" s="9" t="n">
        <v>46070</v>
      </c>
      <c r="J2150" s="7" t="n">
        <v>9.8</v>
      </c>
      <c r="K2150" s="7" t="s">
        <v>2260</v>
      </c>
      <c r="L2150" s="7" t="s">
        <v>20</v>
      </c>
      <c r="M2150" s="7" t="s">
        <v>2575</v>
      </c>
      <c r="N2150" s="7" t="s">
        <v>58</v>
      </c>
      <c r="O2150" s="10" t="n">
        <f aca="false">'Exec Summary'!$E$2-H2150</f>
        <v>170</v>
      </c>
      <c r="P2150" s="10" t="n">
        <f aca="false">IF(I2150="","",I2150-H2150)</f>
        <v>6</v>
      </c>
      <c r="Q2150" s="10" t="n">
        <f aca="false">VLOOKUP(G2150,$AA$2:$AB$5,2,FALSE())</f>
        <v>15</v>
      </c>
      <c r="R2150" s="7" t="n">
        <f aca="false">IF(OR(F2150="Open",F2150="Reopened"),1,0)</f>
        <v>0</v>
      </c>
      <c r="S2150" s="7" t="n">
        <f aca="false">IF(AND(H2150&gt;='Exec Summary'!$E$1,H2150&lt;='Exec Summary'!$E$2),1,0)</f>
        <v>0</v>
      </c>
      <c r="T2150" s="7" t="n">
        <f aca="false">IF(AND(F2150="Closed",I2150&lt;&gt;"",I2150&gt;='Exec Summary'!$E$1,I2150&lt;='Exec Summary'!$E$2),1,0)</f>
        <v>0</v>
      </c>
      <c r="U2150" s="7" t="n">
        <f aca="false">IF(F2150="Reopened",1,0)</f>
        <v>0</v>
      </c>
      <c r="V2150" s="7" t="n">
        <f aca="false">IF(AND(R2150=1,O2150&gt;Q2150),1,0)</f>
        <v>0</v>
      </c>
      <c r="W2150" s="7" t="n">
        <f aca="false">IF(AND(T2150=1,P2150&lt;&gt;"",P2150&lt;=Q2150),1,0)</f>
        <v>0</v>
      </c>
    </row>
    <row r="2151" customFormat="false" ht="15" hidden="false" customHeight="false" outlineLevel="0" collapsed="false">
      <c r="A2151" s="7" t="s">
        <v>2563</v>
      </c>
      <c r="B2151" s="7" t="s">
        <v>46</v>
      </c>
      <c r="C2151" s="7" t="s">
        <v>177</v>
      </c>
      <c r="D2151" s="7" t="s">
        <v>59</v>
      </c>
      <c r="E2151" s="7" t="s">
        <v>60</v>
      </c>
      <c r="F2151" s="7" t="s">
        <v>56</v>
      </c>
      <c r="G2151" s="7" t="s">
        <v>19</v>
      </c>
      <c r="H2151" s="9" t="n">
        <v>46057</v>
      </c>
      <c r="I2151" s="9"/>
      <c r="J2151" s="7" t="n">
        <v>7.8</v>
      </c>
      <c r="K2151" s="7" t="s">
        <v>2260</v>
      </c>
      <c r="L2151" s="7" t="s">
        <v>20</v>
      </c>
      <c r="M2151" s="7" t="s">
        <v>2576</v>
      </c>
      <c r="N2151" s="7" t="s">
        <v>58</v>
      </c>
      <c r="O2151" s="10" t="n">
        <f aca="false">'Exec Summary'!$E$2-H2151</f>
        <v>177</v>
      </c>
      <c r="P2151" s="10" t="str">
        <f aca="false">IF(I2151="","",I2151-H2151)</f>
        <v/>
      </c>
      <c r="Q2151" s="10" t="n">
        <f aca="false">VLOOKUP(G2151,$AA$2:$AB$5,2,FALSE())</f>
        <v>15</v>
      </c>
      <c r="R2151" s="7" t="n">
        <f aca="false">IF(OR(F2151="Open",F2151="Reopened"),1,0)</f>
        <v>1</v>
      </c>
      <c r="S2151" s="7" t="n">
        <f aca="false">IF(AND(H2151&gt;='Exec Summary'!$E$1,H2151&lt;='Exec Summary'!$E$2),1,0)</f>
        <v>0</v>
      </c>
      <c r="T2151" s="7" t="n">
        <f aca="false">IF(AND(F2151="Closed",I2151&lt;&gt;"",I2151&gt;='Exec Summary'!$E$1,I2151&lt;='Exec Summary'!$E$2),1,0)</f>
        <v>0</v>
      </c>
      <c r="U2151" s="7" t="n">
        <f aca="false">IF(F2151="Reopened",1,0)</f>
        <v>0</v>
      </c>
      <c r="V2151" s="7" t="n">
        <f aca="false">IF(AND(R2151=1,O2151&gt;Q2151),1,0)</f>
        <v>1</v>
      </c>
      <c r="W2151" s="7" t="n">
        <f aca="false">IF(AND(T2151=1,P2151&lt;&gt;"",P2151&lt;=Q2151),1,0)</f>
        <v>0</v>
      </c>
    </row>
    <row r="2152" customFormat="false" ht="15" hidden="false" customHeight="false" outlineLevel="0" collapsed="false">
      <c r="A2152" s="7" t="s">
        <v>2563</v>
      </c>
      <c r="B2152" s="7" t="s">
        <v>46</v>
      </c>
      <c r="C2152" s="7" t="s">
        <v>177</v>
      </c>
      <c r="D2152" s="7" t="s">
        <v>108</v>
      </c>
      <c r="E2152" s="7" t="s">
        <v>109</v>
      </c>
      <c r="F2152" s="7" t="s">
        <v>50</v>
      </c>
      <c r="G2152" s="7" t="s">
        <v>20</v>
      </c>
      <c r="H2152" s="9" t="n">
        <v>46066</v>
      </c>
      <c r="I2152" s="9" t="n">
        <v>46092</v>
      </c>
      <c r="J2152" s="7" t="n">
        <v>8.6</v>
      </c>
      <c r="K2152" s="7" t="s">
        <v>2260</v>
      </c>
      <c r="L2152" s="7" t="s">
        <v>20</v>
      </c>
      <c r="M2152" s="7" t="s">
        <v>2577</v>
      </c>
      <c r="N2152" s="7" t="s">
        <v>53</v>
      </c>
      <c r="O2152" s="10" t="n">
        <f aca="false">'Exec Summary'!$E$2-H2152</f>
        <v>168</v>
      </c>
      <c r="P2152" s="10" t="n">
        <f aca="false">IF(I2152="","",I2152-H2152)</f>
        <v>26</v>
      </c>
      <c r="Q2152" s="10" t="n">
        <f aca="false">VLOOKUP(G2152,$AA$2:$AB$5,2,FALSE())</f>
        <v>30</v>
      </c>
      <c r="R2152" s="7" t="n">
        <f aca="false">IF(OR(F2152="Open",F2152="Reopened"),1,0)</f>
        <v>0</v>
      </c>
      <c r="S2152" s="7" t="n">
        <f aca="false">IF(AND(H2152&gt;='Exec Summary'!$E$1,H2152&lt;='Exec Summary'!$E$2),1,0)</f>
        <v>0</v>
      </c>
      <c r="T2152" s="7" t="n">
        <f aca="false">IF(AND(F2152="Closed",I2152&lt;&gt;"",I2152&gt;='Exec Summary'!$E$1,I2152&lt;='Exec Summary'!$E$2),1,0)</f>
        <v>0</v>
      </c>
      <c r="U2152" s="7" t="n">
        <f aca="false">IF(F2152="Reopened",1,0)</f>
        <v>0</v>
      </c>
      <c r="V2152" s="7" t="n">
        <f aca="false">IF(AND(R2152=1,O2152&gt;Q2152),1,0)</f>
        <v>0</v>
      </c>
      <c r="W2152" s="7" t="n">
        <f aca="false">IF(AND(T2152=1,P2152&lt;&gt;"",P2152&lt;=Q2152),1,0)</f>
        <v>0</v>
      </c>
    </row>
    <row r="2153" customFormat="false" ht="15" hidden="false" customHeight="false" outlineLevel="0" collapsed="false">
      <c r="A2153" s="7" t="s">
        <v>2578</v>
      </c>
      <c r="B2153" s="7" t="s">
        <v>46</v>
      </c>
      <c r="C2153" s="7" t="s">
        <v>128</v>
      </c>
      <c r="D2153" s="7" t="s">
        <v>68</v>
      </c>
      <c r="E2153" s="7" t="s">
        <v>69</v>
      </c>
      <c r="F2153" s="7" t="s">
        <v>56</v>
      </c>
      <c r="G2153" s="7" t="s">
        <v>19</v>
      </c>
      <c r="H2153" s="9" t="n">
        <v>45995</v>
      </c>
      <c r="I2153" s="9"/>
      <c r="J2153" s="7" t="n">
        <v>9.8</v>
      </c>
      <c r="K2153" s="7" t="s">
        <v>2260</v>
      </c>
      <c r="L2153" s="7" t="s">
        <v>20</v>
      </c>
      <c r="M2153" s="7" t="s">
        <v>2579</v>
      </c>
      <c r="N2153" s="7" t="s">
        <v>58</v>
      </c>
      <c r="O2153" s="10" t="n">
        <f aca="false">'Exec Summary'!$E$2-H2153</f>
        <v>239</v>
      </c>
      <c r="P2153" s="10" t="str">
        <f aca="false">IF(I2153="","",I2153-H2153)</f>
        <v/>
      </c>
      <c r="Q2153" s="10" t="n">
        <f aca="false">VLOOKUP(G2153,$AA$2:$AB$5,2,FALSE())</f>
        <v>15</v>
      </c>
      <c r="R2153" s="7" t="n">
        <f aca="false">IF(OR(F2153="Open",F2153="Reopened"),1,0)</f>
        <v>1</v>
      </c>
      <c r="S2153" s="7" t="n">
        <f aca="false">IF(AND(H2153&gt;='Exec Summary'!$E$1,H2153&lt;='Exec Summary'!$E$2),1,0)</f>
        <v>0</v>
      </c>
      <c r="T2153" s="7" t="n">
        <f aca="false">IF(AND(F2153="Closed",I2153&lt;&gt;"",I2153&gt;='Exec Summary'!$E$1,I2153&lt;='Exec Summary'!$E$2),1,0)</f>
        <v>0</v>
      </c>
      <c r="U2153" s="7" t="n">
        <f aca="false">IF(F2153="Reopened",1,0)</f>
        <v>0</v>
      </c>
      <c r="V2153" s="7" t="n">
        <f aca="false">IF(AND(R2153=1,O2153&gt;Q2153),1,0)</f>
        <v>1</v>
      </c>
      <c r="W2153" s="7" t="n">
        <f aca="false">IF(AND(T2153=1,P2153&lt;&gt;"",P2153&lt;=Q2153),1,0)</f>
        <v>0</v>
      </c>
    </row>
    <row r="2154" customFormat="false" ht="15" hidden="false" customHeight="false" outlineLevel="0" collapsed="false">
      <c r="A2154" s="7" t="s">
        <v>2578</v>
      </c>
      <c r="B2154" s="7" t="s">
        <v>46</v>
      </c>
      <c r="C2154" s="7" t="s">
        <v>128</v>
      </c>
      <c r="D2154" s="7" t="s">
        <v>139</v>
      </c>
      <c r="E2154" s="7" t="s">
        <v>140</v>
      </c>
      <c r="F2154" s="7" t="s">
        <v>50</v>
      </c>
      <c r="G2154" s="7" t="s">
        <v>19</v>
      </c>
      <c r="H2154" s="9" t="n">
        <v>46150</v>
      </c>
      <c r="I2154" s="9" t="n">
        <v>46165</v>
      </c>
      <c r="J2154" s="7" t="n">
        <v>9.8</v>
      </c>
      <c r="K2154" s="7" t="s">
        <v>2260</v>
      </c>
      <c r="L2154" s="7" t="s">
        <v>20</v>
      </c>
      <c r="M2154" s="7" t="s">
        <v>2580</v>
      </c>
      <c r="N2154" s="7" t="s">
        <v>58</v>
      </c>
      <c r="O2154" s="10" t="n">
        <f aca="false">'Exec Summary'!$E$2-H2154</f>
        <v>84</v>
      </c>
      <c r="P2154" s="10" t="n">
        <f aca="false">IF(I2154="","",I2154-H2154)</f>
        <v>15</v>
      </c>
      <c r="Q2154" s="10" t="n">
        <f aca="false">VLOOKUP(G2154,$AA$2:$AB$5,2,FALSE())</f>
        <v>15</v>
      </c>
      <c r="R2154" s="7" t="n">
        <f aca="false">IF(OR(F2154="Open",F2154="Reopened"),1,0)</f>
        <v>0</v>
      </c>
      <c r="S2154" s="7" t="n">
        <f aca="false">IF(AND(H2154&gt;='Exec Summary'!$E$1,H2154&lt;='Exec Summary'!$E$2),1,0)</f>
        <v>0</v>
      </c>
      <c r="T2154" s="7" t="n">
        <f aca="false">IF(AND(F2154="Closed",I2154&lt;&gt;"",I2154&gt;='Exec Summary'!$E$1,I2154&lt;='Exec Summary'!$E$2),1,0)</f>
        <v>0</v>
      </c>
      <c r="U2154" s="7" t="n">
        <f aca="false">IF(F2154="Reopened",1,0)</f>
        <v>0</v>
      </c>
      <c r="V2154" s="7" t="n">
        <f aca="false">IF(AND(R2154=1,O2154&gt;Q2154),1,0)</f>
        <v>0</v>
      </c>
      <c r="W2154" s="7" t="n">
        <f aca="false">IF(AND(T2154=1,P2154&lt;&gt;"",P2154&lt;=Q2154),1,0)</f>
        <v>0</v>
      </c>
    </row>
    <row r="2155" customFormat="false" ht="15" hidden="false" customHeight="false" outlineLevel="0" collapsed="false">
      <c r="A2155" s="7" t="s">
        <v>2578</v>
      </c>
      <c r="B2155" s="7" t="s">
        <v>46</v>
      </c>
      <c r="C2155" s="7" t="s">
        <v>128</v>
      </c>
      <c r="D2155" s="7" t="s">
        <v>131</v>
      </c>
      <c r="E2155" s="7" t="s">
        <v>132</v>
      </c>
      <c r="F2155" s="7" t="s">
        <v>50</v>
      </c>
      <c r="G2155" s="7" t="s">
        <v>19</v>
      </c>
      <c r="H2155" s="9" t="n">
        <v>46212</v>
      </c>
      <c r="I2155" s="9" t="n">
        <v>46220</v>
      </c>
      <c r="J2155" s="7" t="n">
        <v>9.8</v>
      </c>
      <c r="K2155" s="7" t="s">
        <v>2260</v>
      </c>
      <c r="L2155" s="7" t="s">
        <v>20</v>
      </c>
      <c r="M2155" s="7" t="s">
        <v>2581</v>
      </c>
      <c r="N2155" s="7" t="s">
        <v>58</v>
      </c>
      <c r="O2155" s="10" t="n">
        <f aca="false">'Exec Summary'!$E$2-H2155</f>
        <v>22</v>
      </c>
      <c r="P2155" s="10" t="n">
        <f aca="false">IF(I2155="","",I2155-H2155)</f>
        <v>8</v>
      </c>
      <c r="Q2155" s="10" t="n">
        <f aca="false">VLOOKUP(G2155,$AA$2:$AB$5,2,FALSE())</f>
        <v>15</v>
      </c>
      <c r="R2155" s="7" t="n">
        <f aca="false">IF(OR(F2155="Open",F2155="Reopened"),1,0)</f>
        <v>0</v>
      </c>
      <c r="S2155" s="7" t="n">
        <f aca="false">IF(AND(H2155&gt;='Exec Summary'!$E$1,H2155&lt;='Exec Summary'!$E$2),1,0)</f>
        <v>1</v>
      </c>
      <c r="T2155" s="7" t="n">
        <f aca="false">IF(AND(F2155="Closed",I2155&lt;&gt;"",I2155&gt;='Exec Summary'!$E$1,I2155&lt;='Exec Summary'!$E$2),1,0)</f>
        <v>1</v>
      </c>
      <c r="U2155" s="7" t="n">
        <f aca="false">IF(F2155="Reopened",1,0)</f>
        <v>0</v>
      </c>
      <c r="V2155" s="7" t="n">
        <f aca="false">IF(AND(R2155=1,O2155&gt;Q2155),1,0)</f>
        <v>0</v>
      </c>
      <c r="W2155" s="7" t="n">
        <f aca="false">IF(AND(T2155=1,P2155&lt;&gt;"",P2155&lt;=Q2155),1,0)</f>
        <v>1</v>
      </c>
    </row>
    <row r="2156" customFormat="false" ht="15" hidden="false" customHeight="false" outlineLevel="0" collapsed="false">
      <c r="A2156" s="7" t="s">
        <v>2578</v>
      </c>
      <c r="B2156" s="7" t="s">
        <v>46</v>
      </c>
      <c r="C2156" s="7" t="s">
        <v>128</v>
      </c>
      <c r="D2156" s="7" t="s">
        <v>81</v>
      </c>
      <c r="E2156" s="7" t="s">
        <v>82</v>
      </c>
      <c r="F2156" s="7" t="s">
        <v>50</v>
      </c>
      <c r="G2156" s="7" t="s">
        <v>20</v>
      </c>
      <c r="H2156" s="9" t="n">
        <v>45950</v>
      </c>
      <c r="I2156" s="9" t="n">
        <v>45997</v>
      </c>
      <c r="J2156" s="7" t="n">
        <v>7.8</v>
      </c>
      <c r="K2156" s="7" t="s">
        <v>2260</v>
      </c>
      <c r="L2156" s="7" t="s">
        <v>20</v>
      </c>
      <c r="M2156" s="7" t="s">
        <v>2582</v>
      </c>
      <c r="N2156" s="7" t="s">
        <v>53</v>
      </c>
      <c r="O2156" s="10" t="n">
        <f aca="false">'Exec Summary'!$E$2-H2156</f>
        <v>284</v>
      </c>
      <c r="P2156" s="10" t="n">
        <f aca="false">IF(I2156="","",I2156-H2156)</f>
        <v>47</v>
      </c>
      <c r="Q2156" s="10" t="n">
        <f aca="false">VLOOKUP(G2156,$AA$2:$AB$5,2,FALSE())</f>
        <v>30</v>
      </c>
      <c r="R2156" s="7" t="n">
        <f aca="false">IF(OR(F2156="Open",F2156="Reopened"),1,0)</f>
        <v>0</v>
      </c>
      <c r="S2156" s="7" t="n">
        <f aca="false">IF(AND(H2156&gt;='Exec Summary'!$E$1,H2156&lt;='Exec Summary'!$E$2),1,0)</f>
        <v>0</v>
      </c>
      <c r="T2156" s="7" t="n">
        <f aca="false">IF(AND(F2156="Closed",I2156&lt;&gt;"",I2156&gt;='Exec Summary'!$E$1,I2156&lt;='Exec Summary'!$E$2),1,0)</f>
        <v>0</v>
      </c>
      <c r="U2156" s="7" t="n">
        <f aca="false">IF(F2156="Reopened",1,0)</f>
        <v>0</v>
      </c>
      <c r="V2156" s="7" t="n">
        <f aca="false">IF(AND(R2156=1,O2156&gt;Q2156),1,0)</f>
        <v>0</v>
      </c>
      <c r="W2156" s="7" t="n">
        <f aca="false">IF(AND(T2156=1,P2156&lt;&gt;"",P2156&lt;=Q2156),1,0)</f>
        <v>0</v>
      </c>
    </row>
    <row r="2157" customFormat="false" ht="15" hidden="false" customHeight="false" outlineLevel="0" collapsed="false">
      <c r="A2157" s="7" t="s">
        <v>2578</v>
      </c>
      <c r="B2157" s="7" t="s">
        <v>46</v>
      </c>
      <c r="C2157" s="7" t="s">
        <v>128</v>
      </c>
      <c r="D2157" s="7" t="s">
        <v>152</v>
      </c>
      <c r="E2157" s="7" t="s">
        <v>153</v>
      </c>
      <c r="F2157" s="7" t="s">
        <v>123</v>
      </c>
      <c r="G2157" s="7" t="s">
        <v>20</v>
      </c>
      <c r="H2157" s="9" t="n">
        <v>45938</v>
      </c>
      <c r="I2157" s="9" t="n">
        <v>45965</v>
      </c>
      <c r="J2157" s="7" t="n">
        <v>7.5</v>
      </c>
      <c r="K2157" s="7" t="s">
        <v>2260</v>
      </c>
      <c r="L2157" s="7" t="s">
        <v>20</v>
      </c>
      <c r="M2157" s="7" t="s">
        <v>2583</v>
      </c>
      <c r="N2157" s="7" t="s">
        <v>53</v>
      </c>
      <c r="O2157" s="10" t="n">
        <f aca="false">'Exec Summary'!$E$2-H2157</f>
        <v>296</v>
      </c>
      <c r="P2157" s="10" t="n">
        <f aca="false">IF(I2157="","",I2157-H2157)</f>
        <v>27</v>
      </c>
      <c r="Q2157" s="10" t="n">
        <f aca="false">VLOOKUP(G2157,$AA$2:$AB$5,2,FALSE())</f>
        <v>30</v>
      </c>
      <c r="R2157" s="7" t="n">
        <f aca="false">IF(OR(F2157="Open",F2157="Reopened"),1,0)</f>
        <v>1</v>
      </c>
      <c r="S2157" s="7" t="n">
        <f aca="false">IF(AND(H2157&gt;='Exec Summary'!$E$1,H2157&lt;='Exec Summary'!$E$2),1,0)</f>
        <v>0</v>
      </c>
      <c r="T2157" s="7" t="n">
        <f aca="false">IF(AND(F2157="Closed",I2157&lt;&gt;"",I2157&gt;='Exec Summary'!$E$1,I2157&lt;='Exec Summary'!$E$2),1,0)</f>
        <v>0</v>
      </c>
      <c r="U2157" s="7" t="n">
        <f aca="false">IF(F2157="Reopened",1,0)</f>
        <v>1</v>
      </c>
      <c r="V2157" s="7" t="n">
        <f aca="false">IF(AND(R2157=1,O2157&gt;Q2157),1,0)</f>
        <v>1</v>
      </c>
      <c r="W2157" s="7" t="n">
        <f aca="false">IF(AND(T2157=1,P2157&lt;&gt;"",P2157&lt;=Q2157),1,0)</f>
        <v>0</v>
      </c>
    </row>
    <row r="2158" customFormat="false" ht="15" hidden="false" customHeight="false" outlineLevel="0" collapsed="false">
      <c r="A2158" s="7" t="s">
        <v>2578</v>
      </c>
      <c r="B2158" s="7" t="s">
        <v>46</v>
      </c>
      <c r="C2158" s="7" t="s">
        <v>128</v>
      </c>
      <c r="D2158" s="7" t="s">
        <v>84</v>
      </c>
      <c r="E2158" s="7" t="s">
        <v>85</v>
      </c>
      <c r="F2158" s="7" t="s">
        <v>56</v>
      </c>
      <c r="G2158" s="7" t="s">
        <v>20</v>
      </c>
      <c r="H2158" s="9" t="n">
        <v>46145</v>
      </c>
      <c r="I2158" s="9"/>
      <c r="J2158" s="7" t="n">
        <v>7.5</v>
      </c>
      <c r="K2158" s="7" t="s">
        <v>2260</v>
      </c>
      <c r="L2158" s="7" t="s">
        <v>20</v>
      </c>
      <c r="M2158" s="7" t="s">
        <v>2584</v>
      </c>
      <c r="N2158" s="7" t="s">
        <v>53</v>
      </c>
      <c r="O2158" s="10" t="n">
        <f aca="false">'Exec Summary'!$E$2-H2158</f>
        <v>89</v>
      </c>
      <c r="P2158" s="10" t="str">
        <f aca="false">IF(I2158="","",I2158-H2158)</f>
        <v/>
      </c>
      <c r="Q2158" s="10" t="n">
        <f aca="false">VLOOKUP(G2158,$AA$2:$AB$5,2,FALSE())</f>
        <v>30</v>
      </c>
      <c r="R2158" s="7" t="n">
        <f aca="false">IF(OR(F2158="Open",F2158="Reopened"),1,0)</f>
        <v>1</v>
      </c>
      <c r="S2158" s="7" t="n">
        <f aca="false">IF(AND(H2158&gt;='Exec Summary'!$E$1,H2158&lt;='Exec Summary'!$E$2),1,0)</f>
        <v>0</v>
      </c>
      <c r="T2158" s="7" t="n">
        <f aca="false">IF(AND(F2158="Closed",I2158&lt;&gt;"",I2158&gt;='Exec Summary'!$E$1,I2158&lt;='Exec Summary'!$E$2),1,0)</f>
        <v>0</v>
      </c>
      <c r="U2158" s="7" t="n">
        <f aca="false">IF(F2158="Reopened",1,0)</f>
        <v>0</v>
      </c>
      <c r="V2158" s="7" t="n">
        <f aca="false">IF(AND(R2158=1,O2158&gt;Q2158),1,0)</f>
        <v>1</v>
      </c>
      <c r="W2158" s="7" t="n">
        <f aca="false">IF(AND(T2158=1,P2158&lt;&gt;"",P2158&lt;=Q2158),1,0)</f>
        <v>0</v>
      </c>
    </row>
    <row r="2159" customFormat="false" ht="15" hidden="false" customHeight="false" outlineLevel="0" collapsed="false">
      <c r="A2159" s="7" t="s">
        <v>2578</v>
      </c>
      <c r="B2159" s="7" t="s">
        <v>46</v>
      </c>
      <c r="C2159" s="7" t="s">
        <v>128</v>
      </c>
      <c r="D2159" s="7" t="s">
        <v>112</v>
      </c>
      <c r="E2159" s="7" t="s">
        <v>113</v>
      </c>
      <c r="F2159" s="7" t="s">
        <v>56</v>
      </c>
      <c r="G2159" s="7" t="s">
        <v>20</v>
      </c>
      <c r="H2159" s="9" t="n">
        <v>45982</v>
      </c>
      <c r="I2159" s="9"/>
      <c r="J2159" s="7" t="n">
        <v>7.8</v>
      </c>
      <c r="K2159" s="7" t="s">
        <v>2260</v>
      </c>
      <c r="L2159" s="7" t="s">
        <v>20</v>
      </c>
      <c r="M2159" s="7" t="s">
        <v>2585</v>
      </c>
      <c r="N2159" s="7" t="s">
        <v>53</v>
      </c>
      <c r="O2159" s="10" t="n">
        <f aca="false">'Exec Summary'!$E$2-H2159</f>
        <v>252</v>
      </c>
      <c r="P2159" s="10" t="str">
        <f aca="false">IF(I2159="","",I2159-H2159)</f>
        <v/>
      </c>
      <c r="Q2159" s="10" t="n">
        <f aca="false">VLOOKUP(G2159,$AA$2:$AB$5,2,FALSE())</f>
        <v>30</v>
      </c>
      <c r="R2159" s="7" t="n">
        <f aca="false">IF(OR(F2159="Open",F2159="Reopened"),1,0)</f>
        <v>1</v>
      </c>
      <c r="S2159" s="7" t="n">
        <f aca="false">IF(AND(H2159&gt;='Exec Summary'!$E$1,H2159&lt;='Exec Summary'!$E$2),1,0)</f>
        <v>0</v>
      </c>
      <c r="T2159" s="7" t="n">
        <f aca="false">IF(AND(F2159="Closed",I2159&lt;&gt;"",I2159&gt;='Exec Summary'!$E$1,I2159&lt;='Exec Summary'!$E$2),1,0)</f>
        <v>0</v>
      </c>
      <c r="U2159" s="7" t="n">
        <f aca="false">IF(F2159="Reopened",1,0)</f>
        <v>0</v>
      </c>
      <c r="V2159" s="7" t="n">
        <f aca="false">IF(AND(R2159=1,O2159&gt;Q2159),1,0)</f>
        <v>1</v>
      </c>
      <c r="W2159" s="7" t="n">
        <f aca="false">IF(AND(T2159=1,P2159&lt;&gt;"",P2159&lt;=Q2159),1,0)</f>
        <v>0</v>
      </c>
    </row>
    <row r="2160" customFormat="false" ht="15" hidden="false" customHeight="false" outlineLevel="0" collapsed="false">
      <c r="A2160" s="7" t="s">
        <v>2578</v>
      </c>
      <c r="B2160" s="7" t="s">
        <v>46</v>
      </c>
      <c r="C2160" s="7" t="s">
        <v>128</v>
      </c>
      <c r="D2160" s="7" t="s">
        <v>166</v>
      </c>
      <c r="E2160" s="7" t="s">
        <v>167</v>
      </c>
      <c r="F2160" s="7" t="s">
        <v>56</v>
      </c>
      <c r="G2160" s="7" t="s">
        <v>19</v>
      </c>
      <c r="H2160" s="9" t="n">
        <v>46028</v>
      </c>
      <c r="I2160" s="9"/>
      <c r="J2160" s="7" t="n">
        <v>9.8</v>
      </c>
      <c r="K2160" s="7" t="s">
        <v>2260</v>
      </c>
      <c r="L2160" s="7" t="s">
        <v>20</v>
      </c>
      <c r="M2160" s="7" t="s">
        <v>2586</v>
      </c>
      <c r="N2160" s="7" t="s">
        <v>58</v>
      </c>
      <c r="O2160" s="10" t="n">
        <f aca="false">'Exec Summary'!$E$2-H2160</f>
        <v>206</v>
      </c>
      <c r="P2160" s="10" t="str">
        <f aca="false">IF(I2160="","",I2160-H2160)</f>
        <v/>
      </c>
      <c r="Q2160" s="10" t="n">
        <f aca="false">VLOOKUP(G2160,$AA$2:$AB$5,2,FALSE())</f>
        <v>15</v>
      </c>
      <c r="R2160" s="7" t="n">
        <f aca="false">IF(OR(F2160="Open",F2160="Reopened"),1,0)</f>
        <v>1</v>
      </c>
      <c r="S2160" s="7" t="n">
        <f aca="false">IF(AND(H2160&gt;='Exec Summary'!$E$1,H2160&lt;='Exec Summary'!$E$2),1,0)</f>
        <v>0</v>
      </c>
      <c r="T2160" s="7" t="n">
        <f aca="false">IF(AND(F2160="Closed",I2160&lt;&gt;"",I2160&gt;='Exec Summary'!$E$1,I2160&lt;='Exec Summary'!$E$2),1,0)</f>
        <v>0</v>
      </c>
      <c r="U2160" s="7" t="n">
        <f aca="false">IF(F2160="Reopened",1,0)</f>
        <v>0</v>
      </c>
      <c r="V2160" s="7" t="n">
        <f aca="false">IF(AND(R2160=1,O2160&gt;Q2160),1,0)</f>
        <v>1</v>
      </c>
      <c r="W2160" s="7" t="n">
        <f aca="false">IF(AND(T2160=1,P2160&lt;&gt;"",P2160&lt;=Q2160),1,0)</f>
        <v>0</v>
      </c>
    </row>
    <row r="2161" customFormat="false" ht="15" hidden="false" customHeight="false" outlineLevel="0" collapsed="false">
      <c r="A2161" s="7" t="s">
        <v>2578</v>
      </c>
      <c r="B2161" s="7" t="s">
        <v>46</v>
      </c>
      <c r="C2161" s="7" t="s">
        <v>128</v>
      </c>
      <c r="D2161" s="7" t="s">
        <v>104</v>
      </c>
      <c r="E2161" s="7" t="s">
        <v>105</v>
      </c>
      <c r="F2161" s="7" t="s">
        <v>56</v>
      </c>
      <c r="G2161" s="7" t="s">
        <v>19</v>
      </c>
      <c r="H2161" s="9" t="n">
        <v>46187</v>
      </c>
      <c r="I2161" s="9"/>
      <c r="J2161" s="7" t="n">
        <v>9.8</v>
      </c>
      <c r="K2161" s="7" t="s">
        <v>2260</v>
      </c>
      <c r="L2161" s="7" t="s">
        <v>20</v>
      </c>
      <c r="M2161" s="7" t="s">
        <v>2587</v>
      </c>
      <c r="N2161" s="7" t="s">
        <v>58</v>
      </c>
      <c r="O2161" s="10" t="n">
        <f aca="false">'Exec Summary'!$E$2-H2161</f>
        <v>47</v>
      </c>
      <c r="P2161" s="10" t="str">
        <f aca="false">IF(I2161="","",I2161-H2161)</f>
        <v/>
      </c>
      <c r="Q2161" s="10" t="n">
        <f aca="false">VLOOKUP(G2161,$AA$2:$AB$5,2,FALSE())</f>
        <v>15</v>
      </c>
      <c r="R2161" s="7" t="n">
        <f aca="false">IF(OR(F2161="Open",F2161="Reopened"),1,0)</f>
        <v>1</v>
      </c>
      <c r="S2161" s="7" t="n">
        <f aca="false">IF(AND(H2161&gt;='Exec Summary'!$E$1,H2161&lt;='Exec Summary'!$E$2),1,0)</f>
        <v>0</v>
      </c>
      <c r="T2161" s="7" t="n">
        <f aca="false">IF(AND(F2161="Closed",I2161&lt;&gt;"",I2161&gt;='Exec Summary'!$E$1,I2161&lt;='Exec Summary'!$E$2),1,0)</f>
        <v>0</v>
      </c>
      <c r="U2161" s="7" t="n">
        <f aca="false">IF(F2161="Reopened",1,0)</f>
        <v>0</v>
      </c>
      <c r="V2161" s="7" t="n">
        <f aca="false">IF(AND(R2161=1,O2161&gt;Q2161),1,0)</f>
        <v>1</v>
      </c>
      <c r="W2161" s="7" t="n">
        <f aca="false">IF(AND(T2161=1,P2161&lt;&gt;"",P2161&lt;=Q2161),1,0)</f>
        <v>0</v>
      </c>
    </row>
    <row r="2162" customFormat="false" ht="15" hidden="false" customHeight="false" outlineLevel="0" collapsed="false">
      <c r="A2162" s="7" t="s">
        <v>2578</v>
      </c>
      <c r="B2162" s="7" t="s">
        <v>46</v>
      </c>
      <c r="C2162" s="7" t="s">
        <v>128</v>
      </c>
      <c r="D2162" s="7" t="s">
        <v>210</v>
      </c>
      <c r="E2162" s="7" t="s">
        <v>211</v>
      </c>
      <c r="F2162" s="7" t="s">
        <v>50</v>
      </c>
      <c r="G2162" s="7" t="s">
        <v>19</v>
      </c>
      <c r="H2162" s="9" t="n">
        <v>46150</v>
      </c>
      <c r="I2162" s="9" t="n">
        <v>46157</v>
      </c>
      <c r="J2162" s="7" t="n">
        <v>9.8</v>
      </c>
      <c r="K2162" s="7" t="s">
        <v>2260</v>
      </c>
      <c r="L2162" s="7" t="s">
        <v>20</v>
      </c>
      <c r="M2162" s="7" t="s">
        <v>2588</v>
      </c>
      <c r="N2162" s="7" t="s">
        <v>58</v>
      </c>
      <c r="O2162" s="10" t="n">
        <f aca="false">'Exec Summary'!$E$2-H2162</f>
        <v>84</v>
      </c>
      <c r="P2162" s="10" t="n">
        <f aca="false">IF(I2162="","",I2162-H2162)</f>
        <v>7</v>
      </c>
      <c r="Q2162" s="10" t="n">
        <f aca="false">VLOOKUP(G2162,$AA$2:$AB$5,2,FALSE())</f>
        <v>15</v>
      </c>
      <c r="R2162" s="7" t="n">
        <f aca="false">IF(OR(F2162="Open",F2162="Reopened"),1,0)</f>
        <v>0</v>
      </c>
      <c r="S2162" s="7" t="n">
        <f aca="false">IF(AND(H2162&gt;='Exec Summary'!$E$1,H2162&lt;='Exec Summary'!$E$2),1,0)</f>
        <v>0</v>
      </c>
      <c r="T2162" s="7" t="n">
        <f aca="false">IF(AND(F2162="Closed",I2162&lt;&gt;"",I2162&gt;='Exec Summary'!$E$1,I2162&lt;='Exec Summary'!$E$2),1,0)</f>
        <v>0</v>
      </c>
      <c r="U2162" s="7" t="n">
        <f aca="false">IF(F2162="Reopened",1,0)</f>
        <v>0</v>
      </c>
      <c r="V2162" s="7" t="n">
        <f aca="false">IF(AND(R2162=1,O2162&gt;Q2162),1,0)</f>
        <v>0</v>
      </c>
      <c r="W2162" s="7" t="n">
        <f aca="false">IF(AND(T2162=1,P2162&lt;&gt;"",P2162&lt;=Q2162),1,0)</f>
        <v>0</v>
      </c>
    </row>
    <row r="2163" customFormat="false" ht="15" hidden="false" customHeight="false" outlineLevel="0" collapsed="false">
      <c r="A2163" s="7" t="s">
        <v>2578</v>
      </c>
      <c r="B2163" s="7" t="s">
        <v>46</v>
      </c>
      <c r="C2163" s="7" t="s">
        <v>128</v>
      </c>
      <c r="D2163" s="7" t="s">
        <v>62</v>
      </c>
      <c r="E2163" s="7" t="s">
        <v>63</v>
      </c>
      <c r="F2163" s="7" t="s">
        <v>56</v>
      </c>
      <c r="G2163" s="7" t="s">
        <v>20</v>
      </c>
      <c r="H2163" s="9" t="n">
        <v>46171</v>
      </c>
      <c r="I2163" s="9"/>
      <c r="J2163" s="7" t="n">
        <v>8.1</v>
      </c>
      <c r="K2163" s="7" t="s">
        <v>2260</v>
      </c>
      <c r="L2163" s="7" t="s">
        <v>20</v>
      </c>
      <c r="M2163" s="7" t="s">
        <v>2589</v>
      </c>
      <c r="N2163" s="7" t="s">
        <v>53</v>
      </c>
      <c r="O2163" s="10" t="n">
        <f aca="false">'Exec Summary'!$E$2-H2163</f>
        <v>63</v>
      </c>
      <c r="P2163" s="10" t="str">
        <f aca="false">IF(I2163="","",I2163-H2163)</f>
        <v/>
      </c>
      <c r="Q2163" s="10" t="n">
        <f aca="false">VLOOKUP(G2163,$AA$2:$AB$5,2,FALSE())</f>
        <v>30</v>
      </c>
      <c r="R2163" s="7" t="n">
        <f aca="false">IF(OR(F2163="Open",F2163="Reopened"),1,0)</f>
        <v>1</v>
      </c>
      <c r="S2163" s="7" t="n">
        <f aca="false">IF(AND(H2163&gt;='Exec Summary'!$E$1,H2163&lt;='Exec Summary'!$E$2),1,0)</f>
        <v>0</v>
      </c>
      <c r="T2163" s="7" t="n">
        <f aca="false">IF(AND(F2163="Closed",I2163&lt;&gt;"",I2163&gt;='Exec Summary'!$E$1,I2163&lt;='Exec Summary'!$E$2),1,0)</f>
        <v>0</v>
      </c>
      <c r="U2163" s="7" t="n">
        <f aca="false">IF(F2163="Reopened",1,0)</f>
        <v>0</v>
      </c>
      <c r="V2163" s="7" t="n">
        <f aca="false">IF(AND(R2163=1,O2163&gt;Q2163),1,0)</f>
        <v>1</v>
      </c>
      <c r="W2163" s="7" t="n">
        <f aca="false">IF(AND(T2163=1,P2163&lt;&gt;"",P2163&lt;=Q2163),1,0)</f>
        <v>0</v>
      </c>
    </row>
    <row r="2164" customFormat="false" ht="15" hidden="false" customHeight="false" outlineLevel="0" collapsed="false">
      <c r="A2164" s="7" t="s">
        <v>2590</v>
      </c>
      <c r="B2164" s="7" t="s">
        <v>135</v>
      </c>
      <c r="C2164" s="7" t="s">
        <v>306</v>
      </c>
      <c r="D2164" s="7" t="s">
        <v>192</v>
      </c>
      <c r="E2164" s="7" t="s">
        <v>193</v>
      </c>
      <c r="F2164" s="7" t="s">
        <v>50</v>
      </c>
      <c r="G2164" s="7" t="s">
        <v>19</v>
      </c>
      <c r="H2164" s="9" t="n">
        <v>46027</v>
      </c>
      <c r="I2164" s="9" t="n">
        <v>46036</v>
      </c>
      <c r="J2164" s="7" t="n">
        <v>9.8</v>
      </c>
      <c r="K2164" s="7" t="s">
        <v>2260</v>
      </c>
      <c r="L2164" s="7" t="s">
        <v>20</v>
      </c>
      <c r="M2164" s="7" t="s">
        <v>2591</v>
      </c>
      <c r="N2164" s="7" t="s">
        <v>58</v>
      </c>
      <c r="O2164" s="10" t="n">
        <f aca="false">'Exec Summary'!$E$2-H2164</f>
        <v>207</v>
      </c>
      <c r="P2164" s="10" t="n">
        <f aca="false">IF(I2164="","",I2164-H2164)</f>
        <v>9</v>
      </c>
      <c r="Q2164" s="10" t="n">
        <f aca="false">VLOOKUP(G2164,$AA$2:$AB$5,2,FALSE())</f>
        <v>15</v>
      </c>
      <c r="R2164" s="7" t="n">
        <f aca="false">IF(OR(F2164="Open",F2164="Reopened"),1,0)</f>
        <v>0</v>
      </c>
      <c r="S2164" s="7" t="n">
        <f aca="false">IF(AND(H2164&gt;='Exec Summary'!$E$1,H2164&lt;='Exec Summary'!$E$2),1,0)</f>
        <v>0</v>
      </c>
      <c r="T2164" s="7" t="n">
        <f aca="false">IF(AND(F2164="Closed",I2164&lt;&gt;"",I2164&gt;='Exec Summary'!$E$1,I2164&lt;='Exec Summary'!$E$2),1,0)</f>
        <v>0</v>
      </c>
      <c r="U2164" s="7" t="n">
        <f aca="false">IF(F2164="Reopened",1,0)</f>
        <v>0</v>
      </c>
      <c r="V2164" s="7" t="n">
        <f aca="false">IF(AND(R2164=1,O2164&gt;Q2164),1,0)</f>
        <v>0</v>
      </c>
      <c r="W2164" s="7" t="n">
        <f aca="false">IF(AND(T2164=1,P2164&lt;&gt;"",P2164&lt;=Q2164),1,0)</f>
        <v>0</v>
      </c>
    </row>
    <row r="2165" customFormat="false" ht="15" hidden="false" customHeight="false" outlineLevel="0" collapsed="false">
      <c r="A2165" s="7" t="s">
        <v>2590</v>
      </c>
      <c r="B2165" s="7" t="s">
        <v>135</v>
      </c>
      <c r="C2165" s="7" t="s">
        <v>306</v>
      </c>
      <c r="D2165" s="7" t="s">
        <v>210</v>
      </c>
      <c r="E2165" s="7" t="s">
        <v>211</v>
      </c>
      <c r="F2165" s="7" t="s">
        <v>50</v>
      </c>
      <c r="G2165" s="7" t="s">
        <v>19</v>
      </c>
      <c r="H2165" s="9" t="n">
        <v>46015</v>
      </c>
      <c r="I2165" s="9" t="n">
        <v>46034</v>
      </c>
      <c r="J2165" s="7" t="n">
        <v>9.8</v>
      </c>
      <c r="K2165" s="7" t="s">
        <v>2260</v>
      </c>
      <c r="L2165" s="7" t="s">
        <v>20</v>
      </c>
      <c r="M2165" s="7" t="s">
        <v>2592</v>
      </c>
      <c r="N2165" s="7" t="s">
        <v>58</v>
      </c>
      <c r="O2165" s="10" t="n">
        <f aca="false">'Exec Summary'!$E$2-H2165</f>
        <v>219</v>
      </c>
      <c r="P2165" s="10" t="n">
        <f aca="false">IF(I2165="","",I2165-H2165)</f>
        <v>19</v>
      </c>
      <c r="Q2165" s="10" t="n">
        <f aca="false">VLOOKUP(G2165,$AA$2:$AB$5,2,FALSE())</f>
        <v>15</v>
      </c>
      <c r="R2165" s="7" t="n">
        <f aca="false">IF(OR(F2165="Open",F2165="Reopened"),1,0)</f>
        <v>0</v>
      </c>
      <c r="S2165" s="7" t="n">
        <f aca="false">IF(AND(H2165&gt;='Exec Summary'!$E$1,H2165&lt;='Exec Summary'!$E$2),1,0)</f>
        <v>0</v>
      </c>
      <c r="T2165" s="7" t="n">
        <f aca="false">IF(AND(F2165="Closed",I2165&lt;&gt;"",I2165&gt;='Exec Summary'!$E$1,I2165&lt;='Exec Summary'!$E$2),1,0)</f>
        <v>0</v>
      </c>
      <c r="U2165" s="7" t="n">
        <f aca="false">IF(F2165="Reopened",1,0)</f>
        <v>0</v>
      </c>
      <c r="V2165" s="7" t="n">
        <f aca="false">IF(AND(R2165=1,O2165&gt;Q2165),1,0)</f>
        <v>0</v>
      </c>
      <c r="W2165" s="7" t="n">
        <f aca="false">IF(AND(T2165=1,P2165&lt;&gt;"",P2165&lt;=Q2165),1,0)</f>
        <v>0</v>
      </c>
    </row>
    <row r="2166" customFormat="false" ht="15" hidden="false" customHeight="false" outlineLevel="0" collapsed="false">
      <c r="A2166" s="7" t="s">
        <v>2590</v>
      </c>
      <c r="B2166" s="7" t="s">
        <v>135</v>
      </c>
      <c r="C2166" s="7" t="s">
        <v>306</v>
      </c>
      <c r="D2166" s="7" t="s">
        <v>163</v>
      </c>
      <c r="E2166" s="7" t="s">
        <v>164</v>
      </c>
      <c r="F2166" s="7" t="s">
        <v>56</v>
      </c>
      <c r="G2166" s="7" t="s">
        <v>19</v>
      </c>
      <c r="H2166" s="9" t="n">
        <v>46057</v>
      </c>
      <c r="I2166" s="9"/>
      <c r="J2166" s="7" t="n">
        <v>9.1</v>
      </c>
      <c r="K2166" s="7" t="s">
        <v>2260</v>
      </c>
      <c r="L2166" s="7" t="s">
        <v>20</v>
      </c>
      <c r="M2166" s="7" t="s">
        <v>2593</v>
      </c>
      <c r="N2166" s="7" t="s">
        <v>58</v>
      </c>
      <c r="O2166" s="10" t="n">
        <f aca="false">'Exec Summary'!$E$2-H2166</f>
        <v>177</v>
      </c>
      <c r="P2166" s="10" t="str">
        <f aca="false">IF(I2166="","",I2166-H2166)</f>
        <v/>
      </c>
      <c r="Q2166" s="10" t="n">
        <f aca="false">VLOOKUP(G2166,$AA$2:$AB$5,2,FALSE())</f>
        <v>15</v>
      </c>
      <c r="R2166" s="7" t="n">
        <f aca="false">IF(OR(F2166="Open",F2166="Reopened"),1,0)</f>
        <v>1</v>
      </c>
      <c r="S2166" s="7" t="n">
        <f aca="false">IF(AND(H2166&gt;='Exec Summary'!$E$1,H2166&lt;='Exec Summary'!$E$2),1,0)</f>
        <v>0</v>
      </c>
      <c r="T2166" s="7" t="n">
        <f aca="false">IF(AND(F2166="Closed",I2166&lt;&gt;"",I2166&gt;='Exec Summary'!$E$1,I2166&lt;='Exec Summary'!$E$2),1,0)</f>
        <v>0</v>
      </c>
      <c r="U2166" s="7" t="n">
        <f aca="false">IF(F2166="Reopened",1,0)</f>
        <v>0</v>
      </c>
      <c r="V2166" s="7" t="n">
        <f aca="false">IF(AND(R2166=1,O2166&gt;Q2166),1,0)</f>
        <v>1</v>
      </c>
      <c r="W2166" s="7" t="n">
        <f aca="false">IF(AND(T2166=1,P2166&lt;&gt;"",P2166&lt;=Q2166),1,0)</f>
        <v>0</v>
      </c>
    </row>
    <row r="2167" customFormat="false" ht="15" hidden="false" customHeight="false" outlineLevel="0" collapsed="false">
      <c r="A2167" s="7" t="s">
        <v>2590</v>
      </c>
      <c r="B2167" s="7" t="s">
        <v>135</v>
      </c>
      <c r="C2167" s="7" t="s">
        <v>306</v>
      </c>
      <c r="D2167" s="7" t="s">
        <v>117</v>
      </c>
      <c r="E2167" s="7" t="s">
        <v>118</v>
      </c>
      <c r="F2167" s="7" t="s">
        <v>50</v>
      </c>
      <c r="G2167" s="7" t="s">
        <v>19</v>
      </c>
      <c r="H2167" s="9" t="n">
        <v>46210</v>
      </c>
      <c r="I2167" s="9" t="n">
        <v>46211</v>
      </c>
      <c r="J2167" s="7" t="n">
        <v>10</v>
      </c>
      <c r="K2167" s="7" t="s">
        <v>2260</v>
      </c>
      <c r="L2167" s="7" t="s">
        <v>20</v>
      </c>
      <c r="M2167" s="7" t="s">
        <v>2594</v>
      </c>
      <c r="N2167" s="7" t="s">
        <v>58</v>
      </c>
      <c r="O2167" s="10" t="n">
        <f aca="false">'Exec Summary'!$E$2-H2167</f>
        <v>24</v>
      </c>
      <c r="P2167" s="10" t="n">
        <f aca="false">IF(I2167="","",I2167-H2167)</f>
        <v>1</v>
      </c>
      <c r="Q2167" s="10" t="n">
        <f aca="false">VLOOKUP(G2167,$AA$2:$AB$5,2,FALSE())</f>
        <v>15</v>
      </c>
      <c r="R2167" s="7" t="n">
        <f aca="false">IF(OR(F2167="Open",F2167="Reopened"),1,0)</f>
        <v>0</v>
      </c>
      <c r="S2167" s="7" t="n">
        <f aca="false">IF(AND(H2167&gt;='Exec Summary'!$E$1,H2167&lt;='Exec Summary'!$E$2),1,0)</f>
        <v>1</v>
      </c>
      <c r="T2167" s="7" t="n">
        <f aca="false">IF(AND(F2167="Closed",I2167&lt;&gt;"",I2167&gt;='Exec Summary'!$E$1,I2167&lt;='Exec Summary'!$E$2),1,0)</f>
        <v>1</v>
      </c>
      <c r="U2167" s="7" t="n">
        <f aca="false">IF(F2167="Reopened",1,0)</f>
        <v>0</v>
      </c>
      <c r="V2167" s="7" t="n">
        <f aca="false">IF(AND(R2167=1,O2167&gt;Q2167),1,0)</f>
        <v>0</v>
      </c>
      <c r="W2167" s="7" t="n">
        <f aca="false">IF(AND(T2167=1,P2167&lt;&gt;"",P2167&lt;=Q2167),1,0)</f>
        <v>1</v>
      </c>
    </row>
    <row r="2168" customFormat="false" ht="15" hidden="false" customHeight="false" outlineLevel="0" collapsed="false">
      <c r="A2168" s="7" t="s">
        <v>2590</v>
      </c>
      <c r="B2168" s="7" t="s">
        <v>135</v>
      </c>
      <c r="C2168" s="7" t="s">
        <v>306</v>
      </c>
      <c r="D2168" s="7" t="s">
        <v>101</v>
      </c>
      <c r="E2168" s="7" t="s">
        <v>102</v>
      </c>
      <c r="F2168" s="7" t="s">
        <v>50</v>
      </c>
      <c r="G2168" s="7" t="s">
        <v>19</v>
      </c>
      <c r="H2168" s="9" t="n">
        <v>46067</v>
      </c>
      <c r="I2168" s="9" t="n">
        <v>46073</v>
      </c>
      <c r="J2168" s="7" t="n">
        <v>10</v>
      </c>
      <c r="K2168" s="7" t="s">
        <v>2260</v>
      </c>
      <c r="L2168" s="7" t="s">
        <v>20</v>
      </c>
      <c r="M2168" s="7" t="s">
        <v>2595</v>
      </c>
      <c r="N2168" s="7" t="s">
        <v>58</v>
      </c>
      <c r="O2168" s="10" t="n">
        <f aca="false">'Exec Summary'!$E$2-H2168</f>
        <v>167</v>
      </c>
      <c r="P2168" s="10" t="n">
        <f aca="false">IF(I2168="","",I2168-H2168)</f>
        <v>6</v>
      </c>
      <c r="Q2168" s="10" t="n">
        <f aca="false">VLOOKUP(G2168,$AA$2:$AB$5,2,FALSE())</f>
        <v>15</v>
      </c>
      <c r="R2168" s="7" t="n">
        <f aca="false">IF(OR(F2168="Open",F2168="Reopened"),1,0)</f>
        <v>0</v>
      </c>
      <c r="S2168" s="7" t="n">
        <f aca="false">IF(AND(H2168&gt;='Exec Summary'!$E$1,H2168&lt;='Exec Summary'!$E$2),1,0)</f>
        <v>0</v>
      </c>
      <c r="T2168" s="7" t="n">
        <f aca="false">IF(AND(F2168="Closed",I2168&lt;&gt;"",I2168&gt;='Exec Summary'!$E$1,I2168&lt;='Exec Summary'!$E$2),1,0)</f>
        <v>0</v>
      </c>
      <c r="U2168" s="7" t="n">
        <f aca="false">IF(F2168="Reopened",1,0)</f>
        <v>0</v>
      </c>
      <c r="V2168" s="7" t="n">
        <f aca="false">IF(AND(R2168=1,O2168&gt;Q2168),1,0)</f>
        <v>0</v>
      </c>
      <c r="W2168" s="7" t="n">
        <f aca="false">IF(AND(T2168=1,P2168&lt;&gt;"",P2168&lt;=Q2168),1,0)</f>
        <v>0</v>
      </c>
    </row>
    <row r="2169" customFormat="false" ht="15" hidden="false" customHeight="false" outlineLevel="0" collapsed="false">
      <c r="A2169" s="7" t="s">
        <v>2590</v>
      </c>
      <c r="B2169" s="7" t="s">
        <v>135</v>
      </c>
      <c r="C2169" s="7" t="s">
        <v>306</v>
      </c>
      <c r="D2169" s="7" t="s">
        <v>74</v>
      </c>
      <c r="E2169" s="7" t="s">
        <v>75</v>
      </c>
      <c r="F2169" s="7" t="s">
        <v>56</v>
      </c>
      <c r="G2169" s="7" t="s">
        <v>21</v>
      </c>
      <c r="H2169" s="9" t="n">
        <v>45989</v>
      </c>
      <c r="I2169" s="9"/>
      <c r="J2169" s="7" t="n">
        <v>6.5</v>
      </c>
      <c r="K2169" s="7" t="s">
        <v>2260</v>
      </c>
      <c r="L2169" s="7" t="s">
        <v>20</v>
      </c>
      <c r="M2169" s="7" t="s">
        <v>2596</v>
      </c>
      <c r="N2169" s="7" t="s">
        <v>77</v>
      </c>
      <c r="O2169" s="10" t="n">
        <f aca="false">'Exec Summary'!$E$2-H2169</f>
        <v>245</v>
      </c>
      <c r="P2169" s="10" t="str">
        <f aca="false">IF(I2169="","",I2169-H2169)</f>
        <v/>
      </c>
      <c r="Q2169" s="10" t="n">
        <f aca="false">VLOOKUP(G2169,$AA$2:$AB$5,2,FALSE())</f>
        <v>90</v>
      </c>
      <c r="R2169" s="7" t="n">
        <f aca="false">IF(OR(F2169="Open",F2169="Reopened"),1,0)</f>
        <v>1</v>
      </c>
      <c r="S2169" s="7" t="n">
        <f aca="false">IF(AND(H2169&gt;='Exec Summary'!$E$1,H2169&lt;='Exec Summary'!$E$2),1,0)</f>
        <v>0</v>
      </c>
      <c r="T2169" s="7" t="n">
        <f aca="false">IF(AND(F2169="Closed",I2169&lt;&gt;"",I2169&gt;='Exec Summary'!$E$1,I2169&lt;='Exec Summary'!$E$2),1,0)</f>
        <v>0</v>
      </c>
      <c r="U2169" s="7" t="n">
        <f aca="false">IF(F2169="Reopened",1,0)</f>
        <v>0</v>
      </c>
      <c r="V2169" s="7" t="n">
        <f aca="false">IF(AND(R2169=1,O2169&gt;Q2169),1,0)</f>
        <v>1</v>
      </c>
      <c r="W2169" s="7" t="n">
        <f aca="false">IF(AND(T2169=1,P2169&lt;&gt;"",P2169&lt;=Q2169),1,0)</f>
        <v>0</v>
      </c>
    </row>
    <row r="2170" customFormat="false" ht="15" hidden="false" customHeight="false" outlineLevel="0" collapsed="false">
      <c r="A2170" s="7" t="s">
        <v>2590</v>
      </c>
      <c r="B2170" s="7" t="s">
        <v>135</v>
      </c>
      <c r="C2170" s="7" t="s">
        <v>306</v>
      </c>
      <c r="D2170" s="7" t="s">
        <v>87</v>
      </c>
      <c r="E2170" s="7" t="s">
        <v>88</v>
      </c>
      <c r="F2170" s="7" t="s">
        <v>50</v>
      </c>
      <c r="G2170" s="7" t="s">
        <v>19</v>
      </c>
      <c r="H2170" s="9" t="n">
        <v>46049</v>
      </c>
      <c r="I2170" s="9" t="n">
        <v>46053</v>
      </c>
      <c r="J2170" s="7" t="n">
        <v>10</v>
      </c>
      <c r="K2170" s="7" t="s">
        <v>2260</v>
      </c>
      <c r="L2170" s="7" t="s">
        <v>20</v>
      </c>
      <c r="M2170" s="7" t="s">
        <v>2597</v>
      </c>
      <c r="N2170" s="7" t="s">
        <v>58</v>
      </c>
      <c r="O2170" s="10" t="n">
        <f aca="false">'Exec Summary'!$E$2-H2170</f>
        <v>185</v>
      </c>
      <c r="P2170" s="10" t="n">
        <f aca="false">IF(I2170="","",I2170-H2170)</f>
        <v>4</v>
      </c>
      <c r="Q2170" s="10" t="n">
        <f aca="false">VLOOKUP(G2170,$AA$2:$AB$5,2,FALSE())</f>
        <v>15</v>
      </c>
      <c r="R2170" s="7" t="n">
        <f aca="false">IF(OR(F2170="Open",F2170="Reopened"),1,0)</f>
        <v>0</v>
      </c>
      <c r="S2170" s="7" t="n">
        <f aca="false">IF(AND(H2170&gt;='Exec Summary'!$E$1,H2170&lt;='Exec Summary'!$E$2),1,0)</f>
        <v>0</v>
      </c>
      <c r="T2170" s="7" t="n">
        <f aca="false">IF(AND(F2170="Closed",I2170&lt;&gt;"",I2170&gt;='Exec Summary'!$E$1,I2170&lt;='Exec Summary'!$E$2),1,0)</f>
        <v>0</v>
      </c>
      <c r="U2170" s="7" t="n">
        <f aca="false">IF(F2170="Reopened",1,0)</f>
        <v>0</v>
      </c>
      <c r="V2170" s="7" t="n">
        <f aca="false">IF(AND(R2170=1,O2170&gt;Q2170),1,0)</f>
        <v>0</v>
      </c>
      <c r="W2170" s="7" t="n">
        <f aca="false">IF(AND(T2170=1,P2170&lt;&gt;"",P2170&lt;=Q2170),1,0)</f>
        <v>0</v>
      </c>
    </row>
    <row r="2171" customFormat="false" ht="15" hidden="false" customHeight="false" outlineLevel="0" collapsed="false">
      <c r="A2171" s="7" t="s">
        <v>2590</v>
      </c>
      <c r="B2171" s="7" t="s">
        <v>135</v>
      </c>
      <c r="C2171" s="7" t="s">
        <v>306</v>
      </c>
      <c r="D2171" s="7" t="s">
        <v>71</v>
      </c>
      <c r="E2171" s="7" t="s">
        <v>72</v>
      </c>
      <c r="F2171" s="7" t="s">
        <v>56</v>
      </c>
      <c r="G2171" s="7" t="s">
        <v>19</v>
      </c>
      <c r="H2171" s="9" t="n">
        <v>46015</v>
      </c>
      <c r="I2171" s="9"/>
      <c r="J2171" s="7" t="n">
        <v>9.8</v>
      </c>
      <c r="K2171" s="7" t="s">
        <v>2260</v>
      </c>
      <c r="L2171" s="7" t="s">
        <v>20</v>
      </c>
      <c r="M2171" s="7" t="s">
        <v>2598</v>
      </c>
      <c r="N2171" s="7" t="s">
        <v>58</v>
      </c>
      <c r="O2171" s="10" t="n">
        <f aca="false">'Exec Summary'!$E$2-H2171</f>
        <v>219</v>
      </c>
      <c r="P2171" s="10" t="str">
        <f aca="false">IF(I2171="","",I2171-H2171)</f>
        <v/>
      </c>
      <c r="Q2171" s="10" t="n">
        <f aca="false">VLOOKUP(G2171,$AA$2:$AB$5,2,FALSE())</f>
        <v>15</v>
      </c>
      <c r="R2171" s="7" t="n">
        <f aca="false">IF(OR(F2171="Open",F2171="Reopened"),1,0)</f>
        <v>1</v>
      </c>
      <c r="S2171" s="7" t="n">
        <f aca="false">IF(AND(H2171&gt;='Exec Summary'!$E$1,H2171&lt;='Exec Summary'!$E$2),1,0)</f>
        <v>0</v>
      </c>
      <c r="T2171" s="7" t="n">
        <f aca="false">IF(AND(F2171="Closed",I2171&lt;&gt;"",I2171&gt;='Exec Summary'!$E$1,I2171&lt;='Exec Summary'!$E$2),1,0)</f>
        <v>0</v>
      </c>
      <c r="U2171" s="7" t="n">
        <f aca="false">IF(F2171="Reopened",1,0)</f>
        <v>0</v>
      </c>
      <c r="V2171" s="7" t="n">
        <f aca="false">IF(AND(R2171=1,O2171&gt;Q2171),1,0)</f>
        <v>1</v>
      </c>
      <c r="W2171" s="7" t="n">
        <f aca="false">IF(AND(T2171=1,P2171&lt;&gt;"",P2171&lt;=Q2171),1,0)</f>
        <v>0</v>
      </c>
    </row>
    <row r="2172" customFormat="false" ht="15" hidden="false" customHeight="false" outlineLevel="0" collapsed="false">
      <c r="A2172" s="7" t="s">
        <v>2590</v>
      </c>
      <c r="B2172" s="7" t="s">
        <v>135</v>
      </c>
      <c r="C2172" s="7" t="s">
        <v>306</v>
      </c>
      <c r="D2172" s="7" t="s">
        <v>98</v>
      </c>
      <c r="E2172" s="7" t="s">
        <v>99</v>
      </c>
      <c r="F2172" s="7" t="s">
        <v>50</v>
      </c>
      <c r="G2172" s="7" t="s">
        <v>19</v>
      </c>
      <c r="H2172" s="9" t="n">
        <v>46132</v>
      </c>
      <c r="I2172" s="9" t="n">
        <v>46133</v>
      </c>
      <c r="J2172" s="7" t="n">
        <v>10</v>
      </c>
      <c r="K2172" s="7" t="s">
        <v>2260</v>
      </c>
      <c r="L2172" s="7" t="s">
        <v>20</v>
      </c>
      <c r="M2172" s="7" t="s">
        <v>2599</v>
      </c>
      <c r="N2172" s="7" t="s">
        <v>58</v>
      </c>
      <c r="O2172" s="10" t="n">
        <f aca="false">'Exec Summary'!$E$2-H2172</f>
        <v>102</v>
      </c>
      <c r="P2172" s="10" t="n">
        <f aca="false">IF(I2172="","",I2172-H2172)</f>
        <v>1</v>
      </c>
      <c r="Q2172" s="10" t="n">
        <f aca="false">VLOOKUP(G2172,$AA$2:$AB$5,2,FALSE())</f>
        <v>15</v>
      </c>
      <c r="R2172" s="7" t="n">
        <f aca="false">IF(OR(F2172="Open",F2172="Reopened"),1,0)</f>
        <v>0</v>
      </c>
      <c r="S2172" s="7" t="n">
        <f aca="false">IF(AND(H2172&gt;='Exec Summary'!$E$1,H2172&lt;='Exec Summary'!$E$2),1,0)</f>
        <v>0</v>
      </c>
      <c r="T2172" s="7" t="n">
        <f aca="false">IF(AND(F2172="Closed",I2172&lt;&gt;"",I2172&gt;='Exec Summary'!$E$1,I2172&lt;='Exec Summary'!$E$2),1,0)</f>
        <v>0</v>
      </c>
      <c r="U2172" s="7" t="n">
        <f aca="false">IF(F2172="Reopened",1,0)</f>
        <v>0</v>
      </c>
      <c r="V2172" s="7" t="n">
        <f aca="false">IF(AND(R2172=1,O2172&gt;Q2172),1,0)</f>
        <v>0</v>
      </c>
      <c r="W2172" s="7" t="n">
        <f aca="false">IF(AND(T2172=1,P2172&lt;&gt;"",P2172&lt;=Q2172),1,0)</f>
        <v>0</v>
      </c>
    </row>
    <row r="2173" customFormat="false" ht="15" hidden="false" customHeight="false" outlineLevel="0" collapsed="false">
      <c r="A2173" s="7" t="s">
        <v>2590</v>
      </c>
      <c r="B2173" s="7" t="s">
        <v>135</v>
      </c>
      <c r="C2173" s="7" t="s">
        <v>306</v>
      </c>
      <c r="D2173" s="7" t="s">
        <v>59</v>
      </c>
      <c r="E2173" s="7" t="s">
        <v>60</v>
      </c>
      <c r="F2173" s="7" t="s">
        <v>56</v>
      </c>
      <c r="G2173" s="7" t="s">
        <v>19</v>
      </c>
      <c r="H2173" s="9" t="n">
        <v>46222</v>
      </c>
      <c r="I2173" s="9"/>
      <c r="J2173" s="7" t="n">
        <v>7.8</v>
      </c>
      <c r="K2173" s="7" t="s">
        <v>2260</v>
      </c>
      <c r="L2173" s="7" t="s">
        <v>20</v>
      </c>
      <c r="M2173" s="7" t="s">
        <v>2600</v>
      </c>
      <c r="N2173" s="7" t="s">
        <v>58</v>
      </c>
      <c r="O2173" s="10" t="n">
        <f aca="false">'Exec Summary'!$E$2-H2173</f>
        <v>12</v>
      </c>
      <c r="P2173" s="10" t="str">
        <f aca="false">IF(I2173="","",I2173-H2173)</f>
        <v/>
      </c>
      <c r="Q2173" s="10" t="n">
        <f aca="false">VLOOKUP(G2173,$AA$2:$AB$5,2,FALSE())</f>
        <v>15</v>
      </c>
      <c r="R2173" s="7" t="n">
        <f aca="false">IF(OR(F2173="Open",F2173="Reopened"),1,0)</f>
        <v>1</v>
      </c>
      <c r="S2173" s="7" t="n">
        <f aca="false">IF(AND(H2173&gt;='Exec Summary'!$E$1,H2173&lt;='Exec Summary'!$E$2),1,0)</f>
        <v>1</v>
      </c>
      <c r="T2173" s="7" t="n">
        <f aca="false">IF(AND(F2173="Closed",I2173&lt;&gt;"",I2173&gt;='Exec Summary'!$E$1,I2173&lt;='Exec Summary'!$E$2),1,0)</f>
        <v>0</v>
      </c>
      <c r="U2173" s="7" t="n">
        <f aca="false">IF(F2173="Reopened",1,0)</f>
        <v>0</v>
      </c>
      <c r="V2173" s="7" t="n">
        <f aca="false">IF(AND(R2173=1,O2173&gt;Q2173),1,0)</f>
        <v>0</v>
      </c>
      <c r="W2173" s="7" t="n">
        <f aca="false">IF(AND(T2173=1,P2173&lt;&gt;"",P2173&lt;=Q2173),1,0)</f>
        <v>0</v>
      </c>
    </row>
    <row r="2174" customFormat="false" ht="15" hidden="false" customHeight="false" outlineLevel="0" collapsed="false">
      <c r="A2174" s="7" t="s">
        <v>2590</v>
      </c>
      <c r="B2174" s="7" t="s">
        <v>135</v>
      </c>
      <c r="C2174" s="7" t="s">
        <v>306</v>
      </c>
      <c r="D2174" s="7" t="s">
        <v>48</v>
      </c>
      <c r="E2174" s="7" t="s">
        <v>49</v>
      </c>
      <c r="F2174" s="7" t="s">
        <v>56</v>
      </c>
      <c r="G2174" s="7" t="s">
        <v>20</v>
      </c>
      <c r="H2174" s="9" t="n">
        <v>45998</v>
      </c>
      <c r="I2174" s="9"/>
      <c r="J2174" s="7" t="n">
        <v>7.5</v>
      </c>
      <c r="K2174" s="7" t="s">
        <v>2260</v>
      </c>
      <c r="L2174" s="7" t="s">
        <v>20</v>
      </c>
      <c r="M2174" s="7" t="s">
        <v>2601</v>
      </c>
      <c r="N2174" s="7" t="s">
        <v>53</v>
      </c>
      <c r="O2174" s="10" t="n">
        <f aca="false">'Exec Summary'!$E$2-H2174</f>
        <v>236</v>
      </c>
      <c r="P2174" s="10" t="str">
        <f aca="false">IF(I2174="","",I2174-H2174)</f>
        <v/>
      </c>
      <c r="Q2174" s="10" t="n">
        <f aca="false">VLOOKUP(G2174,$AA$2:$AB$5,2,FALSE())</f>
        <v>30</v>
      </c>
      <c r="R2174" s="7" t="n">
        <f aca="false">IF(OR(F2174="Open",F2174="Reopened"),1,0)</f>
        <v>1</v>
      </c>
      <c r="S2174" s="7" t="n">
        <f aca="false">IF(AND(H2174&gt;='Exec Summary'!$E$1,H2174&lt;='Exec Summary'!$E$2),1,0)</f>
        <v>0</v>
      </c>
      <c r="T2174" s="7" t="n">
        <f aca="false">IF(AND(F2174="Closed",I2174&lt;&gt;"",I2174&gt;='Exec Summary'!$E$1,I2174&lt;='Exec Summary'!$E$2),1,0)</f>
        <v>0</v>
      </c>
      <c r="U2174" s="7" t="n">
        <f aca="false">IF(F2174="Reopened",1,0)</f>
        <v>0</v>
      </c>
      <c r="V2174" s="7" t="n">
        <f aca="false">IF(AND(R2174=1,O2174&gt;Q2174),1,0)</f>
        <v>1</v>
      </c>
      <c r="W2174" s="7" t="n">
        <f aca="false">IF(AND(T2174=1,P2174&lt;&gt;"",P2174&lt;=Q2174),1,0)</f>
        <v>0</v>
      </c>
    </row>
    <row r="2175" customFormat="false" ht="15" hidden="false" customHeight="false" outlineLevel="0" collapsed="false">
      <c r="A2175" s="7" t="s">
        <v>2590</v>
      </c>
      <c r="B2175" s="7" t="s">
        <v>135</v>
      </c>
      <c r="C2175" s="7" t="s">
        <v>306</v>
      </c>
      <c r="D2175" s="7" t="s">
        <v>62</v>
      </c>
      <c r="E2175" s="7" t="s">
        <v>63</v>
      </c>
      <c r="F2175" s="7" t="s">
        <v>50</v>
      </c>
      <c r="G2175" s="7" t="s">
        <v>20</v>
      </c>
      <c r="H2175" s="9" t="n">
        <v>46165</v>
      </c>
      <c r="I2175" s="9" t="n">
        <v>46183</v>
      </c>
      <c r="J2175" s="7" t="n">
        <v>8.1</v>
      </c>
      <c r="K2175" s="7" t="s">
        <v>2260</v>
      </c>
      <c r="L2175" s="7" t="s">
        <v>20</v>
      </c>
      <c r="M2175" s="7" t="s">
        <v>2602</v>
      </c>
      <c r="N2175" s="7" t="s">
        <v>53</v>
      </c>
      <c r="O2175" s="10" t="n">
        <f aca="false">'Exec Summary'!$E$2-H2175</f>
        <v>69</v>
      </c>
      <c r="P2175" s="10" t="n">
        <f aca="false">IF(I2175="","",I2175-H2175)</f>
        <v>18</v>
      </c>
      <c r="Q2175" s="10" t="n">
        <f aca="false">VLOOKUP(G2175,$AA$2:$AB$5,2,FALSE())</f>
        <v>30</v>
      </c>
      <c r="R2175" s="7" t="n">
        <f aca="false">IF(OR(F2175="Open",F2175="Reopened"),1,0)</f>
        <v>0</v>
      </c>
      <c r="S2175" s="7" t="n">
        <f aca="false">IF(AND(H2175&gt;='Exec Summary'!$E$1,H2175&lt;='Exec Summary'!$E$2),1,0)</f>
        <v>0</v>
      </c>
      <c r="T2175" s="7" t="n">
        <f aca="false">IF(AND(F2175="Closed",I2175&lt;&gt;"",I2175&gt;='Exec Summary'!$E$1,I2175&lt;='Exec Summary'!$E$2),1,0)</f>
        <v>0</v>
      </c>
      <c r="U2175" s="7" t="n">
        <f aca="false">IF(F2175="Reopened",1,0)</f>
        <v>0</v>
      </c>
      <c r="V2175" s="7" t="n">
        <f aca="false">IF(AND(R2175=1,O2175&gt;Q2175),1,0)</f>
        <v>0</v>
      </c>
      <c r="W2175" s="7" t="n">
        <f aca="false">IF(AND(T2175=1,P2175&lt;&gt;"",P2175&lt;=Q2175),1,0)</f>
        <v>0</v>
      </c>
    </row>
    <row r="2176" customFormat="false" ht="15" hidden="false" customHeight="false" outlineLevel="0" collapsed="false">
      <c r="A2176" s="7" t="s">
        <v>2590</v>
      </c>
      <c r="B2176" s="7" t="s">
        <v>135</v>
      </c>
      <c r="C2176" s="7" t="s">
        <v>306</v>
      </c>
      <c r="D2176" s="7" t="s">
        <v>112</v>
      </c>
      <c r="E2176" s="7" t="s">
        <v>113</v>
      </c>
      <c r="F2176" s="7" t="s">
        <v>56</v>
      </c>
      <c r="G2176" s="7" t="s">
        <v>20</v>
      </c>
      <c r="H2176" s="9" t="n">
        <v>46116</v>
      </c>
      <c r="I2176" s="9"/>
      <c r="J2176" s="7" t="n">
        <v>7.8</v>
      </c>
      <c r="K2176" s="7" t="s">
        <v>2260</v>
      </c>
      <c r="L2176" s="7" t="s">
        <v>20</v>
      </c>
      <c r="M2176" s="7" t="s">
        <v>2603</v>
      </c>
      <c r="N2176" s="7" t="s">
        <v>53</v>
      </c>
      <c r="O2176" s="10" t="n">
        <f aca="false">'Exec Summary'!$E$2-H2176</f>
        <v>118</v>
      </c>
      <c r="P2176" s="10" t="str">
        <f aca="false">IF(I2176="","",I2176-H2176)</f>
        <v/>
      </c>
      <c r="Q2176" s="10" t="n">
        <f aca="false">VLOOKUP(G2176,$AA$2:$AB$5,2,FALSE())</f>
        <v>30</v>
      </c>
      <c r="R2176" s="7" t="n">
        <f aca="false">IF(OR(F2176="Open",F2176="Reopened"),1,0)</f>
        <v>1</v>
      </c>
      <c r="S2176" s="7" t="n">
        <f aca="false">IF(AND(H2176&gt;='Exec Summary'!$E$1,H2176&lt;='Exec Summary'!$E$2),1,0)</f>
        <v>0</v>
      </c>
      <c r="T2176" s="7" t="n">
        <f aca="false">IF(AND(F2176="Closed",I2176&lt;&gt;"",I2176&gt;='Exec Summary'!$E$1,I2176&lt;='Exec Summary'!$E$2),1,0)</f>
        <v>0</v>
      </c>
      <c r="U2176" s="7" t="n">
        <f aca="false">IF(F2176="Reopened",1,0)</f>
        <v>0</v>
      </c>
      <c r="V2176" s="7" t="n">
        <f aca="false">IF(AND(R2176=1,O2176&gt;Q2176),1,0)</f>
        <v>1</v>
      </c>
      <c r="W2176" s="7" t="n">
        <f aca="false">IF(AND(T2176=1,P2176&lt;&gt;"",P2176&lt;=Q2176),1,0)</f>
        <v>0</v>
      </c>
    </row>
    <row r="2177" customFormat="false" ht="15" hidden="false" customHeight="false" outlineLevel="0" collapsed="false">
      <c r="A2177" s="7" t="s">
        <v>2604</v>
      </c>
      <c r="B2177" s="7" t="s">
        <v>46</v>
      </c>
      <c r="C2177" s="7" t="s">
        <v>79</v>
      </c>
      <c r="D2177" s="7" t="s">
        <v>91</v>
      </c>
      <c r="E2177" s="7" t="s">
        <v>92</v>
      </c>
      <c r="F2177" s="7" t="s">
        <v>50</v>
      </c>
      <c r="G2177" s="7" t="s">
        <v>20</v>
      </c>
      <c r="H2177" s="9" t="n">
        <v>45986</v>
      </c>
      <c r="I2177" s="9" t="n">
        <v>46015</v>
      </c>
      <c r="J2177" s="7" t="n">
        <v>8.1</v>
      </c>
      <c r="K2177" s="7" t="s">
        <v>2260</v>
      </c>
      <c r="L2177" s="7" t="s">
        <v>20</v>
      </c>
      <c r="M2177" s="7" t="s">
        <v>2605</v>
      </c>
      <c r="N2177" s="7" t="s">
        <v>53</v>
      </c>
      <c r="O2177" s="10" t="n">
        <f aca="false">'Exec Summary'!$E$2-H2177</f>
        <v>248</v>
      </c>
      <c r="P2177" s="10" t="n">
        <f aca="false">IF(I2177="","",I2177-H2177)</f>
        <v>29</v>
      </c>
      <c r="Q2177" s="10" t="n">
        <f aca="false">VLOOKUP(G2177,$AA$2:$AB$5,2,FALSE())</f>
        <v>30</v>
      </c>
      <c r="R2177" s="7" t="n">
        <f aca="false">IF(OR(F2177="Open",F2177="Reopened"),1,0)</f>
        <v>0</v>
      </c>
      <c r="S2177" s="7" t="n">
        <f aca="false">IF(AND(H2177&gt;='Exec Summary'!$E$1,H2177&lt;='Exec Summary'!$E$2),1,0)</f>
        <v>0</v>
      </c>
      <c r="T2177" s="7" t="n">
        <f aca="false">IF(AND(F2177="Closed",I2177&lt;&gt;"",I2177&gt;='Exec Summary'!$E$1,I2177&lt;='Exec Summary'!$E$2),1,0)</f>
        <v>0</v>
      </c>
      <c r="U2177" s="7" t="n">
        <f aca="false">IF(F2177="Reopened",1,0)</f>
        <v>0</v>
      </c>
      <c r="V2177" s="7" t="n">
        <f aca="false">IF(AND(R2177=1,O2177&gt;Q2177),1,0)</f>
        <v>0</v>
      </c>
      <c r="W2177" s="7" t="n">
        <f aca="false">IF(AND(T2177=1,P2177&lt;&gt;"",P2177&lt;=Q2177),1,0)</f>
        <v>0</v>
      </c>
    </row>
    <row r="2178" customFormat="false" ht="15" hidden="false" customHeight="false" outlineLevel="0" collapsed="false">
      <c r="A2178" s="7" t="s">
        <v>2604</v>
      </c>
      <c r="B2178" s="7" t="s">
        <v>46</v>
      </c>
      <c r="C2178" s="7" t="s">
        <v>79</v>
      </c>
      <c r="D2178" s="7" t="s">
        <v>62</v>
      </c>
      <c r="E2178" s="7" t="s">
        <v>63</v>
      </c>
      <c r="F2178" s="7" t="s">
        <v>50</v>
      </c>
      <c r="G2178" s="7" t="s">
        <v>20</v>
      </c>
      <c r="H2178" s="9" t="n">
        <v>45957</v>
      </c>
      <c r="I2178" s="9" t="n">
        <v>45983</v>
      </c>
      <c r="J2178" s="7" t="n">
        <v>8.1</v>
      </c>
      <c r="K2178" s="7" t="s">
        <v>2260</v>
      </c>
      <c r="L2178" s="7" t="s">
        <v>20</v>
      </c>
      <c r="M2178" s="7" t="s">
        <v>2606</v>
      </c>
      <c r="N2178" s="7" t="s">
        <v>53</v>
      </c>
      <c r="O2178" s="10" t="n">
        <f aca="false">'Exec Summary'!$E$2-H2178</f>
        <v>277</v>
      </c>
      <c r="P2178" s="10" t="n">
        <f aca="false">IF(I2178="","",I2178-H2178)</f>
        <v>26</v>
      </c>
      <c r="Q2178" s="10" t="n">
        <f aca="false">VLOOKUP(G2178,$AA$2:$AB$5,2,FALSE())</f>
        <v>30</v>
      </c>
      <c r="R2178" s="7" t="n">
        <f aca="false">IF(OR(F2178="Open",F2178="Reopened"),1,0)</f>
        <v>0</v>
      </c>
      <c r="S2178" s="7" t="n">
        <f aca="false">IF(AND(H2178&gt;='Exec Summary'!$E$1,H2178&lt;='Exec Summary'!$E$2),1,0)</f>
        <v>0</v>
      </c>
      <c r="T2178" s="7" t="n">
        <f aca="false">IF(AND(F2178="Closed",I2178&lt;&gt;"",I2178&gt;='Exec Summary'!$E$1,I2178&lt;='Exec Summary'!$E$2),1,0)</f>
        <v>0</v>
      </c>
      <c r="U2178" s="7" t="n">
        <f aca="false">IF(F2178="Reopened",1,0)</f>
        <v>0</v>
      </c>
      <c r="V2178" s="7" t="n">
        <f aca="false">IF(AND(R2178=1,O2178&gt;Q2178),1,0)</f>
        <v>0</v>
      </c>
      <c r="W2178" s="7" t="n">
        <f aca="false">IF(AND(T2178=1,P2178&lt;&gt;"",P2178&lt;=Q2178),1,0)</f>
        <v>0</v>
      </c>
    </row>
    <row r="2179" customFormat="false" ht="15" hidden="false" customHeight="false" outlineLevel="0" collapsed="false">
      <c r="A2179" s="7" t="s">
        <v>2604</v>
      </c>
      <c r="B2179" s="7" t="s">
        <v>46</v>
      </c>
      <c r="C2179" s="7" t="s">
        <v>79</v>
      </c>
      <c r="D2179" s="7" t="s">
        <v>87</v>
      </c>
      <c r="E2179" s="7" t="s">
        <v>88</v>
      </c>
      <c r="F2179" s="7" t="s">
        <v>56</v>
      </c>
      <c r="G2179" s="7" t="s">
        <v>19</v>
      </c>
      <c r="H2179" s="9" t="n">
        <v>46055</v>
      </c>
      <c r="I2179" s="9"/>
      <c r="J2179" s="7" t="n">
        <v>10</v>
      </c>
      <c r="K2179" s="7" t="s">
        <v>2260</v>
      </c>
      <c r="L2179" s="7" t="s">
        <v>20</v>
      </c>
      <c r="M2179" s="7" t="s">
        <v>2607</v>
      </c>
      <c r="N2179" s="7" t="s">
        <v>58</v>
      </c>
      <c r="O2179" s="10" t="n">
        <f aca="false">'Exec Summary'!$E$2-H2179</f>
        <v>179</v>
      </c>
      <c r="P2179" s="10" t="str">
        <f aca="false">IF(I2179="","",I2179-H2179)</f>
        <v/>
      </c>
      <c r="Q2179" s="10" t="n">
        <f aca="false">VLOOKUP(G2179,$AA$2:$AB$5,2,FALSE())</f>
        <v>15</v>
      </c>
      <c r="R2179" s="7" t="n">
        <f aca="false">IF(OR(F2179="Open",F2179="Reopened"),1,0)</f>
        <v>1</v>
      </c>
      <c r="S2179" s="7" t="n">
        <f aca="false">IF(AND(H2179&gt;='Exec Summary'!$E$1,H2179&lt;='Exec Summary'!$E$2),1,0)</f>
        <v>0</v>
      </c>
      <c r="T2179" s="7" t="n">
        <f aca="false">IF(AND(F2179="Closed",I2179&lt;&gt;"",I2179&gt;='Exec Summary'!$E$1,I2179&lt;='Exec Summary'!$E$2),1,0)</f>
        <v>0</v>
      </c>
      <c r="U2179" s="7" t="n">
        <f aca="false">IF(F2179="Reopened",1,0)</f>
        <v>0</v>
      </c>
      <c r="V2179" s="7" t="n">
        <f aca="false">IF(AND(R2179=1,O2179&gt;Q2179),1,0)</f>
        <v>1</v>
      </c>
      <c r="W2179" s="7" t="n">
        <f aca="false">IF(AND(T2179=1,P2179&lt;&gt;"",P2179&lt;=Q2179),1,0)</f>
        <v>0</v>
      </c>
    </row>
    <row r="2180" customFormat="false" ht="15" hidden="false" customHeight="false" outlineLevel="0" collapsed="false">
      <c r="A2180" s="7" t="s">
        <v>2604</v>
      </c>
      <c r="B2180" s="7" t="s">
        <v>46</v>
      </c>
      <c r="C2180" s="7" t="s">
        <v>79</v>
      </c>
      <c r="D2180" s="7" t="s">
        <v>59</v>
      </c>
      <c r="E2180" s="7" t="s">
        <v>60</v>
      </c>
      <c r="F2180" s="7" t="s">
        <v>50</v>
      </c>
      <c r="G2180" s="7" t="s">
        <v>19</v>
      </c>
      <c r="H2180" s="9" t="n">
        <v>46066</v>
      </c>
      <c r="I2180" s="9" t="n">
        <v>46067</v>
      </c>
      <c r="J2180" s="7" t="n">
        <v>7.8</v>
      </c>
      <c r="K2180" s="7" t="s">
        <v>2260</v>
      </c>
      <c r="L2180" s="7" t="s">
        <v>20</v>
      </c>
      <c r="M2180" s="7" t="s">
        <v>2608</v>
      </c>
      <c r="N2180" s="7" t="s">
        <v>58</v>
      </c>
      <c r="O2180" s="10" t="n">
        <f aca="false">'Exec Summary'!$E$2-H2180</f>
        <v>168</v>
      </c>
      <c r="P2180" s="10" t="n">
        <f aca="false">IF(I2180="","",I2180-H2180)</f>
        <v>1</v>
      </c>
      <c r="Q2180" s="10" t="n">
        <f aca="false">VLOOKUP(G2180,$AA$2:$AB$5,2,FALSE())</f>
        <v>15</v>
      </c>
      <c r="R2180" s="7" t="n">
        <f aca="false">IF(OR(F2180="Open",F2180="Reopened"),1,0)</f>
        <v>0</v>
      </c>
      <c r="S2180" s="7" t="n">
        <f aca="false">IF(AND(H2180&gt;='Exec Summary'!$E$1,H2180&lt;='Exec Summary'!$E$2),1,0)</f>
        <v>0</v>
      </c>
      <c r="T2180" s="7" t="n">
        <f aca="false">IF(AND(F2180="Closed",I2180&lt;&gt;"",I2180&gt;='Exec Summary'!$E$1,I2180&lt;='Exec Summary'!$E$2),1,0)</f>
        <v>0</v>
      </c>
      <c r="U2180" s="7" t="n">
        <f aca="false">IF(F2180="Reopened",1,0)</f>
        <v>0</v>
      </c>
      <c r="V2180" s="7" t="n">
        <f aca="false">IF(AND(R2180=1,O2180&gt;Q2180),1,0)</f>
        <v>0</v>
      </c>
      <c r="W2180" s="7" t="n">
        <f aca="false">IF(AND(T2180=1,P2180&lt;&gt;"",P2180&lt;=Q2180),1,0)</f>
        <v>0</v>
      </c>
    </row>
    <row r="2181" customFormat="false" ht="15" hidden="false" customHeight="false" outlineLevel="0" collapsed="false">
      <c r="A2181" s="7" t="s">
        <v>2604</v>
      </c>
      <c r="B2181" s="7" t="s">
        <v>46</v>
      </c>
      <c r="C2181" s="7" t="s">
        <v>79</v>
      </c>
      <c r="D2181" s="7" t="s">
        <v>101</v>
      </c>
      <c r="E2181" s="7" t="s">
        <v>102</v>
      </c>
      <c r="F2181" s="7" t="s">
        <v>56</v>
      </c>
      <c r="G2181" s="7" t="s">
        <v>19</v>
      </c>
      <c r="H2181" s="9" t="n">
        <v>46022</v>
      </c>
      <c r="I2181" s="9"/>
      <c r="J2181" s="7" t="n">
        <v>10</v>
      </c>
      <c r="K2181" s="7" t="s">
        <v>2260</v>
      </c>
      <c r="L2181" s="7" t="s">
        <v>20</v>
      </c>
      <c r="M2181" s="7" t="s">
        <v>2609</v>
      </c>
      <c r="N2181" s="7" t="s">
        <v>58</v>
      </c>
      <c r="O2181" s="10" t="n">
        <f aca="false">'Exec Summary'!$E$2-H2181</f>
        <v>212</v>
      </c>
      <c r="P2181" s="10" t="str">
        <f aca="false">IF(I2181="","",I2181-H2181)</f>
        <v/>
      </c>
      <c r="Q2181" s="10" t="n">
        <f aca="false">VLOOKUP(G2181,$AA$2:$AB$5,2,FALSE())</f>
        <v>15</v>
      </c>
      <c r="R2181" s="7" t="n">
        <f aca="false">IF(OR(F2181="Open",F2181="Reopened"),1,0)</f>
        <v>1</v>
      </c>
      <c r="S2181" s="7" t="n">
        <f aca="false">IF(AND(H2181&gt;='Exec Summary'!$E$1,H2181&lt;='Exec Summary'!$E$2),1,0)</f>
        <v>0</v>
      </c>
      <c r="T2181" s="7" t="n">
        <f aca="false">IF(AND(F2181="Closed",I2181&lt;&gt;"",I2181&gt;='Exec Summary'!$E$1,I2181&lt;='Exec Summary'!$E$2),1,0)</f>
        <v>0</v>
      </c>
      <c r="U2181" s="7" t="n">
        <f aca="false">IF(F2181="Reopened",1,0)</f>
        <v>0</v>
      </c>
      <c r="V2181" s="7" t="n">
        <f aca="false">IF(AND(R2181=1,O2181&gt;Q2181),1,0)</f>
        <v>1</v>
      </c>
      <c r="W2181" s="7" t="n">
        <f aca="false">IF(AND(T2181=1,P2181&lt;&gt;"",P2181&lt;=Q2181),1,0)</f>
        <v>0</v>
      </c>
    </row>
    <row r="2182" customFormat="false" ht="15" hidden="false" customHeight="false" outlineLevel="0" collapsed="false">
      <c r="A2182" s="7" t="s">
        <v>2604</v>
      </c>
      <c r="B2182" s="7" t="s">
        <v>46</v>
      </c>
      <c r="C2182" s="7" t="s">
        <v>79</v>
      </c>
      <c r="D2182" s="7" t="s">
        <v>210</v>
      </c>
      <c r="E2182" s="7" t="s">
        <v>211</v>
      </c>
      <c r="F2182" s="7" t="s">
        <v>50</v>
      </c>
      <c r="G2182" s="7" t="s">
        <v>19</v>
      </c>
      <c r="H2182" s="9" t="n">
        <v>46032</v>
      </c>
      <c r="I2182" s="9" t="n">
        <v>46051</v>
      </c>
      <c r="J2182" s="7" t="n">
        <v>9.8</v>
      </c>
      <c r="K2182" s="7" t="s">
        <v>2260</v>
      </c>
      <c r="L2182" s="7" t="s">
        <v>20</v>
      </c>
      <c r="M2182" s="7" t="s">
        <v>2610</v>
      </c>
      <c r="N2182" s="7" t="s">
        <v>58</v>
      </c>
      <c r="O2182" s="10" t="n">
        <f aca="false">'Exec Summary'!$E$2-H2182</f>
        <v>202</v>
      </c>
      <c r="P2182" s="10" t="n">
        <f aca="false">IF(I2182="","",I2182-H2182)</f>
        <v>19</v>
      </c>
      <c r="Q2182" s="10" t="n">
        <f aca="false">VLOOKUP(G2182,$AA$2:$AB$5,2,FALSE())</f>
        <v>15</v>
      </c>
      <c r="R2182" s="7" t="n">
        <f aca="false">IF(OR(F2182="Open",F2182="Reopened"),1,0)</f>
        <v>0</v>
      </c>
      <c r="S2182" s="7" t="n">
        <f aca="false">IF(AND(H2182&gt;='Exec Summary'!$E$1,H2182&lt;='Exec Summary'!$E$2),1,0)</f>
        <v>0</v>
      </c>
      <c r="T2182" s="7" t="n">
        <f aca="false">IF(AND(F2182="Closed",I2182&lt;&gt;"",I2182&gt;='Exec Summary'!$E$1,I2182&lt;='Exec Summary'!$E$2),1,0)</f>
        <v>0</v>
      </c>
      <c r="U2182" s="7" t="n">
        <f aca="false">IF(F2182="Reopened",1,0)</f>
        <v>0</v>
      </c>
      <c r="V2182" s="7" t="n">
        <f aca="false">IF(AND(R2182=1,O2182&gt;Q2182),1,0)</f>
        <v>0</v>
      </c>
      <c r="W2182" s="7" t="n">
        <f aca="false">IF(AND(T2182=1,P2182&lt;&gt;"",P2182&lt;=Q2182),1,0)</f>
        <v>0</v>
      </c>
    </row>
    <row r="2183" customFormat="false" ht="15" hidden="false" customHeight="false" outlineLevel="0" collapsed="false">
      <c r="A2183" s="7" t="s">
        <v>2604</v>
      </c>
      <c r="B2183" s="7" t="s">
        <v>46</v>
      </c>
      <c r="C2183" s="7" t="s">
        <v>79</v>
      </c>
      <c r="D2183" s="7" t="s">
        <v>206</v>
      </c>
      <c r="E2183" s="7" t="s">
        <v>207</v>
      </c>
      <c r="F2183" s="7" t="s">
        <v>50</v>
      </c>
      <c r="G2183" s="7" t="s">
        <v>20</v>
      </c>
      <c r="H2183" s="9" t="n">
        <v>45954</v>
      </c>
      <c r="I2183" s="9" t="n">
        <v>46006</v>
      </c>
      <c r="J2183" s="7" t="n">
        <v>8.8</v>
      </c>
      <c r="K2183" s="7" t="s">
        <v>2260</v>
      </c>
      <c r="L2183" s="7" t="s">
        <v>20</v>
      </c>
      <c r="M2183" s="7" t="s">
        <v>2611</v>
      </c>
      <c r="N2183" s="7" t="s">
        <v>53</v>
      </c>
      <c r="O2183" s="10" t="n">
        <f aca="false">'Exec Summary'!$E$2-H2183</f>
        <v>280</v>
      </c>
      <c r="P2183" s="10" t="n">
        <f aca="false">IF(I2183="","",I2183-H2183)</f>
        <v>52</v>
      </c>
      <c r="Q2183" s="10" t="n">
        <f aca="false">VLOOKUP(G2183,$AA$2:$AB$5,2,FALSE())</f>
        <v>30</v>
      </c>
      <c r="R2183" s="7" t="n">
        <f aca="false">IF(OR(F2183="Open",F2183="Reopened"),1,0)</f>
        <v>0</v>
      </c>
      <c r="S2183" s="7" t="n">
        <f aca="false">IF(AND(H2183&gt;='Exec Summary'!$E$1,H2183&lt;='Exec Summary'!$E$2),1,0)</f>
        <v>0</v>
      </c>
      <c r="T2183" s="7" t="n">
        <f aca="false">IF(AND(F2183="Closed",I2183&lt;&gt;"",I2183&gt;='Exec Summary'!$E$1,I2183&lt;='Exec Summary'!$E$2),1,0)</f>
        <v>0</v>
      </c>
      <c r="U2183" s="7" t="n">
        <f aca="false">IF(F2183="Reopened",1,0)</f>
        <v>0</v>
      </c>
      <c r="V2183" s="7" t="n">
        <f aca="false">IF(AND(R2183=1,O2183&gt;Q2183),1,0)</f>
        <v>0</v>
      </c>
      <c r="W2183" s="7" t="n">
        <f aca="false">IF(AND(T2183=1,P2183&lt;&gt;"",P2183&lt;=Q2183),1,0)</f>
        <v>0</v>
      </c>
    </row>
    <row r="2184" customFormat="false" ht="15" hidden="false" customHeight="false" outlineLevel="0" collapsed="false">
      <c r="A2184" s="7" t="s">
        <v>2604</v>
      </c>
      <c r="B2184" s="7" t="s">
        <v>46</v>
      </c>
      <c r="C2184" s="7" t="s">
        <v>79</v>
      </c>
      <c r="D2184" s="7" t="s">
        <v>139</v>
      </c>
      <c r="E2184" s="7" t="s">
        <v>140</v>
      </c>
      <c r="F2184" s="7" t="s">
        <v>56</v>
      </c>
      <c r="G2184" s="7" t="s">
        <v>19</v>
      </c>
      <c r="H2184" s="9" t="n">
        <v>46110</v>
      </c>
      <c r="I2184" s="9"/>
      <c r="J2184" s="7" t="n">
        <v>9.8</v>
      </c>
      <c r="K2184" s="7" t="s">
        <v>2260</v>
      </c>
      <c r="L2184" s="7" t="s">
        <v>20</v>
      </c>
      <c r="M2184" s="7" t="s">
        <v>2612</v>
      </c>
      <c r="N2184" s="7" t="s">
        <v>58</v>
      </c>
      <c r="O2184" s="10" t="n">
        <f aca="false">'Exec Summary'!$E$2-H2184</f>
        <v>124</v>
      </c>
      <c r="P2184" s="10" t="str">
        <f aca="false">IF(I2184="","",I2184-H2184)</f>
        <v/>
      </c>
      <c r="Q2184" s="10" t="n">
        <f aca="false">VLOOKUP(G2184,$AA$2:$AB$5,2,FALSE())</f>
        <v>15</v>
      </c>
      <c r="R2184" s="7" t="n">
        <f aca="false">IF(OR(F2184="Open",F2184="Reopened"),1,0)</f>
        <v>1</v>
      </c>
      <c r="S2184" s="7" t="n">
        <f aca="false">IF(AND(H2184&gt;='Exec Summary'!$E$1,H2184&lt;='Exec Summary'!$E$2),1,0)</f>
        <v>0</v>
      </c>
      <c r="T2184" s="7" t="n">
        <f aca="false">IF(AND(F2184="Closed",I2184&lt;&gt;"",I2184&gt;='Exec Summary'!$E$1,I2184&lt;='Exec Summary'!$E$2),1,0)</f>
        <v>0</v>
      </c>
      <c r="U2184" s="7" t="n">
        <f aca="false">IF(F2184="Reopened",1,0)</f>
        <v>0</v>
      </c>
      <c r="V2184" s="7" t="n">
        <f aca="false">IF(AND(R2184=1,O2184&gt;Q2184),1,0)</f>
        <v>1</v>
      </c>
      <c r="W2184" s="7" t="n">
        <f aca="false">IF(AND(T2184=1,P2184&lt;&gt;"",P2184&lt;=Q2184),1,0)</f>
        <v>0</v>
      </c>
    </row>
    <row r="2185" customFormat="false" ht="15" hidden="false" customHeight="false" outlineLevel="0" collapsed="false">
      <c r="A2185" s="7" t="s">
        <v>2604</v>
      </c>
      <c r="B2185" s="7" t="s">
        <v>46</v>
      </c>
      <c r="C2185" s="7" t="s">
        <v>79</v>
      </c>
      <c r="D2185" s="7" t="s">
        <v>166</v>
      </c>
      <c r="E2185" s="7" t="s">
        <v>167</v>
      </c>
      <c r="F2185" s="7" t="s">
        <v>56</v>
      </c>
      <c r="G2185" s="7" t="s">
        <v>19</v>
      </c>
      <c r="H2185" s="9" t="n">
        <v>45992</v>
      </c>
      <c r="I2185" s="9"/>
      <c r="J2185" s="7" t="n">
        <v>9.8</v>
      </c>
      <c r="K2185" s="7" t="s">
        <v>2260</v>
      </c>
      <c r="L2185" s="7" t="s">
        <v>20</v>
      </c>
      <c r="M2185" s="7" t="s">
        <v>2613</v>
      </c>
      <c r="N2185" s="7" t="s">
        <v>58</v>
      </c>
      <c r="O2185" s="10" t="n">
        <f aca="false">'Exec Summary'!$E$2-H2185</f>
        <v>242</v>
      </c>
      <c r="P2185" s="10" t="str">
        <f aca="false">IF(I2185="","",I2185-H2185)</f>
        <v/>
      </c>
      <c r="Q2185" s="10" t="n">
        <f aca="false">VLOOKUP(G2185,$AA$2:$AB$5,2,FALSE())</f>
        <v>15</v>
      </c>
      <c r="R2185" s="7" t="n">
        <f aca="false">IF(OR(F2185="Open",F2185="Reopened"),1,0)</f>
        <v>1</v>
      </c>
      <c r="S2185" s="7" t="n">
        <f aca="false">IF(AND(H2185&gt;='Exec Summary'!$E$1,H2185&lt;='Exec Summary'!$E$2),1,0)</f>
        <v>0</v>
      </c>
      <c r="T2185" s="7" t="n">
        <f aca="false">IF(AND(F2185="Closed",I2185&lt;&gt;"",I2185&gt;='Exec Summary'!$E$1,I2185&lt;='Exec Summary'!$E$2),1,0)</f>
        <v>0</v>
      </c>
      <c r="U2185" s="7" t="n">
        <f aca="false">IF(F2185="Reopened",1,0)</f>
        <v>0</v>
      </c>
      <c r="V2185" s="7" t="n">
        <f aca="false">IF(AND(R2185=1,O2185&gt;Q2185),1,0)</f>
        <v>1</v>
      </c>
      <c r="W2185" s="7" t="n">
        <f aca="false">IF(AND(T2185=1,P2185&lt;&gt;"",P2185&lt;=Q2185),1,0)</f>
        <v>0</v>
      </c>
    </row>
    <row r="2186" customFormat="false" ht="15" hidden="false" customHeight="false" outlineLevel="0" collapsed="false">
      <c r="A2186" s="7" t="s">
        <v>2604</v>
      </c>
      <c r="B2186" s="7" t="s">
        <v>46</v>
      </c>
      <c r="C2186" s="7" t="s">
        <v>79</v>
      </c>
      <c r="D2186" s="7" t="s">
        <v>152</v>
      </c>
      <c r="E2186" s="7" t="s">
        <v>153</v>
      </c>
      <c r="F2186" s="7" t="s">
        <v>123</v>
      </c>
      <c r="G2186" s="7" t="s">
        <v>20</v>
      </c>
      <c r="H2186" s="9" t="n">
        <v>46106</v>
      </c>
      <c r="I2186" s="9" t="n">
        <v>46134</v>
      </c>
      <c r="J2186" s="7" t="n">
        <v>7.5</v>
      </c>
      <c r="K2186" s="7" t="s">
        <v>2260</v>
      </c>
      <c r="L2186" s="7" t="s">
        <v>20</v>
      </c>
      <c r="M2186" s="7" t="s">
        <v>2614</v>
      </c>
      <c r="N2186" s="7" t="s">
        <v>53</v>
      </c>
      <c r="O2186" s="10" t="n">
        <f aca="false">'Exec Summary'!$E$2-H2186</f>
        <v>128</v>
      </c>
      <c r="P2186" s="10" t="n">
        <f aca="false">IF(I2186="","",I2186-H2186)</f>
        <v>28</v>
      </c>
      <c r="Q2186" s="10" t="n">
        <f aca="false">VLOOKUP(G2186,$AA$2:$AB$5,2,FALSE())</f>
        <v>30</v>
      </c>
      <c r="R2186" s="7" t="n">
        <f aca="false">IF(OR(F2186="Open",F2186="Reopened"),1,0)</f>
        <v>1</v>
      </c>
      <c r="S2186" s="7" t="n">
        <f aca="false">IF(AND(H2186&gt;='Exec Summary'!$E$1,H2186&lt;='Exec Summary'!$E$2),1,0)</f>
        <v>0</v>
      </c>
      <c r="T2186" s="7" t="n">
        <f aca="false">IF(AND(F2186="Closed",I2186&lt;&gt;"",I2186&gt;='Exec Summary'!$E$1,I2186&lt;='Exec Summary'!$E$2),1,0)</f>
        <v>0</v>
      </c>
      <c r="U2186" s="7" t="n">
        <f aca="false">IF(F2186="Reopened",1,0)</f>
        <v>1</v>
      </c>
      <c r="V2186" s="7" t="n">
        <f aca="false">IF(AND(R2186=1,O2186&gt;Q2186),1,0)</f>
        <v>1</v>
      </c>
      <c r="W2186" s="7" t="n">
        <f aca="false">IF(AND(T2186=1,P2186&lt;&gt;"",P2186&lt;=Q2186),1,0)</f>
        <v>0</v>
      </c>
    </row>
    <row r="2187" customFormat="false" ht="15" hidden="false" customHeight="false" outlineLevel="0" collapsed="false">
      <c r="A2187" s="7" t="s">
        <v>2604</v>
      </c>
      <c r="B2187" s="7" t="s">
        <v>46</v>
      </c>
      <c r="C2187" s="7" t="s">
        <v>79</v>
      </c>
      <c r="D2187" s="7" t="s">
        <v>120</v>
      </c>
      <c r="E2187" s="7" t="s">
        <v>121</v>
      </c>
      <c r="F2187" s="7" t="s">
        <v>56</v>
      </c>
      <c r="G2187" s="7" t="s">
        <v>19</v>
      </c>
      <c r="H2187" s="9" t="n">
        <v>46192</v>
      </c>
      <c r="I2187" s="9"/>
      <c r="J2187" s="7" t="n">
        <v>8.8</v>
      </c>
      <c r="K2187" s="7" t="s">
        <v>2260</v>
      </c>
      <c r="L2187" s="7" t="s">
        <v>20</v>
      </c>
      <c r="M2187" s="7" t="s">
        <v>2615</v>
      </c>
      <c r="N2187" s="7" t="s">
        <v>58</v>
      </c>
      <c r="O2187" s="10" t="n">
        <f aca="false">'Exec Summary'!$E$2-H2187</f>
        <v>42</v>
      </c>
      <c r="P2187" s="10" t="str">
        <f aca="false">IF(I2187="","",I2187-H2187)</f>
        <v/>
      </c>
      <c r="Q2187" s="10" t="n">
        <f aca="false">VLOOKUP(G2187,$AA$2:$AB$5,2,FALSE())</f>
        <v>15</v>
      </c>
      <c r="R2187" s="7" t="n">
        <f aca="false">IF(OR(F2187="Open",F2187="Reopened"),1,0)</f>
        <v>1</v>
      </c>
      <c r="S2187" s="7" t="n">
        <f aca="false">IF(AND(H2187&gt;='Exec Summary'!$E$1,H2187&lt;='Exec Summary'!$E$2),1,0)</f>
        <v>0</v>
      </c>
      <c r="T2187" s="7" t="n">
        <f aca="false">IF(AND(F2187="Closed",I2187&lt;&gt;"",I2187&gt;='Exec Summary'!$E$1,I2187&lt;='Exec Summary'!$E$2),1,0)</f>
        <v>0</v>
      </c>
      <c r="U2187" s="7" t="n">
        <f aca="false">IF(F2187="Reopened",1,0)</f>
        <v>0</v>
      </c>
      <c r="V2187" s="7" t="n">
        <f aca="false">IF(AND(R2187=1,O2187&gt;Q2187),1,0)</f>
        <v>1</v>
      </c>
      <c r="W2187" s="7" t="n">
        <f aca="false">IF(AND(T2187=1,P2187&lt;&gt;"",P2187&lt;=Q2187),1,0)</f>
        <v>0</v>
      </c>
    </row>
    <row r="2188" customFormat="false" ht="15" hidden="false" customHeight="false" outlineLevel="0" collapsed="false">
      <c r="A2188" s="7" t="s">
        <v>2604</v>
      </c>
      <c r="B2188" s="7" t="s">
        <v>46</v>
      </c>
      <c r="C2188" s="7" t="s">
        <v>79</v>
      </c>
      <c r="D2188" s="7" t="s">
        <v>48</v>
      </c>
      <c r="E2188" s="7" t="s">
        <v>49</v>
      </c>
      <c r="F2188" s="7" t="s">
        <v>56</v>
      </c>
      <c r="G2188" s="7" t="s">
        <v>20</v>
      </c>
      <c r="H2188" s="9" t="n">
        <v>46040</v>
      </c>
      <c r="I2188" s="9"/>
      <c r="J2188" s="7" t="n">
        <v>7.5</v>
      </c>
      <c r="K2188" s="7" t="s">
        <v>2260</v>
      </c>
      <c r="L2188" s="7" t="s">
        <v>20</v>
      </c>
      <c r="M2188" s="7" t="s">
        <v>2616</v>
      </c>
      <c r="N2188" s="7" t="s">
        <v>53</v>
      </c>
      <c r="O2188" s="10" t="n">
        <f aca="false">'Exec Summary'!$E$2-H2188</f>
        <v>194</v>
      </c>
      <c r="P2188" s="10" t="str">
        <f aca="false">IF(I2188="","",I2188-H2188)</f>
        <v/>
      </c>
      <c r="Q2188" s="10" t="n">
        <f aca="false">VLOOKUP(G2188,$AA$2:$AB$5,2,FALSE())</f>
        <v>30</v>
      </c>
      <c r="R2188" s="7" t="n">
        <f aca="false">IF(OR(F2188="Open",F2188="Reopened"),1,0)</f>
        <v>1</v>
      </c>
      <c r="S2188" s="7" t="n">
        <f aca="false">IF(AND(H2188&gt;='Exec Summary'!$E$1,H2188&lt;='Exec Summary'!$E$2),1,0)</f>
        <v>0</v>
      </c>
      <c r="T2188" s="7" t="n">
        <f aca="false">IF(AND(F2188="Closed",I2188&lt;&gt;"",I2188&gt;='Exec Summary'!$E$1,I2188&lt;='Exec Summary'!$E$2),1,0)</f>
        <v>0</v>
      </c>
      <c r="U2188" s="7" t="n">
        <f aca="false">IF(F2188="Reopened",1,0)</f>
        <v>0</v>
      </c>
      <c r="V2188" s="7" t="n">
        <f aca="false">IF(AND(R2188=1,O2188&gt;Q2188),1,0)</f>
        <v>1</v>
      </c>
      <c r="W2188" s="7" t="n">
        <f aca="false">IF(AND(T2188=1,P2188&lt;&gt;"",P2188&lt;=Q2188),1,0)</f>
        <v>0</v>
      </c>
    </row>
    <row r="2189" customFormat="false" ht="15" hidden="false" customHeight="false" outlineLevel="0" collapsed="false">
      <c r="A2189" s="7" t="s">
        <v>2604</v>
      </c>
      <c r="B2189" s="7" t="s">
        <v>46</v>
      </c>
      <c r="C2189" s="7" t="s">
        <v>79</v>
      </c>
      <c r="D2189" s="7" t="s">
        <v>192</v>
      </c>
      <c r="E2189" s="7" t="s">
        <v>193</v>
      </c>
      <c r="F2189" s="7" t="s">
        <v>56</v>
      </c>
      <c r="G2189" s="7" t="s">
        <v>19</v>
      </c>
      <c r="H2189" s="9" t="n">
        <v>46032</v>
      </c>
      <c r="I2189" s="9"/>
      <c r="J2189" s="7" t="n">
        <v>9.8</v>
      </c>
      <c r="K2189" s="7" t="s">
        <v>2260</v>
      </c>
      <c r="L2189" s="7" t="s">
        <v>20</v>
      </c>
      <c r="M2189" s="7" t="s">
        <v>2617</v>
      </c>
      <c r="N2189" s="7" t="s">
        <v>58</v>
      </c>
      <c r="O2189" s="10" t="n">
        <f aca="false">'Exec Summary'!$E$2-H2189</f>
        <v>202</v>
      </c>
      <c r="P2189" s="10" t="str">
        <f aca="false">IF(I2189="","",I2189-H2189)</f>
        <v/>
      </c>
      <c r="Q2189" s="10" t="n">
        <f aca="false">VLOOKUP(G2189,$AA$2:$AB$5,2,FALSE())</f>
        <v>15</v>
      </c>
      <c r="R2189" s="7" t="n">
        <f aca="false">IF(OR(F2189="Open",F2189="Reopened"),1,0)</f>
        <v>1</v>
      </c>
      <c r="S2189" s="7" t="n">
        <f aca="false">IF(AND(H2189&gt;='Exec Summary'!$E$1,H2189&lt;='Exec Summary'!$E$2),1,0)</f>
        <v>0</v>
      </c>
      <c r="T2189" s="7" t="n">
        <f aca="false">IF(AND(F2189="Closed",I2189&lt;&gt;"",I2189&gt;='Exec Summary'!$E$1,I2189&lt;='Exec Summary'!$E$2),1,0)</f>
        <v>0</v>
      </c>
      <c r="U2189" s="7" t="n">
        <f aca="false">IF(F2189="Reopened",1,0)</f>
        <v>0</v>
      </c>
      <c r="V2189" s="7" t="n">
        <f aca="false">IF(AND(R2189=1,O2189&gt;Q2189),1,0)</f>
        <v>1</v>
      </c>
      <c r="W2189" s="7" t="n">
        <f aca="false">IF(AND(T2189=1,P2189&lt;&gt;"",P2189&lt;=Q2189),1,0)</f>
        <v>0</v>
      </c>
    </row>
    <row r="2190" customFormat="false" ht="15" hidden="false" customHeight="false" outlineLevel="0" collapsed="false">
      <c r="A2190" s="7" t="s">
        <v>2604</v>
      </c>
      <c r="B2190" s="7" t="s">
        <v>46</v>
      </c>
      <c r="C2190" s="7" t="s">
        <v>79</v>
      </c>
      <c r="D2190" s="7" t="s">
        <v>65</v>
      </c>
      <c r="E2190" s="7" t="s">
        <v>66</v>
      </c>
      <c r="F2190" s="7" t="s">
        <v>50</v>
      </c>
      <c r="G2190" s="7" t="s">
        <v>19</v>
      </c>
      <c r="H2190" s="9" t="n">
        <v>46060</v>
      </c>
      <c r="I2190" s="9" t="n">
        <v>46061</v>
      </c>
      <c r="J2190" s="7" t="n">
        <v>9.8</v>
      </c>
      <c r="K2190" s="7" t="s">
        <v>2260</v>
      </c>
      <c r="L2190" s="7" t="s">
        <v>20</v>
      </c>
      <c r="M2190" s="7" t="s">
        <v>2618</v>
      </c>
      <c r="N2190" s="7" t="s">
        <v>58</v>
      </c>
      <c r="O2190" s="10" t="n">
        <f aca="false">'Exec Summary'!$E$2-H2190</f>
        <v>174</v>
      </c>
      <c r="P2190" s="10" t="n">
        <f aca="false">IF(I2190="","",I2190-H2190)</f>
        <v>1</v>
      </c>
      <c r="Q2190" s="10" t="n">
        <f aca="false">VLOOKUP(G2190,$AA$2:$AB$5,2,FALSE())</f>
        <v>15</v>
      </c>
      <c r="R2190" s="7" t="n">
        <f aca="false">IF(OR(F2190="Open",F2190="Reopened"),1,0)</f>
        <v>0</v>
      </c>
      <c r="S2190" s="7" t="n">
        <f aca="false">IF(AND(H2190&gt;='Exec Summary'!$E$1,H2190&lt;='Exec Summary'!$E$2),1,0)</f>
        <v>0</v>
      </c>
      <c r="T2190" s="7" t="n">
        <f aca="false">IF(AND(F2190="Closed",I2190&lt;&gt;"",I2190&gt;='Exec Summary'!$E$1,I2190&lt;='Exec Summary'!$E$2),1,0)</f>
        <v>0</v>
      </c>
      <c r="U2190" s="7" t="n">
        <f aca="false">IF(F2190="Reopened",1,0)</f>
        <v>0</v>
      </c>
      <c r="V2190" s="7" t="n">
        <f aca="false">IF(AND(R2190=1,O2190&gt;Q2190),1,0)</f>
        <v>0</v>
      </c>
      <c r="W2190" s="7" t="n">
        <f aca="false">IF(AND(T2190=1,P2190&lt;&gt;"",P2190&lt;=Q2190),1,0)</f>
        <v>0</v>
      </c>
    </row>
    <row r="2191" customFormat="false" ht="15" hidden="false" customHeight="false" outlineLevel="0" collapsed="false">
      <c r="A2191" s="7" t="s">
        <v>2619</v>
      </c>
      <c r="B2191" s="7" t="s">
        <v>46</v>
      </c>
      <c r="C2191" s="7" t="s">
        <v>79</v>
      </c>
      <c r="D2191" s="7" t="s">
        <v>59</v>
      </c>
      <c r="E2191" s="7" t="s">
        <v>60</v>
      </c>
      <c r="F2191" s="7" t="s">
        <v>50</v>
      </c>
      <c r="G2191" s="7" t="s">
        <v>19</v>
      </c>
      <c r="H2191" s="9" t="n">
        <v>46072</v>
      </c>
      <c r="I2191" s="9" t="n">
        <v>46084</v>
      </c>
      <c r="J2191" s="7" t="n">
        <v>7.8</v>
      </c>
      <c r="K2191" s="7" t="s">
        <v>2260</v>
      </c>
      <c r="L2191" s="7" t="s">
        <v>20</v>
      </c>
      <c r="M2191" s="7" t="s">
        <v>2620</v>
      </c>
      <c r="N2191" s="7" t="s">
        <v>58</v>
      </c>
      <c r="O2191" s="10" t="n">
        <f aca="false">'Exec Summary'!$E$2-H2191</f>
        <v>162</v>
      </c>
      <c r="P2191" s="10" t="n">
        <f aca="false">IF(I2191="","",I2191-H2191)</f>
        <v>12</v>
      </c>
      <c r="Q2191" s="10" t="n">
        <f aca="false">VLOOKUP(G2191,$AA$2:$AB$5,2,FALSE())</f>
        <v>15</v>
      </c>
      <c r="R2191" s="7" t="n">
        <f aca="false">IF(OR(F2191="Open",F2191="Reopened"),1,0)</f>
        <v>0</v>
      </c>
      <c r="S2191" s="7" t="n">
        <f aca="false">IF(AND(H2191&gt;='Exec Summary'!$E$1,H2191&lt;='Exec Summary'!$E$2),1,0)</f>
        <v>0</v>
      </c>
      <c r="T2191" s="7" t="n">
        <f aca="false">IF(AND(F2191="Closed",I2191&lt;&gt;"",I2191&gt;='Exec Summary'!$E$1,I2191&lt;='Exec Summary'!$E$2),1,0)</f>
        <v>0</v>
      </c>
      <c r="U2191" s="7" t="n">
        <f aca="false">IF(F2191="Reopened",1,0)</f>
        <v>0</v>
      </c>
      <c r="V2191" s="7" t="n">
        <f aca="false">IF(AND(R2191=1,O2191&gt;Q2191),1,0)</f>
        <v>0</v>
      </c>
      <c r="W2191" s="7" t="n">
        <f aca="false">IF(AND(T2191=1,P2191&lt;&gt;"",P2191&lt;=Q2191),1,0)</f>
        <v>0</v>
      </c>
    </row>
    <row r="2192" customFormat="false" ht="15" hidden="false" customHeight="false" outlineLevel="0" collapsed="false">
      <c r="A2192" s="7" t="s">
        <v>2619</v>
      </c>
      <c r="B2192" s="7" t="s">
        <v>46</v>
      </c>
      <c r="C2192" s="7" t="s">
        <v>79</v>
      </c>
      <c r="D2192" s="7" t="s">
        <v>120</v>
      </c>
      <c r="E2192" s="7" t="s">
        <v>121</v>
      </c>
      <c r="F2192" s="7" t="s">
        <v>56</v>
      </c>
      <c r="G2192" s="7" t="s">
        <v>19</v>
      </c>
      <c r="H2192" s="9" t="n">
        <v>46094</v>
      </c>
      <c r="I2192" s="9"/>
      <c r="J2192" s="7" t="n">
        <v>8.8</v>
      </c>
      <c r="K2192" s="7" t="s">
        <v>2260</v>
      </c>
      <c r="L2192" s="7" t="s">
        <v>20</v>
      </c>
      <c r="M2192" s="7" t="s">
        <v>2621</v>
      </c>
      <c r="N2192" s="7" t="s">
        <v>58</v>
      </c>
      <c r="O2192" s="10" t="n">
        <f aca="false">'Exec Summary'!$E$2-H2192</f>
        <v>140</v>
      </c>
      <c r="P2192" s="10" t="str">
        <f aca="false">IF(I2192="","",I2192-H2192)</f>
        <v/>
      </c>
      <c r="Q2192" s="10" t="n">
        <f aca="false">VLOOKUP(G2192,$AA$2:$AB$5,2,FALSE())</f>
        <v>15</v>
      </c>
      <c r="R2192" s="7" t="n">
        <f aca="false">IF(OR(F2192="Open",F2192="Reopened"),1,0)</f>
        <v>1</v>
      </c>
      <c r="S2192" s="7" t="n">
        <f aca="false">IF(AND(H2192&gt;='Exec Summary'!$E$1,H2192&lt;='Exec Summary'!$E$2),1,0)</f>
        <v>0</v>
      </c>
      <c r="T2192" s="7" t="n">
        <f aca="false">IF(AND(F2192="Closed",I2192&lt;&gt;"",I2192&gt;='Exec Summary'!$E$1,I2192&lt;='Exec Summary'!$E$2),1,0)</f>
        <v>0</v>
      </c>
      <c r="U2192" s="7" t="n">
        <f aca="false">IF(F2192="Reopened",1,0)</f>
        <v>0</v>
      </c>
      <c r="V2192" s="7" t="n">
        <f aca="false">IF(AND(R2192=1,O2192&gt;Q2192),1,0)</f>
        <v>1</v>
      </c>
      <c r="W2192" s="7" t="n">
        <f aca="false">IF(AND(T2192=1,P2192&lt;&gt;"",P2192&lt;=Q2192),1,0)</f>
        <v>0</v>
      </c>
    </row>
    <row r="2193" customFormat="false" ht="15" hidden="false" customHeight="false" outlineLevel="0" collapsed="false">
      <c r="A2193" s="7" t="s">
        <v>2619</v>
      </c>
      <c r="B2193" s="7" t="s">
        <v>46</v>
      </c>
      <c r="C2193" s="7" t="s">
        <v>79</v>
      </c>
      <c r="D2193" s="7" t="s">
        <v>95</v>
      </c>
      <c r="E2193" s="7" t="s">
        <v>96</v>
      </c>
      <c r="F2193" s="7" t="s">
        <v>50</v>
      </c>
      <c r="G2193" s="7" t="s">
        <v>20</v>
      </c>
      <c r="H2193" s="9" t="n">
        <v>45962</v>
      </c>
      <c r="I2193" s="9" t="n">
        <v>45981</v>
      </c>
      <c r="J2193" s="7" t="n">
        <v>8.8</v>
      </c>
      <c r="K2193" s="7" t="s">
        <v>2260</v>
      </c>
      <c r="L2193" s="7" t="s">
        <v>20</v>
      </c>
      <c r="M2193" s="7" t="s">
        <v>2622</v>
      </c>
      <c r="N2193" s="7" t="s">
        <v>53</v>
      </c>
      <c r="O2193" s="10" t="n">
        <f aca="false">'Exec Summary'!$E$2-H2193</f>
        <v>272</v>
      </c>
      <c r="P2193" s="10" t="n">
        <f aca="false">IF(I2193="","",I2193-H2193)</f>
        <v>19</v>
      </c>
      <c r="Q2193" s="10" t="n">
        <f aca="false">VLOOKUP(G2193,$AA$2:$AB$5,2,FALSE())</f>
        <v>30</v>
      </c>
      <c r="R2193" s="7" t="n">
        <f aca="false">IF(OR(F2193="Open",F2193="Reopened"),1,0)</f>
        <v>0</v>
      </c>
      <c r="S2193" s="7" t="n">
        <f aca="false">IF(AND(H2193&gt;='Exec Summary'!$E$1,H2193&lt;='Exec Summary'!$E$2),1,0)</f>
        <v>0</v>
      </c>
      <c r="T2193" s="7" t="n">
        <f aca="false">IF(AND(F2193="Closed",I2193&lt;&gt;"",I2193&gt;='Exec Summary'!$E$1,I2193&lt;='Exec Summary'!$E$2),1,0)</f>
        <v>0</v>
      </c>
      <c r="U2193" s="7" t="n">
        <f aca="false">IF(F2193="Reopened",1,0)</f>
        <v>0</v>
      </c>
      <c r="V2193" s="7" t="n">
        <f aca="false">IF(AND(R2193=1,O2193&gt;Q2193),1,0)</f>
        <v>0</v>
      </c>
      <c r="W2193" s="7" t="n">
        <f aca="false">IF(AND(T2193=1,P2193&lt;&gt;"",P2193&lt;=Q2193),1,0)</f>
        <v>0</v>
      </c>
    </row>
    <row r="2194" customFormat="false" ht="15" hidden="false" customHeight="false" outlineLevel="0" collapsed="false">
      <c r="A2194" s="7" t="s">
        <v>2623</v>
      </c>
      <c r="B2194" s="7" t="s">
        <v>46</v>
      </c>
      <c r="C2194" s="7" t="s">
        <v>158</v>
      </c>
      <c r="D2194" s="7" t="s">
        <v>84</v>
      </c>
      <c r="E2194" s="7" t="s">
        <v>85</v>
      </c>
      <c r="F2194" s="7" t="s">
        <v>123</v>
      </c>
      <c r="G2194" s="7" t="s">
        <v>20</v>
      </c>
      <c r="H2194" s="9" t="n">
        <v>46130</v>
      </c>
      <c r="I2194" s="9" t="n">
        <v>46154</v>
      </c>
      <c r="J2194" s="7" t="n">
        <v>7.5</v>
      </c>
      <c r="K2194" s="7" t="s">
        <v>2260</v>
      </c>
      <c r="L2194" s="7" t="s">
        <v>20</v>
      </c>
      <c r="M2194" s="7" t="s">
        <v>2624</v>
      </c>
      <c r="N2194" s="7" t="s">
        <v>53</v>
      </c>
      <c r="O2194" s="10" t="n">
        <f aca="false">'Exec Summary'!$E$2-H2194</f>
        <v>104</v>
      </c>
      <c r="P2194" s="10" t="n">
        <f aca="false">IF(I2194="","",I2194-H2194)</f>
        <v>24</v>
      </c>
      <c r="Q2194" s="10" t="n">
        <f aca="false">VLOOKUP(G2194,$AA$2:$AB$5,2,FALSE())</f>
        <v>30</v>
      </c>
      <c r="R2194" s="7" t="n">
        <f aca="false">IF(OR(F2194="Open",F2194="Reopened"),1,0)</f>
        <v>1</v>
      </c>
      <c r="S2194" s="7" t="n">
        <f aca="false">IF(AND(H2194&gt;='Exec Summary'!$E$1,H2194&lt;='Exec Summary'!$E$2),1,0)</f>
        <v>0</v>
      </c>
      <c r="T2194" s="7" t="n">
        <f aca="false">IF(AND(F2194="Closed",I2194&lt;&gt;"",I2194&gt;='Exec Summary'!$E$1,I2194&lt;='Exec Summary'!$E$2),1,0)</f>
        <v>0</v>
      </c>
      <c r="U2194" s="7" t="n">
        <f aca="false">IF(F2194="Reopened",1,0)</f>
        <v>1</v>
      </c>
      <c r="V2194" s="7" t="n">
        <f aca="false">IF(AND(R2194=1,O2194&gt;Q2194),1,0)</f>
        <v>1</v>
      </c>
      <c r="W2194" s="7" t="n">
        <f aca="false">IF(AND(T2194=1,P2194&lt;&gt;"",P2194&lt;=Q2194),1,0)</f>
        <v>0</v>
      </c>
    </row>
    <row r="2195" customFormat="false" ht="15" hidden="false" customHeight="false" outlineLevel="0" collapsed="false">
      <c r="A2195" s="7" t="s">
        <v>2623</v>
      </c>
      <c r="B2195" s="7" t="s">
        <v>46</v>
      </c>
      <c r="C2195" s="7" t="s">
        <v>158</v>
      </c>
      <c r="D2195" s="7" t="s">
        <v>74</v>
      </c>
      <c r="E2195" s="7" t="s">
        <v>75</v>
      </c>
      <c r="F2195" s="7" t="s">
        <v>50</v>
      </c>
      <c r="G2195" s="7" t="s">
        <v>21</v>
      </c>
      <c r="H2195" s="9" t="n">
        <v>46163</v>
      </c>
      <c r="I2195" s="9" t="n">
        <v>46198</v>
      </c>
      <c r="J2195" s="7" t="n">
        <v>6.5</v>
      </c>
      <c r="K2195" s="7" t="s">
        <v>2260</v>
      </c>
      <c r="L2195" s="7" t="s">
        <v>20</v>
      </c>
      <c r="M2195" s="7" t="s">
        <v>2625</v>
      </c>
      <c r="N2195" s="7" t="s">
        <v>77</v>
      </c>
      <c r="O2195" s="10" t="n">
        <f aca="false">'Exec Summary'!$E$2-H2195</f>
        <v>71</v>
      </c>
      <c r="P2195" s="10" t="n">
        <f aca="false">IF(I2195="","",I2195-H2195)</f>
        <v>35</v>
      </c>
      <c r="Q2195" s="10" t="n">
        <f aca="false">VLOOKUP(G2195,$AA$2:$AB$5,2,FALSE())</f>
        <v>90</v>
      </c>
      <c r="R2195" s="7" t="n">
        <f aca="false">IF(OR(F2195="Open",F2195="Reopened"),1,0)</f>
        <v>0</v>
      </c>
      <c r="S2195" s="7" t="n">
        <f aca="false">IF(AND(H2195&gt;='Exec Summary'!$E$1,H2195&lt;='Exec Summary'!$E$2),1,0)</f>
        <v>0</v>
      </c>
      <c r="T2195" s="7" t="n">
        <f aca="false">IF(AND(F2195="Closed",I2195&lt;&gt;"",I2195&gt;='Exec Summary'!$E$1,I2195&lt;='Exec Summary'!$E$2),1,0)</f>
        <v>0</v>
      </c>
      <c r="U2195" s="7" t="n">
        <f aca="false">IF(F2195="Reopened",1,0)</f>
        <v>0</v>
      </c>
      <c r="V2195" s="7" t="n">
        <f aca="false">IF(AND(R2195=1,O2195&gt;Q2195),1,0)</f>
        <v>0</v>
      </c>
      <c r="W2195" s="7" t="n">
        <f aca="false">IF(AND(T2195=1,P2195&lt;&gt;"",P2195&lt;=Q2195),1,0)</f>
        <v>0</v>
      </c>
    </row>
    <row r="2196" customFormat="false" ht="15" hidden="false" customHeight="false" outlineLevel="0" collapsed="false">
      <c r="A2196" s="7" t="s">
        <v>2623</v>
      </c>
      <c r="B2196" s="7" t="s">
        <v>46</v>
      </c>
      <c r="C2196" s="7" t="s">
        <v>158</v>
      </c>
      <c r="D2196" s="7" t="s">
        <v>101</v>
      </c>
      <c r="E2196" s="7" t="s">
        <v>102</v>
      </c>
      <c r="F2196" s="7" t="s">
        <v>123</v>
      </c>
      <c r="G2196" s="7" t="s">
        <v>19</v>
      </c>
      <c r="H2196" s="9" t="n">
        <v>46001</v>
      </c>
      <c r="I2196" s="9" t="n">
        <v>46002</v>
      </c>
      <c r="J2196" s="7" t="n">
        <v>10</v>
      </c>
      <c r="K2196" s="7" t="s">
        <v>2260</v>
      </c>
      <c r="L2196" s="7" t="s">
        <v>20</v>
      </c>
      <c r="M2196" s="7" t="s">
        <v>2626</v>
      </c>
      <c r="N2196" s="7" t="s">
        <v>58</v>
      </c>
      <c r="O2196" s="10" t="n">
        <f aca="false">'Exec Summary'!$E$2-H2196</f>
        <v>233</v>
      </c>
      <c r="P2196" s="10" t="n">
        <f aca="false">IF(I2196="","",I2196-H2196)</f>
        <v>1</v>
      </c>
      <c r="Q2196" s="10" t="n">
        <f aca="false">VLOOKUP(G2196,$AA$2:$AB$5,2,FALSE())</f>
        <v>15</v>
      </c>
      <c r="R2196" s="7" t="n">
        <f aca="false">IF(OR(F2196="Open",F2196="Reopened"),1,0)</f>
        <v>1</v>
      </c>
      <c r="S2196" s="7" t="n">
        <f aca="false">IF(AND(H2196&gt;='Exec Summary'!$E$1,H2196&lt;='Exec Summary'!$E$2),1,0)</f>
        <v>0</v>
      </c>
      <c r="T2196" s="7" t="n">
        <f aca="false">IF(AND(F2196="Closed",I2196&lt;&gt;"",I2196&gt;='Exec Summary'!$E$1,I2196&lt;='Exec Summary'!$E$2),1,0)</f>
        <v>0</v>
      </c>
      <c r="U2196" s="7" t="n">
        <f aca="false">IF(F2196="Reopened",1,0)</f>
        <v>1</v>
      </c>
      <c r="V2196" s="7" t="n">
        <f aca="false">IF(AND(R2196=1,O2196&gt;Q2196),1,0)</f>
        <v>1</v>
      </c>
      <c r="W2196" s="7" t="n">
        <f aca="false">IF(AND(T2196=1,P2196&lt;&gt;"",P2196&lt;=Q2196),1,0)</f>
        <v>0</v>
      </c>
    </row>
    <row r="2197" customFormat="false" ht="15" hidden="false" customHeight="false" outlineLevel="0" collapsed="false">
      <c r="A2197" s="7" t="s">
        <v>2627</v>
      </c>
      <c r="B2197" s="7" t="s">
        <v>46</v>
      </c>
      <c r="C2197" s="7" t="s">
        <v>79</v>
      </c>
      <c r="D2197" s="7" t="s">
        <v>166</v>
      </c>
      <c r="E2197" s="7" t="s">
        <v>167</v>
      </c>
      <c r="F2197" s="7" t="s">
        <v>56</v>
      </c>
      <c r="G2197" s="7" t="s">
        <v>19</v>
      </c>
      <c r="H2197" s="9" t="n">
        <v>46131</v>
      </c>
      <c r="I2197" s="9"/>
      <c r="J2197" s="7" t="n">
        <v>9.8</v>
      </c>
      <c r="K2197" s="7" t="s">
        <v>2628</v>
      </c>
      <c r="L2197" s="7" t="s">
        <v>21</v>
      </c>
      <c r="M2197" s="7" t="s">
        <v>2629</v>
      </c>
      <c r="N2197" s="7" t="s">
        <v>58</v>
      </c>
      <c r="O2197" s="10" t="n">
        <f aca="false">'Exec Summary'!$E$2-H2197</f>
        <v>103</v>
      </c>
      <c r="P2197" s="10" t="str">
        <f aca="false">IF(I2197="","",I2197-H2197)</f>
        <v/>
      </c>
      <c r="Q2197" s="10" t="n">
        <f aca="false">VLOOKUP(G2197,$AA$2:$AB$5,2,FALSE())</f>
        <v>15</v>
      </c>
      <c r="R2197" s="7" t="n">
        <f aca="false">IF(OR(F2197="Open",F2197="Reopened"),1,0)</f>
        <v>1</v>
      </c>
      <c r="S2197" s="7" t="n">
        <f aca="false">IF(AND(H2197&gt;='Exec Summary'!$E$1,H2197&lt;='Exec Summary'!$E$2),1,0)</f>
        <v>0</v>
      </c>
      <c r="T2197" s="7" t="n">
        <f aca="false">IF(AND(F2197="Closed",I2197&lt;&gt;"",I2197&gt;='Exec Summary'!$E$1,I2197&lt;='Exec Summary'!$E$2),1,0)</f>
        <v>0</v>
      </c>
      <c r="U2197" s="7" t="n">
        <f aca="false">IF(F2197="Reopened",1,0)</f>
        <v>0</v>
      </c>
      <c r="V2197" s="7" t="n">
        <f aca="false">IF(AND(R2197=1,O2197&gt;Q2197),1,0)</f>
        <v>1</v>
      </c>
      <c r="W2197" s="7" t="n">
        <f aca="false">IF(AND(T2197=1,P2197&lt;&gt;"",P2197&lt;=Q2197),1,0)</f>
        <v>0</v>
      </c>
    </row>
    <row r="2198" customFormat="false" ht="15" hidden="false" customHeight="false" outlineLevel="0" collapsed="false">
      <c r="A2198" s="7" t="s">
        <v>2627</v>
      </c>
      <c r="B2198" s="7" t="s">
        <v>46</v>
      </c>
      <c r="C2198" s="7" t="s">
        <v>79</v>
      </c>
      <c r="D2198" s="7" t="s">
        <v>117</v>
      </c>
      <c r="E2198" s="7" t="s">
        <v>118</v>
      </c>
      <c r="F2198" s="7" t="s">
        <v>50</v>
      </c>
      <c r="G2198" s="7" t="s">
        <v>19</v>
      </c>
      <c r="H2198" s="9" t="n">
        <v>46027</v>
      </c>
      <c r="I2198" s="9" t="n">
        <v>46047</v>
      </c>
      <c r="J2198" s="7" t="n">
        <v>10</v>
      </c>
      <c r="K2198" s="7" t="s">
        <v>2628</v>
      </c>
      <c r="L2198" s="7" t="s">
        <v>21</v>
      </c>
      <c r="M2198" s="7" t="s">
        <v>2630</v>
      </c>
      <c r="N2198" s="7" t="s">
        <v>58</v>
      </c>
      <c r="O2198" s="10" t="n">
        <f aca="false">'Exec Summary'!$E$2-H2198</f>
        <v>207</v>
      </c>
      <c r="P2198" s="10" t="n">
        <f aca="false">IF(I2198="","",I2198-H2198)</f>
        <v>20</v>
      </c>
      <c r="Q2198" s="10" t="n">
        <f aca="false">VLOOKUP(G2198,$AA$2:$AB$5,2,FALSE())</f>
        <v>15</v>
      </c>
      <c r="R2198" s="7" t="n">
        <f aca="false">IF(OR(F2198="Open",F2198="Reopened"),1,0)</f>
        <v>0</v>
      </c>
      <c r="S2198" s="7" t="n">
        <f aca="false">IF(AND(H2198&gt;='Exec Summary'!$E$1,H2198&lt;='Exec Summary'!$E$2),1,0)</f>
        <v>0</v>
      </c>
      <c r="T2198" s="7" t="n">
        <f aca="false">IF(AND(F2198="Closed",I2198&lt;&gt;"",I2198&gt;='Exec Summary'!$E$1,I2198&lt;='Exec Summary'!$E$2),1,0)</f>
        <v>0</v>
      </c>
      <c r="U2198" s="7" t="n">
        <f aca="false">IF(F2198="Reopened",1,0)</f>
        <v>0</v>
      </c>
      <c r="V2198" s="7" t="n">
        <f aca="false">IF(AND(R2198=1,O2198&gt;Q2198),1,0)</f>
        <v>0</v>
      </c>
      <c r="W2198" s="7" t="n">
        <f aca="false">IF(AND(T2198=1,P2198&lt;&gt;"",P2198&lt;=Q2198),1,0)</f>
        <v>0</v>
      </c>
    </row>
    <row r="2199" customFormat="false" ht="15" hidden="false" customHeight="false" outlineLevel="0" collapsed="false">
      <c r="A2199" s="7" t="s">
        <v>2627</v>
      </c>
      <c r="B2199" s="7" t="s">
        <v>46</v>
      </c>
      <c r="C2199" s="7" t="s">
        <v>79</v>
      </c>
      <c r="D2199" s="7" t="s">
        <v>68</v>
      </c>
      <c r="E2199" s="7" t="s">
        <v>69</v>
      </c>
      <c r="F2199" s="7" t="s">
        <v>50</v>
      </c>
      <c r="G2199" s="7" t="s">
        <v>19</v>
      </c>
      <c r="H2199" s="9" t="n">
        <v>46016</v>
      </c>
      <c r="I2199" s="9" t="n">
        <v>46034</v>
      </c>
      <c r="J2199" s="7" t="n">
        <v>9.8</v>
      </c>
      <c r="K2199" s="7" t="s">
        <v>2628</v>
      </c>
      <c r="L2199" s="7" t="s">
        <v>21</v>
      </c>
      <c r="M2199" s="7" t="s">
        <v>2631</v>
      </c>
      <c r="N2199" s="7" t="s">
        <v>58</v>
      </c>
      <c r="O2199" s="10" t="n">
        <f aca="false">'Exec Summary'!$E$2-H2199</f>
        <v>218</v>
      </c>
      <c r="P2199" s="10" t="n">
        <f aca="false">IF(I2199="","",I2199-H2199)</f>
        <v>18</v>
      </c>
      <c r="Q2199" s="10" t="n">
        <f aca="false">VLOOKUP(G2199,$AA$2:$AB$5,2,FALSE())</f>
        <v>15</v>
      </c>
      <c r="R2199" s="7" t="n">
        <f aca="false">IF(OR(F2199="Open",F2199="Reopened"),1,0)</f>
        <v>0</v>
      </c>
      <c r="S2199" s="7" t="n">
        <f aca="false">IF(AND(H2199&gt;='Exec Summary'!$E$1,H2199&lt;='Exec Summary'!$E$2),1,0)</f>
        <v>0</v>
      </c>
      <c r="T2199" s="7" t="n">
        <f aca="false">IF(AND(F2199="Closed",I2199&lt;&gt;"",I2199&gt;='Exec Summary'!$E$1,I2199&lt;='Exec Summary'!$E$2),1,0)</f>
        <v>0</v>
      </c>
      <c r="U2199" s="7" t="n">
        <f aca="false">IF(F2199="Reopened",1,0)</f>
        <v>0</v>
      </c>
      <c r="V2199" s="7" t="n">
        <f aca="false">IF(AND(R2199=1,O2199&gt;Q2199),1,0)</f>
        <v>0</v>
      </c>
      <c r="W2199" s="7" t="n">
        <f aca="false">IF(AND(T2199=1,P2199&lt;&gt;"",P2199&lt;=Q2199),1,0)</f>
        <v>0</v>
      </c>
    </row>
    <row r="2200" customFormat="false" ht="15" hidden="false" customHeight="false" outlineLevel="0" collapsed="false">
      <c r="A2200" s="7" t="s">
        <v>2627</v>
      </c>
      <c r="B2200" s="7" t="s">
        <v>46</v>
      </c>
      <c r="C2200" s="7" t="s">
        <v>79</v>
      </c>
      <c r="D2200" s="7" t="s">
        <v>71</v>
      </c>
      <c r="E2200" s="7" t="s">
        <v>72</v>
      </c>
      <c r="F2200" s="7" t="s">
        <v>50</v>
      </c>
      <c r="G2200" s="7" t="s">
        <v>19</v>
      </c>
      <c r="H2200" s="9" t="n">
        <v>46141</v>
      </c>
      <c r="I2200" s="9" t="n">
        <v>46152</v>
      </c>
      <c r="J2200" s="7" t="n">
        <v>9.8</v>
      </c>
      <c r="K2200" s="7" t="s">
        <v>2628</v>
      </c>
      <c r="L2200" s="7" t="s">
        <v>21</v>
      </c>
      <c r="M2200" s="7" t="s">
        <v>2632</v>
      </c>
      <c r="N2200" s="7" t="s">
        <v>58</v>
      </c>
      <c r="O2200" s="10" t="n">
        <f aca="false">'Exec Summary'!$E$2-H2200</f>
        <v>93</v>
      </c>
      <c r="P2200" s="10" t="n">
        <f aca="false">IF(I2200="","",I2200-H2200)</f>
        <v>11</v>
      </c>
      <c r="Q2200" s="10" t="n">
        <f aca="false">VLOOKUP(G2200,$AA$2:$AB$5,2,FALSE())</f>
        <v>15</v>
      </c>
      <c r="R2200" s="7" t="n">
        <f aca="false">IF(OR(F2200="Open",F2200="Reopened"),1,0)</f>
        <v>0</v>
      </c>
      <c r="S2200" s="7" t="n">
        <f aca="false">IF(AND(H2200&gt;='Exec Summary'!$E$1,H2200&lt;='Exec Summary'!$E$2),1,0)</f>
        <v>0</v>
      </c>
      <c r="T2200" s="7" t="n">
        <f aca="false">IF(AND(F2200="Closed",I2200&lt;&gt;"",I2200&gt;='Exec Summary'!$E$1,I2200&lt;='Exec Summary'!$E$2),1,0)</f>
        <v>0</v>
      </c>
      <c r="U2200" s="7" t="n">
        <f aca="false">IF(F2200="Reopened",1,0)</f>
        <v>0</v>
      </c>
      <c r="V2200" s="7" t="n">
        <f aca="false">IF(AND(R2200=1,O2200&gt;Q2200),1,0)</f>
        <v>0</v>
      </c>
      <c r="W2200" s="7" t="n">
        <f aca="false">IF(AND(T2200=1,P2200&lt;&gt;"",P2200&lt;=Q2200),1,0)</f>
        <v>0</v>
      </c>
    </row>
    <row r="2201" customFormat="false" ht="15" hidden="false" customHeight="false" outlineLevel="0" collapsed="false">
      <c r="A2201" s="7" t="s">
        <v>2627</v>
      </c>
      <c r="B2201" s="7" t="s">
        <v>46</v>
      </c>
      <c r="C2201" s="7" t="s">
        <v>79</v>
      </c>
      <c r="D2201" s="7" t="s">
        <v>206</v>
      </c>
      <c r="E2201" s="7" t="s">
        <v>207</v>
      </c>
      <c r="F2201" s="7" t="s">
        <v>50</v>
      </c>
      <c r="G2201" s="7" t="s">
        <v>20</v>
      </c>
      <c r="H2201" s="9" t="n">
        <v>46213</v>
      </c>
      <c r="I2201" s="9" t="n">
        <v>46234</v>
      </c>
      <c r="J2201" s="7" t="n">
        <v>8.8</v>
      </c>
      <c r="K2201" s="7" t="s">
        <v>2628</v>
      </c>
      <c r="L2201" s="7" t="s">
        <v>21</v>
      </c>
      <c r="M2201" s="7" t="s">
        <v>2633</v>
      </c>
      <c r="N2201" s="7" t="s">
        <v>53</v>
      </c>
      <c r="O2201" s="10" t="n">
        <f aca="false">'Exec Summary'!$E$2-H2201</f>
        <v>21</v>
      </c>
      <c r="P2201" s="10" t="n">
        <f aca="false">IF(I2201="","",I2201-H2201)</f>
        <v>21</v>
      </c>
      <c r="Q2201" s="10" t="n">
        <f aca="false">VLOOKUP(G2201,$AA$2:$AB$5,2,FALSE())</f>
        <v>30</v>
      </c>
      <c r="R2201" s="7" t="n">
        <f aca="false">IF(OR(F2201="Open",F2201="Reopened"),1,0)</f>
        <v>0</v>
      </c>
      <c r="S2201" s="7" t="n">
        <f aca="false">IF(AND(H2201&gt;='Exec Summary'!$E$1,H2201&lt;='Exec Summary'!$E$2),1,0)</f>
        <v>1</v>
      </c>
      <c r="T2201" s="7" t="n">
        <f aca="false">IF(AND(F2201="Closed",I2201&lt;&gt;"",I2201&gt;='Exec Summary'!$E$1,I2201&lt;='Exec Summary'!$E$2),1,0)</f>
        <v>1</v>
      </c>
      <c r="U2201" s="7" t="n">
        <f aca="false">IF(F2201="Reopened",1,0)</f>
        <v>0</v>
      </c>
      <c r="V2201" s="7" t="n">
        <f aca="false">IF(AND(R2201=1,O2201&gt;Q2201),1,0)</f>
        <v>0</v>
      </c>
      <c r="W2201" s="7" t="n">
        <f aca="false">IF(AND(T2201=1,P2201&lt;&gt;"",P2201&lt;=Q2201),1,0)</f>
        <v>1</v>
      </c>
    </row>
    <row r="2202" customFormat="false" ht="15" hidden="false" customHeight="false" outlineLevel="0" collapsed="false">
      <c r="A2202" s="7" t="s">
        <v>2627</v>
      </c>
      <c r="B2202" s="7" t="s">
        <v>46</v>
      </c>
      <c r="C2202" s="7" t="s">
        <v>79</v>
      </c>
      <c r="D2202" s="7" t="s">
        <v>192</v>
      </c>
      <c r="E2202" s="7" t="s">
        <v>193</v>
      </c>
      <c r="F2202" s="7" t="s">
        <v>56</v>
      </c>
      <c r="G2202" s="7" t="s">
        <v>19</v>
      </c>
      <c r="H2202" s="9" t="n">
        <v>46106</v>
      </c>
      <c r="I2202" s="9"/>
      <c r="J2202" s="7" t="n">
        <v>9.8</v>
      </c>
      <c r="K2202" s="7" t="s">
        <v>2628</v>
      </c>
      <c r="L2202" s="7" t="s">
        <v>21</v>
      </c>
      <c r="M2202" s="7" t="s">
        <v>2634</v>
      </c>
      <c r="N2202" s="7" t="s">
        <v>58</v>
      </c>
      <c r="O2202" s="10" t="n">
        <f aca="false">'Exec Summary'!$E$2-H2202</f>
        <v>128</v>
      </c>
      <c r="P2202" s="10" t="str">
        <f aca="false">IF(I2202="","",I2202-H2202)</f>
        <v/>
      </c>
      <c r="Q2202" s="10" t="n">
        <f aca="false">VLOOKUP(G2202,$AA$2:$AB$5,2,FALSE())</f>
        <v>15</v>
      </c>
      <c r="R2202" s="7" t="n">
        <f aca="false">IF(OR(F2202="Open",F2202="Reopened"),1,0)</f>
        <v>1</v>
      </c>
      <c r="S2202" s="7" t="n">
        <f aca="false">IF(AND(H2202&gt;='Exec Summary'!$E$1,H2202&lt;='Exec Summary'!$E$2),1,0)</f>
        <v>0</v>
      </c>
      <c r="T2202" s="7" t="n">
        <f aca="false">IF(AND(F2202="Closed",I2202&lt;&gt;"",I2202&gt;='Exec Summary'!$E$1,I2202&lt;='Exec Summary'!$E$2),1,0)</f>
        <v>0</v>
      </c>
      <c r="U2202" s="7" t="n">
        <f aca="false">IF(F2202="Reopened",1,0)</f>
        <v>0</v>
      </c>
      <c r="V2202" s="7" t="n">
        <f aca="false">IF(AND(R2202=1,O2202&gt;Q2202),1,0)</f>
        <v>1</v>
      </c>
      <c r="W2202" s="7" t="n">
        <f aca="false">IF(AND(T2202=1,P2202&lt;&gt;"",P2202&lt;=Q2202),1,0)</f>
        <v>0</v>
      </c>
    </row>
    <row r="2203" customFormat="false" ht="15" hidden="false" customHeight="false" outlineLevel="0" collapsed="false">
      <c r="A2203" s="7" t="s">
        <v>2627</v>
      </c>
      <c r="B2203" s="7" t="s">
        <v>46</v>
      </c>
      <c r="C2203" s="7" t="s">
        <v>79</v>
      </c>
      <c r="D2203" s="7" t="s">
        <v>120</v>
      </c>
      <c r="E2203" s="7" t="s">
        <v>121</v>
      </c>
      <c r="F2203" s="7" t="s">
        <v>50</v>
      </c>
      <c r="G2203" s="7" t="s">
        <v>19</v>
      </c>
      <c r="H2203" s="9" t="n">
        <v>46064</v>
      </c>
      <c r="I2203" s="9" t="n">
        <v>46065</v>
      </c>
      <c r="J2203" s="7" t="n">
        <v>8.8</v>
      </c>
      <c r="K2203" s="7" t="s">
        <v>2628</v>
      </c>
      <c r="L2203" s="7" t="s">
        <v>21</v>
      </c>
      <c r="M2203" s="7" t="s">
        <v>2635</v>
      </c>
      <c r="N2203" s="7" t="s">
        <v>58</v>
      </c>
      <c r="O2203" s="10" t="n">
        <f aca="false">'Exec Summary'!$E$2-H2203</f>
        <v>170</v>
      </c>
      <c r="P2203" s="10" t="n">
        <f aca="false">IF(I2203="","",I2203-H2203)</f>
        <v>1</v>
      </c>
      <c r="Q2203" s="10" t="n">
        <f aca="false">VLOOKUP(G2203,$AA$2:$AB$5,2,FALSE())</f>
        <v>15</v>
      </c>
      <c r="R2203" s="7" t="n">
        <f aca="false">IF(OR(F2203="Open",F2203="Reopened"),1,0)</f>
        <v>0</v>
      </c>
      <c r="S2203" s="7" t="n">
        <f aca="false">IF(AND(H2203&gt;='Exec Summary'!$E$1,H2203&lt;='Exec Summary'!$E$2),1,0)</f>
        <v>0</v>
      </c>
      <c r="T2203" s="7" t="n">
        <f aca="false">IF(AND(F2203="Closed",I2203&lt;&gt;"",I2203&gt;='Exec Summary'!$E$1,I2203&lt;='Exec Summary'!$E$2),1,0)</f>
        <v>0</v>
      </c>
      <c r="U2203" s="7" t="n">
        <f aca="false">IF(F2203="Reopened",1,0)</f>
        <v>0</v>
      </c>
      <c r="V2203" s="7" t="n">
        <f aca="false">IF(AND(R2203=1,O2203&gt;Q2203),1,0)</f>
        <v>0</v>
      </c>
      <c r="W2203" s="7" t="n">
        <f aca="false">IF(AND(T2203=1,P2203&lt;&gt;"",P2203&lt;=Q2203),1,0)</f>
        <v>0</v>
      </c>
    </row>
    <row r="2204" customFormat="false" ht="15" hidden="false" customHeight="false" outlineLevel="0" collapsed="false">
      <c r="A2204" s="7" t="s">
        <v>2636</v>
      </c>
      <c r="B2204" s="7" t="s">
        <v>46</v>
      </c>
      <c r="C2204" s="7" t="s">
        <v>47</v>
      </c>
      <c r="D2204" s="7" t="s">
        <v>101</v>
      </c>
      <c r="E2204" s="7" t="s">
        <v>102</v>
      </c>
      <c r="F2204" s="7" t="s">
        <v>123</v>
      </c>
      <c r="G2204" s="7" t="s">
        <v>19</v>
      </c>
      <c r="H2204" s="9" t="n">
        <v>46111</v>
      </c>
      <c r="I2204" s="9" t="n">
        <v>46112</v>
      </c>
      <c r="J2204" s="7" t="n">
        <v>10</v>
      </c>
      <c r="K2204" s="7" t="s">
        <v>2628</v>
      </c>
      <c r="L2204" s="7" t="s">
        <v>21</v>
      </c>
      <c r="M2204" s="7" t="s">
        <v>2637</v>
      </c>
      <c r="N2204" s="7" t="s">
        <v>58</v>
      </c>
      <c r="O2204" s="10" t="n">
        <f aca="false">'Exec Summary'!$E$2-H2204</f>
        <v>123</v>
      </c>
      <c r="P2204" s="10" t="n">
        <f aca="false">IF(I2204="","",I2204-H2204)</f>
        <v>1</v>
      </c>
      <c r="Q2204" s="10" t="n">
        <f aca="false">VLOOKUP(G2204,$AA$2:$AB$5,2,FALSE())</f>
        <v>15</v>
      </c>
      <c r="R2204" s="7" t="n">
        <f aca="false">IF(OR(F2204="Open",F2204="Reopened"),1,0)</f>
        <v>1</v>
      </c>
      <c r="S2204" s="7" t="n">
        <f aca="false">IF(AND(H2204&gt;='Exec Summary'!$E$1,H2204&lt;='Exec Summary'!$E$2),1,0)</f>
        <v>0</v>
      </c>
      <c r="T2204" s="7" t="n">
        <f aca="false">IF(AND(F2204="Closed",I2204&lt;&gt;"",I2204&gt;='Exec Summary'!$E$1,I2204&lt;='Exec Summary'!$E$2),1,0)</f>
        <v>0</v>
      </c>
      <c r="U2204" s="7" t="n">
        <f aca="false">IF(F2204="Reopened",1,0)</f>
        <v>1</v>
      </c>
      <c r="V2204" s="7" t="n">
        <f aca="false">IF(AND(R2204=1,O2204&gt;Q2204),1,0)</f>
        <v>1</v>
      </c>
      <c r="W2204" s="7" t="n">
        <f aca="false">IF(AND(T2204=1,P2204&lt;&gt;"",P2204&lt;=Q2204),1,0)</f>
        <v>0</v>
      </c>
    </row>
    <row r="2205" customFormat="false" ht="15" hidden="false" customHeight="false" outlineLevel="0" collapsed="false">
      <c r="A2205" s="7" t="s">
        <v>2636</v>
      </c>
      <c r="B2205" s="7" t="s">
        <v>46</v>
      </c>
      <c r="C2205" s="7" t="s">
        <v>47</v>
      </c>
      <c r="D2205" s="7" t="s">
        <v>91</v>
      </c>
      <c r="E2205" s="7" t="s">
        <v>92</v>
      </c>
      <c r="F2205" s="7" t="s">
        <v>50</v>
      </c>
      <c r="G2205" s="7" t="s">
        <v>20</v>
      </c>
      <c r="H2205" s="9" t="n">
        <v>46027</v>
      </c>
      <c r="I2205" s="9" t="n">
        <v>46064</v>
      </c>
      <c r="J2205" s="7" t="n">
        <v>8.1</v>
      </c>
      <c r="K2205" s="7" t="s">
        <v>2628</v>
      </c>
      <c r="L2205" s="7" t="s">
        <v>21</v>
      </c>
      <c r="M2205" s="7" t="s">
        <v>2638</v>
      </c>
      <c r="N2205" s="7" t="s">
        <v>53</v>
      </c>
      <c r="O2205" s="10" t="n">
        <f aca="false">'Exec Summary'!$E$2-H2205</f>
        <v>207</v>
      </c>
      <c r="P2205" s="10" t="n">
        <f aca="false">IF(I2205="","",I2205-H2205)</f>
        <v>37</v>
      </c>
      <c r="Q2205" s="10" t="n">
        <f aca="false">VLOOKUP(G2205,$AA$2:$AB$5,2,FALSE())</f>
        <v>30</v>
      </c>
      <c r="R2205" s="7" t="n">
        <f aca="false">IF(OR(F2205="Open",F2205="Reopened"),1,0)</f>
        <v>0</v>
      </c>
      <c r="S2205" s="7" t="n">
        <f aca="false">IF(AND(H2205&gt;='Exec Summary'!$E$1,H2205&lt;='Exec Summary'!$E$2),1,0)</f>
        <v>0</v>
      </c>
      <c r="T2205" s="7" t="n">
        <f aca="false">IF(AND(F2205="Closed",I2205&lt;&gt;"",I2205&gt;='Exec Summary'!$E$1,I2205&lt;='Exec Summary'!$E$2),1,0)</f>
        <v>0</v>
      </c>
      <c r="U2205" s="7" t="n">
        <f aca="false">IF(F2205="Reopened",1,0)</f>
        <v>0</v>
      </c>
      <c r="V2205" s="7" t="n">
        <f aca="false">IF(AND(R2205=1,O2205&gt;Q2205),1,0)</f>
        <v>0</v>
      </c>
      <c r="W2205" s="7" t="n">
        <f aca="false">IF(AND(T2205=1,P2205&lt;&gt;"",P2205&lt;=Q2205),1,0)</f>
        <v>0</v>
      </c>
    </row>
    <row r="2206" customFormat="false" ht="15" hidden="false" customHeight="false" outlineLevel="0" collapsed="false">
      <c r="A2206" s="7" t="s">
        <v>2636</v>
      </c>
      <c r="B2206" s="7" t="s">
        <v>46</v>
      </c>
      <c r="C2206" s="7" t="s">
        <v>47</v>
      </c>
      <c r="D2206" s="7" t="s">
        <v>68</v>
      </c>
      <c r="E2206" s="7" t="s">
        <v>69</v>
      </c>
      <c r="F2206" s="7" t="s">
        <v>50</v>
      </c>
      <c r="G2206" s="7" t="s">
        <v>19</v>
      </c>
      <c r="H2206" s="9" t="n">
        <v>46033</v>
      </c>
      <c r="I2206" s="9" t="n">
        <v>46039</v>
      </c>
      <c r="J2206" s="7" t="n">
        <v>9.8</v>
      </c>
      <c r="K2206" s="7" t="s">
        <v>2628</v>
      </c>
      <c r="L2206" s="7" t="s">
        <v>21</v>
      </c>
      <c r="M2206" s="7" t="s">
        <v>2639</v>
      </c>
      <c r="N2206" s="7" t="s">
        <v>58</v>
      </c>
      <c r="O2206" s="10" t="n">
        <f aca="false">'Exec Summary'!$E$2-H2206</f>
        <v>201</v>
      </c>
      <c r="P2206" s="10" t="n">
        <f aca="false">IF(I2206="","",I2206-H2206)</f>
        <v>6</v>
      </c>
      <c r="Q2206" s="10" t="n">
        <f aca="false">VLOOKUP(G2206,$AA$2:$AB$5,2,FALSE())</f>
        <v>15</v>
      </c>
      <c r="R2206" s="7" t="n">
        <f aca="false">IF(OR(F2206="Open",F2206="Reopened"),1,0)</f>
        <v>0</v>
      </c>
      <c r="S2206" s="7" t="n">
        <f aca="false">IF(AND(H2206&gt;='Exec Summary'!$E$1,H2206&lt;='Exec Summary'!$E$2),1,0)</f>
        <v>0</v>
      </c>
      <c r="T2206" s="7" t="n">
        <f aca="false">IF(AND(F2206="Closed",I2206&lt;&gt;"",I2206&gt;='Exec Summary'!$E$1,I2206&lt;='Exec Summary'!$E$2),1,0)</f>
        <v>0</v>
      </c>
      <c r="U2206" s="7" t="n">
        <f aca="false">IF(F2206="Reopened",1,0)</f>
        <v>0</v>
      </c>
      <c r="V2206" s="7" t="n">
        <f aca="false">IF(AND(R2206=1,O2206&gt;Q2206),1,0)</f>
        <v>0</v>
      </c>
      <c r="W2206" s="7" t="n">
        <f aca="false">IF(AND(T2206=1,P2206&lt;&gt;"",P2206&lt;=Q2206),1,0)</f>
        <v>0</v>
      </c>
    </row>
    <row r="2207" customFormat="false" ht="15" hidden="false" customHeight="false" outlineLevel="0" collapsed="false">
      <c r="A2207" s="7" t="s">
        <v>2636</v>
      </c>
      <c r="B2207" s="7" t="s">
        <v>46</v>
      </c>
      <c r="C2207" s="7" t="s">
        <v>47</v>
      </c>
      <c r="D2207" s="7" t="s">
        <v>131</v>
      </c>
      <c r="E2207" s="7" t="s">
        <v>132</v>
      </c>
      <c r="F2207" s="7" t="s">
        <v>56</v>
      </c>
      <c r="G2207" s="7" t="s">
        <v>19</v>
      </c>
      <c r="H2207" s="9" t="n">
        <v>46203</v>
      </c>
      <c r="I2207" s="9"/>
      <c r="J2207" s="7" t="n">
        <v>9.8</v>
      </c>
      <c r="K2207" s="7" t="s">
        <v>2628</v>
      </c>
      <c r="L2207" s="7" t="s">
        <v>21</v>
      </c>
      <c r="M2207" s="7" t="s">
        <v>2640</v>
      </c>
      <c r="N2207" s="7" t="s">
        <v>58</v>
      </c>
      <c r="O2207" s="10" t="n">
        <f aca="false">'Exec Summary'!$E$2-H2207</f>
        <v>31</v>
      </c>
      <c r="P2207" s="10" t="str">
        <f aca="false">IF(I2207="","",I2207-H2207)</f>
        <v/>
      </c>
      <c r="Q2207" s="10" t="n">
        <f aca="false">VLOOKUP(G2207,$AA$2:$AB$5,2,FALSE())</f>
        <v>15</v>
      </c>
      <c r="R2207" s="7" t="n">
        <f aca="false">IF(OR(F2207="Open",F2207="Reopened"),1,0)</f>
        <v>1</v>
      </c>
      <c r="S2207" s="7" t="n">
        <f aca="false">IF(AND(H2207&gt;='Exec Summary'!$E$1,H2207&lt;='Exec Summary'!$E$2),1,0)</f>
        <v>0</v>
      </c>
      <c r="T2207" s="7" t="n">
        <f aca="false">IF(AND(F2207="Closed",I2207&lt;&gt;"",I2207&gt;='Exec Summary'!$E$1,I2207&lt;='Exec Summary'!$E$2),1,0)</f>
        <v>0</v>
      </c>
      <c r="U2207" s="7" t="n">
        <f aca="false">IF(F2207="Reopened",1,0)</f>
        <v>0</v>
      </c>
      <c r="V2207" s="7" t="n">
        <f aca="false">IF(AND(R2207=1,O2207&gt;Q2207),1,0)</f>
        <v>1</v>
      </c>
      <c r="W2207" s="7" t="n">
        <f aca="false">IF(AND(T2207=1,P2207&lt;&gt;"",P2207&lt;=Q2207),1,0)</f>
        <v>0</v>
      </c>
    </row>
    <row r="2208" customFormat="false" ht="15" hidden="false" customHeight="false" outlineLevel="0" collapsed="false">
      <c r="A2208" s="7" t="s">
        <v>2636</v>
      </c>
      <c r="B2208" s="7" t="s">
        <v>46</v>
      </c>
      <c r="C2208" s="7" t="s">
        <v>47</v>
      </c>
      <c r="D2208" s="7" t="s">
        <v>54</v>
      </c>
      <c r="E2208" s="7" t="s">
        <v>55</v>
      </c>
      <c r="F2208" s="7" t="s">
        <v>56</v>
      </c>
      <c r="G2208" s="7" t="s">
        <v>19</v>
      </c>
      <c r="H2208" s="9" t="n">
        <v>46222</v>
      </c>
      <c r="I2208" s="9"/>
      <c r="J2208" s="7" t="n">
        <v>9.8</v>
      </c>
      <c r="K2208" s="7" t="s">
        <v>2628</v>
      </c>
      <c r="L2208" s="7" t="s">
        <v>21</v>
      </c>
      <c r="M2208" s="7" t="s">
        <v>2641</v>
      </c>
      <c r="N2208" s="7" t="s">
        <v>58</v>
      </c>
      <c r="O2208" s="10" t="n">
        <f aca="false">'Exec Summary'!$E$2-H2208</f>
        <v>12</v>
      </c>
      <c r="P2208" s="10" t="str">
        <f aca="false">IF(I2208="","",I2208-H2208)</f>
        <v/>
      </c>
      <c r="Q2208" s="10" t="n">
        <f aca="false">VLOOKUP(G2208,$AA$2:$AB$5,2,FALSE())</f>
        <v>15</v>
      </c>
      <c r="R2208" s="7" t="n">
        <f aca="false">IF(OR(F2208="Open",F2208="Reopened"),1,0)</f>
        <v>1</v>
      </c>
      <c r="S2208" s="7" t="n">
        <f aca="false">IF(AND(H2208&gt;='Exec Summary'!$E$1,H2208&lt;='Exec Summary'!$E$2),1,0)</f>
        <v>1</v>
      </c>
      <c r="T2208" s="7" t="n">
        <f aca="false">IF(AND(F2208="Closed",I2208&lt;&gt;"",I2208&gt;='Exec Summary'!$E$1,I2208&lt;='Exec Summary'!$E$2),1,0)</f>
        <v>0</v>
      </c>
      <c r="U2208" s="7" t="n">
        <f aca="false">IF(F2208="Reopened",1,0)</f>
        <v>0</v>
      </c>
      <c r="V2208" s="7" t="n">
        <f aca="false">IF(AND(R2208=1,O2208&gt;Q2208),1,0)</f>
        <v>0</v>
      </c>
      <c r="W2208" s="7" t="n">
        <f aca="false">IF(AND(T2208=1,P2208&lt;&gt;"",P2208&lt;=Q2208),1,0)</f>
        <v>0</v>
      </c>
    </row>
    <row r="2209" customFormat="false" ht="15" hidden="false" customHeight="false" outlineLevel="0" collapsed="false">
      <c r="A2209" s="7" t="s">
        <v>2636</v>
      </c>
      <c r="B2209" s="7" t="s">
        <v>46</v>
      </c>
      <c r="C2209" s="7" t="s">
        <v>47</v>
      </c>
      <c r="D2209" s="7" t="s">
        <v>112</v>
      </c>
      <c r="E2209" s="7" t="s">
        <v>113</v>
      </c>
      <c r="F2209" s="7" t="s">
        <v>56</v>
      </c>
      <c r="G2209" s="7" t="s">
        <v>20</v>
      </c>
      <c r="H2209" s="9" t="n">
        <v>45958</v>
      </c>
      <c r="I2209" s="9"/>
      <c r="J2209" s="7" t="n">
        <v>7.8</v>
      </c>
      <c r="K2209" s="7" t="s">
        <v>2628</v>
      </c>
      <c r="L2209" s="7" t="s">
        <v>21</v>
      </c>
      <c r="M2209" s="7" t="s">
        <v>2642</v>
      </c>
      <c r="N2209" s="7" t="s">
        <v>53</v>
      </c>
      <c r="O2209" s="10" t="n">
        <f aca="false">'Exec Summary'!$E$2-H2209</f>
        <v>276</v>
      </c>
      <c r="P2209" s="10" t="str">
        <f aca="false">IF(I2209="","",I2209-H2209)</f>
        <v/>
      </c>
      <c r="Q2209" s="10" t="n">
        <f aca="false">VLOOKUP(G2209,$AA$2:$AB$5,2,FALSE())</f>
        <v>30</v>
      </c>
      <c r="R2209" s="7" t="n">
        <f aca="false">IF(OR(F2209="Open",F2209="Reopened"),1,0)</f>
        <v>1</v>
      </c>
      <c r="S2209" s="7" t="n">
        <f aca="false">IF(AND(H2209&gt;='Exec Summary'!$E$1,H2209&lt;='Exec Summary'!$E$2),1,0)</f>
        <v>0</v>
      </c>
      <c r="T2209" s="7" t="n">
        <f aca="false">IF(AND(F2209="Closed",I2209&lt;&gt;"",I2209&gt;='Exec Summary'!$E$1,I2209&lt;='Exec Summary'!$E$2),1,0)</f>
        <v>0</v>
      </c>
      <c r="U2209" s="7" t="n">
        <f aca="false">IF(F2209="Reopened",1,0)</f>
        <v>0</v>
      </c>
      <c r="V2209" s="7" t="n">
        <f aca="false">IF(AND(R2209=1,O2209&gt;Q2209),1,0)</f>
        <v>1</v>
      </c>
      <c r="W2209" s="7" t="n">
        <f aca="false">IF(AND(T2209=1,P2209&lt;&gt;"",P2209&lt;=Q2209),1,0)</f>
        <v>0</v>
      </c>
    </row>
    <row r="2210" customFormat="false" ht="15" hidden="false" customHeight="false" outlineLevel="0" collapsed="false">
      <c r="A2210" s="7" t="s">
        <v>2636</v>
      </c>
      <c r="B2210" s="7" t="s">
        <v>46</v>
      </c>
      <c r="C2210" s="7" t="s">
        <v>47</v>
      </c>
      <c r="D2210" s="7" t="s">
        <v>59</v>
      </c>
      <c r="E2210" s="7" t="s">
        <v>60</v>
      </c>
      <c r="F2210" s="7" t="s">
        <v>50</v>
      </c>
      <c r="G2210" s="7" t="s">
        <v>19</v>
      </c>
      <c r="H2210" s="9" t="n">
        <v>46210</v>
      </c>
      <c r="I2210" s="9" t="n">
        <v>46211</v>
      </c>
      <c r="J2210" s="7" t="n">
        <v>7.8</v>
      </c>
      <c r="K2210" s="7" t="s">
        <v>2628</v>
      </c>
      <c r="L2210" s="7" t="s">
        <v>21</v>
      </c>
      <c r="M2210" s="7" t="s">
        <v>2643</v>
      </c>
      <c r="N2210" s="7" t="s">
        <v>58</v>
      </c>
      <c r="O2210" s="10" t="n">
        <f aca="false">'Exec Summary'!$E$2-H2210</f>
        <v>24</v>
      </c>
      <c r="P2210" s="10" t="n">
        <f aca="false">IF(I2210="","",I2210-H2210)</f>
        <v>1</v>
      </c>
      <c r="Q2210" s="10" t="n">
        <f aca="false">VLOOKUP(G2210,$AA$2:$AB$5,2,FALSE())</f>
        <v>15</v>
      </c>
      <c r="R2210" s="7" t="n">
        <f aca="false">IF(OR(F2210="Open",F2210="Reopened"),1,0)</f>
        <v>0</v>
      </c>
      <c r="S2210" s="7" t="n">
        <f aca="false">IF(AND(H2210&gt;='Exec Summary'!$E$1,H2210&lt;='Exec Summary'!$E$2),1,0)</f>
        <v>1</v>
      </c>
      <c r="T2210" s="7" t="n">
        <f aca="false">IF(AND(F2210="Closed",I2210&lt;&gt;"",I2210&gt;='Exec Summary'!$E$1,I2210&lt;='Exec Summary'!$E$2),1,0)</f>
        <v>1</v>
      </c>
      <c r="U2210" s="7" t="n">
        <f aca="false">IF(F2210="Reopened",1,0)</f>
        <v>0</v>
      </c>
      <c r="V2210" s="7" t="n">
        <f aca="false">IF(AND(R2210=1,O2210&gt;Q2210),1,0)</f>
        <v>0</v>
      </c>
      <c r="W2210" s="7" t="n">
        <f aca="false">IF(AND(T2210=1,P2210&lt;&gt;"",P2210&lt;=Q2210),1,0)</f>
        <v>1</v>
      </c>
    </row>
    <row r="2211" customFormat="false" ht="15" hidden="false" customHeight="false" outlineLevel="0" collapsed="false">
      <c r="A2211" s="7" t="s">
        <v>2636</v>
      </c>
      <c r="B2211" s="7" t="s">
        <v>46</v>
      </c>
      <c r="C2211" s="7" t="s">
        <v>47</v>
      </c>
      <c r="D2211" s="7" t="s">
        <v>206</v>
      </c>
      <c r="E2211" s="7" t="s">
        <v>207</v>
      </c>
      <c r="F2211" s="7" t="s">
        <v>50</v>
      </c>
      <c r="G2211" s="7" t="s">
        <v>20</v>
      </c>
      <c r="H2211" s="9" t="n">
        <v>46019</v>
      </c>
      <c r="I2211" s="9" t="n">
        <v>46048</v>
      </c>
      <c r="J2211" s="7" t="n">
        <v>8.8</v>
      </c>
      <c r="K2211" s="7" t="s">
        <v>2628</v>
      </c>
      <c r="L2211" s="7" t="s">
        <v>21</v>
      </c>
      <c r="M2211" s="7" t="s">
        <v>2644</v>
      </c>
      <c r="N2211" s="7" t="s">
        <v>53</v>
      </c>
      <c r="O2211" s="10" t="n">
        <f aca="false">'Exec Summary'!$E$2-H2211</f>
        <v>215</v>
      </c>
      <c r="P2211" s="10" t="n">
        <f aca="false">IF(I2211="","",I2211-H2211)</f>
        <v>29</v>
      </c>
      <c r="Q2211" s="10" t="n">
        <f aca="false">VLOOKUP(G2211,$AA$2:$AB$5,2,FALSE())</f>
        <v>30</v>
      </c>
      <c r="R2211" s="7" t="n">
        <f aca="false">IF(OR(F2211="Open",F2211="Reopened"),1,0)</f>
        <v>0</v>
      </c>
      <c r="S2211" s="7" t="n">
        <f aca="false">IF(AND(H2211&gt;='Exec Summary'!$E$1,H2211&lt;='Exec Summary'!$E$2),1,0)</f>
        <v>0</v>
      </c>
      <c r="T2211" s="7" t="n">
        <f aca="false">IF(AND(F2211="Closed",I2211&lt;&gt;"",I2211&gt;='Exec Summary'!$E$1,I2211&lt;='Exec Summary'!$E$2),1,0)</f>
        <v>0</v>
      </c>
      <c r="U2211" s="7" t="n">
        <f aca="false">IF(F2211="Reopened",1,0)</f>
        <v>0</v>
      </c>
      <c r="V2211" s="7" t="n">
        <f aca="false">IF(AND(R2211=1,O2211&gt;Q2211),1,0)</f>
        <v>0</v>
      </c>
      <c r="W2211" s="7" t="n">
        <f aca="false">IF(AND(T2211=1,P2211&lt;&gt;"",P2211&lt;=Q2211),1,0)</f>
        <v>0</v>
      </c>
    </row>
    <row r="2212" customFormat="false" ht="15" hidden="false" customHeight="false" outlineLevel="0" collapsed="false">
      <c r="A2212" s="7" t="s">
        <v>2636</v>
      </c>
      <c r="B2212" s="7" t="s">
        <v>46</v>
      </c>
      <c r="C2212" s="7" t="s">
        <v>47</v>
      </c>
      <c r="D2212" s="7" t="s">
        <v>210</v>
      </c>
      <c r="E2212" s="7" t="s">
        <v>211</v>
      </c>
      <c r="F2212" s="7" t="s">
        <v>50</v>
      </c>
      <c r="G2212" s="7" t="s">
        <v>19</v>
      </c>
      <c r="H2212" s="9" t="n">
        <v>46011</v>
      </c>
      <c r="I2212" s="9" t="n">
        <v>46024</v>
      </c>
      <c r="J2212" s="7" t="n">
        <v>9.8</v>
      </c>
      <c r="K2212" s="7" t="s">
        <v>2628</v>
      </c>
      <c r="L2212" s="7" t="s">
        <v>21</v>
      </c>
      <c r="M2212" s="7" t="s">
        <v>2645</v>
      </c>
      <c r="N2212" s="7" t="s">
        <v>58</v>
      </c>
      <c r="O2212" s="10" t="n">
        <f aca="false">'Exec Summary'!$E$2-H2212</f>
        <v>223</v>
      </c>
      <c r="P2212" s="10" t="n">
        <f aca="false">IF(I2212="","",I2212-H2212)</f>
        <v>13</v>
      </c>
      <c r="Q2212" s="10" t="n">
        <f aca="false">VLOOKUP(G2212,$AA$2:$AB$5,2,FALSE())</f>
        <v>15</v>
      </c>
      <c r="R2212" s="7" t="n">
        <f aca="false">IF(OR(F2212="Open",F2212="Reopened"),1,0)</f>
        <v>0</v>
      </c>
      <c r="S2212" s="7" t="n">
        <f aca="false">IF(AND(H2212&gt;='Exec Summary'!$E$1,H2212&lt;='Exec Summary'!$E$2),1,0)</f>
        <v>0</v>
      </c>
      <c r="T2212" s="7" t="n">
        <f aca="false">IF(AND(F2212="Closed",I2212&lt;&gt;"",I2212&gt;='Exec Summary'!$E$1,I2212&lt;='Exec Summary'!$E$2),1,0)</f>
        <v>0</v>
      </c>
      <c r="U2212" s="7" t="n">
        <f aca="false">IF(F2212="Reopened",1,0)</f>
        <v>0</v>
      </c>
      <c r="V2212" s="7" t="n">
        <f aca="false">IF(AND(R2212=1,O2212&gt;Q2212),1,0)</f>
        <v>0</v>
      </c>
      <c r="W2212" s="7" t="n">
        <f aca="false">IF(AND(T2212=1,P2212&lt;&gt;"",P2212&lt;=Q2212),1,0)</f>
        <v>0</v>
      </c>
    </row>
    <row r="2213" customFormat="false" ht="15" hidden="false" customHeight="false" outlineLevel="0" collapsed="false">
      <c r="A2213" s="7" t="s">
        <v>2636</v>
      </c>
      <c r="B2213" s="7" t="s">
        <v>46</v>
      </c>
      <c r="C2213" s="7" t="s">
        <v>47</v>
      </c>
      <c r="D2213" s="7" t="s">
        <v>87</v>
      </c>
      <c r="E2213" s="7" t="s">
        <v>88</v>
      </c>
      <c r="F2213" s="7" t="s">
        <v>50</v>
      </c>
      <c r="G2213" s="7" t="s">
        <v>19</v>
      </c>
      <c r="H2213" s="9" t="n">
        <v>46037</v>
      </c>
      <c r="I2213" s="9" t="n">
        <v>46064</v>
      </c>
      <c r="J2213" s="7" t="n">
        <v>10</v>
      </c>
      <c r="K2213" s="7" t="s">
        <v>2628</v>
      </c>
      <c r="L2213" s="7" t="s">
        <v>21</v>
      </c>
      <c r="M2213" s="7" t="s">
        <v>2646</v>
      </c>
      <c r="N2213" s="7" t="s">
        <v>58</v>
      </c>
      <c r="O2213" s="10" t="n">
        <f aca="false">'Exec Summary'!$E$2-H2213</f>
        <v>197</v>
      </c>
      <c r="P2213" s="10" t="n">
        <f aca="false">IF(I2213="","",I2213-H2213)</f>
        <v>27</v>
      </c>
      <c r="Q2213" s="10" t="n">
        <f aca="false">VLOOKUP(G2213,$AA$2:$AB$5,2,FALSE())</f>
        <v>15</v>
      </c>
      <c r="R2213" s="7" t="n">
        <f aca="false">IF(OR(F2213="Open",F2213="Reopened"),1,0)</f>
        <v>0</v>
      </c>
      <c r="S2213" s="7" t="n">
        <f aca="false">IF(AND(H2213&gt;='Exec Summary'!$E$1,H2213&lt;='Exec Summary'!$E$2),1,0)</f>
        <v>0</v>
      </c>
      <c r="T2213" s="7" t="n">
        <f aca="false">IF(AND(F2213="Closed",I2213&lt;&gt;"",I2213&gt;='Exec Summary'!$E$1,I2213&lt;='Exec Summary'!$E$2),1,0)</f>
        <v>0</v>
      </c>
      <c r="U2213" s="7" t="n">
        <f aca="false">IF(F2213="Reopened",1,0)</f>
        <v>0</v>
      </c>
      <c r="V2213" s="7" t="n">
        <f aca="false">IF(AND(R2213=1,O2213&gt;Q2213),1,0)</f>
        <v>0</v>
      </c>
      <c r="W2213" s="7" t="n">
        <f aca="false">IF(AND(T2213=1,P2213&lt;&gt;"",P2213&lt;=Q2213),1,0)</f>
        <v>0</v>
      </c>
    </row>
    <row r="2214" customFormat="false" ht="15" hidden="false" customHeight="false" outlineLevel="0" collapsed="false">
      <c r="A2214" s="7" t="s">
        <v>2636</v>
      </c>
      <c r="B2214" s="7" t="s">
        <v>46</v>
      </c>
      <c r="C2214" s="7" t="s">
        <v>47</v>
      </c>
      <c r="D2214" s="7" t="s">
        <v>81</v>
      </c>
      <c r="E2214" s="7" t="s">
        <v>82</v>
      </c>
      <c r="F2214" s="7" t="s">
        <v>56</v>
      </c>
      <c r="G2214" s="7" t="s">
        <v>20</v>
      </c>
      <c r="H2214" s="9" t="n">
        <v>46149</v>
      </c>
      <c r="I2214" s="9"/>
      <c r="J2214" s="7" t="n">
        <v>7.8</v>
      </c>
      <c r="K2214" s="7" t="s">
        <v>2628</v>
      </c>
      <c r="L2214" s="7" t="s">
        <v>21</v>
      </c>
      <c r="M2214" s="7" t="s">
        <v>2647</v>
      </c>
      <c r="N2214" s="7" t="s">
        <v>53</v>
      </c>
      <c r="O2214" s="10" t="n">
        <f aca="false">'Exec Summary'!$E$2-H2214</f>
        <v>85</v>
      </c>
      <c r="P2214" s="10" t="str">
        <f aca="false">IF(I2214="","",I2214-H2214)</f>
        <v/>
      </c>
      <c r="Q2214" s="10" t="n">
        <f aca="false">VLOOKUP(G2214,$AA$2:$AB$5,2,FALSE())</f>
        <v>30</v>
      </c>
      <c r="R2214" s="7" t="n">
        <f aca="false">IF(OR(F2214="Open",F2214="Reopened"),1,0)</f>
        <v>1</v>
      </c>
      <c r="S2214" s="7" t="n">
        <f aca="false">IF(AND(H2214&gt;='Exec Summary'!$E$1,H2214&lt;='Exec Summary'!$E$2),1,0)</f>
        <v>0</v>
      </c>
      <c r="T2214" s="7" t="n">
        <f aca="false">IF(AND(F2214="Closed",I2214&lt;&gt;"",I2214&gt;='Exec Summary'!$E$1,I2214&lt;='Exec Summary'!$E$2),1,0)</f>
        <v>0</v>
      </c>
      <c r="U2214" s="7" t="n">
        <f aca="false">IF(F2214="Reopened",1,0)</f>
        <v>0</v>
      </c>
      <c r="V2214" s="7" t="n">
        <f aca="false">IF(AND(R2214=1,O2214&gt;Q2214),1,0)</f>
        <v>1</v>
      </c>
      <c r="W2214" s="7" t="n">
        <f aca="false">IF(AND(T2214=1,P2214&lt;&gt;"",P2214&lt;=Q2214),1,0)</f>
        <v>0</v>
      </c>
    </row>
    <row r="2215" customFormat="false" ht="15" hidden="false" customHeight="false" outlineLevel="0" collapsed="false">
      <c r="A2215" s="7" t="s">
        <v>2648</v>
      </c>
      <c r="B2215" s="7" t="s">
        <v>46</v>
      </c>
      <c r="C2215" s="7" t="s">
        <v>47</v>
      </c>
      <c r="D2215" s="7" t="s">
        <v>65</v>
      </c>
      <c r="E2215" s="7" t="s">
        <v>66</v>
      </c>
      <c r="F2215" s="7" t="s">
        <v>56</v>
      </c>
      <c r="G2215" s="7" t="s">
        <v>19</v>
      </c>
      <c r="H2215" s="9" t="n">
        <v>46015</v>
      </c>
      <c r="I2215" s="9"/>
      <c r="J2215" s="7" t="n">
        <v>9.8</v>
      </c>
      <c r="K2215" s="7" t="s">
        <v>2628</v>
      </c>
      <c r="L2215" s="7" t="s">
        <v>21</v>
      </c>
      <c r="M2215" s="7" t="s">
        <v>2649</v>
      </c>
      <c r="N2215" s="7" t="s">
        <v>58</v>
      </c>
      <c r="O2215" s="10" t="n">
        <f aca="false">'Exec Summary'!$E$2-H2215</f>
        <v>219</v>
      </c>
      <c r="P2215" s="10" t="str">
        <f aca="false">IF(I2215="","",I2215-H2215)</f>
        <v/>
      </c>
      <c r="Q2215" s="10" t="n">
        <f aca="false">VLOOKUP(G2215,$AA$2:$AB$5,2,FALSE())</f>
        <v>15</v>
      </c>
      <c r="R2215" s="7" t="n">
        <f aca="false">IF(OR(F2215="Open",F2215="Reopened"),1,0)</f>
        <v>1</v>
      </c>
      <c r="S2215" s="7" t="n">
        <f aca="false">IF(AND(H2215&gt;='Exec Summary'!$E$1,H2215&lt;='Exec Summary'!$E$2),1,0)</f>
        <v>0</v>
      </c>
      <c r="T2215" s="7" t="n">
        <f aca="false">IF(AND(F2215="Closed",I2215&lt;&gt;"",I2215&gt;='Exec Summary'!$E$1,I2215&lt;='Exec Summary'!$E$2),1,0)</f>
        <v>0</v>
      </c>
      <c r="U2215" s="7" t="n">
        <f aca="false">IF(F2215="Reopened",1,0)</f>
        <v>0</v>
      </c>
      <c r="V2215" s="7" t="n">
        <f aca="false">IF(AND(R2215=1,O2215&gt;Q2215),1,0)</f>
        <v>1</v>
      </c>
      <c r="W2215" s="7" t="n">
        <f aca="false">IF(AND(T2215=1,P2215&lt;&gt;"",P2215&lt;=Q2215),1,0)</f>
        <v>0</v>
      </c>
    </row>
    <row r="2216" customFormat="false" ht="15" hidden="false" customHeight="false" outlineLevel="0" collapsed="false">
      <c r="A2216" s="7" t="s">
        <v>2648</v>
      </c>
      <c r="B2216" s="7" t="s">
        <v>46</v>
      </c>
      <c r="C2216" s="7" t="s">
        <v>47</v>
      </c>
      <c r="D2216" s="7" t="s">
        <v>74</v>
      </c>
      <c r="E2216" s="7" t="s">
        <v>75</v>
      </c>
      <c r="F2216" s="7" t="s">
        <v>50</v>
      </c>
      <c r="G2216" s="7" t="s">
        <v>21</v>
      </c>
      <c r="H2216" s="9" t="n">
        <v>46033</v>
      </c>
      <c r="I2216" s="9" t="n">
        <v>46075</v>
      </c>
      <c r="J2216" s="7" t="n">
        <v>6.5</v>
      </c>
      <c r="K2216" s="7" t="s">
        <v>2628</v>
      </c>
      <c r="L2216" s="7" t="s">
        <v>21</v>
      </c>
      <c r="M2216" s="7" t="s">
        <v>2650</v>
      </c>
      <c r="N2216" s="7" t="s">
        <v>77</v>
      </c>
      <c r="O2216" s="10" t="n">
        <f aca="false">'Exec Summary'!$E$2-H2216</f>
        <v>201</v>
      </c>
      <c r="P2216" s="10" t="n">
        <f aca="false">IF(I2216="","",I2216-H2216)</f>
        <v>42</v>
      </c>
      <c r="Q2216" s="10" t="n">
        <f aca="false">VLOOKUP(G2216,$AA$2:$AB$5,2,FALSE())</f>
        <v>90</v>
      </c>
      <c r="R2216" s="7" t="n">
        <f aca="false">IF(OR(F2216="Open",F2216="Reopened"),1,0)</f>
        <v>0</v>
      </c>
      <c r="S2216" s="7" t="n">
        <f aca="false">IF(AND(H2216&gt;='Exec Summary'!$E$1,H2216&lt;='Exec Summary'!$E$2),1,0)</f>
        <v>0</v>
      </c>
      <c r="T2216" s="7" t="n">
        <f aca="false">IF(AND(F2216="Closed",I2216&lt;&gt;"",I2216&gt;='Exec Summary'!$E$1,I2216&lt;='Exec Summary'!$E$2),1,0)</f>
        <v>0</v>
      </c>
      <c r="U2216" s="7" t="n">
        <f aca="false">IF(F2216="Reopened",1,0)</f>
        <v>0</v>
      </c>
      <c r="V2216" s="7" t="n">
        <f aca="false">IF(AND(R2216=1,O2216&gt;Q2216),1,0)</f>
        <v>0</v>
      </c>
      <c r="W2216" s="7" t="n">
        <f aca="false">IF(AND(T2216=1,P2216&lt;&gt;"",P2216&lt;=Q2216),1,0)</f>
        <v>0</v>
      </c>
    </row>
    <row r="2217" customFormat="false" ht="15" hidden="false" customHeight="false" outlineLevel="0" collapsed="false">
      <c r="A2217" s="7" t="s">
        <v>2648</v>
      </c>
      <c r="B2217" s="7" t="s">
        <v>46</v>
      </c>
      <c r="C2217" s="7" t="s">
        <v>47</v>
      </c>
      <c r="D2217" s="7" t="s">
        <v>84</v>
      </c>
      <c r="E2217" s="7" t="s">
        <v>85</v>
      </c>
      <c r="F2217" s="7" t="s">
        <v>50</v>
      </c>
      <c r="G2217" s="7" t="s">
        <v>20</v>
      </c>
      <c r="H2217" s="9" t="n">
        <v>46075</v>
      </c>
      <c r="I2217" s="9" t="n">
        <v>46079</v>
      </c>
      <c r="J2217" s="7" t="n">
        <v>7.5</v>
      </c>
      <c r="K2217" s="7" t="s">
        <v>2628</v>
      </c>
      <c r="L2217" s="7" t="s">
        <v>21</v>
      </c>
      <c r="M2217" s="7" t="s">
        <v>2651</v>
      </c>
      <c r="N2217" s="7" t="s">
        <v>53</v>
      </c>
      <c r="O2217" s="10" t="n">
        <f aca="false">'Exec Summary'!$E$2-H2217</f>
        <v>159</v>
      </c>
      <c r="P2217" s="10" t="n">
        <f aca="false">IF(I2217="","",I2217-H2217)</f>
        <v>4</v>
      </c>
      <c r="Q2217" s="10" t="n">
        <f aca="false">VLOOKUP(G2217,$AA$2:$AB$5,2,FALSE())</f>
        <v>30</v>
      </c>
      <c r="R2217" s="7" t="n">
        <f aca="false">IF(OR(F2217="Open",F2217="Reopened"),1,0)</f>
        <v>0</v>
      </c>
      <c r="S2217" s="7" t="n">
        <f aca="false">IF(AND(H2217&gt;='Exec Summary'!$E$1,H2217&lt;='Exec Summary'!$E$2),1,0)</f>
        <v>0</v>
      </c>
      <c r="T2217" s="7" t="n">
        <f aca="false">IF(AND(F2217="Closed",I2217&lt;&gt;"",I2217&gt;='Exec Summary'!$E$1,I2217&lt;='Exec Summary'!$E$2),1,0)</f>
        <v>0</v>
      </c>
      <c r="U2217" s="7" t="n">
        <f aca="false">IF(F2217="Reopened",1,0)</f>
        <v>0</v>
      </c>
      <c r="V2217" s="7" t="n">
        <f aca="false">IF(AND(R2217=1,O2217&gt;Q2217),1,0)</f>
        <v>0</v>
      </c>
      <c r="W2217" s="7" t="n">
        <f aca="false">IF(AND(T2217=1,P2217&lt;&gt;"",P2217&lt;=Q2217),1,0)</f>
        <v>0</v>
      </c>
    </row>
    <row r="2218" customFormat="false" ht="15" hidden="false" customHeight="false" outlineLevel="0" collapsed="false">
      <c r="A2218" s="7" t="s">
        <v>2648</v>
      </c>
      <c r="B2218" s="7" t="s">
        <v>46</v>
      </c>
      <c r="C2218" s="7" t="s">
        <v>47</v>
      </c>
      <c r="D2218" s="7" t="s">
        <v>192</v>
      </c>
      <c r="E2218" s="7" t="s">
        <v>193</v>
      </c>
      <c r="F2218" s="7" t="s">
        <v>50</v>
      </c>
      <c r="G2218" s="7" t="s">
        <v>19</v>
      </c>
      <c r="H2218" s="9" t="n">
        <v>46039</v>
      </c>
      <c r="I2218" s="9" t="n">
        <v>46056</v>
      </c>
      <c r="J2218" s="7" t="n">
        <v>9.8</v>
      </c>
      <c r="K2218" s="7" t="s">
        <v>2628</v>
      </c>
      <c r="L2218" s="7" t="s">
        <v>21</v>
      </c>
      <c r="M2218" s="7" t="s">
        <v>2652</v>
      </c>
      <c r="N2218" s="7" t="s">
        <v>58</v>
      </c>
      <c r="O2218" s="10" t="n">
        <f aca="false">'Exec Summary'!$E$2-H2218</f>
        <v>195</v>
      </c>
      <c r="P2218" s="10" t="n">
        <f aca="false">IF(I2218="","",I2218-H2218)</f>
        <v>17</v>
      </c>
      <c r="Q2218" s="10" t="n">
        <f aca="false">VLOOKUP(G2218,$AA$2:$AB$5,2,FALSE())</f>
        <v>15</v>
      </c>
      <c r="R2218" s="7" t="n">
        <f aca="false">IF(OR(F2218="Open",F2218="Reopened"),1,0)</f>
        <v>0</v>
      </c>
      <c r="S2218" s="7" t="n">
        <f aca="false">IF(AND(H2218&gt;='Exec Summary'!$E$1,H2218&lt;='Exec Summary'!$E$2),1,0)</f>
        <v>0</v>
      </c>
      <c r="T2218" s="7" t="n">
        <f aca="false">IF(AND(F2218="Closed",I2218&lt;&gt;"",I2218&gt;='Exec Summary'!$E$1,I2218&lt;='Exec Summary'!$E$2),1,0)</f>
        <v>0</v>
      </c>
      <c r="U2218" s="7" t="n">
        <f aca="false">IF(F2218="Reopened",1,0)</f>
        <v>0</v>
      </c>
      <c r="V2218" s="7" t="n">
        <f aca="false">IF(AND(R2218=1,O2218&gt;Q2218),1,0)</f>
        <v>0</v>
      </c>
      <c r="W2218" s="7" t="n">
        <f aca="false">IF(AND(T2218=1,P2218&lt;&gt;"",P2218&lt;=Q2218),1,0)</f>
        <v>0</v>
      </c>
    </row>
    <row r="2219" customFormat="false" ht="15" hidden="false" customHeight="false" outlineLevel="0" collapsed="false">
      <c r="A2219" s="7" t="s">
        <v>2648</v>
      </c>
      <c r="B2219" s="7" t="s">
        <v>46</v>
      </c>
      <c r="C2219" s="7" t="s">
        <v>47</v>
      </c>
      <c r="D2219" s="7" t="s">
        <v>152</v>
      </c>
      <c r="E2219" s="7" t="s">
        <v>153</v>
      </c>
      <c r="F2219" s="7" t="s">
        <v>56</v>
      </c>
      <c r="G2219" s="7" t="s">
        <v>20</v>
      </c>
      <c r="H2219" s="9" t="n">
        <v>45939</v>
      </c>
      <c r="I2219" s="9"/>
      <c r="J2219" s="7" t="n">
        <v>7.5</v>
      </c>
      <c r="K2219" s="7" t="s">
        <v>2628</v>
      </c>
      <c r="L2219" s="7" t="s">
        <v>21</v>
      </c>
      <c r="M2219" s="7" t="s">
        <v>2653</v>
      </c>
      <c r="N2219" s="7" t="s">
        <v>53</v>
      </c>
      <c r="O2219" s="10" t="n">
        <f aca="false">'Exec Summary'!$E$2-H2219</f>
        <v>295</v>
      </c>
      <c r="P2219" s="10" t="str">
        <f aca="false">IF(I2219="","",I2219-H2219)</f>
        <v/>
      </c>
      <c r="Q2219" s="10" t="n">
        <f aca="false">VLOOKUP(G2219,$AA$2:$AB$5,2,FALSE())</f>
        <v>30</v>
      </c>
      <c r="R2219" s="7" t="n">
        <f aca="false">IF(OR(F2219="Open",F2219="Reopened"),1,0)</f>
        <v>1</v>
      </c>
      <c r="S2219" s="7" t="n">
        <f aca="false">IF(AND(H2219&gt;='Exec Summary'!$E$1,H2219&lt;='Exec Summary'!$E$2),1,0)</f>
        <v>0</v>
      </c>
      <c r="T2219" s="7" t="n">
        <f aca="false">IF(AND(F2219="Closed",I2219&lt;&gt;"",I2219&gt;='Exec Summary'!$E$1,I2219&lt;='Exec Summary'!$E$2),1,0)</f>
        <v>0</v>
      </c>
      <c r="U2219" s="7" t="n">
        <f aca="false">IF(F2219="Reopened",1,0)</f>
        <v>0</v>
      </c>
      <c r="V2219" s="7" t="n">
        <f aca="false">IF(AND(R2219=1,O2219&gt;Q2219),1,0)</f>
        <v>1</v>
      </c>
      <c r="W2219" s="7" t="n">
        <f aca="false">IF(AND(T2219=1,P2219&lt;&gt;"",P2219&lt;=Q2219),1,0)</f>
        <v>0</v>
      </c>
    </row>
    <row r="2220" customFormat="false" ht="15" hidden="false" customHeight="false" outlineLevel="0" collapsed="false">
      <c r="A2220" s="7" t="s">
        <v>2648</v>
      </c>
      <c r="B2220" s="7" t="s">
        <v>46</v>
      </c>
      <c r="C2220" s="7" t="s">
        <v>47</v>
      </c>
      <c r="D2220" s="7" t="s">
        <v>62</v>
      </c>
      <c r="E2220" s="7" t="s">
        <v>63</v>
      </c>
      <c r="F2220" s="7" t="s">
        <v>50</v>
      </c>
      <c r="G2220" s="7" t="s">
        <v>20</v>
      </c>
      <c r="H2220" s="9" t="n">
        <v>46093</v>
      </c>
      <c r="I2220" s="9" t="n">
        <v>46117</v>
      </c>
      <c r="J2220" s="7" t="n">
        <v>8.1</v>
      </c>
      <c r="K2220" s="7" t="s">
        <v>2628</v>
      </c>
      <c r="L2220" s="7" t="s">
        <v>21</v>
      </c>
      <c r="M2220" s="7" t="s">
        <v>2654</v>
      </c>
      <c r="N2220" s="7" t="s">
        <v>53</v>
      </c>
      <c r="O2220" s="10" t="n">
        <f aca="false">'Exec Summary'!$E$2-H2220</f>
        <v>141</v>
      </c>
      <c r="P2220" s="10" t="n">
        <f aca="false">IF(I2220="","",I2220-H2220)</f>
        <v>24</v>
      </c>
      <c r="Q2220" s="10" t="n">
        <f aca="false">VLOOKUP(G2220,$AA$2:$AB$5,2,FALSE())</f>
        <v>30</v>
      </c>
      <c r="R2220" s="7" t="n">
        <f aca="false">IF(OR(F2220="Open",F2220="Reopened"),1,0)</f>
        <v>0</v>
      </c>
      <c r="S2220" s="7" t="n">
        <f aca="false">IF(AND(H2220&gt;='Exec Summary'!$E$1,H2220&lt;='Exec Summary'!$E$2),1,0)</f>
        <v>0</v>
      </c>
      <c r="T2220" s="7" t="n">
        <f aca="false">IF(AND(F2220="Closed",I2220&lt;&gt;"",I2220&gt;='Exec Summary'!$E$1,I2220&lt;='Exec Summary'!$E$2),1,0)</f>
        <v>0</v>
      </c>
      <c r="U2220" s="7" t="n">
        <f aca="false">IF(F2220="Reopened",1,0)</f>
        <v>0</v>
      </c>
      <c r="V2220" s="7" t="n">
        <f aca="false">IF(AND(R2220=1,O2220&gt;Q2220),1,0)</f>
        <v>0</v>
      </c>
      <c r="W2220" s="7" t="n">
        <f aca="false">IF(AND(T2220=1,P2220&lt;&gt;"",P2220&lt;=Q2220),1,0)</f>
        <v>0</v>
      </c>
    </row>
    <row r="2221" customFormat="false" ht="15" hidden="false" customHeight="false" outlineLevel="0" collapsed="false">
      <c r="A2221" s="7" t="s">
        <v>2648</v>
      </c>
      <c r="B2221" s="7" t="s">
        <v>46</v>
      </c>
      <c r="C2221" s="7" t="s">
        <v>47</v>
      </c>
      <c r="D2221" s="7" t="s">
        <v>68</v>
      </c>
      <c r="E2221" s="7" t="s">
        <v>69</v>
      </c>
      <c r="F2221" s="7" t="s">
        <v>56</v>
      </c>
      <c r="G2221" s="7" t="s">
        <v>19</v>
      </c>
      <c r="H2221" s="9" t="n">
        <v>46086</v>
      </c>
      <c r="I2221" s="9"/>
      <c r="J2221" s="7" t="n">
        <v>9.8</v>
      </c>
      <c r="K2221" s="7" t="s">
        <v>2628</v>
      </c>
      <c r="L2221" s="7" t="s">
        <v>21</v>
      </c>
      <c r="M2221" s="7" t="s">
        <v>2655</v>
      </c>
      <c r="N2221" s="7" t="s">
        <v>58</v>
      </c>
      <c r="O2221" s="10" t="n">
        <f aca="false">'Exec Summary'!$E$2-H2221</f>
        <v>148</v>
      </c>
      <c r="P2221" s="10" t="str">
        <f aca="false">IF(I2221="","",I2221-H2221)</f>
        <v/>
      </c>
      <c r="Q2221" s="10" t="n">
        <f aca="false">VLOOKUP(G2221,$AA$2:$AB$5,2,FALSE())</f>
        <v>15</v>
      </c>
      <c r="R2221" s="7" t="n">
        <f aca="false">IF(OR(F2221="Open",F2221="Reopened"),1,0)</f>
        <v>1</v>
      </c>
      <c r="S2221" s="7" t="n">
        <f aca="false">IF(AND(H2221&gt;='Exec Summary'!$E$1,H2221&lt;='Exec Summary'!$E$2),1,0)</f>
        <v>0</v>
      </c>
      <c r="T2221" s="7" t="n">
        <f aca="false">IF(AND(F2221="Closed",I2221&lt;&gt;"",I2221&gt;='Exec Summary'!$E$1,I2221&lt;='Exec Summary'!$E$2),1,0)</f>
        <v>0</v>
      </c>
      <c r="U2221" s="7" t="n">
        <f aca="false">IF(F2221="Reopened",1,0)</f>
        <v>0</v>
      </c>
      <c r="V2221" s="7" t="n">
        <f aca="false">IF(AND(R2221=1,O2221&gt;Q2221),1,0)</f>
        <v>1</v>
      </c>
      <c r="W2221" s="7" t="n">
        <f aca="false">IF(AND(T2221=1,P2221&lt;&gt;"",P2221&lt;=Q2221),1,0)</f>
        <v>0</v>
      </c>
    </row>
    <row r="2222" customFormat="false" ht="15" hidden="false" customHeight="false" outlineLevel="0" collapsed="false">
      <c r="A2222" s="7" t="s">
        <v>2648</v>
      </c>
      <c r="B2222" s="7" t="s">
        <v>46</v>
      </c>
      <c r="C2222" s="7" t="s">
        <v>47</v>
      </c>
      <c r="D2222" s="7" t="s">
        <v>206</v>
      </c>
      <c r="E2222" s="7" t="s">
        <v>207</v>
      </c>
      <c r="F2222" s="7" t="s">
        <v>50</v>
      </c>
      <c r="G2222" s="7" t="s">
        <v>20</v>
      </c>
      <c r="H2222" s="9" t="n">
        <v>46012</v>
      </c>
      <c r="I2222" s="9" t="n">
        <v>46016</v>
      </c>
      <c r="J2222" s="7" t="n">
        <v>8.8</v>
      </c>
      <c r="K2222" s="7" t="s">
        <v>2628</v>
      </c>
      <c r="L2222" s="7" t="s">
        <v>21</v>
      </c>
      <c r="M2222" s="7" t="s">
        <v>2656</v>
      </c>
      <c r="N2222" s="7" t="s">
        <v>53</v>
      </c>
      <c r="O2222" s="10" t="n">
        <f aca="false">'Exec Summary'!$E$2-H2222</f>
        <v>222</v>
      </c>
      <c r="P2222" s="10" t="n">
        <f aca="false">IF(I2222="","",I2222-H2222)</f>
        <v>4</v>
      </c>
      <c r="Q2222" s="10" t="n">
        <f aca="false">VLOOKUP(G2222,$AA$2:$AB$5,2,FALSE())</f>
        <v>30</v>
      </c>
      <c r="R2222" s="7" t="n">
        <f aca="false">IF(OR(F2222="Open",F2222="Reopened"),1,0)</f>
        <v>0</v>
      </c>
      <c r="S2222" s="7" t="n">
        <f aca="false">IF(AND(H2222&gt;='Exec Summary'!$E$1,H2222&lt;='Exec Summary'!$E$2),1,0)</f>
        <v>0</v>
      </c>
      <c r="T2222" s="7" t="n">
        <f aca="false">IF(AND(F2222="Closed",I2222&lt;&gt;"",I2222&gt;='Exec Summary'!$E$1,I2222&lt;='Exec Summary'!$E$2),1,0)</f>
        <v>0</v>
      </c>
      <c r="U2222" s="7" t="n">
        <f aca="false">IF(F2222="Reopened",1,0)</f>
        <v>0</v>
      </c>
      <c r="V2222" s="7" t="n">
        <f aca="false">IF(AND(R2222=1,O2222&gt;Q2222),1,0)</f>
        <v>0</v>
      </c>
      <c r="W2222" s="7" t="n">
        <f aca="false">IF(AND(T2222=1,P2222&lt;&gt;"",P2222&lt;=Q2222),1,0)</f>
        <v>0</v>
      </c>
    </row>
    <row r="2223" customFormat="false" ht="15" hidden="false" customHeight="false" outlineLevel="0" collapsed="false">
      <c r="A2223" s="7" t="s">
        <v>2648</v>
      </c>
      <c r="B2223" s="7" t="s">
        <v>46</v>
      </c>
      <c r="C2223" s="7" t="s">
        <v>47</v>
      </c>
      <c r="D2223" s="7" t="s">
        <v>139</v>
      </c>
      <c r="E2223" s="7" t="s">
        <v>140</v>
      </c>
      <c r="F2223" s="7" t="s">
        <v>56</v>
      </c>
      <c r="G2223" s="7" t="s">
        <v>19</v>
      </c>
      <c r="H2223" s="9" t="n">
        <v>46073</v>
      </c>
      <c r="I2223" s="9"/>
      <c r="J2223" s="7" t="n">
        <v>9.8</v>
      </c>
      <c r="K2223" s="7" t="s">
        <v>2628</v>
      </c>
      <c r="L2223" s="7" t="s">
        <v>21</v>
      </c>
      <c r="M2223" s="7" t="s">
        <v>2657</v>
      </c>
      <c r="N2223" s="7" t="s">
        <v>58</v>
      </c>
      <c r="O2223" s="10" t="n">
        <f aca="false">'Exec Summary'!$E$2-H2223</f>
        <v>161</v>
      </c>
      <c r="P2223" s="10" t="str">
        <f aca="false">IF(I2223="","",I2223-H2223)</f>
        <v/>
      </c>
      <c r="Q2223" s="10" t="n">
        <f aca="false">VLOOKUP(G2223,$AA$2:$AB$5,2,FALSE())</f>
        <v>15</v>
      </c>
      <c r="R2223" s="7" t="n">
        <f aca="false">IF(OR(F2223="Open",F2223="Reopened"),1,0)</f>
        <v>1</v>
      </c>
      <c r="S2223" s="7" t="n">
        <f aca="false">IF(AND(H2223&gt;='Exec Summary'!$E$1,H2223&lt;='Exec Summary'!$E$2),1,0)</f>
        <v>0</v>
      </c>
      <c r="T2223" s="7" t="n">
        <f aca="false">IF(AND(F2223="Closed",I2223&lt;&gt;"",I2223&gt;='Exec Summary'!$E$1,I2223&lt;='Exec Summary'!$E$2),1,0)</f>
        <v>0</v>
      </c>
      <c r="U2223" s="7" t="n">
        <f aca="false">IF(F2223="Reopened",1,0)</f>
        <v>0</v>
      </c>
      <c r="V2223" s="7" t="n">
        <f aca="false">IF(AND(R2223=1,O2223&gt;Q2223),1,0)</f>
        <v>1</v>
      </c>
      <c r="W2223" s="7" t="n">
        <f aca="false">IF(AND(T2223=1,P2223&lt;&gt;"",P2223&lt;=Q2223),1,0)</f>
        <v>0</v>
      </c>
    </row>
    <row r="2224" customFormat="false" ht="15" hidden="false" customHeight="false" outlineLevel="0" collapsed="false">
      <c r="A2224" s="7" t="s">
        <v>2648</v>
      </c>
      <c r="B2224" s="7" t="s">
        <v>46</v>
      </c>
      <c r="C2224" s="7" t="s">
        <v>47</v>
      </c>
      <c r="D2224" s="7" t="s">
        <v>48</v>
      </c>
      <c r="E2224" s="7" t="s">
        <v>49</v>
      </c>
      <c r="F2224" s="7" t="s">
        <v>56</v>
      </c>
      <c r="G2224" s="7" t="s">
        <v>20</v>
      </c>
      <c r="H2224" s="9" t="n">
        <v>46129</v>
      </c>
      <c r="I2224" s="9"/>
      <c r="J2224" s="7" t="n">
        <v>7.5</v>
      </c>
      <c r="K2224" s="7" t="s">
        <v>2628</v>
      </c>
      <c r="L2224" s="7" t="s">
        <v>21</v>
      </c>
      <c r="M2224" s="7" t="s">
        <v>2658</v>
      </c>
      <c r="N2224" s="7" t="s">
        <v>53</v>
      </c>
      <c r="O2224" s="10" t="n">
        <f aca="false">'Exec Summary'!$E$2-H2224</f>
        <v>105</v>
      </c>
      <c r="P2224" s="10" t="str">
        <f aca="false">IF(I2224="","",I2224-H2224)</f>
        <v/>
      </c>
      <c r="Q2224" s="10" t="n">
        <f aca="false">VLOOKUP(G2224,$AA$2:$AB$5,2,FALSE())</f>
        <v>30</v>
      </c>
      <c r="R2224" s="7" t="n">
        <f aca="false">IF(OR(F2224="Open",F2224="Reopened"),1,0)</f>
        <v>1</v>
      </c>
      <c r="S2224" s="7" t="n">
        <f aca="false">IF(AND(H2224&gt;='Exec Summary'!$E$1,H2224&lt;='Exec Summary'!$E$2),1,0)</f>
        <v>0</v>
      </c>
      <c r="T2224" s="7" t="n">
        <f aca="false">IF(AND(F2224="Closed",I2224&lt;&gt;"",I2224&gt;='Exec Summary'!$E$1,I2224&lt;='Exec Summary'!$E$2),1,0)</f>
        <v>0</v>
      </c>
      <c r="U2224" s="7" t="n">
        <f aca="false">IF(F2224="Reopened",1,0)</f>
        <v>0</v>
      </c>
      <c r="V2224" s="7" t="n">
        <f aca="false">IF(AND(R2224=1,O2224&gt;Q2224),1,0)</f>
        <v>1</v>
      </c>
      <c r="W2224" s="7" t="n">
        <f aca="false">IF(AND(T2224=1,P2224&lt;&gt;"",P2224&lt;=Q2224),1,0)</f>
        <v>0</v>
      </c>
    </row>
    <row r="2225" customFormat="false" ht="15" hidden="false" customHeight="false" outlineLevel="0" collapsed="false">
      <c r="A2225" s="7" t="s">
        <v>2648</v>
      </c>
      <c r="B2225" s="7" t="s">
        <v>46</v>
      </c>
      <c r="C2225" s="7" t="s">
        <v>47</v>
      </c>
      <c r="D2225" s="7" t="s">
        <v>54</v>
      </c>
      <c r="E2225" s="7" t="s">
        <v>55</v>
      </c>
      <c r="F2225" s="7" t="s">
        <v>56</v>
      </c>
      <c r="G2225" s="7" t="s">
        <v>19</v>
      </c>
      <c r="H2225" s="9" t="n">
        <v>45991</v>
      </c>
      <c r="I2225" s="9"/>
      <c r="J2225" s="7" t="n">
        <v>9.8</v>
      </c>
      <c r="K2225" s="7" t="s">
        <v>2628</v>
      </c>
      <c r="L2225" s="7" t="s">
        <v>21</v>
      </c>
      <c r="M2225" s="7" t="s">
        <v>2659</v>
      </c>
      <c r="N2225" s="7" t="s">
        <v>58</v>
      </c>
      <c r="O2225" s="10" t="n">
        <f aca="false">'Exec Summary'!$E$2-H2225</f>
        <v>243</v>
      </c>
      <c r="P2225" s="10" t="str">
        <f aca="false">IF(I2225="","",I2225-H2225)</f>
        <v/>
      </c>
      <c r="Q2225" s="10" t="n">
        <f aca="false">VLOOKUP(G2225,$AA$2:$AB$5,2,FALSE())</f>
        <v>15</v>
      </c>
      <c r="R2225" s="7" t="n">
        <f aca="false">IF(OR(F2225="Open",F2225="Reopened"),1,0)</f>
        <v>1</v>
      </c>
      <c r="S2225" s="7" t="n">
        <f aca="false">IF(AND(H2225&gt;='Exec Summary'!$E$1,H2225&lt;='Exec Summary'!$E$2),1,0)</f>
        <v>0</v>
      </c>
      <c r="T2225" s="7" t="n">
        <f aca="false">IF(AND(F2225="Closed",I2225&lt;&gt;"",I2225&gt;='Exec Summary'!$E$1,I2225&lt;='Exec Summary'!$E$2),1,0)</f>
        <v>0</v>
      </c>
      <c r="U2225" s="7" t="n">
        <f aca="false">IF(F2225="Reopened",1,0)</f>
        <v>0</v>
      </c>
      <c r="V2225" s="7" t="n">
        <f aca="false">IF(AND(R2225=1,O2225&gt;Q2225),1,0)</f>
        <v>1</v>
      </c>
      <c r="W2225" s="7" t="n">
        <f aca="false">IF(AND(T2225=1,P2225&lt;&gt;"",P2225&lt;=Q2225),1,0)</f>
        <v>0</v>
      </c>
    </row>
    <row r="2226" customFormat="false" ht="15" hidden="false" customHeight="false" outlineLevel="0" collapsed="false">
      <c r="A2226" s="7" t="s">
        <v>2648</v>
      </c>
      <c r="B2226" s="7" t="s">
        <v>46</v>
      </c>
      <c r="C2226" s="7" t="s">
        <v>47</v>
      </c>
      <c r="D2226" s="7" t="s">
        <v>145</v>
      </c>
      <c r="E2226" s="7" t="s">
        <v>146</v>
      </c>
      <c r="F2226" s="7" t="s">
        <v>56</v>
      </c>
      <c r="G2226" s="7" t="s">
        <v>19</v>
      </c>
      <c r="H2226" s="9" t="n">
        <v>46020</v>
      </c>
      <c r="I2226" s="9"/>
      <c r="J2226" s="7" t="n">
        <v>9.8</v>
      </c>
      <c r="K2226" s="7" t="s">
        <v>2628</v>
      </c>
      <c r="L2226" s="7" t="s">
        <v>21</v>
      </c>
      <c r="M2226" s="7" t="s">
        <v>2660</v>
      </c>
      <c r="N2226" s="7" t="s">
        <v>58</v>
      </c>
      <c r="O2226" s="10" t="n">
        <f aca="false">'Exec Summary'!$E$2-H2226</f>
        <v>214</v>
      </c>
      <c r="P2226" s="10" t="str">
        <f aca="false">IF(I2226="","",I2226-H2226)</f>
        <v/>
      </c>
      <c r="Q2226" s="10" t="n">
        <f aca="false">VLOOKUP(G2226,$AA$2:$AB$5,2,FALSE())</f>
        <v>15</v>
      </c>
      <c r="R2226" s="7" t="n">
        <f aca="false">IF(OR(F2226="Open",F2226="Reopened"),1,0)</f>
        <v>1</v>
      </c>
      <c r="S2226" s="7" t="n">
        <f aca="false">IF(AND(H2226&gt;='Exec Summary'!$E$1,H2226&lt;='Exec Summary'!$E$2),1,0)</f>
        <v>0</v>
      </c>
      <c r="T2226" s="7" t="n">
        <f aca="false">IF(AND(F2226="Closed",I2226&lt;&gt;"",I2226&gt;='Exec Summary'!$E$1,I2226&lt;='Exec Summary'!$E$2),1,0)</f>
        <v>0</v>
      </c>
      <c r="U2226" s="7" t="n">
        <f aca="false">IF(F2226="Reopened",1,0)</f>
        <v>0</v>
      </c>
      <c r="V2226" s="7" t="n">
        <f aca="false">IF(AND(R2226=1,O2226&gt;Q2226),1,0)</f>
        <v>1</v>
      </c>
      <c r="W2226" s="7" t="n">
        <f aca="false">IF(AND(T2226=1,P2226&lt;&gt;"",P2226&lt;=Q2226),1,0)</f>
        <v>0</v>
      </c>
    </row>
    <row r="2227" customFormat="false" ht="15" hidden="false" customHeight="false" outlineLevel="0" collapsed="false">
      <c r="A2227" s="7" t="s">
        <v>2661</v>
      </c>
      <c r="B2227" s="7" t="s">
        <v>135</v>
      </c>
      <c r="C2227" s="7" t="s">
        <v>306</v>
      </c>
      <c r="D2227" s="7" t="s">
        <v>81</v>
      </c>
      <c r="E2227" s="7" t="s">
        <v>82</v>
      </c>
      <c r="F2227" s="7" t="s">
        <v>123</v>
      </c>
      <c r="G2227" s="7" t="s">
        <v>20</v>
      </c>
      <c r="H2227" s="9" t="n">
        <v>46102</v>
      </c>
      <c r="I2227" s="9" t="n">
        <v>46144</v>
      </c>
      <c r="J2227" s="7" t="n">
        <v>7.8</v>
      </c>
      <c r="K2227" s="7" t="s">
        <v>2628</v>
      </c>
      <c r="L2227" s="7" t="s">
        <v>21</v>
      </c>
      <c r="M2227" s="7" t="s">
        <v>2662</v>
      </c>
      <c r="N2227" s="7" t="s">
        <v>53</v>
      </c>
      <c r="O2227" s="10" t="n">
        <f aca="false">'Exec Summary'!$E$2-H2227</f>
        <v>132</v>
      </c>
      <c r="P2227" s="10" t="n">
        <f aca="false">IF(I2227="","",I2227-H2227)</f>
        <v>42</v>
      </c>
      <c r="Q2227" s="10" t="n">
        <f aca="false">VLOOKUP(G2227,$AA$2:$AB$5,2,FALSE())</f>
        <v>30</v>
      </c>
      <c r="R2227" s="7" t="n">
        <f aca="false">IF(OR(F2227="Open",F2227="Reopened"),1,0)</f>
        <v>1</v>
      </c>
      <c r="S2227" s="7" t="n">
        <f aca="false">IF(AND(H2227&gt;='Exec Summary'!$E$1,H2227&lt;='Exec Summary'!$E$2),1,0)</f>
        <v>0</v>
      </c>
      <c r="T2227" s="7" t="n">
        <f aca="false">IF(AND(F2227="Closed",I2227&lt;&gt;"",I2227&gt;='Exec Summary'!$E$1,I2227&lt;='Exec Summary'!$E$2),1,0)</f>
        <v>0</v>
      </c>
      <c r="U2227" s="7" t="n">
        <f aca="false">IF(F2227="Reopened",1,0)</f>
        <v>1</v>
      </c>
      <c r="V2227" s="7" t="n">
        <f aca="false">IF(AND(R2227=1,O2227&gt;Q2227),1,0)</f>
        <v>1</v>
      </c>
      <c r="W2227" s="7" t="n">
        <f aca="false">IF(AND(T2227=1,P2227&lt;&gt;"",P2227&lt;=Q2227),1,0)</f>
        <v>0</v>
      </c>
    </row>
    <row r="2228" customFormat="false" ht="15" hidden="false" customHeight="false" outlineLevel="0" collapsed="false">
      <c r="A2228" s="7" t="s">
        <v>2661</v>
      </c>
      <c r="B2228" s="7" t="s">
        <v>135</v>
      </c>
      <c r="C2228" s="7" t="s">
        <v>306</v>
      </c>
      <c r="D2228" s="7" t="s">
        <v>117</v>
      </c>
      <c r="E2228" s="7" t="s">
        <v>118</v>
      </c>
      <c r="F2228" s="7" t="s">
        <v>50</v>
      </c>
      <c r="G2228" s="7" t="s">
        <v>19</v>
      </c>
      <c r="H2228" s="9" t="n">
        <v>46182</v>
      </c>
      <c r="I2228" s="9" t="n">
        <v>46183</v>
      </c>
      <c r="J2228" s="7" t="n">
        <v>10</v>
      </c>
      <c r="K2228" s="7" t="s">
        <v>2628</v>
      </c>
      <c r="L2228" s="7" t="s">
        <v>21</v>
      </c>
      <c r="M2228" s="7" t="s">
        <v>2663</v>
      </c>
      <c r="N2228" s="7" t="s">
        <v>58</v>
      </c>
      <c r="O2228" s="10" t="n">
        <f aca="false">'Exec Summary'!$E$2-H2228</f>
        <v>52</v>
      </c>
      <c r="P2228" s="10" t="n">
        <f aca="false">IF(I2228="","",I2228-H2228)</f>
        <v>1</v>
      </c>
      <c r="Q2228" s="10" t="n">
        <f aca="false">VLOOKUP(G2228,$AA$2:$AB$5,2,FALSE())</f>
        <v>15</v>
      </c>
      <c r="R2228" s="7" t="n">
        <f aca="false">IF(OR(F2228="Open",F2228="Reopened"),1,0)</f>
        <v>0</v>
      </c>
      <c r="S2228" s="7" t="n">
        <f aca="false">IF(AND(H2228&gt;='Exec Summary'!$E$1,H2228&lt;='Exec Summary'!$E$2),1,0)</f>
        <v>0</v>
      </c>
      <c r="T2228" s="7" t="n">
        <f aca="false">IF(AND(F2228="Closed",I2228&lt;&gt;"",I2228&gt;='Exec Summary'!$E$1,I2228&lt;='Exec Summary'!$E$2),1,0)</f>
        <v>0</v>
      </c>
      <c r="U2228" s="7" t="n">
        <f aca="false">IF(F2228="Reopened",1,0)</f>
        <v>0</v>
      </c>
      <c r="V2228" s="7" t="n">
        <f aca="false">IF(AND(R2228=1,O2228&gt;Q2228),1,0)</f>
        <v>0</v>
      </c>
      <c r="W2228" s="7" t="n">
        <f aca="false">IF(AND(T2228=1,P2228&lt;&gt;"",P2228&lt;=Q2228),1,0)</f>
        <v>0</v>
      </c>
    </row>
    <row r="2229" customFormat="false" ht="15" hidden="false" customHeight="false" outlineLevel="0" collapsed="false">
      <c r="A2229" s="7" t="s">
        <v>2661</v>
      </c>
      <c r="B2229" s="7" t="s">
        <v>135</v>
      </c>
      <c r="C2229" s="7" t="s">
        <v>306</v>
      </c>
      <c r="D2229" s="7" t="s">
        <v>139</v>
      </c>
      <c r="E2229" s="7" t="s">
        <v>140</v>
      </c>
      <c r="F2229" s="7" t="s">
        <v>50</v>
      </c>
      <c r="G2229" s="7" t="s">
        <v>19</v>
      </c>
      <c r="H2229" s="9" t="n">
        <v>46070</v>
      </c>
      <c r="I2229" s="9" t="n">
        <v>46083</v>
      </c>
      <c r="J2229" s="7" t="n">
        <v>9.8</v>
      </c>
      <c r="K2229" s="7" t="s">
        <v>2628</v>
      </c>
      <c r="L2229" s="7" t="s">
        <v>21</v>
      </c>
      <c r="M2229" s="7" t="s">
        <v>2664</v>
      </c>
      <c r="N2229" s="7" t="s">
        <v>58</v>
      </c>
      <c r="O2229" s="10" t="n">
        <f aca="false">'Exec Summary'!$E$2-H2229</f>
        <v>164</v>
      </c>
      <c r="P2229" s="10" t="n">
        <f aca="false">IF(I2229="","",I2229-H2229)</f>
        <v>13</v>
      </c>
      <c r="Q2229" s="10" t="n">
        <f aca="false">VLOOKUP(G2229,$AA$2:$AB$5,2,FALSE())</f>
        <v>15</v>
      </c>
      <c r="R2229" s="7" t="n">
        <f aca="false">IF(OR(F2229="Open",F2229="Reopened"),1,0)</f>
        <v>0</v>
      </c>
      <c r="S2229" s="7" t="n">
        <f aca="false">IF(AND(H2229&gt;='Exec Summary'!$E$1,H2229&lt;='Exec Summary'!$E$2),1,0)</f>
        <v>0</v>
      </c>
      <c r="T2229" s="7" t="n">
        <f aca="false">IF(AND(F2229="Closed",I2229&lt;&gt;"",I2229&gt;='Exec Summary'!$E$1,I2229&lt;='Exec Summary'!$E$2),1,0)</f>
        <v>0</v>
      </c>
      <c r="U2229" s="7" t="n">
        <f aca="false">IF(F2229="Reopened",1,0)</f>
        <v>0</v>
      </c>
      <c r="V2229" s="7" t="n">
        <f aca="false">IF(AND(R2229=1,O2229&gt;Q2229),1,0)</f>
        <v>0</v>
      </c>
      <c r="W2229" s="7" t="n">
        <f aca="false">IF(AND(T2229=1,P2229&lt;&gt;"",P2229&lt;=Q2229),1,0)</f>
        <v>0</v>
      </c>
    </row>
    <row r="2230" customFormat="false" ht="15" hidden="false" customHeight="false" outlineLevel="0" collapsed="false">
      <c r="A2230" s="7" t="s">
        <v>2661</v>
      </c>
      <c r="B2230" s="7" t="s">
        <v>135</v>
      </c>
      <c r="C2230" s="7" t="s">
        <v>306</v>
      </c>
      <c r="D2230" s="7" t="s">
        <v>59</v>
      </c>
      <c r="E2230" s="7" t="s">
        <v>60</v>
      </c>
      <c r="F2230" s="7" t="s">
        <v>56</v>
      </c>
      <c r="G2230" s="7" t="s">
        <v>19</v>
      </c>
      <c r="H2230" s="9" t="n">
        <v>46199</v>
      </c>
      <c r="I2230" s="9"/>
      <c r="J2230" s="7" t="n">
        <v>7.8</v>
      </c>
      <c r="K2230" s="7" t="s">
        <v>2628</v>
      </c>
      <c r="L2230" s="7" t="s">
        <v>21</v>
      </c>
      <c r="M2230" s="7" t="s">
        <v>2665</v>
      </c>
      <c r="N2230" s="7" t="s">
        <v>58</v>
      </c>
      <c r="O2230" s="10" t="n">
        <f aca="false">'Exec Summary'!$E$2-H2230</f>
        <v>35</v>
      </c>
      <c r="P2230" s="10" t="str">
        <f aca="false">IF(I2230="","",I2230-H2230)</f>
        <v/>
      </c>
      <c r="Q2230" s="10" t="n">
        <f aca="false">VLOOKUP(G2230,$AA$2:$AB$5,2,FALSE())</f>
        <v>15</v>
      </c>
      <c r="R2230" s="7" t="n">
        <f aca="false">IF(OR(F2230="Open",F2230="Reopened"),1,0)</f>
        <v>1</v>
      </c>
      <c r="S2230" s="7" t="n">
        <f aca="false">IF(AND(H2230&gt;='Exec Summary'!$E$1,H2230&lt;='Exec Summary'!$E$2),1,0)</f>
        <v>0</v>
      </c>
      <c r="T2230" s="7" t="n">
        <f aca="false">IF(AND(F2230="Closed",I2230&lt;&gt;"",I2230&gt;='Exec Summary'!$E$1,I2230&lt;='Exec Summary'!$E$2),1,0)</f>
        <v>0</v>
      </c>
      <c r="U2230" s="7" t="n">
        <f aca="false">IF(F2230="Reopened",1,0)</f>
        <v>0</v>
      </c>
      <c r="V2230" s="7" t="n">
        <f aca="false">IF(AND(R2230=1,O2230&gt;Q2230),1,0)</f>
        <v>1</v>
      </c>
      <c r="W2230" s="7" t="n">
        <f aca="false">IF(AND(T2230=1,P2230&lt;&gt;"",P2230&lt;=Q2230),1,0)</f>
        <v>0</v>
      </c>
    </row>
    <row r="2231" customFormat="false" ht="15" hidden="false" customHeight="false" outlineLevel="0" collapsed="false">
      <c r="A2231" s="7" t="s">
        <v>2661</v>
      </c>
      <c r="B2231" s="7" t="s">
        <v>135</v>
      </c>
      <c r="C2231" s="7" t="s">
        <v>306</v>
      </c>
      <c r="D2231" s="7" t="s">
        <v>173</v>
      </c>
      <c r="E2231" s="7" t="s">
        <v>174</v>
      </c>
      <c r="F2231" s="7" t="s">
        <v>56</v>
      </c>
      <c r="G2231" s="7" t="s">
        <v>19</v>
      </c>
      <c r="H2231" s="9" t="n">
        <v>45955</v>
      </c>
      <c r="I2231" s="9"/>
      <c r="J2231" s="7" t="n">
        <v>9.8</v>
      </c>
      <c r="K2231" s="7" t="s">
        <v>2628</v>
      </c>
      <c r="L2231" s="7" t="s">
        <v>21</v>
      </c>
      <c r="M2231" s="7" t="s">
        <v>2666</v>
      </c>
      <c r="N2231" s="7" t="s">
        <v>58</v>
      </c>
      <c r="O2231" s="10" t="n">
        <f aca="false">'Exec Summary'!$E$2-H2231</f>
        <v>279</v>
      </c>
      <c r="P2231" s="10" t="str">
        <f aca="false">IF(I2231="","",I2231-H2231)</f>
        <v/>
      </c>
      <c r="Q2231" s="10" t="n">
        <f aca="false">VLOOKUP(G2231,$AA$2:$AB$5,2,FALSE())</f>
        <v>15</v>
      </c>
      <c r="R2231" s="7" t="n">
        <f aca="false">IF(OR(F2231="Open",F2231="Reopened"),1,0)</f>
        <v>1</v>
      </c>
      <c r="S2231" s="7" t="n">
        <f aca="false">IF(AND(H2231&gt;='Exec Summary'!$E$1,H2231&lt;='Exec Summary'!$E$2),1,0)</f>
        <v>0</v>
      </c>
      <c r="T2231" s="7" t="n">
        <f aca="false">IF(AND(F2231="Closed",I2231&lt;&gt;"",I2231&gt;='Exec Summary'!$E$1,I2231&lt;='Exec Summary'!$E$2),1,0)</f>
        <v>0</v>
      </c>
      <c r="U2231" s="7" t="n">
        <f aca="false">IF(F2231="Reopened",1,0)</f>
        <v>0</v>
      </c>
      <c r="V2231" s="7" t="n">
        <f aca="false">IF(AND(R2231=1,O2231&gt;Q2231),1,0)</f>
        <v>1</v>
      </c>
      <c r="W2231" s="7" t="n">
        <f aca="false">IF(AND(T2231=1,P2231&lt;&gt;"",P2231&lt;=Q2231),1,0)</f>
        <v>0</v>
      </c>
    </row>
    <row r="2232" customFormat="false" ht="15" hidden="false" customHeight="false" outlineLevel="0" collapsed="false">
      <c r="A2232" s="7" t="s">
        <v>2661</v>
      </c>
      <c r="B2232" s="7" t="s">
        <v>135</v>
      </c>
      <c r="C2232" s="7" t="s">
        <v>306</v>
      </c>
      <c r="D2232" s="7" t="s">
        <v>62</v>
      </c>
      <c r="E2232" s="7" t="s">
        <v>63</v>
      </c>
      <c r="F2232" s="7" t="s">
        <v>50</v>
      </c>
      <c r="G2232" s="7" t="s">
        <v>20</v>
      </c>
      <c r="H2232" s="9" t="n">
        <v>45982</v>
      </c>
      <c r="I2232" s="9" t="n">
        <v>45983</v>
      </c>
      <c r="J2232" s="7" t="n">
        <v>8.1</v>
      </c>
      <c r="K2232" s="7" t="s">
        <v>2628</v>
      </c>
      <c r="L2232" s="7" t="s">
        <v>21</v>
      </c>
      <c r="M2232" s="7" t="s">
        <v>2667</v>
      </c>
      <c r="N2232" s="7" t="s">
        <v>53</v>
      </c>
      <c r="O2232" s="10" t="n">
        <f aca="false">'Exec Summary'!$E$2-H2232</f>
        <v>252</v>
      </c>
      <c r="P2232" s="10" t="n">
        <f aca="false">IF(I2232="","",I2232-H2232)</f>
        <v>1</v>
      </c>
      <c r="Q2232" s="10" t="n">
        <f aca="false">VLOOKUP(G2232,$AA$2:$AB$5,2,FALSE())</f>
        <v>30</v>
      </c>
      <c r="R2232" s="7" t="n">
        <f aca="false">IF(OR(F2232="Open",F2232="Reopened"),1,0)</f>
        <v>0</v>
      </c>
      <c r="S2232" s="7" t="n">
        <f aca="false">IF(AND(H2232&gt;='Exec Summary'!$E$1,H2232&lt;='Exec Summary'!$E$2),1,0)</f>
        <v>0</v>
      </c>
      <c r="T2232" s="7" t="n">
        <f aca="false">IF(AND(F2232="Closed",I2232&lt;&gt;"",I2232&gt;='Exec Summary'!$E$1,I2232&lt;='Exec Summary'!$E$2),1,0)</f>
        <v>0</v>
      </c>
      <c r="U2232" s="7" t="n">
        <f aca="false">IF(F2232="Reopened",1,0)</f>
        <v>0</v>
      </c>
      <c r="V2232" s="7" t="n">
        <f aca="false">IF(AND(R2232=1,O2232&gt;Q2232),1,0)</f>
        <v>0</v>
      </c>
      <c r="W2232" s="7" t="n">
        <f aca="false">IF(AND(T2232=1,P2232&lt;&gt;"",P2232&lt;=Q2232),1,0)</f>
        <v>0</v>
      </c>
    </row>
    <row r="2233" customFormat="false" ht="15" hidden="false" customHeight="false" outlineLevel="0" collapsed="false">
      <c r="A2233" s="7" t="s">
        <v>2661</v>
      </c>
      <c r="B2233" s="7" t="s">
        <v>135</v>
      </c>
      <c r="C2233" s="7" t="s">
        <v>306</v>
      </c>
      <c r="D2233" s="7" t="s">
        <v>152</v>
      </c>
      <c r="E2233" s="7" t="s">
        <v>153</v>
      </c>
      <c r="F2233" s="7" t="s">
        <v>56</v>
      </c>
      <c r="G2233" s="7" t="s">
        <v>20</v>
      </c>
      <c r="H2233" s="9" t="n">
        <v>46149</v>
      </c>
      <c r="I2233" s="9"/>
      <c r="J2233" s="7" t="n">
        <v>7.5</v>
      </c>
      <c r="K2233" s="7" t="s">
        <v>2628</v>
      </c>
      <c r="L2233" s="7" t="s">
        <v>21</v>
      </c>
      <c r="M2233" s="7" t="s">
        <v>2668</v>
      </c>
      <c r="N2233" s="7" t="s">
        <v>53</v>
      </c>
      <c r="O2233" s="10" t="n">
        <f aca="false">'Exec Summary'!$E$2-H2233</f>
        <v>85</v>
      </c>
      <c r="P2233" s="10" t="str">
        <f aca="false">IF(I2233="","",I2233-H2233)</f>
        <v/>
      </c>
      <c r="Q2233" s="10" t="n">
        <f aca="false">VLOOKUP(G2233,$AA$2:$AB$5,2,FALSE())</f>
        <v>30</v>
      </c>
      <c r="R2233" s="7" t="n">
        <f aca="false">IF(OR(F2233="Open",F2233="Reopened"),1,0)</f>
        <v>1</v>
      </c>
      <c r="S2233" s="7" t="n">
        <f aca="false">IF(AND(H2233&gt;='Exec Summary'!$E$1,H2233&lt;='Exec Summary'!$E$2),1,0)</f>
        <v>0</v>
      </c>
      <c r="T2233" s="7" t="n">
        <f aca="false">IF(AND(F2233="Closed",I2233&lt;&gt;"",I2233&gt;='Exec Summary'!$E$1,I2233&lt;='Exec Summary'!$E$2),1,0)</f>
        <v>0</v>
      </c>
      <c r="U2233" s="7" t="n">
        <f aca="false">IF(F2233="Reopened",1,0)</f>
        <v>0</v>
      </c>
      <c r="V2233" s="7" t="n">
        <f aca="false">IF(AND(R2233=1,O2233&gt;Q2233),1,0)</f>
        <v>1</v>
      </c>
      <c r="W2233" s="7" t="n">
        <f aca="false">IF(AND(T2233=1,P2233&lt;&gt;"",P2233&lt;=Q2233),1,0)</f>
        <v>0</v>
      </c>
    </row>
    <row r="2234" customFormat="false" ht="15" hidden="false" customHeight="false" outlineLevel="0" collapsed="false">
      <c r="A2234" s="7" t="s">
        <v>2661</v>
      </c>
      <c r="B2234" s="7" t="s">
        <v>135</v>
      </c>
      <c r="C2234" s="7" t="s">
        <v>306</v>
      </c>
      <c r="D2234" s="7" t="s">
        <v>192</v>
      </c>
      <c r="E2234" s="7" t="s">
        <v>193</v>
      </c>
      <c r="F2234" s="7" t="s">
        <v>56</v>
      </c>
      <c r="G2234" s="7" t="s">
        <v>19</v>
      </c>
      <c r="H2234" s="9" t="n">
        <v>46111</v>
      </c>
      <c r="I2234" s="9"/>
      <c r="J2234" s="7" t="n">
        <v>9.8</v>
      </c>
      <c r="K2234" s="7" t="s">
        <v>2628</v>
      </c>
      <c r="L2234" s="7" t="s">
        <v>21</v>
      </c>
      <c r="M2234" s="7" t="s">
        <v>2669</v>
      </c>
      <c r="N2234" s="7" t="s">
        <v>58</v>
      </c>
      <c r="O2234" s="10" t="n">
        <f aca="false">'Exec Summary'!$E$2-H2234</f>
        <v>123</v>
      </c>
      <c r="P2234" s="10" t="str">
        <f aca="false">IF(I2234="","",I2234-H2234)</f>
        <v/>
      </c>
      <c r="Q2234" s="10" t="n">
        <f aca="false">VLOOKUP(G2234,$AA$2:$AB$5,2,FALSE())</f>
        <v>15</v>
      </c>
      <c r="R2234" s="7" t="n">
        <f aca="false">IF(OR(F2234="Open",F2234="Reopened"),1,0)</f>
        <v>1</v>
      </c>
      <c r="S2234" s="7" t="n">
        <f aca="false">IF(AND(H2234&gt;='Exec Summary'!$E$1,H2234&lt;='Exec Summary'!$E$2),1,0)</f>
        <v>0</v>
      </c>
      <c r="T2234" s="7" t="n">
        <f aca="false">IF(AND(F2234="Closed",I2234&lt;&gt;"",I2234&gt;='Exec Summary'!$E$1,I2234&lt;='Exec Summary'!$E$2),1,0)</f>
        <v>0</v>
      </c>
      <c r="U2234" s="7" t="n">
        <f aca="false">IF(F2234="Reopened",1,0)</f>
        <v>0</v>
      </c>
      <c r="V2234" s="7" t="n">
        <f aca="false">IF(AND(R2234=1,O2234&gt;Q2234),1,0)</f>
        <v>1</v>
      </c>
      <c r="W2234" s="7" t="n">
        <f aca="false">IF(AND(T2234=1,P2234&lt;&gt;"",P2234&lt;=Q2234),1,0)</f>
        <v>0</v>
      </c>
    </row>
    <row r="2235" customFormat="false" ht="15" hidden="false" customHeight="false" outlineLevel="0" collapsed="false">
      <c r="A2235" s="7" t="s">
        <v>2661</v>
      </c>
      <c r="B2235" s="7" t="s">
        <v>135</v>
      </c>
      <c r="C2235" s="7" t="s">
        <v>306</v>
      </c>
      <c r="D2235" s="7" t="s">
        <v>104</v>
      </c>
      <c r="E2235" s="7" t="s">
        <v>105</v>
      </c>
      <c r="F2235" s="7" t="s">
        <v>50</v>
      </c>
      <c r="G2235" s="7" t="s">
        <v>19</v>
      </c>
      <c r="H2235" s="9" t="n">
        <v>46169</v>
      </c>
      <c r="I2235" s="9" t="n">
        <v>46170</v>
      </c>
      <c r="J2235" s="7" t="n">
        <v>9.8</v>
      </c>
      <c r="K2235" s="7" t="s">
        <v>2628</v>
      </c>
      <c r="L2235" s="7" t="s">
        <v>21</v>
      </c>
      <c r="M2235" s="7" t="s">
        <v>2670</v>
      </c>
      <c r="N2235" s="7" t="s">
        <v>58</v>
      </c>
      <c r="O2235" s="10" t="n">
        <f aca="false">'Exec Summary'!$E$2-H2235</f>
        <v>65</v>
      </c>
      <c r="P2235" s="10" t="n">
        <f aca="false">IF(I2235="","",I2235-H2235)</f>
        <v>1</v>
      </c>
      <c r="Q2235" s="10" t="n">
        <f aca="false">VLOOKUP(G2235,$AA$2:$AB$5,2,FALSE())</f>
        <v>15</v>
      </c>
      <c r="R2235" s="7" t="n">
        <f aca="false">IF(OR(F2235="Open",F2235="Reopened"),1,0)</f>
        <v>0</v>
      </c>
      <c r="S2235" s="7" t="n">
        <f aca="false">IF(AND(H2235&gt;='Exec Summary'!$E$1,H2235&lt;='Exec Summary'!$E$2),1,0)</f>
        <v>0</v>
      </c>
      <c r="T2235" s="7" t="n">
        <f aca="false">IF(AND(F2235="Closed",I2235&lt;&gt;"",I2235&gt;='Exec Summary'!$E$1,I2235&lt;='Exec Summary'!$E$2),1,0)</f>
        <v>0</v>
      </c>
      <c r="U2235" s="7" t="n">
        <f aca="false">IF(F2235="Reopened",1,0)</f>
        <v>0</v>
      </c>
      <c r="V2235" s="7" t="n">
        <f aca="false">IF(AND(R2235=1,O2235&gt;Q2235),1,0)</f>
        <v>0</v>
      </c>
      <c r="W2235" s="7" t="n">
        <f aca="false">IF(AND(T2235=1,P2235&lt;&gt;"",P2235&lt;=Q2235),1,0)</f>
        <v>0</v>
      </c>
    </row>
    <row r="2236" customFormat="false" ht="15" hidden="false" customHeight="false" outlineLevel="0" collapsed="false">
      <c r="A2236" s="7" t="s">
        <v>2661</v>
      </c>
      <c r="B2236" s="7" t="s">
        <v>135</v>
      </c>
      <c r="C2236" s="7" t="s">
        <v>306</v>
      </c>
      <c r="D2236" s="7" t="s">
        <v>131</v>
      </c>
      <c r="E2236" s="7" t="s">
        <v>132</v>
      </c>
      <c r="F2236" s="7" t="s">
        <v>50</v>
      </c>
      <c r="G2236" s="7" t="s">
        <v>19</v>
      </c>
      <c r="H2236" s="9" t="n">
        <v>45947</v>
      </c>
      <c r="I2236" s="9" t="n">
        <v>45955</v>
      </c>
      <c r="J2236" s="7" t="n">
        <v>9.8</v>
      </c>
      <c r="K2236" s="7" t="s">
        <v>2628</v>
      </c>
      <c r="L2236" s="7" t="s">
        <v>21</v>
      </c>
      <c r="M2236" s="7" t="s">
        <v>2671</v>
      </c>
      <c r="N2236" s="7" t="s">
        <v>58</v>
      </c>
      <c r="O2236" s="10" t="n">
        <f aca="false">'Exec Summary'!$E$2-H2236</f>
        <v>287</v>
      </c>
      <c r="P2236" s="10" t="n">
        <f aca="false">IF(I2236="","",I2236-H2236)</f>
        <v>8</v>
      </c>
      <c r="Q2236" s="10" t="n">
        <f aca="false">VLOOKUP(G2236,$AA$2:$AB$5,2,FALSE())</f>
        <v>15</v>
      </c>
      <c r="R2236" s="7" t="n">
        <f aca="false">IF(OR(F2236="Open",F2236="Reopened"),1,0)</f>
        <v>0</v>
      </c>
      <c r="S2236" s="7" t="n">
        <f aca="false">IF(AND(H2236&gt;='Exec Summary'!$E$1,H2236&lt;='Exec Summary'!$E$2),1,0)</f>
        <v>0</v>
      </c>
      <c r="T2236" s="7" t="n">
        <f aca="false">IF(AND(F2236="Closed",I2236&lt;&gt;"",I2236&gt;='Exec Summary'!$E$1,I2236&lt;='Exec Summary'!$E$2),1,0)</f>
        <v>0</v>
      </c>
      <c r="U2236" s="7" t="n">
        <f aca="false">IF(F2236="Reopened",1,0)</f>
        <v>0</v>
      </c>
      <c r="V2236" s="7" t="n">
        <f aca="false">IF(AND(R2236=1,O2236&gt;Q2236),1,0)</f>
        <v>0</v>
      </c>
      <c r="W2236" s="7" t="n">
        <f aca="false">IF(AND(T2236=1,P2236&lt;&gt;"",P2236&lt;=Q2236),1,0)</f>
        <v>0</v>
      </c>
    </row>
    <row r="2237" customFormat="false" ht="15" hidden="false" customHeight="false" outlineLevel="0" collapsed="false">
      <c r="A2237" s="7" t="s">
        <v>2661</v>
      </c>
      <c r="B2237" s="7" t="s">
        <v>135</v>
      </c>
      <c r="C2237" s="7" t="s">
        <v>306</v>
      </c>
      <c r="D2237" s="7" t="s">
        <v>95</v>
      </c>
      <c r="E2237" s="7" t="s">
        <v>96</v>
      </c>
      <c r="F2237" s="7" t="s">
        <v>50</v>
      </c>
      <c r="G2237" s="7" t="s">
        <v>20</v>
      </c>
      <c r="H2237" s="9" t="n">
        <v>45984</v>
      </c>
      <c r="I2237" s="9" t="n">
        <v>46003</v>
      </c>
      <c r="J2237" s="7" t="n">
        <v>8.8</v>
      </c>
      <c r="K2237" s="7" t="s">
        <v>2628</v>
      </c>
      <c r="L2237" s="7" t="s">
        <v>21</v>
      </c>
      <c r="M2237" s="7" t="s">
        <v>2672</v>
      </c>
      <c r="N2237" s="7" t="s">
        <v>53</v>
      </c>
      <c r="O2237" s="10" t="n">
        <f aca="false">'Exec Summary'!$E$2-H2237</f>
        <v>250</v>
      </c>
      <c r="P2237" s="10" t="n">
        <f aca="false">IF(I2237="","",I2237-H2237)</f>
        <v>19</v>
      </c>
      <c r="Q2237" s="10" t="n">
        <f aca="false">VLOOKUP(G2237,$AA$2:$AB$5,2,FALSE())</f>
        <v>30</v>
      </c>
      <c r="R2237" s="7" t="n">
        <f aca="false">IF(OR(F2237="Open",F2237="Reopened"),1,0)</f>
        <v>0</v>
      </c>
      <c r="S2237" s="7" t="n">
        <f aca="false">IF(AND(H2237&gt;='Exec Summary'!$E$1,H2237&lt;='Exec Summary'!$E$2),1,0)</f>
        <v>0</v>
      </c>
      <c r="T2237" s="7" t="n">
        <f aca="false">IF(AND(F2237="Closed",I2237&lt;&gt;"",I2237&gt;='Exec Summary'!$E$1,I2237&lt;='Exec Summary'!$E$2),1,0)</f>
        <v>0</v>
      </c>
      <c r="U2237" s="7" t="n">
        <f aca="false">IF(F2237="Reopened",1,0)</f>
        <v>0</v>
      </c>
      <c r="V2237" s="7" t="n">
        <f aca="false">IF(AND(R2237=1,O2237&gt;Q2237),1,0)</f>
        <v>0</v>
      </c>
      <c r="W2237" s="7" t="n">
        <f aca="false">IF(AND(T2237=1,P2237&lt;&gt;"",P2237&lt;=Q2237),1,0)</f>
        <v>0</v>
      </c>
    </row>
    <row r="2238" customFormat="false" ht="15" hidden="false" customHeight="false" outlineLevel="0" collapsed="false">
      <c r="A2238" s="7" t="s">
        <v>2661</v>
      </c>
      <c r="B2238" s="7" t="s">
        <v>135</v>
      </c>
      <c r="C2238" s="7" t="s">
        <v>306</v>
      </c>
      <c r="D2238" s="7" t="s">
        <v>65</v>
      </c>
      <c r="E2238" s="7" t="s">
        <v>66</v>
      </c>
      <c r="F2238" s="7" t="s">
        <v>56</v>
      </c>
      <c r="G2238" s="7" t="s">
        <v>19</v>
      </c>
      <c r="H2238" s="9" t="n">
        <v>46117</v>
      </c>
      <c r="I2238" s="9"/>
      <c r="J2238" s="7" t="n">
        <v>9.8</v>
      </c>
      <c r="K2238" s="7" t="s">
        <v>2628</v>
      </c>
      <c r="L2238" s="7" t="s">
        <v>21</v>
      </c>
      <c r="M2238" s="7" t="s">
        <v>2673</v>
      </c>
      <c r="N2238" s="7" t="s">
        <v>58</v>
      </c>
      <c r="O2238" s="10" t="n">
        <f aca="false">'Exec Summary'!$E$2-H2238</f>
        <v>117</v>
      </c>
      <c r="P2238" s="10" t="str">
        <f aca="false">IF(I2238="","",I2238-H2238)</f>
        <v/>
      </c>
      <c r="Q2238" s="10" t="n">
        <f aca="false">VLOOKUP(G2238,$AA$2:$AB$5,2,FALSE())</f>
        <v>15</v>
      </c>
      <c r="R2238" s="7" t="n">
        <f aca="false">IF(OR(F2238="Open",F2238="Reopened"),1,0)</f>
        <v>1</v>
      </c>
      <c r="S2238" s="7" t="n">
        <f aca="false">IF(AND(H2238&gt;='Exec Summary'!$E$1,H2238&lt;='Exec Summary'!$E$2),1,0)</f>
        <v>0</v>
      </c>
      <c r="T2238" s="7" t="n">
        <f aca="false">IF(AND(F2238="Closed",I2238&lt;&gt;"",I2238&gt;='Exec Summary'!$E$1,I2238&lt;='Exec Summary'!$E$2),1,0)</f>
        <v>0</v>
      </c>
      <c r="U2238" s="7" t="n">
        <f aca="false">IF(F2238="Reopened",1,0)</f>
        <v>0</v>
      </c>
      <c r="V2238" s="7" t="n">
        <f aca="false">IF(AND(R2238=1,O2238&gt;Q2238),1,0)</f>
        <v>1</v>
      </c>
      <c r="W2238" s="7" t="n">
        <f aca="false">IF(AND(T2238=1,P2238&lt;&gt;"",P2238&lt;=Q2238),1,0)</f>
        <v>0</v>
      </c>
    </row>
    <row r="2239" customFormat="false" ht="15" hidden="false" customHeight="false" outlineLevel="0" collapsed="false">
      <c r="A2239" s="7" t="s">
        <v>2661</v>
      </c>
      <c r="B2239" s="7" t="s">
        <v>135</v>
      </c>
      <c r="C2239" s="7" t="s">
        <v>306</v>
      </c>
      <c r="D2239" s="7" t="s">
        <v>71</v>
      </c>
      <c r="E2239" s="7" t="s">
        <v>72</v>
      </c>
      <c r="F2239" s="7" t="s">
        <v>56</v>
      </c>
      <c r="G2239" s="7" t="s">
        <v>19</v>
      </c>
      <c r="H2239" s="9" t="n">
        <v>46114</v>
      </c>
      <c r="I2239" s="9"/>
      <c r="J2239" s="7" t="n">
        <v>9.8</v>
      </c>
      <c r="K2239" s="7" t="s">
        <v>2628</v>
      </c>
      <c r="L2239" s="7" t="s">
        <v>21</v>
      </c>
      <c r="M2239" s="7" t="s">
        <v>2674</v>
      </c>
      <c r="N2239" s="7" t="s">
        <v>58</v>
      </c>
      <c r="O2239" s="10" t="n">
        <f aca="false">'Exec Summary'!$E$2-H2239</f>
        <v>120</v>
      </c>
      <c r="P2239" s="10" t="str">
        <f aca="false">IF(I2239="","",I2239-H2239)</f>
        <v/>
      </c>
      <c r="Q2239" s="10" t="n">
        <f aca="false">VLOOKUP(G2239,$AA$2:$AB$5,2,FALSE())</f>
        <v>15</v>
      </c>
      <c r="R2239" s="7" t="n">
        <f aca="false">IF(OR(F2239="Open",F2239="Reopened"),1,0)</f>
        <v>1</v>
      </c>
      <c r="S2239" s="7" t="n">
        <f aca="false">IF(AND(H2239&gt;='Exec Summary'!$E$1,H2239&lt;='Exec Summary'!$E$2),1,0)</f>
        <v>0</v>
      </c>
      <c r="T2239" s="7" t="n">
        <f aca="false">IF(AND(F2239="Closed",I2239&lt;&gt;"",I2239&gt;='Exec Summary'!$E$1,I2239&lt;='Exec Summary'!$E$2),1,0)</f>
        <v>0</v>
      </c>
      <c r="U2239" s="7" t="n">
        <f aca="false">IF(F2239="Reopened",1,0)</f>
        <v>0</v>
      </c>
      <c r="V2239" s="7" t="n">
        <f aca="false">IF(AND(R2239=1,O2239&gt;Q2239),1,0)</f>
        <v>1</v>
      </c>
      <c r="W2239" s="7" t="n">
        <f aca="false">IF(AND(T2239=1,P2239&lt;&gt;"",P2239&lt;=Q2239),1,0)</f>
        <v>0</v>
      </c>
    </row>
    <row r="2240" customFormat="false" ht="15" hidden="false" customHeight="false" outlineLevel="0" collapsed="false">
      <c r="A2240" s="7" t="s">
        <v>2661</v>
      </c>
      <c r="B2240" s="7" t="s">
        <v>135</v>
      </c>
      <c r="C2240" s="7" t="s">
        <v>306</v>
      </c>
      <c r="D2240" s="7" t="s">
        <v>108</v>
      </c>
      <c r="E2240" s="7" t="s">
        <v>109</v>
      </c>
      <c r="F2240" s="7" t="s">
        <v>123</v>
      </c>
      <c r="G2240" s="7" t="s">
        <v>20</v>
      </c>
      <c r="H2240" s="9" t="n">
        <v>46075</v>
      </c>
      <c r="I2240" s="9" t="n">
        <v>46099</v>
      </c>
      <c r="J2240" s="7" t="n">
        <v>8.6</v>
      </c>
      <c r="K2240" s="7" t="s">
        <v>2628</v>
      </c>
      <c r="L2240" s="7" t="s">
        <v>21</v>
      </c>
      <c r="M2240" s="7" t="s">
        <v>2675</v>
      </c>
      <c r="N2240" s="7" t="s">
        <v>53</v>
      </c>
      <c r="O2240" s="10" t="n">
        <f aca="false">'Exec Summary'!$E$2-H2240</f>
        <v>159</v>
      </c>
      <c r="P2240" s="10" t="n">
        <f aca="false">IF(I2240="","",I2240-H2240)</f>
        <v>24</v>
      </c>
      <c r="Q2240" s="10" t="n">
        <f aca="false">VLOOKUP(G2240,$AA$2:$AB$5,2,FALSE())</f>
        <v>30</v>
      </c>
      <c r="R2240" s="7" t="n">
        <f aca="false">IF(OR(F2240="Open",F2240="Reopened"),1,0)</f>
        <v>1</v>
      </c>
      <c r="S2240" s="7" t="n">
        <f aca="false">IF(AND(H2240&gt;='Exec Summary'!$E$1,H2240&lt;='Exec Summary'!$E$2),1,0)</f>
        <v>0</v>
      </c>
      <c r="T2240" s="7" t="n">
        <f aca="false">IF(AND(F2240="Closed",I2240&lt;&gt;"",I2240&gt;='Exec Summary'!$E$1,I2240&lt;='Exec Summary'!$E$2),1,0)</f>
        <v>0</v>
      </c>
      <c r="U2240" s="7" t="n">
        <f aca="false">IF(F2240="Reopened",1,0)</f>
        <v>1</v>
      </c>
      <c r="V2240" s="7" t="n">
        <f aca="false">IF(AND(R2240=1,O2240&gt;Q2240),1,0)</f>
        <v>1</v>
      </c>
      <c r="W2240" s="7" t="n">
        <f aca="false">IF(AND(T2240=1,P2240&lt;&gt;"",P2240&lt;=Q2240),1,0)</f>
        <v>0</v>
      </c>
    </row>
    <row r="2241" customFormat="false" ht="15" hidden="false" customHeight="false" outlineLevel="0" collapsed="false">
      <c r="A2241" s="7" t="s">
        <v>2676</v>
      </c>
      <c r="B2241" s="7" t="s">
        <v>46</v>
      </c>
      <c r="C2241" s="7" t="s">
        <v>47</v>
      </c>
      <c r="D2241" s="7" t="s">
        <v>152</v>
      </c>
      <c r="E2241" s="7" t="s">
        <v>153</v>
      </c>
      <c r="F2241" s="7" t="s">
        <v>50</v>
      </c>
      <c r="G2241" s="7" t="s">
        <v>20</v>
      </c>
      <c r="H2241" s="9" t="n">
        <v>46104</v>
      </c>
      <c r="I2241" s="9" t="n">
        <v>46105</v>
      </c>
      <c r="J2241" s="7" t="n">
        <v>7.5</v>
      </c>
      <c r="K2241" s="7" t="s">
        <v>2628</v>
      </c>
      <c r="L2241" s="7" t="s">
        <v>20</v>
      </c>
      <c r="M2241" s="7" t="s">
        <v>2677</v>
      </c>
      <c r="N2241" s="7" t="s">
        <v>53</v>
      </c>
      <c r="O2241" s="10" t="n">
        <f aca="false">'Exec Summary'!$E$2-H2241</f>
        <v>130</v>
      </c>
      <c r="P2241" s="10" t="n">
        <f aca="false">IF(I2241="","",I2241-H2241)</f>
        <v>1</v>
      </c>
      <c r="Q2241" s="10" t="n">
        <f aca="false">VLOOKUP(G2241,$AA$2:$AB$5,2,FALSE())</f>
        <v>30</v>
      </c>
      <c r="R2241" s="7" t="n">
        <f aca="false">IF(OR(F2241="Open",F2241="Reopened"),1,0)</f>
        <v>0</v>
      </c>
      <c r="S2241" s="7" t="n">
        <f aca="false">IF(AND(H2241&gt;='Exec Summary'!$E$1,H2241&lt;='Exec Summary'!$E$2),1,0)</f>
        <v>0</v>
      </c>
      <c r="T2241" s="7" t="n">
        <f aca="false">IF(AND(F2241="Closed",I2241&lt;&gt;"",I2241&gt;='Exec Summary'!$E$1,I2241&lt;='Exec Summary'!$E$2),1,0)</f>
        <v>0</v>
      </c>
      <c r="U2241" s="7" t="n">
        <f aca="false">IF(F2241="Reopened",1,0)</f>
        <v>0</v>
      </c>
      <c r="V2241" s="7" t="n">
        <f aca="false">IF(AND(R2241=1,O2241&gt;Q2241),1,0)</f>
        <v>0</v>
      </c>
      <c r="W2241" s="7" t="n">
        <f aca="false">IF(AND(T2241=1,P2241&lt;&gt;"",P2241&lt;=Q2241),1,0)</f>
        <v>0</v>
      </c>
    </row>
    <row r="2242" customFormat="false" ht="15" hidden="false" customHeight="false" outlineLevel="0" collapsed="false">
      <c r="A2242" s="7" t="s">
        <v>2676</v>
      </c>
      <c r="B2242" s="7" t="s">
        <v>46</v>
      </c>
      <c r="C2242" s="7" t="s">
        <v>47</v>
      </c>
      <c r="D2242" s="7" t="s">
        <v>166</v>
      </c>
      <c r="E2242" s="7" t="s">
        <v>167</v>
      </c>
      <c r="F2242" s="7" t="s">
        <v>50</v>
      </c>
      <c r="G2242" s="7" t="s">
        <v>19</v>
      </c>
      <c r="H2242" s="9" t="n">
        <v>46090</v>
      </c>
      <c r="I2242" s="9" t="n">
        <v>46098</v>
      </c>
      <c r="J2242" s="7" t="n">
        <v>9.8</v>
      </c>
      <c r="K2242" s="7" t="s">
        <v>2628</v>
      </c>
      <c r="L2242" s="7" t="s">
        <v>20</v>
      </c>
      <c r="M2242" s="7" t="s">
        <v>2678</v>
      </c>
      <c r="N2242" s="7" t="s">
        <v>58</v>
      </c>
      <c r="O2242" s="10" t="n">
        <f aca="false">'Exec Summary'!$E$2-H2242</f>
        <v>144</v>
      </c>
      <c r="P2242" s="10" t="n">
        <f aca="false">IF(I2242="","",I2242-H2242)</f>
        <v>8</v>
      </c>
      <c r="Q2242" s="10" t="n">
        <f aca="false">VLOOKUP(G2242,$AA$2:$AB$5,2,FALSE())</f>
        <v>15</v>
      </c>
      <c r="R2242" s="7" t="n">
        <f aca="false">IF(OR(F2242="Open",F2242="Reopened"),1,0)</f>
        <v>0</v>
      </c>
      <c r="S2242" s="7" t="n">
        <f aca="false">IF(AND(H2242&gt;='Exec Summary'!$E$1,H2242&lt;='Exec Summary'!$E$2),1,0)</f>
        <v>0</v>
      </c>
      <c r="T2242" s="7" t="n">
        <f aca="false">IF(AND(F2242="Closed",I2242&lt;&gt;"",I2242&gt;='Exec Summary'!$E$1,I2242&lt;='Exec Summary'!$E$2),1,0)</f>
        <v>0</v>
      </c>
      <c r="U2242" s="7" t="n">
        <f aca="false">IF(F2242="Reopened",1,0)</f>
        <v>0</v>
      </c>
      <c r="V2242" s="7" t="n">
        <f aca="false">IF(AND(R2242=1,O2242&gt;Q2242),1,0)</f>
        <v>0</v>
      </c>
      <c r="W2242" s="7" t="n">
        <f aca="false">IF(AND(T2242=1,P2242&lt;&gt;"",P2242&lt;=Q2242),1,0)</f>
        <v>0</v>
      </c>
    </row>
    <row r="2243" customFormat="false" ht="15" hidden="false" customHeight="false" outlineLevel="0" collapsed="false">
      <c r="A2243" s="7" t="s">
        <v>2676</v>
      </c>
      <c r="B2243" s="7" t="s">
        <v>46</v>
      </c>
      <c r="C2243" s="7" t="s">
        <v>47</v>
      </c>
      <c r="D2243" s="7" t="s">
        <v>74</v>
      </c>
      <c r="E2243" s="7" t="s">
        <v>75</v>
      </c>
      <c r="F2243" s="7" t="s">
        <v>56</v>
      </c>
      <c r="G2243" s="7" t="s">
        <v>21</v>
      </c>
      <c r="H2243" s="9" t="n">
        <v>46094</v>
      </c>
      <c r="I2243" s="9"/>
      <c r="J2243" s="7" t="n">
        <v>6.5</v>
      </c>
      <c r="K2243" s="7" t="s">
        <v>2628</v>
      </c>
      <c r="L2243" s="7" t="s">
        <v>20</v>
      </c>
      <c r="M2243" s="7" t="s">
        <v>2679</v>
      </c>
      <c r="N2243" s="7" t="s">
        <v>77</v>
      </c>
      <c r="O2243" s="10" t="n">
        <f aca="false">'Exec Summary'!$E$2-H2243</f>
        <v>140</v>
      </c>
      <c r="P2243" s="10" t="str">
        <f aca="false">IF(I2243="","",I2243-H2243)</f>
        <v/>
      </c>
      <c r="Q2243" s="10" t="n">
        <f aca="false">VLOOKUP(G2243,$AA$2:$AB$5,2,FALSE())</f>
        <v>90</v>
      </c>
      <c r="R2243" s="7" t="n">
        <f aca="false">IF(OR(F2243="Open",F2243="Reopened"),1,0)</f>
        <v>1</v>
      </c>
      <c r="S2243" s="7" t="n">
        <f aca="false">IF(AND(H2243&gt;='Exec Summary'!$E$1,H2243&lt;='Exec Summary'!$E$2),1,0)</f>
        <v>0</v>
      </c>
      <c r="T2243" s="7" t="n">
        <f aca="false">IF(AND(F2243="Closed",I2243&lt;&gt;"",I2243&gt;='Exec Summary'!$E$1,I2243&lt;='Exec Summary'!$E$2),1,0)</f>
        <v>0</v>
      </c>
      <c r="U2243" s="7" t="n">
        <f aca="false">IF(F2243="Reopened",1,0)</f>
        <v>0</v>
      </c>
      <c r="V2243" s="7" t="n">
        <f aca="false">IF(AND(R2243=1,O2243&gt;Q2243),1,0)</f>
        <v>1</v>
      </c>
      <c r="W2243" s="7" t="n">
        <f aca="false">IF(AND(T2243=1,P2243&lt;&gt;"",P2243&lt;=Q2243),1,0)</f>
        <v>0</v>
      </c>
    </row>
    <row r="2244" customFormat="false" ht="15" hidden="false" customHeight="false" outlineLevel="0" collapsed="false">
      <c r="A2244" s="7" t="s">
        <v>2676</v>
      </c>
      <c r="B2244" s="7" t="s">
        <v>46</v>
      </c>
      <c r="C2244" s="7" t="s">
        <v>47</v>
      </c>
      <c r="D2244" s="7" t="s">
        <v>59</v>
      </c>
      <c r="E2244" s="7" t="s">
        <v>60</v>
      </c>
      <c r="F2244" s="7" t="s">
        <v>50</v>
      </c>
      <c r="G2244" s="7" t="s">
        <v>19</v>
      </c>
      <c r="H2244" s="9" t="n">
        <v>46129</v>
      </c>
      <c r="I2244" s="9" t="n">
        <v>46145</v>
      </c>
      <c r="J2244" s="7" t="n">
        <v>7.8</v>
      </c>
      <c r="K2244" s="7" t="s">
        <v>2628</v>
      </c>
      <c r="L2244" s="7" t="s">
        <v>20</v>
      </c>
      <c r="M2244" s="7" t="s">
        <v>2680</v>
      </c>
      <c r="N2244" s="7" t="s">
        <v>58</v>
      </c>
      <c r="O2244" s="10" t="n">
        <f aca="false">'Exec Summary'!$E$2-H2244</f>
        <v>105</v>
      </c>
      <c r="P2244" s="10" t="n">
        <f aca="false">IF(I2244="","",I2244-H2244)</f>
        <v>16</v>
      </c>
      <c r="Q2244" s="10" t="n">
        <f aca="false">VLOOKUP(G2244,$AA$2:$AB$5,2,FALSE())</f>
        <v>15</v>
      </c>
      <c r="R2244" s="7" t="n">
        <f aca="false">IF(OR(F2244="Open",F2244="Reopened"),1,0)</f>
        <v>0</v>
      </c>
      <c r="S2244" s="7" t="n">
        <f aca="false">IF(AND(H2244&gt;='Exec Summary'!$E$1,H2244&lt;='Exec Summary'!$E$2),1,0)</f>
        <v>0</v>
      </c>
      <c r="T2244" s="7" t="n">
        <f aca="false">IF(AND(F2244="Closed",I2244&lt;&gt;"",I2244&gt;='Exec Summary'!$E$1,I2244&lt;='Exec Summary'!$E$2),1,0)</f>
        <v>0</v>
      </c>
      <c r="U2244" s="7" t="n">
        <f aca="false">IF(F2244="Reopened",1,0)</f>
        <v>0</v>
      </c>
      <c r="V2244" s="7" t="n">
        <f aca="false">IF(AND(R2244=1,O2244&gt;Q2244),1,0)</f>
        <v>0</v>
      </c>
      <c r="W2244" s="7" t="n">
        <f aca="false">IF(AND(T2244=1,P2244&lt;&gt;"",P2244&lt;=Q2244),1,0)</f>
        <v>0</v>
      </c>
    </row>
    <row r="2245" customFormat="false" ht="15" hidden="false" customHeight="false" outlineLevel="0" collapsed="false">
      <c r="A2245" s="7" t="s">
        <v>2676</v>
      </c>
      <c r="B2245" s="7" t="s">
        <v>46</v>
      </c>
      <c r="C2245" s="7" t="s">
        <v>47</v>
      </c>
      <c r="D2245" s="7" t="s">
        <v>48</v>
      </c>
      <c r="E2245" s="7" t="s">
        <v>49</v>
      </c>
      <c r="F2245" s="7" t="s">
        <v>56</v>
      </c>
      <c r="G2245" s="7" t="s">
        <v>20</v>
      </c>
      <c r="H2245" s="9" t="n">
        <v>46119</v>
      </c>
      <c r="I2245" s="9"/>
      <c r="J2245" s="7" t="n">
        <v>7.5</v>
      </c>
      <c r="K2245" s="7" t="s">
        <v>2628</v>
      </c>
      <c r="L2245" s="7" t="s">
        <v>20</v>
      </c>
      <c r="M2245" s="7" t="s">
        <v>2681</v>
      </c>
      <c r="N2245" s="7" t="s">
        <v>53</v>
      </c>
      <c r="O2245" s="10" t="n">
        <f aca="false">'Exec Summary'!$E$2-H2245</f>
        <v>115</v>
      </c>
      <c r="P2245" s="10" t="str">
        <f aca="false">IF(I2245="","",I2245-H2245)</f>
        <v/>
      </c>
      <c r="Q2245" s="10" t="n">
        <f aca="false">VLOOKUP(G2245,$AA$2:$AB$5,2,FALSE())</f>
        <v>30</v>
      </c>
      <c r="R2245" s="7" t="n">
        <f aca="false">IF(OR(F2245="Open",F2245="Reopened"),1,0)</f>
        <v>1</v>
      </c>
      <c r="S2245" s="7" t="n">
        <f aca="false">IF(AND(H2245&gt;='Exec Summary'!$E$1,H2245&lt;='Exec Summary'!$E$2),1,0)</f>
        <v>0</v>
      </c>
      <c r="T2245" s="7" t="n">
        <f aca="false">IF(AND(F2245="Closed",I2245&lt;&gt;"",I2245&gt;='Exec Summary'!$E$1,I2245&lt;='Exec Summary'!$E$2),1,0)</f>
        <v>0</v>
      </c>
      <c r="U2245" s="7" t="n">
        <f aca="false">IF(F2245="Reopened",1,0)</f>
        <v>0</v>
      </c>
      <c r="V2245" s="7" t="n">
        <f aca="false">IF(AND(R2245=1,O2245&gt;Q2245),1,0)</f>
        <v>1</v>
      </c>
      <c r="W2245" s="7" t="n">
        <f aca="false">IF(AND(T2245=1,P2245&lt;&gt;"",P2245&lt;=Q2245),1,0)</f>
        <v>0</v>
      </c>
    </row>
    <row r="2246" customFormat="false" ht="15" hidden="false" customHeight="false" outlineLevel="0" collapsed="false">
      <c r="A2246" s="7" t="s">
        <v>2676</v>
      </c>
      <c r="B2246" s="7" t="s">
        <v>46</v>
      </c>
      <c r="C2246" s="7" t="s">
        <v>47</v>
      </c>
      <c r="D2246" s="7" t="s">
        <v>139</v>
      </c>
      <c r="E2246" s="7" t="s">
        <v>140</v>
      </c>
      <c r="F2246" s="7" t="s">
        <v>50</v>
      </c>
      <c r="G2246" s="7" t="s">
        <v>19</v>
      </c>
      <c r="H2246" s="9" t="n">
        <v>46099</v>
      </c>
      <c r="I2246" s="9" t="n">
        <v>46104</v>
      </c>
      <c r="J2246" s="7" t="n">
        <v>9.8</v>
      </c>
      <c r="K2246" s="7" t="s">
        <v>2628</v>
      </c>
      <c r="L2246" s="7" t="s">
        <v>20</v>
      </c>
      <c r="M2246" s="7" t="s">
        <v>2682</v>
      </c>
      <c r="N2246" s="7" t="s">
        <v>58</v>
      </c>
      <c r="O2246" s="10" t="n">
        <f aca="false">'Exec Summary'!$E$2-H2246</f>
        <v>135</v>
      </c>
      <c r="P2246" s="10" t="n">
        <f aca="false">IF(I2246="","",I2246-H2246)</f>
        <v>5</v>
      </c>
      <c r="Q2246" s="10" t="n">
        <f aca="false">VLOOKUP(G2246,$AA$2:$AB$5,2,FALSE())</f>
        <v>15</v>
      </c>
      <c r="R2246" s="7" t="n">
        <f aca="false">IF(OR(F2246="Open",F2246="Reopened"),1,0)</f>
        <v>0</v>
      </c>
      <c r="S2246" s="7" t="n">
        <f aca="false">IF(AND(H2246&gt;='Exec Summary'!$E$1,H2246&lt;='Exec Summary'!$E$2),1,0)</f>
        <v>0</v>
      </c>
      <c r="T2246" s="7" t="n">
        <f aca="false">IF(AND(F2246="Closed",I2246&lt;&gt;"",I2246&gt;='Exec Summary'!$E$1,I2246&lt;='Exec Summary'!$E$2),1,0)</f>
        <v>0</v>
      </c>
      <c r="U2246" s="7" t="n">
        <f aca="false">IF(F2246="Reopened",1,0)</f>
        <v>0</v>
      </c>
      <c r="V2246" s="7" t="n">
        <f aca="false">IF(AND(R2246=1,O2246&gt;Q2246),1,0)</f>
        <v>0</v>
      </c>
      <c r="W2246" s="7" t="n">
        <f aca="false">IF(AND(T2246=1,P2246&lt;&gt;"",P2246&lt;=Q2246),1,0)</f>
        <v>0</v>
      </c>
    </row>
    <row r="2247" customFormat="false" ht="15" hidden="false" customHeight="false" outlineLevel="0" collapsed="false">
      <c r="A2247" s="7" t="s">
        <v>2676</v>
      </c>
      <c r="B2247" s="7" t="s">
        <v>46</v>
      </c>
      <c r="C2247" s="7" t="s">
        <v>47</v>
      </c>
      <c r="D2247" s="7" t="s">
        <v>84</v>
      </c>
      <c r="E2247" s="7" t="s">
        <v>85</v>
      </c>
      <c r="F2247" s="7" t="s">
        <v>56</v>
      </c>
      <c r="G2247" s="7" t="s">
        <v>20</v>
      </c>
      <c r="H2247" s="9" t="n">
        <v>46193</v>
      </c>
      <c r="I2247" s="9"/>
      <c r="J2247" s="7" t="n">
        <v>7.5</v>
      </c>
      <c r="K2247" s="7" t="s">
        <v>2628</v>
      </c>
      <c r="L2247" s="7" t="s">
        <v>20</v>
      </c>
      <c r="M2247" s="7" t="s">
        <v>2683</v>
      </c>
      <c r="N2247" s="7" t="s">
        <v>53</v>
      </c>
      <c r="O2247" s="10" t="n">
        <f aca="false">'Exec Summary'!$E$2-H2247</f>
        <v>41</v>
      </c>
      <c r="P2247" s="10" t="str">
        <f aca="false">IF(I2247="","",I2247-H2247)</f>
        <v/>
      </c>
      <c r="Q2247" s="10" t="n">
        <f aca="false">VLOOKUP(G2247,$AA$2:$AB$5,2,FALSE())</f>
        <v>30</v>
      </c>
      <c r="R2247" s="7" t="n">
        <f aca="false">IF(OR(F2247="Open",F2247="Reopened"),1,0)</f>
        <v>1</v>
      </c>
      <c r="S2247" s="7" t="n">
        <f aca="false">IF(AND(H2247&gt;='Exec Summary'!$E$1,H2247&lt;='Exec Summary'!$E$2),1,0)</f>
        <v>0</v>
      </c>
      <c r="T2247" s="7" t="n">
        <f aca="false">IF(AND(F2247="Closed",I2247&lt;&gt;"",I2247&gt;='Exec Summary'!$E$1,I2247&lt;='Exec Summary'!$E$2),1,0)</f>
        <v>0</v>
      </c>
      <c r="U2247" s="7" t="n">
        <f aca="false">IF(F2247="Reopened",1,0)</f>
        <v>0</v>
      </c>
      <c r="V2247" s="7" t="n">
        <f aca="false">IF(AND(R2247=1,O2247&gt;Q2247),1,0)</f>
        <v>1</v>
      </c>
      <c r="W2247" s="7" t="n">
        <f aca="false">IF(AND(T2247=1,P2247&lt;&gt;"",P2247&lt;=Q2247),1,0)</f>
        <v>0</v>
      </c>
    </row>
    <row r="2248" customFormat="false" ht="15" hidden="false" customHeight="false" outlineLevel="0" collapsed="false">
      <c r="A2248" s="7" t="s">
        <v>2684</v>
      </c>
      <c r="B2248" s="7" t="s">
        <v>135</v>
      </c>
      <c r="C2248" s="7" t="s">
        <v>247</v>
      </c>
      <c r="D2248" s="7" t="s">
        <v>84</v>
      </c>
      <c r="E2248" s="7" t="s">
        <v>85</v>
      </c>
      <c r="F2248" s="7" t="s">
        <v>56</v>
      </c>
      <c r="G2248" s="7" t="s">
        <v>20</v>
      </c>
      <c r="H2248" s="9" t="n">
        <v>46141</v>
      </c>
      <c r="I2248" s="9"/>
      <c r="J2248" s="7" t="n">
        <v>7.5</v>
      </c>
      <c r="K2248" s="7" t="s">
        <v>2628</v>
      </c>
      <c r="L2248" s="7" t="s">
        <v>21</v>
      </c>
      <c r="M2248" s="7" t="s">
        <v>2685</v>
      </c>
      <c r="N2248" s="7" t="s">
        <v>53</v>
      </c>
      <c r="O2248" s="10" t="n">
        <f aca="false">'Exec Summary'!$E$2-H2248</f>
        <v>93</v>
      </c>
      <c r="P2248" s="10" t="str">
        <f aca="false">IF(I2248="","",I2248-H2248)</f>
        <v/>
      </c>
      <c r="Q2248" s="10" t="n">
        <f aca="false">VLOOKUP(G2248,$AA$2:$AB$5,2,FALSE())</f>
        <v>30</v>
      </c>
      <c r="R2248" s="7" t="n">
        <f aca="false">IF(OR(F2248="Open",F2248="Reopened"),1,0)</f>
        <v>1</v>
      </c>
      <c r="S2248" s="7" t="n">
        <f aca="false">IF(AND(H2248&gt;='Exec Summary'!$E$1,H2248&lt;='Exec Summary'!$E$2),1,0)</f>
        <v>0</v>
      </c>
      <c r="T2248" s="7" t="n">
        <f aca="false">IF(AND(F2248="Closed",I2248&lt;&gt;"",I2248&gt;='Exec Summary'!$E$1,I2248&lt;='Exec Summary'!$E$2),1,0)</f>
        <v>0</v>
      </c>
      <c r="U2248" s="7" t="n">
        <f aca="false">IF(F2248="Reopened",1,0)</f>
        <v>0</v>
      </c>
      <c r="V2248" s="7" t="n">
        <f aca="false">IF(AND(R2248=1,O2248&gt;Q2248),1,0)</f>
        <v>1</v>
      </c>
      <c r="W2248" s="7" t="n">
        <f aca="false">IF(AND(T2248=1,P2248&lt;&gt;"",P2248&lt;=Q2248),1,0)</f>
        <v>0</v>
      </c>
    </row>
    <row r="2249" customFormat="false" ht="15" hidden="false" customHeight="false" outlineLevel="0" collapsed="false">
      <c r="A2249" s="7" t="s">
        <v>2684</v>
      </c>
      <c r="B2249" s="7" t="s">
        <v>135</v>
      </c>
      <c r="C2249" s="7" t="s">
        <v>247</v>
      </c>
      <c r="D2249" s="7" t="s">
        <v>173</v>
      </c>
      <c r="E2249" s="7" t="s">
        <v>174</v>
      </c>
      <c r="F2249" s="7" t="s">
        <v>50</v>
      </c>
      <c r="G2249" s="7" t="s">
        <v>19</v>
      </c>
      <c r="H2249" s="9" t="n">
        <v>46108</v>
      </c>
      <c r="I2249" s="9" t="n">
        <v>46109</v>
      </c>
      <c r="J2249" s="7" t="n">
        <v>9.8</v>
      </c>
      <c r="K2249" s="7" t="s">
        <v>2628</v>
      </c>
      <c r="L2249" s="7" t="s">
        <v>21</v>
      </c>
      <c r="M2249" s="7" t="s">
        <v>2686</v>
      </c>
      <c r="N2249" s="7" t="s">
        <v>58</v>
      </c>
      <c r="O2249" s="10" t="n">
        <f aca="false">'Exec Summary'!$E$2-H2249</f>
        <v>126</v>
      </c>
      <c r="P2249" s="10" t="n">
        <f aca="false">IF(I2249="","",I2249-H2249)</f>
        <v>1</v>
      </c>
      <c r="Q2249" s="10" t="n">
        <f aca="false">VLOOKUP(G2249,$AA$2:$AB$5,2,FALSE())</f>
        <v>15</v>
      </c>
      <c r="R2249" s="7" t="n">
        <f aca="false">IF(OR(F2249="Open",F2249="Reopened"),1,0)</f>
        <v>0</v>
      </c>
      <c r="S2249" s="7" t="n">
        <f aca="false">IF(AND(H2249&gt;='Exec Summary'!$E$1,H2249&lt;='Exec Summary'!$E$2),1,0)</f>
        <v>0</v>
      </c>
      <c r="T2249" s="7" t="n">
        <f aca="false">IF(AND(F2249="Closed",I2249&lt;&gt;"",I2249&gt;='Exec Summary'!$E$1,I2249&lt;='Exec Summary'!$E$2),1,0)</f>
        <v>0</v>
      </c>
      <c r="U2249" s="7" t="n">
        <f aca="false">IF(F2249="Reopened",1,0)</f>
        <v>0</v>
      </c>
      <c r="V2249" s="7" t="n">
        <f aca="false">IF(AND(R2249=1,O2249&gt;Q2249),1,0)</f>
        <v>0</v>
      </c>
      <c r="W2249" s="7" t="n">
        <f aca="false">IF(AND(T2249=1,P2249&lt;&gt;"",P2249&lt;=Q2249),1,0)</f>
        <v>0</v>
      </c>
    </row>
    <row r="2250" customFormat="false" ht="15" hidden="false" customHeight="false" outlineLevel="0" collapsed="false">
      <c r="A2250" s="7" t="s">
        <v>2687</v>
      </c>
      <c r="B2250" s="7" t="s">
        <v>46</v>
      </c>
      <c r="C2250" s="7" t="s">
        <v>158</v>
      </c>
      <c r="D2250" s="7" t="s">
        <v>54</v>
      </c>
      <c r="E2250" s="7" t="s">
        <v>55</v>
      </c>
      <c r="F2250" s="7" t="s">
        <v>50</v>
      </c>
      <c r="G2250" s="7" t="s">
        <v>19</v>
      </c>
      <c r="H2250" s="9" t="n">
        <v>46214</v>
      </c>
      <c r="I2250" s="9" t="n">
        <v>46234</v>
      </c>
      <c r="J2250" s="7" t="n">
        <v>9.8</v>
      </c>
      <c r="K2250" s="7" t="s">
        <v>2628</v>
      </c>
      <c r="L2250" s="7" t="s">
        <v>21</v>
      </c>
      <c r="M2250" s="7" t="s">
        <v>2688</v>
      </c>
      <c r="N2250" s="7" t="s">
        <v>58</v>
      </c>
      <c r="O2250" s="10" t="n">
        <f aca="false">'Exec Summary'!$E$2-H2250</f>
        <v>20</v>
      </c>
      <c r="P2250" s="10" t="n">
        <f aca="false">IF(I2250="","",I2250-H2250)</f>
        <v>20</v>
      </c>
      <c r="Q2250" s="10" t="n">
        <f aca="false">VLOOKUP(G2250,$AA$2:$AB$5,2,FALSE())</f>
        <v>15</v>
      </c>
      <c r="R2250" s="7" t="n">
        <f aca="false">IF(OR(F2250="Open",F2250="Reopened"),1,0)</f>
        <v>0</v>
      </c>
      <c r="S2250" s="7" t="n">
        <f aca="false">IF(AND(H2250&gt;='Exec Summary'!$E$1,H2250&lt;='Exec Summary'!$E$2),1,0)</f>
        <v>1</v>
      </c>
      <c r="T2250" s="7" t="n">
        <f aca="false">IF(AND(F2250="Closed",I2250&lt;&gt;"",I2250&gt;='Exec Summary'!$E$1,I2250&lt;='Exec Summary'!$E$2),1,0)</f>
        <v>1</v>
      </c>
      <c r="U2250" s="7" t="n">
        <f aca="false">IF(F2250="Reopened",1,0)</f>
        <v>0</v>
      </c>
      <c r="V2250" s="7" t="n">
        <f aca="false">IF(AND(R2250=1,O2250&gt;Q2250),1,0)</f>
        <v>0</v>
      </c>
      <c r="W2250" s="7" t="n">
        <f aca="false">IF(AND(T2250=1,P2250&lt;&gt;"",P2250&lt;=Q2250),1,0)</f>
        <v>0</v>
      </c>
    </row>
    <row r="2251" customFormat="false" ht="15" hidden="false" customHeight="false" outlineLevel="0" collapsed="false">
      <c r="A2251" s="7" t="s">
        <v>2689</v>
      </c>
      <c r="B2251" s="7" t="s">
        <v>46</v>
      </c>
      <c r="C2251" s="7" t="s">
        <v>128</v>
      </c>
      <c r="D2251" s="7" t="s">
        <v>98</v>
      </c>
      <c r="E2251" s="7" t="s">
        <v>99</v>
      </c>
      <c r="F2251" s="7" t="s">
        <v>50</v>
      </c>
      <c r="G2251" s="7" t="s">
        <v>19</v>
      </c>
      <c r="H2251" s="9" t="n">
        <v>46145</v>
      </c>
      <c r="I2251" s="9" t="n">
        <v>46149</v>
      </c>
      <c r="J2251" s="7" t="n">
        <v>10</v>
      </c>
      <c r="K2251" s="7" t="s">
        <v>2628</v>
      </c>
      <c r="L2251" s="7" t="s">
        <v>21</v>
      </c>
      <c r="M2251" s="7" t="s">
        <v>2690</v>
      </c>
      <c r="N2251" s="7" t="s">
        <v>58</v>
      </c>
      <c r="O2251" s="10" t="n">
        <f aca="false">'Exec Summary'!$E$2-H2251</f>
        <v>89</v>
      </c>
      <c r="P2251" s="10" t="n">
        <f aca="false">IF(I2251="","",I2251-H2251)</f>
        <v>4</v>
      </c>
      <c r="Q2251" s="10" t="n">
        <f aca="false">VLOOKUP(G2251,$AA$2:$AB$5,2,FALSE())</f>
        <v>15</v>
      </c>
      <c r="R2251" s="7" t="n">
        <f aca="false">IF(OR(F2251="Open",F2251="Reopened"),1,0)</f>
        <v>0</v>
      </c>
      <c r="S2251" s="7" t="n">
        <f aca="false">IF(AND(H2251&gt;='Exec Summary'!$E$1,H2251&lt;='Exec Summary'!$E$2),1,0)</f>
        <v>0</v>
      </c>
      <c r="T2251" s="7" t="n">
        <f aca="false">IF(AND(F2251="Closed",I2251&lt;&gt;"",I2251&gt;='Exec Summary'!$E$1,I2251&lt;='Exec Summary'!$E$2),1,0)</f>
        <v>0</v>
      </c>
      <c r="U2251" s="7" t="n">
        <f aca="false">IF(F2251="Reopened",1,0)</f>
        <v>0</v>
      </c>
      <c r="V2251" s="7" t="n">
        <f aca="false">IF(AND(R2251=1,O2251&gt;Q2251),1,0)</f>
        <v>0</v>
      </c>
      <c r="W2251" s="7" t="n">
        <f aca="false">IF(AND(T2251=1,P2251&lt;&gt;"",P2251&lt;=Q2251),1,0)</f>
        <v>0</v>
      </c>
    </row>
    <row r="2252" customFormat="false" ht="15" hidden="false" customHeight="false" outlineLevel="0" collapsed="false">
      <c r="A2252" s="7" t="s">
        <v>2689</v>
      </c>
      <c r="B2252" s="7" t="s">
        <v>46</v>
      </c>
      <c r="C2252" s="7" t="s">
        <v>128</v>
      </c>
      <c r="D2252" s="7" t="s">
        <v>68</v>
      </c>
      <c r="E2252" s="7" t="s">
        <v>69</v>
      </c>
      <c r="F2252" s="7" t="s">
        <v>56</v>
      </c>
      <c r="G2252" s="7" t="s">
        <v>19</v>
      </c>
      <c r="H2252" s="9" t="n">
        <v>46067</v>
      </c>
      <c r="I2252" s="9"/>
      <c r="J2252" s="7" t="n">
        <v>9.8</v>
      </c>
      <c r="K2252" s="7" t="s">
        <v>2628</v>
      </c>
      <c r="L2252" s="7" t="s">
        <v>21</v>
      </c>
      <c r="M2252" s="7" t="s">
        <v>2691</v>
      </c>
      <c r="N2252" s="7" t="s">
        <v>58</v>
      </c>
      <c r="O2252" s="10" t="n">
        <f aca="false">'Exec Summary'!$E$2-H2252</f>
        <v>167</v>
      </c>
      <c r="P2252" s="10" t="str">
        <f aca="false">IF(I2252="","",I2252-H2252)</f>
        <v/>
      </c>
      <c r="Q2252" s="10" t="n">
        <f aca="false">VLOOKUP(G2252,$AA$2:$AB$5,2,FALSE())</f>
        <v>15</v>
      </c>
      <c r="R2252" s="7" t="n">
        <f aca="false">IF(OR(F2252="Open",F2252="Reopened"),1,0)</f>
        <v>1</v>
      </c>
      <c r="S2252" s="7" t="n">
        <f aca="false">IF(AND(H2252&gt;='Exec Summary'!$E$1,H2252&lt;='Exec Summary'!$E$2),1,0)</f>
        <v>0</v>
      </c>
      <c r="T2252" s="7" t="n">
        <f aca="false">IF(AND(F2252="Closed",I2252&lt;&gt;"",I2252&gt;='Exec Summary'!$E$1,I2252&lt;='Exec Summary'!$E$2),1,0)</f>
        <v>0</v>
      </c>
      <c r="U2252" s="7" t="n">
        <f aca="false">IF(F2252="Reopened",1,0)</f>
        <v>0</v>
      </c>
      <c r="V2252" s="7" t="n">
        <f aca="false">IF(AND(R2252=1,O2252&gt;Q2252),1,0)</f>
        <v>1</v>
      </c>
      <c r="W2252" s="7" t="n">
        <f aca="false">IF(AND(T2252=1,P2252&lt;&gt;"",P2252&lt;=Q2252),1,0)</f>
        <v>0</v>
      </c>
    </row>
    <row r="2253" customFormat="false" ht="15" hidden="false" customHeight="false" outlineLevel="0" collapsed="false">
      <c r="A2253" s="7" t="s">
        <v>2689</v>
      </c>
      <c r="B2253" s="7" t="s">
        <v>46</v>
      </c>
      <c r="C2253" s="7" t="s">
        <v>128</v>
      </c>
      <c r="D2253" s="7" t="s">
        <v>101</v>
      </c>
      <c r="E2253" s="7" t="s">
        <v>102</v>
      </c>
      <c r="F2253" s="7" t="s">
        <v>50</v>
      </c>
      <c r="G2253" s="7" t="s">
        <v>19</v>
      </c>
      <c r="H2253" s="9" t="n">
        <v>46068</v>
      </c>
      <c r="I2253" s="9" t="n">
        <v>46078</v>
      </c>
      <c r="J2253" s="7" t="n">
        <v>10</v>
      </c>
      <c r="K2253" s="7" t="s">
        <v>2628</v>
      </c>
      <c r="L2253" s="7" t="s">
        <v>21</v>
      </c>
      <c r="M2253" s="7" t="s">
        <v>2692</v>
      </c>
      <c r="N2253" s="7" t="s">
        <v>58</v>
      </c>
      <c r="O2253" s="10" t="n">
        <f aca="false">'Exec Summary'!$E$2-H2253</f>
        <v>166</v>
      </c>
      <c r="P2253" s="10" t="n">
        <f aca="false">IF(I2253="","",I2253-H2253)</f>
        <v>10</v>
      </c>
      <c r="Q2253" s="10" t="n">
        <f aca="false">VLOOKUP(G2253,$AA$2:$AB$5,2,FALSE())</f>
        <v>15</v>
      </c>
      <c r="R2253" s="7" t="n">
        <f aca="false">IF(OR(F2253="Open",F2253="Reopened"),1,0)</f>
        <v>0</v>
      </c>
      <c r="S2253" s="7" t="n">
        <f aca="false">IF(AND(H2253&gt;='Exec Summary'!$E$1,H2253&lt;='Exec Summary'!$E$2),1,0)</f>
        <v>0</v>
      </c>
      <c r="T2253" s="7" t="n">
        <f aca="false">IF(AND(F2253="Closed",I2253&lt;&gt;"",I2253&gt;='Exec Summary'!$E$1,I2253&lt;='Exec Summary'!$E$2),1,0)</f>
        <v>0</v>
      </c>
      <c r="U2253" s="7" t="n">
        <f aca="false">IF(F2253="Reopened",1,0)</f>
        <v>0</v>
      </c>
      <c r="V2253" s="7" t="n">
        <f aca="false">IF(AND(R2253=1,O2253&gt;Q2253),1,0)</f>
        <v>0</v>
      </c>
      <c r="W2253" s="7" t="n">
        <f aca="false">IF(AND(T2253=1,P2253&lt;&gt;"",P2253&lt;=Q2253),1,0)</f>
        <v>0</v>
      </c>
    </row>
    <row r="2254" customFormat="false" ht="15" hidden="false" customHeight="false" outlineLevel="0" collapsed="false">
      <c r="A2254" s="7" t="s">
        <v>2689</v>
      </c>
      <c r="B2254" s="7" t="s">
        <v>46</v>
      </c>
      <c r="C2254" s="7" t="s">
        <v>128</v>
      </c>
      <c r="D2254" s="7" t="s">
        <v>87</v>
      </c>
      <c r="E2254" s="7" t="s">
        <v>88</v>
      </c>
      <c r="F2254" s="7" t="s">
        <v>50</v>
      </c>
      <c r="G2254" s="7" t="s">
        <v>19</v>
      </c>
      <c r="H2254" s="9" t="n">
        <v>46097</v>
      </c>
      <c r="I2254" s="9" t="n">
        <v>46117</v>
      </c>
      <c r="J2254" s="7" t="n">
        <v>10</v>
      </c>
      <c r="K2254" s="7" t="s">
        <v>2628</v>
      </c>
      <c r="L2254" s="7" t="s">
        <v>21</v>
      </c>
      <c r="M2254" s="7" t="s">
        <v>2693</v>
      </c>
      <c r="N2254" s="7" t="s">
        <v>58</v>
      </c>
      <c r="O2254" s="10" t="n">
        <f aca="false">'Exec Summary'!$E$2-H2254</f>
        <v>137</v>
      </c>
      <c r="P2254" s="10" t="n">
        <f aca="false">IF(I2254="","",I2254-H2254)</f>
        <v>20</v>
      </c>
      <c r="Q2254" s="10" t="n">
        <f aca="false">VLOOKUP(G2254,$AA$2:$AB$5,2,FALSE())</f>
        <v>15</v>
      </c>
      <c r="R2254" s="7" t="n">
        <f aca="false">IF(OR(F2254="Open",F2254="Reopened"),1,0)</f>
        <v>0</v>
      </c>
      <c r="S2254" s="7" t="n">
        <f aca="false">IF(AND(H2254&gt;='Exec Summary'!$E$1,H2254&lt;='Exec Summary'!$E$2),1,0)</f>
        <v>0</v>
      </c>
      <c r="T2254" s="7" t="n">
        <f aca="false">IF(AND(F2254="Closed",I2254&lt;&gt;"",I2254&gt;='Exec Summary'!$E$1,I2254&lt;='Exec Summary'!$E$2),1,0)</f>
        <v>0</v>
      </c>
      <c r="U2254" s="7" t="n">
        <f aca="false">IF(F2254="Reopened",1,0)</f>
        <v>0</v>
      </c>
      <c r="V2254" s="7" t="n">
        <f aca="false">IF(AND(R2254=1,O2254&gt;Q2254),1,0)</f>
        <v>0</v>
      </c>
      <c r="W2254" s="7" t="n">
        <f aca="false">IF(AND(T2254=1,P2254&lt;&gt;"",P2254&lt;=Q2254),1,0)</f>
        <v>0</v>
      </c>
    </row>
    <row r="2255" customFormat="false" ht="15" hidden="false" customHeight="false" outlineLevel="0" collapsed="false">
      <c r="A2255" s="7" t="s">
        <v>2689</v>
      </c>
      <c r="B2255" s="7" t="s">
        <v>46</v>
      </c>
      <c r="C2255" s="7" t="s">
        <v>128</v>
      </c>
      <c r="D2255" s="7" t="s">
        <v>54</v>
      </c>
      <c r="E2255" s="7" t="s">
        <v>55</v>
      </c>
      <c r="F2255" s="7" t="s">
        <v>123</v>
      </c>
      <c r="G2255" s="7" t="s">
        <v>19</v>
      </c>
      <c r="H2255" s="9" t="n">
        <v>46209</v>
      </c>
      <c r="I2255" s="9" t="n">
        <v>46225</v>
      </c>
      <c r="J2255" s="7" t="n">
        <v>9.8</v>
      </c>
      <c r="K2255" s="7" t="s">
        <v>2628</v>
      </c>
      <c r="L2255" s="7" t="s">
        <v>21</v>
      </c>
      <c r="M2255" s="7" t="s">
        <v>2694</v>
      </c>
      <c r="N2255" s="7" t="s">
        <v>58</v>
      </c>
      <c r="O2255" s="10" t="n">
        <f aca="false">'Exec Summary'!$E$2-H2255</f>
        <v>25</v>
      </c>
      <c r="P2255" s="10" t="n">
        <f aca="false">IF(I2255="","",I2255-H2255)</f>
        <v>16</v>
      </c>
      <c r="Q2255" s="10" t="n">
        <f aca="false">VLOOKUP(G2255,$AA$2:$AB$5,2,FALSE())</f>
        <v>15</v>
      </c>
      <c r="R2255" s="7" t="n">
        <f aca="false">IF(OR(F2255="Open",F2255="Reopened"),1,0)</f>
        <v>1</v>
      </c>
      <c r="S2255" s="7" t="n">
        <f aca="false">IF(AND(H2255&gt;='Exec Summary'!$E$1,H2255&lt;='Exec Summary'!$E$2),1,0)</f>
        <v>1</v>
      </c>
      <c r="T2255" s="7" t="n">
        <f aca="false">IF(AND(F2255="Closed",I2255&lt;&gt;"",I2255&gt;='Exec Summary'!$E$1,I2255&lt;='Exec Summary'!$E$2),1,0)</f>
        <v>0</v>
      </c>
      <c r="U2255" s="7" t="n">
        <f aca="false">IF(F2255="Reopened",1,0)</f>
        <v>1</v>
      </c>
      <c r="V2255" s="7" t="n">
        <f aca="false">IF(AND(R2255=1,O2255&gt;Q2255),1,0)</f>
        <v>1</v>
      </c>
      <c r="W2255" s="7" t="n">
        <f aca="false">IF(AND(T2255=1,P2255&lt;&gt;"",P2255&lt;=Q2255),1,0)</f>
        <v>0</v>
      </c>
    </row>
    <row r="2256" customFormat="false" ht="15" hidden="false" customHeight="false" outlineLevel="0" collapsed="false">
      <c r="A2256" s="7" t="s">
        <v>2689</v>
      </c>
      <c r="B2256" s="7" t="s">
        <v>46</v>
      </c>
      <c r="C2256" s="7" t="s">
        <v>128</v>
      </c>
      <c r="D2256" s="7" t="s">
        <v>81</v>
      </c>
      <c r="E2256" s="7" t="s">
        <v>82</v>
      </c>
      <c r="F2256" s="7" t="s">
        <v>50</v>
      </c>
      <c r="G2256" s="7" t="s">
        <v>20</v>
      </c>
      <c r="H2256" s="9" t="n">
        <v>46177</v>
      </c>
      <c r="I2256" s="9" t="n">
        <v>46219</v>
      </c>
      <c r="J2256" s="7" t="n">
        <v>7.8</v>
      </c>
      <c r="K2256" s="7" t="s">
        <v>2628</v>
      </c>
      <c r="L2256" s="7" t="s">
        <v>21</v>
      </c>
      <c r="M2256" s="7" t="s">
        <v>2695</v>
      </c>
      <c r="N2256" s="7" t="s">
        <v>53</v>
      </c>
      <c r="O2256" s="10" t="n">
        <f aca="false">'Exec Summary'!$E$2-H2256</f>
        <v>57</v>
      </c>
      <c r="P2256" s="10" t="n">
        <f aca="false">IF(I2256="","",I2256-H2256)</f>
        <v>42</v>
      </c>
      <c r="Q2256" s="10" t="n">
        <f aca="false">VLOOKUP(G2256,$AA$2:$AB$5,2,FALSE())</f>
        <v>30</v>
      </c>
      <c r="R2256" s="7" t="n">
        <f aca="false">IF(OR(F2256="Open",F2256="Reopened"),1,0)</f>
        <v>0</v>
      </c>
      <c r="S2256" s="7" t="n">
        <f aca="false">IF(AND(H2256&gt;='Exec Summary'!$E$1,H2256&lt;='Exec Summary'!$E$2),1,0)</f>
        <v>0</v>
      </c>
      <c r="T2256" s="7" t="n">
        <f aca="false">IF(AND(F2256="Closed",I2256&lt;&gt;"",I2256&gt;='Exec Summary'!$E$1,I2256&lt;='Exec Summary'!$E$2),1,0)</f>
        <v>1</v>
      </c>
      <c r="U2256" s="7" t="n">
        <f aca="false">IF(F2256="Reopened",1,0)</f>
        <v>0</v>
      </c>
      <c r="V2256" s="7" t="n">
        <f aca="false">IF(AND(R2256=1,O2256&gt;Q2256),1,0)</f>
        <v>0</v>
      </c>
      <c r="W2256" s="7" t="n">
        <f aca="false">IF(AND(T2256=1,P2256&lt;&gt;"",P2256&lt;=Q2256),1,0)</f>
        <v>0</v>
      </c>
    </row>
    <row r="2257" customFormat="false" ht="15" hidden="false" customHeight="false" outlineLevel="0" collapsed="false">
      <c r="A2257" s="7" t="s">
        <v>2689</v>
      </c>
      <c r="B2257" s="7" t="s">
        <v>46</v>
      </c>
      <c r="C2257" s="7" t="s">
        <v>128</v>
      </c>
      <c r="D2257" s="7" t="s">
        <v>65</v>
      </c>
      <c r="E2257" s="7" t="s">
        <v>66</v>
      </c>
      <c r="F2257" s="7" t="s">
        <v>56</v>
      </c>
      <c r="G2257" s="7" t="s">
        <v>19</v>
      </c>
      <c r="H2257" s="9" t="n">
        <v>46217</v>
      </c>
      <c r="I2257" s="9"/>
      <c r="J2257" s="7" t="n">
        <v>9.8</v>
      </c>
      <c r="K2257" s="7" t="s">
        <v>2628</v>
      </c>
      <c r="L2257" s="7" t="s">
        <v>21</v>
      </c>
      <c r="M2257" s="7" t="s">
        <v>2696</v>
      </c>
      <c r="N2257" s="7" t="s">
        <v>58</v>
      </c>
      <c r="O2257" s="10" t="n">
        <f aca="false">'Exec Summary'!$E$2-H2257</f>
        <v>17</v>
      </c>
      <c r="P2257" s="10" t="str">
        <f aca="false">IF(I2257="","",I2257-H2257)</f>
        <v/>
      </c>
      <c r="Q2257" s="10" t="n">
        <f aca="false">VLOOKUP(G2257,$AA$2:$AB$5,2,FALSE())</f>
        <v>15</v>
      </c>
      <c r="R2257" s="7" t="n">
        <f aca="false">IF(OR(F2257="Open",F2257="Reopened"),1,0)</f>
        <v>1</v>
      </c>
      <c r="S2257" s="7" t="n">
        <f aca="false">IF(AND(H2257&gt;='Exec Summary'!$E$1,H2257&lt;='Exec Summary'!$E$2),1,0)</f>
        <v>1</v>
      </c>
      <c r="T2257" s="7" t="n">
        <f aca="false">IF(AND(F2257="Closed",I2257&lt;&gt;"",I2257&gt;='Exec Summary'!$E$1,I2257&lt;='Exec Summary'!$E$2),1,0)</f>
        <v>0</v>
      </c>
      <c r="U2257" s="7" t="n">
        <f aca="false">IF(F2257="Reopened",1,0)</f>
        <v>0</v>
      </c>
      <c r="V2257" s="7" t="n">
        <f aca="false">IF(AND(R2257=1,O2257&gt;Q2257),1,0)</f>
        <v>1</v>
      </c>
      <c r="W2257" s="7" t="n">
        <f aca="false">IF(AND(T2257=1,P2257&lt;&gt;"",P2257&lt;=Q2257),1,0)</f>
        <v>0</v>
      </c>
    </row>
    <row r="2258" customFormat="false" ht="15" hidden="false" customHeight="false" outlineLevel="0" collapsed="false">
      <c r="A2258" s="7" t="s">
        <v>2689</v>
      </c>
      <c r="B2258" s="7" t="s">
        <v>46</v>
      </c>
      <c r="C2258" s="7" t="s">
        <v>128</v>
      </c>
      <c r="D2258" s="7" t="s">
        <v>139</v>
      </c>
      <c r="E2258" s="7" t="s">
        <v>140</v>
      </c>
      <c r="F2258" s="7" t="s">
        <v>50</v>
      </c>
      <c r="G2258" s="7" t="s">
        <v>19</v>
      </c>
      <c r="H2258" s="9" t="n">
        <v>46172</v>
      </c>
      <c r="I2258" s="9" t="n">
        <v>46190</v>
      </c>
      <c r="J2258" s="7" t="n">
        <v>9.8</v>
      </c>
      <c r="K2258" s="7" t="s">
        <v>2628</v>
      </c>
      <c r="L2258" s="7" t="s">
        <v>21</v>
      </c>
      <c r="M2258" s="7" t="s">
        <v>2697</v>
      </c>
      <c r="N2258" s="7" t="s">
        <v>58</v>
      </c>
      <c r="O2258" s="10" t="n">
        <f aca="false">'Exec Summary'!$E$2-H2258</f>
        <v>62</v>
      </c>
      <c r="P2258" s="10" t="n">
        <f aca="false">IF(I2258="","",I2258-H2258)</f>
        <v>18</v>
      </c>
      <c r="Q2258" s="10" t="n">
        <f aca="false">VLOOKUP(G2258,$AA$2:$AB$5,2,FALSE())</f>
        <v>15</v>
      </c>
      <c r="R2258" s="7" t="n">
        <f aca="false">IF(OR(F2258="Open",F2258="Reopened"),1,0)</f>
        <v>0</v>
      </c>
      <c r="S2258" s="7" t="n">
        <f aca="false">IF(AND(H2258&gt;='Exec Summary'!$E$1,H2258&lt;='Exec Summary'!$E$2),1,0)</f>
        <v>0</v>
      </c>
      <c r="T2258" s="7" t="n">
        <f aca="false">IF(AND(F2258="Closed",I2258&lt;&gt;"",I2258&gt;='Exec Summary'!$E$1,I2258&lt;='Exec Summary'!$E$2),1,0)</f>
        <v>0</v>
      </c>
      <c r="U2258" s="7" t="n">
        <f aca="false">IF(F2258="Reopened",1,0)</f>
        <v>0</v>
      </c>
      <c r="V2258" s="7" t="n">
        <f aca="false">IF(AND(R2258=1,O2258&gt;Q2258),1,0)</f>
        <v>0</v>
      </c>
      <c r="W2258" s="7" t="n">
        <f aca="false">IF(AND(T2258=1,P2258&lt;&gt;"",P2258&lt;=Q2258),1,0)</f>
        <v>0</v>
      </c>
    </row>
    <row r="2259" customFormat="false" ht="15" hidden="false" customHeight="false" outlineLevel="0" collapsed="false">
      <c r="A2259" s="7" t="s">
        <v>2689</v>
      </c>
      <c r="B2259" s="7" t="s">
        <v>46</v>
      </c>
      <c r="C2259" s="7" t="s">
        <v>128</v>
      </c>
      <c r="D2259" s="7" t="s">
        <v>112</v>
      </c>
      <c r="E2259" s="7" t="s">
        <v>113</v>
      </c>
      <c r="F2259" s="7" t="s">
        <v>50</v>
      </c>
      <c r="G2259" s="7" t="s">
        <v>20</v>
      </c>
      <c r="H2259" s="9" t="n">
        <v>46158</v>
      </c>
      <c r="I2259" s="9" t="n">
        <v>46159</v>
      </c>
      <c r="J2259" s="7" t="n">
        <v>7.8</v>
      </c>
      <c r="K2259" s="7" t="s">
        <v>2628</v>
      </c>
      <c r="L2259" s="7" t="s">
        <v>21</v>
      </c>
      <c r="M2259" s="7" t="s">
        <v>2698</v>
      </c>
      <c r="N2259" s="7" t="s">
        <v>53</v>
      </c>
      <c r="O2259" s="10" t="n">
        <f aca="false">'Exec Summary'!$E$2-H2259</f>
        <v>76</v>
      </c>
      <c r="P2259" s="10" t="n">
        <f aca="false">IF(I2259="","",I2259-H2259)</f>
        <v>1</v>
      </c>
      <c r="Q2259" s="10" t="n">
        <f aca="false">VLOOKUP(G2259,$AA$2:$AB$5,2,FALSE())</f>
        <v>30</v>
      </c>
      <c r="R2259" s="7" t="n">
        <f aca="false">IF(OR(F2259="Open",F2259="Reopened"),1,0)</f>
        <v>0</v>
      </c>
      <c r="S2259" s="7" t="n">
        <f aca="false">IF(AND(H2259&gt;='Exec Summary'!$E$1,H2259&lt;='Exec Summary'!$E$2),1,0)</f>
        <v>0</v>
      </c>
      <c r="T2259" s="7" t="n">
        <f aca="false">IF(AND(F2259="Closed",I2259&lt;&gt;"",I2259&gt;='Exec Summary'!$E$1,I2259&lt;='Exec Summary'!$E$2),1,0)</f>
        <v>0</v>
      </c>
      <c r="U2259" s="7" t="n">
        <f aca="false">IF(F2259="Reopened",1,0)</f>
        <v>0</v>
      </c>
      <c r="V2259" s="7" t="n">
        <f aca="false">IF(AND(R2259=1,O2259&gt;Q2259),1,0)</f>
        <v>0</v>
      </c>
      <c r="W2259" s="7" t="n">
        <f aca="false">IF(AND(T2259=1,P2259&lt;&gt;"",P2259&lt;=Q2259),1,0)</f>
        <v>0</v>
      </c>
    </row>
    <row r="2260" customFormat="false" ht="15" hidden="false" customHeight="false" outlineLevel="0" collapsed="false">
      <c r="A2260" s="7" t="s">
        <v>2689</v>
      </c>
      <c r="B2260" s="7" t="s">
        <v>46</v>
      </c>
      <c r="C2260" s="7" t="s">
        <v>128</v>
      </c>
      <c r="D2260" s="7" t="s">
        <v>62</v>
      </c>
      <c r="E2260" s="7" t="s">
        <v>63</v>
      </c>
      <c r="F2260" s="7" t="s">
        <v>56</v>
      </c>
      <c r="G2260" s="7" t="s">
        <v>20</v>
      </c>
      <c r="H2260" s="9" t="n">
        <v>46220</v>
      </c>
      <c r="I2260" s="9"/>
      <c r="J2260" s="7" t="n">
        <v>8.1</v>
      </c>
      <c r="K2260" s="7" t="s">
        <v>2628</v>
      </c>
      <c r="L2260" s="7" t="s">
        <v>21</v>
      </c>
      <c r="M2260" s="7" t="s">
        <v>2699</v>
      </c>
      <c r="N2260" s="7" t="s">
        <v>53</v>
      </c>
      <c r="O2260" s="10" t="n">
        <f aca="false">'Exec Summary'!$E$2-H2260</f>
        <v>14</v>
      </c>
      <c r="P2260" s="10" t="str">
        <f aca="false">IF(I2260="","",I2260-H2260)</f>
        <v/>
      </c>
      <c r="Q2260" s="10" t="n">
        <f aca="false">VLOOKUP(G2260,$AA$2:$AB$5,2,FALSE())</f>
        <v>30</v>
      </c>
      <c r="R2260" s="7" t="n">
        <f aca="false">IF(OR(F2260="Open",F2260="Reopened"),1,0)</f>
        <v>1</v>
      </c>
      <c r="S2260" s="7" t="n">
        <f aca="false">IF(AND(H2260&gt;='Exec Summary'!$E$1,H2260&lt;='Exec Summary'!$E$2),1,0)</f>
        <v>1</v>
      </c>
      <c r="T2260" s="7" t="n">
        <f aca="false">IF(AND(F2260="Closed",I2260&lt;&gt;"",I2260&gt;='Exec Summary'!$E$1,I2260&lt;='Exec Summary'!$E$2),1,0)</f>
        <v>0</v>
      </c>
      <c r="U2260" s="7" t="n">
        <f aca="false">IF(F2260="Reopened",1,0)</f>
        <v>0</v>
      </c>
      <c r="V2260" s="7" t="n">
        <f aca="false">IF(AND(R2260=1,O2260&gt;Q2260),1,0)</f>
        <v>0</v>
      </c>
      <c r="W2260" s="7" t="n">
        <f aca="false">IF(AND(T2260=1,P2260&lt;&gt;"",P2260&lt;=Q2260),1,0)</f>
        <v>0</v>
      </c>
    </row>
    <row r="2261" customFormat="false" ht="15" hidden="false" customHeight="false" outlineLevel="0" collapsed="false">
      <c r="A2261" s="7" t="s">
        <v>2689</v>
      </c>
      <c r="B2261" s="7" t="s">
        <v>46</v>
      </c>
      <c r="C2261" s="7" t="s">
        <v>128</v>
      </c>
      <c r="D2261" s="7" t="s">
        <v>91</v>
      </c>
      <c r="E2261" s="7" t="s">
        <v>92</v>
      </c>
      <c r="F2261" s="7" t="s">
        <v>56</v>
      </c>
      <c r="G2261" s="7" t="s">
        <v>20</v>
      </c>
      <c r="H2261" s="9" t="n">
        <v>46178</v>
      </c>
      <c r="I2261" s="9"/>
      <c r="J2261" s="7" t="n">
        <v>8.1</v>
      </c>
      <c r="K2261" s="7" t="s">
        <v>2628</v>
      </c>
      <c r="L2261" s="7" t="s">
        <v>21</v>
      </c>
      <c r="M2261" s="7" t="s">
        <v>2700</v>
      </c>
      <c r="N2261" s="7" t="s">
        <v>53</v>
      </c>
      <c r="O2261" s="10" t="n">
        <f aca="false">'Exec Summary'!$E$2-H2261</f>
        <v>56</v>
      </c>
      <c r="P2261" s="10" t="str">
        <f aca="false">IF(I2261="","",I2261-H2261)</f>
        <v/>
      </c>
      <c r="Q2261" s="10" t="n">
        <f aca="false">VLOOKUP(G2261,$AA$2:$AB$5,2,FALSE())</f>
        <v>30</v>
      </c>
      <c r="R2261" s="7" t="n">
        <f aca="false">IF(OR(F2261="Open",F2261="Reopened"),1,0)</f>
        <v>1</v>
      </c>
      <c r="S2261" s="7" t="n">
        <f aca="false">IF(AND(H2261&gt;='Exec Summary'!$E$1,H2261&lt;='Exec Summary'!$E$2),1,0)</f>
        <v>0</v>
      </c>
      <c r="T2261" s="7" t="n">
        <f aca="false">IF(AND(F2261="Closed",I2261&lt;&gt;"",I2261&gt;='Exec Summary'!$E$1,I2261&lt;='Exec Summary'!$E$2),1,0)</f>
        <v>0</v>
      </c>
      <c r="U2261" s="7" t="n">
        <f aca="false">IF(F2261="Reopened",1,0)</f>
        <v>0</v>
      </c>
      <c r="V2261" s="7" t="n">
        <f aca="false">IF(AND(R2261=1,O2261&gt;Q2261),1,0)</f>
        <v>1</v>
      </c>
      <c r="W2261" s="7" t="n">
        <f aca="false">IF(AND(T2261=1,P2261&lt;&gt;"",P2261&lt;=Q2261),1,0)</f>
        <v>0</v>
      </c>
    </row>
    <row r="2262" customFormat="false" ht="15" hidden="false" customHeight="false" outlineLevel="0" collapsed="false">
      <c r="A2262" s="7" t="s">
        <v>2689</v>
      </c>
      <c r="B2262" s="7" t="s">
        <v>46</v>
      </c>
      <c r="C2262" s="7" t="s">
        <v>128</v>
      </c>
      <c r="D2262" s="7" t="s">
        <v>206</v>
      </c>
      <c r="E2262" s="7" t="s">
        <v>207</v>
      </c>
      <c r="F2262" s="7" t="s">
        <v>56</v>
      </c>
      <c r="G2262" s="7" t="s">
        <v>20</v>
      </c>
      <c r="H2262" s="9" t="n">
        <v>45966</v>
      </c>
      <c r="I2262" s="9"/>
      <c r="J2262" s="7" t="n">
        <v>8.8</v>
      </c>
      <c r="K2262" s="7" t="s">
        <v>2628</v>
      </c>
      <c r="L2262" s="7" t="s">
        <v>21</v>
      </c>
      <c r="M2262" s="7" t="s">
        <v>2701</v>
      </c>
      <c r="N2262" s="7" t="s">
        <v>53</v>
      </c>
      <c r="O2262" s="10" t="n">
        <f aca="false">'Exec Summary'!$E$2-H2262</f>
        <v>268</v>
      </c>
      <c r="P2262" s="10" t="str">
        <f aca="false">IF(I2262="","",I2262-H2262)</f>
        <v/>
      </c>
      <c r="Q2262" s="10" t="n">
        <f aca="false">VLOOKUP(G2262,$AA$2:$AB$5,2,FALSE())</f>
        <v>30</v>
      </c>
      <c r="R2262" s="7" t="n">
        <f aca="false">IF(OR(F2262="Open",F2262="Reopened"),1,0)</f>
        <v>1</v>
      </c>
      <c r="S2262" s="7" t="n">
        <f aca="false">IF(AND(H2262&gt;='Exec Summary'!$E$1,H2262&lt;='Exec Summary'!$E$2),1,0)</f>
        <v>0</v>
      </c>
      <c r="T2262" s="7" t="n">
        <f aca="false">IF(AND(F2262="Closed",I2262&lt;&gt;"",I2262&gt;='Exec Summary'!$E$1,I2262&lt;='Exec Summary'!$E$2),1,0)</f>
        <v>0</v>
      </c>
      <c r="U2262" s="7" t="n">
        <f aca="false">IF(F2262="Reopened",1,0)</f>
        <v>0</v>
      </c>
      <c r="V2262" s="7" t="n">
        <f aca="false">IF(AND(R2262=1,O2262&gt;Q2262),1,0)</f>
        <v>1</v>
      </c>
      <c r="W2262" s="7" t="n">
        <f aca="false">IF(AND(T2262=1,P2262&lt;&gt;"",P2262&lt;=Q2262),1,0)</f>
        <v>0</v>
      </c>
    </row>
    <row r="2263" customFormat="false" ht="15" hidden="false" customHeight="false" outlineLevel="0" collapsed="false">
      <c r="A2263" s="7" t="s">
        <v>2689</v>
      </c>
      <c r="B2263" s="7" t="s">
        <v>46</v>
      </c>
      <c r="C2263" s="7" t="s">
        <v>128</v>
      </c>
      <c r="D2263" s="7" t="s">
        <v>74</v>
      </c>
      <c r="E2263" s="7" t="s">
        <v>75</v>
      </c>
      <c r="F2263" s="7" t="s">
        <v>50</v>
      </c>
      <c r="G2263" s="7" t="s">
        <v>21</v>
      </c>
      <c r="H2263" s="9" t="n">
        <v>46075</v>
      </c>
      <c r="I2263" s="9" t="n">
        <v>46181</v>
      </c>
      <c r="J2263" s="7" t="n">
        <v>6.5</v>
      </c>
      <c r="K2263" s="7" t="s">
        <v>2628</v>
      </c>
      <c r="L2263" s="7" t="s">
        <v>21</v>
      </c>
      <c r="M2263" s="7" t="s">
        <v>2702</v>
      </c>
      <c r="N2263" s="7" t="s">
        <v>77</v>
      </c>
      <c r="O2263" s="10" t="n">
        <f aca="false">'Exec Summary'!$E$2-H2263</f>
        <v>159</v>
      </c>
      <c r="P2263" s="10" t="n">
        <f aca="false">IF(I2263="","",I2263-H2263)</f>
        <v>106</v>
      </c>
      <c r="Q2263" s="10" t="n">
        <f aca="false">VLOOKUP(G2263,$AA$2:$AB$5,2,FALSE())</f>
        <v>90</v>
      </c>
      <c r="R2263" s="7" t="n">
        <f aca="false">IF(OR(F2263="Open",F2263="Reopened"),1,0)</f>
        <v>0</v>
      </c>
      <c r="S2263" s="7" t="n">
        <f aca="false">IF(AND(H2263&gt;='Exec Summary'!$E$1,H2263&lt;='Exec Summary'!$E$2),1,0)</f>
        <v>0</v>
      </c>
      <c r="T2263" s="7" t="n">
        <f aca="false">IF(AND(F2263="Closed",I2263&lt;&gt;"",I2263&gt;='Exec Summary'!$E$1,I2263&lt;='Exec Summary'!$E$2),1,0)</f>
        <v>0</v>
      </c>
      <c r="U2263" s="7" t="n">
        <f aca="false">IF(F2263="Reopened",1,0)</f>
        <v>0</v>
      </c>
      <c r="V2263" s="7" t="n">
        <f aca="false">IF(AND(R2263=1,O2263&gt;Q2263),1,0)</f>
        <v>0</v>
      </c>
      <c r="W2263" s="7" t="n">
        <f aca="false">IF(AND(T2263=1,P2263&lt;&gt;"",P2263&lt;=Q2263),1,0)</f>
        <v>0</v>
      </c>
    </row>
    <row r="2264" customFormat="false" ht="15" hidden="false" customHeight="false" outlineLevel="0" collapsed="false">
      <c r="A2264" s="7" t="s">
        <v>2703</v>
      </c>
      <c r="B2264" s="7" t="s">
        <v>46</v>
      </c>
      <c r="C2264" s="7" t="s">
        <v>177</v>
      </c>
      <c r="D2264" s="7" t="s">
        <v>98</v>
      </c>
      <c r="E2264" s="7" t="s">
        <v>99</v>
      </c>
      <c r="F2264" s="7" t="s">
        <v>50</v>
      </c>
      <c r="G2264" s="7" t="s">
        <v>19</v>
      </c>
      <c r="H2264" s="9" t="n">
        <v>46089</v>
      </c>
      <c r="I2264" s="9" t="n">
        <v>46090</v>
      </c>
      <c r="J2264" s="7" t="n">
        <v>10</v>
      </c>
      <c r="K2264" s="7" t="s">
        <v>2628</v>
      </c>
      <c r="L2264" s="7" t="s">
        <v>21</v>
      </c>
      <c r="M2264" s="7" t="s">
        <v>2704</v>
      </c>
      <c r="N2264" s="7" t="s">
        <v>58</v>
      </c>
      <c r="O2264" s="10" t="n">
        <f aca="false">'Exec Summary'!$E$2-H2264</f>
        <v>145</v>
      </c>
      <c r="P2264" s="10" t="n">
        <f aca="false">IF(I2264="","",I2264-H2264)</f>
        <v>1</v>
      </c>
      <c r="Q2264" s="10" t="n">
        <f aca="false">VLOOKUP(G2264,$AA$2:$AB$5,2,FALSE())</f>
        <v>15</v>
      </c>
      <c r="R2264" s="7" t="n">
        <f aca="false">IF(OR(F2264="Open",F2264="Reopened"),1,0)</f>
        <v>0</v>
      </c>
      <c r="S2264" s="7" t="n">
        <f aca="false">IF(AND(H2264&gt;='Exec Summary'!$E$1,H2264&lt;='Exec Summary'!$E$2),1,0)</f>
        <v>0</v>
      </c>
      <c r="T2264" s="7" t="n">
        <f aca="false">IF(AND(F2264="Closed",I2264&lt;&gt;"",I2264&gt;='Exec Summary'!$E$1,I2264&lt;='Exec Summary'!$E$2),1,0)</f>
        <v>0</v>
      </c>
      <c r="U2264" s="7" t="n">
        <f aca="false">IF(F2264="Reopened",1,0)</f>
        <v>0</v>
      </c>
      <c r="V2264" s="7" t="n">
        <f aca="false">IF(AND(R2264=1,O2264&gt;Q2264),1,0)</f>
        <v>0</v>
      </c>
      <c r="W2264" s="7" t="n">
        <f aca="false">IF(AND(T2264=1,P2264&lt;&gt;"",P2264&lt;=Q2264),1,0)</f>
        <v>0</v>
      </c>
    </row>
    <row r="2265" customFormat="false" ht="15" hidden="false" customHeight="false" outlineLevel="0" collapsed="false">
      <c r="A2265" s="7" t="s">
        <v>2703</v>
      </c>
      <c r="B2265" s="7" t="s">
        <v>46</v>
      </c>
      <c r="C2265" s="7" t="s">
        <v>177</v>
      </c>
      <c r="D2265" s="7" t="s">
        <v>117</v>
      </c>
      <c r="E2265" s="7" t="s">
        <v>118</v>
      </c>
      <c r="F2265" s="7" t="s">
        <v>56</v>
      </c>
      <c r="G2265" s="7" t="s">
        <v>19</v>
      </c>
      <c r="H2265" s="9" t="n">
        <v>46210</v>
      </c>
      <c r="I2265" s="9"/>
      <c r="J2265" s="7" t="n">
        <v>10</v>
      </c>
      <c r="K2265" s="7" t="s">
        <v>2628</v>
      </c>
      <c r="L2265" s="7" t="s">
        <v>21</v>
      </c>
      <c r="M2265" s="7" t="s">
        <v>2705</v>
      </c>
      <c r="N2265" s="7" t="s">
        <v>58</v>
      </c>
      <c r="O2265" s="10" t="n">
        <f aca="false">'Exec Summary'!$E$2-H2265</f>
        <v>24</v>
      </c>
      <c r="P2265" s="10" t="str">
        <f aca="false">IF(I2265="","",I2265-H2265)</f>
        <v/>
      </c>
      <c r="Q2265" s="10" t="n">
        <f aca="false">VLOOKUP(G2265,$AA$2:$AB$5,2,FALSE())</f>
        <v>15</v>
      </c>
      <c r="R2265" s="7" t="n">
        <f aca="false">IF(OR(F2265="Open",F2265="Reopened"),1,0)</f>
        <v>1</v>
      </c>
      <c r="S2265" s="7" t="n">
        <f aca="false">IF(AND(H2265&gt;='Exec Summary'!$E$1,H2265&lt;='Exec Summary'!$E$2),1,0)</f>
        <v>1</v>
      </c>
      <c r="T2265" s="7" t="n">
        <f aca="false">IF(AND(F2265="Closed",I2265&lt;&gt;"",I2265&gt;='Exec Summary'!$E$1,I2265&lt;='Exec Summary'!$E$2),1,0)</f>
        <v>0</v>
      </c>
      <c r="U2265" s="7" t="n">
        <f aca="false">IF(F2265="Reopened",1,0)</f>
        <v>0</v>
      </c>
      <c r="V2265" s="7" t="n">
        <f aca="false">IF(AND(R2265=1,O2265&gt;Q2265),1,0)</f>
        <v>1</v>
      </c>
      <c r="W2265" s="7" t="n">
        <f aca="false">IF(AND(T2265=1,P2265&lt;&gt;"",P2265&lt;=Q2265),1,0)</f>
        <v>0</v>
      </c>
    </row>
    <row r="2266" customFormat="false" ht="15" hidden="false" customHeight="false" outlineLevel="0" collapsed="false">
      <c r="A2266" s="7" t="s">
        <v>2703</v>
      </c>
      <c r="B2266" s="7" t="s">
        <v>46</v>
      </c>
      <c r="C2266" s="7" t="s">
        <v>177</v>
      </c>
      <c r="D2266" s="7" t="s">
        <v>112</v>
      </c>
      <c r="E2266" s="7" t="s">
        <v>113</v>
      </c>
      <c r="F2266" s="7" t="s">
        <v>56</v>
      </c>
      <c r="G2266" s="7" t="s">
        <v>20</v>
      </c>
      <c r="H2266" s="9" t="n">
        <v>45937</v>
      </c>
      <c r="I2266" s="9"/>
      <c r="J2266" s="7" t="n">
        <v>7.8</v>
      </c>
      <c r="K2266" s="7" t="s">
        <v>2628</v>
      </c>
      <c r="L2266" s="7" t="s">
        <v>21</v>
      </c>
      <c r="M2266" s="7" t="s">
        <v>2706</v>
      </c>
      <c r="N2266" s="7" t="s">
        <v>53</v>
      </c>
      <c r="O2266" s="10" t="n">
        <f aca="false">'Exec Summary'!$E$2-H2266</f>
        <v>297</v>
      </c>
      <c r="P2266" s="10" t="str">
        <f aca="false">IF(I2266="","",I2266-H2266)</f>
        <v/>
      </c>
      <c r="Q2266" s="10" t="n">
        <f aca="false">VLOOKUP(G2266,$AA$2:$AB$5,2,FALSE())</f>
        <v>30</v>
      </c>
      <c r="R2266" s="7" t="n">
        <f aca="false">IF(OR(F2266="Open",F2266="Reopened"),1,0)</f>
        <v>1</v>
      </c>
      <c r="S2266" s="7" t="n">
        <f aca="false">IF(AND(H2266&gt;='Exec Summary'!$E$1,H2266&lt;='Exec Summary'!$E$2),1,0)</f>
        <v>0</v>
      </c>
      <c r="T2266" s="7" t="n">
        <f aca="false">IF(AND(F2266="Closed",I2266&lt;&gt;"",I2266&gt;='Exec Summary'!$E$1,I2266&lt;='Exec Summary'!$E$2),1,0)</f>
        <v>0</v>
      </c>
      <c r="U2266" s="7" t="n">
        <f aca="false">IF(F2266="Reopened",1,0)</f>
        <v>0</v>
      </c>
      <c r="V2266" s="7" t="n">
        <f aca="false">IF(AND(R2266=1,O2266&gt;Q2266),1,0)</f>
        <v>1</v>
      </c>
      <c r="W2266" s="7" t="n">
        <f aca="false">IF(AND(T2266=1,P2266&lt;&gt;"",P2266&lt;=Q2266),1,0)</f>
        <v>0</v>
      </c>
    </row>
    <row r="2267" customFormat="false" ht="15" hidden="false" customHeight="false" outlineLevel="0" collapsed="false">
      <c r="A2267" s="7" t="s">
        <v>2703</v>
      </c>
      <c r="B2267" s="7" t="s">
        <v>46</v>
      </c>
      <c r="C2267" s="7" t="s">
        <v>177</v>
      </c>
      <c r="D2267" s="7" t="s">
        <v>87</v>
      </c>
      <c r="E2267" s="7" t="s">
        <v>88</v>
      </c>
      <c r="F2267" s="7" t="s">
        <v>56</v>
      </c>
      <c r="G2267" s="7" t="s">
        <v>19</v>
      </c>
      <c r="H2267" s="9" t="n">
        <v>46117</v>
      </c>
      <c r="I2267" s="9"/>
      <c r="J2267" s="7" t="n">
        <v>10</v>
      </c>
      <c r="K2267" s="7" t="s">
        <v>2628</v>
      </c>
      <c r="L2267" s="7" t="s">
        <v>21</v>
      </c>
      <c r="M2267" s="7" t="s">
        <v>2707</v>
      </c>
      <c r="N2267" s="7" t="s">
        <v>58</v>
      </c>
      <c r="O2267" s="10" t="n">
        <f aca="false">'Exec Summary'!$E$2-H2267</f>
        <v>117</v>
      </c>
      <c r="P2267" s="10" t="str">
        <f aca="false">IF(I2267="","",I2267-H2267)</f>
        <v/>
      </c>
      <c r="Q2267" s="10" t="n">
        <f aca="false">VLOOKUP(G2267,$AA$2:$AB$5,2,FALSE())</f>
        <v>15</v>
      </c>
      <c r="R2267" s="7" t="n">
        <f aca="false">IF(OR(F2267="Open",F2267="Reopened"),1,0)</f>
        <v>1</v>
      </c>
      <c r="S2267" s="7" t="n">
        <f aca="false">IF(AND(H2267&gt;='Exec Summary'!$E$1,H2267&lt;='Exec Summary'!$E$2),1,0)</f>
        <v>0</v>
      </c>
      <c r="T2267" s="7" t="n">
        <f aca="false">IF(AND(F2267="Closed",I2267&lt;&gt;"",I2267&gt;='Exec Summary'!$E$1,I2267&lt;='Exec Summary'!$E$2),1,0)</f>
        <v>0</v>
      </c>
      <c r="U2267" s="7" t="n">
        <f aca="false">IF(F2267="Reopened",1,0)</f>
        <v>0</v>
      </c>
      <c r="V2267" s="7" t="n">
        <f aca="false">IF(AND(R2267=1,O2267&gt;Q2267),1,0)</f>
        <v>1</v>
      </c>
      <c r="W2267" s="7" t="n">
        <f aca="false">IF(AND(T2267=1,P2267&lt;&gt;"",P2267&lt;=Q2267),1,0)</f>
        <v>0</v>
      </c>
    </row>
    <row r="2268" customFormat="false" ht="15" hidden="false" customHeight="false" outlineLevel="0" collapsed="false">
      <c r="A2268" s="7" t="s">
        <v>2703</v>
      </c>
      <c r="B2268" s="7" t="s">
        <v>46</v>
      </c>
      <c r="C2268" s="7" t="s">
        <v>177</v>
      </c>
      <c r="D2268" s="7" t="s">
        <v>91</v>
      </c>
      <c r="E2268" s="7" t="s">
        <v>92</v>
      </c>
      <c r="F2268" s="7" t="s">
        <v>50</v>
      </c>
      <c r="G2268" s="7" t="s">
        <v>20</v>
      </c>
      <c r="H2268" s="9" t="n">
        <v>45966</v>
      </c>
      <c r="I2268" s="9" t="n">
        <v>45976</v>
      </c>
      <c r="J2268" s="7" t="n">
        <v>8.1</v>
      </c>
      <c r="K2268" s="7" t="s">
        <v>2628</v>
      </c>
      <c r="L2268" s="7" t="s">
        <v>21</v>
      </c>
      <c r="M2268" s="7" t="s">
        <v>2708</v>
      </c>
      <c r="N2268" s="7" t="s">
        <v>53</v>
      </c>
      <c r="O2268" s="10" t="n">
        <f aca="false">'Exec Summary'!$E$2-H2268</f>
        <v>268</v>
      </c>
      <c r="P2268" s="10" t="n">
        <f aca="false">IF(I2268="","",I2268-H2268)</f>
        <v>10</v>
      </c>
      <c r="Q2268" s="10" t="n">
        <f aca="false">VLOOKUP(G2268,$AA$2:$AB$5,2,FALSE())</f>
        <v>30</v>
      </c>
      <c r="R2268" s="7" t="n">
        <f aca="false">IF(OR(F2268="Open",F2268="Reopened"),1,0)</f>
        <v>0</v>
      </c>
      <c r="S2268" s="7" t="n">
        <f aca="false">IF(AND(H2268&gt;='Exec Summary'!$E$1,H2268&lt;='Exec Summary'!$E$2),1,0)</f>
        <v>0</v>
      </c>
      <c r="T2268" s="7" t="n">
        <f aca="false">IF(AND(F2268="Closed",I2268&lt;&gt;"",I2268&gt;='Exec Summary'!$E$1,I2268&lt;='Exec Summary'!$E$2),1,0)</f>
        <v>0</v>
      </c>
      <c r="U2268" s="7" t="n">
        <f aca="false">IF(F2268="Reopened",1,0)</f>
        <v>0</v>
      </c>
      <c r="V2268" s="7" t="n">
        <f aca="false">IF(AND(R2268=1,O2268&gt;Q2268),1,0)</f>
        <v>0</v>
      </c>
      <c r="W2268" s="7" t="n">
        <f aca="false">IF(AND(T2268=1,P2268&lt;&gt;"",P2268&lt;=Q2268),1,0)</f>
        <v>0</v>
      </c>
    </row>
    <row r="2269" customFormat="false" ht="15" hidden="false" customHeight="false" outlineLevel="0" collapsed="false">
      <c r="A2269" s="7" t="s">
        <v>2703</v>
      </c>
      <c r="B2269" s="7" t="s">
        <v>46</v>
      </c>
      <c r="C2269" s="7" t="s">
        <v>177</v>
      </c>
      <c r="D2269" s="7" t="s">
        <v>173</v>
      </c>
      <c r="E2269" s="7" t="s">
        <v>174</v>
      </c>
      <c r="F2269" s="7" t="s">
        <v>56</v>
      </c>
      <c r="G2269" s="7" t="s">
        <v>19</v>
      </c>
      <c r="H2269" s="9" t="n">
        <v>46061</v>
      </c>
      <c r="I2269" s="9"/>
      <c r="J2269" s="7" t="n">
        <v>9.8</v>
      </c>
      <c r="K2269" s="7" t="s">
        <v>2628</v>
      </c>
      <c r="L2269" s="7" t="s">
        <v>21</v>
      </c>
      <c r="M2269" s="7" t="s">
        <v>2709</v>
      </c>
      <c r="N2269" s="7" t="s">
        <v>58</v>
      </c>
      <c r="O2269" s="10" t="n">
        <f aca="false">'Exec Summary'!$E$2-H2269</f>
        <v>173</v>
      </c>
      <c r="P2269" s="10" t="str">
        <f aca="false">IF(I2269="","",I2269-H2269)</f>
        <v/>
      </c>
      <c r="Q2269" s="10" t="n">
        <f aca="false">VLOOKUP(G2269,$AA$2:$AB$5,2,FALSE())</f>
        <v>15</v>
      </c>
      <c r="R2269" s="7" t="n">
        <f aca="false">IF(OR(F2269="Open",F2269="Reopened"),1,0)</f>
        <v>1</v>
      </c>
      <c r="S2269" s="7" t="n">
        <f aca="false">IF(AND(H2269&gt;='Exec Summary'!$E$1,H2269&lt;='Exec Summary'!$E$2),1,0)</f>
        <v>0</v>
      </c>
      <c r="T2269" s="7" t="n">
        <f aca="false">IF(AND(F2269="Closed",I2269&lt;&gt;"",I2269&gt;='Exec Summary'!$E$1,I2269&lt;='Exec Summary'!$E$2),1,0)</f>
        <v>0</v>
      </c>
      <c r="U2269" s="7" t="n">
        <f aca="false">IF(F2269="Reopened",1,0)</f>
        <v>0</v>
      </c>
      <c r="V2269" s="7" t="n">
        <f aca="false">IF(AND(R2269=1,O2269&gt;Q2269),1,0)</f>
        <v>1</v>
      </c>
      <c r="W2269" s="7" t="n">
        <f aca="false">IF(AND(T2269=1,P2269&lt;&gt;"",P2269&lt;=Q2269),1,0)</f>
        <v>0</v>
      </c>
    </row>
    <row r="2270" customFormat="false" ht="15" hidden="false" customHeight="false" outlineLevel="0" collapsed="false">
      <c r="A2270" s="7" t="s">
        <v>2703</v>
      </c>
      <c r="B2270" s="7" t="s">
        <v>46</v>
      </c>
      <c r="C2270" s="7" t="s">
        <v>177</v>
      </c>
      <c r="D2270" s="7" t="s">
        <v>210</v>
      </c>
      <c r="E2270" s="7" t="s">
        <v>211</v>
      </c>
      <c r="F2270" s="7" t="s">
        <v>50</v>
      </c>
      <c r="G2270" s="7" t="s">
        <v>19</v>
      </c>
      <c r="H2270" s="9" t="n">
        <v>46026</v>
      </c>
      <c r="I2270" s="9" t="n">
        <v>46047</v>
      </c>
      <c r="J2270" s="7" t="n">
        <v>9.8</v>
      </c>
      <c r="K2270" s="7" t="s">
        <v>2628</v>
      </c>
      <c r="L2270" s="7" t="s">
        <v>21</v>
      </c>
      <c r="M2270" s="7" t="s">
        <v>2710</v>
      </c>
      <c r="N2270" s="7" t="s">
        <v>58</v>
      </c>
      <c r="O2270" s="10" t="n">
        <f aca="false">'Exec Summary'!$E$2-H2270</f>
        <v>208</v>
      </c>
      <c r="P2270" s="10" t="n">
        <f aca="false">IF(I2270="","",I2270-H2270)</f>
        <v>21</v>
      </c>
      <c r="Q2270" s="10" t="n">
        <f aca="false">VLOOKUP(G2270,$AA$2:$AB$5,2,FALSE())</f>
        <v>15</v>
      </c>
      <c r="R2270" s="7" t="n">
        <f aca="false">IF(OR(F2270="Open",F2270="Reopened"),1,0)</f>
        <v>0</v>
      </c>
      <c r="S2270" s="7" t="n">
        <f aca="false">IF(AND(H2270&gt;='Exec Summary'!$E$1,H2270&lt;='Exec Summary'!$E$2),1,0)</f>
        <v>0</v>
      </c>
      <c r="T2270" s="7" t="n">
        <f aca="false">IF(AND(F2270="Closed",I2270&lt;&gt;"",I2270&gt;='Exec Summary'!$E$1,I2270&lt;='Exec Summary'!$E$2),1,0)</f>
        <v>0</v>
      </c>
      <c r="U2270" s="7" t="n">
        <f aca="false">IF(F2270="Reopened",1,0)</f>
        <v>0</v>
      </c>
      <c r="V2270" s="7" t="n">
        <f aca="false">IF(AND(R2270=1,O2270&gt;Q2270),1,0)</f>
        <v>0</v>
      </c>
      <c r="W2270" s="7" t="n">
        <f aca="false">IF(AND(T2270=1,P2270&lt;&gt;"",P2270&lt;=Q2270),1,0)</f>
        <v>0</v>
      </c>
    </row>
    <row r="2271" customFormat="false" ht="15" hidden="false" customHeight="false" outlineLevel="0" collapsed="false">
      <c r="A2271" s="7" t="s">
        <v>2711</v>
      </c>
      <c r="B2271" s="7" t="s">
        <v>135</v>
      </c>
      <c r="C2271" s="7" t="s">
        <v>247</v>
      </c>
      <c r="D2271" s="7" t="s">
        <v>139</v>
      </c>
      <c r="E2271" s="7" t="s">
        <v>140</v>
      </c>
      <c r="F2271" s="7" t="s">
        <v>50</v>
      </c>
      <c r="G2271" s="7" t="s">
        <v>19</v>
      </c>
      <c r="H2271" s="9" t="n">
        <v>45980</v>
      </c>
      <c r="I2271" s="9" t="n">
        <v>45986</v>
      </c>
      <c r="J2271" s="7" t="n">
        <v>9.8</v>
      </c>
      <c r="K2271" s="7" t="s">
        <v>2628</v>
      </c>
      <c r="L2271" s="7" t="s">
        <v>22</v>
      </c>
      <c r="M2271" s="7" t="s">
        <v>2712</v>
      </c>
      <c r="N2271" s="7" t="s">
        <v>58</v>
      </c>
      <c r="O2271" s="10" t="n">
        <f aca="false">'Exec Summary'!$E$2-H2271</f>
        <v>254</v>
      </c>
      <c r="P2271" s="10" t="n">
        <f aca="false">IF(I2271="","",I2271-H2271)</f>
        <v>6</v>
      </c>
      <c r="Q2271" s="10" t="n">
        <f aca="false">VLOOKUP(G2271,$AA$2:$AB$5,2,FALSE())</f>
        <v>15</v>
      </c>
      <c r="R2271" s="7" t="n">
        <f aca="false">IF(OR(F2271="Open",F2271="Reopened"),1,0)</f>
        <v>0</v>
      </c>
      <c r="S2271" s="7" t="n">
        <f aca="false">IF(AND(H2271&gt;='Exec Summary'!$E$1,H2271&lt;='Exec Summary'!$E$2),1,0)</f>
        <v>0</v>
      </c>
      <c r="T2271" s="7" t="n">
        <f aca="false">IF(AND(F2271="Closed",I2271&lt;&gt;"",I2271&gt;='Exec Summary'!$E$1,I2271&lt;='Exec Summary'!$E$2),1,0)</f>
        <v>0</v>
      </c>
      <c r="U2271" s="7" t="n">
        <f aca="false">IF(F2271="Reopened",1,0)</f>
        <v>0</v>
      </c>
      <c r="V2271" s="7" t="n">
        <f aca="false">IF(AND(R2271=1,O2271&gt;Q2271),1,0)</f>
        <v>0</v>
      </c>
      <c r="W2271" s="7" t="n">
        <f aca="false">IF(AND(T2271=1,P2271&lt;&gt;"",P2271&lt;=Q2271),1,0)</f>
        <v>0</v>
      </c>
    </row>
    <row r="2272" customFormat="false" ht="15" hidden="false" customHeight="false" outlineLevel="0" collapsed="false">
      <c r="A2272" s="7" t="s">
        <v>2711</v>
      </c>
      <c r="B2272" s="7" t="s">
        <v>135</v>
      </c>
      <c r="C2272" s="7" t="s">
        <v>247</v>
      </c>
      <c r="D2272" s="7" t="s">
        <v>68</v>
      </c>
      <c r="E2272" s="7" t="s">
        <v>69</v>
      </c>
      <c r="F2272" s="7" t="s">
        <v>56</v>
      </c>
      <c r="G2272" s="7" t="s">
        <v>19</v>
      </c>
      <c r="H2272" s="9" t="n">
        <v>46113</v>
      </c>
      <c r="I2272" s="9"/>
      <c r="J2272" s="7" t="n">
        <v>9.8</v>
      </c>
      <c r="K2272" s="7" t="s">
        <v>2628</v>
      </c>
      <c r="L2272" s="7" t="s">
        <v>22</v>
      </c>
      <c r="M2272" s="7" t="s">
        <v>2713</v>
      </c>
      <c r="N2272" s="7" t="s">
        <v>58</v>
      </c>
      <c r="O2272" s="10" t="n">
        <f aca="false">'Exec Summary'!$E$2-H2272</f>
        <v>121</v>
      </c>
      <c r="P2272" s="10" t="str">
        <f aca="false">IF(I2272="","",I2272-H2272)</f>
        <v/>
      </c>
      <c r="Q2272" s="10" t="n">
        <f aca="false">VLOOKUP(G2272,$AA$2:$AB$5,2,FALSE())</f>
        <v>15</v>
      </c>
      <c r="R2272" s="7" t="n">
        <f aca="false">IF(OR(F2272="Open",F2272="Reopened"),1,0)</f>
        <v>1</v>
      </c>
      <c r="S2272" s="7" t="n">
        <f aca="false">IF(AND(H2272&gt;='Exec Summary'!$E$1,H2272&lt;='Exec Summary'!$E$2),1,0)</f>
        <v>0</v>
      </c>
      <c r="T2272" s="7" t="n">
        <f aca="false">IF(AND(F2272="Closed",I2272&lt;&gt;"",I2272&gt;='Exec Summary'!$E$1,I2272&lt;='Exec Summary'!$E$2),1,0)</f>
        <v>0</v>
      </c>
      <c r="U2272" s="7" t="n">
        <f aca="false">IF(F2272="Reopened",1,0)</f>
        <v>0</v>
      </c>
      <c r="V2272" s="7" t="n">
        <f aca="false">IF(AND(R2272=1,O2272&gt;Q2272),1,0)</f>
        <v>1</v>
      </c>
      <c r="W2272" s="7" t="n">
        <f aca="false">IF(AND(T2272=1,P2272&lt;&gt;"",P2272&lt;=Q2272),1,0)</f>
        <v>0</v>
      </c>
    </row>
    <row r="2273" customFormat="false" ht="15" hidden="false" customHeight="false" outlineLevel="0" collapsed="false">
      <c r="A2273" s="7" t="s">
        <v>2711</v>
      </c>
      <c r="B2273" s="7" t="s">
        <v>135</v>
      </c>
      <c r="C2273" s="7" t="s">
        <v>247</v>
      </c>
      <c r="D2273" s="7" t="s">
        <v>81</v>
      </c>
      <c r="E2273" s="7" t="s">
        <v>82</v>
      </c>
      <c r="F2273" s="7" t="s">
        <v>50</v>
      </c>
      <c r="G2273" s="7" t="s">
        <v>20</v>
      </c>
      <c r="H2273" s="9" t="n">
        <v>46107</v>
      </c>
      <c r="I2273" s="9" t="n">
        <v>46138</v>
      </c>
      <c r="J2273" s="7" t="n">
        <v>7.8</v>
      </c>
      <c r="K2273" s="7" t="s">
        <v>2628</v>
      </c>
      <c r="L2273" s="7" t="s">
        <v>22</v>
      </c>
      <c r="M2273" s="7" t="s">
        <v>2714</v>
      </c>
      <c r="N2273" s="7" t="s">
        <v>53</v>
      </c>
      <c r="O2273" s="10" t="n">
        <f aca="false">'Exec Summary'!$E$2-H2273</f>
        <v>127</v>
      </c>
      <c r="P2273" s="10" t="n">
        <f aca="false">IF(I2273="","",I2273-H2273)</f>
        <v>31</v>
      </c>
      <c r="Q2273" s="10" t="n">
        <f aca="false">VLOOKUP(G2273,$AA$2:$AB$5,2,FALSE())</f>
        <v>30</v>
      </c>
      <c r="R2273" s="7" t="n">
        <f aca="false">IF(OR(F2273="Open",F2273="Reopened"),1,0)</f>
        <v>0</v>
      </c>
      <c r="S2273" s="7" t="n">
        <f aca="false">IF(AND(H2273&gt;='Exec Summary'!$E$1,H2273&lt;='Exec Summary'!$E$2),1,0)</f>
        <v>0</v>
      </c>
      <c r="T2273" s="7" t="n">
        <f aca="false">IF(AND(F2273="Closed",I2273&lt;&gt;"",I2273&gt;='Exec Summary'!$E$1,I2273&lt;='Exec Summary'!$E$2),1,0)</f>
        <v>0</v>
      </c>
      <c r="U2273" s="7" t="n">
        <f aca="false">IF(F2273="Reopened",1,0)</f>
        <v>0</v>
      </c>
      <c r="V2273" s="7" t="n">
        <f aca="false">IF(AND(R2273=1,O2273&gt;Q2273),1,0)</f>
        <v>0</v>
      </c>
      <c r="W2273" s="7" t="n">
        <f aca="false">IF(AND(T2273=1,P2273&lt;&gt;"",P2273&lt;=Q2273),1,0)</f>
        <v>0</v>
      </c>
    </row>
    <row r="2274" customFormat="false" ht="15" hidden="false" customHeight="false" outlineLevel="0" collapsed="false">
      <c r="A2274" s="7" t="s">
        <v>2711</v>
      </c>
      <c r="B2274" s="7" t="s">
        <v>135</v>
      </c>
      <c r="C2274" s="7" t="s">
        <v>247</v>
      </c>
      <c r="D2274" s="7" t="s">
        <v>163</v>
      </c>
      <c r="E2274" s="7" t="s">
        <v>164</v>
      </c>
      <c r="F2274" s="7" t="s">
        <v>50</v>
      </c>
      <c r="G2274" s="7" t="s">
        <v>19</v>
      </c>
      <c r="H2274" s="9" t="n">
        <v>46219</v>
      </c>
      <c r="I2274" s="9" t="n">
        <v>46233</v>
      </c>
      <c r="J2274" s="7" t="n">
        <v>9.1</v>
      </c>
      <c r="K2274" s="7" t="s">
        <v>2628</v>
      </c>
      <c r="L2274" s="7" t="s">
        <v>22</v>
      </c>
      <c r="M2274" s="7" t="s">
        <v>2715</v>
      </c>
      <c r="N2274" s="7" t="s">
        <v>58</v>
      </c>
      <c r="O2274" s="10" t="n">
        <f aca="false">'Exec Summary'!$E$2-H2274</f>
        <v>15</v>
      </c>
      <c r="P2274" s="10" t="n">
        <f aca="false">IF(I2274="","",I2274-H2274)</f>
        <v>14</v>
      </c>
      <c r="Q2274" s="10" t="n">
        <f aca="false">VLOOKUP(G2274,$AA$2:$AB$5,2,FALSE())</f>
        <v>15</v>
      </c>
      <c r="R2274" s="7" t="n">
        <f aca="false">IF(OR(F2274="Open",F2274="Reopened"),1,0)</f>
        <v>0</v>
      </c>
      <c r="S2274" s="7" t="n">
        <f aca="false">IF(AND(H2274&gt;='Exec Summary'!$E$1,H2274&lt;='Exec Summary'!$E$2),1,0)</f>
        <v>1</v>
      </c>
      <c r="T2274" s="7" t="n">
        <f aca="false">IF(AND(F2274="Closed",I2274&lt;&gt;"",I2274&gt;='Exec Summary'!$E$1,I2274&lt;='Exec Summary'!$E$2),1,0)</f>
        <v>1</v>
      </c>
      <c r="U2274" s="7" t="n">
        <f aca="false">IF(F2274="Reopened",1,0)</f>
        <v>0</v>
      </c>
      <c r="V2274" s="7" t="n">
        <f aca="false">IF(AND(R2274=1,O2274&gt;Q2274),1,0)</f>
        <v>0</v>
      </c>
      <c r="W2274" s="7" t="n">
        <f aca="false">IF(AND(T2274=1,P2274&lt;&gt;"",P2274&lt;=Q2274),1,0)</f>
        <v>1</v>
      </c>
    </row>
    <row r="2275" customFormat="false" ht="15" hidden="false" customHeight="false" outlineLevel="0" collapsed="false">
      <c r="A2275" s="7" t="s">
        <v>2711</v>
      </c>
      <c r="B2275" s="7" t="s">
        <v>135</v>
      </c>
      <c r="C2275" s="7" t="s">
        <v>247</v>
      </c>
      <c r="D2275" s="7" t="s">
        <v>48</v>
      </c>
      <c r="E2275" s="7" t="s">
        <v>49</v>
      </c>
      <c r="F2275" s="7" t="s">
        <v>56</v>
      </c>
      <c r="G2275" s="7" t="s">
        <v>20</v>
      </c>
      <c r="H2275" s="9" t="n">
        <v>45934</v>
      </c>
      <c r="I2275" s="9"/>
      <c r="J2275" s="7" t="n">
        <v>7.5</v>
      </c>
      <c r="K2275" s="7" t="s">
        <v>2628</v>
      </c>
      <c r="L2275" s="7" t="s">
        <v>22</v>
      </c>
      <c r="M2275" s="7" t="s">
        <v>2716</v>
      </c>
      <c r="N2275" s="7" t="s">
        <v>53</v>
      </c>
      <c r="O2275" s="10" t="n">
        <f aca="false">'Exec Summary'!$E$2-H2275</f>
        <v>300</v>
      </c>
      <c r="P2275" s="10" t="str">
        <f aca="false">IF(I2275="","",I2275-H2275)</f>
        <v/>
      </c>
      <c r="Q2275" s="10" t="n">
        <f aca="false">VLOOKUP(G2275,$AA$2:$AB$5,2,FALSE())</f>
        <v>30</v>
      </c>
      <c r="R2275" s="7" t="n">
        <f aca="false">IF(OR(F2275="Open",F2275="Reopened"),1,0)</f>
        <v>1</v>
      </c>
      <c r="S2275" s="7" t="n">
        <f aca="false">IF(AND(H2275&gt;='Exec Summary'!$E$1,H2275&lt;='Exec Summary'!$E$2),1,0)</f>
        <v>0</v>
      </c>
      <c r="T2275" s="7" t="n">
        <f aca="false">IF(AND(F2275="Closed",I2275&lt;&gt;"",I2275&gt;='Exec Summary'!$E$1,I2275&lt;='Exec Summary'!$E$2),1,0)</f>
        <v>0</v>
      </c>
      <c r="U2275" s="7" t="n">
        <f aca="false">IF(F2275="Reopened",1,0)</f>
        <v>0</v>
      </c>
      <c r="V2275" s="7" t="n">
        <f aca="false">IF(AND(R2275=1,O2275&gt;Q2275),1,0)</f>
        <v>1</v>
      </c>
      <c r="W2275" s="7" t="n">
        <f aca="false">IF(AND(T2275=1,P2275&lt;&gt;"",P2275&lt;=Q2275),1,0)</f>
        <v>0</v>
      </c>
    </row>
    <row r="2276" customFormat="false" ht="15" hidden="false" customHeight="false" outlineLevel="0" collapsed="false">
      <c r="A2276" s="7" t="s">
        <v>2711</v>
      </c>
      <c r="B2276" s="7" t="s">
        <v>135</v>
      </c>
      <c r="C2276" s="7" t="s">
        <v>247</v>
      </c>
      <c r="D2276" s="7" t="s">
        <v>131</v>
      </c>
      <c r="E2276" s="7" t="s">
        <v>132</v>
      </c>
      <c r="F2276" s="7" t="s">
        <v>50</v>
      </c>
      <c r="G2276" s="7" t="s">
        <v>19</v>
      </c>
      <c r="H2276" s="9" t="n">
        <v>45940</v>
      </c>
      <c r="I2276" s="9" t="n">
        <v>45950</v>
      </c>
      <c r="J2276" s="7" t="n">
        <v>9.8</v>
      </c>
      <c r="K2276" s="7" t="s">
        <v>2628</v>
      </c>
      <c r="L2276" s="7" t="s">
        <v>22</v>
      </c>
      <c r="M2276" s="7" t="s">
        <v>2717</v>
      </c>
      <c r="N2276" s="7" t="s">
        <v>58</v>
      </c>
      <c r="O2276" s="10" t="n">
        <f aca="false">'Exec Summary'!$E$2-H2276</f>
        <v>294</v>
      </c>
      <c r="P2276" s="10" t="n">
        <f aca="false">IF(I2276="","",I2276-H2276)</f>
        <v>10</v>
      </c>
      <c r="Q2276" s="10" t="n">
        <f aca="false">VLOOKUP(G2276,$AA$2:$AB$5,2,FALSE())</f>
        <v>15</v>
      </c>
      <c r="R2276" s="7" t="n">
        <f aca="false">IF(OR(F2276="Open",F2276="Reopened"),1,0)</f>
        <v>0</v>
      </c>
      <c r="S2276" s="7" t="n">
        <f aca="false">IF(AND(H2276&gt;='Exec Summary'!$E$1,H2276&lt;='Exec Summary'!$E$2),1,0)</f>
        <v>0</v>
      </c>
      <c r="T2276" s="7" t="n">
        <f aca="false">IF(AND(F2276="Closed",I2276&lt;&gt;"",I2276&gt;='Exec Summary'!$E$1,I2276&lt;='Exec Summary'!$E$2),1,0)</f>
        <v>0</v>
      </c>
      <c r="U2276" s="7" t="n">
        <f aca="false">IF(F2276="Reopened",1,0)</f>
        <v>0</v>
      </c>
      <c r="V2276" s="7" t="n">
        <f aca="false">IF(AND(R2276=1,O2276&gt;Q2276),1,0)</f>
        <v>0</v>
      </c>
      <c r="W2276" s="7" t="n">
        <f aca="false">IF(AND(T2276=1,P2276&lt;&gt;"",P2276&lt;=Q2276),1,0)</f>
        <v>0</v>
      </c>
    </row>
    <row r="2277" customFormat="false" ht="15" hidden="false" customHeight="false" outlineLevel="0" collapsed="false">
      <c r="A2277" s="7" t="s">
        <v>2711</v>
      </c>
      <c r="B2277" s="7" t="s">
        <v>135</v>
      </c>
      <c r="C2277" s="7" t="s">
        <v>247</v>
      </c>
      <c r="D2277" s="7" t="s">
        <v>87</v>
      </c>
      <c r="E2277" s="7" t="s">
        <v>88</v>
      </c>
      <c r="F2277" s="7" t="s">
        <v>56</v>
      </c>
      <c r="G2277" s="7" t="s">
        <v>19</v>
      </c>
      <c r="H2277" s="9" t="n">
        <v>45969</v>
      </c>
      <c r="I2277" s="9"/>
      <c r="J2277" s="7" t="n">
        <v>10</v>
      </c>
      <c r="K2277" s="7" t="s">
        <v>2628</v>
      </c>
      <c r="L2277" s="7" t="s">
        <v>22</v>
      </c>
      <c r="M2277" s="7" t="s">
        <v>2718</v>
      </c>
      <c r="N2277" s="7" t="s">
        <v>58</v>
      </c>
      <c r="O2277" s="10" t="n">
        <f aca="false">'Exec Summary'!$E$2-H2277</f>
        <v>265</v>
      </c>
      <c r="P2277" s="10" t="str">
        <f aca="false">IF(I2277="","",I2277-H2277)</f>
        <v/>
      </c>
      <c r="Q2277" s="10" t="n">
        <f aca="false">VLOOKUP(G2277,$AA$2:$AB$5,2,FALSE())</f>
        <v>15</v>
      </c>
      <c r="R2277" s="7" t="n">
        <f aca="false">IF(OR(F2277="Open",F2277="Reopened"),1,0)</f>
        <v>1</v>
      </c>
      <c r="S2277" s="7" t="n">
        <f aca="false">IF(AND(H2277&gt;='Exec Summary'!$E$1,H2277&lt;='Exec Summary'!$E$2),1,0)</f>
        <v>0</v>
      </c>
      <c r="T2277" s="7" t="n">
        <f aca="false">IF(AND(F2277="Closed",I2277&lt;&gt;"",I2277&gt;='Exec Summary'!$E$1,I2277&lt;='Exec Summary'!$E$2),1,0)</f>
        <v>0</v>
      </c>
      <c r="U2277" s="7" t="n">
        <f aca="false">IF(F2277="Reopened",1,0)</f>
        <v>0</v>
      </c>
      <c r="V2277" s="7" t="n">
        <f aca="false">IF(AND(R2277=1,O2277&gt;Q2277),1,0)</f>
        <v>1</v>
      </c>
      <c r="W2277" s="7" t="n">
        <f aca="false">IF(AND(T2277=1,P2277&lt;&gt;"",P2277&lt;=Q2277),1,0)</f>
        <v>0</v>
      </c>
    </row>
    <row r="2278" customFormat="false" ht="15" hidden="false" customHeight="false" outlineLevel="0" collapsed="false">
      <c r="A2278" s="7" t="s">
        <v>2711</v>
      </c>
      <c r="B2278" s="7" t="s">
        <v>135</v>
      </c>
      <c r="C2278" s="7" t="s">
        <v>247</v>
      </c>
      <c r="D2278" s="7" t="s">
        <v>166</v>
      </c>
      <c r="E2278" s="7" t="s">
        <v>167</v>
      </c>
      <c r="F2278" s="7" t="s">
        <v>50</v>
      </c>
      <c r="G2278" s="7" t="s">
        <v>19</v>
      </c>
      <c r="H2278" s="9" t="n">
        <v>46189</v>
      </c>
      <c r="I2278" s="9" t="n">
        <v>46201</v>
      </c>
      <c r="J2278" s="7" t="n">
        <v>9.8</v>
      </c>
      <c r="K2278" s="7" t="s">
        <v>2628</v>
      </c>
      <c r="L2278" s="7" t="s">
        <v>22</v>
      </c>
      <c r="M2278" s="7" t="s">
        <v>2719</v>
      </c>
      <c r="N2278" s="7" t="s">
        <v>58</v>
      </c>
      <c r="O2278" s="10" t="n">
        <f aca="false">'Exec Summary'!$E$2-H2278</f>
        <v>45</v>
      </c>
      <c r="P2278" s="10" t="n">
        <f aca="false">IF(I2278="","",I2278-H2278)</f>
        <v>12</v>
      </c>
      <c r="Q2278" s="10" t="n">
        <f aca="false">VLOOKUP(G2278,$AA$2:$AB$5,2,FALSE())</f>
        <v>15</v>
      </c>
      <c r="R2278" s="7" t="n">
        <f aca="false">IF(OR(F2278="Open",F2278="Reopened"),1,0)</f>
        <v>0</v>
      </c>
      <c r="S2278" s="7" t="n">
        <f aca="false">IF(AND(H2278&gt;='Exec Summary'!$E$1,H2278&lt;='Exec Summary'!$E$2),1,0)</f>
        <v>0</v>
      </c>
      <c r="T2278" s="7" t="n">
        <f aca="false">IF(AND(F2278="Closed",I2278&lt;&gt;"",I2278&gt;='Exec Summary'!$E$1,I2278&lt;='Exec Summary'!$E$2),1,0)</f>
        <v>0</v>
      </c>
      <c r="U2278" s="7" t="n">
        <f aca="false">IF(F2278="Reopened",1,0)</f>
        <v>0</v>
      </c>
      <c r="V2278" s="7" t="n">
        <f aca="false">IF(AND(R2278=1,O2278&gt;Q2278),1,0)</f>
        <v>0</v>
      </c>
      <c r="W2278" s="7" t="n">
        <f aca="false">IF(AND(T2278=1,P2278&lt;&gt;"",P2278&lt;=Q2278),1,0)</f>
        <v>0</v>
      </c>
    </row>
    <row r="2279" customFormat="false" ht="15" hidden="false" customHeight="false" outlineLevel="0" collapsed="false">
      <c r="A2279" s="7" t="s">
        <v>2711</v>
      </c>
      <c r="B2279" s="7" t="s">
        <v>135</v>
      </c>
      <c r="C2279" s="7" t="s">
        <v>247</v>
      </c>
      <c r="D2279" s="7" t="s">
        <v>120</v>
      </c>
      <c r="E2279" s="7" t="s">
        <v>121</v>
      </c>
      <c r="F2279" s="7" t="s">
        <v>56</v>
      </c>
      <c r="G2279" s="7" t="s">
        <v>19</v>
      </c>
      <c r="H2279" s="9" t="n">
        <v>45983</v>
      </c>
      <c r="I2279" s="9"/>
      <c r="J2279" s="7" t="n">
        <v>8.8</v>
      </c>
      <c r="K2279" s="7" t="s">
        <v>2628</v>
      </c>
      <c r="L2279" s="7" t="s">
        <v>22</v>
      </c>
      <c r="M2279" s="7" t="s">
        <v>2720</v>
      </c>
      <c r="N2279" s="7" t="s">
        <v>58</v>
      </c>
      <c r="O2279" s="10" t="n">
        <f aca="false">'Exec Summary'!$E$2-H2279</f>
        <v>251</v>
      </c>
      <c r="P2279" s="10" t="str">
        <f aca="false">IF(I2279="","",I2279-H2279)</f>
        <v/>
      </c>
      <c r="Q2279" s="10" t="n">
        <f aca="false">VLOOKUP(G2279,$AA$2:$AB$5,2,FALSE())</f>
        <v>15</v>
      </c>
      <c r="R2279" s="7" t="n">
        <f aca="false">IF(OR(F2279="Open",F2279="Reopened"),1,0)</f>
        <v>1</v>
      </c>
      <c r="S2279" s="7" t="n">
        <f aca="false">IF(AND(H2279&gt;='Exec Summary'!$E$1,H2279&lt;='Exec Summary'!$E$2),1,0)</f>
        <v>0</v>
      </c>
      <c r="T2279" s="7" t="n">
        <f aca="false">IF(AND(F2279="Closed",I2279&lt;&gt;"",I2279&gt;='Exec Summary'!$E$1,I2279&lt;='Exec Summary'!$E$2),1,0)</f>
        <v>0</v>
      </c>
      <c r="U2279" s="7" t="n">
        <f aca="false">IF(F2279="Reopened",1,0)</f>
        <v>0</v>
      </c>
      <c r="V2279" s="7" t="n">
        <f aca="false">IF(AND(R2279=1,O2279&gt;Q2279),1,0)</f>
        <v>1</v>
      </c>
      <c r="W2279" s="7" t="n">
        <f aca="false">IF(AND(T2279=1,P2279&lt;&gt;"",P2279&lt;=Q2279),1,0)</f>
        <v>0</v>
      </c>
    </row>
    <row r="2280" customFormat="false" ht="15" hidden="false" customHeight="false" outlineLevel="0" collapsed="false">
      <c r="A2280" s="7" t="s">
        <v>2711</v>
      </c>
      <c r="B2280" s="7" t="s">
        <v>135</v>
      </c>
      <c r="C2280" s="7" t="s">
        <v>247</v>
      </c>
      <c r="D2280" s="7" t="s">
        <v>62</v>
      </c>
      <c r="E2280" s="7" t="s">
        <v>63</v>
      </c>
      <c r="F2280" s="7" t="s">
        <v>50</v>
      </c>
      <c r="G2280" s="7" t="s">
        <v>20</v>
      </c>
      <c r="H2280" s="9" t="n">
        <v>46125</v>
      </c>
      <c r="I2280" s="9" t="n">
        <v>46163</v>
      </c>
      <c r="J2280" s="7" t="n">
        <v>8.1</v>
      </c>
      <c r="K2280" s="7" t="s">
        <v>2628</v>
      </c>
      <c r="L2280" s="7" t="s">
        <v>22</v>
      </c>
      <c r="M2280" s="7" t="s">
        <v>2721</v>
      </c>
      <c r="N2280" s="7" t="s">
        <v>53</v>
      </c>
      <c r="O2280" s="10" t="n">
        <f aca="false">'Exec Summary'!$E$2-H2280</f>
        <v>109</v>
      </c>
      <c r="P2280" s="10" t="n">
        <f aca="false">IF(I2280="","",I2280-H2280)</f>
        <v>38</v>
      </c>
      <c r="Q2280" s="10" t="n">
        <f aca="false">VLOOKUP(G2280,$AA$2:$AB$5,2,FALSE())</f>
        <v>30</v>
      </c>
      <c r="R2280" s="7" t="n">
        <f aca="false">IF(OR(F2280="Open",F2280="Reopened"),1,0)</f>
        <v>0</v>
      </c>
      <c r="S2280" s="7" t="n">
        <f aca="false">IF(AND(H2280&gt;='Exec Summary'!$E$1,H2280&lt;='Exec Summary'!$E$2),1,0)</f>
        <v>0</v>
      </c>
      <c r="T2280" s="7" t="n">
        <f aca="false">IF(AND(F2280="Closed",I2280&lt;&gt;"",I2280&gt;='Exec Summary'!$E$1,I2280&lt;='Exec Summary'!$E$2),1,0)</f>
        <v>0</v>
      </c>
      <c r="U2280" s="7" t="n">
        <f aca="false">IF(F2280="Reopened",1,0)</f>
        <v>0</v>
      </c>
      <c r="V2280" s="7" t="n">
        <f aca="false">IF(AND(R2280=1,O2280&gt;Q2280),1,0)</f>
        <v>0</v>
      </c>
      <c r="W2280" s="7" t="n">
        <f aca="false">IF(AND(T2280=1,P2280&lt;&gt;"",P2280&lt;=Q2280),1,0)</f>
        <v>0</v>
      </c>
    </row>
    <row r="2281" customFormat="false" ht="15" hidden="false" customHeight="false" outlineLevel="0" collapsed="false">
      <c r="A2281" s="7" t="s">
        <v>2711</v>
      </c>
      <c r="B2281" s="7" t="s">
        <v>135</v>
      </c>
      <c r="C2281" s="7" t="s">
        <v>247</v>
      </c>
      <c r="D2281" s="7" t="s">
        <v>95</v>
      </c>
      <c r="E2281" s="7" t="s">
        <v>96</v>
      </c>
      <c r="F2281" s="7" t="s">
        <v>50</v>
      </c>
      <c r="G2281" s="7" t="s">
        <v>20</v>
      </c>
      <c r="H2281" s="9" t="n">
        <v>46193</v>
      </c>
      <c r="I2281" s="9" t="n">
        <v>46202</v>
      </c>
      <c r="J2281" s="7" t="n">
        <v>8.8</v>
      </c>
      <c r="K2281" s="7" t="s">
        <v>2628</v>
      </c>
      <c r="L2281" s="7" t="s">
        <v>22</v>
      </c>
      <c r="M2281" s="7" t="s">
        <v>2722</v>
      </c>
      <c r="N2281" s="7" t="s">
        <v>53</v>
      </c>
      <c r="O2281" s="10" t="n">
        <f aca="false">'Exec Summary'!$E$2-H2281</f>
        <v>41</v>
      </c>
      <c r="P2281" s="10" t="n">
        <f aca="false">IF(I2281="","",I2281-H2281)</f>
        <v>9</v>
      </c>
      <c r="Q2281" s="10" t="n">
        <f aca="false">VLOOKUP(G2281,$AA$2:$AB$5,2,FALSE())</f>
        <v>30</v>
      </c>
      <c r="R2281" s="7" t="n">
        <f aca="false">IF(OR(F2281="Open",F2281="Reopened"),1,0)</f>
        <v>0</v>
      </c>
      <c r="S2281" s="7" t="n">
        <f aca="false">IF(AND(H2281&gt;='Exec Summary'!$E$1,H2281&lt;='Exec Summary'!$E$2),1,0)</f>
        <v>0</v>
      </c>
      <c r="T2281" s="7" t="n">
        <f aca="false">IF(AND(F2281="Closed",I2281&lt;&gt;"",I2281&gt;='Exec Summary'!$E$1,I2281&lt;='Exec Summary'!$E$2),1,0)</f>
        <v>0</v>
      </c>
      <c r="U2281" s="7" t="n">
        <f aca="false">IF(F2281="Reopened",1,0)</f>
        <v>0</v>
      </c>
      <c r="V2281" s="7" t="n">
        <f aca="false">IF(AND(R2281=1,O2281&gt;Q2281),1,0)</f>
        <v>0</v>
      </c>
      <c r="W2281" s="7" t="n">
        <f aca="false">IF(AND(T2281=1,P2281&lt;&gt;"",P2281&lt;=Q2281),1,0)</f>
        <v>0</v>
      </c>
    </row>
    <row r="2282" customFormat="false" ht="15" hidden="false" customHeight="false" outlineLevel="0" collapsed="false">
      <c r="A2282" s="7" t="s">
        <v>2711</v>
      </c>
      <c r="B2282" s="7" t="s">
        <v>135</v>
      </c>
      <c r="C2282" s="7" t="s">
        <v>247</v>
      </c>
      <c r="D2282" s="7" t="s">
        <v>74</v>
      </c>
      <c r="E2282" s="7" t="s">
        <v>75</v>
      </c>
      <c r="F2282" s="7" t="s">
        <v>56</v>
      </c>
      <c r="G2282" s="7" t="s">
        <v>21</v>
      </c>
      <c r="H2282" s="9" t="n">
        <v>45953</v>
      </c>
      <c r="I2282" s="9"/>
      <c r="J2282" s="7" t="n">
        <v>6.5</v>
      </c>
      <c r="K2282" s="7" t="s">
        <v>2628</v>
      </c>
      <c r="L2282" s="7" t="s">
        <v>22</v>
      </c>
      <c r="M2282" s="7" t="s">
        <v>2723</v>
      </c>
      <c r="N2282" s="7" t="s">
        <v>77</v>
      </c>
      <c r="O2282" s="10" t="n">
        <f aca="false">'Exec Summary'!$E$2-H2282</f>
        <v>281</v>
      </c>
      <c r="P2282" s="10" t="str">
        <f aca="false">IF(I2282="","",I2282-H2282)</f>
        <v/>
      </c>
      <c r="Q2282" s="10" t="n">
        <f aca="false">VLOOKUP(G2282,$AA$2:$AB$5,2,FALSE())</f>
        <v>90</v>
      </c>
      <c r="R2282" s="7" t="n">
        <f aca="false">IF(OR(F2282="Open",F2282="Reopened"),1,0)</f>
        <v>1</v>
      </c>
      <c r="S2282" s="7" t="n">
        <f aca="false">IF(AND(H2282&gt;='Exec Summary'!$E$1,H2282&lt;='Exec Summary'!$E$2),1,0)</f>
        <v>0</v>
      </c>
      <c r="T2282" s="7" t="n">
        <f aca="false">IF(AND(F2282="Closed",I2282&lt;&gt;"",I2282&gt;='Exec Summary'!$E$1,I2282&lt;='Exec Summary'!$E$2),1,0)</f>
        <v>0</v>
      </c>
      <c r="U2282" s="7" t="n">
        <f aca="false">IF(F2282="Reopened",1,0)</f>
        <v>0</v>
      </c>
      <c r="V2282" s="7" t="n">
        <f aca="false">IF(AND(R2282=1,O2282&gt;Q2282),1,0)</f>
        <v>1</v>
      </c>
      <c r="W2282" s="7" t="n">
        <f aca="false">IF(AND(T2282=1,P2282&lt;&gt;"",P2282&lt;=Q2282),1,0)</f>
        <v>0</v>
      </c>
    </row>
    <row r="2283" customFormat="false" ht="15" hidden="false" customHeight="false" outlineLevel="0" collapsed="false">
      <c r="A2283" s="7" t="s">
        <v>2724</v>
      </c>
      <c r="B2283" s="7" t="s">
        <v>135</v>
      </c>
      <c r="C2283" s="7" t="s">
        <v>136</v>
      </c>
      <c r="D2283" s="7" t="s">
        <v>48</v>
      </c>
      <c r="E2283" s="7" t="s">
        <v>49</v>
      </c>
      <c r="F2283" s="7" t="s">
        <v>56</v>
      </c>
      <c r="G2283" s="7" t="s">
        <v>20</v>
      </c>
      <c r="H2283" s="9" t="n">
        <v>46166</v>
      </c>
      <c r="I2283" s="9"/>
      <c r="J2283" s="7" t="n">
        <v>7.5</v>
      </c>
      <c r="K2283" s="7" t="s">
        <v>2628</v>
      </c>
      <c r="L2283" s="7" t="s">
        <v>19</v>
      </c>
      <c r="M2283" s="7" t="s">
        <v>2725</v>
      </c>
      <c r="N2283" s="7" t="s">
        <v>53</v>
      </c>
      <c r="O2283" s="10" t="n">
        <f aca="false">'Exec Summary'!$E$2-H2283</f>
        <v>68</v>
      </c>
      <c r="P2283" s="10" t="str">
        <f aca="false">IF(I2283="","",I2283-H2283)</f>
        <v/>
      </c>
      <c r="Q2283" s="10" t="n">
        <f aca="false">VLOOKUP(G2283,$AA$2:$AB$5,2,FALSE())</f>
        <v>30</v>
      </c>
      <c r="R2283" s="7" t="n">
        <f aca="false">IF(OR(F2283="Open",F2283="Reopened"),1,0)</f>
        <v>1</v>
      </c>
      <c r="S2283" s="7" t="n">
        <f aca="false">IF(AND(H2283&gt;='Exec Summary'!$E$1,H2283&lt;='Exec Summary'!$E$2),1,0)</f>
        <v>0</v>
      </c>
      <c r="T2283" s="7" t="n">
        <f aca="false">IF(AND(F2283="Closed",I2283&lt;&gt;"",I2283&gt;='Exec Summary'!$E$1,I2283&lt;='Exec Summary'!$E$2),1,0)</f>
        <v>0</v>
      </c>
      <c r="U2283" s="7" t="n">
        <f aca="false">IF(F2283="Reopened",1,0)</f>
        <v>0</v>
      </c>
      <c r="V2283" s="7" t="n">
        <f aca="false">IF(AND(R2283=1,O2283&gt;Q2283),1,0)</f>
        <v>1</v>
      </c>
      <c r="W2283" s="7" t="n">
        <f aca="false">IF(AND(T2283=1,P2283&lt;&gt;"",P2283&lt;=Q2283),1,0)</f>
        <v>0</v>
      </c>
    </row>
    <row r="2284" customFormat="false" ht="15" hidden="false" customHeight="false" outlineLevel="0" collapsed="false">
      <c r="A2284" s="7" t="s">
        <v>2724</v>
      </c>
      <c r="B2284" s="7" t="s">
        <v>135</v>
      </c>
      <c r="C2284" s="7" t="s">
        <v>136</v>
      </c>
      <c r="D2284" s="7" t="s">
        <v>210</v>
      </c>
      <c r="E2284" s="7" t="s">
        <v>211</v>
      </c>
      <c r="F2284" s="7" t="s">
        <v>56</v>
      </c>
      <c r="G2284" s="7" t="s">
        <v>19</v>
      </c>
      <c r="H2284" s="9" t="n">
        <v>46163</v>
      </c>
      <c r="I2284" s="9"/>
      <c r="J2284" s="7" t="n">
        <v>9.8</v>
      </c>
      <c r="K2284" s="7" t="s">
        <v>2628</v>
      </c>
      <c r="L2284" s="7" t="s">
        <v>19</v>
      </c>
      <c r="M2284" s="7" t="s">
        <v>2726</v>
      </c>
      <c r="N2284" s="7" t="s">
        <v>58</v>
      </c>
      <c r="O2284" s="10" t="n">
        <f aca="false">'Exec Summary'!$E$2-H2284</f>
        <v>71</v>
      </c>
      <c r="P2284" s="10" t="str">
        <f aca="false">IF(I2284="","",I2284-H2284)</f>
        <v/>
      </c>
      <c r="Q2284" s="10" t="n">
        <f aca="false">VLOOKUP(G2284,$AA$2:$AB$5,2,FALSE())</f>
        <v>15</v>
      </c>
      <c r="R2284" s="7" t="n">
        <f aca="false">IF(OR(F2284="Open",F2284="Reopened"),1,0)</f>
        <v>1</v>
      </c>
      <c r="S2284" s="7" t="n">
        <f aca="false">IF(AND(H2284&gt;='Exec Summary'!$E$1,H2284&lt;='Exec Summary'!$E$2),1,0)</f>
        <v>0</v>
      </c>
      <c r="T2284" s="7" t="n">
        <f aca="false">IF(AND(F2284="Closed",I2284&lt;&gt;"",I2284&gt;='Exec Summary'!$E$1,I2284&lt;='Exec Summary'!$E$2),1,0)</f>
        <v>0</v>
      </c>
      <c r="U2284" s="7" t="n">
        <f aca="false">IF(F2284="Reopened",1,0)</f>
        <v>0</v>
      </c>
      <c r="V2284" s="7" t="n">
        <f aca="false">IF(AND(R2284=1,O2284&gt;Q2284),1,0)</f>
        <v>1</v>
      </c>
      <c r="W2284" s="7" t="n">
        <f aca="false">IF(AND(T2284=1,P2284&lt;&gt;"",P2284&lt;=Q2284),1,0)</f>
        <v>0</v>
      </c>
    </row>
    <row r="2285" customFormat="false" ht="15" hidden="false" customHeight="false" outlineLevel="0" collapsed="false">
      <c r="A2285" s="7" t="s">
        <v>2724</v>
      </c>
      <c r="B2285" s="7" t="s">
        <v>135</v>
      </c>
      <c r="C2285" s="7" t="s">
        <v>136</v>
      </c>
      <c r="D2285" s="7" t="s">
        <v>131</v>
      </c>
      <c r="E2285" s="7" t="s">
        <v>132</v>
      </c>
      <c r="F2285" s="7" t="s">
        <v>50</v>
      </c>
      <c r="G2285" s="7" t="s">
        <v>19</v>
      </c>
      <c r="H2285" s="9" t="n">
        <v>46107</v>
      </c>
      <c r="I2285" s="9" t="n">
        <v>46129</v>
      </c>
      <c r="J2285" s="7" t="n">
        <v>9.8</v>
      </c>
      <c r="K2285" s="7" t="s">
        <v>2628</v>
      </c>
      <c r="L2285" s="7" t="s">
        <v>19</v>
      </c>
      <c r="M2285" s="7" t="s">
        <v>2727</v>
      </c>
      <c r="N2285" s="7" t="s">
        <v>58</v>
      </c>
      <c r="O2285" s="10" t="n">
        <f aca="false">'Exec Summary'!$E$2-H2285</f>
        <v>127</v>
      </c>
      <c r="P2285" s="10" t="n">
        <f aca="false">IF(I2285="","",I2285-H2285)</f>
        <v>22</v>
      </c>
      <c r="Q2285" s="10" t="n">
        <f aca="false">VLOOKUP(G2285,$AA$2:$AB$5,2,FALSE())</f>
        <v>15</v>
      </c>
      <c r="R2285" s="7" t="n">
        <f aca="false">IF(OR(F2285="Open",F2285="Reopened"),1,0)</f>
        <v>0</v>
      </c>
      <c r="S2285" s="7" t="n">
        <f aca="false">IF(AND(H2285&gt;='Exec Summary'!$E$1,H2285&lt;='Exec Summary'!$E$2),1,0)</f>
        <v>0</v>
      </c>
      <c r="T2285" s="7" t="n">
        <f aca="false">IF(AND(F2285="Closed",I2285&lt;&gt;"",I2285&gt;='Exec Summary'!$E$1,I2285&lt;='Exec Summary'!$E$2),1,0)</f>
        <v>0</v>
      </c>
      <c r="U2285" s="7" t="n">
        <f aca="false">IF(F2285="Reopened",1,0)</f>
        <v>0</v>
      </c>
      <c r="V2285" s="7" t="n">
        <f aca="false">IF(AND(R2285=1,O2285&gt;Q2285),1,0)</f>
        <v>0</v>
      </c>
      <c r="W2285" s="7" t="n">
        <f aca="false">IF(AND(T2285=1,P2285&lt;&gt;"",P2285&lt;=Q2285),1,0)</f>
        <v>0</v>
      </c>
    </row>
    <row r="2286" customFormat="false" ht="15" hidden="false" customHeight="false" outlineLevel="0" collapsed="false">
      <c r="A2286" s="7" t="s">
        <v>2724</v>
      </c>
      <c r="B2286" s="7" t="s">
        <v>135</v>
      </c>
      <c r="C2286" s="7" t="s">
        <v>136</v>
      </c>
      <c r="D2286" s="7" t="s">
        <v>139</v>
      </c>
      <c r="E2286" s="7" t="s">
        <v>140</v>
      </c>
      <c r="F2286" s="7" t="s">
        <v>50</v>
      </c>
      <c r="G2286" s="7" t="s">
        <v>19</v>
      </c>
      <c r="H2286" s="9" t="n">
        <v>45955</v>
      </c>
      <c r="I2286" s="9" t="n">
        <v>45979</v>
      </c>
      <c r="J2286" s="7" t="n">
        <v>9.8</v>
      </c>
      <c r="K2286" s="7" t="s">
        <v>2628</v>
      </c>
      <c r="L2286" s="7" t="s">
        <v>19</v>
      </c>
      <c r="M2286" s="7" t="s">
        <v>2728</v>
      </c>
      <c r="N2286" s="7" t="s">
        <v>58</v>
      </c>
      <c r="O2286" s="10" t="n">
        <f aca="false">'Exec Summary'!$E$2-H2286</f>
        <v>279</v>
      </c>
      <c r="P2286" s="10" t="n">
        <f aca="false">IF(I2286="","",I2286-H2286)</f>
        <v>24</v>
      </c>
      <c r="Q2286" s="10" t="n">
        <f aca="false">VLOOKUP(G2286,$AA$2:$AB$5,2,FALSE())</f>
        <v>15</v>
      </c>
      <c r="R2286" s="7" t="n">
        <f aca="false">IF(OR(F2286="Open",F2286="Reopened"),1,0)</f>
        <v>0</v>
      </c>
      <c r="S2286" s="7" t="n">
        <f aca="false">IF(AND(H2286&gt;='Exec Summary'!$E$1,H2286&lt;='Exec Summary'!$E$2),1,0)</f>
        <v>0</v>
      </c>
      <c r="T2286" s="7" t="n">
        <f aca="false">IF(AND(F2286="Closed",I2286&lt;&gt;"",I2286&gt;='Exec Summary'!$E$1,I2286&lt;='Exec Summary'!$E$2),1,0)</f>
        <v>0</v>
      </c>
      <c r="U2286" s="7" t="n">
        <f aca="false">IF(F2286="Reopened",1,0)</f>
        <v>0</v>
      </c>
      <c r="V2286" s="7" t="n">
        <f aca="false">IF(AND(R2286=1,O2286&gt;Q2286),1,0)</f>
        <v>0</v>
      </c>
      <c r="W2286" s="7" t="n">
        <f aca="false">IF(AND(T2286=1,P2286&lt;&gt;"",P2286&lt;=Q2286),1,0)</f>
        <v>0</v>
      </c>
    </row>
    <row r="2287" customFormat="false" ht="15" hidden="false" customHeight="false" outlineLevel="0" collapsed="false">
      <c r="A2287" s="7" t="s">
        <v>2724</v>
      </c>
      <c r="B2287" s="7" t="s">
        <v>135</v>
      </c>
      <c r="C2287" s="7" t="s">
        <v>136</v>
      </c>
      <c r="D2287" s="7" t="s">
        <v>98</v>
      </c>
      <c r="E2287" s="7" t="s">
        <v>99</v>
      </c>
      <c r="F2287" s="7" t="s">
        <v>56</v>
      </c>
      <c r="G2287" s="7" t="s">
        <v>19</v>
      </c>
      <c r="H2287" s="9" t="n">
        <v>45984</v>
      </c>
      <c r="I2287" s="9"/>
      <c r="J2287" s="7" t="n">
        <v>10</v>
      </c>
      <c r="K2287" s="7" t="s">
        <v>2628</v>
      </c>
      <c r="L2287" s="7" t="s">
        <v>19</v>
      </c>
      <c r="M2287" s="7" t="s">
        <v>2729</v>
      </c>
      <c r="N2287" s="7" t="s">
        <v>58</v>
      </c>
      <c r="O2287" s="10" t="n">
        <f aca="false">'Exec Summary'!$E$2-H2287</f>
        <v>250</v>
      </c>
      <c r="P2287" s="10" t="str">
        <f aca="false">IF(I2287="","",I2287-H2287)</f>
        <v/>
      </c>
      <c r="Q2287" s="10" t="n">
        <f aca="false">VLOOKUP(G2287,$AA$2:$AB$5,2,FALSE())</f>
        <v>15</v>
      </c>
      <c r="R2287" s="7" t="n">
        <f aca="false">IF(OR(F2287="Open",F2287="Reopened"),1,0)</f>
        <v>1</v>
      </c>
      <c r="S2287" s="7" t="n">
        <f aca="false">IF(AND(H2287&gt;='Exec Summary'!$E$1,H2287&lt;='Exec Summary'!$E$2),1,0)</f>
        <v>0</v>
      </c>
      <c r="T2287" s="7" t="n">
        <f aca="false">IF(AND(F2287="Closed",I2287&lt;&gt;"",I2287&gt;='Exec Summary'!$E$1,I2287&lt;='Exec Summary'!$E$2),1,0)</f>
        <v>0</v>
      </c>
      <c r="U2287" s="7" t="n">
        <f aca="false">IF(F2287="Reopened",1,0)</f>
        <v>0</v>
      </c>
      <c r="V2287" s="7" t="n">
        <f aca="false">IF(AND(R2287=1,O2287&gt;Q2287),1,0)</f>
        <v>1</v>
      </c>
      <c r="W2287" s="7" t="n">
        <f aca="false">IF(AND(T2287=1,P2287&lt;&gt;"",P2287&lt;=Q2287),1,0)</f>
        <v>0</v>
      </c>
    </row>
    <row r="2288" customFormat="false" ht="15" hidden="false" customHeight="false" outlineLevel="0" collapsed="false">
      <c r="A2288" s="7" t="s">
        <v>2724</v>
      </c>
      <c r="B2288" s="7" t="s">
        <v>135</v>
      </c>
      <c r="C2288" s="7" t="s">
        <v>136</v>
      </c>
      <c r="D2288" s="7" t="s">
        <v>65</v>
      </c>
      <c r="E2288" s="7" t="s">
        <v>66</v>
      </c>
      <c r="F2288" s="7" t="s">
        <v>56</v>
      </c>
      <c r="G2288" s="7" t="s">
        <v>19</v>
      </c>
      <c r="H2288" s="9" t="n">
        <v>46098</v>
      </c>
      <c r="I2288" s="9"/>
      <c r="J2288" s="7" t="n">
        <v>9.8</v>
      </c>
      <c r="K2288" s="7" t="s">
        <v>2628</v>
      </c>
      <c r="L2288" s="7" t="s">
        <v>19</v>
      </c>
      <c r="M2288" s="7" t="s">
        <v>2730</v>
      </c>
      <c r="N2288" s="7" t="s">
        <v>58</v>
      </c>
      <c r="O2288" s="10" t="n">
        <f aca="false">'Exec Summary'!$E$2-H2288</f>
        <v>136</v>
      </c>
      <c r="P2288" s="10" t="str">
        <f aca="false">IF(I2288="","",I2288-H2288)</f>
        <v/>
      </c>
      <c r="Q2288" s="10" t="n">
        <f aca="false">VLOOKUP(G2288,$AA$2:$AB$5,2,FALSE())</f>
        <v>15</v>
      </c>
      <c r="R2288" s="7" t="n">
        <f aca="false">IF(OR(F2288="Open",F2288="Reopened"),1,0)</f>
        <v>1</v>
      </c>
      <c r="S2288" s="7" t="n">
        <f aca="false">IF(AND(H2288&gt;='Exec Summary'!$E$1,H2288&lt;='Exec Summary'!$E$2),1,0)</f>
        <v>0</v>
      </c>
      <c r="T2288" s="7" t="n">
        <f aca="false">IF(AND(F2288="Closed",I2288&lt;&gt;"",I2288&gt;='Exec Summary'!$E$1,I2288&lt;='Exec Summary'!$E$2),1,0)</f>
        <v>0</v>
      </c>
      <c r="U2288" s="7" t="n">
        <f aca="false">IF(F2288="Reopened",1,0)</f>
        <v>0</v>
      </c>
      <c r="V2288" s="7" t="n">
        <f aca="false">IF(AND(R2288=1,O2288&gt;Q2288),1,0)</f>
        <v>1</v>
      </c>
      <c r="W2288" s="7" t="n">
        <f aca="false">IF(AND(T2288=1,P2288&lt;&gt;"",P2288&lt;=Q2288),1,0)</f>
        <v>0</v>
      </c>
    </row>
    <row r="2289" customFormat="false" ht="15" hidden="false" customHeight="false" outlineLevel="0" collapsed="false">
      <c r="A2289" s="7" t="s">
        <v>2724</v>
      </c>
      <c r="B2289" s="7" t="s">
        <v>135</v>
      </c>
      <c r="C2289" s="7" t="s">
        <v>136</v>
      </c>
      <c r="D2289" s="7" t="s">
        <v>68</v>
      </c>
      <c r="E2289" s="7" t="s">
        <v>69</v>
      </c>
      <c r="F2289" s="7" t="s">
        <v>50</v>
      </c>
      <c r="G2289" s="7" t="s">
        <v>19</v>
      </c>
      <c r="H2289" s="9" t="n">
        <v>46201</v>
      </c>
      <c r="I2289" s="9" t="n">
        <v>46207</v>
      </c>
      <c r="J2289" s="7" t="n">
        <v>9.8</v>
      </c>
      <c r="K2289" s="7" t="s">
        <v>2628</v>
      </c>
      <c r="L2289" s="7" t="s">
        <v>19</v>
      </c>
      <c r="M2289" s="7" t="s">
        <v>2731</v>
      </c>
      <c r="N2289" s="7" t="s">
        <v>58</v>
      </c>
      <c r="O2289" s="10" t="n">
        <f aca="false">'Exec Summary'!$E$2-H2289</f>
        <v>33</v>
      </c>
      <c r="P2289" s="10" t="n">
        <f aca="false">IF(I2289="","",I2289-H2289)</f>
        <v>6</v>
      </c>
      <c r="Q2289" s="10" t="n">
        <f aca="false">VLOOKUP(G2289,$AA$2:$AB$5,2,FALSE())</f>
        <v>15</v>
      </c>
      <c r="R2289" s="7" t="n">
        <f aca="false">IF(OR(F2289="Open",F2289="Reopened"),1,0)</f>
        <v>0</v>
      </c>
      <c r="S2289" s="7" t="n">
        <f aca="false">IF(AND(H2289&gt;='Exec Summary'!$E$1,H2289&lt;='Exec Summary'!$E$2),1,0)</f>
        <v>0</v>
      </c>
      <c r="T2289" s="7" t="n">
        <f aca="false">IF(AND(F2289="Closed",I2289&lt;&gt;"",I2289&gt;='Exec Summary'!$E$1,I2289&lt;='Exec Summary'!$E$2),1,0)</f>
        <v>1</v>
      </c>
      <c r="U2289" s="7" t="n">
        <f aca="false">IF(F2289="Reopened",1,0)</f>
        <v>0</v>
      </c>
      <c r="V2289" s="7" t="n">
        <f aca="false">IF(AND(R2289=1,O2289&gt;Q2289),1,0)</f>
        <v>0</v>
      </c>
      <c r="W2289" s="7" t="n">
        <f aca="false">IF(AND(T2289=1,P2289&lt;&gt;"",P2289&lt;=Q2289),1,0)</f>
        <v>1</v>
      </c>
    </row>
    <row r="2290" customFormat="false" ht="15" hidden="false" customHeight="false" outlineLevel="0" collapsed="false">
      <c r="A2290" s="7" t="s">
        <v>2724</v>
      </c>
      <c r="B2290" s="7" t="s">
        <v>135</v>
      </c>
      <c r="C2290" s="7" t="s">
        <v>136</v>
      </c>
      <c r="D2290" s="7" t="s">
        <v>152</v>
      </c>
      <c r="E2290" s="7" t="s">
        <v>153</v>
      </c>
      <c r="F2290" s="7" t="s">
        <v>50</v>
      </c>
      <c r="G2290" s="7" t="s">
        <v>20</v>
      </c>
      <c r="H2290" s="9" t="n">
        <v>46035</v>
      </c>
      <c r="I2290" s="9" t="n">
        <v>46054</v>
      </c>
      <c r="J2290" s="7" t="n">
        <v>7.5</v>
      </c>
      <c r="K2290" s="7" t="s">
        <v>2628</v>
      </c>
      <c r="L2290" s="7" t="s">
        <v>19</v>
      </c>
      <c r="M2290" s="7" t="s">
        <v>2732</v>
      </c>
      <c r="N2290" s="7" t="s">
        <v>53</v>
      </c>
      <c r="O2290" s="10" t="n">
        <f aca="false">'Exec Summary'!$E$2-H2290</f>
        <v>199</v>
      </c>
      <c r="P2290" s="10" t="n">
        <f aca="false">IF(I2290="","",I2290-H2290)</f>
        <v>19</v>
      </c>
      <c r="Q2290" s="10" t="n">
        <f aca="false">VLOOKUP(G2290,$AA$2:$AB$5,2,FALSE())</f>
        <v>30</v>
      </c>
      <c r="R2290" s="7" t="n">
        <f aca="false">IF(OR(F2290="Open",F2290="Reopened"),1,0)</f>
        <v>0</v>
      </c>
      <c r="S2290" s="7" t="n">
        <f aca="false">IF(AND(H2290&gt;='Exec Summary'!$E$1,H2290&lt;='Exec Summary'!$E$2),1,0)</f>
        <v>0</v>
      </c>
      <c r="T2290" s="7" t="n">
        <f aca="false">IF(AND(F2290="Closed",I2290&lt;&gt;"",I2290&gt;='Exec Summary'!$E$1,I2290&lt;='Exec Summary'!$E$2),1,0)</f>
        <v>0</v>
      </c>
      <c r="U2290" s="7" t="n">
        <f aca="false">IF(F2290="Reopened",1,0)</f>
        <v>0</v>
      </c>
      <c r="V2290" s="7" t="n">
        <f aca="false">IF(AND(R2290=1,O2290&gt;Q2290),1,0)</f>
        <v>0</v>
      </c>
      <c r="W2290" s="7" t="n">
        <f aca="false">IF(AND(T2290=1,P2290&lt;&gt;"",P2290&lt;=Q2290),1,0)</f>
        <v>0</v>
      </c>
    </row>
    <row r="2291" customFormat="false" ht="15" hidden="false" customHeight="false" outlineLevel="0" collapsed="false">
      <c r="A2291" s="7" t="s">
        <v>2724</v>
      </c>
      <c r="B2291" s="7" t="s">
        <v>135</v>
      </c>
      <c r="C2291" s="7" t="s">
        <v>136</v>
      </c>
      <c r="D2291" s="7" t="s">
        <v>163</v>
      </c>
      <c r="E2291" s="7" t="s">
        <v>164</v>
      </c>
      <c r="F2291" s="7" t="s">
        <v>50</v>
      </c>
      <c r="G2291" s="7" t="s">
        <v>19</v>
      </c>
      <c r="H2291" s="9" t="n">
        <v>46156</v>
      </c>
      <c r="I2291" s="9" t="n">
        <v>46159</v>
      </c>
      <c r="J2291" s="7" t="n">
        <v>9.1</v>
      </c>
      <c r="K2291" s="7" t="s">
        <v>2628</v>
      </c>
      <c r="L2291" s="7" t="s">
        <v>19</v>
      </c>
      <c r="M2291" s="7" t="s">
        <v>2733</v>
      </c>
      <c r="N2291" s="7" t="s">
        <v>58</v>
      </c>
      <c r="O2291" s="10" t="n">
        <f aca="false">'Exec Summary'!$E$2-H2291</f>
        <v>78</v>
      </c>
      <c r="P2291" s="10" t="n">
        <f aca="false">IF(I2291="","",I2291-H2291)</f>
        <v>3</v>
      </c>
      <c r="Q2291" s="10" t="n">
        <f aca="false">VLOOKUP(G2291,$AA$2:$AB$5,2,FALSE())</f>
        <v>15</v>
      </c>
      <c r="R2291" s="7" t="n">
        <f aca="false">IF(OR(F2291="Open",F2291="Reopened"),1,0)</f>
        <v>0</v>
      </c>
      <c r="S2291" s="7" t="n">
        <f aca="false">IF(AND(H2291&gt;='Exec Summary'!$E$1,H2291&lt;='Exec Summary'!$E$2),1,0)</f>
        <v>0</v>
      </c>
      <c r="T2291" s="7" t="n">
        <f aca="false">IF(AND(F2291="Closed",I2291&lt;&gt;"",I2291&gt;='Exec Summary'!$E$1,I2291&lt;='Exec Summary'!$E$2),1,0)</f>
        <v>0</v>
      </c>
      <c r="U2291" s="7" t="n">
        <f aca="false">IF(F2291="Reopened",1,0)</f>
        <v>0</v>
      </c>
      <c r="V2291" s="7" t="n">
        <f aca="false">IF(AND(R2291=1,O2291&gt;Q2291),1,0)</f>
        <v>0</v>
      </c>
      <c r="W2291" s="7" t="n">
        <f aca="false">IF(AND(T2291=1,P2291&lt;&gt;"",P2291&lt;=Q2291),1,0)</f>
        <v>0</v>
      </c>
    </row>
    <row r="2292" customFormat="false" ht="15" hidden="false" customHeight="false" outlineLevel="0" collapsed="false">
      <c r="A2292" s="7" t="s">
        <v>2734</v>
      </c>
      <c r="B2292" s="7" t="s">
        <v>46</v>
      </c>
      <c r="C2292" s="7" t="s">
        <v>47</v>
      </c>
      <c r="D2292" s="7" t="s">
        <v>173</v>
      </c>
      <c r="E2292" s="7" t="s">
        <v>174</v>
      </c>
      <c r="F2292" s="7" t="s">
        <v>56</v>
      </c>
      <c r="G2292" s="7" t="s">
        <v>19</v>
      </c>
      <c r="H2292" s="9" t="n">
        <v>46022</v>
      </c>
      <c r="I2292" s="9"/>
      <c r="J2292" s="7" t="n">
        <v>9.8</v>
      </c>
      <c r="K2292" s="7" t="s">
        <v>2628</v>
      </c>
      <c r="L2292" s="7" t="s">
        <v>21</v>
      </c>
      <c r="M2292" s="7" t="s">
        <v>2735</v>
      </c>
      <c r="N2292" s="7" t="s">
        <v>58</v>
      </c>
      <c r="O2292" s="10" t="n">
        <f aca="false">'Exec Summary'!$E$2-H2292</f>
        <v>212</v>
      </c>
      <c r="P2292" s="10" t="str">
        <f aca="false">IF(I2292="","",I2292-H2292)</f>
        <v/>
      </c>
      <c r="Q2292" s="10" t="n">
        <f aca="false">VLOOKUP(G2292,$AA$2:$AB$5,2,FALSE())</f>
        <v>15</v>
      </c>
      <c r="R2292" s="7" t="n">
        <f aca="false">IF(OR(F2292="Open",F2292="Reopened"),1,0)</f>
        <v>1</v>
      </c>
      <c r="S2292" s="7" t="n">
        <f aca="false">IF(AND(H2292&gt;='Exec Summary'!$E$1,H2292&lt;='Exec Summary'!$E$2),1,0)</f>
        <v>0</v>
      </c>
      <c r="T2292" s="7" t="n">
        <f aca="false">IF(AND(F2292="Closed",I2292&lt;&gt;"",I2292&gt;='Exec Summary'!$E$1,I2292&lt;='Exec Summary'!$E$2),1,0)</f>
        <v>0</v>
      </c>
      <c r="U2292" s="7" t="n">
        <f aca="false">IF(F2292="Reopened",1,0)</f>
        <v>0</v>
      </c>
      <c r="V2292" s="7" t="n">
        <f aca="false">IF(AND(R2292=1,O2292&gt;Q2292),1,0)</f>
        <v>1</v>
      </c>
      <c r="W2292" s="7" t="n">
        <f aca="false">IF(AND(T2292=1,P2292&lt;&gt;"",P2292&lt;=Q2292),1,0)</f>
        <v>0</v>
      </c>
    </row>
    <row r="2293" customFormat="false" ht="15" hidden="false" customHeight="false" outlineLevel="0" collapsed="false">
      <c r="A2293" s="7" t="s">
        <v>2734</v>
      </c>
      <c r="B2293" s="7" t="s">
        <v>46</v>
      </c>
      <c r="C2293" s="7" t="s">
        <v>47</v>
      </c>
      <c r="D2293" s="7" t="s">
        <v>192</v>
      </c>
      <c r="E2293" s="7" t="s">
        <v>193</v>
      </c>
      <c r="F2293" s="7" t="s">
        <v>50</v>
      </c>
      <c r="G2293" s="7" t="s">
        <v>19</v>
      </c>
      <c r="H2293" s="9" t="n">
        <v>46207</v>
      </c>
      <c r="I2293" s="9" t="n">
        <v>46218</v>
      </c>
      <c r="J2293" s="7" t="n">
        <v>9.8</v>
      </c>
      <c r="K2293" s="7" t="s">
        <v>2628</v>
      </c>
      <c r="L2293" s="7" t="s">
        <v>21</v>
      </c>
      <c r="M2293" s="7" t="s">
        <v>2736</v>
      </c>
      <c r="N2293" s="7" t="s">
        <v>58</v>
      </c>
      <c r="O2293" s="10" t="n">
        <f aca="false">'Exec Summary'!$E$2-H2293</f>
        <v>27</v>
      </c>
      <c r="P2293" s="10" t="n">
        <f aca="false">IF(I2293="","",I2293-H2293)</f>
        <v>11</v>
      </c>
      <c r="Q2293" s="10" t="n">
        <f aca="false">VLOOKUP(G2293,$AA$2:$AB$5,2,FALSE())</f>
        <v>15</v>
      </c>
      <c r="R2293" s="7" t="n">
        <f aca="false">IF(OR(F2293="Open",F2293="Reopened"),1,0)</f>
        <v>0</v>
      </c>
      <c r="S2293" s="7" t="n">
        <f aca="false">IF(AND(H2293&gt;='Exec Summary'!$E$1,H2293&lt;='Exec Summary'!$E$2),1,0)</f>
        <v>1</v>
      </c>
      <c r="T2293" s="7" t="n">
        <f aca="false">IF(AND(F2293="Closed",I2293&lt;&gt;"",I2293&gt;='Exec Summary'!$E$1,I2293&lt;='Exec Summary'!$E$2),1,0)</f>
        <v>1</v>
      </c>
      <c r="U2293" s="7" t="n">
        <f aca="false">IF(F2293="Reopened",1,0)</f>
        <v>0</v>
      </c>
      <c r="V2293" s="7" t="n">
        <f aca="false">IF(AND(R2293=1,O2293&gt;Q2293),1,0)</f>
        <v>0</v>
      </c>
      <c r="W2293" s="7" t="n">
        <f aca="false">IF(AND(T2293=1,P2293&lt;&gt;"",P2293&lt;=Q2293),1,0)</f>
        <v>1</v>
      </c>
    </row>
    <row r="2294" customFormat="false" ht="15" hidden="false" customHeight="false" outlineLevel="0" collapsed="false">
      <c r="A2294" s="7" t="s">
        <v>2734</v>
      </c>
      <c r="B2294" s="7" t="s">
        <v>46</v>
      </c>
      <c r="C2294" s="7" t="s">
        <v>47</v>
      </c>
      <c r="D2294" s="7" t="s">
        <v>108</v>
      </c>
      <c r="E2294" s="7" t="s">
        <v>109</v>
      </c>
      <c r="F2294" s="7" t="s">
        <v>50</v>
      </c>
      <c r="G2294" s="7" t="s">
        <v>20</v>
      </c>
      <c r="H2294" s="9" t="n">
        <v>46030</v>
      </c>
      <c r="I2294" s="9" t="n">
        <v>46031</v>
      </c>
      <c r="J2294" s="7" t="n">
        <v>8.6</v>
      </c>
      <c r="K2294" s="7" t="s">
        <v>2628</v>
      </c>
      <c r="L2294" s="7" t="s">
        <v>21</v>
      </c>
      <c r="M2294" s="7" t="s">
        <v>2737</v>
      </c>
      <c r="N2294" s="7" t="s">
        <v>53</v>
      </c>
      <c r="O2294" s="10" t="n">
        <f aca="false">'Exec Summary'!$E$2-H2294</f>
        <v>204</v>
      </c>
      <c r="P2294" s="10" t="n">
        <f aca="false">IF(I2294="","",I2294-H2294)</f>
        <v>1</v>
      </c>
      <c r="Q2294" s="10" t="n">
        <f aca="false">VLOOKUP(G2294,$AA$2:$AB$5,2,FALSE())</f>
        <v>30</v>
      </c>
      <c r="R2294" s="7" t="n">
        <f aca="false">IF(OR(F2294="Open",F2294="Reopened"),1,0)</f>
        <v>0</v>
      </c>
      <c r="S2294" s="7" t="n">
        <f aca="false">IF(AND(H2294&gt;='Exec Summary'!$E$1,H2294&lt;='Exec Summary'!$E$2),1,0)</f>
        <v>0</v>
      </c>
      <c r="T2294" s="7" t="n">
        <f aca="false">IF(AND(F2294="Closed",I2294&lt;&gt;"",I2294&gt;='Exec Summary'!$E$1,I2294&lt;='Exec Summary'!$E$2),1,0)</f>
        <v>0</v>
      </c>
      <c r="U2294" s="7" t="n">
        <f aca="false">IF(F2294="Reopened",1,0)</f>
        <v>0</v>
      </c>
      <c r="V2294" s="7" t="n">
        <f aca="false">IF(AND(R2294=1,O2294&gt;Q2294),1,0)</f>
        <v>0</v>
      </c>
      <c r="W2294" s="7" t="n">
        <f aca="false">IF(AND(T2294=1,P2294&lt;&gt;"",P2294&lt;=Q2294),1,0)</f>
        <v>0</v>
      </c>
    </row>
    <row r="2295" customFormat="false" ht="15" hidden="false" customHeight="false" outlineLevel="0" collapsed="false">
      <c r="A2295" s="7" t="s">
        <v>2734</v>
      </c>
      <c r="B2295" s="7" t="s">
        <v>46</v>
      </c>
      <c r="C2295" s="7" t="s">
        <v>47</v>
      </c>
      <c r="D2295" s="7" t="s">
        <v>59</v>
      </c>
      <c r="E2295" s="7" t="s">
        <v>60</v>
      </c>
      <c r="F2295" s="7" t="s">
        <v>50</v>
      </c>
      <c r="G2295" s="7" t="s">
        <v>19</v>
      </c>
      <c r="H2295" s="9" t="n">
        <v>46194</v>
      </c>
      <c r="I2295" s="9" t="n">
        <v>46202</v>
      </c>
      <c r="J2295" s="7" t="n">
        <v>7.8</v>
      </c>
      <c r="K2295" s="7" t="s">
        <v>2628</v>
      </c>
      <c r="L2295" s="7" t="s">
        <v>21</v>
      </c>
      <c r="M2295" s="7" t="s">
        <v>2738</v>
      </c>
      <c r="N2295" s="7" t="s">
        <v>58</v>
      </c>
      <c r="O2295" s="10" t="n">
        <f aca="false">'Exec Summary'!$E$2-H2295</f>
        <v>40</v>
      </c>
      <c r="P2295" s="10" t="n">
        <f aca="false">IF(I2295="","",I2295-H2295)</f>
        <v>8</v>
      </c>
      <c r="Q2295" s="10" t="n">
        <f aca="false">VLOOKUP(G2295,$AA$2:$AB$5,2,FALSE())</f>
        <v>15</v>
      </c>
      <c r="R2295" s="7" t="n">
        <f aca="false">IF(OR(F2295="Open",F2295="Reopened"),1,0)</f>
        <v>0</v>
      </c>
      <c r="S2295" s="7" t="n">
        <f aca="false">IF(AND(H2295&gt;='Exec Summary'!$E$1,H2295&lt;='Exec Summary'!$E$2),1,0)</f>
        <v>0</v>
      </c>
      <c r="T2295" s="7" t="n">
        <f aca="false">IF(AND(F2295="Closed",I2295&lt;&gt;"",I2295&gt;='Exec Summary'!$E$1,I2295&lt;='Exec Summary'!$E$2),1,0)</f>
        <v>0</v>
      </c>
      <c r="U2295" s="7" t="n">
        <f aca="false">IF(F2295="Reopened",1,0)</f>
        <v>0</v>
      </c>
      <c r="V2295" s="7" t="n">
        <f aca="false">IF(AND(R2295=1,O2295&gt;Q2295),1,0)</f>
        <v>0</v>
      </c>
      <c r="W2295" s="7" t="n">
        <f aca="false">IF(AND(T2295=1,P2295&lt;&gt;"",P2295&lt;=Q2295),1,0)</f>
        <v>0</v>
      </c>
    </row>
    <row r="2296" customFormat="false" ht="15" hidden="false" customHeight="false" outlineLevel="0" collapsed="false">
      <c r="A2296" s="7" t="s">
        <v>2734</v>
      </c>
      <c r="B2296" s="7" t="s">
        <v>46</v>
      </c>
      <c r="C2296" s="7" t="s">
        <v>47</v>
      </c>
      <c r="D2296" s="7" t="s">
        <v>210</v>
      </c>
      <c r="E2296" s="7" t="s">
        <v>211</v>
      </c>
      <c r="F2296" s="7" t="s">
        <v>56</v>
      </c>
      <c r="G2296" s="7" t="s">
        <v>19</v>
      </c>
      <c r="H2296" s="9" t="n">
        <v>45956</v>
      </c>
      <c r="I2296" s="9"/>
      <c r="J2296" s="7" t="n">
        <v>9.8</v>
      </c>
      <c r="K2296" s="7" t="s">
        <v>2628</v>
      </c>
      <c r="L2296" s="7" t="s">
        <v>21</v>
      </c>
      <c r="M2296" s="7" t="s">
        <v>2739</v>
      </c>
      <c r="N2296" s="7" t="s">
        <v>58</v>
      </c>
      <c r="O2296" s="10" t="n">
        <f aca="false">'Exec Summary'!$E$2-H2296</f>
        <v>278</v>
      </c>
      <c r="P2296" s="10" t="str">
        <f aca="false">IF(I2296="","",I2296-H2296)</f>
        <v/>
      </c>
      <c r="Q2296" s="10" t="n">
        <f aca="false">VLOOKUP(G2296,$AA$2:$AB$5,2,FALSE())</f>
        <v>15</v>
      </c>
      <c r="R2296" s="7" t="n">
        <f aca="false">IF(OR(F2296="Open",F2296="Reopened"),1,0)</f>
        <v>1</v>
      </c>
      <c r="S2296" s="7" t="n">
        <f aca="false">IF(AND(H2296&gt;='Exec Summary'!$E$1,H2296&lt;='Exec Summary'!$E$2),1,0)</f>
        <v>0</v>
      </c>
      <c r="T2296" s="7" t="n">
        <f aca="false">IF(AND(F2296="Closed",I2296&lt;&gt;"",I2296&gt;='Exec Summary'!$E$1,I2296&lt;='Exec Summary'!$E$2),1,0)</f>
        <v>0</v>
      </c>
      <c r="U2296" s="7" t="n">
        <f aca="false">IF(F2296="Reopened",1,0)</f>
        <v>0</v>
      </c>
      <c r="V2296" s="7" t="n">
        <f aca="false">IF(AND(R2296=1,O2296&gt;Q2296),1,0)</f>
        <v>1</v>
      </c>
      <c r="W2296" s="7" t="n">
        <f aca="false">IF(AND(T2296=1,P2296&lt;&gt;"",P2296&lt;=Q2296),1,0)</f>
        <v>0</v>
      </c>
    </row>
    <row r="2297" customFormat="false" ht="15" hidden="false" customHeight="false" outlineLevel="0" collapsed="false">
      <c r="A2297" s="7" t="s">
        <v>2734</v>
      </c>
      <c r="B2297" s="7" t="s">
        <v>46</v>
      </c>
      <c r="C2297" s="7" t="s">
        <v>47</v>
      </c>
      <c r="D2297" s="7" t="s">
        <v>98</v>
      </c>
      <c r="E2297" s="7" t="s">
        <v>99</v>
      </c>
      <c r="F2297" s="7" t="s">
        <v>56</v>
      </c>
      <c r="G2297" s="7" t="s">
        <v>19</v>
      </c>
      <c r="H2297" s="9" t="n">
        <v>46168</v>
      </c>
      <c r="I2297" s="9"/>
      <c r="J2297" s="7" t="n">
        <v>10</v>
      </c>
      <c r="K2297" s="7" t="s">
        <v>2628</v>
      </c>
      <c r="L2297" s="7" t="s">
        <v>21</v>
      </c>
      <c r="M2297" s="7" t="s">
        <v>2740</v>
      </c>
      <c r="N2297" s="7" t="s">
        <v>58</v>
      </c>
      <c r="O2297" s="10" t="n">
        <f aca="false">'Exec Summary'!$E$2-H2297</f>
        <v>66</v>
      </c>
      <c r="P2297" s="10" t="str">
        <f aca="false">IF(I2297="","",I2297-H2297)</f>
        <v/>
      </c>
      <c r="Q2297" s="10" t="n">
        <f aca="false">VLOOKUP(G2297,$AA$2:$AB$5,2,FALSE())</f>
        <v>15</v>
      </c>
      <c r="R2297" s="7" t="n">
        <f aca="false">IF(OR(F2297="Open",F2297="Reopened"),1,0)</f>
        <v>1</v>
      </c>
      <c r="S2297" s="7" t="n">
        <f aca="false">IF(AND(H2297&gt;='Exec Summary'!$E$1,H2297&lt;='Exec Summary'!$E$2),1,0)</f>
        <v>0</v>
      </c>
      <c r="T2297" s="7" t="n">
        <f aca="false">IF(AND(F2297="Closed",I2297&lt;&gt;"",I2297&gt;='Exec Summary'!$E$1,I2297&lt;='Exec Summary'!$E$2),1,0)</f>
        <v>0</v>
      </c>
      <c r="U2297" s="7" t="n">
        <f aca="false">IF(F2297="Reopened",1,0)</f>
        <v>0</v>
      </c>
      <c r="V2297" s="7" t="n">
        <f aca="false">IF(AND(R2297=1,O2297&gt;Q2297),1,0)</f>
        <v>1</v>
      </c>
      <c r="W2297" s="7" t="n">
        <f aca="false">IF(AND(T2297=1,P2297&lt;&gt;"",P2297&lt;=Q2297),1,0)</f>
        <v>0</v>
      </c>
    </row>
    <row r="2298" customFormat="false" ht="15" hidden="false" customHeight="false" outlineLevel="0" collapsed="false">
      <c r="A2298" s="7" t="s">
        <v>2734</v>
      </c>
      <c r="B2298" s="7" t="s">
        <v>46</v>
      </c>
      <c r="C2298" s="7" t="s">
        <v>47</v>
      </c>
      <c r="D2298" s="7" t="s">
        <v>84</v>
      </c>
      <c r="E2298" s="7" t="s">
        <v>85</v>
      </c>
      <c r="F2298" s="7" t="s">
        <v>50</v>
      </c>
      <c r="G2298" s="7" t="s">
        <v>20</v>
      </c>
      <c r="H2298" s="9" t="n">
        <v>46097</v>
      </c>
      <c r="I2298" s="9" t="n">
        <v>46122</v>
      </c>
      <c r="J2298" s="7" t="n">
        <v>7.5</v>
      </c>
      <c r="K2298" s="7" t="s">
        <v>2628</v>
      </c>
      <c r="L2298" s="7" t="s">
        <v>21</v>
      </c>
      <c r="M2298" s="7" t="s">
        <v>2741</v>
      </c>
      <c r="N2298" s="7" t="s">
        <v>53</v>
      </c>
      <c r="O2298" s="10" t="n">
        <f aca="false">'Exec Summary'!$E$2-H2298</f>
        <v>137</v>
      </c>
      <c r="P2298" s="10" t="n">
        <f aca="false">IF(I2298="","",I2298-H2298)</f>
        <v>25</v>
      </c>
      <c r="Q2298" s="10" t="n">
        <f aca="false">VLOOKUP(G2298,$AA$2:$AB$5,2,FALSE())</f>
        <v>30</v>
      </c>
      <c r="R2298" s="7" t="n">
        <f aca="false">IF(OR(F2298="Open",F2298="Reopened"),1,0)</f>
        <v>0</v>
      </c>
      <c r="S2298" s="7" t="n">
        <f aca="false">IF(AND(H2298&gt;='Exec Summary'!$E$1,H2298&lt;='Exec Summary'!$E$2),1,0)</f>
        <v>0</v>
      </c>
      <c r="T2298" s="7" t="n">
        <f aca="false">IF(AND(F2298="Closed",I2298&lt;&gt;"",I2298&gt;='Exec Summary'!$E$1,I2298&lt;='Exec Summary'!$E$2),1,0)</f>
        <v>0</v>
      </c>
      <c r="U2298" s="7" t="n">
        <f aca="false">IF(F2298="Reopened",1,0)</f>
        <v>0</v>
      </c>
      <c r="V2298" s="7" t="n">
        <f aca="false">IF(AND(R2298=1,O2298&gt;Q2298),1,0)</f>
        <v>0</v>
      </c>
      <c r="W2298" s="7" t="n">
        <f aca="false">IF(AND(T2298=1,P2298&lt;&gt;"",P2298&lt;=Q2298),1,0)</f>
        <v>0</v>
      </c>
    </row>
    <row r="2299" customFormat="false" ht="15" hidden="false" customHeight="false" outlineLevel="0" collapsed="false">
      <c r="A2299" s="7" t="s">
        <v>2734</v>
      </c>
      <c r="B2299" s="7" t="s">
        <v>46</v>
      </c>
      <c r="C2299" s="7" t="s">
        <v>47</v>
      </c>
      <c r="D2299" s="7" t="s">
        <v>87</v>
      </c>
      <c r="E2299" s="7" t="s">
        <v>88</v>
      </c>
      <c r="F2299" s="7" t="s">
        <v>56</v>
      </c>
      <c r="G2299" s="7" t="s">
        <v>19</v>
      </c>
      <c r="H2299" s="9" t="n">
        <v>45957</v>
      </c>
      <c r="I2299" s="9"/>
      <c r="J2299" s="7" t="n">
        <v>10</v>
      </c>
      <c r="K2299" s="7" t="s">
        <v>2628</v>
      </c>
      <c r="L2299" s="7" t="s">
        <v>21</v>
      </c>
      <c r="M2299" s="7" t="s">
        <v>2742</v>
      </c>
      <c r="N2299" s="7" t="s">
        <v>58</v>
      </c>
      <c r="O2299" s="10" t="n">
        <f aca="false">'Exec Summary'!$E$2-H2299</f>
        <v>277</v>
      </c>
      <c r="P2299" s="10" t="str">
        <f aca="false">IF(I2299="","",I2299-H2299)</f>
        <v/>
      </c>
      <c r="Q2299" s="10" t="n">
        <f aca="false">VLOOKUP(G2299,$AA$2:$AB$5,2,FALSE())</f>
        <v>15</v>
      </c>
      <c r="R2299" s="7" t="n">
        <f aca="false">IF(OR(F2299="Open",F2299="Reopened"),1,0)</f>
        <v>1</v>
      </c>
      <c r="S2299" s="7" t="n">
        <f aca="false">IF(AND(H2299&gt;='Exec Summary'!$E$1,H2299&lt;='Exec Summary'!$E$2),1,0)</f>
        <v>0</v>
      </c>
      <c r="T2299" s="7" t="n">
        <f aca="false">IF(AND(F2299="Closed",I2299&lt;&gt;"",I2299&gt;='Exec Summary'!$E$1,I2299&lt;='Exec Summary'!$E$2),1,0)</f>
        <v>0</v>
      </c>
      <c r="U2299" s="7" t="n">
        <f aca="false">IF(F2299="Reopened",1,0)</f>
        <v>0</v>
      </c>
      <c r="V2299" s="7" t="n">
        <f aca="false">IF(AND(R2299=1,O2299&gt;Q2299),1,0)</f>
        <v>1</v>
      </c>
      <c r="W2299" s="7" t="n">
        <f aca="false">IF(AND(T2299=1,P2299&lt;&gt;"",P2299&lt;=Q2299),1,0)</f>
        <v>0</v>
      </c>
    </row>
    <row r="2300" customFormat="false" ht="15" hidden="false" customHeight="false" outlineLevel="0" collapsed="false">
      <c r="A2300" s="7" t="s">
        <v>2734</v>
      </c>
      <c r="B2300" s="7" t="s">
        <v>46</v>
      </c>
      <c r="C2300" s="7" t="s">
        <v>47</v>
      </c>
      <c r="D2300" s="7" t="s">
        <v>71</v>
      </c>
      <c r="E2300" s="7" t="s">
        <v>72</v>
      </c>
      <c r="F2300" s="7" t="s">
        <v>56</v>
      </c>
      <c r="G2300" s="7" t="s">
        <v>19</v>
      </c>
      <c r="H2300" s="9" t="n">
        <v>45993</v>
      </c>
      <c r="I2300" s="9"/>
      <c r="J2300" s="7" t="n">
        <v>9.8</v>
      </c>
      <c r="K2300" s="7" t="s">
        <v>2628</v>
      </c>
      <c r="L2300" s="7" t="s">
        <v>21</v>
      </c>
      <c r="M2300" s="7" t="s">
        <v>2743</v>
      </c>
      <c r="N2300" s="7" t="s">
        <v>58</v>
      </c>
      <c r="O2300" s="10" t="n">
        <f aca="false">'Exec Summary'!$E$2-H2300</f>
        <v>241</v>
      </c>
      <c r="P2300" s="10" t="str">
        <f aca="false">IF(I2300="","",I2300-H2300)</f>
        <v/>
      </c>
      <c r="Q2300" s="10" t="n">
        <f aca="false">VLOOKUP(G2300,$AA$2:$AB$5,2,FALSE())</f>
        <v>15</v>
      </c>
      <c r="R2300" s="7" t="n">
        <f aca="false">IF(OR(F2300="Open",F2300="Reopened"),1,0)</f>
        <v>1</v>
      </c>
      <c r="S2300" s="7" t="n">
        <f aca="false">IF(AND(H2300&gt;='Exec Summary'!$E$1,H2300&lt;='Exec Summary'!$E$2),1,0)</f>
        <v>0</v>
      </c>
      <c r="T2300" s="7" t="n">
        <f aca="false">IF(AND(F2300="Closed",I2300&lt;&gt;"",I2300&gt;='Exec Summary'!$E$1,I2300&lt;='Exec Summary'!$E$2),1,0)</f>
        <v>0</v>
      </c>
      <c r="U2300" s="7" t="n">
        <f aca="false">IF(F2300="Reopened",1,0)</f>
        <v>0</v>
      </c>
      <c r="V2300" s="7" t="n">
        <f aca="false">IF(AND(R2300=1,O2300&gt;Q2300),1,0)</f>
        <v>1</v>
      </c>
      <c r="W2300" s="7" t="n">
        <f aca="false">IF(AND(T2300=1,P2300&lt;&gt;"",P2300&lt;=Q2300),1,0)</f>
        <v>0</v>
      </c>
    </row>
    <row r="2301" customFormat="false" ht="15" hidden="false" customHeight="false" outlineLevel="0" collapsed="false">
      <c r="A2301" s="7" t="s">
        <v>2734</v>
      </c>
      <c r="B2301" s="7" t="s">
        <v>46</v>
      </c>
      <c r="C2301" s="7" t="s">
        <v>47</v>
      </c>
      <c r="D2301" s="7" t="s">
        <v>117</v>
      </c>
      <c r="E2301" s="7" t="s">
        <v>118</v>
      </c>
      <c r="F2301" s="7" t="s">
        <v>56</v>
      </c>
      <c r="G2301" s="7" t="s">
        <v>19</v>
      </c>
      <c r="H2301" s="9" t="n">
        <v>46057</v>
      </c>
      <c r="I2301" s="9"/>
      <c r="J2301" s="7" t="n">
        <v>10</v>
      </c>
      <c r="K2301" s="7" t="s">
        <v>2628</v>
      </c>
      <c r="L2301" s="7" t="s">
        <v>21</v>
      </c>
      <c r="M2301" s="7" t="s">
        <v>2744</v>
      </c>
      <c r="N2301" s="7" t="s">
        <v>58</v>
      </c>
      <c r="O2301" s="10" t="n">
        <f aca="false">'Exec Summary'!$E$2-H2301</f>
        <v>177</v>
      </c>
      <c r="P2301" s="10" t="str">
        <f aca="false">IF(I2301="","",I2301-H2301)</f>
        <v/>
      </c>
      <c r="Q2301" s="10" t="n">
        <f aca="false">VLOOKUP(G2301,$AA$2:$AB$5,2,FALSE())</f>
        <v>15</v>
      </c>
      <c r="R2301" s="7" t="n">
        <f aca="false">IF(OR(F2301="Open",F2301="Reopened"),1,0)</f>
        <v>1</v>
      </c>
      <c r="S2301" s="7" t="n">
        <f aca="false">IF(AND(H2301&gt;='Exec Summary'!$E$1,H2301&lt;='Exec Summary'!$E$2),1,0)</f>
        <v>0</v>
      </c>
      <c r="T2301" s="7" t="n">
        <f aca="false">IF(AND(F2301="Closed",I2301&lt;&gt;"",I2301&gt;='Exec Summary'!$E$1,I2301&lt;='Exec Summary'!$E$2),1,0)</f>
        <v>0</v>
      </c>
      <c r="U2301" s="7" t="n">
        <f aca="false">IF(F2301="Reopened",1,0)</f>
        <v>0</v>
      </c>
      <c r="V2301" s="7" t="n">
        <f aca="false">IF(AND(R2301=1,O2301&gt;Q2301),1,0)</f>
        <v>1</v>
      </c>
      <c r="W2301" s="7" t="n">
        <f aca="false">IF(AND(T2301=1,P2301&lt;&gt;"",P2301&lt;=Q2301),1,0)</f>
        <v>0</v>
      </c>
    </row>
    <row r="2302" customFormat="false" ht="15" hidden="false" customHeight="false" outlineLevel="0" collapsed="false">
      <c r="A2302" s="7" t="s">
        <v>2734</v>
      </c>
      <c r="B2302" s="7" t="s">
        <v>46</v>
      </c>
      <c r="C2302" s="7" t="s">
        <v>47</v>
      </c>
      <c r="D2302" s="7" t="s">
        <v>91</v>
      </c>
      <c r="E2302" s="7" t="s">
        <v>92</v>
      </c>
      <c r="F2302" s="7" t="s">
        <v>56</v>
      </c>
      <c r="G2302" s="7" t="s">
        <v>20</v>
      </c>
      <c r="H2302" s="9" t="n">
        <v>46024</v>
      </c>
      <c r="I2302" s="9"/>
      <c r="J2302" s="7" t="n">
        <v>8.1</v>
      </c>
      <c r="K2302" s="7" t="s">
        <v>2628</v>
      </c>
      <c r="L2302" s="7" t="s">
        <v>21</v>
      </c>
      <c r="M2302" s="7" t="s">
        <v>2745</v>
      </c>
      <c r="N2302" s="7" t="s">
        <v>53</v>
      </c>
      <c r="O2302" s="10" t="n">
        <f aca="false">'Exec Summary'!$E$2-H2302</f>
        <v>210</v>
      </c>
      <c r="P2302" s="10" t="str">
        <f aca="false">IF(I2302="","",I2302-H2302)</f>
        <v/>
      </c>
      <c r="Q2302" s="10" t="n">
        <f aca="false">VLOOKUP(G2302,$AA$2:$AB$5,2,FALSE())</f>
        <v>30</v>
      </c>
      <c r="R2302" s="7" t="n">
        <f aca="false">IF(OR(F2302="Open",F2302="Reopened"),1,0)</f>
        <v>1</v>
      </c>
      <c r="S2302" s="7" t="n">
        <f aca="false">IF(AND(H2302&gt;='Exec Summary'!$E$1,H2302&lt;='Exec Summary'!$E$2),1,0)</f>
        <v>0</v>
      </c>
      <c r="T2302" s="7" t="n">
        <f aca="false">IF(AND(F2302="Closed",I2302&lt;&gt;"",I2302&gt;='Exec Summary'!$E$1,I2302&lt;='Exec Summary'!$E$2),1,0)</f>
        <v>0</v>
      </c>
      <c r="U2302" s="7" t="n">
        <f aca="false">IF(F2302="Reopened",1,0)</f>
        <v>0</v>
      </c>
      <c r="V2302" s="7" t="n">
        <f aca="false">IF(AND(R2302=1,O2302&gt;Q2302),1,0)</f>
        <v>1</v>
      </c>
      <c r="W2302" s="7" t="n">
        <f aca="false">IF(AND(T2302=1,P2302&lt;&gt;"",P2302&lt;=Q2302),1,0)</f>
        <v>0</v>
      </c>
    </row>
    <row r="2303" customFormat="false" ht="15" hidden="false" customHeight="false" outlineLevel="0" collapsed="false">
      <c r="A2303" s="7" t="s">
        <v>2746</v>
      </c>
      <c r="B2303" s="7" t="s">
        <v>46</v>
      </c>
      <c r="C2303" s="7" t="s">
        <v>177</v>
      </c>
      <c r="D2303" s="7" t="s">
        <v>95</v>
      </c>
      <c r="E2303" s="7" t="s">
        <v>96</v>
      </c>
      <c r="F2303" s="7" t="s">
        <v>56</v>
      </c>
      <c r="G2303" s="7" t="s">
        <v>20</v>
      </c>
      <c r="H2303" s="9" t="n">
        <v>46143</v>
      </c>
      <c r="I2303" s="9"/>
      <c r="J2303" s="7" t="n">
        <v>8.8</v>
      </c>
      <c r="K2303" s="7" t="s">
        <v>2628</v>
      </c>
      <c r="L2303" s="7" t="s">
        <v>21</v>
      </c>
      <c r="M2303" s="7" t="s">
        <v>2747</v>
      </c>
      <c r="N2303" s="7" t="s">
        <v>53</v>
      </c>
      <c r="O2303" s="10" t="n">
        <f aca="false">'Exec Summary'!$E$2-H2303</f>
        <v>91</v>
      </c>
      <c r="P2303" s="10" t="str">
        <f aca="false">IF(I2303="","",I2303-H2303)</f>
        <v/>
      </c>
      <c r="Q2303" s="10" t="n">
        <f aca="false">VLOOKUP(G2303,$AA$2:$AB$5,2,FALSE())</f>
        <v>30</v>
      </c>
      <c r="R2303" s="7" t="n">
        <f aca="false">IF(OR(F2303="Open",F2303="Reopened"),1,0)</f>
        <v>1</v>
      </c>
      <c r="S2303" s="7" t="n">
        <f aca="false">IF(AND(H2303&gt;='Exec Summary'!$E$1,H2303&lt;='Exec Summary'!$E$2),1,0)</f>
        <v>0</v>
      </c>
      <c r="T2303" s="7" t="n">
        <f aca="false">IF(AND(F2303="Closed",I2303&lt;&gt;"",I2303&gt;='Exec Summary'!$E$1,I2303&lt;='Exec Summary'!$E$2),1,0)</f>
        <v>0</v>
      </c>
      <c r="U2303" s="7" t="n">
        <f aca="false">IF(F2303="Reopened",1,0)</f>
        <v>0</v>
      </c>
      <c r="V2303" s="7" t="n">
        <f aca="false">IF(AND(R2303=1,O2303&gt;Q2303),1,0)</f>
        <v>1</v>
      </c>
      <c r="W2303" s="7" t="n">
        <f aca="false">IF(AND(T2303=1,P2303&lt;&gt;"",P2303&lt;=Q2303),1,0)</f>
        <v>0</v>
      </c>
    </row>
    <row r="2304" customFormat="false" ht="15" hidden="false" customHeight="false" outlineLevel="0" collapsed="false">
      <c r="A2304" s="7" t="s">
        <v>2746</v>
      </c>
      <c r="B2304" s="7" t="s">
        <v>46</v>
      </c>
      <c r="C2304" s="7" t="s">
        <v>177</v>
      </c>
      <c r="D2304" s="7" t="s">
        <v>210</v>
      </c>
      <c r="E2304" s="7" t="s">
        <v>211</v>
      </c>
      <c r="F2304" s="7" t="s">
        <v>50</v>
      </c>
      <c r="G2304" s="7" t="s">
        <v>19</v>
      </c>
      <c r="H2304" s="9" t="n">
        <v>46145</v>
      </c>
      <c r="I2304" s="9" t="n">
        <v>46160</v>
      </c>
      <c r="J2304" s="7" t="n">
        <v>9.8</v>
      </c>
      <c r="K2304" s="7" t="s">
        <v>2628</v>
      </c>
      <c r="L2304" s="7" t="s">
        <v>21</v>
      </c>
      <c r="M2304" s="7" t="s">
        <v>2748</v>
      </c>
      <c r="N2304" s="7" t="s">
        <v>58</v>
      </c>
      <c r="O2304" s="10" t="n">
        <f aca="false">'Exec Summary'!$E$2-H2304</f>
        <v>89</v>
      </c>
      <c r="P2304" s="10" t="n">
        <f aca="false">IF(I2304="","",I2304-H2304)</f>
        <v>15</v>
      </c>
      <c r="Q2304" s="10" t="n">
        <f aca="false">VLOOKUP(G2304,$AA$2:$AB$5,2,FALSE())</f>
        <v>15</v>
      </c>
      <c r="R2304" s="7" t="n">
        <f aca="false">IF(OR(F2304="Open",F2304="Reopened"),1,0)</f>
        <v>0</v>
      </c>
      <c r="S2304" s="7" t="n">
        <f aca="false">IF(AND(H2304&gt;='Exec Summary'!$E$1,H2304&lt;='Exec Summary'!$E$2),1,0)</f>
        <v>0</v>
      </c>
      <c r="T2304" s="7" t="n">
        <f aca="false">IF(AND(F2304="Closed",I2304&lt;&gt;"",I2304&gt;='Exec Summary'!$E$1,I2304&lt;='Exec Summary'!$E$2),1,0)</f>
        <v>0</v>
      </c>
      <c r="U2304" s="7" t="n">
        <f aca="false">IF(F2304="Reopened",1,0)</f>
        <v>0</v>
      </c>
      <c r="V2304" s="7" t="n">
        <f aca="false">IF(AND(R2304=1,O2304&gt;Q2304),1,0)</f>
        <v>0</v>
      </c>
      <c r="W2304" s="7" t="n">
        <f aca="false">IF(AND(T2304=1,P2304&lt;&gt;"",P2304&lt;=Q2304),1,0)</f>
        <v>0</v>
      </c>
    </row>
    <row r="2305" customFormat="false" ht="15" hidden="false" customHeight="false" outlineLevel="0" collapsed="false">
      <c r="A2305" s="7" t="s">
        <v>2746</v>
      </c>
      <c r="B2305" s="7" t="s">
        <v>46</v>
      </c>
      <c r="C2305" s="7" t="s">
        <v>177</v>
      </c>
      <c r="D2305" s="7" t="s">
        <v>62</v>
      </c>
      <c r="E2305" s="7" t="s">
        <v>63</v>
      </c>
      <c r="F2305" s="7" t="s">
        <v>123</v>
      </c>
      <c r="G2305" s="7" t="s">
        <v>20</v>
      </c>
      <c r="H2305" s="9" t="n">
        <v>46183</v>
      </c>
      <c r="I2305" s="9" t="n">
        <v>46226</v>
      </c>
      <c r="J2305" s="7" t="n">
        <v>8.1</v>
      </c>
      <c r="K2305" s="7" t="s">
        <v>2628</v>
      </c>
      <c r="L2305" s="7" t="s">
        <v>21</v>
      </c>
      <c r="M2305" s="7" t="s">
        <v>2749</v>
      </c>
      <c r="N2305" s="7" t="s">
        <v>53</v>
      </c>
      <c r="O2305" s="10" t="n">
        <f aca="false">'Exec Summary'!$E$2-H2305</f>
        <v>51</v>
      </c>
      <c r="P2305" s="10" t="n">
        <f aca="false">IF(I2305="","",I2305-H2305)</f>
        <v>43</v>
      </c>
      <c r="Q2305" s="10" t="n">
        <f aca="false">VLOOKUP(G2305,$AA$2:$AB$5,2,FALSE())</f>
        <v>30</v>
      </c>
      <c r="R2305" s="7" t="n">
        <f aca="false">IF(OR(F2305="Open",F2305="Reopened"),1,0)</f>
        <v>1</v>
      </c>
      <c r="S2305" s="7" t="n">
        <f aca="false">IF(AND(H2305&gt;='Exec Summary'!$E$1,H2305&lt;='Exec Summary'!$E$2),1,0)</f>
        <v>0</v>
      </c>
      <c r="T2305" s="7" t="n">
        <f aca="false">IF(AND(F2305="Closed",I2305&lt;&gt;"",I2305&gt;='Exec Summary'!$E$1,I2305&lt;='Exec Summary'!$E$2),1,0)</f>
        <v>0</v>
      </c>
      <c r="U2305" s="7" t="n">
        <f aca="false">IF(F2305="Reopened",1,0)</f>
        <v>1</v>
      </c>
      <c r="V2305" s="7" t="n">
        <f aca="false">IF(AND(R2305=1,O2305&gt;Q2305),1,0)</f>
        <v>1</v>
      </c>
      <c r="W2305" s="7" t="n">
        <f aca="false">IF(AND(T2305=1,P2305&lt;&gt;"",P2305&lt;=Q2305),1,0)</f>
        <v>0</v>
      </c>
    </row>
    <row r="2306" customFormat="false" ht="15" hidden="false" customHeight="false" outlineLevel="0" collapsed="false">
      <c r="A2306" s="7" t="s">
        <v>2746</v>
      </c>
      <c r="B2306" s="7" t="s">
        <v>46</v>
      </c>
      <c r="C2306" s="7" t="s">
        <v>177</v>
      </c>
      <c r="D2306" s="7" t="s">
        <v>117</v>
      </c>
      <c r="E2306" s="7" t="s">
        <v>118</v>
      </c>
      <c r="F2306" s="7" t="s">
        <v>56</v>
      </c>
      <c r="G2306" s="7" t="s">
        <v>19</v>
      </c>
      <c r="H2306" s="9" t="n">
        <v>45999</v>
      </c>
      <c r="I2306" s="9"/>
      <c r="J2306" s="7" t="n">
        <v>10</v>
      </c>
      <c r="K2306" s="7" t="s">
        <v>2628</v>
      </c>
      <c r="L2306" s="7" t="s">
        <v>21</v>
      </c>
      <c r="M2306" s="7" t="s">
        <v>2750</v>
      </c>
      <c r="N2306" s="7" t="s">
        <v>58</v>
      </c>
      <c r="O2306" s="10" t="n">
        <f aca="false">'Exec Summary'!$E$2-H2306</f>
        <v>235</v>
      </c>
      <c r="P2306" s="10" t="str">
        <f aca="false">IF(I2306="","",I2306-H2306)</f>
        <v/>
      </c>
      <c r="Q2306" s="10" t="n">
        <f aca="false">VLOOKUP(G2306,$AA$2:$AB$5,2,FALSE())</f>
        <v>15</v>
      </c>
      <c r="R2306" s="7" t="n">
        <f aca="false">IF(OR(F2306="Open",F2306="Reopened"),1,0)</f>
        <v>1</v>
      </c>
      <c r="S2306" s="7" t="n">
        <f aca="false">IF(AND(H2306&gt;='Exec Summary'!$E$1,H2306&lt;='Exec Summary'!$E$2),1,0)</f>
        <v>0</v>
      </c>
      <c r="T2306" s="7" t="n">
        <f aca="false">IF(AND(F2306="Closed",I2306&lt;&gt;"",I2306&gt;='Exec Summary'!$E$1,I2306&lt;='Exec Summary'!$E$2),1,0)</f>
        <v>0</v>
      </c>
      <c r="U2306" s="7" t="n">
        <f aca="false">IF(F2306="Reopened",1,0)</f>
        <v>0</v>
      </c>
      <c r="V2306" s="7" t="n">
        <f aca="false">IF(AND(R2306=1,O2306&gt;Q2306),1,0)</f>
        <v>1</v>
      </c>
      <c r="W2306" s="7" t="n">
        <f aca="false">IF(AND(T2306=1,P2306&lt;&gt;"",P2306&lt;=Q2306),1,0)</f>
        <v>0</v>
      </c>
    </row>
    <row r="2307" customFormat="false" ht="15" hidden="false" customHeight="false" outlineLevel="0" collapsed="false">
      <c r="A2307" s="7" t="s">
        <v>2746</v>
      </c>
      <c r="B2307" s="7" t="s">
        <v>46</v>
      </c>
      <c r="C2307" s="7" t="s">
        <v>177</v>
      </c>
      <c r="D2307" s="7" t="s">
        <v>71</v>
      </c>
      <c r="E2307" s="7" t="s">
        <v>72</v>
      </c>
      <c r="F2307" s="7" t="s">
        <v>56</v>
      </c>
      <c r="G2307" s="7" t="s">
        <v>19</v>
      </c>
      <c r="H2307" s="9" t="n">
        <v>45970</v>
      </c>
      <c r="I2307" s="9"/>
      <c r="J2307" s="7" t="n">
        <v>9.8</v>
      </c>
      <c r="K2307" s="7" t="s">
        <v>2628</v>
      </c>
      <c r="L2307" s="7" t="s">
        <v>21</v>
      </c>
      <c r="M2307" s="7" t="s">
        <v>2751</v>
      </c>
      <c r="N2307" s="7" t="s">
        <v>58</v>
      </c>
      <c r="O2307" s="10" t="n">
        <f aca="false">'Exec Summary'!$E$2-H2307</f>
        <v>264</v>
      </c>
      <c r="P2307" s="10" t="str">
        <f aca="false">IF(I2307="","",I2307-H2307)</f>
        <v/>
      </c>
      <c r="Q2307" s="10" t="n">
        <f aca="false">VLOOKUP(G2307,$AA$2:$AB$5,2,FALSE())</f>
        <v>15</v>
      </c>
      <c r="R2307" s="7" t="n">
        <f aca="false">IF(OR(F2307="Open",F2307="Reopened"),1,0)</f>
        <v>1</v>
      </c>
      <c r="S2307" s="7" t="n">
        <f aca="false">IF(AND(H2307&gt;='Exec Summary'!$E$1,H2307&lt;='Exec Summary'!$E$2),1,0)</f>
        <v>0</v>
      </c>
      <c r="T2307" s="7" t="n">
        <f aca="false">IF(AND(F2307="Closed",I2307&lt;&gt;"",I2307&gt;='Exec Summary'!$E$1,I2307&lt;='Exec Summary'!$E$2),1,0)</f>
        <v>0</v>
      </c>
      <c r="U2307" s="7" t="n">
        <f aca="false">IF(F2307="Reopened",1,0)</f>
        <v>0</v>
      </c>
      <c r="V2307" s="7" t="n">
        <f aca="false">IF(AND(R2307=1,O2307&gt;Q2307),1,0)</f>
        <v>1</v>
      </c>
      <c r="W2307" s="7" t="n">
        <f aca="false">IF(AND(T2307=1,P2307&lt;&gt;"",P2307&lt;=Q2307),1,0)</f>
        <v>0</v>
      </c>
    </row>
    <row r="2308" customFormat="false" ht="15" hidden="false" customHeight="false" outlineLevel="0" collapsed="false">
      <c r="A2308" s="7" t="s">
        <v>2746</v>
      </c>
      <c r="B2308" s="7" t="s">
        <v>46</v>
      </c>
      <c r="C2308" s="7" t="s">
        <v>177</v>
      </c>
      <c r="D2308" s="7" t="s">
        <v>173</v>
      </c>
      <c r="E2308" s="7" t="s">
        <v>174</v>
      </c>
      <c r="F2308" s="7" t="s">
        <v>56</v>
      </c>
      <c r="G2308" s="7" t="s">
        <v>19</v>
      </c>
      <c r="H2308" s="9" t="n">
        <v>46015</v>
      </c>
      <c r="I2308" s="9"/>
      <c r="J2308" s="7" t="n">
        <v>9.8</v>
      </c>
      <c r="K2308" s="7" t="s">
        <v>2628</v>
      </c>
      <c r="L2308" s="7" t="s">
        <v>21</v>
      </c>
      <c r="M2308" s="7" t="s">
        <v>2752</v>
      </c>
      <c r="N2308" s="7" t="s">
        <v>58</v>
      </c>
      <c r="O2308" s="10" t="n">
        <f aca="false">'Exec Summary'!$E$2-H2308</f>
        <v>219</v>
      </c>
      <c r="P2308" s="10" t="str">
        <f aca="false">IF(I2308="","",I2308-H2308)</f>
        <v/>
      </c>
      <c r="Q2308" s="10" t="n">
        <f aca="false">VLOOKUP(G2308,$AA$2:$AB$5,2,FALSE())</f>
        <v>15</v>
      </c>
      <c r="R2308" s="7" t="n">
        <f aca="false">IF(OR(F2308="Open",F2308="Reopened"),1,0)</f>
        <v>1</v>
      </c>
      <c r="S2308" s="7" t="n">
        <f aca="false">IF(AND(H2308&gt;='Exec Summary'!$E$1,H2308&lt;='Exec Summary'!$E$2),1,0)</f>
        <v>0</v>
      </c>
      <c r="T2308" s="7" t="n">
        <f aca="false">IF(AND(F2308="Closed",I2308&lt;&gt;"",I2308&gt;='Exec Summary'!$E$1,I2308&lt;='Exec Summary'!$E$2),1,0)</f>
        <v>0</v>
      </c>
      <c r="U2308" s="7" t="n">
        <f aca="false">IF(F2308="Reopened",1,0)</f>
        <v>0</v>
      </c>
      <c r="V2308" s="7" t="n">
        <f aca="false">IF(AND(R2308=1,O2308&gt;Q2308),1,0)</f>
        <v>1</v>
      </c>
      <c r="W2308" s="7" t="n">
        <f aca="false">IF(AND(T2308=1,P2308&lt;&gt;"",P2308&lt;=Q2308),1,0)</f>
        <v>0</v>
      </c>
    </row>
    <row r="2309" customFormat="false" ht="15" hidden="false" customHeight="false" outlineLevel="0" collapsed="false">
      <c r="A2309" s="7" t="s">
        <v>2746</v>
      </c>
      <c r="B2309" s="7" t="s">
        <v>46</v>
      </c>
      <c r="C2309" s="7" t="s">
        <v>177</v>
      </c>
      <c r="D2309" s="7" t="s">
        <v>104</v>
      </c>
      <c r="E2309" s="7" t="s">
        <v>105</v>
      </c>
      <c r="F2309" s="7" t="s">
        <v>50</v>
      </c>
      <c r="G2309" s="7" t="s">
        <v>19</v>
      </c>
      <c r="H2309" s="9" t="n">
        <v>45968</v>
      </c>
      <c r="I2309" s="9" t="n">
        <v>45979</v>
      </c>
      <c r="J2309" s="7" t="n">
        <v>9.8</v>
      </c>
      <c r="K2309" s="7" t="s">
        <v>2628</v>
      </c>
      <c r="L2309" s="7" t="s">
        <v>21</v>
      </c>
      <c r="M2309" s="7" t="s">
        <v>2753</v>
      </c>
      <c r="N2309" s="7" t="s">
        <v>58</v>
      </c>
      <c r="O2309" s="10" t="n">
        <f aca="false">'Exec Summary'!$E$2-H2309</f>
        <v>266</v>
      </c>
      <c r="P2309" s="10" t="n">
        <f aca="false">IF(I2309="","",I2309-H2309)</f>
        <v>11</v>
      </c>
      <c r="Q2309" s="10" t="n">
        <f aca="false">VLOOKUP(G2309,$AA$2:$AB$5,2,FALSE())</f>
        <v>15</v>
      </c>
      <c r="R2309" s="7" t="n">
        <f aca="false">IF(OR(F2309="Open",F2309="Reopened"),1,0)</f>
        <v>0</v>
      </c>
      <c r="S2309" s="7" t="n">
        <f aca="false">IF(AND(H2309&gt;='Exec Summary'!$E$1,H2309&lt;='Exec Summary'!$E$2),1,0)</f>
        <v>0</v>
      </c>
      <c r="T2309" s="7" t="n">
        <f aca="false">IF(AND(F2309="Closed",I2309&lt;&gt;"",I2309&gt;='Exec Summary'!$E$1,I2309&lt;='Exec Summary'!$E$2),1,0)</f>
        <v>0</v>
      </c>
      <c r="U2309" s="7" t="n">
        <f aca="false">IF(F2309="Reopened",1,0)</f>
        <v>0</v>
      </c>
      <c r="V2309" s="7" t="n">
        <f aca="false">IF(AND(R2309=1,O2309&gt;Q2309),1,0)</f>
        <v>0</v>
      </c>
      <c r="W2309" s="7" t="n">
        <f aca="false">IF(AND(T2309=1,P2309&lt;&gt;"",P2309&lt;=Q2309),1,0)</f>
        <v>0</v>
      </c>
    </row>
    <row r="2310" customFormat="false" ht="15" hidden="false" customHeight="false" outlineLevel="0" collapsed="false">
      <c r="A2310" s="7" t="s">
        <v>2746</v>
      </c>
      <c r="B2310" s="7" t="s">
        <v>46</v>
      </c>
      <c r="C2310" s="7" t="s">
        <v>177</v>
      </c>
      <c r="D2310" s="7" t="s">
        <v>87</v>
      </c>
      <c r="E2310" s="7" t="s">
        <v>88</v>
      </c>
      <c r="F2310" s="7" t="s">
        <v>50</v>
      </c>
      <c r="G2310" s="7" t="s">
        <v>19</v>
      </c>
      <c r="H2310" s="9" t="n">
        <v>46137</v>
      </c>
      <c r="I2310" s="9" t="n">
        <v>46145</v>
      </c>
      <c r="J2310" s="7" t="n">
        <v>10</v>
      </c>
      <c r="K2310" s="7" t="s">
        <v>2628</v>
      </c>
      <c r="L2310" s="7" t="s">
        <v>21</v>
      </c>
      <c r="M2310" s="7" t="s">
        <v>2754</v>
      </c>
      <c r="N2310" s="7" t="s">
        <v>58</v>
      </c>
      <c r="O2310" s="10" t="n">
        <f aca="false">'Exec Summary'!$E$2-H2310</f>
        <v>97</v>
      </c>
      <c r="P2310" s="10" t="n">
        <f aca="false">IF(I2310="","",I2310-H2310)</f>
        <v>8</v>
      </c>
      <c r="Q2310" s="10" t="n">
        <f aca="false">VLOOKUP(G2310,$AA$2:$AB$5,2,FALSE())</f>
        <v>15</v>
      </c>
      <c r="R2310" s="7" t="n">
        <f aca="false">IF(OR(F2310="Open",F2310="Reopened"),1,0)</f>
        <v>0</v>
      </c>
      <c r="S2310" s="7" t="n">
        <f aca="false">IF(AND(H2310&gt;='Exec Summary'!$E$1,H2310&lt;='Exec Summary'!$E$2),1,0)</f>
        <v>0</v>
      </c>
      <c r="T2310" s="7" t="n">
        <f aca="false">IF(AND(F2310="Closed",I2310&lt;&gt;"",I2310&gt;='Exec Summary'!$E$1,I2310&lt;='Exec Summary'!$E$2),1,0)</f>
        <v>0</v>
      </c>
      <c r="U2310" s="7" t="n">
        <f aca="false">IF(F2310="Reopened",1,0)</f>
        <v>0</v>
      </c>
      <c r="V2310" s="7" t="n">
        <f aca="false">IF(AND(R2310=1,O2310&gt;Q2310),1,0)</f>
        <v>0</v>
      </c>
      <c r="W2310" s="7" t="n">
        <f aca="false">IF(AND(T2310=1,P2310&lt;&gt;"",P2310&lt;=Q2310),1,0)</f>
        <v>0</v>
      </c>
    </row>
    <row r="2311" customFormat="false" ht="15" hidden="false" customHeight="false" outlineLevel="0" collapsed="false">
      <c r="A2311" s="7" t="s">
        <v>2746</v>
      </c>
      <c r="B2311" s="7" t="s">
        <v>46</v>
      </c>
      <c r="C2311" s="7" t="s">
        <v>177</v>
      </c>
      <c r="D2311" s="7" t="s">
        <v>98</v>
      </c>
      <c r="E2311" s="7" t="s">
        <v>99</v>
      </c>
      <c r="F2311" s="7" t="s">
        <v>56</v>
      </c>
      <c r="G2311" s="7" t="s">
        <v>19</v>
      </c>
      <c r="H2311" s="9" t="n">
        <v>46136</v>
      </c>
      <c r="I2311" s="9"/>
      <c r="J2311" s="7" t="n">
        <v>10</v>
      </c>
      <c r="K2311" s="7" t="s">
        <v>2628</v>
      </c>
      <c r="L2311" s="7" t="s">
        <v>21</v>
      </c>
      <c r="M2311" s="7" t="s">
        <v>2755</v>
      </c>
      <c r="N2311" s="7" t="s">
        <v>58</v>
      </c>
      <c r="O2311" s="10" t="n">
        <f aca="false">'Exec Summary'!$E$2-H2311</f>
        <v>98</v>
      </c>
      <c r="P2311" s="10" t="str">
        <f aca="false">IF(I2311="","",I2311-H2311)</f>
        <v/>
      </c>
      <c r="Q2311" s="10" t="n">
        <f aca="false">VLOOKUP(G2311,$AA$2:$AB$5,2,FALSE())</f>
        <v>15</v>
      </c>
      <c r="R2311" s="7" t="n">
        <f aca="false">IF(OR(F2311="Open",F2311="Reopened"),1,0)</f>
        <v>1</v>
      </c>
      <c r="S2311" s="7" t="n">
        <f aca="false">IF(AND(H2311&gt;='Exec Summary'!$E$1,H2311&lt;='Exec Summary'!$E$2),1,0)</f>
        <v>0</v>
      </c>
      <c r="T2311" s="7" t="n">
        <f aca="false">IF(AND(F2311="Closed",I2311&lt;&gt;"",I2311&gt;='Exec Summary'!$E$1,I2311&lt;='Exec Summary'!$E$2),1,0)</f>
        <v>0</v>
      </c>
      <c r="U2311" s="7" t="n">
        <f aca="false">IF(F2311="Reopened",1,0)</f>
        <v>0</v>
      </c>
      <c r="V2311" s="7" t="n">
        <f aca="false">IF(AND(R2311=1,O2311&gt;Q2311),1,0)</f>
        <v>1</v>
      </c>
      <c r="W2311" s="7" t="n">
        <f aca="false">IF(AND(T2311=1,P2311&lt;&gt;"",P2311&lt;=Q2311),1,0)</f>
        <v>0</v>
      </c>
    </row>
    <row r="2312" customFormat="false" ht="15" hidden="false" customHeight="false" outlineLevel="0" collapsed="false">
      <c r="A2312" s="7" t="s">
        <v>2746</v>
      </c>
      <c r="B2312" s="7" t="s">
        <v>46</v>
      </c>
      <c r="C2312" s="7" t="s">
        <v>177</v>
      </c>
      <c r="D2312" s="7" t="s">
        <v>206</v>
      </c>
      <c r="E2312" s="7" t="s">
        <v>207</v>
      </c>
      <c r="F2312" s="7" t="s">
        <v>50</v>
      </c>
      <c r="G2312" s="7" t="s">
        <v>20</v>
      </c>
      <c r="H2312" s="9" t="n">
        <v>45978</v>
      </c>
      <c r="I2312" s="9" t="n">
        <v>46026</v>
      </c>
      <c r="J2312" s="7" t="n">
        <v>8.8</v>
      </c>
      <c r="K2312" s="7" t="s">
        <v>2628</v>
      </c>
      <c r="L2312" s="7" t="s">
        <v>21</v>
      </c>
      <c r="M2312" s="7" t="s">
        <v>2756</v>
      </c>
      <c r="N2312" s="7" t="s">
        <v>53</v>
      </c>
      <c r="O2312" s="10" t="n">
        <f aca="false">'Exec Summary'!$E$2-H2312</f>
        <v>256</v>
      </c>
      <c r="P2312" s="10" t="n">
        <f aca="false">IF(I2312="","",I2312-H2312)</f>
        <v>48</v>
      </c>
      <c r="Q2312" s="10" t="n">
        <f aca="false">VLOOKUP(G2312,$AA$2:$AB$5,2,FALSE())</f>
        <v>30</v>
      </c>
      <c r="R2312" s="7" t="n">
        <f aca="false">IF(OR(F2312="Open",F2312="Reopened"),1,0)</f>
        <v>0</v>
      </c>
      <c r="S2312" s="7" t="n">
        <f aca="false">IF(AND(H2312&gt;='Exec Summary'!$E$1,H2312&lt;='Exec Summary'!$E$2),1,0)</f>
        <v>0</v>
      </c>
      <c r="T2312" s="7" t="n">
        <f aca="false">IF(AND(F2312="Closed",I2312&lt;&gt;"",I2312&gt;='Exec Summary'!$E$1,I2312&lt;='Exec Summary'!$E$2),1,0)</f>
        <v>0</v>
      </c>
      <c r="U2312" s="7" t="n">
        <f aca="false">IF(F2312="Reopened",1,0)</f>
        <v>0</v>
      </c>
      <c r="V2312" s="7" t="n">
        <f aca="false">IF(AND(R2312=1,O2312&gt;Q2312),1,0)</f>
        <v>0</v>
      </c>
      <c r="W2312" s="7" t="n">
        <f aca="false">IF(AND(T2312=1,P2312&lt;&gt;"",P2312&lt;=Q2312),1,0)</f>
        <v>0</v>
      </c>
    </row>
    <row r="2313" customFormat="false" ht="15" hidden="false" customHeight="false" outlineLevel="0" collapsed="false">
      <c r="A2313" s="7" t="s">
        <v>2746</v>
      </c>
      <c r="B2313" s="7" t="s">
        <v>46</v>
      </c>
      <c r="C2313" s="7" t="s">
        <v>177</v>
      </c>
      <c r="D2313" s="7" t="s">
        <v>74</v>
      </c>
      <c r="E2313" s="7" t="s">
        <v>75</v>
      </c>
      <c r="F2313" s="7" t="s">
        <v>56</v>
      </c>
      <c r="G2313" s="7" t="s">
        <v>21</v>
      </c>
      <c r="H2313" s="9" t="n">
        <v>46199</v>
      </c>
      <c r="I2313" s="9"/>
      <c r="J2313" s="7" t="n">
        <v>6.5</v>
      </c>
      <c r="K2313" s="7" t="s">
        <v>2628</v>
      </c>
      <c r="L2313" s="7" t="s">
        <v>21</v>
      </c>
      <c r="M2313" s="7" t="s">
        <v>2757</v>
      </c>
      <c r="N2313" s="7" t="s">
        <v>77</v>
      </c>
      <c r="O2313" s="10" t="n">
        <f aca="false">'Exec Summary'!$E$2-H2313</f>
        <v>35</v>
      </c>
      <c r="P2313" s="10" t="str">
        <f aca="false">IF(I2313="","",I2313-H2313)</f>
        <v/>
      </c>
      <c r="Q2313" s="10" t="n">
        <f aca="false">VLOOKUP(G2313,$AA$2:$AB$5,2,FALSE())</f>
        <v>90</v>
      </c>
      <c r="R2313" s="7" t="n">
        <f aca="false">IF(OR(F2313="Open",F2313="Reopened"),1,0)</f>
        <v>1</v>
      </c>
      <c r="S2313" s="7" t="n">
        <f aca="false">IF(AND(H2313&gt;='Exec Summary'!$E$1,H2313&lt;='Exec Summary'!$E$2),1,0)</f>
        <v>0</v>
      </c>
      <c r="T2313" s="7" t="n">
        <f aca="false">IF(AND(F2313="Closed",I2313&lt;&gt;"",I2313&gt;='Exec Summary'!$E$1,I2313&lt;='Exec Summary'!$E$2),1,0)</f>
        <v>0</v>
      </c>
      <c r="U2313" s="7" t="n">
        <f aca="false">IF(F2313="Reopened",1,0)</f>
        <v>0</v>
      </c>
      <c r="V2313" s="7" t="n">
        <f aca="false">IF(AND(R2313=1,O2313&gt;Q2313),1,0)</f>
        <v>0</v>
      </c>
      <c r="W2313" s="7" t="n">
        <f aca="false">IF(AND(T2313=1,P2313&lt;&gt;"",P2313&lt;=Q2313),1,0)</f>
        <v>0</v>
      </c>
    </row>
    <row r="2314" customFormat="false" ht="15" hidden="false" customHeight="false" outlineLevel="0" collapsed="false">
      <c r="A2314" s="7" t="s">
        <v>2758</v>
      </c>
      <c r="B2314" s="7" t="s">
        <v>46</v>
      </c>
      <c r="C2314" s="7" t="s">
        <v>158</v>
      </c>
      <c r="D2314" s="7" t="s">
        <v>152</v>
      </c>
      <c r="E2314" s="7" t="s">
        <v>153</v>
      </c>
      <c r="F2314" s="7" t="s">
        <v>50</v>
      </c>
      <c r="G2314" s="7" t="s">
        <v>20</v>
      </c>
      <c r="H2314" s="9" t="n">
        <v>45968</v>
      </c>
      <c r="I2314" s="9" t="n">
        <v>45979</v>
      </c>
      <c r="J2314" s="7" t="n">
        <v>7.5</v>
      </c>
      <c r="K2314" s="7" t="s">
        <v>2628</v>
      </c>
      <c r="L2314" s="7" t="s">
        <v>21</v>
      </c>
      <c r="M2314" s="7" t="s">
        <v>2759</v>
      </c>
      <c r="N2314" s="7" t="s">
        <v>53</v>
      </c>
      <c r="O2314" s="10" t="n">
        <f aca="false">'Exec Summary'!$E$2-H2314</f>
        <v>266</v>
      </c>
      <c r="P2314" s="10" t="n">
        <f aca="false">IF(I2314="","",I2314-H2314)</f>
        <v>11</v>
      </c>
      <c r="Q2314" s="10" t="n">
        <f aca="false">VLOOKUP(G2314,$AA$2:$AB$5,2,FALSE())</f>
        <v>30</v>
      </c>
      <c r="R2314" s="7" t="n">
        <f aca="false">IF(OR(F2314="Open",F2314="Reopened"),1,0)</f>
        <v>0</v>
      </c>
      <c r="S2314" s="7" t="n">
        <f aca="false">IF(AND(H2314&gt;='Exec Summary'!$E$1,H2314&lt;='Exec Summary'!$E$2),1,0)</f>
        <v>0</v>
      </c>
      <c r="T2314" s="7" t="n">
        <f aca="false">IF(AND(F2314="Closed",I2314&lt;&gt;"",I2314&gt;='Exec Summary'!$E$1,I2314&lt;='Exec Summary'!$E$2),1,0)</f>
        <v>0</v>
      </c>
      <c r="U2314" s="7" t="n">
        <f aca="false">IF(F2314="Reopened",1,0)</f>
        <v>0</v>
      </c>
      <c r="V2314" s="7" t="n">
        <f aca="false">IF(AND(R2314=1,O2314&gt;Q2314),1,0)</f>
        <v>0</v>
      </c>
      <c r="W2314" s="7" t="n">
        <f aca="false">IF(AND(T2314=1,P2314&lt;&gt;"",P2314&lt;=Q2314),1,0)</f>
        <v>0</v>
      </c>
    </row>
    <row r="2315" customFormat="false" ht="15" hidden="false" customHeight="false" outlineLevel="0" collapsed="false">
      <c r="A2315" s="7" t="s">
        <v>2758</v>
      </c>
      <c r="B2315" s="7" t="s">
        <v>46</v>
      </c>
      <c r="C2315" s="7" t="s">
        <v>158</v>
      </c>
      <c r="D2315" s="7" t="s">
        <v>173</v>
      </c>
      <c r="E2315" s="7" t="s">
        <v>174</v>
      </c>
      <c r="F2315" s="7" t="s">
        <v>56</v>
      </c>
      <c r="G2315" s="7" t="s">
        <v>19</v>
      </c>
      <c r="H2315" s="9" t="n">
        <v>46191</v>
      </c>
      <c r="I2315" s="9"/>
      <c r="J2315" s="7" t="n">
        <v>9.8</v>
      </c>
      <c r="K2315" s="7" t="s">
        <v>2628</v>
      </c>
      <c r="L2315" s="7" t="s">
        <v>21</v>
      </c>
      <c r="M2315" s="7" t="s">
        <v>2760</v>
      </c>
      <c r="N2315" s="7" t="s">
        <v>58</v>
      </c>
      <c r="O2315" s="10" t="n">
        <f aca="false">'Exec Summary'!$E$2-H2315</f>
        <v>43</v>
      </c>
      <c r="P2315" s="10" t="str">
        <f aca="false">IF(I2315="","",I2315-H2315)</f>
        <v/>
      </c>
      <c r="Q2315" s="10" t="n">
        <f aca="false">VLOOKUP(G2315,$AA$2:$AB$5,2,FALSE())</f>
        <v>15</v>
      </c>
      <c r="R2315" s="7" t="n">
        <f aca="false">IF(OR(F2315="Open",F2315="Reopened"),1,0)</f>
        <v>1</v>
      </c>
      <c r="S2315" s="7" t="n">
        <f aca="false">IF(AND(H2315&gt;='Exec Summary'!$E$1,H2315&lt;='Exec Summary'!$E$2),1,0)</f>
        <v>0</v>
      </c>
      <c r="T2315" s="7" t="n">
        <f aca="false">IF(AND(F2315="Closed",I2315&lt;&gt;"",I2315&gt;='Exec Summary'!$E$1,I2315&lt;='Exec Summary'!$E$2),1,0)</f>
        <v>0</v>
      </c>
      <c r="U2315" s="7" t="n">
        <f aca="false">IF(F2315="Reopened",1,0)</f>
        <v>0</v>
      </c>
      <c r="V2315" s="7" t="n">
        <f aca="false">IF(AND(R2315=1,O2315&gt;Q2315),1,0)</f>
        <v>1</v>
      </c>
      <c r="W2315" s="7" t="n">
        <f aca="false">IF(AND(T2315=1,P2315&lt;&gt;"",P2315&lt;=Q2315),1,0)</f>
        <v>0</v>
      </c>
    </row>
    <row r="2316" customFormat="false" ht="15" hidden="false" customHeight="false" outlineLevel="0" collapsed="false">
      <c r="A2316" s="7" t="s">
        <v>2761</v>
      </c>
      <c r="B2316" s="7" t="s">
        <v>135</v>
      </c>
      <c r="C2316" s="7" t="s">
        <v>247</v>
      </c>
      <c r="D2316" s="7" t="s">
        <v>163</v>
      </c>
      <c r="E2316" s="7" t="s">
        <v>164</v>
      </c>
      <c r="F2316" s="7" t="s">
        <v>50</v>
      </c>
      <c r="G2316" s="7" t="s">
        <v>19</v>
      </c>
      <c r="H2316" s="9" t="n">
        <v>46023</v>
      </c>
      <c r="I2316" s="9" t="n">
        <v>46029</v>
      </c>
      <c r="J2316" s="7" t="n">
        <v>9.1</v>
      </c>
      <c r="K2316" s="7" t="s">
        <v>2628</v>
      </c>
      <c r="L2316" s="7" t="s">
        <v>21</v>
      </c>
      <c r="M2316" s="7" t="s">
        <v>2762</v>
      </c>
      <c r="N2316" s="7" t="s">
        <v>58</v>
      </c>
      <c r="O2316" s="10" t="n">
        <f aca="false">'Exec Summary'!$E$2-H2316</f>
        <v>211</v>
      </c>
      <c r="P2316" s="10" t="n">
        <f aca="false">IF(I2316="","",I2316-H2316)</f>
        <v>6</v>
      </c>
      <c r="Q2316" s="10" t="n">
        <f aca="false">VLOOKUP(G2316,$AA$2:$AB$5,2,FALSE())</f>
        <v>15</v>
      </c>
      <c r="R2316" s="7" t="n">
        <f aca="false">IF(OR(F2316="Open",F2316="Reopened"),1,0)</f>
        <v>0</v>
      </c>
      <c r="S2316" s="7" t="n">
        <f aca="false">IF(AND(H2316&gt;='Exec Summary'!$E$1,H2316&lt;='Exec Summary'!$E$2),1,0)</f>
        <v>0</v>
      </c>
      <c r="T2316" s="7" t="n">
        <f aca="false">IF(AND(F2316="Closed",I2316&lt;&gt;"",I2316&gt;='Exec Summary'!$E$1,I2316&lt;='Exec Summary'!$E$2),1,0)</f>
        <v>0</v>
      </c>
      <c r="U2316" s="7" t="n">
        <f aca="false">IF(F2316="Reopened",1,0)</f>
        <v>0</v>
      </c>
      <c r="V2316" s="7" t="n">
        <f aca="false">IF(AND(R2316=1,O2316&gt;Q2316),1,0)</f>
        <v>0</v>
      </c>
      <c r="W2316" s="7" t="n">
        <f aca="false">IF(AND(T2316=1,P2316&lt;&gt;"",P2316&lt;=Q2316),1,0)</f>
        <v>0</v>
      </c>
    </row>
    <row r="2317" customFormat="false" ht="15" hidden="false" customHeight="false" outlineLevel="0" collapsed="false">
      <c r="A2317" s="7" t="s">
        <v>2761</v>
      </c>
      <c r="B2317" s="7" t="s">
        <v>135</v>
      </c>
      <c r="C2317" s="7" t="s">
        <v>247</v>
      </c>
      <c r="D2317" s="7" t="s">
        <v>81</v>
      </c>
      <c r="E2317" s="7" t="s">
        <v>82</v>
      </c>
      <c r="F2317" s="7" t="s">
        <v>50</v>
      </c>
      <c r="G2317" s="7" t="s">
        <v>20</v>
      </c>
      <c r="H2317" s="9" t="n">
        <v>46134</v>
      </c>
      <c r="I2317" s="9" t="n">
        <v>46171</v>
      </c>
      <c r="J2317" s="7" t="n">
        <v>7.8</v>
      </c>
      <c r="K2317" s="7" t="s">
        <v>2628</v>
      </c>
      <c r="L2317" s="7" t="s">
        <v>21</v>
      </c>
      <c r="M2317" s="7" t="s">
        <v>2763</v>
      </c>
      <c r="N2317" s="7" t="s">
        <v>53</v>
      </c>
      <c r="O2317" s="10" t="n">
        <f aca="false">'Exec Summary'!$E$2-H2317</f>
        <v>100</v>
      </c>
      <c r="P2317" s="10" t="n">
        <f aca="false">IF(I2317="","",I2317-H2317)</f>
        <v>37</v>
      </c>
      <c r="Q2317" s="10" t="n">
        <f aca="false">VLOOKUP(G2317,$AA$2:$AB$5,2,FALSE())</f>
        <v>30</v>
      </c>
      <c r="R2317" s="7" t="n">
        <f aca="false">IF(OR(F2317="Open",F2317="Reopened"),1,0)</f>
        <v>0</v>
      </c>
      <c r="S2317" s="7" t="n">
        <f aca="false">IF(AND(H2317&gt;='Exec Summary'!$E$1,H2317&lt;='Exec Summary'!$E$2),1,0)</f>
        <v>0</v>
      </c>
      <c r="T2317" s="7" t="n">
        <f aca="false">IF(AND(F2317="Closed",I2317&lt;&gt;"",I2317&gt;='Exec Summary'!$E$1,I2317&lt;='Exec Summary'!$E$2),1,0)</f>
        <v>0</v>
      </c>
      <c r="U2317" s="7" t="n">
        <f aca="false">IF(F2317="Reopened",1,0)</f>
        <v>0</v>
      </c>
      <c r="V2317" s="7" t="n">
        <f aca="false">IF(AND(R2317=1,O2317&gt;Q2317),1,0)</f>
        <v>0</v>
      </c>
      <c r="W2317" s="7" t="n">
        <f aca="false">IF(AND(T2317=1,P2317&lt;&gt;"",P2317&lt;=Q2317),1,0)</f>
        <v>0</v>
      </c>
    </row>
    <row r="2318" customFormat="false" ht="15" hidden="false" customHeight="false" outlineLevel="0" collapsed="false">
      <c r="A2318" s="7" t="s">
        <v>2761</v>
      </c>
      <c r="B2318" s="7" t="s">
        <v>135</v>
      </c>
      <c r="C2318" s="7" t="s">
        <v>247</v>
      </c>
      <c r="D2318" s="7" t="s">
        <v>95</v>
      </c>
      <c r="E2318" s="7" t="s">
        <v>96</v>
      </c>
      <c r="F2318" s="7" t="s">
        <v>56</v>
      </c>
      <c r="G2318" s="7" t="s">
        <v>20</v>
      </c>
      <c r="H2318" s="9" t="n">
        <v>46105</v>
      </c>
      <c r="I2318" s="9"/>
      <c r="J2318" s="7" t="n">
        <v>8.8</v>
      </c>
      <c r="K2318" s="7" t="s">
        <v>2628</v>
      </c>
      <c r="L2318" s="7" t="s">
        <v>21</v>
      </c>
      <c r="M2318" s="7" t="s">
        <v>2764</v>
      </c>
      <c r="N2318" s="7" t="s">
        <v>53</v>
      </c>
      <c r="O2318" s="10" t="n">
        <f aca="false">'Exec Summary'!$E$2-H2318</f>
        <v>129</v>
      </c>
      <c r="P2318" s="10" t="str">
        <f aca="false">IF(I2318="","",I2318-H2318)</f>
        <v/>
      </c>
      <c r="Q2318" s="10" t="n">
        <f aca="false">VLOOKUP(G2318,$AA$2:$AB$5,2,FALSE())</f>
        <v>30</v>
      </c>
      <c r="R2318" s="7" t="n">
        <f aca="false">IF(OR(F2318="Open",F2318="Reopened"),1,0)</f>
        <v>1</v>
      </c>
      <c r="S2318" s="7" t="n">
        <f aca="false">IF(AND(H2318&gt;='Exec Summary'!$E$1,H2318&lt;='Exec Summary'!$E$2),1,0)</f>
        <v>0</v>
      </c>
      <c r="T2318" s="7" t="n">
        <f aca="false">IF(AND(F2318="Closed",I2318&lt;&gt;"",I2318&gt;='Exec Summary'!$E$1,I2318&lt;='Exec Summary'!$E$2),1,0)</f>
        <v>0</v>
      </c>
      <c r="U2318" s="7" t="n">
        <f aca="false">IF(F2318="Reopened",1,0)</f>
        <v>0</v>
      </c>
      <c r="V2318" s="7" t="n">
        <f aca="false">IF(AND(R2318=1,O2318&gt;Q2318),1,0)</f>
        <v>1</v>
      </c>
      <c r="W2318" s="7" t="n">
        <f aca="false">IF(AND(T2318=1,P2318&lt;&gt;"",P2318&lt;=Q2318),1,0)</f>
        <v>0</v>
      </c>
    </row>
    <row r="2319" customFormat="false" ht="15" hidden="false" customHeight="false" outlineLevel="0" collapsed="false">
      <c r="A2319" s="7" t="s">
        <v>2765</v>
      </c>
      <c r="B2319" s="7" t="s">
        <v>46</v>
      </c>
      <c r="C2319" s="7" t="s">
        <v>177</v>
      </c>
      <c r="D2319" s="7" t="s">
        <v>68</v>
      </c>
      <c r="E2319" s="7" t="s">
        <v>69</v>
      </c>
      <c r="F2319" s="7" t="s">
        <v>123</v>
      </c>
      <c r="G2319" s="7" t="s">
        <v>19</v>
      </c>
      <c r="H2319" s="9" t="n">
        <v>45963</v>
      </c>
      <c r="I2319" s="9" t="n">
        <v>45971</v>
      </c>
      <c r="J2319" s="7" t="n">
        <v>9.8</v>
      </c>
      <c r="K2319" s="7" t="s">
        <v>2628</v>
      </c>
      <c r="L2319" s="7" t="s">
        <v>21</v>
      </c>
      <c r="M2319" s="7" t="s">
        <v>2766</v>
      </c>
      <c r="N2319" s="7" t="s">
        <v>58</v>
      </c>
      <c r="O2319" s="10" t="n">
        <f aca="false">'Exec Summary'!$E$2-H2319</f>
        <v>271</v>
      </c>
      <c r="P2319" s="10" t="n">
        <f aca="false">IF(I2319="","",I2319-H2319)</f>
        <v>8</v>
      </c>
      <c r="Q2319" s="10" t="n">
        <f aca="false">VLOOKUP(G2319,$AA$2:$AB$5,2,FALSE())</f>
        <v>15</v>
      </c>
      <c r="R2319" s="7" t="n">
        <f aca="false">IF(OR(F2319="Open",F2319="Reopened"),1,0)</f>
        <v>1</v>
      </c>
      <c r="S2319" s="7" t="n">
        <f aca="false">IF(AND(H2319&gt;='Exec Summary'!$E$1,H2319&lt;='Exec Summary'!$E$2),1,0)</f>
        <v>0</v>
      </c>
      <c r="T2319" s="7" t="n">
        <f aca="false">IF(AND(F2319="Closed",I2319&lt;&gt;"",I2319&gt;='Exec Summary'!$E$1,I2319&lt;='Exec Summary'!$E$2),1,0)</f>
        <v>0</v>
      </c>
      <c r="U2319" s="7" t="n">
        <f aca="false">IF(F2319="Reopened",1,0)</f>
        <v>1</v>
      </c>
      <c r="V2319" s="7" t="n">
        <f aca="false">IF(AND(R2319=1,O2319&gt;Q2319),1,0)</f>
        <v>1</v>
      </c>
      <c r="W2319" s="7" t="n">
        <f aca="false">IF(AND(T2319=1,P2319&lt;&gt;"",P2319&lt;=Q2319),1,0)</f>
        <v>0</v>
      </c>
    </row>
    <row r="2320" customFormat="false" ht="15" hidden="false" customHeight="false" outlineLevel="0" collapsed="false">
      <c r="A2320" s="7" t="s">
        <v>2765</v>
      </c>
      <c r="B2320" s="7" t="s">
        <v>46</v>
      </c>
      <c r="C2320" s="7" t="s">
        <v>177</v>
      </c>
      <c r="D2320" s="7" t="s">
        <v>91</v>
      </c>
      <c r="E2320" s="7" t="s">
        <v>92</v>
      </c>
      <c r="F2320" s="7" t="s">
        <v>50</v>
      </c>
      <c r="G2320" s="7" t="s">
        <v>20</v>
      </c>
      <c r="H2320" s="9" t="n">
        <v>46207</v>
      </c>
      <c r="I2320" s="9" t="n">
        <v>46225</v>
      </c>
      <c r="J2320" s="7" t="n">
        <v>8.1</v>
      </c>
      <c r="K2320" s="7" t="s">
        <v>2628</v>
      </c>
      <c r="L2320" s="7" t="s">
        <v>21</v>
      </c>
      <c r="M2320" s="7" t="s">
        <v>2767</v>
      </c>
      <c r="N2320" s="7" t="s">
        <v>53</v>
      </c>
      <c r="O2320" s="10" t="n">
        <f aca="false">'Exec Summary'!$E$2-H2320</f>
        <v>27</v>
      </c>
      <c r="P2320" s="10" t="n">
        <f aca="false">IF(I2320="","",I2320-H2320)</f>
        <v>18</v>
      </c>
      <c r="Q2320" s="10" t="n">
        <f aca="false">VLOOKUP(G2320,$AA$2:$AB$5,2,FALSE())</f>
        <v>30</v>
      </c>
      <c r="R2320" s="7" t="n">
        <f aca="false">IF(OR(F2320="Open",F2320="Reopened"),1,0)</f>
        <v>0</v>
      </c>
      <c r="S2320" s="7" t="n">
        <f aca="false">IF(AND(H2320&gt;='Exec Summary'!$E$1,H2320&lt;='Exec Summary'!$E$2),1,0)</f>
        <v>1</v>
      </c>
      <c r="T2320" s="7" t="n">
        <f aca="false">IF(AND(F2320="Closed",I2320&lt;&gt;"",I2320&gt;='Exec Summary'!$E$1,I2320&lt;='Exec Summary'!$E$2),1,0)</f>
        <v>1</v>
      </c>
      <c r="U2320" s="7" t="n">
        <f aca="false">IF(F2320="Reopened",1,0)</f>
        <v>0</v>
      </c>
      <c r="V2320" s="7" t="n">
        <f aca="false">IF(AND(R2320=1,O2320&gt;Q2320),1,0)</f>
        <v>0</v>
      </c>
      <c r="W2320" s="7" t="n">
        <f aca="false">IF(AND(T2320=1,P2320&lt;&gt;"",P2320&lt;=Q2320),1,0)</f>
        <v>1</v>
      </c>
    </row>
    <row r="2321" customFormat="false" ht="15" hidden="false" customHeight="false" outlineLevel="0" collapsed="false">
      <c r="A2321" s="7" t="s">
        <v>2765</v>
      </c>
      <c r="B2321" s="7" t="s">
        <v>46</v>
      </c>
      <c r="C2321" s="7" t="s">
        <v>177</v>
      </c>
      <c r="D2321" s="7" t="s">
        <v>163</v>
      </c>
      <c r="E2321" s="7" t="s">
        <v>164</v>
      </c>
      <c r="F2321" s="7" t="s">
        <v>56</v>
      </c>
      <c r="G2321" s="7" t="s">
        <v>19</v>
      </c>
      <c r="H2321" s="9" t="n">
        <v>46007</v>
      </c>
      <c r="I2321" s="9"/>
      <c r="J2321" s="7" t="n">
        <v>9.1</v>
      </c>
      <c r="K2321" s="7" t="s">
        <v>2628</v>
      </c>
      <c r="L2321" s="7" t="s">
        <v>21</v>
      </c>
      <c r="M2321" s="7" t="s">
        <v>2768</v>
      </c>
      <c r="N2321" s="7" t="s">
        <v>58</v>
      </c>
      <c r="O2321" s="10" t="n">
        <f aca="false">'Exec Summary'!$E$2-H2321</f>
        <v>227</v>
      </c>
      <c r="P2321" s="10" t="str">
        <f aca="false">IF(I2321="","",I2321-H2321)</f>
        <v/>
      </c>
      <c r="Q2321" s="10" t="n">
        <f aca="false">VLOOKUP(G2321,$AA$2:$AB$5,2,FALSE())</f>
        <v>15</v>
      </c>
      <c r="R2321" s="7" t="n">
        <f aca="false">IF(OR(F2321="Open",F2321="Reopened"),1,0)</f>
        <v>1</v>
      </c>
      <c r="S2321" s="7" t="n">
        <f aca="false">IF(AND(H2321&gt;='Exec Summary'!$E$1,H2321&lt;='Exec Summary'!$E$2),1,0)</f>
        <v>0</v>
      </c>
      <c r="T2321" s="7" t="n">
        <f aca="false">IF(AND(F2321="Closed",I2321&lt;&gt;"",I2321&gt;='Exec Summary'!$E$1,I2321&lt;='Exec Summary'!$E$2),1,0)</f>
        <v>0</v>
      </c>
      <c r="U2321" s="7" t="n">
        <f aca="false">IF(F2321="Reopened",1,0)</f>
        <v>0</v>
      </c>
      <c r="V2321" s="7" t="n">
        <f aca="false">IF(AND(R2321=1,O2321&gt;Q2321),1,0)</f>
        <v>1</v>
      </c>
      <c r="W2321" s="7" t="n">
        <f aca="false">IF(AND(T2321=1,P2321&lt;&gt;"",P2321&lt;=Q2321),1,0)</f>
        <v>0</v>
      </c>
    </row>
    <row r="2322" customFormat="false" ht="15" hidden="false" customHeight="false" outlineLevel="0" collapsed="false">
      <c r="A2322" s="7" t="s">
        <v>2769</v>
      </c>
      <c r="B2322" s="7" t="s">
        <v>46</v>
      </c>
      <c r="C2322" s="7" t="s">
        <v>158</v>
      </c>
      <c r="D2322" s="7" t="s">
        <v>131</v>
      </c>
      <c r="E2322" s="7" t="s">
        <v>132</v>
      </c>
      <c r="F2322" s="7" t="s">
        <v>56</v>
      </c>
      <c r="G2322" s="7" t="s">
        <v>19</v>
      </c>
      <c r="H2322" s="9" t="n">
        <v>46177</v>
      </c>
      <c r="I2322" s="9"/>
      <c r="J2322" s="7" t="n">
        <v>9.8</v>
      </c>
      <c r="K2322" s="7" t="s">
        <v>2628</v>
      </c>
      <c r="L2322" s="7" t="s">
        <v>21</v>
      </c>
      <c r="M2322" s="7" t="s">
        <v>2770</v>
      </c>
      <c r="N2322" s="7" t="s">
        <v>58</v>
      </c>
      <c r="O2322" s="10" t="n">
        <f aca="false">'Exec Summary'!$E$2-H2322</f>
        <v>57</v>
      </c>
      <c r="P2322" s="10" t="str">
        <f aca="false">IF(I2322="","",I2322-H2322)</f>
        <v/>
      </c>
      <c r="Q2322" s="10" t="n">
        <f aca="false">VLOOKUP(G2322,$AA$2:$AB$5,2,FALSE())</f>
        <v>15</v>
      </c>
      <c r="R2322" s="7" t="n">
        <f aca="false">IF(OR(F2322="Open",F2322="Reopened"),1,0)</f>
        <v>1</v>
      </c>
      <c r="S2322" s="7" t="n">
        <f aca="false">IF(AND(H2322&gt;='Exec Summary'!$E$1,H2322&lt;='Exec Summary'!$E$2),1,0)</f>
        <v>0</v>
      </c>
      <c r="T2322" s="7" t="n">
        <f aca="false">IF(AND(F2322="Closed",I2322&lt;&gt;"",I2322&gt;='Exec Summary'!$E$1,I2322&lt;='Exec Summary'!$E$2),1,0)</f>
        <v>0</v>
      </c>
      <c r="U2322" s="7" t="n">
        <f aca="false">IF(F2322="Reopened",1,0)</f>
        <v>0</v>
      </c>
      <c r="V2322" s="7" t="n">
        <f aca="false">IF(AND(R2322=1,O2322&gt;Q2322),1,0)</f>
        <v>1</v>
      </c>
      <c r="W2322" s="7" t="n">
        <f aca="false">IF(AND(T2322=1,P2322&lt;&gt;"",P2322&lt;=Q2322),1,0)</f>
        <v>0</v>
      </c>
    </row>
    <row r="2323" customFormat="false" ht="15" hidden="false" customHeight="false" outlineLevel="0" collapsed="false">
      <c r="A2323" s="7" t="s">
        <v>2769</v>
      </c>
      <c r="B2323" s="7" t="s">
        <v>46</v>
      </c>
      <c r="C2323" s="7" t="s">
        <v>158</v>
      </c>
      <c r="D2323" s="7" t="s">
        <v>81</v>
      </c>
      <c r="E2323" s="7" t="s">
        <v>82</v>
      </c>
      <c r="F2323" s="7" t="s">
        <v>56</v>
      </c>
      <c r="G2323" s="7" t="s">
        <v>20</v>
      </c>
      <c r="H2323" s="9" t="n">
        <v>46078</v>
      </c>
      <c r="I2323" s="9"/>
      <c r="J2323" s="7" t="n">
        <v>7.8</v>
      </c>
      <c r="K2323" s="7" t="s">
        <v>2628</v>
      </c>
      <c r="L2323" s="7" t="s">
        <v>21</v>
      </c>
      <c r="M2323" s="7" t="s">
        <v>2771</v>
      </c>
      <c r="N2323" s="7" t="s">
        <v>53</v>
      </c>
      <c r="O2323" s="10" t="n">
        <f aca="false">'Exec Summary'!$E$2-H2323</f>
        <v>156</v>
      </c>
      <c r="P2323" s="10" t="str">
        <f aca="false">IF(I2323="","",I2323-H2323)</f>
        <v/>
      </c>
      <c r="Q2323" s="10" t="n">
        <f aca="false">VLOOKUP(G2323,$AA$2:$AB$5,2,FALSE())</f>
        <v>30</v>
      </c>
      <c r="R2323" s="7" t="n">
        <f aca="false">IF(OR(F2323="Open",F2323="Reopened"),1,0)</f>
        <v>1</v>
      </c>
      <c r="S2323" s="7" t="n">
        <f aca="false">IF(AND(H2323&gt;='Exec Summary'!$E$1,H2323&lt;='Exec Summary'!$E$2),1,0)</f>
        <v>0</v>
      </c>
      <c r="T2323" s="7" t="n">
        <f aca="false">IF(AND(F2323="Closed",I2323&lt;&gt;"",I2323&gt;='Exec Summary'!$E$1,I2323&lt;='Exec Summary'!$E$2),1,0)</f>
        <v>0</v>
      </c>
      <c r="U2323" s="7" t="n">
        <f aca="false">IF(F2323="Reopened",1,0)</f>
        <v>0</v>
      </c>
      <c r="V2323" s="7" t="n">
        <f aca="false">IF(AND(R2323=1,O2323&gt;Q2323),1,0)</f>
        <v>1</v>
      </c>
      <c r="W2323" s="7" t="n">
        <f aca="false">IF(AND(T2323=1,P2323&lt;&gt;"",P2323&lt;=Q2323),1,0)</f>
        <v>0</v>
      </c>
    </row>
    <row r="2324" customFormat="false" ht="15" hidden="false" customHeight="false" outlineLevel="0" collapsed="false">
      <c r="A2324" s="7" t="s">
        <v>2769</v>
      </c>
      <c r="B2324" s="7" t="s">
        <v>46</v>
      </c>
      <c r="C2324" s="7" t="s">
        <v>158</v>
      </c>
      <c r="D2324" s="7" t="s">
        <v>54</v>
      </c>
      <c r="E2324" s="7" t="s">
        <v>55</v>
      </c>
      <c r="F2324" s="7" t="s">
        <v>56</v>
      </c>
      <c r="G2324" s="7" t="s">
        <v>19</v>
      </c>
      <c r="H2324" s="9" t="n">
        <v>46164</v>
      </c>
      <c r="I2324" s="9"/>
      <c r="J2324" s="7" t="n">
        <v>9.8</v>
      </c>
      <c r="K2324" s="7" t="s">
        <v>2628</v>
      </c>
      <c r="L2324" s="7" t="s">
        <v>21</v>
      </c>
      <c r="M2324" s="7" t="s">
        <v>2772</v>
      </c>
      <c r="N2324" s="7" t="s">
        <v>58</v>
      </c>
      <c r="O2324" s="10" t="n">
        <f aca="false">'Exec Summary'!$E$2-H2324</f>
        <v>70</v>
      </c>
      <c r="P2324" s="10" t="str">
        <f aca="false">IF(I2324="","",I2324-H2324)</f>
        <v/>
      </c>
      <c r="Q2324" s="10" t="n">
        <f aca="false">VLOOKUP(G2324,$AA$2:$AB$5,2,FALSE())</f>
        <v>15</v>
      </c>
      <c r="R2324" s="7" t="n">
        <f aca="false">IF(OR(F2324="Open",F2324="Reopened"),1,0)</f>
        <v>1</v>
      </c>
      <c r="S2324" s="7" t="n">
        <f aca="false">IF(AND(H2324&gt;='Exec Summary'!$E$1,H2324&lt;='Exec Summary'!$E$2),1,0)</f>
        <v>0</v>
      </c>
      <c r="T2324" s="7" t="n">
        <f aca="false">IF(AND(F2324="Closed",I2324&lt;&gt;"",I2324&gt;='Exec Summary'!$E$1,I2324&lt;='Exec Summary'!$E$2),1,0)</f>
        <v>0</v>
      </c>
      <c r="U2324" s="7" t="n">
        <f aca="false">IF(F2324="Reopened",1,0)</f>
        <v>0</v>
      </c>
      <c r="V2324" s="7" t="n">
        <f aca="false">IF(AND(R2324=1,O2324&gt;Q2324),1,0)</f>
        <v>1</v>
      </c>
      <c r="W2324" s="7" t="n">
        <f aca="false">IF(AND(T2324=1,P2324&lt;&gt;"",P2324&lt;=Q2324),1,0)</f>
        <v>0</v>
      </c>
    </row>
    <row r="2325" customFormat="false" ht="15" hidden="false" customHeight="false" outlineLevel="0" collapsed="false">
      <c r="A2325" s="7" t="s">
        <v>2769</v>
      </c>
      <c r="B2325" s="7" t="s">
        <v>46</v>
      </c>
      <c r="C2325" s="7" t="s">
        <v>158</v>
      </c>
      <c r="D2325" s="7" t="s">
        <v>152</v>
      </c>
      <c r="E2325" s="7" t="s">
        <v>153</v>
      </c>
      <c r="F2325" s="7" t="s">
        <v>56</v>
      </c>
      <c r="G2325" s="7" t="s">
        <v>20</v>
      </c>
      <c r="H2325" s="9" t="n">
        <v>46185</v>
      </c>
      <c r="I2325" s="9"/>
      <c r="J2325" s="7" t="n">
        <v>7.5</v>
      </c>
      <c r="K2325" s="7" t="s">
        <v>2628</v>
      </c>
      <c r="L2325" s="7" t="s">
        <v>21</v>
      </c>
      <c r="M2325" s="7" t="s">
        <v>2773</v>
      </c>
      <c r="N2325" s="7" t="s">
        <v>53</v>
      </c>
      <c r="O2325" s="10" t="n">
        <f aca="false">'Exec Summary'!$E$2-H2325</f>
        <v>49</v>
      </c>
      <c r="P2325" s="10" t="str">
        <f aca="false">IF(I2325="","",I2325-H2325)</f>
        <v/>
      </c>
      <c r="Q2325" s="10" t="n">
        <f aca="false">VLOOKUP(G2325,$AA$2:$AB$5,2,FALSE())</f>
        <v>30</v>
      </c>
      <c r="R2325" s="7" t="n">
        <f aca="false">IF(OR(F2325="Open",F2325="Reopened"),1,0)</f>
        <v>1</v>
      </c>
      <c r="S2325" s="7" t="n">
        <f aca="false">IF(AND(H2325&gt;='Exec Summary'!$E$1,H2325&lt;='Exec Summary'!$E$2),1,0)</f>
        <v>0</v>
      </c>
      <c r="T2325" s="7" t="n">
        <f aca="false">IF(AND(F2325="Closed",I2325&lt;&gt;"",I2325&gt;='Exec Summary'!$E$1,I2325&lt;='Exec Summary'!$E$2),1,0)</f>
        <v>0</v>
      </c>
      <c r="U2325" s="7" t="n">
        <f aca="false">IF(F2325="Reopened",1,0)</f>
        <v>0</v>
      </c>
      <c r="V2325" s="7" t="n">
        <f aca="false">IF(AND(R2325=1,O2325&gt;Q2325),1,0)</f>
        <v>1</v>
      </c>
      <c r="W2325" s="7" t="n">
        <f aca="false">IF(AND(T2325=1,P2325&lt;&gt;"",P2325&lt;=Q2325),1,0)</f>
        <v>0</v>
      </c>
    </row>
    <row r="2326" customFormat="false" ht="15" hidden="false" customHeight="false" outlineLevel="0" collapsed="false">
      <c r="A2326" s="7" t="s">
        <v>2769</v>
      </c>
      <c r="B2326" s="7" t="s">
        <v>46</v>
      </c>
      <c r="C2326" s="7" t="s">
        <v>158</v>
      </c>
      <c r="D2326" s="7" t="s">
        <v>104</v>
      </c>
      <c r="E2326" s="7" t="s">
        <v>105</v>
      </c>
      <c r="F2326" s="7" t="s">
        <v>50</v>
      </c>
      <c r="G2326" s="7" t="s">
        <v>19</v>
      </c>
      <c r="H2326" s="9" t="n">
        <v>46166</v>
      </c>
      <c r="I2326" s="9" t="n">
        <v>46167</v>
      </c>
      <c r="J2326" s="7" t="n">
        <v>9.8</v>
      </c>
      <c r="K2326" s="7" t="s">
        <v>2628</v>
      </c>
      <c r="L2326" s="7" t="s">
        <v>21</v>
      </c>
      <c r="M2326" s="7" t="s">
        <v>2774</v>
      </c>
      <c r="N2326" s="7" t="s">
        <v>58</v>
      </c>
      <c r="O2326" s="10" t="n">
        <f aca="false">'Exec Summary'!$E$2-H2326</f>
        <v>68</v>
      </c>
      <c r="P2326" s="10" t="n">
        <f aca="false">IF(I2326="","",I2326-H2326)</f>
        <v>1</v>
      </c>
      <c r="Q2326" s="10" t="n">
        <f aca="false">VLOOKUP(G2326,$AA$2:$AB$5,2,FALSE())</f>
        <v>15</v>
      </c>
      <c r="R2326" s="7" t="n">
        <f aca="false">IF(OR(F2326="Open",F2326="Reopened"),1,0)</f>
        <v>0</v>
      </c>
      <c r="S2326" s="7" t="n">
        <f aca="false">IF(AND(H2326&gt;='Exec Summary'!$E$1,H2326&lt;='Exec Summary'!$E$2),1,0)</f>
        <v>0</v>
      </c>
      <c r="T2326" s="7" t="n">
        <f aca="false">IF(AND(F2326="Closed",I2326&lt;&gt;"",I2326&gt;='Exec Summary'!$E$1,I2326&lt;='Exec Summary'!$E$2),1,0)</f>
        <v>0</v>
      </c>
      <c r="U2326" s="7" t="n">
        <f aca="false">IF(F2326="Reopened",1,0)</f>
        <v>0</v>
      </c>
      <c r="V2326" s="7" t="n">
        <f aca="false">IF(AND(R2326=1,O2326&gt;Q2326),1,0)</f>
        <v>0</v>
      </c>
      <c r="W2326" s="7" t="n">
        <f aca="false">IF(AND(T2326=1,P2326&lt;&gt;"",P2326&lt;=Q2326),1,0)</f>
        <v>0</v>
      </c>
    </row>
    <row r="2327" customFormat="false" ht="15" hidden="false" customHeight="false" outlineLevel="0" collapsed="false">
      <c r="A2327" s="7" t="s">
        <v>2769</v>
      </c>
      <c r="B2327" s="7" t="s">
        <v>46</v>
      </c>
      <c r="C2327" s="7" t="s">
        <v>158</v>
      </c>
      <c r="D2327" s="7" t="s">
        <v>192</v>
      </c>
      <c r="E2327" s="7" t="s">
        <v>193</v>
      </c>
      <c r="F2327" s="7" t="s">
        <v>56</v>
      </c>
      <c r="G2327" s="7" t="s">
        <v>19</v>
      </c>
      <c r="H2327" s="9" t="n">
        <v>46208</v>
      </c>
      <c r="I2327" s="9"/>
      <c r="J2327" s="7" t="n">
        <v>9.8</v>
      </c>
      <c r="K2327" s="7" t="s">
        <v>2628</v>
      </c>
      <c r="L2327" s="7" t="s">
        <v>21</v>
      </c>
      <c r="M2327" s="7" t="s">
        <v>2775</v>
      </c>
      <c r="N2327" s="7" t="s">
        <v>58</v>
      </c>
      <c r="O2327" s="10" t="n">
        <f aca="false">'Exec Summary'!$E$2-H2327</f>
        <v>26</v>
      </c>
      <c r="P2327" s="10" t="str">
        <f aca="false">IF(I2327="","",I2327-H2327)</f>
        <v/>
      </c>
      <c r="Q2327" s="10" t="n">
        <f aca="false">VLOOKUP(G2327,$AA$2:$AB$5,2,FALSE())</f>
        <v>15</v>
      </c>
      <c r="R2327" s="7" t="n">
        <f aca="false">IF(OR(F2327="Open",F2327="Reopened"),1,0)</f>
        <v>1</v>
      </c>
      <c r="S2327" s="7" t="n">
        <f aca="false">IF(AND(H2327&gt;='Exec Summary'!$E$1,H2327&lt;='Exec Summary'!$E$2),1,0)</f>
        <v>1</v>
      </c>
      <c r="T2327" s="7" t="n">
        <f aca="false">IF(AND(F2327="Closed",I2327&lt;&gt;"",I2327&gt;='Exec Summary'!$E$1,I2327&lt;='Exec Summary'!$E$2),1,0)</f>
        <v>0</v>
      </c>
      <c r="U2327" s="7" t="n">
        <f aca="false">IF(F2327="Reopened",1,0)</f>
        <v>0</v>
      </c>
      <c r="V2327" s="7" t="n">
        <f aca="false">IF(AND(R2327=1,O2327&gt;Q2327),1,0)</f>
        <v>1</v>
      </c>
      <c r="W2327" s="7" t="n">
        <f aca="false">IF(AND(T2327=1,P2327&lt;&gt;"",P2327&lt;=Q2327),1,0)</f>
        <v>0</v>
      </c>
    </row>
    <row r="2328" customFormat="false" ht="15" hidden="false" customHeight="false" outlineLevel="0" collapsed="false">
      <c r="A2328" s="7" t="s">
        <v>2769</v>
      </c>
      <c r="B2328" s="7" t="s">
        <v>46</v>
      </c>
      <c r="C2328" s="7" t="s">
        <v>158</v>
      </c>
      <c r="D2328" s="7" t="s">
        <v>71</v>
      </c>
      <c r="E2328" s="7" t="s">
        <v>72</v>
      </c>
      <c r="F2328" s="7" t="s">
        <v>50</v>
      </c>
      <c r="G2328" s="7" t="s">
        <v>19</v>
      </c>
      <c r="H2328" s="9" t="n">
        <v>46007</v>
      </c>
      <c r="I2328" s="9" t="n">
        <v>46016</v>
      </c>
      <c r="J2328" s="7" t="n">
        <v>9.8</v>
      </c>
      <c r="K2328" s="7" t="s">
        <v>2628</v>
      </c>
      <c r="L2328" s="7" t="s">
        <v>21</v>
      </c>
      <c r="M2328" s="7" t="s">
        <v>2776</v>
      </c>
      <c r="N2328" s="7" t="s">
        <v>58</v>
      </c>
      <c r="O2328" s="10" t="n">
        <f aca="false">'Exec Summary'!$E$2-H2328</f>
        <v>227</v>
      </c>
      <c r="P2328" s="10" t="n">
        <f aca="false">IF(I2328="","",I2328-H2328)</f>
        <v>9</v>
      </c>
      <c r="Q2328" s="10" t="n">
        <f aca="false">VLOOKUP(G2328,$AA$2:$AB$5,2,FALSE())</f>
        <v>15</v>
      </c>
      <c r="R2328" s="7" t="n">
        <f aca="false">IF(OR(F2328="Open",F2328="Reopened"),1,0)</f>
        <v>0</v>
      </c>
      <c r="S2328" s="7" t="n">
        <f aca="false">IF(AND(H2328&gt;='Exec Summary'!$E$1,H2328&lt;='Exec Summary'!$E$2),1,0)</f>
        <v>0</v>
      </c>
      <c r="T2328" s="7" t="n">
        <f aca="false">IF(AND(F2328="Closed",I2328&lt;&gt;"",I2328&gt;='Exec Summary'!$E$1,I2328&lt;='Exec Summary'!$E$2),1,0)</f>
        <v>0</v>
      </c>
      <c r="U2328" s="7" t="n">
        <f aca="false">IF(F2328="Reopened",1,0)</f>
        <v>0</v>
      </c>
      <c r="V2328" s="7" t="n">
        <f aca="false">IF(AND(R2328=1,O2328&gt;Q2328),1,0)</f>
        <v>0</v>
      </c>
      <c r="W2328" s="7" t="n">
        <f aca="false">IF(AND(T2328=1,P2328&lt;&gt;"",P2328&lt;=Q2328),1,0)</f>
        <v>0</v>
      </c>
    </row>
    <row r="2329" customFormat="false" ht="15" hidden="false" customHeight="false" outlineLevel="0" collapsed="false">
      <c r="A2329" s="7" t="s">
        <v>2769</v>
      </c>
      <c r="B2329" s="7" t="s">
        <v>46</v>
      </c>
      <c r="C2329" s="7" t="s">
        <v>158</v>
      </c>
      <c r="D2329" s="7" t="s">
        <v>91</v>
      </c>
      <c r="E2329" s="7" t="s">
        <v>92</v>
      </c>
      <c r="F2329" s="7" t="s">
        <v>123</v>
      </c>
      <c r="G2329" s="7" t="s">
        <v>20</v>
      </c>
      <c r="H2329" s="9" t="n">
        <v>46016</v>
      </c>
      <c r="I2329" s="9" t="n">
        <v>46017</v>
      </c>
      <c r="J2329" s="7" t="n">
        <v>8.1</v>
      </c>
      <c r="K2329" s="7" t="s">
        <v>2628</v>
      </c>
      <c r="L2329" s="7" t="s">
        <v>21</v>
      </c>
      <c r="M2329" s="7" t="s">
        <v>2777</v>
      </c>
      <c r="N2329" s="7" t="s">
        <v>53</v>
      </c>
      <c r="O2329" s="10" t="n">
        <f aca="false">'Exec Summary'!$E$2-H2329</f>
        <v>218</v>
      </c>
      <c r="P2329" s="10" t="n">
        <f aca="false">IF(I2329="","",I2329-H2329)</f>
        <v>1</v>
      </c>
      <c r="Q2329" s="10" t="n">
        <f aca="false">VLOOKUP(G2329,$AA$2:$AB$5,2,FALSE())</f>
        <v>30</v>
      </c>
      <c r="R2329" s="7" t="n">
        <f aca="false">IF(OR(F2329="Open",F2329="Reopened"),1,0)</f>
        <v>1</v>
      </c>
      <c r="S2329" s="7" t="n">
        <f aca="false">IF(AND(H2329&gt;='Exec Summary'!$E$1,H2329&lt;='Exec Summary'!$E$2),1,0)</f>
        <v>0</v>
      </c>
      <c r="T2329" s="7" t="n">
        <f aca="false">IF(AND(F2329="Closed",I2329&lt;&gt;"",I2329&gt;='Exec Summary'!$E$1,I2329&lt;='Exec Summary'!$E$2),1,0)</f>
        <v>0</v>
      </c>
      <c r="U2329" s="7" t="n">
        <f aca="false">IF(F2329="Reopened",1,0)</f>
        <v>1</v>
      </c>
      <c r="V2329" s="7" t="n">
        <f aca="false">IF(AND(R2329=1,O2329&gt;Q2329),1,0)</f>
        <v>1</v>
      </c>
      <c r="W2329" s="7" t="n">
        <f aca="false">IF(AND(T2329=1,P2329&lt;&gt;"",P2329&lt;=Q2329),1,0)</f>
        <v>0</v>
      </c>
    </row>
    <row r="2330" customFormat="false" ht="15" hidden="false" customHeight="false" outlineLevel="0" collapsed="false">
      <c r="A2330" s="7" t="s">
        <v>2769</v>
      </c>
      <c r="B2330" s="7" t="s">
        <v>46</v>
      </c>
      <c r="C2330" s="7" t="s">
        <v>158</v>
      </c>
      <c r="D2330" s="7" t="s">
        <v>84</v>
      </c>
      <c r="E2330" s="7" t="s">
        <v>85</v>
      </c>
      <c r="F2330" s="7" t="s">
        <v>50</v>
      </c>
      <c r="G2330" s="7" t="s">
        <v>20</v>
      </c>
      <c r="H2330" s="9" t="n">
        <v>46007</v>
      </c>
      <c r="I2330" s="9" t="n">
        <v>46008</v>
      </c>
      <c r="J2330" s="7" t="n">
        <v>7.5</v>
      </c>
      <c r="K2330" s="7" t="s">
        <v>2628</v>
      </c>
      <c r="L2330" s="7" t="s">
        <v>21</v>
      </c>
      <c r="M2330" s="7" t="s">
        <v>2778</v>
      </c>
      <c r="N2330" s="7" t="s">
        <v>53</v>
      </c>
      <c r="O2330" s="10" t="n">
        <f aca="false">'Exec Summary'!$E$2-H2330</f>
        <v>227</v>
      </c>
      <c r="P2330" s="10" t="n">
        <f aca="false">IF(I2330="","",I2330-H2330)</f>
        <v>1</v>
      </c>
      <c r="Q2330" s="10" t="n">
        <f aca="false">VLOOKUP(G2330,$AA$2:$AB$5,2,FALSE())</f>
        <v>30</v>
      </c>
      <c r="R2330" s="7" t="n">
        <f aca="false">IF(OR(F2330="Open",F2330="Reopened"),1,0)</f>
        <v>0</v>
      </c>
      <c r="S2330" s="7" t="n">
        <f aca="false">IF(AND(H2330&gt;='Exec Summary'!$E$1,H2330&lt;='Exec Summary'!$E$2),1,0)</f>
        <v>0</v>
      </c>
      <c r="T2330" s="7" t="n">
        <f aca="false">IF(AND(F2330="Closed",I2330&lt;&gt;"",I2330&gt;='Exec Summary'!$E$1,I2330&lt;='Exec Summary'!$E$2),1,0)</f>
        <v>0</v>
      </c>
      <c r="U2330" s="7" t="n">
        <f aca="false">IF(F2330="Reopened",1,0)</f>
        <v>0</v>
      </c>
      <c r="V2330" s="7" t="n">
        <f aca="false">IF(AND(R2330=1,O2330&gt;Q2330),1,0)</f>
        <v>0</v>
      </c>
      <c r="W2330" s="7" t="n">
        <f aca="false">IF(AND(T2330=1,P2330&lt;&gt;"",P2330&lt;=Q2330),1,0)</f>
        <v>0</v>
      </c>
    </row>
    <row r="2331" customFormat="false" ht="15" hidden="false" customHeight="false" outlineLevel="0" collapsed="false">
      <c r="A2331" s="7" t="s">
        <v>2769</v>
      </c>
      <c r="B2331" s="7" t="s">
        <v>46</v>
      </c>
      <c r="C2331" s="7" t="s">
        <v>158</v>
      </c>
      <c r="D2331" s="7" t="s">
        <v>101</v>
      </c>
      <c r="E2331" s="7" t="s">
        <v>102</v>
      </c>
      <c r="F2331" s="7" t="s">
        <v>56</v>
      </c>
      <c r="G2331" s="7" t="s">
        <v>19</v>
      </c>
      <c r="H2331" s="9" t="n">
        <v>45998</v>
      </c>
      <c r="I2331" s="9"/>
      <c r="J2331" s="7" t="n">
        <v>10</v>
      </c>
      <c r="K2331" s="7" t="s">
        <v>2628</v>
      </c>
      <c r="L2331" s="7" t="s">
        <v>21</v>
      </c>
      <c r="M2331" s="7" t="s">
        <v>2779</v>
      </c>
      <c r="N2331" s="7" t="s">
        <v>58</v>
      </c>
      <c r="O2331" s="10" t="n">
        <f aca="false">'Exec Summary'!$E$2-H2331</f>
        <v>236</v>
      </c>
      <c r="P2331" s="10" t="str">
        <f aca="false">IF(I2331="","",I2331-H2331)</f>
        <v/>
      </c>
      <c r="Q2331" s="10" t="n">
        <f aca="false">VLOOKUP(G2331,$AA$2:$AB$5,2,FALSE())</f>
        <v>15</v>
      </c>
      <c r="R2331" s="7" t="n">
        <f aca="false">IF(OR(F2331="Open",F2331="Reopened"),1,0)</f>
        <v>1</v>
      </c>
      <c r="S2331" s="7" t="n">
        <f aca="false">IF(AND(H2331&gt;='Exec Summary'!$E$1,H2331&lt;='Exec Summary'!$E$2),1,0)</f>
        <v>0</v>
      </c>
      <c r="T2331" s="7" t="n">
        <f aca="false">IF(AND(F2331="Closed",I2331&lt;&gt;"",I2331&gt;='Exec Summary'!$E$1,I2331&lt;='Exec Summary'!$E$2),1,0)</f>
        <v>0</v>
      </c>
      <c r="U2331" s="7" t="n">
        <f aca="false">IF(F2331="Reopened",1,0)</f>
        <v>0</v>
      </c>
      <c r="V2331" s="7" t="n">
        <f aca="false">IF(AND(R2331=1,O2331&gt;Q2331),1,0)</f>
        <v>1</v>
      </c>
      <c r="W2331" s="7" t="n">
        <f aca="false">IF(AND(T2331=1,P2331&lt;&gt;"",P2331&lt;=Q2331),1,0)</f>
        <v>0</v>
      </c>
    </row>
    <row r="2332" customFormat="false" ht="15" hidden="false" customHeight="false" outlineLevel="0" collapsed="false">
      <c r="A2332" s="7" t="s">
        <v>2780</v>
      </c>
      <c r="B2332" s="7" t="s">
        <v>46</v>
      </c>
      <c r="C2332" s="7" t="s">
        <v>177</v>
      </c>
      <c r="D2332" s="7" t="s">
        <v>112</v>
      </c>
      <c r="E2332" s="7" t="s">
        <v>113</v>
      </c>
      <c r="F2332" s="7" t="s">
        <v>56</v>
      </c>
      <c r="G2332" s="7" t="s">
        <v>20</v>
      </c>
      <c r="H2332" s="9" t="n">
        <v>46002</v>
      </c>
      <c r="I2332" s="9"/>
      <c r="J2332" s="7" t="n">
        <v>7.8</v>
      </c>
      <c r="K2332" s="7" t="s">
        <v>2628</v>
      </c>
      <c r="L2332" s="7" t="s">
        <v>21</v>
      </c>
      <c r="M2332" s="7" t="s">
        <v>2781</v>
      </c>
      <c r="N2332" s="7" t="s">
        <v>53</v>
      </c>
      <c r="O2332" s="10" t="n">
        <f aca="false">'Exec Summary'!$E$2-H2332</f>
        <v>232</v>
      </c>
      <c r="P2332" s="10" t="str">
        <f aca="false">IF(I2332="","",I2332-H2332)</f>
        <v/>
      </c>
      <c r="Q2332" s="10" t="n">
        <f aca="false">VLOOKUP(G2332,$AA$2:$AB$5,2,FALSE())</f>
        <v>30</v>
      </c>
      <c r="R2332" s="7" t="n">
        <f aca="false">IF(OR(F2332="Open",F2332="Reopened"),1,0)</f>
        <v>1</v>
      </c>
      <c r="S2332" s="7" t="n">
        <f aca="false">IF(AND(H2332&gt;='Exec Summary'!$E$1,H2332&lt;='Exec Summary'!$E$2),1,0)</f>
        <v>0</v>
      </c>
      <c r="T2332" s="7" t="n">
        <f aca="false">IF(AND(F2332="Closed",I2332&lt;&gt;"",I2332&gt;='Exec Summary'!$E$1,I2332&lt;='Exec Summary'!$E$2),1,0)</f>
        <v>0</v>
      </c>
      <c r="U2332" s="7" t="n">
        <f aca="false">IF(F2332="Reopened",1,0)</f>
        <v>0</v>
      </c>
      <c r="V2332" s="7" t="n">
        <f aca="false">IF(AND(R2332=1,O2332&gt;Q2332),1,0)</f>
        <v>1</v>
      </c>
      <c r="W2332" s="7" t="n">
        <f aca="false">IF(AND(T2332=1,P2332&lt;&gt;"",P2332&lt;=Q2332),1,0)</f>
        <v>0</v>
      </c>
    </row>
    <row r="2333" customFormat="false" ht="15" hidden="false" customHeight="false" outlineLevel="0" collapsed="false">
      <c r="A2333" s="7" t="s">
        <v>2780</v>
      </c>
      <c r="B2333" s="7" t="s">
        <v>46</v>
      </c>
      <c r="C2333" s="7" t="s">
        <v>177</v>
      </c>
      <c r="D2333" s="7" t="s">
        <v>145</v>
      </c>
      <c r="E2333" s="7" t="s">
        <v>146</v>
      </c>
      <c r="F2333" s="7" t="s">
        <v>50</v>
      </c>
      <c r="G2333" s="7" t="s">
        <v>19</v>
      </c>
      <c r="H2333" s="9" t="n">
        <v>46059</v>
      </c>
      <c r="I2333" s="9" t="n">
        <v>46077</v>
      </c>
      <c r="J2333" s="7" t="n">
        <v>9.8</v>
      </c>
      <c r="K2333" s="7" t="s">
        <v>2628</v>
      </c>
      <c r="L2333" s="7" t="s">
        <v>21</v>
      </c>
      <c r="M2333" s="7" t="s">
        <v>2782</v>
      </c>
      <c r="N2333" s="7" t="s">
        <v>58</v>
      </c>
      <c r="O2333" s="10" t="n">
        <f aca="false">'Exec Summary'!$E$2-H2333</f>
        <v>175</v>
      </c>
      <c r="P2333" s="10" t="n">
        <f aca="false">IF(I2333="","",I2333-H2333)</f>
        <v>18</v>
      </c>
      <c r="Q2333" s="10" t="n">
        <f aca="false">VLOOKUP(G2333,$AA$2:$AB$5,2,FALSE())</f>
        <v>15</v>
      </c>
      <c r="R2333" s="7" t="n">
        <f aca="false">IF(OR(F2333="Open",F2333="Reopened"),1,0)</f>
        <v>0</v>
      </c>
      <c r="S2333" s="7" t="n">
        <f aca="false">IF(AND(H2333&gt;='Exec Summary'!$E$1,H2333&lt;='Exec Summary'!$E$2),1,0)</f>
        <v>0</v>
      </c>
      <c r="T2333" s="7" t="n">
        <f aca="false">IF(AND(F2333="Closed",I2333&lt;&gt;"",I2333&gt;='Exec Summary'!$E$1,I2333&lt;='Exec Summary'!$E$2),1,0)</f>
        <v>0</v>
      </c>
      <c r="U2333" s="7" t="n">
        <f aca="false">IF(F2333="Reopened",1,0)</f>
        <v>0</v>
      </c>
      <c r="V2333" s="7" t="n">
        <f aca="false">IF(AND(R2333=1,O2333&gt;Q2333),1,0)</f>
        <v>0</v>
      </c>
      <c r="W2333" s="7" t="n">
        <f aca="false">IF(AND(T2333=1,P2333&lt;&gt;"",P2333&lt;=Q2333),1,0)</f>
        <v>0</v>
      </c>
    </row>
    <row r="2334" customFormat="false" ht="15" hidden="false" customHeight="false" outlineLevel="0" collapsed="false">
      <c r="A2334" s="7" t="s">
        <v>2780</v>
      </c>
      <c r="B2334" s="7" t="s">
        <v>46</v>
      </c>
      <c r="C2334" s="7" t="s">
        <v>177</v>
      </c>
      <c r="D2334" s="7" t="s">
        <v>74</v>
      </c>
      <c r="E2334" s="7" t="s">
        <v>75</v>
      </c>
      <c r="F2334" s="7" t="s">
        <v>56</v>
      </c>
      <c r="G2334" s="7" t="s">
        <v>21</v>
      </c>
      <c r="H2334" s="9" t="n">
        <v>46120</v>
      </c>
      <c r="I2334" s="9"/>
      <c r="J2334" s="7" t="n">
        <v>6.5</v>
      </c>
      <c r="K2334" s="7" t="s">
        <v>2628</v>
      </c>
      <c r="L2334" s="7" t="s">
        <v>21</v>
      </c>
      <c r="M2334" s="7" t="s">
        <v>2783</v>
      </c>
      <c r="N2334" s="7" t="s">
        <v>77</v>
      </c>
      <c r="O2334" s="10" t="n">
        <f aca="false">'Exec Summary'!$E$2-H2334</f>
        <v>114</v>
      </c>
      <c r="P2334" s="10" t="str">
        <f aca="false">IF(I2334="","",I2334-H2334)</f>
        <v/>
      </c>
      <c r="Q2334" s="10" t="n">
        <f aca="false">VLOOKUP(G2334,$AA$2:$AB$5,2,FALSE())</f>
        <v>90</v>
      </c>
      <c r="R2334" s="7" t="n">
        <f aca="false">IF(OR(F2334="Open",F2334="Reopened"),1,0)</f>
        <v>1</v>
      </c>
      <c r="S2334" s="7" t="n">
        <f aca="false">IF(AND(H2334&gt;='Exec Summary'!$E$1,H2334&lt;='Exec Summary'!$E$2),1,0)</f>
        <v>0</v>
      </c>
      <c r="T2334" s="7" t="n">
        <f aca="false">IF(AND(F2334="Closed",I2334&lt;&gt;"",I2334&gt;='Exec Summary'!$E$1,I2334&lt;='Exec Summary'!$E$2),1,0)</f>
        <v>0</v>
      </c>
      <c r="U2334" s="7" t="n">
        <f aca="false">IF(F2334="Reopened",1,0)</f>
        <v>0</v>
      </c>
      <c r="V2334" s="7" t="n">
        <f aca="false">IF(AND(R2334=1,O2334&gt;Q2334),1,0)</f>
        <v>1</v>
      </c>
      <c r="W2334" s="7" t="n">
        <f aca="false">IF(AND(T2334=1,P2334&lt;&gt;"",P2334&lt;=Q2334),1,0)</f>
        <v>0</v>
      </c>
    </row>
    <row r="2335" customFormat="false" ht="15" hidden="false" customHeight="false" outlineLevel="0" collapsed="false">
      <c r="A2335" s="7" t="s">
        <v>2780</v>
      </c>
      <c r="B2335" s="7" t="s">
        <v>46</v>
      </c>
      <c r="C2335" s="7" t="s">
        <v>177</v>
      </c>
      <c r="D2335" s="7" t="s">
        <v>166</v>
      </c>
      <c r="E2335" s="7" t="s">
        <v>167</v>
      </c>
      <c r="F2335" s="7" t="s">
        <v>56</v>
      </c>
      <c r="G2335" s="7" t="s">
        <v>19</v>
      </c>
      <c r="H2335" s="9" t="n">
        <v>46125</v>
      </c>
      <c r="I2335" s="9"/>
      <c r="J2335" s="7" t="n">
        <v>9.8</v>
      </c>
      <c r="K2335" s="7" t="s">
        <v>2628</v>
      </c>
      <c r="L2335" s="7" t="s">
        <v>21</v>
      </c>
      <c r="M2335" s="7" t="s">
        <v>2784</v>
      </c>
      <c r="N2335" s="7" t="s">
        <v>58</v>
      </c>
      <c r="O2335" s="10" t="n">
        <f aca="false">'Exec Summary'!$E$2-H2335</f>
        <v>109</v>
      </c>
      <c r="P2335" s="10" t="str">
        <f aca="false">IF(I2335="","",I2335-H2335)</f>
        <v/>
      </c>
      <c r="Q2335" s="10" t="n">
        <f aca="false">VLOOKUP(G2335,$AA$2:$AB$5,2,FALSE())</f>
        <v>15</v>
      </c>
      <c r="R2335" s="7" t="n">
        <f aca="false">IF(OR(F2335="Open",F2335="Reopened"),1,0)</f>
        <v>1</v>
      </c>
      <c r="S2335" s="7" t="n">
        <f aca="false">IF(AND(H2335&gt;='Exec Summary'!$E$1,H2335&lt;='Exec Summary'!$E$2),1,0)</f>
        <v>0</v>
      </c>
      <c r="T2335" s="7" t="n">
        <f aca="false">IF(AND(F2335="Closed",I2335&lt;&gt;"",I2335&gt;='Exec Summary'!$E$1,I2335&lt;='Exec Summary'!$E$2),1,0)</f>
        <v>0</v>
      </c>
      <c r="U2335" s="7" t="n">
        <f aca="false">IF(F2335="Reopened",1,0)</f>
        <v>0</v>
      </c>
      <c r="V2335" s="7" t="n">
        <f aca="false">IF(AND(R2335=1,O2335&gt;Q2335),1,0)</f>
        <v>1</v>
      </c>
      <c r="W2335" s="7" t="n">
        <f aca="false">IF(AND(T2335=1,P2335&lt;&gt;"",P2335&lt;=Q2335),1,0)</f>
        <v>0</v>
      </c>
    </row>
    <row r="2336" customFormat="false" ht="15" hidden="false" customHeight="false" outlineLevel="0" collapsed="false">
      <c r="A2336" s="7" t="s">
        <v>2780</v>
      </c>
      <c r="B2336" s="7" t="s">
        <v>46</v>
      </c>
      <c r="C2336" s="7" t="s">
        <v>177</v>
      </c>
      <c r="D2336" s="7" t="s">
        <v>163</v>
      </c>
      <c r="E2336" s="7" t="s">
        <v>164</v>
      </c>
      <c r="F2336" s="7" t="s">
        <v>50</v>
      </c>
      <c r="G2336" s="7" t="s">
        <v>19</v>
      </c>
      <c r="H2336" s="9" t="n">
        <v>46135</v>
      </c>
      <c r="I2336" s="9" t="n">
        <v>46153</v>
      </c>
      <c r="J2336" s="7" t="n">
        <v>9.1</v>
      </c>
      <c r="K2336" s="7" t="s">
        <v>2628</v>
      </c>
      <c r="L2336" s="7" t="s">
        <v>21</v>
      </c>
      <c r="M2336" s="7" t="s">
        <v>2785</v>
      </c>
      <c r="N2336" s="7" t="s">
        <v>58</v>
      </c>
      <c r="O2336" s="10" t="n">
        <f aca="false">'Exec Summary'!$E$2-H2336</f>
        <v>99</v>
      </c>
      <c r="P2336" s="10" t="n">
        <f aca="false">IF(I2336="","",I2336-H2336)</f>
        <v>18</v>
      </c>
      <c r="Q2336" s="10" t="n">
        <f aca="false">VLOOKUP(G2336,$AA$2:$AB$5,2,FALSE())</f>
        <v>15</v>
      </c>
      <c r="R2336" s="7" t="n">
        <f aca="false">IF(OR(F2336="Open",F2336="Reopened"),1,0)</f>
        <v>0</v>
      </c>
      <c r="S2336" s="7" t="n">
        <f aca="false">IF(AND(H2336&gt;='Exec Summary'!$E$1,H2336&lt;='Exec Summary'!$E$2),1,0)</f>
        <v>0</v>
      </c>
      <c r="T2336" s="7" t="n">
        <f aca="false">IF(AND(F2336="Closed",I2336&lt;&gt;"",I2336&gt;='Exec Summary'!$E$1,I2336&lt;='Exec Summary'!$E$2),1,0)</f>
        <v>0</v>
      </c>
      <c r="U2336" s="7" t="n">
        <f aca="false">IF(F2336="Reopened",1,0)</f>
        <v>0</v>
      </c>
      <c r="V2336" s="7" t="n">
        <f aca="false">IF(AND(R2336=1,O2336&gt;Q2336),1,0)</f>
        <v>0</v>
      </c>
      <c r="W2336" s="7" t="n">
        <f aca="false">IF(AND(T2336=1,P2336&lt;&gt;"",P2336&lt;=Q2336),1,0)</f>
        <v>0</v>
      </c>
    </row>
    <row r="2337" customFormat="false" ht="15" hidden="false" customHeight="false" outlineLevel="0" collapsed="false">
      <c r="A2337" s="7" t="s">
        <v>2780</v>
      </c>
      <c r="B2337" s="7" t="s">
        <v>46</v>
      </c>
      <c r="C2337" s="7" t="s">
        <v>177</v>
      </c>
      <c r="D2337" s="7" t="s">
        <v>120</v>
      </c>
      <c r="E2337" s="7" t="s">
        <v>121</v>
      </c>
      <c r="F2337" s="7" t="s">
        <v>50</v>
      </c>
      <c r="G2337" s="7" t="s">
        <v>19</v>
      </c>
      <c r="H2337" s="9" t="n">
        <v>45960</v>
      </c>
      <c r="I2337" s="9" t="n">
        <v>45977</v>
      </c>
      <c r="J2337" s="7" t="n">
        <v>8.8</v>
      </c>
      <c r="K2337" s="7" t="s">
        <v>2628</v>
      </c>
      <c r="L2337" s="7" t="s">
        <v>21</v>
      </c>
      <c r="M2337" s="7" t="s">
        <v>2786</v>
      </c>
      <c r="N2337" s="7" t="s">
        <v>58</v>
      </c>
      <c r="O2337" s="10" t="n">
        <f aca="false">'Exec Summary'!$E$2-H2337</f>
        <v>274</v>
      </c>
      <c r="P2337" s="10" t="n">
        <f aca="false">IF(I2337="","",I2337-H2337)</f>
        <v>17</v>
      </c>
      <c r="Q2337" s="10" t="n">
        <f aca="false">VLOOKUP(G2337,$AA$2:$AB$5,2,FALSE())</f>
        <v>15</v>
      </c>
      <c r="R2337" s="7" t="n">
        <f aca="false">IF(OR(F2337="Open",F2337="Reopened"),1,0)</f>
        <v>0</v>
      </c>
      <c r="S2337" s="7" t="n">
        <f aca="false">IF(AND(H2337&gt;='Exec Summary'!$E$1,H2337&lt;='Exec Summary'!$E$2),1,0)</f>
        <v>0</v>
      </c>
      <c r="T2337" s="7" t="n">
        <f aca="false">IF(AND(F2337="Closed",I2337&lt;&gt;"",I2337&gt;='Exec Summary'!$E$1,I2337&lt;='Exec Summary'!$E$2),1,0)</f>
        <v>0</v>
      </c>
      <c r="U2337" s="7" t="n">
        <f aca="false">IF(F2337="Reopened",1,0)</f>
        <v>0</v>
      </c>
      <c r="V2337" s="7" t="n">
        <f aca="false">IF(AND(R2337=1,O2337&gt;Q2337),1,0)</f>
        <v>0</v>
      </c>
      <c r="W2337" s="7" t="n">
        <f aca="false">IF(AND(T2337=1,P2337&lt;&gt;"",P2337&lt;=Q2337),1,0)</f>
        <v>0</v>
      </c>
    </row>
    <row r="2338" customFormat="false" ht="15" hidden="false" customHeight="false" outlineLevel="0" collapsed="false">
      <c r="A2338" s="7" t="s">
        <v>2780</v>
      </c>
      <c r="B2338" s="7" t="s">
        <v>46</v>
      </c>
      <c r="C2338" s="7" t="s">
        <v>177</v>
      </c>
      <c r="D2338" s="7" t="s">
        <v>117</v>
      </c>
      <c r="E2338" s="7" t="s">
        <v>118</v>
      </c>
      <c r="F2338" s="7" t="s">
        <v>56</v>
      </c>
      <c r="G2338" s="7" t="s">
        <v>19</v>
      </c>
      <c r="H2338" s="9" t="n">
        <v>46130</v>
      </c>
      <c r="I2338" s="9"/>
      <c r="J2338" s="7" t="n">
        <v>10</v>
      </c>
      <c r="K2338" s="7" t="s">
        <v>2628</v>
      </c>
      <c r="L2338" s="7" t="s">
        <v>21</v>
      </c>
      <c r="M2338" s="7" t="s">
        <v>2787</v>
      </c>
      <c r="N2338" s="7" t="s">
        <v>58</v>
      </c>
      <c r="O2338" s="10" t="n">
        <f aca="false">'Exec Summary'!$E$2-H2338</f>
        <v>104</v>
      </c>
      <c r="P2338" s="10" t="str">
        <f aca="false">IF(I2338="","",I2338-H2338)</f>
        <v/>
      </c>
      <c r="Q2338" s="10" t="n">
        <f aca="false">VLOOKUP(G2338,$AA$2:$AB$5,2,FALSE())</f>
        <v>15</v>
      </c>
      <c r="R2338" s="7" t="n">
        <f aca="false">IF(OR(F2338="Open",F2338="Reopened"),1,0)</f>
        <v>1</v>
      </c>
      <c r="S2338" s="7" t="n">
        <f aca="false">IF(AND(H2338&gt;='Exec Summary'!$E$1,H2338&lt;='Exec Summary'!$E$2),1,0)</f>
        <v>0</v>
      </c>
      <c r="T2338" s="7" t="n">
        <f aca="false">IF(AND(F2338="Closed",I2338&lt;&gt;"",I2338&gt;='Exec Summary'!$E$1,I2338&lt;='Exec Summary'!$E$2),1,0)</f>
        <v>0</v>
      </c>
      <c r="U2338" s="7" t="n">
        <f aca="false">IF(F2338="Reopened",1,0)</f>
        <v>0</v>
      </c>
      <c r="V2338" s="7" t="n">
        <f aca="false">IF(AND(R2338=1,O2338&gt;Q2338),1,0)</f>
        <v>1</v>
      </c>
      <c r="W2338" s="7" t="n">
        <f aca="false">IF(AND(T2338=1,P2338&lt;&gt;"",P2338&lt;=Q2338),1,0)</f>
        <v>0</v>
      </c>
    </row>
    <row r="2339" customFormat="false" ht="15" hidden="false" customHeight="false" outlineLevel="0" collapsed="false">
      <c r="A2339" s="7" t="s">
        <v>2780</v>
      </c>
      <c r="B2339" s="7" t="s">
        <v>46</v>
      </c>
      <c r="C2339" s="7" t="s">
        <v>177</v>
      </c>
      <c r="D2339" s="7" t="s">
        <v>210</v>
      </c>
      <c r="E2339" s="7" t="s">
        <v>211</v>
      </c>
      <c r="F2339" s="7" t="s">
        <v>56</v>
      </c>
      <c r="G2339" s="7" t="s">
        <v>19</v>
      </c>
      <c r="H2339" s="9" t="n">
        <v>46026</v>
      </c>
      <c r="I2339" s="9"/>
      <c r="J2339" s="7" t="n">
        <v>9.8</v>
      </c>
      <c r="K2339" s="7" t="s">
        <v>2628</v>
      </c>
      <c r="L2339" s="7" t="s">
        <v>21</v>
      </c>
      <c r="M2339" s="7" t="s">
        <v>2788</v>
      </c>
      <c r="N2339" s="7" t="s">
        <v>58</v>
      </c>
      <c r="O2339" s="10" t="n">
        <f aca="false">'Exec Summary'!$E$2-H2339</f>
        <v>208</v>
      </c>
      <c r="P2339" s="10" t="str">
        <f aca="false">IF(I2339="","",I2339-H2339)</f>
        <v/>
      </c>
      <c r="Q2339" s="10" t="n">
        <f aca="false">VLOOKUP(G2339,$AA$2:$AB$5,2,FALSE())</f>
        <v>15</v>
      </c>
      <c r="R2339" s="7" t="n">
        <f aca="false">IF(OR(F2339="Open",F2339="Reopened"),1,0)</f>
        <v>1</v>
      </c>
      <c r="S2339" s="7" t="n">
        <f aca="false">IF(AND(H2339&gt;='Exec Summary'!$E$1,H2339&lt;='Exec Summary'!$E$2),1,0)</f>
        <v>0</v>
      </c>
      <c r="T2339" s="7" t="n">
        <f aca="false">IF(AND(F2339="Closed",I2339&lt;&gt;"",I2339&gt;='Exec Summary'!$E$1,I2339&lt;='Exec Summary'!$E$2),1,0)</f>
        <v>0</v>
      </c>
      <c r="U2339" s="7" t="n">
        <f aca="false">IF(F2339="Reopened",1,0)</f>
        <v>0</v>
      </c>
      <c r="V2339" s="7" t="n">
        <f aca="false">IF(AND(R2339=1,O2339&gt;Q2339),1,0)</f>
        <v>1</v>
      </c>
      <c r="W2339" s="7" t="n">
        <f aca="false">IF(AND(T2339=1,P2339&lt;&gt;"",P2339&lt;=Q2339),1,0)</f>
        <v>0</v>
      </c>
    </row>
    <row r="2340" customFormat="false" ht="15" hidden="false" customHeight="false" outlineLevel="0" collapsed="false">
      <c r="A2340" s="7" t="s">
        <v>2789</v>
      </c>
      <c r="B2340" s="7" t="s">
        <v>46</v>
      </c>
      <c r="C2340" s="7" t="s">
        <v>177</v>
      </c>
      <c r="D2340" s="7" t="s">
        <v>117</v>
      </c>
      <c r="E2340" s="7" t="s">
        <v>118</v>
      </c>
      <c r="F2340" s="7" t="s">
        <v>56</v>
      </c>
      <c r="G2340" s="7" t="s">
        <v>19</v>
      </c>
      <c r="H2340" s="9" t="n">
        <v>46059</v>
      </c>
      <c r="I2340" s="9"/>
      <c r="J2340" s="7" t="n">
        <v>10</v>
      </c>
      <c r="K2340" s="7" t="s">
        <v>2628</v>
      </c>
      <c r="L2340" s="7" t="s">
        <v>21</v>
      </c>
      <c r="M2340" s="7" t="s">
        <v>2790</v>
      </c>
      <c r="N2340" s="7" t="s">
        <v>58</v>
      </c>
      <c r="O2340" s="10" t="n">
        <f aca="false">'Exec Summary'!$E$2-H2340</f>
        <v>175</v>
      </c>
      <c r="P2340" s="10" t="str">
        <f aca="false">IF(I2340="","",I2340-H2340)</f>
        <v/>
      </c>
      <c r="Q2340" s="10" t="n">
        <f aca="false">VLOOKUP(G2340,$AA$2:$AB$5,2,FALSE())</f>
        <v>15</v>
      </c>
      <c r="R2340" s="7" t="n">
        <f aca="false">IF(OR(F2340="Open",F2340="Reopened"),1,0)</f>
        <v>1</v>
      </c>
      <c r="S2340" s="7" t="n">
        <f aca="false">IF(AND(H2340&gt;='Exec Summary'!$E$1,H2340&lt;='Exec Summary'!$E$2),1,0)</f>
        <v>0</v>
      </c>
      <c r="T2340" s="7" t="n">
        <f aca="false">IF(AND(F2340="Closed",I2340&lt;&gt;"",I2340&gt;='Exec Summary'!$E$1,I2340&lt;='Exec Summary'!$E$2),1,0)</f>
        <v>0</v>
      </c>
      <c r="U2340" s="7" t="n">
        <f aca="false">IF(F2340="Reopened",1,0)</f>
        <v>0</v>
      </c>
      <c r="V2340" s="7" t="n">
        <f aca="false">IF(AND(R2340=1,O2340&gt;Q2340),1,0)</f>
        <v>1</v>
      </c>
      <c r="W2340" s="7" t="n">
        <f aca="false">IF(AND(T2340=1,P2340&lt;&gt;"",P2340&lt;=Q2340),1,0)</f>
        <v>0</v>
      </c>
    </row>
    <row r="2341" customFormat="false" ht="15" hidden="false" customHeight="false" outlineLevel="0" collapsed="false">
      <c r="A2341" s="7" t="s">
        <v>2789</v>
      </c>
      <c r="B2341" s="7" t="s">
        <v>46</v>
      </c>
      <c r="C2341" s="7" t="s">
        <v>177</v>
      </c>
      <c r="D2341" s="7" t="s">
        <v>71</v>
      </c>
      <c r="E2341" s="7" t="s">
        <v>72</v>
      </c>
      <c r="F2341" s="7" t="s">
        <v>50</v>
      </c>
      <c r="G2341" s="7" t="s">
        <v>19</v>
      </c>
      <c r="H2341" s="9" t="n">
        <v>46183</v>
      </c>
      <c r="I2341" s="9" t="n">
        <v>46202</v>
      </c>
      <c r="J2341" s="7" t="n">
        <v>9.8</v>
      </c>
      <c r="K2341" s="7" t="s">
        <v>2628</v>
      </c>
      <c r="L2341" s="7" t="s">
        <v>21</v>
      </c>
      <c r="M2341" s="7" t="s">
        <v>2791</v>
      </c>
      <c r="N2341" s="7" t="s">
        <v>58</v>
      </c>
      <c r="O2341" s="10" t="n">
        <f aca="false">'Exec Summary'!$E$2-H2341</f>
        <v>51</v>
      </c>
      <c r="P2341" s="10" t="n">
        <f aca="false">IF(I2341="","",I2341-H2341)</f>
        <v>19</v>
      </c>
      <c r="Q2341" s="10" t="n">
        <f aca="false">VLOOKUP(G2341,$AA$2:$AB$5,2,FALSE())</f>
        <v>15</v>
      </c>
      <c r="R2341" s="7" t="n">
        <f aca="false">IF(OR(F2341="Open",F2341="Reopened"),1,0)</f>
        <v>0</v>
      </c>
      <c r="S2341" s="7" t="n">
        <f aca="false">IF(AND(H2341&gt;='Exec Summary'!$E$1,H2341&lt;='Exec Summary'!$E$2),1,0)</f>
        <v>0</v>
      </c>
      <c r="T2341" s="7" t="n">
        <f aca="false">IF(AND(F2341="Closed",I2341&lt;&gt;"",I2341&gt;='Exec Summary'!$E$1,I2341&lt;='Exec Summary'!$E$2),1,0)</f>
        <v>0</v>
      </c>
      <c r="U2341" s="7" t="n">
        <f aca="false">IF(F2341="Reopened",1,0)</f>
        <v>0</v>
      </c>
      <c r="V2341" s="7" t="n">
        <f aca="false">IF(AND(R2341=1,O2341&gt;Q2341),1,0)</f>
        <v>0</v>
      </c>
      <c r="W2341" s="7" t="n">
        <f aca="false">IF(AND(T2341=1,P2341&lt;&gt;"",P2341&lt;=Q2341),1,0)</f>
        <v>0</v>
      </c>
    </row>
    <row r="2342" customFormat="false" ht="15" hidden="false" customHeight="false" outlineLevel="0" collapsed="false">
      <c r="A2342" s="7" t="s">
        <v>2789</v>
      </c>
      <c r="B2342" s="7" t="s">
        <v>46</v>
      </c>
      <c r="C2342" s="7" t="s">
        <v>177</v>
      </c>
      <c r="D2342" s="7" t="s">
        <v>152</v>
      </c>
      <c r="E2342" s="7" t="s">
        <v>153</v>
      </c>
      <c r="F2342" s="7" t="s">
        <v>56</v>
      </c>
      <c r="G2342" s="7" t="s">
        <v>20</v>
      </c>
      <c r="H2342" s="9" t="n">
        <v>45983</v>
      </c>
      <c r="I2342" s="9"/>
      <c r="J2342" s="7" t="n">
        <v>7.5</v>
      </c>
      <c r="K2342" s="7" t="s">
        <v>2628</v>
      </c>
      <c r="L2342" s="7" t="s">
        <v>21</v>
      </c>
      <c r="M2342" s="7" t="s">
        <v>2792</v>
      </c>
      <c r="N2342" s="7" t="s">
        <v>53</v>
      </c>
      <c r="O2342" s="10" t="n">
        <f aca="false">'Exec Summary'!$E$2-H2342</f>
        <v>251</v>
      </c>
      <c r="P2342" s="10" t="str">
        <f aca="false">IF(I2342="","",I2342-H2342)</f>
        <v/>
      </c>
      <c r="Q2342" s="10" t="n">
        <f aca="false">VLOOKUP(G2342,$AA$2:$AB$5,2,FALSE())</f>
        <v>30</v>
      </c>
      <c r="R2342" s="7" t="n">
        <f aca="false">IF(OR(F2342="Open",F2342="Reopened"),1,0)</f>
        <v>1</v>
      </c>
      <c r="S2342" s="7" t="n">
        <f aca="false">IF(AND(H2342&gt;='Exec Summary'!$E$1,H2342&lt;='Exec Summary'!$E$2),1,0)</f>
        <v>0</v>
      </c>
      <c r="T2342" s="7" t="n">
        <f aca="false">IF(AND(F2342="Closed",I2342&lt;&gt;"",I2342&gt;='Exec Summary'!$E$1,I2342&lt;='Exec Summary'!$E$2),1,0)</f>
        <v>0</v>
      </c>
      <c r="U2342" s="7" t="n">
        <f aca="false">IF(F2342="Reopened",1,0)</f>
        <v>0</v>
      </c>
      <c r="V2342" s="7" t="n">
        <f aca="false">IF(AND(R2342=1,O2342&gt;Q2342),1,0)</f>
        <v>1</v>
      </c>
      <c r="W2342" s="7" t="n">
        <f aca="false">IF(AND(T2342=1,P2342&lt;&gt;"",P2342&lt;=Q2342),1,0)</f>
        <v>0</v>
      </c>
    </row>
    <row r="2343" customFormat="false" ht="15" hidden="false" customHeight="false" outlineLevel="0" collapsed="false">
      <c r="A2343" s="7" t="s">
        <v>2789</v>
      </c>
      <c r="B2343" s="7" t="s">
        <v>46</v>
      </c>
      <c r="C2343" s="7" t="s">
        <v>177</v>
      </c>
      <c r="D2343" s="7" t="s">
        <v>68</v>
      </c>
      <c r="E2343" s="7" t="s">
        <v>69</v>
      </c>
      <c r="F2343" s="7" t="s">
        <v>50</v>
      </c>
      <c r="G2343" s="7" t="s">
        <v>19</v>
      </c>
      <c r="H2343" s="9" t="n">
        <v>45944</v>
      </c>
      <c r="I2343" s="9" t="n">
        <v>45951</v>
      </c>
      <c r="J2343" s="7" t="n">
        <v>9.8</v>
      </c>
      <c r="K2343" s="7" t="s">
        <v>2628</v>
      </c>
      <c r="L2343" s="7" t="s">
        <v>21</v>
      </c>
      <c r="M2343" s="7" t="s">
        <v>2793</v>
      </c>
      <c r="N2343" s="7" t="s">
        <v>58</v>
      </c>
      <c r="O2343" s="10" t="n">
        <f aca="false">'Exec Summary'!$E$2-H2343</f>
        <v>290</v>
      </c>
      <c r="P2343" s="10" t="n">
        <f aca="false">IF(I2343="","",I2343-H2343)</f>
        <v>7</v>
      </c>
      <c r="Q2343" s="10" t="n">
        <f aca="false">VLOOKUP(G2343,$AA$2:$AB$5,2,FALSE())</f>
        <v>15</v>
      </c>
      <c r="R2343" s="7" t="n">
        <f aca="false">IF(OR(F2343="Open",F2343="Reopened"),1,0)</f>
        <v>0</v>
      </c>
      <c r="S2343" s="7" t="n">
        <f aca="false">IF(AND(H2343&gt;='Exec Summary'!$E$1,H2343&lt;='Exec Summary'!$E$2),1,0)</f>
        <v>0</v>
      </c>
      <c r="T2343" s="7" t="n">
        <f aca="false">IF(AND(F2343="Closed",I2343&lt;&gt;"",I2343&gt;='Exec Summary'!$E$1,I2343&lt;='Exec Summary'!$E$2),1,0)</f>
        <v>0</v>
      </c>
      <c r="U2343" s="7" t="n">
        <f aca="false">IF(F2343="Reopened",1,0)</f>
        <v>0</v>
      </c>
      <c r="V2343" s="7" t="n">
        <f aca="false">IF(AND(R2343=1,O2343&gt;Q2343),1,0)</f>
        <v>0</v>
      </c>
      <c r="W2343" s="7" t="n">
        <f aca="false">IF(AND(T2343=1,P2343&lt;&gt;"",P2343&lt;=Q2343),1,0)</f>
        <v>0</v>
      </c>
    </row>
    <row r="2344" customFormat="false" ht="15" hidden="false" customHeight="false" outlineLevel="0" collapsed="false">
      <c r="A2344" s="7" t="s">
        <v>2789</v>
      </c>
      <c r="B2344" s="7" t="s">
        <v>46</v>
      </c>
      <c r="C2344" s="7" t="s">
        <v>177</v>
      </c>
      <c r="D2344" s="7" t="s">
        <v>104</v>
      </c>
      <c r="E2344" s="7" t="s">
        <v>105</v>
      </c>
      <c r="F2344" s="7" t="s">
        <v>56</v>
      </c>
      <c r="G2344" s="7" t="s">
        <v>19</v>
      </c>
      <c r="H2344" s="9" t="n">
        <v>46103</v>
      </c>
      <c r="I2344" s="9"/>
      <c r="J2344" s="7" t="n">
        <v>9.8</v>
      </c>
      <c r="K2344" s="7" t="s">
        <v>2628</v>
      </c>
      <c r="L2344" s="7" t="s">
        <v>21</v>
      </c>
      <c r="M2344" s="7" t="s">
        <v>2794</v>
      </c>
      <c r="N2344" s="7" t="s">
        <v>58</v>
      </c>
      <c r="O2344" s="10" t="n">
        <f aca="false">'Exec Summary'!$E$2-H2344</f>
        <v>131</v>
      </c>
      <c r="P2344" s="10" t="str">
        <f aca="false">IF(I2344="","",I2344-H2344)</f>
        <v/>
      </c>
      <c r="Q2344" s="10" t="n">
        <f aca="false">VLOOKUP(G2344,$AA$2:$AB$5,2,FALSE())</f>
        <v>15</v>
      </c>
      <c r="R2344" s="7" t="n">
        <f aca="false">IF(OR(F2344="Open",F2344="Reopened"),1,0)</f>
        <v>1</v>
      </c>
      <c r="S2344" s="7" t="n">
        <f aca="false">IF(AND(H2344&gt;='Exec Summary'!$E$1,H2344&lt;='Exec Summary'!$E$2),1,0)</f>
        <v>0</v>
      </c>
      <c r="T2344" s="7" t="n">
        <f aca="false">IF(AND(F2344="Closed",I2344&lt;&gt;"",I2344&gt;='Exec Summary'!$E$1,I2344&lt;='Exec Summary'!$E$2),1,0)</f>
        <v>0</v>
      </c>
      <c r="U2344" s="7" t="n">
        <f aca="false">IF(F2344="Reopened",1,0)</f>
        <v>0</v>
      </c>
      <c r="V2344" s="7" t="n">
        <f aca="false">IF(AND(R2344=1,O2344&gt;Q2344),1,0)</f>
        <v>1</v>
      </c>
      <c r="W2344" s="7" t="n">
        <f aca="false">IF(AND(T2344=1,P2344&lt;&gt;"",P2344&lt;=Q2344),1,0)</f>
        <v>0</v>
      </c>
    </row>
    <row r="2345" customFormat="false" ht="15" hidden="false" customHeight="false" outlineLevel="0" collapsed="false">
      <c r="A2345" s="7" t="s">
        <v>2789</v>
      </c>
      <c r="B2345" s="7" t="s">
        <v>46</v>
      </c>
      <c r="C2345" s="7" t="s">
        <v>177</v>
      </c>
      <c r="D2345" s="7" t="s">
        <v>145</v>
      </c>
      <c r="E2345" s="7" t="s">
        <v>146</v>
      </c>
      <c r="F2345" s="7" t="s">
        <v>50</v>
      </c>
      <c r="G2345" s="7" t="s">
        <v>19</v>
      </c>
      <c r="H2345" s="9" t="n">
        <v>46116</v>
      </c>
      <c r="I2345" s="9" t="n">
        <v>46129</v>
      </c>
      <c r="J2345" s="7" t="n">
        <v>9.8</v>
      </c>
      <c r="K2345" s="7" t="s">
        <v>2628</v>
      </c>
      <c r="L2345" s="7" t="s">
        <v>21</v>
      </c>
      <c r="M2345" s="7" t="s">
        <v>2795</v>
      </c>
      <c r="N2345" s="7" t="s">
        <v>58</v>
      </c>
      <c r="O2345" s="10" t="n">
        <f aca="false">'Exec Summary'!$E$2-H2345</f>
        <v>118</v>
      </c>
      <c r="P2345" s="10" t="n">
        <f aca="false">IF(I2345="","",I2345-H2345)</f>
        <v>13</v>
      </c>
      <c r="Q2345" s="10" t="n">
        <f aca="false">VLOOKUP(G2345,$AA$2:$AB$5,2,FALSE())</f>
        <v>15</v>
      </c>
      <c r="R2345" s="7" t="n">
        <f aca="false">IF(OR(F2345="Open",F2345="Reopened"),1,0)</f>
        <v>0</v>
      </c>
      <c r="S2345" s="7" t="n">
        <f aca="false">IF(AND(H2345&gt;='Exec Summary'!$E$1,H2345&lt;='Exec Summary'!$E$2),1,0)</f>
        <v>0</v>
      </c>
      <c r="T2345" s="7" t="n">
        <f aca="false">IF(AND(F2345="Closed",I2345&lt;&gt;"",I2345&gt;='Exec Summary'!$E$1,I2345&lt;='Exec Summary'!$E$2),1,0)</f>
        <v>0</v>
      </c>
      <c r="U2345" s="7" t="n">
        <f aca="false">IF(F2345="Reopened",1,0)</f>
        <v>0</v>
      </c>
      <c r="V2345" s="7" t="n">
        <f aca="false">IF(AND(R2345=1,O2345&gt;Q2345),1,0)</f>
        <v>0</v>
      </c>
      <c r="W2345" s="7" t="n">
        <f aca="false">IF(AND(T2345=1,P2345&lt;&gt;"",P2345&lt;=Q2345),1,0)</f>
        <v>0</v>
      </c>
    </row>
    <row r="2346" customFormat="false" ht="15" hidden="false" customHeight="false" outlineLevel="0" collapsed="false">
      <c r="A2346" s="7" t="s">
        <v>2789</v>
      </c>
      <c r="B2346" s="7" t="s">
        <v>46</v>
      </c>
      <c r="C2346" s="7" t="s">
        <v>177</v>
      </c>
      <c r="D2346" s="7" t="s">
        <v>210</v>
      </c>
      <c r="E2346" s="7" t="s">
        <v>211</v>
      </c>
      <c r="F2346" s="7" t="s">
        <v>56</v>
      </c>
      <c r="G2346" s="7" t="s">
        <v>19</v>
      </c>
      <c r="H2346" s="9" t="n">
        <v>46095</v>
      </c>
      <c r="I2346" s="9"/>
      <c r="J2346" s="7" t="n">
        <v>9.8</v>
      </c>
      <c r="K2346" s="7" t="s">
        <v>2628</v>
      </c>
      <c r="L2346" s="7" t="s">
        <v>21</v>
      </c>
      <c r="M2346" s="7" t="s">
        <v>2796</v>
      </c>
      <c r="N2346" s="7" t="s">
        <v>58</v>
      </c>
      <c r="O2346" s="10" t="n">
        <f aca="false">'Exec Summary'!$E$2-H2346</f>
        <v>139</v>
      </c>
      <c r="P2346" s="10" t="str">
        <f aca="false">IF(I2346="","",I2346-H2346)</f>
        <v/>
      </c>
      <c r="Q2346" s="10" t="n">
        <f aca="false">VLOOKUP(G2346,$AA$2:$AB$5,2,FALSE())</f>
        <v>15</v>
      </c>
      <c r="R2346" s="7" t="n">
        <f aca="false">IF(OR(F2346="Open",F2346="Reopened"),1,0)</f>
        <v>1</v>
      </c>
      <c r="S2346" s="7" t="n">
        <f aca="false">IF(AND(H2346&gt;='Exec Summary'!$E$1,H2346&lt;='Exec Summary'!$E$2),1,0)</f>
        <v>0</v>
      </c>
      <c r="T2346" s="7" t="n">
        <f aca="false">IF(AND(F2346="Closed",I2346&lt;&gt;"",I2346&gt;='Exec Summary'!$E$1,I2346&lt;='Exec Summary'!$E$2),1,0)</f>
        <v>0</v>
      </c>
      <c r="U2346" s="7" t="n">
        <f aca="false">IF(F2346="Reopened",1,0)</f>
        <v>0</v>
      </c>
      <c r="V2346" s="7" t="n">
        <f aca="false">IF(AND(R2346=1,O2346&gt;Q2346),1,0)</f>
        <v>1</v>
      </c>
      <c r="W2346" s="7" t="n">
        <f aca="false">IF(AND(T2346=1,P2346&lt;&gt;"",P2346&lt;=Q2346),1,0)</f>
        <v>0</v>
      </c>
    </row>
    <row r="2347" customFormat="false" ht="15" hidden="false" customHeight="false" outlineLevel="0" collapsed="false">
      <c r="A2347" s="7" t="s">
        <v>2789</v>
      </c>
      <c r="B2347" s="7" t="s">
        <v>46</v>
      </c>
      <c r="C2347" s="7" t="s">
        <v>177</v>
      </c>
      <c r="D2347" s="7" t="s">
        <v>98</v>
      </c>
      <c r="E2347" s="7" t="s">
        <v>99</v>
      </c>
      <c r="F2347" s="7" t="s">
        <v>50</v>
      </c>
      <c r="G2347" s="7" t="s">
        <v>19</v>
      </c>
      <c r="H2347" s="9" t="n">
        <v>46177</v>
      </c>
      <c r="I2347" s="9" t="n">
        <v>46192</v>
      </c>
      <c r="J2347" s="7" t="n">
        <v>10</v>
      </c>
      <c r="K2347" s="7" t="s">
        <v>2628</v>
      </c>
      <c r="L2347" s="7" t="s">
        <v>21</v>
      </c>
      <c r="M2347" s="7" t="s">
        <v>2797</v>
      </c>
      <c r="N2347" s="7" t="s">
        <v>58</v>
      </c>
      <c r="O2347" s="10" t="n">
        <f aca="false">'Exec Summary'!$E$2-H2347</f>
        <v>57</v>
      </c>
      <c r="P2347" s="10" t="n">
        <f aca="false">IF(I2347="","",I2347-H2347)</f>
        <v>15</v>
      </c>
      <c r="Q2347" s="10" t="n">
        <f aca="false">VLOOKUP(G2347,$AA$2:$AB$5,2,FALSE())</f>
        <v>15</v>
      </c>
      <c r="R2347" s="7" t="n">
        <f aca="false">IF(OR(F2347="Open",F2347="Reopened"),1,0)</f>
        <v>0</v>
      </c>
      <c r="S2347" s="7" t="n">
        <f aca="false">IF(AND(H2347&gt;='Exec Summary'!$E$1,H2347&lt;='Exec Summary'!$E$2),1,0)</f>
        <v>0</v>
      </c>
      <c r="T2347" s="7" t="n">
        <f aca="false">IF(AND(F2347="Closed",I2347&lt;&gt;"",I2347&gt;='Exec Summary'!$E$1,I2347&lt;='Exec Summary'!$E$2),1,0)</f>
        <v>0</v>
      </c>
      <c r="U2347" s="7" t="n">
        <f aca="false">IF(F2347="Reopened",1,0)</f>
        <v>0</v>
      </c>
      <c r="V2347" s="7" t="n">
        <f aca="false">IF(AND(R2347=1,O2347&gt;Q2347),1,0)</f>
        <v>0</v>
      </c>
      <c r="W2347" s="7" t="n">
        <f aca="false">IF(AND(T2347=1,P2347&lt;&gt;"",P2347&lt;=Q2347),1,0)</f>
        <v>0</v>
      </c>
    </row>
    <row r="2348" customFormat="false" ht="15" hidden="false" customHeight="false" outlineLevel="0" collapsed="false">
      <c r="A2348" s="7" t="s">
        <v>2789</v>
      </c>
      <c r="B2348" s="7" t="s">
        <v>46</v>
      </c>
      <c r="C2348" s="7" t="s">
        <v>177</v>
      </c>
      <c r="D2348" s="7" t="s">
        <v>59</v>
      </c>
      <c r="E2348" s="7" t="s">
        <v>60</v>
      </c>
      <c r="F2348" s="7" t="s">
        <v>56</v>
      </c>
      <c r="G2348" s="7" t="s">
        <v>19</v>
      </c>
      <c r="H2348" s="9" t="n">
        <v>45985</v>
      </c>
      <c r="I2348" s="9"/>
      <c r="J2348" s="7" t="n">
        <v>7.8</v>
      </c>
      <c r="K2348" s="7" t="s">
        <v>2628</v>
      </c>
      <c r="L2348" s="7" t="s">
        <v>21</v>
      </c>
      <c r="M2348" s="7" t="s">
        <v>2798</v>
      </c>
      <c r="N2348" s="7" t="s">
        <v>58</v>
      </c>
      <c r="O2348" s="10" t="n">
        <f aca="false">'Exec Summary'!$E$2-H2348</f>
        <v>249</v>
      </c>
      <c r="P2348" s="10" t="str">
        <f aca="false">IF(I2348="","",I2348-H2348)</f>
        <v/>
      </c>
      <c r="Q2348" s="10" t="n">
        <f aca="false">VLOOKUP(G2348,$AA$2:$AB$5,2,FALSE())</f>
        <v>15</v>
      </c>
      <c r="R2348" s="7" t="n">
        <f aca="false">IF(OR(F2348="Open",F2348="Reopened"),1,0)</f>
        <v>1</v>
      </c>
      <c r="S2348" s="7" t="n">
        <f aca="false">IF(AND(H2348&gt;='Exec Summary'!$E$1,H2348&lt;='Exec Summary'!$E$2),1,0)</f>
        <v>0</v>
      </c>
      <c r="T2348" s="7" t="n">
        <f aca="false">IF(AND(F2348="Closed",I2348&lt;&gt;"",I2348&gt;='Exec Summary'!$E$1,I2348&lt;='Exec Summary'!$E$2),1,0)</f>
        <v>0</v>
      </c>
      <c r="U2348" s="7" t="n">
        <f aca="false">IF(F2348="Reopened",1,0)</f>
        <v>0</v>
      </c>
      <c r="V2348" s="7" t="n">
        <f aca="false">IF(AND(R2348=1,O2348&gt;Q2348),1,0)</f>
        <v>1</v>
      </c>
      <c r="W2348" s="7" t="n">
        <f aca="false">IF(AND(T2348=1,P2348&lt;&gt;"",P2348&lt;=Q2348),1,0)</f>
        <v>0</v>
      </c>
    </row>
    <row r="2349" customFormat="false" ht="15" hidden="false" customHeight="false" outlineLevel="0" collapsed="false">
      <c r="A2349" s="7" t="s">
        <v>2789</v>
      </c>
      <c r="B2349" s="7" t="s">
        <v>46</v>
      </c>
      <c r="C2349" s="7" t="s">
        <v>177</v>
      </c>
      <c r="D2349" s="7" t="s">
        <v>62</v>
      </c>
      <c r="E2349" s="7" t="s">
        <v>63</v>
      </c>
      <c r="F2349" s="7" t="s">
        <v>50</v>
      </c>
      <c r="G2349" s="7" t="s">
        <v>20</v>
      </c>
      <c r="H2349" s="9" t="n">
        <v>46011</v>
      </c>
      <c r="I2349" s="9" t="n">
        <v>46055</v>
      </c>
      <c r="J2349" s="7" t="n">
        <v>8.1</v>
      </c>
      <c r="K2349" s="7" t="s">
        <v>2628</v>
      </c>
      <c r="L2349" s="7" t="s">
        <v>21</v>
      </c>
      <c r="M2349" s="7" t="s">
        <v>2799</v>
      </c>
      <c r="N2349" s="7" t="s">
        <v>53</v>
      </c>
      <c r="O2349" s="10" t="n">
        <f aca="false">'Exec Summary'!$E$2-H2349</f>
        <v>223</v>
      </c>
      <c r="P2349" s="10" t="n">
        <f aca="false">IF(I2349="","",I2349-H2349)</f>
        <v>44</v>
      </c>
      <c r="Q2349" s="10" t="n">
        <f aca="false">VLOOKUP(G2349,$AA$2:$AB$5,2,FALSE())</f>
        <v>30</v>
      </c>
      <c r="R2349" s="7" t="n">
        <f aca="false">IF(OR(F2349="Open",F2349="Reopened"),1,0)</f>
        <v>0</v>
      </c>
      <c r="S2349" s="7" t="n">
        <f aca="false">IF(AND(H2349&gt;='Exec Summary'!$E$1,H2349&lt;='Exec Summary'!$E$2),1,0)</f>
        <v>0</v>
      </c>
      <c r="T2349" s="7" t="n">
        <f aca="false">IF(AND(F2349="Closed",I2349&lt;&gt;"",I2349&gt;='Exec Summary'!$E$1,I2349&lt;='Exec Summary'!$E$2),1,0)</f>
        <v>0</v>
      </c>
      <c r="U2349" s="7" t="n">
        <f aca="false">IF(F2349="Reopened",1,0)</f>
        <v>0</v>
      </c>
      <c r="V2349" s="7" t="n">
        <f aca="false">IF(AND(R2349=1,O2349&gt;Q2349),1,0)</f>
        <v>0</v>
      </c>
      <c r="W2349" s="7" t="n">
        <f aca="false">IF(AND(T2349=1,P2349&lt;&gt;"",P2349&lt;=Q2349),1,0)</f>
        <v>0</v>
      </c>
    </row>
    <row r="2350" customFormat="false" ht="15" hidden="false" customHeight="false" outlineLevel="0" collapsed="false">
      <c r="A2350" s="7" t="s">
        <v>2789</v>
      </c>
      <c r="B2350" s="7" t="s">
        <v>46</v>
      </c>
      <c r="C2350" s="7" t="s">
        <v>177</v>
      </c>
      <c r="D2350" s="7" t="s">
        <v>163</v>
      </c>
      <c r="E2350" s="7" t="s">
        <v>164</v>
      </c>
      <c r="F2350" s="7" t="s">
        <v>56</v>
      </c>
      <c r="G2350" s="7" t="s">
        <v>19</v>
      </c>
      <c r="H2350" s="9" t="n">
        <v>46077</v>
      </c>
      <c r="I2350" s="9"/>
      <c r="J2350" s="7" t="n">
        <v>9.1</v>
      </c>
      <c r="K2350" s="7" t="s">
        <v>2628</v>
      </c>
      <c r="L2350" s="7" t="s">
        <v>21</v>
      </c>
      <c r="M2350" s="7" t="s">
        <v>2800</v>
      </c>
      <c r="N2350" s="7" t="s">
        <v>58</v>
      </c>
      <c r="O2350" s="10" t="n">
        <f aca="false">'Exec Summary'!$E$2-H2350</f>
        <v>157</v>
      </c>
      <c r="P2350" s="10" t="str">
        <f aca="false">IF(I2350="","",I2350-H2350)</f>
        <v/>
      </c>
      <c r="Q2350" s="10" t="n">
        <f aca="false">VLOOKUP(G2350,$AA$2:$AB$5,2,FALSE())</f>
        <v>15</v>
      </c>
      <c r="R2350" s="7" t="n">
        <f aca="false">IF(OR(F2350="Open",F2350="Reopened"),1,0)</f>
        <v>1</v>
      </c>
      <c r="S2350" s="7" t="n">
        <f aca="false">IF(AND(H2350&gt;='Exec Summary'!$E$1,H2350&lt;='Exec Summary'!$E$2),1,0)</f>
        <v>0</v>
      </c>
      <c r="T2350" s="7" t="n">
        <f aca="false">IF(AND(F2350="Closed",I2350&lt;&gt;"",I2350&gt;='Exec Summary'!$E$1,I2350&lt;='Exec Summary'!$E$2),1,0)</f>
        <v>0</v>
      </c>
      <c r="U2350" s="7" t="n">
        <f aca="false">IF(F2350="Reopened",1,0)</f>
        <v>0</v>
      </c>
      <c r="V2350" s="7" t="n">
        <f aca="false">IF(AND(R2350=1,O2350&gt;Q2350),1,0)</f>
        <v>1</v>
      </c>
      <c r="W2350" s="7" t="n">
        <f aca="false">IF(AND(T2350=1,P2350&lt;&gt;"",P2350&lt;=Q2350),1,0)</f>
        <v>0</v>
      </c>
    </row>
    <row r="2351" customFormat="false" ht="15" hidden="false" customHeight="false" outlineLevel="0" collapsed="false">
      <c r="A2351" s="7" t="s">
        <v>2789</v>
      </c>
      <c r="B2351" s="7" t="s">
        <v>46</v>
      </c>
      <c r="C2351" s="7" t="s">
        <v>177</v>
      </c>
      <c r="D2351" s="7" t="s">
        <v>112</v>
      </c>
      <c r="E2351" s="7" t="s">
        <v>113</v>
      </c>
      <c r="F2351" s="7" t="s">
        <v>56</v>
      </c>
      <c r="G2351" s="7" t="s">
        <v>20</v>
      </c>
      <c r="H2351" s="9" t="n">
        <v>45992</v>
      </c>
      <c r="I2351" s="9"/>
      <c r="J2351" s="7" t="n">
        <v>7.8</v>
      </c>
      <c r="K2351" s="7" t="s">
        <v>2628</v>
      </c>
      <c r="L2351" s="7" t="s">
        <v>21</v>
      </c>
      <c r="M2351" s="7" t="s">
        <v>2801</v>
      </c>
      <c r="N2351" s="7" t="s">
        <v>53</v>
      </c>
      <c r="O2351" s="10" t="n">
        <f aca="false">'Exec Summary'!$E$2-H2351</f>
        <v>242</v>
      </c>
      <c r="P2351" s="10" t="str">
        <f aca="false">IF(I2351="","",I2351-H2351)</f>
        <v/>
      </c>
      <c r="Q2351" s="10" t="n">
        <f aca="false">VLOOKUP(G2351,$AA$2:$AB$5,2,FALSE())</f>
        <v>30</v>
      </c>
      <c r="R2351" s="7" t="n">
        <f aca="false">IF(OR(F2351="Open",F2351="Reopened"),1,0)</f>
        <v>1</v>
      </c>
      <c r="S2351" s="7" t="n">
        <f aca="false">IF(AND(H2351&gt;='Exec Summary'!$E$1,H2351&lt;='Exec Summary'!$E$2),1,0)</f>
        <v>0</v>
      </c>
      <c r="T2351" s="7" t="n">
        <f aca="false">IF(AND(F2351="Closed",I2351&lt;&gt;"",I2351&gt;='Exec Summary'!$E$1,I2351&lt;='Exec Summary'!$E$2),1,0)</f>
        <v>0</v>
      </c>
      <c r="U2351" s="7" t="n">
        <f aca="false">IF(F2351="Reopened",1,0)</f>
        <v>0</v>
      </c>
      <c r="V2351" s="7" t="n">
        <f aca="false">IF(AND(R2351=1,O2351&gt;Q2351),1,0)</f>
        <v>1</v>
      </c>
      <c r="W2351" s="7" t="n">
        <f aca="false">IF(AND(T2351=1,P2351&lt;&gt;"",P2351&lt;=Q2351),1,0)</f>
        <v>0</v>
      </c>
    </row>
    <row r="2352" customFormat="false" ht="15" hidden="false" customHeight="false" outlineLevel="0" collapsed="false">
      <c r="A2352" s="7" t="s">
        <v>2802</v>
      </c>
      <c r="B2352" s="7" t="s">
        <v>135</v>
      </c>
      <c r="C2352" s="7" t="s">
        <v>306</v>
      </c>
      <c r="D2352" s="7" t="s">
        <v>139</v>
      </c>
      <c r="E2352" s="7" t="s">
        <v>140</v>
      </c>
      <c r="F2352" s="7" t="s">
        <v>56</v>
      </c>
      <c r="G2352" s="7" t="s">
        <v>19</v>
      </c>
      <c r="H2352" s="9" t="n">
        <v>46159</v>
      </c>
      <c r="I2352" s="9"/>
      <c r="J2352" s="7" t="n">
        <v>9.8</v>
      </c>
      <c r="K2352" s="7" t="s">
        <v>2628</v>
      </c>
      <c r="L2352" s="7" t="s">
        <v>20</v>
      </c>
      <c r="M2352" s="7" t="s">
        <v>2803</v>
      </c>
      <c r="N2352" s="7" t="s">
        <v>58</v>
      </c>
      <c r="O2352" s="10" t="n">
        <f aca="false">'Exec Summary'!$E$2-H2352</f>
        <v>75</v>
      </c>
      <c r="P2352" s="10" t="str">
        <f aca="false">IF(I2352="","",I2352-H2352)</f>
        <v/>
      </c>
      <c r="Q2352" s="10" t="n">
        <f aca="false">VLOOKUP(G2352,$AA$2:$AB$5,2,FALSE())</f>
        <v>15</v>
      </c>
      <c r="R2352" s="7" t="n">
        <f aca="false">IF(OR(F2352="Open",F2352="Reopened"),1,0)</f>
        <v>1</v>
      </c>
      <c r="S2352" s="7" t="n">
        <f aca="false">IF(AND(H2352&gt;='Exec Summary'!$E$1,H2352&lt;='Exec Summary'!$E$2),1,0)</f>
        <v>0</v>
      </c>
      <c r="T2352" s="7" t="n">
        <f aca="false">IF(AND(F2352="Closed",I2352&lt;&gt;"",I2352&gt;='Exec Summary'!$E$1,I2352&lt;='Exec Summary'!$E$2),1,0)</f>
        <v>0</v>
      </c>
      <c r="U2352" s="7" t="n">
        <f aca="false">IF(F2352="Reopened",1,0)</f>
        <v>0</v>
      </c>
      <c r="V2352" s="7" t="n">
        <f aca="false">IF(AND(R2352=1,O2352&gt;Q2352),1,0)</f>
        <v>1</v>
      </c>
      <c r="W2352" s="7" t="n">
        <f aca="false">IF(AND(T2352=1,P2352&lt;&gt;"",P2352&lt;=Q2352),1,0)</f>
        <v>0</v>
      </c>
    </row>
    <row r="2353" customFormat="false" ht="15" hidden="false" customHeight="false" outlineLevel="0" collapsed="false">
      <c r="A2353" s="7" t="s">
        <v>2802</v>
      </c>
      <c r="B2353" s="7" t="s">
        <v>135</v>
      </c>
      <c r="C2353" s="7" t="s">
        <v>306</v>
      </c>
      <c r="D2353" s="7" t="s">
        <v>48</v>
      </c>
      <c r="E2353" s="7" t="s">
        <v>49</v>
      </c>
      <c r="F2353" s="7" t="s">
        <v>56</v>
      </c>
      <c r="G2353" s="7" t="s">
        <v>20</v>
      </c>
      <c r="H2353" s="9" t="n">
        <v>46163</v>
      </c>
      <c r="I2353" s="9"/>
      <c r="J2353" s="7" t="n">
        <v>7.5</v>
      </c>
      <c r="K2353" s="7" t="s">
        <v>2628</v>
      </c>
      <c r="L2353" s="7" t="s">
        <v>20</v>
      </c>
      <c r="M2353" s="7" t="s">
        <v>2804</v>
      </c>
      <c r="N2353" s="7" t="s">
        <v>53</v>
      </c>
      <c r="O2353" s="10" t="n">
        <f aca="false">'Exec Summary'!$E$2-H2353</f>
        <v>71</v>
      </c>
      <c r="P2353" s="10" t="str">
        <f aca="false">IF(I2353="","",I2353-H2353)</f>
        <v/>
      </c>
      <c r="Q2353" s="10" t="n">
        <f aca="false">VLOOKUP(G2353,$AA$2:$AB$5,2,FALSE())</f>
        <v>30</v>
      </c>
      <c r="R2353" s="7" t="n">
        <f aca="false">IF(OR(F2353="Open",F2353="Reopened"),1,0)</f>
        <v>1</v>
      </c>
      <c r="S2353" s="7" t="n">
        <f aca="false">IF(AND(H2353&gt;='Exec Summary'!$E$1,H2353&lt;='Exec Summary'!$E$2),1,0)</f>
        <v>0</v>
      </c>
      <c r="T2353" s="7" t="n">
        <f aca="false">IF(AND(F2353="Closed",I2353&lt;&gt;"",I2353&gt;='Exec Summary'!$E$1,I2353&lt;='Exec Summary'!$E$2),1,0)</f>
        <v>0</v>
      </c>
      <c r="U2353" s="7" t="n">
        <f aca="false">IF(F2353="Reopened",1,0)</f>
        <v>0</v>
      </c>
      <c r="V2353" s="7" t="n">
        <f aca="false">IF(AND(R2353=1,O2353&gt;Q2353),1,0)</f>
        <v>1</v>
      </c>
      <c r="W2353" s="7" t="n">
        <f aca="false">IF(AND(T2353=1,P2353&lt;&gt;"",P2353&lt;=Q2353),1,0)</f>
        <v>0</v>
      </c>
    </row>
    <row r="2354" customFormat="false" ht="15" hidden="false" customHeight="false" outlineLevel="0" collapsed="false">
      <c r="A2354" s="7" t="s">
        <v>2802</v>
      </c>
      <c r="B2354" s="7" t="s">
        <v>135</v>
      </c>
      <c r="C2354" s="7" t="s">
        <v>306</v>
      </c>
      <c r="D2354" s="7" t="s">
        <v>152</v>
      </c>
      <c r="E2354" s="7" t="s">
        <v>153</v>
      </c>
      <c r="F2354" s="7" t="s">
        <v>50</v>
      </c>
      <c r="G2354" s="7" t="s">
        <v>20</v>
      </c>
      <c r="H2354" s="9" t="n">
        <v>46224</v>
      </c>
      <c r="I2354" s="9" t="n">
        <v>46234</v>
      </c>
      <c r="J2354" s="7" t="n">
        <v>7.5</v>
      </c>
      <c r="K2354" s="7" t="s">
        <v>2628</v>
      </c>
      <c r="L2354" s="7" t="s">
        <v>20</v>
      </c>
      <c r="M2354" s="7" t="s">
        <v>2805</v>
      </c>
      <c r="N2354" s="7" t="s">
        <v>53</v>
      </c>
      <c r="O2354" s="10" t="n">
        <f aca="false">'Exec Summary'!$E$2-H2354</f>
        <v>10</v>
      </c>
      <c r="P2354" s="10" t="n">
        <f aca="false">IF(I2354="","",I2354-H2354)</f>
        <v>10</v>
      </c>
      <c r="Q2354" s="10" t="n">
        <f aca="false">VLOOKUP(G2354,$AA$2:$AB$5,2,FALSE())</f>
        <v>30</v>
      </c>
      <c r="R2354" s="7" t="n">
        <f aca="false">IF(OR(F2354="Open",F2354="Reopened"),1,0)</f>
        <v>0</v>
      </c>
      <c r="S2354" s="7" t="n">
        <f aca="false">IF(AND(H2354&gt;='Exec Summary'!$E$1,H2354&lt;='Exec Summary'!$E$2),1,0)</f>
        <v>1</v>
      </c>
      <c r="T2354" s="7" t="n">
        <f aca="false">IF(AND(F2354="Closed",I2354&lt;&gt;"",I2354&gt;='Exec Summary'!$E$1,I2354&lt;='Exec Summary'!$E$2),1,0)</f>
        <v>1</v>
      </c>
      <c r="U2354" s="7" t="n">
        <f aca="false">IF(F2354="Reopened",1,0)</f>
        <v>0</v>
      </c>
      <c r="V2354" s="7" t="n">
        <f aca="false">IF(AND(R2354=1,O2354&gt;Q2354),1,0)</f>
        <v>0</v>
      </c>
      <c r="W2354" s="7" t="n">
        <f aca="false">IF(AND(T2354=1,P2354&lt;&gt;"",P2354&lt;=Q2354),1,0)</f>
        <v>1</v>
      </c>
    </row>
    <row r="2355" customFormat="false" ht="15" hidden="false" customHeight="false" outlineLevel="0" collapsed="false">
      <c r="A2355" s="7" t="s">
        <v>2802</v>
      </c>
      <c r="B2355" s="7" t="s">
        <v>135</v>
      </c>
      <c r="C2355" s="7" t="s">
        <v>306</v>
      </c>
      <c r="D2355" s="7" t="s">
        <v>101</v>
      </c>
      <c r="E2355" s="7" t="s">
        <v>102</v>
      </c>
      <c r="F2355" s="7" t="s">
        <v>50</v>
      </c>
      <c r="G2355" s="7" t="s">
        <v>19</v>
      </c>
      <c r="H2355" s="9" t="n">
        <v>46123</v>
      </c>
      <c r="I2355" s="9" t="n">
        <v>46138</v>
      </c>
      <c r="J2355" s="7" t="n">
        <v>10</v>
      </c>
      <c r="K2355" s="7" t="s">
        <v>2628</v>
      </c>
      <c r="L2355" s="7" t="s">
        <v>20</v>
      </c>
      <c r="M2355" s="7" t="s">
        <v>2806</v>
      </c>
      <c r="N2355" s="7" t="s">
        <v>58</v>
      </c>
      <c r="O2355" s="10" t="n">
        <f aca="false">'Exec Summary'!$E$2-H2355</f>
        <v>111</v>
      </c>
      <c r="P2355" s="10" t="n">
        <f aca="false">IF(I2355="","",I2355-H2355)</f>
        <v>15</v>
      </c>
      <c r="Q2355" s="10" t="n">
        <f aca="false">VLOOKUP(G2355,$AA$2:$AB$5,2,FALSE())</f>
        <v>15</v>
      </c>
      <c r="R2355" s="7" t="n">
        <f aca="false">IF(OR(F2355="Open",F2355="Reopened"),1,0)</f>
        <v>0</v>
      </c>
      <c r="S2355" s="7" t="n">
        <f aca="false">IF(AND(H2355&gt;='Exec Summary'!$E$1,H2355&lt;='Exec Summary'!$E$2),1,0)</f>
        <v>0</v>
      </c>
      <c r="T2355" s="7" t="n">
        <f aca="false">IF(AND(F2355="Closed",I2355&lt;&gt;"",I2355&gt;='Exec Summary'!$E$1,I2355&lt;='Exec Summary'!$E$2),1,0)</f>
        <v>0</v>
      </c>
      <c r="U2355" s="7" t="n">
        <f aca="false">IF(F2355="Reopened",1,0)</f>
        <v>0</v>
      </c>
      <c r="V2355" s="7" t="n">
        <f aca="false">IF(AND(R2355=1,O2355&gt;Q2355),1,0)</f>
        <v>0</v>
      </c>
      <c r="W2355" s="7" t="n">
        <f aca="false">IF(AND(T2355=1,P2355&lt;&gt;"",P2355&lt;=Q2355),1,0)</f>
        <v>0</v>
      </c>
    </row>
    <row r="2356" customFormat="false" ht="15" hidden="false" customHeight="false" outlineLevel="0" collapsed="false">
      <c r="A2356" s="7" t="s">
        <v>2802</v>
      </c>
      <c r="B2356" s="7" t="s">
        <v>135</v>
      </c>
      <c r="C2356" s="7" t="s">
        <v>306</v>
      </c>
      <c r="D2356" s="7" t="s">
        <v>71</v>
      </c>
      <c r="E2356" s="7" t="s">
        <v>72</v>
      </c>
      <c r="F2356" s="7" t="s">
        <v>56</v>
      </c>
      <c r="G2356" s="7" t="s">
        <v>19</v>
      </c>
      <c r="H2356" s="9" t="n">
        <v>45990</v>
      </c>
      <c r="I2356" s="9"/>
      <c r="J2356" s="7" t="n">
        <v>9.8</v>
      </c>
      <c r="K2356" s="7" t="s">
        <v>2628</v>
      </c>
      <c r="L2356" s="7" t="s">
        <v>20</v>
      </c>
      <c r="M2356" s="7" t="s">
        <v>2807</v>
      </c>
      <c r="N2356" s="7" t="s">
        <v>58</v>
      </c>
      <c r="O2356" s="10" t="n">
        <f aca="false">'Exec Summary'!$E$2-H2356</f>
        <v>244</v>
      </c>
      <c r="P2356" s="10" t="str">
        <f aca="false">IF(I2356="","",I2356-H2356)</f>
        <v/>
      </c>
      <c r="Q2356" s="10" t="n">
        <f aca="false">VLOOKUP(G2356,$AA$2:$AB$5,2,FALSE())</f>
        <v>15</v>
      </c>
      <c r="R2356" s="7" t="n">
        <f aca="false">IF(OR(F2356="Open",F2356="Reopened"),1,0)</f>
        <v>1</v>
      </c>
      <c r="S2356" s="7" t="n">
        <f aca="false">IF(AND(H2356&gt;='Exec Summary'!$E$1,H2356&lt;='Exec Summary'!$E$2),1,0)</f>
        <v>0</v>
      </c>
      <c r="T2356" s="7" t="n">
        <f aca="false">IF(AND(F2356="Closed",I2356&lt;&gt;"",I2356&gt;='Exec Summary'!$E$1,I2356&lt;='Exec Summary'!$E$2),1,0)</f>
        <v>0</v>
      </c>
      <c r="U2356" s="7" t="n">
        <f aca="false">IF(F2356="Reopened",1,0)</f>
        <v>0</v>
      </c>
      <c r="V2356" s="7" t="n">
        <f aca="false">IF(AND(R2356=1,O2356&gt;Q2356),1,0)</f>
        <v>1</v>
      </c>
      <c r="W2356" s="7" t="n">
        <f aca="false">IF(AND(T2356=1,P2356&lt;&gt;"",P2356&lt;=Q2356),1,0)</f>
        <v>0</v>
      </c>
    </row>
    <row r="2357" customFormat="false" ht="15" hidden="false" customHeight="false" outlineLevel="0" collapsed="false">
      <c r="A2357" s="7" t="s">
        <v>2802</v>
      </c>
      <c r="B2357" s="7" t="s">
        <v>135</v>
      </c>
      <c r="C2357" s="7" t="s">
        <v>306</v>
      </c>
      <c r="D2357" s="7" t="s">
        <v>173</v>
      </c>
      <c r="E2357" s="7" t="s">
        <v>174</v>
      </c>
      <c r="F2357" s="7" t="s">
        <v>50</v>
      </c>
      <c r="G2357" s="7" t="s">
        <v>19</v>
      </c>
      <c r="H2357" s="9" t="n">
        <v>46098</v>
      </c>
      <c r="I2357" s="9" t="n">
        <v>46113</v>
      </c>
      <c r="J2357" s="7" t="n">
        <v>9.8</v>
      </c>
      <c r="K2357" s="7" t="s">
        <v>2628</v>
      </c>
      <c r="L2357" s="7" t="s">
        <v>20</v>
      </c>
      <c r="M2357" s="7" t="s">
        <v>2808</v>
      </c>
      <c r="N2357" s="7" t="s">
        <v>58</v>
      </c>
      <c r="O2357" s="10" t="n">
        <f aca="false">'Exec Summary'!$E$2-H2357</f>
        <v>136</v>
      </c>
      <c r="P2357" s="10" t="n">
        <f aca="false">IF(I2357="","",I2357-H2357)</f>
        <v>15</v>
      </c>
      <c r="Q2357" s="10" t="n">
        <f aca="false">VLOOKUP(G2357,$AA$2:$AB$5,2,FALSE())</f>
        <v>15</v>
      </c>
      <c r="R2357" s="7" t="n">
        <f aca="false">IF(OR(F2357="Open",F2357="Reopened"),1,0)</f>
        <v>0</v>
      </c>
      <c r="S2357" s="7" t="n">
        <f aca="false">IF(AND(H2357&gt;='Exec Summary'!$E$1,H2357&lt;='Exec Summary'!$E$2),1,0)</f>
        <v>0</v>
      </c>
      <c r="T2357" s="7" t="n">
        <f aca="false">IF(AND(F2357="Closed",I2357&lt;&gt;"",I2357&gt;='Exec Summary'!$E$1,I2357&lt;='Exec Summary'!$E$2),1,0)</f>
        <v>0</v>
      </c>
      <c r="U2357" s="7" t="n">
        <f aca="false">IF(F2357="Reopened",1,0)</f>
        <v>0</v>
      </c>
      <c r="V2357" s="7" t="n">
        <f aca="false">IF(AND(R2357=1,O2357&gt;Q2357),1,0)</f>
        <v>0</v>
      </c>
      <c r="W2357" s="7" t="n">
        <f aca="false">IF(AND(T2357=1,P2357&lt;&gt;"",P2357&lt;=Q2357),1,0)</f>
        <v>0</v>
      </c>
    </row>
    <row r="2358" customFormat="false" ht="15" hidden="false" customHeight="false" outlineLevel="0" collapsed="false">
      <c r="A2358" s="7" t="s">
        <v>2802</v>
      </c>
      <c r="B2358" s="7" t="s">
        <v>135</v>
      </c>
      <c r="C2358" s="7" t="s">
        <v>306</v>
      </c>
      <c r="D2358" s="7" t="s">
        <v>166</v>
      </c>
      <c r="E2358" s="7" t="s">
        <v>167</v>
      </c>
      <c r="F2358" s="7" t="s">
        <v>56</v>
      </c>
      <c r="G2358" s="7" t="s">
        <v>19</v>
      </c>
      <c r="H2358" s="9" t="n">
        <v>46115</v>
      </c>
      <c r="I2358" s="9"/>
      <c r="J2358" s="7" t="n">
        <v>9.8</v>
      </c>
      <c r="K2358" s="7" t="s">
        <v>2628</v>
      </c>
      <c r="L2358" s="7" t="s">
        <v>20</v>
      </c>
      <c r="M2358" s="7" t="s">
        <v>2809</v>
      </c>
      <c r="N2358" s="7" t="s">
        <v>58</v>
      </c>
      <c r="O2358" s="10" t="n">
        <f aca="false">'Exec Summary'!$E$2-H2358</f>
        <v>119</v>
      </c>
      <c r="P2358" s="10" t="str">
        <f aca="false">IF(I2358="","",I2358-H2358)</f>
        <v/>
      </c>
      <c r="Q2358" s="10" t="n">
        <f aca="false">VLOOKUP(G2358,$AA$2:$AB$5,2,FALSE())</f>
        <v>15</v>
      </c>
      <c r="R2358" s="7" t="n">
        <f aca="false">IF(OR(F2358="Open",F2358="Reopened"),1,0)</f>
        <v>1</v>
      </c>
      <c r="S2358" s="7" t="n">
        <f aca="false">IF(AND(H2358&gt;='Exec Summary'!$E$1,H2358&lt;='Exec Summary'!$E$2),1,0)</f>
        <v>0</v>
      </c>
      <c r="T2358" s="7" t="n">
        <f aca="false">IF(AND(F2358="Closed",I2358&lt;&gt;"",I2358&gt;='Exec Summary'!$E$1,I2358&lt;='Exec Summary'!$E$2),1,0)</f>
        <v>0</v>
      </c>
      <c r="U2358" s="7" t="n">
        <f aca="false">IF(F2358="Reopened",1,0)</f>
        <v>0</v>
      </c>
      <c r="V2358" s="7" t="n">
        <f aca="false">IF(AND(R2358=1,O2358&gt;Q2358),1,0)</f>
        <v>1</v>
      </c>
      <c r="W2358" s="7" t="n">
        <f aca="false">IF(AND(T2358=1,P2358&lt;&gt;"",P2358&lt;=Q2358),1,0)</f>
        <v>0</v>
      </c>
    </row>
    <row r="2359" customFormat="false" ht="15" hidden="false" customHeight="false" outlineLevel="0" collapsed="false">
      <c r="A2359" s="7" t="s">
        <v>2810</v>
      </c>
      <c r="B2359" s="7" t="s">
        <v>46</v>
      </c>
      <c r="C2359" s="7" t="s">
        <v>79</v>
      </c>
      <c r="D2359" s="7" t="s">
        <v>98</v>
      </c>
      <c r="E2359" s="7" t="s">
        <v>99</v>
      </c>
      <c r="F2359" s="7" t="s">
        <v>50</v>
      </c>
      <c r="G2359" s="7" t="s">
        <v>19</v>
      </c>
      <c r="H2359" s="9" t="n">
        <v>45946</v>
      </c>
      <c r="I2359" s="9" t="n">
        <v>45959</v>
      </c>
      <c r="J2359" s="7" t="n">
        <v>10</v>
      </c>
      <c r="K2359" s="7" t="s">
        <v>2628</v>
      </c>
      <c r="L2359" s="7" t="s">
        <v>21</v>
      </c>
      <c r="M2359" s="7" t="s">
        <v>2811</v>
      </c>
      <c r="N2359" s="7" t="s">
        <v>58</v>
      </c>
      <c r="O2359" s="10" t="n">
        <f aca="false">'Exec Summary'!$E$2-H2359</f>
        <v>288</v>
      </c>
      <c r="P2359" s="10" t="n">
        <f aca="false">IF(I2359="","",I2359-H2359)</f>
        <v>13</v>
      </c>
      <c r="Q2359" s="10" t="n">
        <f aca="false">VLOOKUP(G2359,$AA$2:$AB$5,2,FALSE())</f>
        <v>15</v>
      </c>
      <c r="R2359" s="7" t="n">
        <f aca="false">IF(OR(F2359="Open",F2359="Reopened"),1,0)</f>
        <v>0</v>
      </c>
      <c r="S2359" s="7" t="n">
        <f aca="false">IF(AND(H2359&gt;='Exec Summary'!$E$1,H2359&lt;='Exec Summary'!$E$2),1,0)</f>
        <v>0</v>
      </c>
      <c r="T2359" s="7" t="n">
        <f aca="false">IF(AND(F2359="Closed",I2359&lt;&gt;"",I2359&gt;='Exec Summary'!$E$1,I2359&lt;='Exec Summary'!$E$2),1,0)</f>
        <v>0</v>
      </c>
      <c r="U2359" s="7" t="n">
        <f aca="false">IF(F2359="Reopened",1,0)</f>
        <v>0</v>
      </c>
      <c r="V2359" s="7" t="n">
        <f aca="false">IF(AND(R2359=1,O2359&gt;Q2359),1,0)</f>
        <v>0</v>
      </c>
      <c r="W2359" s="7" t="n">
        <f aca="false">IF(AND(T2359=1,P2359&lt;&gt;"",P2359&lt;=Q2359),1,0)</f>
        <v>0</v>
      </c>
    </row>
    <row r="2360" customFormat="false" ht="15" hidden="false" customHeight="false" outlineLevel="0" collapsed="false">
      <c r="A2360" s="7" t="s">
        <v>2810</v>
      </c>
      <c r="B2360" s="7" t="s">
        <v>46</v>
      </c>
      <c r="C2360" s="7" t="s">
        <v>79</v>
      </c>
      <c r="D2360" s="7" t="s">
        <v>108</v>
      </c>
      <c r="E2360" s="7" t="s">
        <v>109</v>
      </c>
      <c r="F2360" s="7" t="s">
        <v>50</v>
      </c>
      <c r="G2360" s="7" t="s">
        <v>20</v>
      </c>
      <c r="H2360" s="9" t="n">
        <v>46068</v>
      </c>
      <c r="I2360" s="9" t="n">
        <v>46088</v>
      </c>
      <c r="J2360" s="7" t="n">
        <v>8.6</v>
      </c>
      <c r="K2360" s="7" t="s">
        <v>2628</v>
      </c>
      <c r="L2360" s="7" t="s">
        <v>21</v>
      </c>
      <c r="M2360" s="7" t="s">
        <v>2812</v>
      </c>
      <c r="N2360" s="7" t="s">
        <v>53</v>
      </c>
      <c r="O2360" s="10" t="n">
        <f aca="false">'Exec Summary'!$E$2-H2360</f>
        <v>166</v>
      </c>
      <c r="P2360" s="10" t="n">
        <f aca="false">IF(I2360="","",I2360-H2360)</f>
        <v>20</v>
      </c>
      <c r="Q2360" s="10" t="n">
        <f aca="false">VLOOKUP(G2360,$AA$2:$AB$5,2,FALSE())</f>
        <v>30</v>
      </c>
      <c r="R2360" s="7" t="n">
        <f aca="false">IF(OR(F2360="Open",F2360="Reopened"),1,0)</f>
        <v>0</v>
      </c>
      <c r="S2360" s="7" t="n">
        <f aca="false">IF(AND(H2360&gt;='Exec Summary'!$E$1,H2360&lt;='Exec Summary'!$E$2),1,0)</f>
        <v>0</v>
      </c>
      <c r="T2360" s="7" t="n">
        <f aca="false">IF(AND(F2360="Closed",I2360&lt;&gt;"",I2360&gt;='Exec Summary'!$E$1,I2360&lt;='Exec Summary'!$E$2),1,0)</f>
        <v>0</v>
      </c>
      <c r="U2360" s="7" t="n">
        <f aca="false">IF(F2360="Reopened",1,0)</f>
        <v>0</v>
      </c>
      <c r="V2360" s="7" t="n">
        <f aca="false">IF(AND(R2360=1,O2360&gt;Q2360),1,0)</f>
        <v>0</v>
      </c>
      <c r="W2360" s="7" t="n">
        <f aca="false">IF(AND(T2360=1,P2360&lt;&gt;"",P2360&lt;=Q2360),1,0)</f>
        <v>0</v>
      </c>
    </row>
    <row r="2361" customFormat="false" ht="15" hidden="false" customHeight="false" outlineLevel="0" collapsed="false">
      <c r="A2361" s="7" t="s">
        <v>2810</v>
      </c>
      <c r="B2361" s="7" t="s">
        <v>46</v>
      </c>
      <c r="C2361" s="7" t="s">
        <v>79</v>
      </c>
      <c r="D2361" s="7" t="s">
        <v>95</v>
      </c>
      <c r="E2361" s="7" t="s">
        <v>96</v>
      </c>
      <c r="F2361" s="7" t="s">
        <v>56</v>
      </c>
      <c r="G2361" s="7" t="s">
        <v>20</v>
      </c>
      <c r="H2361" s="9" t="n">
        <v>46073</v>
      </c>
      <c r="I2361" s="9"/>
      <c r="J2361" s="7" t="n">
        <v>8.8</v>
      </c>
      <c r="K2361" s="7" t="s">
        <v>2628</v>
      </c>
      <c r="L2361" s="7" t="s">
        <v>21</v>
      </c>
      <c r="M2361" s="7" t="s">
        <v>2813</v>
      </c>
      <c r="N2361" s="7" t="s">
        <v>53</v>
      </c>
      <c r="O2361" s="10" t="n">
        <f aca="false">'Exec Summary'!$E$2-H2361</f>
        <v>161</v>
      </c>
      <c r="P2361" s="10" t="str">
        <f aca="false">IF(I2361="","",I2361-H2361)</f>
        <v/>
      </c>
      <c r="Q2361" s="10" t="n">
        <f aca="false">VLOOKUP(G2361,$AA$2:$AB$5,2,FALSE())</f>
        <v>30</v>
      </c>
      <c r="R2361" s="7" t="n">
        <f aca="false">IF(OR(F2361="Open",F2361="Reopened"),1,0)</f>
        <v>1</v>
      </c>
      <c r="S2361" s="7" t="n">
        <f aca="false">IF(AND(H2361&gt;='Exec Summary'!$E$1,H2361&lt;='Exec Summary'!$E$2),1,0)</f>
        <v>0</v>
      </c>
      <c r="T2361" s="7" t="n">
        <f aca="false">IF(AND(F2361="Closed",I2361&lt;&gt;"",I2361&gt;='Exec Summary'!$E$1,I2361&lt;='Exec Summary'!$E$2),1,0)</f>
        <v>0</v>
      </c>
      <c r="U2361" s="7" t="n">
        <f aca="false">IF(F2361="Reopened",1,0)</f>
        <v>0</v>
      </c>
      <c r="V2361" s="7" t="n">
        <f aca="false">IF(AND(R2361=1,O2361&gt;Q2361),1,0)</f>
        <v>1</v>
      </c>
      <c r="W2361" s="7" t="n">
        <f aca="false">IF(AND(T2361=1,P2361&lt;&gt;"",P2361&lt;=Q2361),1,0)</f>
        <v>0</v>
      </c>
    </row>
    <row r="2362" customFormat="false" ht="15" hidden="false" customHeight="false" outlineLevel="0" collapsed="false">
      <c r="A2362" s="7" t="s">
        <v>2810</v>
      </c>
      <c r="B2362" s="7" t="s">
        <v>46</v>
      </c>
      <c r="C2362" s="7" t="s">
        <v>79</v>
      </c>
      <c r="D2362" s="7" t="s">
        <v>210</v>
      </c>
      <c r="E2362" s="7" t="s">
        <v>211</v>
      </c>
      <c r="F2362" s="7" t="s">
        <v>50</v>
      </c>
      <c r="G2362" s="7" t="s">
        <v>19</v>
      </c>
      <c r="H2362" s="9" t="n">
        <v>45975</v>
      </c>
      <c r="I2362" s="9" t="n">
        <v>45999</v>
      </c>
      <c r="J2362" s="7" t="n">
        <v>9.8</v>
      </c>
      <c r="K2362" s="7" t="s">
        <v>2628</v>
      </c>
      <c r="L2362" s="7" t="s">
        <v>21</v>
      </c>
      <c r="M2362" s="7" t="s">
        <v>2814</v>
      </c>
      <c r="N2362" s="7" t="s">
        <v>58</v>
      </c>
      <c r="O2362" s="10" t="n">
        <f aca="false">'Exec Summary'!$E$2-H2362</f>
        <v>259</v>
      </c>
      <c r="P2362" s="10" t="n">
        <f aca="false">IF(I2362="","",I2362-H2362)</f>
        <v>24</v>
      </c>
      <c r="Q2362" s="10" t="n">
        <f aca="false">VLOOKUP(G2362,$AA$2:$AB$5,2,FALSE())</f>
        <v>15</v>
      </c>
      <c r="R2362" s="7" t="n">
        <f aca="false">IF(OR(F2362="Open",F2362="Reopened"),1,0)</f>
        <v>0</v>
      </c>
      <c r="S2362" s="7" t="n">
        <f aca="false">IF(AND(H2362&gt;='Exec Summary'!$E$1,H2362&lt;='Exec Summary'!$E$2),1,0)</f>
        <v>0</v>
      </c>
      <c r="T2362" s="7" t="n">
        <f aca="false">IF(AND(F2362="Closed",I2362&lt;&gt;"",I2362&gt;='Exec Summary'!$E$1,I2362&lt;='Exec Summary'!$E$2),1,0)</f>
        <v>0</v>
      </c>
      <c r="U2362" s="7" t="n">
        <f aca="false">IF(F2362="Reopened",1,0)</f>
        <v>0</v>
      </c>
      <c r="V2362" s="7" t="n">
        <f aca="false">IF(AND(R2362=1,O2362&gt;Q2362),1,0)</f>
        <v>0</v>
      </c>
      <c r="W2362" s="7" t="n">
        <f aca="false">IF(AND(T2362=1,P2362&lt;&gt;"",P2362&lt;=Q2362),1,0)</f>
        <v>0</v>
      </c>
    </row>
    <row r="2363" customFormat="false" ht="15" hidden="false" customHeight="false" outlineLevel="0" collapsed="false">
      <c r="A2363" s="7" t="s">
        <v>2810</v>
      </c>
      <c r="B2363" s="7" t="s">
        <v>46</v>
      </c>
      <c r="C2363" s="7" t="s">
        <v>79</v>
      </c>
      <c r="D2363" s="7" t="s">
        <v>74</v>
      </c>
      <c r="E2363" s="7" t="s">
        <v>75</v>
      </c>
      <c r="F2363" s="7" t="s">
        <v>50</v>
      </c>
      <c r="G2363" s="7" t="s">
        <v>21</v>
      </c>
      <c r="H2363" s="9" t="n">
        <v>45943</v>
      </c>
      <c r="I2363" s="9" t="n">
        <v>46026</v>
      </c>
      <c r="J2363" s="7" t="n">
        <v>6.5</v>
      </c>
      <c r="K2363" s="7" t="s">
        <v>2628</v>
      </c>
      <c r="L2363" s="7" t="s">
        <v>21</v>
      </c>
      <c r="M2363" s="7" t="s">
        <v>2815</v>
      </c>
      <c r="N2363" s="7" t="s">
        <v>77</v>
      </c>
      <c r="O2363" s="10" t="n">
        <f aca="false">'Exec Summary'!$E$2-H2363</f>
        <v>291</v>
      </c>
      <c r="P2363" s="10" t="n">
        <f aca="false">IF(I2363="","",I2363-H2363)</f>
        <v>83</v>
      </c>
      <c r="Q2363" s="10" t="n">
        <f aca="false">VLOOKUP(G2363,$AA$2:$AB$5,2,FALSE())</f>
        <v>90</v>
      </c>
      <c r="R2363" s="7" t="n">
        <f aca="false">IF(OR(F2363="Open",F2363="Reopened"),1,0)</f>
        <v>0</v>
      </c>
      <c r="S2363" s="7" t="n">
        <f aca="false">IF(AND(H2363&gt;='Exec Summary'!$E$1,H2363&lt;='Exec Summary'!$E$2),1,0)</f>
        <v>0</v>
      </c>
      <c r="T2363" s="7" t="n">
        <f aca="false">IF(AND(F2363="Closed",I2363&lt;&gt;"",I2363&gt;='Exec Summary'!$E$1,I2363&lt;='Exec Summary'!$E$2),1,0)</f>
        <v>0</v>
      </c>
      <c r="U2363" s="7" t="n">
        <f aca="false">IF(F2363="Reopened",1,0)</f>
        <v>0</v>
      </c>
      <c r="V2363" s="7" t="n">
        <f aca="false">IF(AND(R2363=1,O2363&gt;Q2363),1,0)</f>
        <v>0</v>
      </c>
      <c r="W2363" s="7" t="n">
        <f aca="false">IF(AND(T2363=1,P2363&lt;&gt;"",P2363&lt;=Q2363),1,0)</f>
        <v>0</v>
      </c>
    </row>
    <row r="2364" customFormat="false" ht="15" hidden="false" customHeight="false" outlineLevel="0" collapsed="false">
      <c r="A2364" s="7" t="s">
        <v>2816</v>
      </c>
      <c r="B2364" s="7" t="s">
        <v>46</v>
      </c>
      <c r="C2364" s="7" t="s">
        <v>158</v>
      </c>
      <c r="D2364" s="7" t="s">
        <v>120</v>
      </c>
      <c r="E2364" s="7" t="s">
        <v>121</v>
      </c>
      <c r="F2364" s="7" t="s">
        <v>50</v>
      </c>
      <c r="G2364" s="7" t="s">
        <v>19</v>
      </c>
      <c r="H2364" s="9" t="n">
        <v>46109</v>
      </c>
      <c r="I2364" s="9" t="n">
        <v>46117</v>
      </c>
      <c r="J2364" s="7" t="n">
        <v>8.8</v>
      </c>
      <c r="K2364" s="7" t="s">
        <v>2628</v>
      </c>
      <c r="L2364" s="7" t="s">
        <v>21</v>
      </c>
      <c r="M2364" s="7" t="s">
        <v>2817</v>
      </c>
      <c r="N2364" s="7" t="s">
        <v>58</v>
      </c>
      <c r="O2364" s="10" t="n">
        <f aca="false">'Exec Summary'!$E$2-H2364</f>
        <v>125</v>
      </c>
      <c r="P2364" s="10" t="n">
        <f aca="false">IF(I2364="","",I2364-H2364)</f>
        <v>8</v>
      </c>
      <c r="Q2364" s="10" t="n">
        <f aca="false">VLOOKUP(G2364,$AA$2:$AB$5,2,FALSE())</f>
        <v>15</v>
      </c>
      <c r="R2364" s="7" t="n">
        <f aca="false">IF(OR(F2364="Open",F2364="Reopened"),1,0)</f>
        <v>0</v>
      </c>
      <c r="S2364" s="7" t="n">
        <f aca="false">IF(AND(H2364&gt;='Exec Summary'!$E$1,H2364&lt;='Exec Summary'!$E$2),1,0)</f>
        <v>0</v>
      </c>
      <c r="T2364" s="7" t="n">
        <f aca="false">IF(AND(F2364="Closed",I2364&lt;&gt;"",I2364&gt;='Exec Summary'!$E$1,I2364&lt;='Exec Summary'!$E$2),1,0)</f>
        <v>0</v>
      </c>
      <c r="U2364" s="7" t="n">
        <f aca="false">IF(F2364="Reopened",1,0)</f>
        <v>0</v>
      </c>
      <c r="V2364" s="7" t="n">
        <f aca="false">IF(AND(R2364=1,O2364&gt;Q2364),1,0)</f>
        <v>0</v>
      </c>
      <c r="W2364" s="7" t="n">
        <f aca="false">IF(AND(T2364=1,P2364&lt;&gt;"",P2364&lt;=Q2364),1,0)</f>
        <v>0</v>
      </c>
    </row>
    <row r="2365" customFormat="false" ht="15" hidden="false" customHeight="false" outlineLevel="0" collapsed="false">
      <c r="A2365" s="7" t="s">
        <v>2816</v>
      </c>
      <c r="B2365" s="7" t="s">
        <v>46</v>
      </c>
      <c r="C2365" s="7" t="s">
        <v>158</v>
      </c>
      <c r="D2365" s="7" t="s">
        <v>108</v>
      </c>
      <c r="E2365" s="7" t="s">
        <v>109</v>
      </c>
      <c r="F2365" s="7" t="s">
        <v>50</v>
      </c>
      <c r="G2365" s="7" t="s">
        <v>20</v>
      </c>
      <c r="H2365" s="9" t="n">
        <v>46070</v>
      </c>
      <c r="I2365" s="9" t="n">
        <v>46101</v>
      </c>
      <c r="J2365" s="7" t="n">
        <v>8.6</v>
      </c>
      <c r="K2365" s="7" t="s">
        <v>2628</v>
      </c>
      <c r="L2365" s="7" t="s">
        <v>21</v>
      </c>
      <c r="M2365" s="7" t="s">
        <v>2818</v>
      </c>
      <c r="N2365" s="7" t="s">
        <v>53</v>
      </c>
      <c r="O2365" s="10" t="n">
        <f aca="false">'Exec Summary'!$E$2-H2365</f>
        <v>164</v>
      </c>
      <c r="P2365" s="10" t="n">
        <f aca="false">IF(I2365="","",I2365-H2365)</f>
        <v>31</v>
      </c>
      <c r="Q2365" s="10" t="n">
        <f aca="false">VLOOKUP(G2365,$AA$2:$AB$5,2,FALSE())</f>
        <v>30</v>
      </c>
      <c r="R2365" s="7" t="n">
        <f aca="false">IF(OR(F2365="Open",F2365="Reopened"),1,0)</f>
        <v>0</v>
      </c>
      <c r="S2365" s="7" t="n">
        <f aca="false">IF(AND(H2365&gt;='Exec Summary'!$E$1,H2365&lt;='Exec Summary'!$E$2),1,0)</f>
        <v>0</v>
      </c>
      <c r="T2365" s="7" t="n">
        <f aca="false">IF(AND(F2365="Closed",I2365&lt;&gt;"",I2365&gt;='Exec Summary'!$E$1,I2365&lt;='Exec Summary'!$E$2),1,0)</f>
        <v>0</v>
      </c>
      <c r="U2365" s="7" t="n">
        <f aca="false">IF(F2365="Reopened",1,0)</f>
        <v>0</v>
      </c>
      <c r="V2365" s="7" t="n">
        <f aca="false">IF(AND(R2365=1,O2365&gt;Q2365),1,0)</f>
        <v>0</v>
      </c>
      <c r="W2365" s="7" t="n">
        <f aca="false">IF(AND(T2365=1,P2365&lt;&gt;"",P2365&lt;=Q2365),1,0)</f>
        <v>0</v>
      </c>
    </row>
    <row r="2366" customFormat="false" ht="15" hidden="false" customHeight="false" outlineLevel="0" collapsed="false">
      <c r="A2366" s="7" t="s">
        <v>2816</v>
      </c>
      <c r="B2366" s="7" t="s">
        <v>46</v>
      </c>
      <c r="C2366" s="7" t="s">
        <v>158</v>
      </c>
      <c r="D2366" s="7" t="s">
        <v>81</v>
      </c>
      <c r="E2366" s="7" t="s">
        <v>82</v>
      </c>
      <c r="F2366" s="7" t="s">
        <v>56</v>
      </c>
      <c r="G2366" s="7" t="s">
        <v>20</v>
      </c>
      <c r="H2366" s="9" t="n">
        <v>46097</v>
      </c>
      <c r="I2366" s="9"/>
      <c r="J2366" s="7" t="n">
        <v>7.8</v>
      </c>
      <c r="K2366" s="7" t="s">
        <v>2628</v>
      </c>
      <c r="L2366" s="7" t="s">
        <v>21</v>
      </c>
      <c r="M2366" s="7" t="s">
        <v>2819</v>
      </c>
      <c r="N2366" s="7" t="s">
        <v>53</v>
      </c>
      <c r="O2366" s="10" t="n">
        <f aca="false">'Exec Summary'!$E$2-H2366</f>
        <v>137</v>
      </c>
      <c r="P2366" s="10" t="str">
        <f aca="false">IF(I2366="","",I2366-H2366)</f>
        <v/>
      </c>
      <c r="Q2366" s="10" t="n">
        <f aca="false">VLOOKUP(G2366,$AA$2:$AB$5,2,FALSE())</f>
        <v>30</v>
      </c>
      <c r="R2366" s="7" t="n">
        <f aca="false">IF(OR(F2366="Open",F2366="Reopened"),1,0)</f>
        <v>1</v>
      </c>
      <c r="S2366" s="7" t="n">
        <f aca="false">IF(AND(H2366&gt;='Exec Summary'!$E$1,H2366&lt;='Exec Summary'!$E$2),1,0)</f>
        <v>0</v>
      </c>
      <c r="T2366" s="7" t="n">
        <f aca="false">IF(AND(F2366="Closed",I2366&lt;&gt;"",I2366&gt;='Exec Summary'!$E$1,I2366&lt;='Exec Summary'!$E$2),1,0)</f>
        <v>0</v>
      </c>
      <c r="U2366" s="7" t="n">
        <f aca="false">IF(F2366="Reopened",1,0)</f>
        <v>0</v>
      </c>
      <c r="V2366" s="7" t="n">
        <f aca="false">IF(AND(R2366=1,O2366&gt;Q2366),1,0)</f>
        <v>1</v>
      </c>
      <c r="W2366" s="7" t="n">
        <f aca="false">IF(AND(T2366=1,P2366&lt;&gt;"",P2366&lt;=Q2366),1,0)</f>
        <v>0</v>
      </c>
    </row>
    <row r="2367" customFormat="false" ht="15" hidden="false" customHeight="false" outlineLevel="0" collapsed="false">
      <c r="A2367" s="7" t="s">
        <v>2816</v>
      </c>
      <c r="B2367" s="7" t="s">
        <v>46</v>
      </c>
      <c r="C2367" s="7" t="s">
        <v>158</v>
      </c>
      <c r="D2367" s="7" t="s">
        <v>74</v>
      </c>
      <c r="E2367" s="7" t="s">
        <v>75</v>
      </c>
      <c r="F2367" s="7" t="s">
        <v>56</v>
      </c>
      <c r="G2367" s="7" t="s">
        <v>21</v>
      </c>
      <c r="H2367" s="9" t="n">
        <v>45945</v>
      </c>
      <c r="I2367" s="9"/>
      <c r="J2367" s="7" t="n">
        <v>6.5</v>
      </c>
      <c r="K2367" s="7" t="s">
        <v>2628</v>
      </c>
      <c r="L2367" s="7" t="s">
        <v>21</v>
      </c>
      <c r="M2367" s="7" t="s">
        <v>2820</v>
      </c>
      <c r="N2367" s="7" t="s">
        <v>77</v>
      </c>
      <c r="O2367" s="10" t="n">
        <f aca="false">'Exec Summary'!$E$2-H2367</f>
        <v>289</v>
      </c>
      <c r="P2367" s="10" t="str">
        <f aca="false">IF(I2367="","",I2367-H2367)</f>
        <v/>
      </c>
      <c r="Q2367" s="10" t="n">
        <f aca="false">VLOOKUP(G2367,$AA$2:$AB$5,2,FALSE())</f>
        <v>90</v>
      </c>
      <c r="R2367" s="7" t="n">
        <f aca="false">IF(OR(F2367="Open",F2367="Reopened"),1,0)</f>
        <v>1</v>
      </c>
      <c r="S2367" s="7" t="n">
        <f aca="false">IF(AND(H2367&gt;='Exec Summary'!$E$1,H2367&lt;='Exec Summary'!$E$2),1,0)</f>
        <v>0</v>
      </c>
      <c r="T2367" s="7" t="n">
        <f aca="false">IF(AND(F2367="Closed",I2367&lt;&gt;"",I2367&gt;='Exec Summary'!$E$1,I2367&lt;='Exec Summary'!$E$2),1,0)</f>
        <v>0</v>
      </c>
      <c r="U2367" s="7" t="n">
        <f aca="false">IF(F2367="Reopened",1,0)</f>
        <v>0</v>
      </c>
      <c r="V2367" s="7" t="n">
        <f aca="false">IF(AND(R2367=1,O2367&gt;Q2367),1,0)</f>
        <v>1</v>
      </c>
      <c r="W2367" s="7" t="n">
        <f aca="false">IF(AND(T2367=1,P2367&lt;&gt;"",P2367&lt;=Q2367),1,0)</f>
        <v>0</v>
      </c>
    </row>
    <row r="2368" customFormat="false" ht="15" hidden="false" customHeight="false" outlineLevel="0" collapsed="false">
      <c r="A2368" s="7" t="s">
        <v>2816</v>
      </c>
      <c r="B2368" s="7" t="s">
        <v>46</v>
      </c>
      <c r="C2368" s="7" t="s">
        <v>158</v>
      </c>
      <c r="D2368" s="7" t="s">
        <v>62</v>
      </c>
      <c r="E2368" s="7" t="s">
        <v>63</v>
      </c>
      <c r="F2368" s="7" t="s">
        <v>50</v>
      </c>
      <c r="G2368" s="7" t="s">
        <v>20</v>
      </c>
      <c r="H2368" s="9" t="n">
        <v>46058</v>
      </c>
      <c r="I2368" s="9" t="n">
        <v>46075</v>
      </c>
      <c r="J2368" s="7" t="n">
        <v>8.1</v>
      </c>
      <c r="K2368" s="7" t="s">
        <v>2628</v>
      </c>
      <c r="L2368" s="7" t="s">
        <v>21</v>
      </c>
      <c r="M2368" s="7" t="s">
        <v>2821</v>
      </c>
      <c r="N2368" s="7" t="s">
        <v>53</v>
      </c>
      <c r="O2368" s="10" t="n">
        <f aca="false">'Exec Summary'!$E$2-H2368</f>
        <v>176</v>
      </c>
      <c r="P2368" s="10" t="n">
        <f aca="false">IF(I2368="","",I2368-H2368)</f>
        <v>17</v>
      </c>
      <c r="Q2368" s="10" t="n">
        <f aca="false">VLOOKUP(G2368,$AA$2:$AB$5,2,FALSE())</f>
        <v>30</v>
      </c>
      <c r="R2368" s="7" t="n">
        <f aca="false">IF(OR(F2368="Open",F2368="Reopened"),1,0)</f>
        <v>0</v>
      </c>
      <c r="S2368" s="7" t="n">
        <f aca="false">IF(AND(H2368&gt;='Exec Summary'!$E$1,H2368&lt;='Exec Summary'!$E$2),1,0)</f>
        <v>0</v>
      </c>
      <c r="T2368" s="7" t="n">
        <f aca="false">IF(AND(F2368="Closed",I2368&lt;&gt;"",I2368&gt;='Exec Summary'!$E$1,I2368&lt;='Exec Summary'!$E$2),1,0)</f>
        <v>0</v>
      </c>
      <c r="U2368" s="7" t="n">
        <f aca="false">IF(F2368="Reopened",1,0)</f>
        <v>0</v>
      </c>
      <c r="V2368" s="7" t="n">
        <f aca="false">IF(AND(R2368=1,O2368&gt;Q2368),1,0)</f>
        <v>0</v>
      </c>
      <c r="W2368" s="7" t="n">
        <f aca="false">IF(AND(T2368=1,P2368&lt;&gt;"",P2368&lt;=Q2368),1,0)</f>
        <v>0</v>
      </c>
    </row>
    <row r="2369" customFormat="false" ht="15" hidden="false" customHeight="false" outlineLevel="0" collapsed="false">
      <c r="A2369" s="7" t="s">
        <v>2816</v>
      </c>
      <c r="B2369" s="7" t="s">
        <v>46</v>
      </c>
      <c r="C2369" s="7" t="s">
        <v>158</v>
      </c>
      <c r="D2369" s="7" t="s">
        <v>59</v>
      </c>
      <c r="E2369" s="7" t="s">
        <v>60</v>
      </c>
      <c r="F2369" s="7" t="s">
        <v>123</v>
      </c>
      <c r="G2369" s="7" t="s">
        <v>19</v>
      </c>
      <c r="H2369" s="9" t="n">
        <v>45972</v>
      </c>
      <c r="I2369" s="9" t="n">
        <v>45986</v>
      </c>
      <c r="J2369" s="7" t="n">
        <v>7.8</v>
      </c>
      <c r="K2369" s="7" t="s">
        <v>2628</v>
      </c>
      <c r="L2369" s="7" t="s">
        <v>21</v>
      </c>
      <c r="M2369" s="7" t="s">
        <v>2822</v>
      </c>
      <c r="N2369" s="7" t="s">
        <v>58</v>
      </c>
      <c r="O2369" s="10" t="n">
        <f aca="false">'Exec Summary'!$E$2-H2369</f>
        <v>262</v>
      </c>
      <c r="P2369" s="10" t="n">
        <f aca="false">IF(I2369="","",I2369-H2369)</f>
        <v>14</v>
      </c>
      <c r="Q2369" s="10" t="n">
        <f aca="false">VLOOKUP(G2369,$AA$2:$AB$5,2,FALSE())</f>
        <v>15</v>
      </c>
      <c r="R2369" s="7" t="n">
        <f aca="false">IF(OR(F2369="Open",F2369="Reopened"),1,0)</f>
        <v>1</v>
      </c>
      <c r="S2369" s="7" t="n">
        <f aca="false">IF(AND(H2369&gt;='Exec Summary'!$E$1,H2369&lt;='Exec Summary'!$E$2),1,0)</f>
        <v>0</v>
      </c>
      <c r="T2369" s="7" t="n">
        <f aca="false">IF(AND(F2369="Closed",I2369&lt;&gt;"",I2369&gt;='Exec Summary'!$E$1,I2369&lt;='Exec Summary'!$E$2),1,0)</f>
        <v>0</v>
      </c>
      <c r="U2369" s="7" t="n">
        <f aca="false">IF(F2369="Reopened",1,0)</f>
        <v>1</v>
      </c>
      <c r="V2369" s="7" t="n">
        <f aca="false">IF(AND(R2369=1,O2369&gt;Q2369),1,0)</f>
        <v>1</v>
      </c>
      <c r="W2369" s="7" t="n">
        <f aca="false">IF(AND(T2369=1,P2369&lt;&gt;"",P2369&lt;=Q2369),1,0)</f>
        <v>0</v>
      </c>
    </row>
    <row r="2370" customFormat="false" ht="15" hidden="false" customHeight="false" outlineLevel="0" collapsed="false">
      <c r="A2370" s="7" t="s">
        <v>2823</v>
      </c>
      <c r="B2370" s="7" t="s">
        <v>135</v>
      </c>
      <c r="C2370" s="7" t="s">
        <v>247</v>
      </c>
      <c r="D2370" s="7" t="s">
        <v>163</v>
      </c>
      <c r="E2370" s="7" t="s">
        <v>164</v>
      </c>
      <c r="F2370" s="7" t="s">
        <v>50</v>
      </c>
      <c r="G2370" s="7" t="s">
        <v>19</v>
      </c>
      <c r="H2370" s="9" t="n">
        <v>45935</v>
      </c>
      <c r="I2370" s="9" t="n">
        <v>45944</v>
      </c>
      <c r="J2370" s="7" t="n">
        <v>9.1</v>
      </c>
      <c r="K2370" s="7" t="s">
        <v>2628</v>
      </c>
      <c r="L2370" s="7" t="s">
        <v>21</v>
      </c>
      <c r="M2370" s="7" t="s">
        <v>2824</v>
      </c>
      <c r="N2370" s="7" t="s">
        <v>58</v>
      </c>
      <c r="O2370" s="10" t="n">
        <f aca="false">'Exec Summary'!$E$2-H2370</f>
        <v>299</v>
      </c>
      <c r="P2370" s="10" t="n">
        <f aca="false">IF(I2370="","",I2370-H2370)</f>
        <v>9</v>
      </c>
      <c r="Q2370" s="10" t="n">
        <f aca="false">VLOOKUP(G2370,$AA$2:$AB$5,2,FALSE())</f>
        <v>15</v>
      </c>
      <c r="R2370" s="7" t="n">
        <f aca="false">IF(OR(F2370="Open",F2370="Reopened"),1,0)</f>
        <v>0</v>
      </c>
      <c r="S2370" s="7" t="n">
        <f aca="false">IF(AND(H2370&gt;='Exec Summary'!$E$1,H2370&lt;='Exec Summary'!$E$2),1,0)</f>
        <v>0</v>
      </c>
      <c r="T2370" s="7" t="n">
        <f aca="false">IF(AND(F2370="Closed",I2370&lt;&gt;"",I2370&gt;='Exec Summary'!$E$1,I2370&lt;='Exec Summary'!$E$2),1,0)</f>
        <v>0</v>
      </c>
      <c r="U2370" s="7" t="n">
        <f aca="false">IF(F2370="Reopened",1,0)</f>
        <v>0</v>
      </c>
      <c r="V2370" s="7" t="n">
        <f aca="false">IF(AND(R2370=1,O2370&gt;Q2370),1,0)</f>
        <v>0</v>
      </c>
      <c r="W2370" s="7" t="n">
        <f aca="false">IF(AND(T2370=1,P2370&lt;&gt;"",P2370&lt;=Q2370),1,0)</f>
        <v>0</v>
      </c>
    </row>
    <row r="2371" customFormat="false" ht="15" hidden="false" customHeight="false" outlineLevel="0" collapsed="false">
      <c r="A2371" s="7" t="s">
        <v>2823</v>
      </c>
      <c r="B2371" s="7" t="s">
        <v>135</v>
      </c>
      <c r="C2371" s="7" t="s">
        <v>247</v>
      </c>
      <c r="D2371" s="7" t="s">
        <v>120</v>
      </c>
      <c r="E2371" s="7" t="s">
        <v>121</v>
      </c>
      <c r="F2371" s="7" t="s">
        <v>56</v>
      </c>
      <c r="G2371" s="7" t="s">
        <v>19</v>
      </c>
      <c r="H2371" s="9" t="n">
        <v>46098</v>
      </c>
      <c r="I2371" s="9"/>
      <c r="J2371" s="7" t="n">
        <v>8.8</v>
      </c>
      <c r="K2371" s="7" t="s">
        <v>2628</v>
      </c>
      <c r="L2371" s="7" t="s">
        <v>21</v>
      </c>
      <c r="M2371" s="7" t="s">
        <v>2825</v>
      </c>
      <c r="N2371" s="7" t="s">
        <v>58</v>
      </c>
      <c r="O2371" s="10" t="n">
        <f aca="false">'Exec Summary'!$E$2-H2371</f>
        <v>136</v>
      </c>
      <c r="P2371" s="10" t="str">
        <f aca="false">IF(I2371="","",I2371-H2371)</f>
        <v/>
      </c>
      <c r="Q2371" s="10" t="n">
        <f aca="false">VLOOKUP(G2371,$AA$2:$AB$5,2,FALSE())</f>
        <v>15</v>
      </c>
      <c r="R2371" s="7" t="n">
        <f aca="false">IF(OR(F2371="Open",F2371="Reopened"),1,0)</f>
        <v>1</v>
      </c>
      <c r="S2371" s="7" t="n">
        <f aca="false">IF(AND(H2371&gt;='Exec Summary'!$E$1,H2371&lt;='Exec Summary'!$E$2),1,0)</f>
        <v>0</v>
      </c>
      <c r="T2371" s="7" t="n">
        <f aca="false">IF(AND(F2371="Closed",I2371&lt;&gt;"",I2371&gt;='Exec Summary'!$E$1,I2371&lt;='Exec Summary'!$E$2),1,0)</f>
        <v>0</v>
      </c>
      <c r="U2371" s="7" t="n">
        <f aca="false">IF(F2371="Reopened",1,0)</f>
        <v>0</v>
      </c>
      <c r="V2371" s="7" t="n">
        <f aca="false">IF(AND(R2371=1,O2371&gt;Q2371),1,0)</f>
        <v>1</v>
      </c>
      <c r="W2371" s="7" t="n">
        <f aca="false">IF(AND(T2371=1,P2371&lt;&gt;"",P2371&lt;=Q2371),1,0)</f>
        <v>0</v>
      </c>
    </row>
    <row r="2372" customFormat="false" ht="15" hidden="false" customHeight="false" outlineLevel="0" collapsed="false">
      <c r="A2372" s="7" t="s">
        <v>2823</v>
      </c>
      <c r="B2372" s="7" t="s">
        <v>135</v>
      </c>
      <c r="C2372" s="7" t="s">
        <v>247</v>
      </c>
      <c r="D2372" s="7" t="s">
        <v>117</v>
      </c>
      <c r="E2372" s="7" t="s">
        <v>118</v>
      </c>
      <c r="F2372" s="7" t="s">
        <v>56</v>
      </c>
      <c r="G2372" s="7" t="s">
        <v>19</v>
      </c>
      <c r="H2372" s="9" t="n">
        <v>46177</v>
      </c>
      <c r="I2372" s="9"/>
      <c r="J2372" s="7" t="n">
        <v>10</v>
      </c>
      <c r="K2372" s="7" t="s">
        <v>2628</v>
      </c>
      <c r="L2372" s="7" t="s">
        <v>21</v>
      </c>
      <c r="M2372" s="7" t="s">
        <v>2826</v>
      </c>
      <c r="N2372" s="7" t="s">
        <v>58</v>
      </c>
      <c r="O2372" s="10" t="n">
        <f aca="false">'Exec Summary'!$E$2-H2372</f>
        <v>57</v>
      </c>
      <c r="P2372" s="10" t="str">
        <f aca="false">IF(I2372="","",I2372-H2372)</f>
        <v/>
      </c>
      <c r="Q2372" s="10" t="n">
        <f aca="false">VLOOKUP(G2372,$AA$2:$AB$5,2,FALSE())</f>
        <v>15</v>
      </c>
      <c r="R2372" s="7" t="n">
        <f aca="false">IF(OR(F2372="Open",F2372="Reopened"),1,0)</f>
        <v>1</v>
      </c>
      <c r="S2372" s="7" t="n">
        <f aca="false">IF(AND(H2372&gt;='Exec Summary'!$E$1,H2372&lt;='Exec Summary'!$E$2),1,0)</f>
        <v>0</v>
      </c>
      <c r="T2372" s="7" t="n">
        <f aca="false">IF(AND(F2372="Closed",I2372&lt;&gt;"",I2372&gt;='Exec Summary'!$E$1,I2372&lt;='Exec Summary'!$E$2),1,0)</f>
        <v>0</v>
      </c>
      <c r="U2372" s="7" t="n">
        <f aca="false">IF(F2372="Reopened",1,0)</f>
        <v>0</v>
      </c>
      <c r="V2372" s="7" t="n">
        <f aca="false">IF(AND(R2372=1,O2372&gt;Q2372),1,0)</f>
        <v>1</v>
      </c>
      <c r="W2372" s="7" t="n">
        <f aca="false">IF(AND(T2372=1,P2372&lt;&gt;"",P2372&lt;=Q2372),1,0)</f>
        <v>0</v>
      </c>
    </row>
    <row r="2373" customFormat="false" ht="15" hidden="false" customHeight="false" outlineLevel="0" collapsed="false">
      <c r="A2373" s="7" t="s">
        <v>2823</v>
      </c>
      <c r="B2373" s="7" t="s">
        <v>135</v>
      </c>
      <c r="C2373" s="7" t="s">
        <v>247</v>
      </c>
      <c r="D2373" s="7" t="s">
        <v>131</v>
      </c>
      <c r="E2373" s="7" t="s">
        <v>132</v>
      </c>
      <c r="F2373" s="7" t="s">
        <v>50</v>
      </c>
      <c r="G2373" s="7" t="s">
        <v>19</v>
      </c>
      <c r="H2373" s="9" t="n">
        <v>46029</v>
      </c>
      <c r="I2373" s="9" t="n">
        <v>46035</v>
      </c>
      <c r="J2373" s="7" t="n">
        <v>9.8</v>
      </c>
      <c r="K2373" s="7" t="s">
        <v>2628</v>
      </c>
      <c r="L2373" s="7" t="s">
        <v>21</v>
      </c>
      <c r="M2373" s="7" t="s">
        <v>2827</v>
      </c>
      <c r="N2373" s="7" t="s">
        <v>58</v>
      </c>
      <c r="O2373" s="10" t="n">
        <f aca="false">'Exec Summary'!$E$2-H2373</f>
        <v>205</v>
      </c>
      <c r="P2373" s="10" t="n">
        <f aca="false">IF(I2373="","",I2373-H2373)</f>
        <v>6</v>
      </c>
      <c r="Q2373" s="10" t="n">
        <f aca="false">VLOOKUP(G2373,$AA$2:$AB$5,2,FALSE())</f>
        <v>15</v>
      </c>
      <c r="R2373" s="7" t="n">
        <f aca="false">IF(OR(F2373="Open",F2373="Reopened"),1,0)</f>
        <v>0</v>
      </c>
      <c r="S2373" s="7" t="n">
        <f aca="false">IF(AND(H2373&gt;='Exec Summary'!$E$1,H2373&lt;='Exec Summary'!$E$2),1,0)</f>
        <v>0</v>
      </c>
      <c r="T2373" s="7" t="n">
        <f aca="false">IF(AND(F2373="Closed",I2373&lt;&gt;"",I2373&gt;='Exec Summary'!$E$1,I2373&lt;='Exec Summary'!$E$2),1,0)</f>
        <v>0</v>
      </c>
      <c r="U2373" s="7" t="n">
        <f aca="false">IF(F2373="Reopened",1,0)</f>
        <v>0</v>
      </c>
      <c r="V2373" s="7" t="n">
        <f aca="false">IF(AND(R2373=1,O2373&gt;Q2373),1,0)</f>
        <v>0</v>
      </c>
      <c r="W2373" s="7" t="n">
        <f aca="false">IF(AND(T2373=1,P2373&lt;&gt;"",P2373&lt;=Q2373),1,0)</f>
        <v>0</v>
      </c>
    </row>
    <row r="2374" customFormat="false" ht="15" hidden="false" customHeight="false" outlineLevel="0" collapsed="false">
      <c r="A2374" s="7" t="s">
        <v>2823</v>
      </c>
      <c r="B2374" s="7" t="s">
        <v>135</v>
      </c>
      <c r="C2374" s="7" t="s">
        <v>247</v>
      </c>
      <c r="D2374" s="7" t="s">
        <v>65</v>
      </c>
      <c r="E2374" s="7" t="s">
        <v>66</v>
      </c>
      <c r="F2374" s="7" t="s">
        <v>50</v>
      </c>
      <c r="G2374" s="7" t="s">
        <v>19</v>
      </c>
      <c r="H2374" s="9" t="n">
        <v>46160</v>
      </c>
      <c r="I2374" s="9" t="n">
        <v>46175</v>
      </c>
      <c r="J2374" s="7" t="n">
        <v>9.8</v>
      </c>
      <c r="K2374" s="7" t="s">
        <v>2628</v>
      </c>
      <c r="L2374" s="7" t="s">
        <v>21</v>
      </c>
      <c r="M2374" s="7" t="s">
        <v>2828</v>
      </c>
      <c r="N2374" s="7" t="s">
        <v>58</v>
      </c>
      <c r="O2374" s="10" t="n">
        <f aca="false">'Exec Summary'!$E$2-H2374</f>
        <v>74</v>
      </c>
      <c r="P2374" s="10" t="n">
        <f aca="false">IF(I2374="","",I2374-H2374)</f>
        <v>15</v>
      </c>
      <c r="Q2374" s="10" t="n">
        <f aca="false">VLOOKUP(G2374,$AA$2:$AB$5,2,FALSE())</f>
        <v>15</v>
      </c>
      <c r="R2374" s="7" t="n">
        <f aca="false">IF(OR(F2374="Open",F2374="Reopened"),1,0)</f>
        <v>0</v>
      </c>
      <c r="S2374" s="7" t="n">
        <f aca="false">IF(AND(H2374&gt;='Exec Summary'!$E$1,H2374&lt;='Exec Summary'!$E$2),1,0)</f>
        <v>0</v>
      </c>
      <c r="T2374" s="7" t="n">
        <f aca="false">IF(AND(F2374="Closed",I2374&lt;&gt;"",I2374&gt;='Exec Summary'!$E$1,I2374&lt;='Exec Summary'!$E$2),1,0)</f>
        <v>0</v>
      </c>
      <c r="U2374" s="7" t="n">
        <f aca="false">IF(F2374="Reopened",1,0)</f>
        <v>0</v>
      </c>
      <c r="V2374" s="7" t="n">
        <f aca="false">IF(AND(R2374=1,O2374&gt;Q2374),1,0)</f>
        <v>0</v>
      </c>
      <c r="W2374" s="7" t="n">
        <f aca="false">IF(AND(T2374=1,P2374&lt;&gt;"",P2374&lt;=Q2374),1,0)</f>
        <v>0</v>
      </c>
    </row>
    <row r="2375" customFormat="false" ht="15" hidden="false" customHeight="false" outlineLevel="0" collapsed="false">
      <c r="A2375" s="7" t="s">
        <v>2823</v>
      </c>
      <c r="B2375" s="7" t="s">
        <v>135</v>
      </c>
      <c r="C2375" s="7" t="s">
        <v>247</v>
      </c>
      <c r="D2375" s="7" t="s">
        <v>59</v>
      </c>
      <c r="E2375" s="7" t="s">
        <v>60</v>
      </c>
      <c r="F2375" s="7" t="s">
        <v>50</v>
      </c>
      <c r="G2375" s="7" t="s">
        <v>19</v>
      </c>
      <c r="H2375" s="9" t="n">
        <v>46211</v>
      </c>
      <c r="I2375" s="9" t="n">
        <v>46222</v>
      </c>
      <c r="J2375" s="7" t="n">
        <v>7.8</v>
      </c>
      <c r="K2375" s="7" t="s">
        <v>2628</v>
      </c>
      <c r="L2375" s="7" t="s">
        <v>21</v>
      </c>
      <c r="M2375" s="7" t="s">
        <v>2829</v>
      </c>
      <c r="N2375" s="7" t="s">
        <v>58</v>
      </c>
      <c r="O2375" s="10" t="n">
        <f aca="false">'Exec Summary'!$E$2-H2375</f>
        <v>23</v>
      </c>
      <c r="P2375" s="10" t="n">
        <f aca="false">IF(I2375="","",I2375-H2375)</f>
        <v>11</v>
      </c>
      <c r="Q2375" s="10" t="n">
        <f aca="false">VLOOKUP(G2375,$AA$2:$AB$5,2,FALSE())</f>
        <v>15</v>
      </c>
      <c r="R2375" s="7" t="n">
        <f aca="false">IF(OR(F2375="Open",F2375="Reopened"),1,0)</f>
        <v>0</v>
      </c>
      <c r="S2375" s="7" t="n">
        <f aca="false">IF(AND(H2375&gt;='Exec Summary'!$E$1,H2375&lt;='Exec Summary'!$E$2),1,0)</f>
        <v>1</v>
      </c>
      <c r="T2375" s="7" t="n">
        <f aca="false">IF(AND(F2375="Closed",I2375&lt;&gt;"",I2375&gt;='Exec Summary'!$E$1,I2375&lt;='Exec Summary'!$E$2),1,0)</f>
        <v>1</v>
      </c>
      <c r="U2375" s="7" t="n">
        <f aca="false">IF(F2375="Reopened",1,0)</f>
        <v>0</v>
      </c>
      <c r="V2375" s="7" t="n">
        <f aca="false">IF(AND(R2375=1,O2375&gt;Q2375),1,0)</f>
        <v>0</v>
      </c>
      <c r="W2375" s="7" t="n">
        <f aca="false">IF(AND(T2375=1,P2375&lt;&gt;"",P2375&lt;=Q2375),1,0)</f>
        <v>1</v>
      </c>
    </row>
    <row r="2376" customFormat="false" ht="15" hidden="false" customHeight="false" outlineLevel="0" collapsed="false">
      <c r="A2376" s="7" t="s">
        <v>2823</v>
      </c>
      <c r="B2376" s="7" t="s">
        <v>135</v>
      </c>
      <c r="C2376" s="7" t="s">
        <v>247</v>
      </c>
      <c r="D2376" s="7" t="s">
        <v>192</v>
      </c>
      <c r="E2376" s="7" t="s">
        <v>193</v>
      </c>
      <c r="F2376" s="7" t="s">
        <v>50</v>
      </c>
      <c r="G2376" s="7" t="s">
        <v>19</v>
      </c>
      <c r="H2376" s="9" t="n">
        <v>45972</v>
      </c>
      <c r="I2376" s="9" t="n">
        <v>45989</v>
      </c>
      <c r="J2376" s="7" t="n">
        <v>9.8</v>
      </c>
      <c r="K2376" s="7" t="s">
        <v>2628</v>
      </c>
      <c r="L2376" s="7" t="s">
        <v>21</v>
      </c>
      <c r="M2376" s="7" t="s">
        <v>2830</v>
      </c>
      <c r="N2376" s="7" t="s">
        <v>58</v>
      </c>
      <c r="O2376" s="10" t="n">
        <f aca="false">'Exec Summary'!$E$2-H2376</f>
        <v>262</v>
      </c>
      <c r="P2376" s="10" t="n">
        <f aca="false">IF(I2376="","",I2376-H2376)</f>
        <v>17</v>
      </c>
      <c r="Q2376" s="10" t="n">
        <f aca="false">VLOOKUP(G2376,$AA$2:$AB$5,2,FALSE())</f>
        <v>15</v>
      </c>
      <c r="R2376" s="7" t="n">
        <f aca="false">IF(OR(F2376="Open",F2376="Reopened"),1,0)</f>
        <v>0</v>
      </c>
      <c r="S2376" s="7" t="n">
        <f aca="false">IF(AND(H2376&gt;='Exec Summary'!$E$1,H2376&lt;='Exec Summary'!$E$2),1,0)</f>
        <v>0</v>
      </c>
      <c r="T2376" s="7" t="n">
        <f aca="false">IF(AND(F2376="Closed",I2376&lt;&gt;"",I2376&gt;='Exec Summary'!$E$1,I2376&lt;='Exec Summary'!$E$2),1,0)</f>
        <v>0</v>
      </c>
      <c r="U2376" s="7" t="n">
        <f aca="false">IF(F2376="Reopened",1,0)</f>
        <v>0</v>
      </c>
      <c r="V2376" s="7" t="n">
        <f aca="false">IF(AND(R2376=1,O2376&gt;Q2376),1,0)</f>
        <v>0</v>
      </c>
      <c r="W2376" s="7" t="n">
        <f aca="false">IF(AND(T2376=1,P2376&lt;&gt;"",P2376&lt;=Q2376),1,0)</f>
        <v>0</v>
      </c>
    </row>
    <row r="2377" customFormat="false" ht="15" hidden="false" customHeight="false" outlineLevel="0" collapsed="false">
      <c r="A2377" s="7" t="s">
        <v>2823</v>
      </c>
      <c r="B2377" s="7" t="s">
        <v>135</v>
      </c>
      <c r="C2377" s="7" t="s">
        <v>247</v>
      </c>
      <c r="D2377" s="7" t="s">
        <v>173</v>
      </c>
      <c r="E2377" s="7" t="s">
        <v>174</v>
      </c>
      <c r="F2377" s="7" t="s">
        <v>56</v>
      </c>
      <c r="G2377" s="7" t="s">
        <v>19</v>
      </c>
      <c r="H2377" s="9" t="n">
        <v>46085</v>
      </c>
      <c r="I2377" s="9"/>
      <c r="J2377" s="7" t="n">
        <v>9.8</v>
      </c>
      <c r="K2377" s="7" t="s">
        <v>2628</v>
      </c>
      <c r="L2377" s="7" t="s">
        <v>21</v>
      </c>
      <c r="M2377" s="7" t="s">
        <v>2831</v>
      </c>
      <c r="N2377" s="7" t="s">
        <v>58</v>
      </c>
      <c r="O2377" s="10" t="n">
        <f aca="false">'Exec Summary'!$E$2-H2377</f>
        <v>149</v>
      </c>
      <c r="P2377" s="10" t="str">
        <f aca="false">IF(I2377="","",I2377-H2377)</f>
        <v/>
      </c>
      <c r="Q2377" s="10" t="n">
        <f aca="false">VLOOKUP(G2377,$AA$2:$AB$5,2,FALSE())</f>
        <v>15</v>
      </c>
      <c r="R2377" s="7" t="n">
        <f aca="false">IF(OR(F2377="Open",F2377="Reopened"),1,0)</f>
        <v>1</v>
      </c>
      <c r="S2377" s="7" t="n">
        <f aca="false">IF(AND(H2377&gt;='Exec Summary'!$E$1,H2377&lt;='Exec Summary'!$E$2),1,0)</f>
        <v>0</v>
      </c>
      <c r="T2377" s="7" t="n">
        <f aca="false">IF(AND(F2377="Closed",I2377&lt;&gt;"",I2377&gt;='Exec Summary'!$E$1,I2377&lt;='Exec Summary'!$E$2),1,0)</f>
        <v>0</v>
      </c>
      <c r="U2377" s="7" t="n">
        <f aca="false">IF(F2377="Reopened",1,0)</f>
        <v>0</v>
      </c>
      <c r="V2377" s="7" t="n">
        <f aca="false">IF(AND(R2377=1,O2377&gt;Q2377),1,0)</f>
        <v>1</v>
      </c>
      <c r="W2377" s="7" t="n">
        <f aca="false">IF(AND(T2377=1,P2377&lt;&gt;"",P2377&lt;=Q2377),1,0)</f>
        <v>0</v>
      </c>
    </row>
    <row r="2378" customFormat="false" ht="15" hidden="false" customHeight="false" outlineLevel="0" collapsed="false">
      <c r="A2378" s="7" t="s">
        <v>2823</v>
      </c>
      <c r="B2378" s="7" t="s">
        <v>135</v>
      </c>
      <c r="C2378" s="7" t="s">
        <v>247</v>
      </c>
      <c r="D2378" s="7" t="s">
        <v>68</v>
      </c>
      <c r="E2378" s="7" t="s">
        <v>69</v>
      </c>
      <c r="F2378" s="7" t="s">
        <v>50</v>
      </c>
      <c r="G2378" s="7" t="s">
        <v>19</v>
      </c>
      <c r="H2378" s="9" t="n">
        <v>46080</v>
      </c>
      <c r="I2378" s="9" t="n">
        <v>46082</v>
      </c>
      <c r="J2378" s="7" t="n">
        <v>9.8</v>
      </c>
      <c r="K2378" s="7" t="s">
        <v>2628</v>
      </c>
      <c r="L2378" s="7" t="s">
        <v>21</v>
      </c>
      <c r="M2378" s="7" t="s">
        <v>2832</v>
      </c>
      <c r="N2378" s="7" t="s">
        <v>58</v>
      </c>
      <c r="O2378" s="10" t="n">
        <f aca="false">'Exec Summary'!$E$2-H2378</f>
        <v>154</v>
      </c>
      <c r="P2378" s="10" t="n">
        <f aca="false">IF(I2378="","",I2378-H2378)</f>
        <v>2</v>
      </c>
      <c r="Q2378" s="10" t="n">
        <f aca="false">VLOOKUP(G2378,$AA$2:$AB$5,2,FALSE())</f>
        <v>15</v>
      </c>
      <c r="R2378" s="7" t="n">
        <f aca="false">IF(OR(F2378="Open",F2378="Reopened"),1,0)</f>
        <v>0</v>
      </c>
      <c r="S2378" s="7" t="n">
        <f aca="false">IF(AND(H2378&gt;='Exec Summary'!$E$1,H2378&lt;='Exec Summary'!$E$2),1,0)</f>
        <v>0</v>
      </c>
      <c r="T2378" s="7" t="n">
        <f aca="false">IF(AND(F2378="Closed",I2378&lt;&gt;"",I2378&gt;='Exec Summary'!$E$1,I2378&lt;='Exec Summary'!$E$2),1,0)</f>
        <v>0</v>
      </c>
      <c r="U2378" s="7" t="n">
        <f aca="false">IF(F2378="Reopened",1,0)</f>
        <v>0</v>
      </c>
      <c r="V2378" s="7" t="n">
        <f aca="false">IF(AND(R2378=1,O2378&gt;Q2378),1,0)</f>
        <v>0</v>
      </c>
      <c r="W2378" s="7" t="n">
        <f aca="false">IF(AND(T2378=1,P2378&lt;&gt;"",P2378&lt;=Q2378),1,0)</f>
        <v>0</v>
      </c>
    </row>
    <row r="2379" customFormat="false" ht="15" hidden="false" customHeight="false" outlineLevel="0" collapsed="false">
      <c r="A2379" s="7" t="s">
        <v>2823</v>
      </c>
      <c r="B2379" s="7" t="s">
        <v>135</v>
      </c>
      <c r="C2379" s="7" t="s">
        <v>247</v>
      </c>
      <c r="D2379" s="7" t="s">
        <v>98</v>
      </c>
      <c r="E2379" s="7" t="s">
        <v>99</v>
      </c>
      <c r="F2379" s="7" t="s">
        <v>50</v>
      </c>
      <c r="G2379" s="7" t="s">
        <v>19</v>
      </c>
      <c r="H2379" s="9" t="n">
        <v>46057</v>
      </c>
      <c r="I2379" s="9" t="n">
        <v>46058</v>
      </c>
      <c r="J2379" s="7" t="n">
        <v>10</v>
      </c>
      <c r="K2379" s="7" t="s">
        <v>2628</v>
      </c>
      <c r="L2379" s="7" t="s">
        <v>21</v>
      </c>
      <c r="M2379" s="7" t="s">
        <v>2833</v>
      </c>
      <c r="N2379" s="7" t="s">
        <v>58</v>
      </c>
      <c r="O2379" s="10" t="n">
        <f aca="false">'Exec Summary'!$E$2-H2379</f>
        <v>177</v>
      </c>
      <c r="P2379" s="10" t="n">
        <f aca="false">IF(I2379="","",I2379-H2379)</f>
        <v>1</v>
      </c>
      <c r="Q2379" s="10" t="n">
        <f aca="false">VLOOKUP(G2379,$AA$2:$AB$5,2,FALSE())</f>
        <v>15</v>
      </c>
      <c r="R2379" s="7" t="n">
        <f aca="false">IF(OR(F2379="Open",F2379="Reopened"),1,0)</f>
        <v>0</v>
      </c>
      <c r="S2379" s="7" t="n">
        <f aca="false">IF(AND(H2379&gt;='Exec Summary'!$E$1,H2379&lt;='Exec Summary'!$E$2),1,0)</f>
        <v>0</v>
      </c>
      <c r="T2379" s="7" t="n">
        <f aca="false">IF(AND(F2379="Closed",I2379&lt;&gt;"",I2379&gt;='Exec Summary'!$E$1,I2379&lt;='Exec Summary'!$E$2),1,0)</f>
        <v>0</v>
      </c>
      <c r="U2379" s="7" t="n">
        <f aca="false">IF(F2379="Reopened",1,0)</f>
        <v>0</v>
      </c>
      <c r="V2379" s="7" t="n">
        <f aca="false">IF(AND(R2379=1,O2379&gt;Q2379),1,0)</f>
        <v>0</v>
      </c>
      <c r="W2379" s="7" t="n">
        <f aca="false">IF(AND(T2379=1,P2379&lt;&gt;"",P2379&lt;=Q2379),1,0)</f>
        <v>0</v>
      </c>
    </row>
    <row r="2380" customFormat="false" ht="15" hidden="false" customHeight="false" outlineLevel="0" collapsed="false">
      <c r="A2380" s="7" t="s">
        <v>2823</v>
      </c>
      <c r="B2380" s="7" t="s">
        <v>135</v>
      </c>
      <c r="C2380" s="7" t="s">
        <v>247</v>
      </c>
      <c r="D2380" s="7" t="s">
        <v>84</v>
      </c>
      <c r="E2380" s="7" t="s">
        <v>85</v>
      </c>
      <c r="F2380" s="7" t="s">
        <v>50</v>
      </c>
      <c r="G2380" s="7" t="s">
        <v>20</v>
      </c>
      <c r="H2380" s="9" t="n">
        <v>45967</v>
      </c>
      <c r="I2380" s="9" t="n">
        <v>45968</v>
      </c>
      <c r="J2380" s="7" t="n">
        <v>7.5</v>
      </c>
      <c r="K2380" s="7" t="s">
        <v>2628</v>
      </c>
      <c r="L2380" s="7" t="s">
        <v>21</v>
      </c>
      <c r="M2380" s="7" t="s">
        <v>2834</v>
      </c>
      <c r="N2380" s="7" t="s">
        <v>53</v>
      </c>
      <c r="O2380" s="10" t="n">
        <f aca="false">'Exec Summary'!$E$2-H2380</f>
        <v>267</v>
      </c>
      <c r="P2380" s="10" t="n">
        <f aca="false">IF(I2380="","",I2380-H2380)</f>
        <v>1</v>
      </c>
      <c r="Q2380" s="10" t="n">
        <f aca="false">VLOOKUP(G2380,$AA$2:$AB$5,2,FALSE())</f>
        <v>30</v>
      </c>
      <c r="R2380" s="7" t="n">
        <f aca="false">IF(OR(F2380="Open",F2380="Reopened"),1,0)</f>
        <v>0</v>
      </c>
      <c r="S2380" s="7" t="n">
        <f aca="false">IF(AND(H2380&gt;='Exec Summary'!$E$1,H2380&lt;='Exec Summary'!$E$2),1,0)</f>
        <v>0</v>
      </c>
      <c r="T2380" s="7" t="n">
        <f aca="false">IF(AND(F2380="Closed",I2380&lt;&gt;"",I2380&gt;='Exec Summary'!$E$1,I2380&lt;='Exec Summary'!$E$2),1,0)</f>
        <v>0</v>
      </c>
      <c r="U2380" s="7" t="n">
        <f aca="false">IF(F2380="Reopened",1,0)</f>
        <v>0</v>
      </c>
      <c r="V2380" s="7" t="n">
        <f aca="false">IF(AND(R2380=1,O2380&gt;Q2380),1,0)</f>
        <v>0</v>
      </c>
      <c r="W2380" s="7" t="n">
        <f aca="false">IF(AND(T2380=1,P2380&lt;&gt;"",P2380&lt;=Q2380),1,0)</f>
        <v>0</v>
      </c>
    </row>
    <row r="2381" customFormat="false" ht="15" hidden="false" customHeight="false" outlineLevel="0" collapsed="false">
      <c r="A2381" s="7" t="s">
        <v>2823</v>
      </c>
      <c r="B2381" s="7" t="s">
        <v>135</v>
      </c>
      <c r="C2381" s="7" t="s">
        <v>247</v>
      </c>
      <c r="D2381" s="7" t="s">
        <v>48</v>
      </c>
      <c r="E2381" s="7" t="s">
        <v>49</v>
      </c>
      <c r="F2381" s="7" t="s">
        <v>123</v>
      </c>
      <c r="G2381" s="7" t="s">
        <v>20</v>
      </c>
      <c r="H2381" s="9" t="n">
        <v>46154</v>
      </c>
      <c r="I2381" s="9" t="n">
        <v>46178</v>
      </c>
      <c r="J2381" s="7" t="n">
        <v>7.5</v>
      </c>
      <c r="K2381" s="7" t="s">
        <v>2628</v>
      </c>
      <c r="L2381" s="7" t="s">
        <v>21</v>
      </c>
      <c r="M2381" s="7" t="s">
        <v>2835</v>
      </c>
      <c r="N2381" s="7" t="s">
        <v>53</v>
      </c>
      <c r="O2381" s="10" t="n">
        <f aca="false">'Exec Summary'!$E$2-H2381</f>
        <v>80</v>
      </c>
      <c r="P2381" s="10" t="n">
        <f aca="false">IF(I2381="","",I2381-H2381)</f>
        <v>24</v>
      </c>
      <c r="Q2381" s="10" t="n">
        <f aca="false">VLOOKUP(G2381,$AA$2:$AB$5,2,FALSE())</f>
        <v>30</v>
      </c>
      <c r="R2381" s="7" t="n">
        <f aca="false">IF(OR(F2381="Open",F2381="Reopened"),1,0)</f>
        <v>1</v>
      </c>
      <c r="S2381" s="7" t="n">
        <f aca="false">IF(AND(H2381&gt;='Exec Summary'!$E$1,H2381&lt;='Exec Summary'!$E$2),1,0)</f>
        <v>0</v>
      </c>
      <c r="T2381" s="7" t="n">
        <f aca="false">IF(AND(F2381="Closed",I2381&lt;&gt;"",I2381&gt;='Exec Summary'!$E$1,I2381&lt;='Exec Summary'!$E$2),1,0)</f>
        <v>0</v>
      </c>
      <c r="U2381" s="7" t="n">
        <f aca="false">IF(F2381="Reopened",1,0)</f>
        <v>1</v>
      </c>
      <c r="V2381" s="7" t="n">
        <f aca="false">IF(AND(R2381=1,O2381&gt;Q2381),1,0)</f>
        <v>1</v>
      </c>
      <c r="W2381" s="7" t="n">
        <f aca="false">IF(AND(T2381=1,P2381&lt;&gt;"",P2381&lt;=Q2381),1,0)</f>
        <v>0</v>
      </c>
    </row>
    <row r="2382" customFormat="false" ht="15" hidden="false" customHeight="false" outlineLevel="0" collapsed="false">
      <c r="A2382" s="7" t="s">
        <v>2823</v>
      </c>
      <c r="B2382" s="7" t="s">
        <v>135</v>
      </c>
      <c r="C2382" s="7" t="s">
        <v>247</v>
      </c>
      <c r="D2382" s="7" t="s">
        <v>210</v>
      </c>
      <c r="E2382" s="7" t="s">
        <v>211</v>
      </c>
      <c r="F2382" s="7" t="s">
        <v>56</v>
      </c>
      <c r="G2382" s="7" t="s">
        <v>19</v>
      </c>
      <c r="H2382" s="9" t="n">
        <v>46097</v>
      </c>
      <c r="I2382" s="9"/>
      <c r="J2382" s="7" t="n">
        <v>9.8</v>
      </c>
      <c r="K2382" s="7" t="s">
        <v>2628</v>
      </c>
      <c r="L2382" s="7" t="s">
        <v>21</v>
      </c>
      <c r="M2382" s="7" t="s">
        <v>2836</v>
      </c>
      <c r="N2382" s="7" t="s">
        <v>58</v>
      </c>
      <c r="O2382" s="10" t="n">
        <f aca="false">'Exec Summary'!$E$2-H2382</f>
        <v>137</v>
      </c>
      <c r="P2382" s="10" t="str">
        <f aca="false">IF(I2382="","",I2382-H2382)</f>
        <v/>
      </c>
      <c r="Q2382" s="10" t="n">
        <f aca="false">VLOOKUP(G2382,$AA$2:$AB$5,2,FALSE())</f>
        <v>15</v>
      </c>
      <c r="R2382" s="7" t="n">
        <f aca="false">IF(OR(F2382="Open",F2382="Reopened"),1,0)</f>
        <v>1</v>
      </c>
      <c r="S2382" s="7" t="n">
        <f aca="false">IF(AND(H2382&gt;='Exec Summary'!$E$1,H2382&lt;='Exec Summary'!$E$2),1,0)</f>
        <v>0</v>
      </c>
      <c r="T2382" s="7" t="n">
        <f aca="false">IF(AND(F2382="Closed",I2382&lt;&gt;"",I2382&gt;='Exec Summary'!$E$1,I2382&lt;='Exec Summary'!$E$2),1,0)</f>
        <v>0</v>
      </c>
      <c r="U2382" s="7" t="n">
        <f aca="false">IF(F2382="Reopened",1,0)</f>
        <v>0</v>
      </c>
      <c r="V2382" s="7" t="n">
        <f aca="false">IF(AND(R2382=1,O2382&gt;Q2382),1,0)</f>
        <v>1</v>
      </c>
      <c r="W2382" s="7" t="n">
        <f aca="false">IF(AND(T2382=1,P2382&lt;&gt;"",P2382&lt;=Q2382),1,0)</f>
        <v>0</v>
      </c>
    </row>
    <row r="2383" customFormat="false" ht="15" hidden="false" customHeight="false" outlineLevel="0" collapsed="false">
      <c r="A2383" s="7" t="s">
        <v>2823</v>
      </c>
      <c r="B2383" s="7" t="s">
        <v>135</v>
      </c>
      <c r="C2383" s="7" t="s">
        <v>247</v>
      </c>
      <c r="D2383" s="7" t="s">
        <v>91</v>
      </c>
      <c r="E2383" s="7" t="s">
        <v>92</v>
      </c>
      <c r="F2383" s="7" t="s">
        <v>50</v>
      </c>
      <c r="G2383" s="7" t="s">
        <v>20</v>
      </c>
      <c r="H2383" s="9" t="n">
        <v>45967</v>
      </c>
      <c r="I2383" s="9" t="n">
        <v>45968</v>
      </c>
      <c r="J2383" s="7" t="n">
        <v>8.1</v>
      </c>
      <c r="K2383" s="7" t="s">
        <v>2628</v>
      </c>
      <c r="L2383" s="7" t="s">
        <v>21</v>
      </c>
      <c r="M2383" s="7" t="s">
        <v>2837</v>
      </c>
      <c r="N2383" s="7" t="s">
        <v>53</v>
      </c>
      <c r="O2383" s="10" t="n">
        <f aca="false">'Exec Summary'!$E$2-H2383</f>
        <v>267</v>
      </c>
      <c r="P2383" s="10" t="n">
        <f aca="false">IF(I2383="","",I2383-H2383)</f>
        <v>1</v>
      </c>
      <c r="Q2383" s="10" t="n">
        <f aca="false">VLOOKUP(G2383,$AA$2:$AB$5,2,FALSE())</f>
        <v>30</v>
      </c>
      <c r="R2383" s="7" t="n">
        <f aca="false">IF(OR(F2383="Open",F2383="Reopened"),1,0)</f>
        <v>0</v>
      </c>
      <c r="S2383" s="7" t="n">
        <f aca="false">IF(AND(H2383&gt;='Exec Summary'!$E$1,H2383&lt;='Exec Summary'!$E$2),1,0)</f>
        <v>0</v>
      </c>
      <c r="T2383" s="7" t="n">
        <f aca="false">IF(AND(F2383="Closed",I2383&lt;&gt;"",I2383&gt;='Exec Summary'!$E$1,I2383&lt;='Exec Summary'!$E$2),1,0)</f>
        <v>0</v>
      </c>
      <c r="U2383" s="7" t="n">
        <f aca="false">IF(F2383="Reopened",1,0)</f>
        <v>0</v>
      </c>
      <c r="V2383" s="7" t="n">
        <f aca="false">IF(AND(R2383=1,O2383&gt;Q2383),1,0)</f>
        <v>0</v>
      </c>
      <c r="W2383" s="7" t="n">
        <f aca="false">IF(AND(T2383=1,P2383&lt;&gt;"",P2383&lt;=Q2383),1,0)</f>
        <v>0</v>
      </c>
    </row>
    <row r="2384" customFormat="false" ht="15" hidden="false" customHeight="false" outlineLevel="0" collapsed="false">
      <c r="A2384" s="7" t="s">
        <v>2838</v>
      </c>
      <c r="B2384" s="7" t="s">
        <v>46</v>
      </c>
      <c r="C2384" s="7" t="s">
        <v>177</v>
      </c>
      <c r="D2384" s="7" t="s">
        <v>206</v>
      </c>
      <c r="E2384" s="7" t="s">
        <v>207</v>
      </c>
      <c r="F2384" s="7" t="s">
        <v>56</v>
      </c>
      <c r="G2384" s="7" t="s">
        <v>20</v>
      </c>
      <c r="H2384" s="9" t="n">
        <v>46172</v>
      </c>
      <c r="I2384" s="9"/>
      <c r="J2384" s="7" t="n">
        <v>8.8</v>
      </c>
      <c r="K2384" s="7" t="s">
        <v>2628</v>
      </c>
      <c r="L2384" s="7" t="s">
        <v>21</v>
      </c>
      <c r="M2384" s="7" t="s">
        <v>2839</v>
      </c>
      <c r="N2384" s="7" t="s">
        <v>53</v>
      </c>
      <c r="O2384" s="10" t="n">
        <f aca="false">'Exec Summary'!$E$2-H2384</f>
        <v>62</v>
      </c>
      <c r="P2384" s="10" t="str">
        <f aca="false">IF(I2384="","",I2384-H2384)</f>
        <v/>
      </c>
      <c r="Q2384" s="10" t="n">
        <f aca="false">VLOOKUP(G2384,$AA$2:$AB$5,2,FALSE())</f>
        <v>30</v>
      </c>
      <c r="R2384" s="7" t="n">
        <f aca="false">IF(OR(F2384="Open",F2384="Reopened"),1,0)</f>
        <v>1</v>
      </c>
      <c r="S2384" s="7" t="n">
        <f aca="false">IF(AND(H2384&gt;='Exec Summary'!$E$1,H2384&lt;='Exec Summary'!$E$2),1,0)</f>
        <v>0</v>
      </c>
      <c r="T2384" s="7" t="n">
        <f aca="false">IF(AND(F2384="Closed",I2384&lt;&gt;"",I2384&gt;='Exec Summary'!$E$1,I2384&lt;='Exec Summary'!$E$2),1,0)</f>
        <v>0</v>
      </c>
      <c r="U2384" s="7" t="n">
        <f aca="false">IF(F2384="Reopened",1,0)</f>
        <v>0</v>
      </c>
      <c r="V2384" s="7" t="n">
        <f aca="false">IF(AND(R2384=1,O2384&gt;Q2384),1,0)</f>
        <v>1</v>
      </c>
      <c r="W2384" s="7" t="n">
        <f aca="false">IF(AND(T2384=1,P2384&lt;&gt;"",P2384&lt;=Q2384),1,0)</f>
        <v>0</v>
      </c>
    </row>
    <row r="2385" customFormat="false" ht="15" hidden="false" customHeight="false" outlineLevel="0" collapsed="false">
      <c r="A2385" s="7" t="s">
        <v>2838</v>
      </c>
      <c r="B2385" s="7" t="s">
        <v>46</v>
      </c>
      <c r="C2385" s="7" t="s">
        <v>177</v>
      </c>
      <c r="D2385" s="7" t="s">
        <v>98</v>
      </c>
      <c r="E2385" s="7" t="s">
        <v>99</v>
      </c>
      <c r="F2385" s="7" t="s">
        <v>50</v>
      </c>
      <c r="G2385" s="7" t="s">
        <v>19</v>
      </c>
      <c r="H2385" s="9" t="n">
        <v>46140</v>
      </c>
      <c r="I2385" s="9" t="n">
        <v>46157</v>
      </c>
      <c r="J2385" s="7" t="n">
        <v>10</v>
      </c>
      <c r="K2385" s="7" t="s">
        <v>2628</v>
      </c>
      <c r="L2385" s="7" t="s">
        <v>21</v>
      </c>
      <c r="M2385" s="7" t="s">
        <v>2840</v>
      </c>
      <c r="N2385" s="7" t="s">
        <v>58</v>
      </c>
      <c r="O2385" s="10" t="n">
        <f aca="false">'Exec Summary'!$E$2-H2385</f>
        <v>94</v>
      </c>
      <c r="P2385" s="10" t="n">
        <f aca="false">IF(I2385="","",I2385-H2385)</f>
        <v>17</v>
      </c>
      <c r="Q2385" s="10" t="n">
        <f aca="false">VLOOKUP(G2385,$AA$2:$AB$5,2,FALSE())</f>
        <v>15</v>
      </c>
      <c r="R2385" s="7" t="n">
        <f aca="false">IF(OR(F2385="Open",F2385="Reopened"),1,0)</f>
        <v>0</v>
      </c>
      <c r="S2385" s="7" t="n">
        <f aca="false">IF(AND(H2385&gt;='Exec Summary'!$E$1,H2385&lt;='Exec Summary'!$E$2),1,0)</f>
        <v>0</v>
      </c>
      <c r="T2385" s="7" t="n">
        <f aca="false">IF(AND(F2385="Closed",I2385&lt;&gt;"",I2385&gt;='Exec Summary'!$E$1,I2385&lt;='Exec Summary'!$E$2),1,0)</f>
        <v>0</v>
      </c>
      <c r="U2385" s="7" t="n">
        <f aca="false">IF(F2385="Reopened",1,0)</f>
        <v>0</v>
      </c>
      <c r="V2385" s="7" t="n">
        <f aca="false">IF(AND(R2385=1,O2385&gt;Q2385),1,0)</f>
        <v>0</v>
      </c>
      <c r="W2385" s="7" t="n">
        <f aca="false">IF(AND(T2385=1,P2385&lt;&gt;"",P2385&lt;=Q2385),1,0)</f>
        <v>0</v>
      </c>
    </row>
    <row r="2386" customFormat="false" ht="15" hidden="false" customHeight="false" outlineLevel="0" collapsed="false">
      <c r="A2386" s="7" t="s">
        <v>2838</v>
      </c>
      <c r="B2386" s="7" t="s">
        <v>46</v>
      </c>
      <c r="C2386" s="7" t="s">
        <v>177</v>
      </c>
      <c r="D2386" s="7" t="s">
        <v>54</v>
      </c>
      <c r="E2386" s="7" t="s">
        <v>55</v>
      </c>
      <c r="F2386" s="7" t="s">
        <v>56</v>
      </c>
      <c r="G2386" s="7" t="s">
        <v>19</v>
      </c>
      <c r="H2386" s="9" t="n">
        <v>46148</v>
      </c>
      <c r="I2386" s="9"/>
      <c r="J2386" s="7" t="n">
        <v>9.8</v>
      </c>
      <c r="K2386" s="7" t="s">
        <v>2628</v>
      </c>
      <c r="L2386" s="7" t="s">
        <v>21</v>
      </c>
      <c r="M2386" s="7" t="s">
        <v>2841</v>
      </c>
      <c r="N2386" s="7" t="s">
        <v>58</v>
      </c>
      <c r="O2386" s="10" t="n">
        <f aca="false">'Exec Summary'!$E$2-H2386</f>
        <v>86</v>
      </c>
      <c r="P2386" s="10" t="str">
        <f aca="false">IF(I2386="","",I2386-H2386)</f>
        <v/>
      </c>
      <c r="Q2386" s="10" t="n">
        <f aca="false">VLOOKUP(G2386,$AA$2:$AB$5,2,FALSE())</f>
        <v>15</v>
      </c>
      <c r="R2386" s="7" t="n">
        <f aca="false">IF(OR(F2386="Open",F2386="Reopened"),1,0)</f>
        <v>1</v>
      </c>
      <c r="S2386" s="7" t="n">
        <f aca="false">IF(AND(H2386&gt;='Exec Summary'!$E$1,H2386&lt;='Exec Summary'!$E$2),1,0)</f>
        <v>0</v>
      </c>
      <c r="T2386" s="7" t="n">
        <f aca="false">IF(AND(F2386="Closed",I2386&lt;&gt;"",I2386&gt;='Exec Summary'!$E$1,I2386&lt;='Exec Summary'!$E$2),1,0)</f>
        <v>0</v>
      </c>
      <c r="U2386" s="7" t="n">
        <f aca="false">IF(F2386="Reopened",1,0)</f>
        <v>0</v>
      </c>
      <c r="V2386" s="7" t="n">
        <f aca="false">IF(AND(R2386=1,O2386&gt;Q2386),1,0)</f>
        <v>1</v>
      </c>
      <c r="W2386" s="7" t="n">
        <f aca="false">IF(AND(T2386=1,P2386&lt;&gt;"",P2386&lt;=Q2386),1,0)</f>
        <v>0</v>
      </c>
    </row>
    <row r="2387" customFormat="false" ht="15" hidden="false" customHeight="false" outlineLevel="0" collapsed="false">
      <c r="A2387" s="7" t="s">
        <v>2838</v>
      </c>
      <c r="B2387" s="7" t="s">
        <v>46</v>
      </c>
      <c r="C2387" s="7" t="s">
        <v>177</v>
      </c>
      <c r="D2387" s="7" t="s">
        <v>71</v>
      </c>
      <c r="E2387" s="7" t="s">
        <v>72</v>
      </c>
      <c r="F2387" s="7" t="s">
        <v>50</v>
      </c>
      <c r="G2387" s="7" t="s">
        <v>19</v>
      </c>
      <c r="H2387" s="9" t="n">
        <v>46096</v>
      </c>
      <c r="I2387" s="9" t="n">
        <v>46102</v>
      </c>
      <c r="J2387" s="7" t="n">
        <v>9.8</v>
      </c>
      <c r="K2387" s="7" t="s">
        <v>2628</v>
      </c>
      <c r="L2387" s="7" t="s">
        <v>21</v>
      </c>
      <c r="M2387" s="7" t="s">
        <v>2842</v>
      </c>
      <c r="N2387" s="7" t="s">
        <v>58</v>
      </c>
      <c r="O2387" s="10" t="n">
        <f aca="false">'Exec Summary'!$E$2-H2387</f>
        <v>138</v>
      </c>
      <c r="P2387" s="10" t="n">
        <f aca="false">IF(I2387="","",I2387-H2387)</f>
        <v>6</v>
      </c>
      <c r="Q2387" s="10" t="n">
        <f aca="false">VLOOKUP(G2387,$AA$2:$AB$5,2,FALSE())</f>
        <v>15</v>
      </c>
      <c r="R2387" s="7" t="n">
        <f aca="false">IF(OR(F2387="Open",F2387="Reopened"),1,0)</f>
        <v>0</v>
      </c>
      <c r="S2387" s="7" t="n">
        <f aca="false">IF(AND(H2387&gt;='Exec Summary'!$E$1,H2387&lt;='Exec Summary'!$E$2),1,0)</f>
        <v>0</v>
      </c>
      <c r="T2387" s="7" t="n">
        <f aca="false">IF(AND(F2387="Closed",I2387&lt;&gt;"",I2387&gt;='Exec Summary'!$E$1,I2387&lt;='Exec Summary'!$E$2),1,0)</f>
        <v>0</v>
      </c>
      <c r="U2387" s="7" t="n">
        <f aca="false">IF(F2387="Reopened",1,0)</f>
        <v>0</v>
      </c>
      <c r="V2387" s="7" t="n">
        <f aca="false">IF(AND(R2387=1,O2387&gt;Q2387),1,0)</f>
        <v>0</v>
      </c>
      <c r="W2387" s="7" t="n">
        <f aca="false">IF(AND(T2387=1,P2387&lt;&gt;"",P2387&lt;=Q2387),1,0)</f>
        <v>0</v>
      </c>
    </row>
    <row r="2388" customFormat="false" ht="15" hidden="false" customHeight="false" outlineLevel="0" collapsed="false">
      <c r="A2388" s="7" t="s">
        <v>2838</v>
      </c>
      <c r="B2388" s="7" t="s">
        <v>46</v>
      </c>
      <c r="C2388" s="7" t="s">
        <v>177</v>
      </c>
      <c r="D2388" s="7" t="s">
        <v>48</v>
      </c>
      <c r="E2388" s="7" t="s">
        <v>49</v>
      </c>
      <c r="F2388" s="7" t="s">
        <v>50</v>
      </c>
      <c r="G2388" s="7" t="s">
        <v>20</v>
      </c>
      <c r="H2388" s="9" t="n">
        <v>46138</v>
      </c>
      <c r="I2388" s="9" t="n">
        <v>46139</v>
      </c>
      <c r="J2388" s="7" t="n">
        <v>7.5</v>
      </c>
      <c r="K2388" s="7" t="s">
        <v>2628</v>
      </c>
      <c r="L2388" s="7" t="s">
        <v>21</v>
      </c>
      <c r="M2388" s="7" t="s">
        <v>2843</v>
      </c>
      <c r="N2388" s="7" t="s">
        <v>53</v>
      </c>
      <c r="O2388" s="10" t="n">
        <f aca="false">'Exec Summary'!$E$2-H2388</f>
        <v>96</v>
      </c>
      <c r="P2388" s="10" t="n">
        <f aca="false">IF(I2388="","",I2388-H2388)</f>
        <v>1</v>
      </c>
      <c r="Q2388" s="10" t="n">
        <f aca="false">VLOOKUP(G2388,$AA$2:$AB$5,2,FALSE())</f>
        <v>30</v>
      </c>
      <c r="R2388" s="7" t="n">
        <f aca="false">IF(OR(F2388="Open",F2388="Reopened"),1,0)</f>
        <v>0</v>
      </c>
      <c r="S2388" s="7" t="n">
        <f aca="false">IF(AND(H2388&gt;='Exec Summary'!$E$1,H2388&lt;='Exec Summary'!$E$2),1,0)</f>
        <v>0</v>
      </c>
      <c r="T2388" s="7" t="n">
        <f aca="false">IF(AND(F2388="Closed",I2388&lt;&gt;"",I2388&gt;='Exec Summary'!$E$1,I2388&lt;='Exec Summary'!$E$2),1,0)</f>
        <v>0</v>
      </c>
      <c r="U2388" s="7" t="n">
        <f aca="false">IF(F2388="Reopened",1,0)</f>
        <v>0</v>
      </c>
      <c r="V2388" s="7" t="n">
        <f aca="false">IF(AND(R2388=1,O2388&gt;Q2388),1,0)</f>
        <v>0</v>
      </c>
      <c r="W2388" s="7" t="n">
        <f aca="false">IF(AND(T2388=1,P2388&lt;&gt;"",P2388&lt;=Q2388),1,0)</f>
        <v>0</v>
      </c>
    </row>
    <row r="2389" customFormat="false" ht="15" hidden="false" customHeight="false" outlineLevel="0" collapsed="false">
      <c r="A2389" s="7" t="s">
        <v>2838</v>
      </c>
      <c r="B2389" s="7" t="s">
        <v>46</v>
      </c>
      <c r="C2389" s="7" t="s">
        <v>177</v>
      </c>
      <c r="D2389" s="7" t="s">
        <v>192</v>
      </c>
      <c r="E2389" s="7" t="s">
        <v>193</v>
      </c>
      <c r="F2389" s="7" t="s">
        <v>123</v>
      </c>
      <c r="G2389" s="7" t="s">
        <v>19</v>
      </c>
      <c r="H2389" s="9" t="n">
        <v>46028</v>
      </c>
      <c r="I2389" s="9" t="n">
        <v>46044</v>
      </c>
      <c r="J2389" s="7" t="n">
        <v>9.8</v>
      </c>
      <c r="K2389" s="7" t="s">
        <v>2628</v>
      </c>
      <c r="L2389" s="7" t="s">
        <v>21</v>
      </c>
      <c r="M2389" s="7" t="s">
        <v>2844</v>
      </c>
      <c r="N2389" s="7" t="s">
        <v>58</v>
      </c>
      <c r="O2389" s="10" t="n">
        <f aca="false">'Exec Summary'!$E$2-H2389</f>
        <v>206</v>
      </c>
      <c r="P2389" s="10" t="n">
        <f aca="false">IF(I2389="","",I2389-H2389)</f>
        <v>16</v>
      </c>
      <c r="Q2389" s="10" t="n">
        <f aca="false">VLOOKUP(G2389,$AA$2:$AB$5,2,FALSE())</f>
        <v>15</v>
      </c>
      <c r="R2389" s="7" t="n">
        <f aca="false">IF(OR(F2389="Open",F2389="Reopened"),1,0)</f>
        <v>1</v>
      </c>
      <c r="S2389" s="7" t="n">
        <f aca="false">IF(AND(H2389&gt;='Exec Summary'!$E$1,H2389&lt;='Exec Summary'!$E$2),1,0)</f>
        <v>0</v>
      </c>
      <c r="T2389" s="7" t="n">
        <f aca="false">IF(AND(F2389="Closed",I2389&lt;&gt;"",I2389&gt;='Exec Summary'!$E$1,I2389&lt;='Exec Summary'!$E$2),1,0)</f>
        <v>0</v>
      </c>
      <c r="U2389" s="7" t="n">
        <f aca="false">IF(F2389="Reopened",1,0)</f>
        <v>1</v>
      </c>
      <c r="V2389" s="7" t="n">
        <f aca="false">IF(AND(R2389=1,O2389&gt;Q2389),1,0)</f>
        <v>1</v>
      </c>
      <c r="W2389" s="7" t="n">
        <f aca="false">IF(AND(T2389=1,P2389&lt;&gt;"",P2389&lt;=Q2389),1,0)</f>
        <v>0</v>
      </c>
    </row>
    <row r="2390" customFormat="false" ht="15" hidden="false" customHeight="false" outlineLevel="0" collapsed="false">
      <c r="A2390" s="7" t="s">
        <v>2838</v>
      </c>
      <c r="B2390" s="7" t="s">
        <v>46</v>
      </c>
      <c r="C2390" s="7" t="s">
        <v>177</v>
      </c>
      <c r="D2390" s="7" t="s">
        <v>173</v>
      </c>
      <c r="E2390" s="7" t="s">
        <v>174</v>
      </c>
      <c r="F2390" s="7" t="s">
        <v>50</v>
      </c>
      <c r="G2390" s="7" t="s">
        <v>19</v>
      </c>
      <c r="H2390" s="9" t="n">
        <v>46010</v>
      </c>
      <c r="I2390" s="9" t="n">
        <v>46023</v>
      </c>
      <c r="J2390" s="7" t="n">
        <v>9.8</v>
      </c>
      <c r="K2390" s="7" t="s">
        <v>2628</v>
      </c>
      <c r="L2390" s="7" t="s">
        <v>21</v>
      </c>
      <c r="M2390" s="7" t="s">
        <v>2845</v>
      </c>
      <c r="N2390" s="7" t="s">
        <v>58</v>
      </c>
      <c r="O2390" s="10" t="n">
        <f aca="false">'Exec Summary'!$E$2-H2390</f>
        <v>224</v>
      </c>
      <c r="P2390" s="10" t="n">
        <f aca="false">IF(I2390="","",I2390-H2390)</f>
        <v>13</v>
      </c>
      <c r="Q2390" s="10" t="n">
        <f aca="false">VLOOKUP(G2390,$AA$2:$AB$5,2,FALSE())</f>
        <v>15</v>
      </c>
      <c r="R2390" s="7" t="n">
        <f aca="false">IF(OR(F2390="Open",F2390="Reopened"),1,0)</f>
        <v>0</v>
      </c>
      <c r="S2390" s="7" t="n">
        <f aca="false">IF(AND(H2390&gt;='Exec Summary'!$E$1,H2390&lt;='Exec Summary'!$E$2),1,0)</f>
        <v>0</v>
      </c>
      <c r="T2390" s="7" t="n">
        <f aca="false">IF(AND(F2390="Closed",I2390&lt;&gt;"",I2390&gt;='Exec Summary'!$E$1,I2390&lt;='Exec Summary'!$E$2),1,0)</f>
        <v>0</v>
      </c>
      <c r="U2390" s="7" t="n">
        <f aca="false">IF(F2390="Reopened",1,0)</f>
        <v>0</v>
      </c>
      <c r="V2390" s="7" t="n">
        <f aca="false">IF(AND(R2390=1,O2390&gt;Q2390),1,0)</f>
        <v>0</v>
      </c>
      <c r="W2390" s="7" t="n">
        <f aca="false">IF(AND(T2390=1,P2390&lt;&gt;"",P2390&lt;=Q2390),1,0)</f>
        <v>0</v>
      </c>
    </row>
    <row r="2391" customFormat="false" ht="15" hidden="false" customHeight="false" outlineLevel="0" collapsed="false">
      <c r="A2391" s="7" t="s">
        <v>2838</v>
      </c>
      <c r="B2391" s="7" t="s">
        <v>46</v>
      </c>
      <c r="C2391" s="7" t="s">
        <v>177</v>
      </c>
      <c r="D2391" s="7" t="s">
        <v>166</v>
      </c>
      <c r="E2391" s="7" t="s">
        <v>167</v>
      </c>
      <c r="F2391" s="7" t="s">
        <v>50</v>
      </c>
      <c r="G2391" s="7" t="s">
        <v>19</v>
      </c>
      <c r="H2391" s="9" t="n">
        <v>46050</v>
      </c>
      <c r="I2391" s="9" t="n">
        <v>46068</v>
      </c>
      <c r="J2391" s="7" t="n">
        <v>9.8</v>
      </c>
      <c r="K2391" s="7" t="s">
        <v>2628</v>
      </c>
      <c r="L2391" s="7" t="s">
        <v>21</v>
      </c>
      <c r="M2391" s="7" t="s">
        <v>2846</v>
      </c>
      <c r="N2391" s="7" t="s">
        <v>58</v>
      </c>
      <c r="O2391" s="10" t="n">
        <f aca="false">'Exec Summary'!$E$2-H2391</f>
        <v>184</v>
      </c>
      <c r="P2391" s="10" t="n">
        <f aca="false">IF(I2391="","",I2391-H2391)</f>
        <v>18</v>
      </c>
      <c r="Q2391" s="10" t="n">
        <f aca="false">VLOOKUP(G2391,$AA$2:$AB$5,2,FALSE())</f>
        <v>15</v>
      </c>
      <c r="R2391" s="7" t="n">
        <f aca="false">IF(OR(F2391="Open",F2391="Reopened"),1,0)</f>
        <v>0</v>
      </c>
      <c r="S2391" s="7" t="n">
        <f aca="false">IF(AND(H2391&gt;='Exec Summary'!$E$1,H2391&lt;='Exec Summary'!$E$2),1,0)</f>
        <v>0</v>
      </c>
      <c r="T2391" s="7" t="n">
        <f aca="false">IF(AND(F2391="Closed",I2391&lt;&gt;"",I2391&gt;='Exec Summary'!$E$1,I2391&lt;='Exec Summary'!$E$2),1,0)</f>
        <v>0</v>
      </c>
      <c r="U2391" s="7" t="n">
        <f aca="false">IF(F2391="Reopened",1,0)</f>
        <v>0</v>
      </c>
      <c r="V2391" s="7" t="n">
        <f aca="false">IF(AND(R2391=1,O2391&gt;Q2391),1,0)</f>
        <v>0</v>
      </c>
      <c r="W2391" s="7" t="n">
        <f aca="false">IF(AND(T2391=1,P2391&lt;&gt;"",P2391&lt;=Q2391),1,0)</f>
        <v>0</v>
      </c>
    </row>
    <row r="2392" customFormat="false" ht="15" hidden="false" customHeight="false" outlineLevel="0" collapsed="false">
      <c r="A2392" s="7" t="s">
        <v>2838</v>
      </c>
      <c r="B2392" s="7" t="s">
        <v>46</v>
      </c>
      <c r="C2392" s="7" t="s">
        <v>177</v>
      </c>
      <c r="D2392" s="7" t="s">
        <v>62</v>
      </c>
      <c r="E2392" s="7" t="s">
        <v>63</v>
      </c>
      <c r="F2392" s="7" t="s">
        <v>50</v>
      </c>
      <c r="G2392" s="7" t="s">
        <v>20</v>
      </c>
      <c r="H2392" s="9" t="n">
        <v>46155</v>
      </c>
      <c r="I2392" s="9" t="n">
        <v>46186</v>
      </c>
      <c r="J2392" s="7" t="n">
        <v>8.1</v>
      </c>
      <c r="K2392" s="7" t="s">
        <v>2628</v>
      </c>
      <c r="L2392" s="7" t="s">
        <v>21</v>
      </c>
      <c r="M2392" s="7" t="s">
        <v>2847</v>
      </c>
      <c r="N2392" s="7" t="s">
        <v>53</v>
      </c>
      <c r="O2392" s="10" t="n">
        <f aca="false">'Exec Summary'!$E$2-H2392</f>
        <v>79</v>
      </c>
      <c r="P2392" s="10" t="n">
        <f aca="false">IF(I2392="","",I2392-H2392)</f>
        <v>31</v>
      </c>
      <c r="Q2392" s="10" t="n">
        <f aca="false">VLOOKUP(G2392,$AA$2:$AB$5,2,FALSE())</f>
        <v>30</v>
      </c>
      <c r="R2392" s="7" t="n">
        <f aca="false">IF(OR(F2392="Open",F2392="Reopened"),1,0)</f>
        <v>0</v>
      </c>
      <c r="S2392" s="7" t="n">
        <f aca="false">IF(AND(H2392&gt;='Exec Summary'!$E$1,H2392&lt;='Exec Summary'!$E$2),1,0)</f>
        <v>0</v>
      </c>
      <c r="T2392" s="7" t="n">
        <f aca="false">IF(AND(F2392="Closed",I2392&lt;&gt;"",I2392&gt;='Exec Summary'!$E$1,I2392&lt;='Exec Summary'!$E$2),1,0)</f>
        <v>0</v>
      </c>
      <c r="U2392" s="7" t="n">
        <f aca="false">IF(F2392="Reopened",1,0)</f>
        <v>0</v>
      </c>
      <c r="V2392" s="7" t="n">
        <f aca="false">IF(AND(R2392=1,O2392&gt;Q2392),1,0)</f>
        <v>0</v>
      </c>
      <c r="W2392" s="7" t="n">
        <f aca="false">IF(AND(T2392=1,P2392&lt;&gt;"",P2392&lt;=Q2392),1,0)</f>
        <v>0</v>
      </c>
    </row>
    <row r="2393" customFormat="false" ht="15" hidden="false" customHeight="false" outlineLevel="0" collapsed="false">
      <c r="A2393" s="7" t="s">
        <v>2848</v>
      </c>
      <c r="B2393" s="7" t="s">
        <v>135</v>
      </c>
      <c r="C2393" s="7" t="s">
        <v>306</v>
      </c>
      <c r="D2393" s="7" t="s">
        <v>108</v>
      </c>
      <c r="E2393" s="7" t="s">
        <v>109</v>
      </c>
      <c r="F2393" s="7" t="s">
        <v>50</v>
      </c>
      <c r="G2393" s="7" t="s">
        <v>20</v>
      </c>
      <c r="H2393" s="9" t="n">
        <v>46147</v>
      </c>
      <c r="I2393" s="9" t="n">
        <v>46156</v>
      </c>
      <c r="J2393" s="7" t="n">
        <v>8.6</v>
      </c>
      <c r="K2393" s="7" t="s">
        <v>2628</v>
      </c>
      <c r="L2393" s="7" t="s">
        <v>22</v>
      </c>
      <c r="M2393" s="7" t="s">
        <v>2849</v>
      </c>
      <c r="N2393" s="7" t="s">
        <v>53</v>
      </c>
      <c r="O2393" s="10" t="n">
        <f aca="false">'Exec Summary'!$E$2-H2393</f>
        <v>87</v>
      </c>
      <c r="P2393" s="10" t="n">
        <f aca="false">IF(I2393="","",I2393-H2393)</f>
        <v>9</v>
      </c>
      <c r="Q2393" s="10" t="n">
        <f aca="false">VLOOKUP(G2393,$AA$2:$AB$5,2,FALSE())</f>
        <v>30</v>
      </c>
      <c r="R2393" s="7" t="n">
        <f aca="false">IF(OR(F2393="Open",F2393="Reopened"),1,0)</f>
        <v>0</v>
      </c>
      <c r="S2393" s="7" t="n">
        <f aca="false">IF(AND(H2393&gt;='Exec Summary'!$E$1,H2393&lt;='Exec Summary'!$E$2),1,0)</f>
        <v>0</v>
      </c>
      <c r="T2393" s="7" t="n">
        <f aca="false">IF(AND(F2393="Closed",I2393&lt;&gt;"",I2393&gt;='Exec Summary'!$E$1,I2393&lt;='Exec Summary'!$E$2),1,0)</f>
        <v>0</v>
      </c>
      <c r="U2393" s="7" t="n">
        <f aca="false">IF(F2393="Reopened",1,0)</f>
        <v>0</v>
      </c>
      <c r="V2393" s="7" t="n">
        <f aca="false">IF(AND(R2393=1,O2393&gt;Q2393),1,0)</f>
        <v>0</v>
      </c>
      <c r="W2393" s="7" t="n">
        <f aca="false">IF(AND(T2393=1,P2393&lt;&gt;"",P2393&lt;=Q2393),1,0)</f>
        <v>0</v>
      </c>
    </row>
    <row r="2394" customFormat="false" ht="15" hidden="false" customHeight="false" outlineLevel="0" collapsed="false">
      <c r="A2394" s="7" t="s">
        <v>2848</v>
      </c>
      <c r="B2394" s="7" t="s">
        <v>135</v>
      </c>
      <c r="C2394" s="7" t="s">
        <v>306</v>
      </c>
      <c r="D2394" s="7" t="s">
        <v>139</v>
      </c>
      <c r="E2394" s="7" t="s">
        <v>140</v>
      </c>
      <c r="F2394" s="7" t="s">
        <v>56</v>
      </c>
      <c r="G2394" s="7" t="s">
        <v>19</v>
      </c>
      <c r="H2394" s="9" t="n">
        <v>46107</v>
      </c>
      <c r="I2394" s="9"/>
      <c r="J2394" s="7" t="n">
        <v>9.8</v>
      </c>
      <c r="K2394" s="7" t="s">
        <v>2628</v>
      </c>
      <c r="L2394" s="7" t="s">
        <v>22</v>
      </c>
      <c r="M2394" s="7" t="s">
        <v>2850</v>
      </c>
      <c r="N2394" s="7" t="s">
        <v>58</v>
      </c>
      <c r="O2394" s="10" t="n">
        <f aca="false">'Exec Summary'!$E$2-H2394</f>
        <v>127</v>
      </c>
      <c r="P2394" s="10" t="str">
        <f aca="false">IF(I2394="","",I2394-H2394)</f>
        <v/>
      </c>
      <c r="Q2394" s="10" t="n">
        <f aca="false">VLOOKUP(G2394,$AA$2:$AB$5,2,FALSE())</f>
        <v>15</v>
      </c>
      <c r="R2394" s="7" t="n">
        <f aca="false">IF(OR(F2394="Open",F2394="Reopened"),1,0)</f>
        <v>1</v>
      </c>
      <c r="S2394" s="7" t="n">
        <f aca="false">IF(AND(H2394&gt;='Exec Summary'!$E$1,H2394&lt;='Exec Summary'!$E$2),1,0)</f>
        <v>0</v>
      </c>
      <c r="T2394" s="7" t="n">
        <f aca="false">IF(AND(F2394="Closed",I2394&lt;&gt;"",I2394&gt;='Exec Summary'!$E$1,I2394&lt;='Exec Summary'!$E$2),1,0)</f>
        <v>0</v>
      </c>
      <c r="U2394" s="7" t="n">
        <f aca="false">IF(F2394="Reopened",1,0)</f>
        <v>0</v>
      </c>
      <c r="V2394" s="7" t="n">
        <f aca="false">IF(AND(R2394=1,O2394&gt;Q2394),1,0)</f>
        <v>1</v>
      </c>
      <c r="W2394" s="7" t="n">
        <f aca="false">IF(AND(T2394=1,P2394&lt;&gt;"",P2394&lt;=Q2394),1,0)</f>
        <v>0</v>
      </c>
    </row>
    <row r="2395" customFormat="false" ht="15" hidden="false" customHeight="false" outlineLevel="0" collapsed="false">
      <c r="A2395" s="7" t="s">
        <v>2848</v>
      </c>
      <c r="B2395" s="7" t="s">
        <v>135</v>
      </c>
      <c r="C2395" s="7" t="s">
        <v>306</v>
      </c>
      <c r="D2395" s="7" t="s">
        <v>120</v>
      </c>
      <c r="E2395" s="7" t="s">
        <v>121</v>
      </c>
      <c r="F2395" s="7" t="s">
        <v>56</v>
      </c>
      <c r="G2395" s="7" t="s">
        <v>19</v>
      </c>
      <c r="H2395" s="9" t="n">
        <v>45996</v>
      </c>
      <c r="I2395" s="9"/>
      <c r="J2395" s="7" t="n">
        <v>8.8</v>
      </c>
      <c r="K2395" s="7" t="s">
        <v>2628</v>
      </c>
      <c r="L2395" s="7" t="s">
        <v>22</v>
      </c>
      <c r="M2395" s="7" t="s">
        <v>2851</v>
      </c>
      <c r="N2395" s="7" t="s">
        <v>58</v>
      </c>
      <c r="O2395" s="10" t="n">
        <f aca="false">'Exec Summary'!$E$2-H2395</f>
        <v>238</v>
      </c>
      <c r="P2395" s="10" t="str">
        <f aca="false">IF(I2395="","",I2395-H2395)</f>
        <v/>
      </c>
      <c r="Q2395" s="10" t="n">
        <f aca="false">VLOOKUP(G2395,$AA$2:$AB$5,2,FALSE())</f>
        <v>15</v>
      </c>
      <c r="R2395" s="7" t="n">
        <f aca="false">IF(OR(F2395="Open",F2395="Reopened"),1,0)</f>
        <v>1</v>
      </c>
      <c r="S2395" s="7" t="n">
        <f aca="false">IF(AND(H2395&gt;='Exec Summary'!$E$1,H2395&lt;='Exec Summary'!$E$2),1,0)</f>
        <v>0</v>
      </c>
      <c r="T2395" s="7" t="n">
        <f aca="false">IF(AND(F2395="Closed",I2395&lt;&gt;"",I2395&gt;='Exec Summary'!$E$1,I2395&lt;='Exec Summary'!$E$2),1,0)</f>
        <v>0</v>
      </c>
      <c r="U2395" s="7" t="n">
        <f aca="false">IF(F2395="Reopened",1,0)</f>
        <v>0</v>
      </c>
      <c r="V2395" s="7" t="n">
        <f aca="false">IF(AND(R2395=1,O2395&gt;Q2395),1,0)</f>
        <v>1</v>
      </c>
      <c r="W2395" s="7" t="n">
        <f aca="false">IF(AND(T2395=1,P2395&lt;&gt;"",P2395&lt;=Q2395),1,0)</f>
        <v>0</v>
      </c>
    </row>
    <row r="2396" customFormat="false" ht="15" hidden="false" customHeight="false" outlineLevel="0" collapsed="false">
      <c r="A2396" s="7" t="s">
        <v>2848</v>
      </c>
      <c r="B2396" s="7" t="s">
        <v>135</v>
      </c>
      <c r="C2396" s="7" t="s">
        <v>306</v>
      </c>
      <c r="D2396" s="7" t="s">
        <v>98</v>
      </c>
      <c r="E2396" s="7" t="s">
        <v>99</v>
      </c>
      <c r="F2396" s="7" t="s">
        <v>50</v>
      </c>
      <c r="G2396" s="7" t="s">
        <v>19</v>
      </c>
      <c r="H2396" s="9" t="n">
        <v>46078</v>
      </c>
      <c r="I2396" s="9" t="n">
        <v>46082</v>
      </c>
      <c r="J2396" s="7" t="n">
        <v>10</v>
      </c>
      <c r="K2396" s="7" t="s">
        <v>2628</v>
      </c>
      <c r="L2396" s="7" t="s">
        <v>22</v>
      </c>
      <c r="M2396" s="7" t="s">
        <v>2852</v>
      </c>
      <c r="N2396" s="7" t="s">
        <v>58</v>
      </c>
      <c r="O2396" s="10" t="n">
        <f aca="false">'Exec Summary'!$E$2-H2396</f>
        <v>156</v>
      </c>
      <c r="P2396" s="10" t="n">
        <f aca="false">IF(I2396="","",I2396-H2396)</f>
        <v>4</v>
      </c>
      <c r="Q2396" s="10" t="n">
        <f aca="false">VLOOKUP(G2396,$AA$2:$AB$5,2,FALSE())</f>
        <v>15</v>
      </c>
      <c r="R2396" s="7" t="n">
        <f aca="false">IF(OR(F2396="Open",F2396="Reopened"),1,0)</f>
        <v>0</v>
      </c>
      <c r="S2396" s="7" t="n">
        <f aca="false">IF(AND(H2396&gt;='Exec Summary'!$E$1,H2396&lt;='Exec Summary'!$E$2),1,0)</f>
        <v>0</v>
      </c>
      <c r="T2396" s="7" t="n">
        <f aca="false">IF(AND(F2396="Closed",I2396&lt;&gt;"",I2396&gt;='Exec Summary'!$E$1,I2396&lt;='Exec Summary'!$E$2),1,0)</f>
        <v>0</v>
      </c>
      <c r="U2396" s="7" t="n">
        <f aca="false">IF(F2396="Reopened",1,0)</f>
        <v>0</v>
      </c>
      <c r="V2396" s="7" t="n">
        <f aca="false">IF(AND(R2396=1,O2396&gt;Q2396),1,0)</f>
        <v>0</v>
      </c>
      <c r="W2396" s="7" t="n">
        <f aca="false">IF(AND(T2396=1,P2396&lt;&gt;"",P2396&lt;=Q2396),1,0)</f>
        <v>0</v>
      </c>
    </row>
    <row r="2397" customFormat="false" ht="15" hidden="false" customHeight="false" outlineLevel="0" collapsed="false">
      <c r="A2397" s="7" t="s">
        <v>2853</v>
      </c>
      <c r="B2397" s="7" t="s">
        <v>46</v>
      </c>
      <c r="C2397" s="7" t="s">
        <v>177</v>
      </c>
      <c r="D2397" s="7" t="s">
        <v>173</v>
      </c>
      <c r="E2397" s="7" t="s">
        <v>174</v>
      </c>
      <c r="F2397" s="7" t="s">
        <v>50</v>
      </c>
      <c r="G2397" s="7" t="s">
        <v>19</v>
      </c>
      <c r="H2397" s="9" t="n">
        <v>46077</v>
      </c>
      <c r="I2397" s="9" t="n">
        <v>46095</v>
      </c>
      <c r="J2397" s="7" t="n">
        <v>9.8</v>
      </c>
      <c r="K2397" s="7" t="s">
        <v>2628</v>
      </c>
      <c r="L2397" s="7" t="s">
        <v>21</v>
      </c>
      <c r="M2397" s="7" t="s">
        <v>2854</v>
      </c>
      <c r="N2397" s="7" t="s">
        <v>58</v>
      </c>
      <c r="O2397" s="10" t="n">
        <f aca="false">'Exec Summary'!$E$2-H2397</f>
        <v>157</v>
      </c>
      <c r="P2397" s="10" t="n">
        <f aca="false">IF(I2397="","",I2397-H2397)</f>
        <v>18</v>
      </c>
      <c r="Q2397" s="10" t="n">
        <f aca="false">VLOOKUP(G2397,$AA$2:$AB$5,2,FALSE())</f>
        <v>15</v>
      </c>
      <c r="R2397" s="7" t="n">
        <f aca="false">IF(OR(F2397="Open",F2397="Reopened"),1,0)</f>
        <v>0</v>
      </c>
      <c r="S2397" s="7" t="n">
        <f aca="false">IF(AND(H2397&gt;='Exec Summary'!$E$1,H2397&lt;='Exec Summary'!$E$2),1,0)</f>
        <v>0</v>
      </c>
      <c r="T2397" s="7" t="n">
        <f aca="false">IF(AND(F2397="Closed",I2397&lt;&gt;"",I2397&gt;='Exec Summary'!$E$1,I2397&lt;='Exec Summary'!$E$2),1,0)</f>
        <v>0</v>
      </c>
      <c r="U2397" s="7" t="n">
        <f aca="false">IF(F2397="Reopened",1,0)</f>
        <v>0</v>
      </c>
      <c r="V2397" s="7" t="n">
        <f aca="false">IF(AND(R2397=1,O2397&gt;Q2397),1,0)</f>
        <v>0</v>
      </c>
      <c r="W2397" s="7" t="n">
        <f aca="false">IF(AND(T2397=1,P2397&lt;&gt;"",P2397&lt;=Q2397),1,0)</f>
        <v>0</v>
      </c>
    </row>
    <row r="2398" customFormat="false" ht="15" hidden="false" customHeight="false" outlineLevel="0" collapsed="false">
      <c r="A2398" s="7" t="s">
        <v>2853</v>
      </c>
      <c r="B2398" s="7" t="s">
        <v>46</v>
      </c>
      <c r="C2398" s="7" t="s">
        <v>177</v>
      </c>
      <c r="D2398" s="7" t="s">
        <v>54</v>
      </c>
      <c r="E2398" s="7" t="s">
        <v>55</v>
      </c>
      <c r="F2398" s="7" t="s">
        <v>56</v>
      </c>
      <c r="G2398" s="7" t="s">
        <v>19</v>
      </c>
      <c r="H2398" s="9" t="n">
        <v>46033</v>
      </c>
      <c r="I2398" s="9"/>
      <c r="J2398" s="7" t="n">
        <v>9.8</v>
      </c>
      <c r="K2398" s="7" t="s">
        <v>2628</v>
      </c>
      <c r="L2398" s="7" t="s">
        <v>21</v>
      </c>
      <c r="M2398" s="7" t="s">
        <v>2855</v>
      </c>
      <c r="N2398" s="7" t="s">
        <v>58</v>
      </c>
      <c r="O2398" s="10" t="n">
        <f aca="false">'Exec Summary'!$E$2-H2398</f>
        <v>201</v>
      </c>
      <c r="P2398" s="10" t="str">
        <f aca="false">IF(I2398="","",I2398-H2398)</f>
        <v/>
      </c>
      <c r="Q2398" s="10" t="n">
        <f aca="false">VLOOKUP(G2398,$AA$2:$AB$5,2,FALSE())</f>
        <v>15</v>
      </c>
      <c r="R2398" s="7" t="n">
        <f aca="false">IF(OR(F2398="Open",F2398="Reopened"),1,0)</f>
        <v>1</v>
      </c>
      <c r="S2398" s="7" t="n">
        <f aca="false">IF(AND(H2398&gt;='Exec Summary'!$E$1,H2398&lt;='Exec Summary'!$E$2),1,0)</f>
        <v>0</v>
      </c>
      <c r="T2398" s="7" t="n">
        <f aca="false">IF(AND(F2398="Closed",I2398&lt;&gt;"",I2398&gt;='Exec Summary'!$E$1,I2398&lt;='Exec Summary'!$E$2),1,0)</f>
        <v>0</v>
      </c>
      <c r="U2398" s="7" t="n">
        <f aca="false">IF(F2398="Reopened",1,0)</f>
        <v>0</v>
      </c>
      <c r="V2398" s="7" t="n">
        <f aca="false">IF(AND(R2398=1,O2398&gt;Q2398),1,0)</f>
        <v>1</v>
      </c>
      <c r="W2398" s="7" t="n">
        <f aca="false">IF(AND(T2398=1,P2398&lt;&gt;"",P2398&lt;=Q2398),1,0)</f>
        <v>0</v>
      </c>
    </row>
    <row r="2399" customFormat="false" ht="15" hidden="false" customHeight="false" outlineLevel="0" collapsed="false">
      <c r="A2399" s="7" t="s">
        <v>2853</v>
      </c>
      <c r="B2399" s="7" t="s">
        <v>46</v>
      </c>
      <c r="C2399" s="7" t="s">
        <v>177</v>
      </c>
      <c r="D2399" s="7" t="s">
        <v>81</v>
      </c>
      <c r="E2399" s="7" t="s">
        <v>82</v>
      </c>
      <c r="F2399" s="7" t="s">
        <v>56</v>
      </c>
      <c r="G2399" s="7" t="s">
        <v>20</v>
      </c>
      <c r="H2399" s="9" t="n">
        <v>46051</v>
      </c>
      <c r="I2399" s="9"/>
      <c r="J2399" s="7" t="n">
        <v>7.8</v>
      </c>
      <c r="K2399" s="7" t="s">
        <v>2628</v>
      </c>
      <c r="L2399" s="7" t="s">
        <v>21</v>
      </c>
      <c r="M2399" s="7" t="s">
        <v>2856</v>
      </c>
      <c r="N2399" s="7" t="s">
        <v>53</v>
      </c>
      <c r="O2399" s="10" t="n">
        <f aca="false">'Exec Summary'!$E$2-H2399</f>
        <v>183</v>
      </c>
      <c r="P2399" s="10" t="str">
        <f aca="false">IF(I2399="","",I2399-H2399)</f>
        <v/>
      </c>
      <c r="Q2399" s="10" t="n">
        <f aca="false">VLOOKUP(G2399,$AA$2:$AB$5,2,FALSE())</f>
        <v>30</v>
      </c>
      <c r="R2399" s="7" t="n">
        <f aca="false">IF(OR(F2399="Open",F2399="Reopened"),1,0)</f>
        <v>1</v>
      </c>
      <c r="S2399" s="7" t="n">
        <f aca="false">IF(AND(H2399&gt;='Exec Summary'!$E$1,H2399&lt;='Exec Summary'!$E$2),1,0)</f>
        <v>0</v>
      </c>
      <c r="T2399" s="7" t="n">
        <f aca="false">IF(AND(F2399="Closed",I2399&lt;&gt;"",I2399&gt;='Exec Summary'!$E$1,I2399&lt;='Exec Summary'!$E$2),1,0)</f>
        <v>0</v>
      </c>
      <c r="U2399" s="7" t="n">
        <f aca="false">IF(F2399="Reopened",1,0)</f>
        <v>0</v>
      </c>
      <c r="V2399" s="7" t="n">
        <f aca="false">IF(AND(R2399=1,O2399&gt;Q2399),1,0)</f>
        <v>1</v>
      </c>
      <c r="W2399" s="7" t="n">
        <f aca="false">IF(AND(T2399=1,P2399&lt;&gt;"",P2399&lt;=Q2399),1,0)</f>
        <v>0</v>
      </c>
    </row>
    <row r="2400" customFormat="false" ht="15" hidden="false" customHeight="false" outlineLevel="0" collapsed="false">
      <c r="A2400" s="7" t="s">
        <v>2853</v>
      </c>
      <c r="B2400" s="7" t="s">
        <v>46</v>
      </c>
      <c r="C2400" s="7" t="s">
        <v>177</v>
      </c>
      <c r="D2400" s="7" t="s">
        <v>163</v>
      </c>
      <c r="E2400" s="7" t="s">
        <v>164</v>
      </c>
      <c r="F2400" s="7" t="s">
        <v>50</v>
      </c>
      <c r="G2400" s="7" t="s">
        <v>19</v>
      </c>
      <c r="H2400" s="9" t="n">
        <v>46061</v>
      </c>
      <c r="I2400" s="9" t="n">
        <v>46070</v>
      </c>
      <c r="J2400" s="7" t="n">
        <v>9.1</v>
      </c>
      <c r="K2400" s="7" t="s">
        <v>2628</v>
      </c>
      <c r="L2400" s="7" t="s">
        <v>21</v>
      </c>
      <c r="M2400" s="7" t="s">
        <v>2857</v>
      </c>
      <c r="N2400" s="7" t="s">
        <v>58</v>
      </c>
      <c r="O2400" s="10" t="n">
        <f aca="false">'Exec Summary'!$E$2-H2400</f>
        <v>173</v>
      </c>
      <c r="P2400" s="10" t="n">
        <f aca="false">IF(I2400="","",I2400-H2400)</f>
        <v>9</v>
      </c>
      <c r="Q2400" s="10" t="n">
        <f aca="false">VLOOKUP(G2400,$AA$2:$AB$5,2,FALSE())</f>
        <v>15</v>
      </c>
      <c r="R2400" s="7" t="n">
        <f aca="false">IF(OR(F2400="Open",F2400="Reopened"),1,0)</f>
        <v>0</v>
      </c>
      <c r="S2400" s="7" t="n">
        <f aca="false">IF(AND(H2400&gt;='Exec Summary'!$E$1,H2400&lt;='Exec Summary'!$E$2),1,0)</f>
        <v>0</v>
      </c>
      <c r="T2400" s="7" t="n">
        <f aca="false">IF(AND(F2400="Closed",I2400&lt;&gt;"",I2400&gt;='Exec Summary'!$E$1,I2400&lt;='Exec Summary'!$E$2),1,0)</f>
        <v>0</v>
      </c>
      <c r="U2400" s="7" t="n">
        <f aca="false">IF(F2400="Reopened",1,0)</f>
        <v>0</v>
      </c>
      <c r="V2400" s="7" t="n">
        <f aca="false">IF(AND(R2400=1,O2400&gt;Q2400),1,0)</f>
        <v>0</v>
      </c>
      <c r="W2400" s="7" t="n">
        <f aca="false">IF(AND(T2400=1,P2400&lt;&gt;"",P2400&lt;=Q2400),1,0)</f>
        <v>0</v>
      </c>
    </row>
    <row r="2401" customFormat="false" ht="15" hidden="false" customHeight="false" outlineLevel="0" collapsed="false">
      <c r="A2401" s="7" t="s">
        <v>2853</v>
      </c>
      <c r="B2401" s="7" t="s">
        <v>46</v>
      </c>
      <c r="C2401" s="7" t="s">
        <v>177</v>
      </c>
      <c r="D2401" s="7" t="s">
        <v>104</v>
      </c>
      <c r="E2401" s="7" t="s">
        <v>105</v>
      </c>
      <c r="F2401" s="7" t="s">
        <v>56</v>
      </c>
      <c r="G2401" s="7" t="s">
        <v>19</v>
      </c>
      <c r="H2401" s="9" t="n">
        <v>46130</v>
      </c>
      <c r="I2401" s="9"/>
      <c r="J2401" s="7" t="n">
        <v>9.8</v>
      </c>
      <c r="K2401" s="7" t="s">
        <v>2628</v>
      </c>
      <c r="L2401" s="7" t="s">
        <v>21</v>
      </c>
      <c r="M2401" s="7" t="s">
        <v>2858</v>
      </c>
      <c r="N2401" s="7" t="s">
        <v>58</v>
      </c>
      <c r="O2401" s="10" t="n">
        <f aca="false">'Exec Summary'!$E$2-H2401</f>
        <v>104</v>
      </c>
      <c r="P2401" s="10" t="str">
        <f aca="false">IF(I2401="","",I2401-H2401)</f>
        <v/>
      </c>
      <c r="Q2401" s="10" t="n">
        <f aca="false">VLOOKUP(G2401,$AA$2:$AB$5,2,FALSE())</f>
        <v>15</v>
      </c>
      <c r="R2401" s="7" t="n">
        <f aca="false">IF(OR(F2401="Open",F2401="Reopened"),1,0)</f>
        <v>1</v>
      </c>
      <c r="S2401" s="7" t="n">
        <f aca="false">IF(AND(H2401&gt;='Exec Summary'!$E$1,H2401&lt;='Exec Summary'!$E$2),1,0)</f>
        <v>0</v>
      </c>
      <c r="T2401" s="7" t="n">
        <f aca="false">IF(AND(F2401="Closed",I2401&lt;&gt;"",I2401&gt;='Exec Summary'!$E$1,I2401&lt;='Exec Summary'!$E$2),1,0)</f>
        <v>0</v>
      </c>
      <c r="U2401" s="7" t="n">
        <f aca="false">IF(F2401="Reopened",1,0)</f>
        <v>0</v>
      </c>
      <c r="V2401" s="7" t="n">
        <f aca="false">IF(AND(R2401=1,O2401&gt;Q2401),1,0)</f>
        <v>1</v>
      </c>
      <c r="W2401" s="7" t="n">
        <f aca="false">IF(AND(T2401=1,P2401&lt;&gt;"",P2401&lt;=Q2401),1,0)</f>
        <v>0</v>
      </c>
    </row>
    <row r="2402" customFormat="false" ht="15" hidden="false" customHeight="false" outlineLevel="0" collapsed="false">
      <c r="A2402" s="7" t="s">
        <v>2853</v>
      </c>
      <c r="B2402" s="7" t="s">
        <v>46</v>
      </c>
      <c r="C2402" s="7" t="s">
        <v>177</v>
      </c>
      <c r="D2402" s="7" t="s">
        <v>139</v>
      </c>
      <c r="E2402" s="7" t="s">
        <v>140</v>
      </c>
      <c r="F2402" s="7" t="s">
        <v>50</v>
      </c>
      <c r="G2402" s="7" t="s">
        <v>19</v>
      </c>
      <c r="H2402" s="9" t="n">
        <v>45975</v>
      </c>
      <c r="I2402" s="9" t="n">
        <v>45986</v>
      </c>
      <c r="J2402" s="7" t="n">
        <v>9.8</v>
      </c>
      <c r="K2402" s="7" t="s">
        <v>2628</v>
      </c>
      <c r="L2402" s="7" t="s">
        <v>21</v>
      </c>
      <c r="M2402" s="7" t="s">
        <v>2859</v>
      </c>
      <c r="N2402" s="7" t="s">
        <v>58</v>
      </c>
      <c r="O2402" s="10" t="n">
        <f aca="false">'Exec Summary'!$E$2-H2402</f>
        <v>259</v>
      </c>
      <c r="P2402" s="10" t="n">
        <f aca="false">IF(I2402="","",I2402-H2402)</f>
        <v>11</v>
      </c>
      <c r="Q2402" s="10" t="n">
        <f aca="false">VLOOKUP(G2402,$AA$2:$AB$5,2,FALSE())</f>
        <v>15</v>
      </c>
      <c r="R2402" s="7" t="n">
        <f aca="false">IF(OR(F2402="Open",F2402="Reopened"),1,0)</f>
        <v>0</v>
      </c>
      <c r="S2402" s="7" t="n">
        <f aca="false">IF(AND(H2402&gt;='Exec Summary'!$E$1,H2402&lt;='Exec Summary'!$E$2),1,0)</f>
        <v>0</v>
      </c>
      <c r="T2402" s="7" t="n">
        <f aca="false">IF(AND(F2402="Closed",I2402&lt;&gt;"",I2402&gt;='Exec Summary'!$E$1,I2402&lt;='Exec Summary'!$E$2),1,0)</f>
        <v>0</v>
      </c>
      <c r="U2402" s="7" t="n">
        <f aca="false">IF(F2402="Reopened",1,0)</f>
        <v>0</v>
      </c>
      <c r="V2402" s="7" t="n">
        <f aca="false">IF(AND(R2402=1,O2402&gt;Q2402),1,0)</f>
        <v>0</v>
      </c>
      <c r="W2402" s="7" t="n">
        <f aca="false">IF(AND(T2402=1,P2402&lt;&gt;"",P2402&lt;=Q2402),1,0)</f>
        <v>0</v>
      </c>
    </row>
    <row r="2403" customFormat="false" ht="15" hidden="false" customHeight="false" outlineLevel="0" collapsed="false">
      <c r="A2403" s="7" t="s">
        <v>2860</v>
      </c>
      <c r="B2403" s="7" t="s">
        <v>46</v>
      </c>
      <c r="C2403" s="7" t="s">
        <v>177</v>
      </c>
      <c r="D2403" s="7" t="s">
        <v>152</v>
      </c>
      <c r="E2403" s="7" t="s">
        <v>153</v>
      </c>
      <c r="F2403" s="7" t="s">
        <v>50</v>
      </c>
      <c r="G2403" s="7" t="s">
        <v>20</v>
      </c>
      <c r="H2403" s="9" t="n">
        <v>46097</v>
      </c>
      <c r="I2403" s="9" t="n">
        <v>46108</v>
      </c>
      <c r="J2403" s="7" t="n">
        <v>7.5</v>
      </c>
      <c r="K2403" s="7" t="s">
        <v>2628</v>
      </c>
      <c r="L2403" s="7" t="s">
        <v>21</v>
      </c>
      <c r="M2403" s="7" t="s">
        <v>2861</v>
      </c>
      <c r="N2403" s="7" t="s">
        <v>53</v>
      </c>
      <c r="O2403" s="10" t="n">
        <f aca="false">'Exec Summary'!$E$2-H2403</f>
        <v>137</v>
      </c>
      <c r="P2403" s="10" t="n">
        <f aca="false">IF(I2403="","",I2403-H2403)</f>
        <v>11</v>
      </c>
      <c r="Q2403" s="10" t="n">
        <f aca="false">VLOOKUP(G2403,$AA$2:$AB$5,2,FALSE())</f>
        <v>30</v>
      </c>
      <c r="R2403" s="7" t="n">
        <f aca="false">IF(OR(F2403="Open",F2403="Reopened"),1,0)</f>
        <v>0</v>
      </c>
      <c r="S2403" s="7" t="n">
        <f aca="false">IF(AND(H2403&gt;='Exec Summary'!$E$1,H2403&lt;='Exec Summary'!$E$2),1,0)</f>
        <v>0</v>
      </c>
      <c r="T2403" s="7" t="n">
        <f aca="false">IF(AND(F2403="Closed",I2403&lt;&gt;"",I2403&gt;='Exec Summary'!$E$1,I2403&lt;='Exec Summary'!$E$2),1,0)</f>
        <v>0</v>
      </c>
      <c r="U2403" s="7" t="n">
        <f aca="false">IF(F2403="Reopened",1,0)</f>
        <v>0</v>
      </c>
      <c r="V2403" s="7" t="n">
        <f aca="false">IF(AND(R2403=1,O2403&gt;Q2403),1,0)</f>
        <v>0</v>
      </c>
      <c r="W2403" s="7" t="n">
        <f aca="false">IF(AND(T2403=1,P2403&lt;&gt;"",P2403&lt;=Q2403),1,0)</f>
        <v>0</v>
      </c>
    </row>
    <row r="2404" customFormat="false" ht="15" hidden="false" customHeight="false" outlineLevel="0" collapsed="false">
      <c r="A2404" s="7" t="s">
        <v>2860</v>
      </c>
      <c r="B2404" s="7" t="s">
        <v>46</v>
      </c>
      <c r="C2404" s="7" t="s">
        <v>177</v>
      </c>
      <c r="D2404" s="7" t="s">
        <v>192</v>
      </c>
      <c r="E2404" s="7" t="s">
        <v>193</v>
      </c>
      <c r="F2404" s="7" t="s">
        <v>123</v>
      </c>
      <c r="G2404" s="7" t="s">
        <v>19</v>
      </c>
      <c r="H2404" s="9" t="n">
        <v>45995</v>
      </c>
      <c r="I2404" s="9" t="n">
        <v>46019</v>
      </c>
      <c r="J2404" s="7" t="n">
        <v>9.8</v>
      </c>
      <c r="K2404" s="7" t="s">
        <v>2628</v>
      </c>
      <c r="L2404" s="7" t="s">
        <v>21</v>
      </c>
      <c r="M2404" s="7" t="s">
        <v>2862</v>
      </c>
      <c r="N2404" s="7" t="s">
        <v>58</v>
      </c>
      <c r="O2404" s="10" t="n">
        <f aca="false">'Exec Summary'!$E$2-H2404</f>
        <v>239</v>
      </c>
      <c r="P2404" s="10" t="n">
        <f aca="false">IF(I2404="","",I2404-H2404)</f>
        <v>24</v>
      </c>
      <c r="Q2404" s="10" t="n">
        <f aca="false">VLOOKUP(G2404,$AA$2:$AB$5,2,FALSE())</f>
        <v>15</v>
      </c>
      <c r="R2404" s="7" t="n">
        <f aca="false">IF(OR(F2404="Open",F2404="Reopened"),1,0)</f>
        <v>1</v>
      </c>
      <c r="S2404" s="7" t="n">
        <f aca="false">IF(AND(H2404&gt;='Exec Summary'!$E$1,H2404&lt;='Exec Summary'!$E$2),1,0)</f>
        <v>0</v>
      </c>
      <c r="T2404" s="7" t="n">
        <f aca="false">IF(AND(F2404="Closed",I2404&lt;&gt;"",I2404&gt;='Exec Summary'!$E$1,I2404&lt;='Exec Summary'!$E$2),1,0)</f>
        <v>0</v>
      </c>
      <c r="U2404" s="7" t="n">
        <f aca="false">IF(F2404="Reopened",1,0)</f>
        <v>1</v>
      </c>
      <c r="V2404" s="7" t="n">
        <f aca="false">IF(AND(R2404=1,O2404&gt;Q2404),1,0)</f>
        <v>1</v>
      </c>
      <c r="W2404" s="7" t="n">
        <f aca="false">IF(AND(T2404=1,P2404&lt;&gt;"",P2404&lt;=Q2404),1,0)</f>
        <v>0</v>
      </c>
    </row>
    <row r="2405" customFormat="false" ht="15" hidden="false" customHeight="false" outlineLevel="0" collapsed="false">
      <c r="A2405" s="7" t="s">
        <v>2860</v>
      </c>
      <c r="B2405" s="7" t="s">
        <v>46</v>
      </c>
      <c r="C2405" s="7" t="s">
        <v>177</v>
      </c>
      <c r="D2405" s="7" t="s">
        <v>139</v>
      </c>
      <c r="E2405" s="7" t="s">
        <v>140</v>
      </c>
      <c r="F2405" s="7" t="s">
        <v>56</v>
      </c>
      <c r="G2405" s="7" t="s">
        <v>19</v>
      </c>
      <c r="H2405" s="9" t="n">
        <v>46202</v>
      </c>
      <c r="I2405" s="9"/>
      <c r="J2405" s="7" t="n">
        <v>9.8</v>
      </c>
      <c r="K2405" s="7" t="s">
        <v>2628</v>
      </c>
      <c r="L2405" s="7" t="s">
        <v>21</v>
      </c>
      <c r="M2405" s="7" t="s">
        <v>2863</v>
      </c>
      <c r="N2405" s="7" t="s">
        <v>58</v>
      </c>
      <c r="O2405" s="10" t="n">
        <f aca="false">'Exec Summary'!$E$2-H2405</f>
        <v>32</v>
      </c>
      <c r="P2405" s="10" t="str">
        <f aca="false">IF(I2405="","",I2405-H2405)</f>
        <v/>
      </c>
      <c r="Q2405" s="10" t="n">
        <f aca="false">VLOOKUP(G2405,$AA$2:$AB$5,2,FALSE())</f>
        <v>15</v>
      </c>
      <c r="R2405" s="7" t="n">
        <f aca="false">IF(OR(F2405="Open",F2405="Reopened"),1,0)</f>
        <v>1</v>
      </c>
      <c r="S2405" s="7" t="n">
        <f aca="false">IF(AND(H2405&gt;='Exec Summary'!$E$1,H2405&lt;='Exec Summary'!$E$2),1,0)</f>
        <v>0</v>
      </c>
      <c r="T2405" s="7" t="n">
        <f aca="false">IF(AND(F2405="Closed",I2405&lt;&gt;"",I2405&gt;='Exec Summary'!$E$1,I2405&lt;='Exec Summary'!$E$2),1,0)</f>
        <v>0</v>
      </c>
      <c r="U2405" s="7" t="n">
        <f aca="false">IF(F2405="Reopened",1,0)</f>
        <v>0</v>
      </c>
      <c r="V2405" s="7" t="n">
        <f aca="false">IF(AND(R2405=1,O2405&gt;Q2405),1,0)</f>
        <v>1</v>
      </c>
      <c r="W2405" s="7" t="n">
        <f aca="false">IF(AND(T2405=1,P2405&lt;&gt;"",P2405&lt;=Q2405),1,0)</f>
        <v>0</v>
      </c>
    </row>
    <row r="2406" customFormat="false" ht="15" hidden="false" customHeight="false" outlineLevel="0" collapsed="false">
      <c r="A2406" s="7" t="s">
        <v>2860</v>
      </c>
      <c r="B2406" s="7" t="s">
        <v>46</v>
      </c>
      <c r="C2406" s="7" t="s">
        <v>177</v>
      </c>
      <c r="D2406" s="7" t="s">
        <v>54</v>
      </c>
      <c r="E2406" s="7" t="s">
        <v>55</v>
      </c>
      <c r="F2406" s="7" t="s">
        <v>56</v>
      </c>
      <c r="G2406" s="7" t="s">
        <v>19</v>
      </c>
      <c r="H2406" s="9" t="n">
        <v>46061</v>
      </c>
      <c r="I2406" s="9"/>
      <c r="J2406" s="7" t="n">
        <v>9.8</v>
      </c>
      <c r="K2406" s="7" t="s">
        <v>2628</v>
      </c>
      <c r="L2406" s="7" t="s">
        <v>21</v>
      </c>
      <c r="M2406" s="7" t="s">
        <v>2864</v>
      </c>
      <c r="N2406" s="7" t="s">
        <v>58</v>
      </c>
      <c r="O2406" s="10" t="n">
        <f aca="false">'Exec Summary'!$E$2-H2406</f>
        <v>173</v>
      </c>
      <c r="P2406" s="10" t="str">
        <f aca="false">IF(I2406="","",I2406-H2406)</f>
        <v/>
      </c>
      <c r="Q2406" s="10" t="n">
        <f aca="false">VLOOKUP(G2406,$AA$2:$AB$5,2,FALSE())</f>
        <v>15</v>
      </c>
      <c r="R2406" s="7" t="n">
        <f aca="false">IF(OR(F2406="Open",F2406="Reopened"),1,0)</f>
        <v>1</v>
      </c>
      <c r="S2406" s="7" t="n">
        <f aca="false">IF(AND(H2406&gt;='Exec Summary'!$E$1,H2406&lt;='Exec Summary'!$E$2),1,0)</f>
        <v>0</v>
      </c>
      <c r="T2406" s="7" t="n">
        <f aca="false">IF(AND(F2406="Closed",I2406&lt;&gt;"",I2406&gt;='Exec Summary'!$E$1,I2406&lt;='Exec Summary'!$E$2),1,0)</f>
        <v>0</v>
      </c>
      <c r="U2406" s="7" t="n">
        <f aca="false">IF(F2406="Reopened",1,0)</f>
        <v>0</v>
      </c>
      <c r="V2406" s="7" t="n">
        <f aca="false">IF(AND(R2406=1,O2406&gt;Q2406),1,0)</f>
        <v>1</v>
      </c>
      <c r="W2406" s="7" t="n">
        <f aca="false">IF(AND(T2406=1,P2406&lt;&gt;"",P2406&lt;=Q2406),1,0)</f>
        <v>0</v>
      </c>
    </row>
    <row r="2407" customFormat="false" ht="15" hidden="false" customHeight="false" outlineLevel="0" collapsed="false">
      <c r="A2407" s="7" t="s">
        <v>2860</v>
      </c>
      <c r="B2407" s="7" t="s">
        <v>46</v>
      </c>
      <c r="C2407" s="7" t="s">
        <v>177</v>
      </c>
      <c r="D2407" s="7" t="s">
        <v>59</v>
      </c>
      <c r="E2407" s="7" t="s">
        <v>60</v>
      </c>
      <c r="F2407" s="7" t="s">
        <v>123</v>
      </c>
      <c r="G2407" s="7" t="s">
        <v>19</v>
      </c>
      <c r="H2407" s="9" t="n">
        <v>45939</v>
      </c>
      <c r="I2407" s="9" t="n">
        <v>45951</v>
      </c>
      <c r="J2407" s="7" t="n">
        <v>7.8</v>
      </c>
      <c r="K2407" s="7" t="s">
        <v>2628</v>
      </c>
      <c r="L2407" s="7" t="s">
        <v>21</v>
      </c>
      <c r="M2407" s="7" t="s">
        <v>2865</v>
      </c>
      <c r="N2407" s="7" t="s">
        <v>58</v>
      </c>
      <c r="O2407" s="10" t="n">
        <f aca="false">'Exec Summary'!$E$2-H2407</f>
        <v>295</v>
      </c>
      <c r="P2407" s="10" t="n">
        <f aca="false">IF(I2407="","",I2407-H2407)</f>
        <v>12</v>
      </c>
      <c r="Q2407" s="10" t="n">
        <f aca="false">VLOOKUP(G2407,$AA$2:$AB$5,2,FALSE())</f>
        <v>15</v>
      </c>
      <c r="R2407" s="7" t="n">
        <f aca="false">IF(OR(F2407="Open",F2407="Reopened"),1,0)</f>
        <v>1</v>
      </c>
      <c r="S2407" s="7" t="n">
        <f aca="false">IF(AND(H2407&gt;='Exec Summary'!$E$1,H2407&lt;='Exec Summary'!$E$2),1,0)</f>
        <v>0</v>
      </c>
      <c r="T2407" s="7" t="n">
        <f aca="false">IF(AND(F2407="Closed",I2407&lt;&gt;"",I2407&gt;='Exec Summary'!$E$1,I2407&lt;='Exec Summary'!$E$2),1,0)</f>
        <v>0</v>
      </c>
      <c r="U2407" s="7" t="n">
        <f aca="false">IF(F2407="Reopened",1,0)</f>
        <v>1</v>
      </c>
      <c r="V2407" s="7" t="n">
        <f aca="false">IF(AND(R2407=1,O2407&gt;Q2407),1,0)</f>
        <v>1</v>
      </c>
      <c r="W2407" s="7" t="n">
        <f aca="false">IF(AND(T2407=1,P2407&lt;&gt;"",P2407&lt;=Q2407),1,0)</f>
        <v>0</v>
      </c>
    </row>
    <row r="2408" customFormat="false" ht="15" hidden="false" customHeight="false" outlineLevel="0" collapsed="false">
      <c r="A2408" s="7" t="s">
        <v>2860</v>
      </c>
      <c r="B2408" s="7" t="s">
        <v>46</v>
      </c>
      <c r="C2408" s="7" t="s">
        <v>177</v>
      </c>
      <c r="D2408" s="7" t="s">
        <v>104</v>
      </c>
      <c r="E2408" s="7" t="s">
        <v>105</v>
      </c>
      <c r="F2408" s="7" t="s">
        <v>50</v>
      </c>
      <c r="G2408" s="7" t="s">
        <v>19</v>
      </c>
      <c r="H2408" s="9" t="n">
        <v>45974</v>
      </c>
      <c r="I2408" s="9" t="n">
        <v>45990</v>
      </c>
      <c r="J2408" s="7" t="n">
        <v>9.8</v>
      </c>
      <c r="K2408" s="7" t="s">
        <v>2628</v>
      </c>
      <c r="L2408" s="7" t="s">
        <v>21</v>
      </c>
      <c r="M2408" s="7" t="s">
        <v>2866</v>
      </c>
      <c r="N2408" s="7" t="s">
        <v>58</v>
      </c>
      <c r="O2408" s="10" t="n">
        <f aca="false">'Exec Summary'!$E$2-H2408</f>
        <v>260</v>
      </c>
      <c r="P2408" s="10" t="n">
        <f aca="false">IF(I2408="","",I2408-H2408)</f>
        <v>16</v>
      </c>
      <c r="Q2408" s="10" t="n">
        <f aca="false">VLOOKUP(G2408,$AA$2:$AB$5,2,FALSE())</f>
        <v>15</v>
      </c>
      <c r="R2408" s="7" t="n">
        <f aca="false">IF(OR(F2408="Open",F2408="Reopened"),1,0)</f>
        <v>0</v>
      </c>
      <c r="S2408" s="7" t="n">
        <f aca="false">IF(AND(H2408&gt;='Exec Summary'!$E$1,H2408&lt;='Exec Summary'!$E$2),1,0)</f>
        <v>0</v>
      </c>
      <c r="T2408" s="7" t="n">
        <f aca="false">IF(AND(F2408="Closed",I2408&lt;&gt;"",I2408&gt;='Exec Summary'!$E$1,I2408&lt;='Exec Summary'!$E$2),1,0)</f>
        <v>0</v>
      </c>
      <c r="U2408" s="7" t="n">
        <f aca="false">IF(F2408="Reopened",1,0)</f>
        <v>0</v>
      </c>
      <c r="V2408" s="7" t="n">
        <f aca="false">IF(AND(R2408=1,O2408&gt;Q2408),1,0)</f>
        <v>0</v>
      </c>
      <c r="W2408" s="7" t="n">
        <f aca="false">IF(AND(T2408=1,P2408&lt;&gt;"",P2408&lt;=Q2408),1,0)</f>
        <v>0</v>
      </c>
    </row>
    <row r="2409" customFormat="false" ht="15" hidden="false" customHeight="false" outlineLevel="0" collapsed="false">
      <c r="A2409" s="7" t="s">
        <v>2860</v>
      </c>
      <c r="B2409" s="7" t="s">
        <v>46</v>
      </c>
      <c r="C2409" s="7" t="s">
        <v>177</v>
      </c>
      <c r="D2409" s="7" t="s">
        <v>101</v>
      </c>
      <c r="E2409" s="7" t="s">
        <v>102</v>
      </c>
      <c r="F2409" s="7" t="s">
        <v>56</v>
      </c>
      <c r="G2409" s="7" t="s">
        <v>19</v>
      </c>
      <c r="H2409" s="9" t="n">
        <v>46162</v>
      </c>
      <c r="I2409" s="9"/>
      <c r="J2409" s="7" t="n">
        <v>10</v>
      </c>
      <c r="K2409" s="7" t="s">
        <v>2628</v>
      </c>
      <c r="L2409" s="7" t="s">
        <v>21</v>
      </c>
      <c r="M2409" s="7" t="s">
        <v>2867</v>
      </c>
      <c r="N2409" s="7" t="s">
        <v>58</v>
      </c>
      <c r="O2409" s="10" t="n">
        <f aca="false">'Exec Summary'!$E$2-H2409</f>
        <v>72</v>
      </c>
      <c r="P2409" s="10" t="str">
        <f aca="false">IF(I2409="","",I2409-H2409)</f>
        <v/>
      </c>
      <c r="Q2409" s="10" t="n">
        <f aca="false">VLOOKUP(G2409,$AA$2:$AB$5,2,FALSE())</f>
        <v>15</v>
      </c>
      <c r="R2409" s="7" t="n">
        <f aca="false">IF(OR(F2409="Open",F2409="Reopened"),1,0)</f>
        <v>1</v>
      </c>
      <c r="S2409" s="7" t="n">
        <f aca="false">IF(AND(H2409&gt;='Exec Summary'!$E$1,H2409&lt;='Exec Summary'!$E$2),1,0)</f>
        <v>0</v>
      </c>
      <c r="T2409" s="7" t="n">
        <f aca="false">IF(AND(F2409="Closed",I2409&lt;&gt;"",I2409&gt;='Exec Summary'!$E$1,I2409&lt;='Exec Summary'!$E$2),1,0)</f>
        <v>0</v>
      </c>
      <c r="U2409" s="7" t="n">
        <f aca="false">IF(F2409="Reopened",1,0)</f>
        <v>0</v>
      </c>
      <c r="V2409" s="7" t="n">
        <f aca="false">IF(AND(R2409=1,O2409&gt;Q2409),1,0)</f>
        <v>1</v>
      </c>
      <c r="W2409" s="7" t="n">
        <f aca="false">IF(AND(T2409=1,P2409&lt;&gt;"",P2409&lt;=Q2409),1,0)</f>
        <v>0</v>
      </c>
    </row>
    <row r="2410" customFormat="false" ht="15" hidden="false" customHeight="false" outlineLevel="0" collapsed="false">
      <c r="A2410" s="7" t="s">
        <v>2860</v>
      </c>
      <c r="B2410" s="7" t="s">
        <v>46</v>
      </c>
      <c r="C2410" s="7" t="s">
        <v>177</v>
      </c>
      <c r="D2410" s="7" t="s">
        <v>163</v>
      </c>
      <c r="E2410" s="7" t="s">
        <v>164</v>
      </c>
      <c r="F2410" s="7" t="s">
        <v>56</v>
      </c>
      <c r="G2410" s="7" t="s">
        <v>19</v>
      </c>
      <c r="H2410" s="9" t="n">
        <v>46161</v>
      </c>
      <c r="I2410" s="9"/>
      <c r="J2410" s="7" t="n">
        <v>9.1</v>
      </c>
      <c r="K2410" s="7" t="s">
        <v>2628</v>
      </c>
      <c r="L2410" s="7" t="s">
        <v>21</v>
      </c>
      <c r="M2410" s="7" t="s">
        <v>2868</v>
      </c>
      <c r="N2410" s="7" t="s">
        <v>58</v>
      </c>
      <c r="O2410" s="10" t="n">
        <f aca="false">'Exec Summary'!$E$2-H2410</f>
        <v>73</v>
      </c>
      <c r="P2410" s="10" t="str">
        <f aca="false">IF(I2410="","",I2410-H2410)</f>
        <v/>
      </c>
      <c r="Q2410" s="10" t="n">
        <f aca="false">VLOOKUP(G2410,$AA$2:$AB$5,2,FALSE())</f>
        <v>15</v>
      </c>
      <c r="R2410" s="7" t="n">
        <f aca="false">IF(OR(F2410="Open",F2410="Reopened"),1,0)</f>
        <v>1</v>
      </c>
      <c r="S2410" s="7" t="n">
        <f aca="false">IF(AND(H2410&gt;='Exec Summary'!$E$1,H2410&lt;='Exec Summary'!$E$2),1,0)</f>
        <v>0</v>
      </c>
      <c r="T2410" s="7" t="n">
        <f aca="false">IF(AND(F2410="Closed",I2410&lt;&gt;"",I2410&gt;='Exec Summary'!$E$1,I2410&lt;='Exec Summary'!$E$2),1,0)</f>
        <v>0</v>
      </c>
      <c r="U2410" s="7" t="n">
        <f aca="false">IF(F2410="Reopened",1,0)</f>
        <v>0</v>
      </c>
      <c r="V2410" s="7" t="n">
        <f aca="false">IF(AND(R2410=1,O2410&gt;Q2410),1,0)</f>
        <v>1</v>
      </c>
      <c r="W2410" s="7" t="n">
        <f aca="false">IF(AND(T2410=1,P2410&lt;&gt;"",P2410&lt;=Q2410),1,0)</f>
        <v>0</v>
      </c>
    </row>
    <row r="2411" customFormat="false" ht="15" hidden="false" customHeight="false" outlineLevel="0" collapsed="false">
      <c r="A2411" s="7" t="s">
        <v>2860</v>
      </c>
      <c r="B2411" s="7" t="s">
        <v>46</v>
      </c>
      <c r="C2411" s="7" t="s">
        <v>177</v>
      </c>
      <c r="D2411" s="7" t="s">
        <v>166</v>
      </c>
      <c r="E2411" s="7" t="s">
        <v>167</v>
      </c>
      <c r="F2411" s="7" t="s">
        <v>50</v>
      </c>
      <c r="G2411" s="7" t="s">
        <v>19</v>
      </c>
      <c r="H2411" s="9" t="n">
        <v>46074</v>
      </c>
      <c r="I2411" s="9" t="n">
        <v>46088</v>
      </c>
      <c r="J2411" s="7" t="n">
        <v>9.8</v>
      </c>
      <c r="K2411" s="7" t="s">
        <v>2628</v>
      </c>
      <c r="L2411" s="7" t="s">
        <v>21</v>
      </c>
      <c r="M2411" s="7" t="s">
        <v>2869</v>
      </c>
      <c r="N2411" s="7" t="s">
        <v>58</v>
      </c>
      <c r="O2411" s="10" t="n">
        <f aca="false">'Exec Summary'!$E$2-H2411</f>
        <v>160</v>
      </c>
      <c r="P2411" s="10" t="n">
        <f aca="false">IF(I2411="","",I2411-H2411)</f>
        <v>14</v>
      </c>
      <c r="Q2411" s="10" t="n">
        <f aca="false">VLOOKUP(G2411,$AA$2:$AB$5,2,FALSE())</f>
        <v>15</v>
      </c>
      <c r="R2411" s="7" t="n">
        <f aca="false">IF(OR(F2411="Open",F2411="Reopened"),1,0)</f>
        <v>0</v>
      </c>
      <c r="S2411" s="7" t="n">
        <f aca="false">IF(AND(H2411&gt;='Exec Summary'!$E$1,H2411&lt;='Exec Summary'!$E$2),1,0)</f>
        <v>0</v>
      </c>
      <c r="T2411" s="7" t="n">
        <f aca="false">IF(AND(F2411="Closed",I2411&lt;&gt;"",I2411&gt;='Exec Summary'!$E$1,I2411&lt;='Exec Summary'!$E$2),1,0)</f>
        <v>0</v>
      </c>
      <c r="U2411" s="7" t="n">
        <f aca="false">IF(F2411="Reopened",1,0)</f>
        <v>0</v>
      </c>
      <c r="V2411" s="7" t="n">
        <f aca="false">IF(AND(R2411=1,O2411&gt;Q2411),1,0)</f>
        <v>0</v>
      </c>
      <c r="W2411" s="7" t="n">
        <f aca="false">IF(AND(T2411=1,P2411&lt;&gt;"",P2411&lt;=Q2411),1,0)</f>
        <v>0</v>
      </c>
    </row>
    <row r="2412" customFormat="false" ht="15" hidden="false" customHeight="false" outlineLevel="0" collapsed="false">
      <c r="A2412" s="7" t="s">
        <v>2860</v>
      </c>
      <c r="B2412" s="7" t="s">
        <v>46</v>
      </c>
      <c r="C2412" s="7" t="s">
        <v>177</v>
      </c>
      <c r="D2412" s="7" t="s">
        <v>65</v>
      </c>
      <c r="E2412" s="7" t="s">
        <v>66</v>
      </c>
      <c r="F2412" s="7" t="s">
        <v>56</v>
      </c>
      <c r="G2412" s="7" t="s">
        <v>19</v>
      </c>
      <c r="H2412" s="9" t="n">
        <v>46099</v>
      </c>
      <c r="I2412" s="9"/>
      <c r="J2412" s="7" t="n">
        <v>9.8</v>
      </c>
      <c r="K2412" s="7" t="s">
        <v>2628</v>
      </c>
      <c r="L2412" s="7" t="s">
        <v>21</v>
      </c>
      <c r="M2412" s="7" t="s">
        <v>2870</v>
      </c>
      <c r="N2412" s="7" t="s">
        <v>58</v>
      </c>
      <c r="O2412" s="10" t="n">
        <f aca="false">'Exec Summary'!$E$2-H2412</f>
        <v>135</v>
      </c>
      <c r="P2412" s="10" t="str">
        <f aca="false">IF(I2412="","",I2412-H2412)</f>
        <v/>
      </c>
      <c r="Q2412" s="10" t="n">
        <f aca="false">VLOOKUP(G2412,$AA$2:$AB$5,2,FALSE())</f>
        <v>15</v>
      </c>
      <c r="R2412" s="7" t="n">
        <f aca="false">IF(OR(F2412="Open",F2412="Reopened"),1,0)</f>
        <v>1</v>
      </c>
      <c r="S2412" s="7" t="n">
        <f aca="false">IF(AND(H2412&gt;='Exec Summary'!$E$1,H2412&lt;='Exec Summary'!$E$2),1,0)</f>
        <v>0</v>
      </c>
      <c r="T2412" s="7" t="n">
        <f aca="false">IF(AND(F2412="Closed",I2412&lt;&gt;"",I2412&gt;='Exec Summary'!$E$1,I2412&lt;='Exec Summary'!$E$2),1,0)</f>
        <v>0</v>
      </c>
      <c r="U2412" s="7" t="n">
        <f aca="false">IF(F2412="Reopened",1,0)</f>
        <v>0</v>
      </c>
      <c r="V2412" s="7" t="n">
        <f aca="false">IF(AND(R2412=1,O2412&gt;Q2412),1,0)</f>
        <v>1</v>
      </c>
      <c r="W2412" s="7" t="n">
        <f aca="false">IF(AND(T2412=1,P2412&lt;&gt;"",P2412&lt;=Q2412),1,0)</f>
        <v>0</v>
      </c>
    </row>
    <row r="2413" customFormat="false" ht="15" hidden="false" customHeight="false" outlineLevel="0" collapsed="false">
      <c r="A2413" s="7" t="s">
        <v>2860</v>
      </c>
      <c r="B2413" s="7" t="s">
        <v>46</v>
      </c>
      <c r="C2413" s="7" t="s">
        <v>177</v>
      </c>
      <c r="D2413" s="7" t="s">
        <v>81</v>
      </c>
      <c r="E2413" s="7" t="s">
        <v>82</v>
      </c>
      <c r="F2413" s="7" t="s">
        <v>56</v>
      </c>
      <c r="G2413" s="7" t="s">
        <v>20</v>
      </c>
      <c r="H2413" s="9" t="n">
        <v>45960</v>
      </c>
      <c r="I2413" s="9"/>
      <c r="J2413" s="7" t="n">
        <v>7.8</v>
      </c>
      <c r="K2413" s="7" t="s">
        <v>2628</v>
      </c>
      <c r="L2413" s="7" t="s">
        <v>21</v>
      </c>
      <c r="M2413" s="7" t="s">
        <v>2871</v>
      </c>
      <c r="N2413" s="7" t="s">
        <v>53</v>
      </c>
      <c r="O2413" s="10" t="n">
        <f aca="false">'Exec Summary'!$E$2-H2413</f>
        <v>274</v>
      </c>
      <c r="P2413" s="10" t="str">
        <f aca="false">IF(I2413="","",I2413-H2413)</f>
        <v/>
      </c>
      <c r="Q2413" s="10" t="n">
        <f aca="false">VLOOKUP(G2413,$AA$2:$AB$5,2,FALSE())</f>
        <v>30</v>
      </c>
      <c r="R2413" s="7" t="n">
        <f aca="false">IF(OR(F2413="Open",F2413="Reopened"),1,0)</f>
        <v>1</v>
      </c>
      <c r="S2413" s="7" t="n">
        <f aca="false">IF(AND(H2413&gt;='Exec Summary'!$E$1,H2413&lt;='Exec Summary'!$E$2),1,0)</f>
        <v>0</v>
      </c>
      <c r="T2413" s="7" t="n">
        <f aca="false">IF(AND(F2413="Closed",I2413&lt;&gt;"",I2413&gt;='Exec Summary'!$E$1,I2413&lt;='Exec Summary'!$E$2),1,0)</f>
        <v>0</v>
      </c>
      <c r="U2413" s="7" t="n">
        <f aca="false">IF(F2413="Reopened",1,0)</f>
        <v>0</v>
      </c>
      <c r="V2413" s="7" t="n">
        <f aca="false">IF(AND(R2413=1,O2413&gt;Q2413),1,0)</f>
        <v>1</v>
      </c>
      <c r="W2413" s="7" t="n">
        <f aca="false">IF(AND(T2413=1,P2413&lt;&gt;"",P2413&lt;=Q2413),1,0)</f>
        <v>0</v>
      </c>
    </row>
    <row r="2414" customFormat="false" ht="15" hidden="false" customHeight="false" outlineLevel="0" collapsed="false">
      <c r="A2414" s="7" t="s">
        <v>2860</v>
      </c>
      <c r="B2414" s="7" t="s">
        <v>46</v>
      </c>
      <c r="C2414" s="7" t="s">
        <v>177</v>
      </c>
      <c r="D2414" s="7" t="s">
        <v>91</v>
      </c>
      <c r="E2414" s="7" t="s">
        <v>92</v>
      </c>
      <c r="F2414" s="7" t="s">
        <v>50</v>
      </c>
      <c r="G2414" s="7" t="s">
        <v>20</v>
      </c>
      <c r="H2414" s="9" t="n">
        <v>46122</v>
      </c>
      <c r="I2414" s="9" t="n">
        <v>46161</v>
      </c>
      <c r="J2414" s="7" t="n">
        <v>8.1</v>
      </c>
      <c r="K2414" s="7" t="s">
        <v>2628</v>
      </c>
      <c r="L2414" s="7" t="s">
        <v>21</v>
      </c>
      <c r="M2414" s="7" t="s">
        <v>2872</v>
      </c>
      <c r="N2414" s="7" t="s">
        <v>53</v>
      </c>
      <c r="O2414" s="10" t="n">
        <f aca="false">'Exec Summary'!$E$2-H2414</f>
        <v>112</v>
      </c>
      <c r="P2414" s="10" t="n">
        <f aca="false">IF(I2414="","",I2414-H2414)</f>
        <v>39</v>
      </c>
      <c r="Q2414" s="10" t="n">
        <f aca="false">VLOOKUP(G2414,$AA$2:$AB$5,2,FALSE())</f>
        <v>30</v>
      </c>
      <c r="R2414" s="7" t="n">
        <f aca="false">IF(OR(F2414="Open",F2414="Reopened"),1,0)</f>
        <v>0</v>
      </c>
      <c r="S2414" s="7" t="n">
        <f aca="false">IF(AND(H2414&gt;='Exec Summary'!$E$1,H2414&lt;='Exec Summary'!$E$2),1,0)</f>
        <v>0</v>
      </c>
      <c r="T2414" s="7" t="n">
        <f aca="false">IF(AND(F2414="Closed",I2414&lt;&gt;"",I2414&gt;='Exec Summary'!$E$1,I2414&lt;='Exec Summary'!$E$2),1,0)</f>
        <v>0</v>
      </c>
      <c r="U2414" s="7" t="n">
        <f aca="false">IF(F2414="Reopened",1,0)</f>
        <v>0</v>
      </c>
      <c r="V2414" s="7" t="n">
        <f aca="false">IF(AND(R2414=1,O2414&gt;Q2414),1,0)</f>
        <v>0</v>
      </c>
      <c r="W2414" s="7" t="n">
        <f aca="false">IF(AND(T2414=1,P2414&lt;&gt;"",P2414&lt;=Q2414),1,0)</f>
        <v>0</v>
      </c>
    </row>
    <row r="2415" customFormat="false" ht="15" hidden="false" customHeight="false" outlineLevel="0" collapsed="false">
      <c r="A2415" s="7" t="s">
        <v>2860</v>
      </c>
      <c r="B2415" s="7" t="s">
        <v>46</v>
      </c>
      <c r="C2415" s="7" t="s">
        <v>177</v>
      </c>
      <c r="D2415" s="7" t="s">
        <v>68</v>
      </c>
      <c r="E2415" s="7" t="s">
        <v>69</v>
      </c>
      <c r="F2415" s="7" t="s">
        <v>50</v>
      </c>
      <c r="G2415" s="7" t="s">
        <v>19</v>
      </c>
      <c r="H2415" s="9" t="n">
        <v>46215</v>
      </c>
      <c r="I2415" s="9" t="n">
        <v>46220</v>
      </c>
      <c r="J2415" s="7" t="n">
        <v>9.8</v>
      </c>
      <c r="K2415" s="7" t="s">
        <v>2628</v>
      </c>
      <c r="L2415" s="7" t="s">
        <v>21</v>
      </c>
      <c r="M2415" s="7" t="s">
        <v>2873</v>
      </c>
      <c r="N2415" s="7" t="s">
        <v>58</v>
      </c>
      <c r="O2415" s="10" t="n">
        <f aca="false">'Exec Summary'!$E$2-H2415</f>
        <v>19</v>
      </c>
      <c r="P2415" s="10" t="n">
        <f aca="false">IF(I2415="","",I2415-H2415)</f>
        <v>5</v>
      </c>
      <c r="Q2415" s="10" t="n">
        <f aca="false">VLOOKUP(G2415,$AA$2:$AB$5,2,FALSE())</f>
        <v>15</v>
      </c>
      <c r="R2415" s="7" t="n">
        <f aca="false">IF(OR(F2415="Open",F2415="Reopened"),1,0)</f>
        <v>0</v>
      </c>
      <c r="S2415" s="7" t="n">
        <f aca="false">IF(AND(H2415&gt;='Exec Summary'!$E$1,H2415&lt;='Exec Summary'!$E$2),1,0)</f>
        <v>1</v>
      </c>
      <c r="T2415" s="7" t="n">
        <f aca="false">IF(AND(F2415="Closed",I2415&lt;&gt;"",I2415&gt;='Exec Summary'!$E$1,I2415&lt;='Exec Summary'!$E$2),1,0)</f>
        <v>1</v>
      </c>
      <c r="U2415" s="7" t="n">
        <f aca="false">IF(F2415="Reopened",1,0)</f>
        <v>0</v>
      </c>
      <c r="V2415" s="7" t="n">
        <f aca="false">IF(AND(R2415=1,O2415&gt;Q2415),1,0)</f>
        <v>0</v>
      </c>
      <c r="W2415" s="7" t="n">
        <f aca="false">IF(AND(T2415=1,P2415&lt;&gt;"",P2415&lt;=Q2415),1,0)</f>
        <v>1</v>
      </c>
    </row>
    <row r="2416" customFormat="false" ht="15" hidden="false" customHeight="false" outlineLevel="0" collapsed="false">
      <c r="A2416" s="7" t="s">
        <v>2860</v>
      </c>
      <c r="B2416" s="7" t="s">
        <v>46</v>
      </c>
      <c r="C2416" s="7" t="s">
        <v>177</v>
      </c>
      <c r="D2416" s="7" t="s">
        <v>95</v>
      </c>
      <c r="E2416" s="7" t="s">
        <v>96</v>
      </c>
      <c r="F2416" s="7" t="s">
        <v>50</v>
      </c>
      <c r="G2416" s="7" t="s">
        <v>20</v>
      </c>
      <c r="H2416" s="9" t="n">
        <v>46078</v>
      </c>
      <c r="I2416" s="9" t="n">
        <v>46105</v>
      </c>
      <c r="J2416" s="7" t="n">
        <v>8.8</v>
      </c>
      <c r="K2416" s="7" t="s">
        <v>2628</v>
      </c>
      <c r="L2416" s="7" t="s">
        <v>21</v>
      </c>
      <c r="M2416" s="7" t="s">
        <v>2874</v>
      </c>
      <c r="N2416" s="7" t="s">
        <v>53</v>
      </c>
      <c r="O2416" s="10" t="n">
        <f aca="false">'Exec Summary'!$E$2-H2416</f>
        <v>156</v>
      </c>
      <c r="P2416" s="10" t="n">
        <f aca="false">IF(I2416="","",I2416-H2416)</f>
        <v>27</v>
      </c>
      <c r="Q2416" s="10" t="n">
        <f aca="false">VLOOKUP(G2416,$AA$2:$AB$5,2,FALSE())</f>
        <v>30</v>
      </c>
      <c r="R2416" s="7" t="n">
        <f aca="false">IF(OR(F2416="Open",F2416="Reopened"),1,0)</f>
        <v>0</v>
      </c>
      <c r="S2416" s="7" t="n">
        <f aca="false">IF(AND(H2416&gt;='Exec Summary'!$E$1,H2416&lt;='Exec Summary'!$E$2),1,0)</f>
        <v>0</v>
      </c>
      <c r="T2416" s="7" t="n">
        <f aca="false">IF(AND(F2416="Closed",I2416&lt;&gt;"",I2416&gt;='Exec Summary'!$E$1,I2416&lt;='Exec Summary'!$E$2),1,0)</f>
        <v>0</v>
      </c>
      <c r="U2416" s="7" t="n">
        <f aca="false">IF(F2416="Reopened",1,0)</f>
        <v>0</v>
      </c>
      <c r="V2416" s="7" t="n">
        <f aca="false">IF(AND(R2416=1,O2416&gt;Q2416),1,0)</f>
        <v>0</v>
      </c>
      <c r="W2416" s="7" t="n">
        <f aca="false">IF(AND(T2416=1,P2416&lt;&gt;"",P2416&lt;=Q2416),1,0)</f>
        <v>0</v>
      </c>
    </row>
    <row r="2417" customFormat="false" ht="15" hidden="false" customHeight="false" outlineLevel="0" collapsed="false">
      <c r="A2417" s="7" t="s">
        <v>2875</v>
      </c>
      <c r="B2417" s="7" t="s">
        <v>135</v>
      </c>
      <c r="C2417" s="7" t="s">
        <v>306</v>
      </c>
      <c r="D2417" s="7" t="s">
        <v>68</v>
      </c>
      <c r="E2417" s="7" t="s">
        <v>69</v>
      </c>
      <c r="F2417" s="7" t="s">
        <v>50</v>
      </c>
      <c r="G2417" s="7" t="s">
        <v>19</v>
      </c>
      <c r="H2417" s="9" t="n">
        <v>46201</v>
      </c>
      <c r="I2417" s="9" t="n">
        <v>46211</v>
      </c>
      <c r="J2417" s="7" t="n">
        <v>9.8</v>
      </c>
      <c r="K2417" s="7" t="s">
        <v>2628</v>
      </c>
      <c r="L2417" s="7" t="s">
        <v>20</v>
      </c>
      <c r="M2417" s="7" t="s">
        <v>2876</v>
      </c>
      <c r="N2417" s="7" t="s">
        <v>58</v>
      </c>
      <c r="O2417" s="10" t="n">
        <f aca="false">'Exec Summary'!$E$2-H2417</f>
        <v>33</v>
      </c>
      <c r="P2417" s="10" t="n">
        <f aca="false">IF(I2417="","",I2417-H2417)</f>
        <v>10</v>
      </c>
      <c r="Q2417" s="10" t="n">
        <f aca="false">VLOOKUP(G2417,$AA$2:$AB$5,2,FALSE())</f>
        <v>15</v>
      </c>
      <c r="R2417" s="7" t="n">
        <f aca="false">IF(OR(F2417="Open",F2417="Reopened"),1,0)</f>
        <v>0</v>
      </c>
      <c r="S2417" s="7" t="n">
        <f aca="false">IF(AND(H2417&gt;='Exec Summary'!$E$1,H2417&lt;='Exec Summary'!$E$2),1,0)</f>
        <v>0</v>
      </c>
      <c r="T2417" s="7" t="n">
        <f aca="false">IF(AND(F2417="Closed",I2417&lt;&gt;"",I2417&gt;='Exec Summary'!$E$1,I2417&lt;='Exec Summary'!$E$2),1,0)</f>
        <v>1</v>
      </c>
      <c r="U2417" s="7" t="n">
        <f aca="false">IF(F2417="Reopened",1,0)</f>
        <v>0</v>
      </c>
      <c r="V2417" s="7" t="n">
        <f aca="false">IF(AND(R2417=1,O2417&gt;Q2417),1,0)</f>
        <v>0</v>
      </c>
      <c r="W2417" s="7" t="n">
        <f aca="false">IF(AND(T2417=1,P2417&lt;&gt;"",P2417&lt;=Q2417),1,0)</f>
        <v>1</v>
      </c>
    </row>
    <row r="2418" customFormat="false" ht="15" hidden="false" customHeight="false" outlineLevel="0" collapsed="false">
      <c r="A2418" s="7" t="s">
        <v>2875</v>
      </c>
      <c r="B2418" s="7" t="s">
        <v>135</v>
      </c>
      <c r="C2418" s="7" t="s">
        <v>306</v>
      </c>
      <c r="D2418" s="7" t="s">
        <v>131</v>
      </c>
      <c r="E2418" s="7" t="s">
        <v>132</v>
      </c>
      <c r="F2418" s="7" t="s">
        <v>50</v>
      </c>
      <c r="G2418" s="7" t="s">
        <v>19</v>
      </c>
      <c r="H2418" s="9" t="n">
        <v>46107</v>
      </c>
      <c r="I2418" s="9" t="n">
        <v>46115</v>
      </c>
      <c r="J2418" s="7" t="n">
        <v>9.8</v>
      </c>
      <c r="K2418" s="7" t="s">
        <v>2628</v>
      </c>
      <c r="L2418" s="7" t="s">
        <v>20</v>
      </c>
      <c r="M2418" s="7" t="s">
        <v>2877</v>
      </c>
      <c r="N2418" s="7" t="s">
        <v>58</v>
      </c>
      <c r="O2418" s="10" t="n">
        <f aca="false">'Exec Summary'!$E$2-H2418</f>
        <v>127</v>
      </c>
      <c r="P2418" s="10" t="n">
        <f aca="false">IF(I2418="","",I2418-H2418)</f>
        <v>8</v>
      </c>
      <c r="Q2418" s="10" t="n">
        <f aca="false">VLOOKUP(G2418,$AA$2:$AB$5,2,FALSE())</f>
        <v>15</v>
      </c>
      <c r="R2418" s="7" t="n">
        <f aca="false">IF(OR(F2418="Open",F2418="Reopened"),1,0)</f>
        <v>0</v>
      </c>
      <c r="S2418" s="7" t="n">
        <f aca="false">IF(AND(H2418&gt;='Exec Summary'!$E$1,H2418&lt;='Exec Summary'!$E$2),1,0)</f>
        <v>0</v>
      </c>
      <c r="T2418" s="7" t="n">
        <f aca="false">IF(AND(F2418="Closed",I2418&lt;&gt;"",I2418&gt;='Exec Summary'!$E$1,I2418&lt;='Exec Summary'!$E$2),1,0)</f>
        <v>0</v>
      </c>
      <c r="U2418" s="7" t="n">
        <f aca="false">IF(F2418="Reopened",1,0)</f>
        <v>0</v>
      </c>
      <c r="V2418" s="7" t="n">
        <f aca="false">IF(AND(R2418=1,O2418&gt;Q2418),1,0)</f>
        <v>0</v>
      </c>
      <c r="W2418" s="7" t="n">
        <f aca="false">IF(AND(T2418=1,P2418&lt;&gt;"",P2418&lt;=Q2418),1,0)</f>
        <v>0</v>
      </c>
    </row>
    <row r="2419" customFormat="false" ht="15" hidden="false" customHeight="false" outlineLevel="0" collapsed="false">
      <c r="A2419" s="7" t="s">
        <v>2878</v>
      </c>
      <c r="B2419" s="7" t="s">
        <v>46</v>
      </c>
      <c r="C2419" s="7" t="s">
        <v>79</v>
      </c>
      <c r="D2419" s="7" t="s">
        <v>91</v>
      </c>
      <c r="E2419" s="7" t="s">
        <v>92</v>
      </c>
      <c r="F2419" s="7" t="s">
        <v>50</v>
      </c>
      <c r="G2419" s="7" t="s">
        <v>20</v>
      </c>
      <c r="H2419" s="9" t="n">
        <v>46040</v>
      </c>
      <c r="I2419" s="9" t="n">
        <v>46084</v>
      </c>
      <c r="J2419" s="7" t="n">
        <v>8.1</v>
      </c>
      <c r="K2419" s="7" t="s">
        <v>2628</v>
      </c>
      <c r="L2419" s="7" t="s">
        <v>21</v>
      </c>
      <c r="M2419" s="7" t="s">
        <v>2879</v>
      </c>
      <c r="N2419" s="7" t="s">
        <v>53</v>
      </c>
      <c r="O2419" s="10" t="n">
        <f aca="false">'Exec Summary'!$E$2-H2419</f>
        <v>194</v>
      </c>
      <c r="P2419" s="10" t="n">
        <f aca="false">IF(I2419="","",I2419-H2419)</f>
        <v>44</v>
      </c>
      <c r="Q2419" s="10" t="n">
        <f aca="false">VLOOKUP(G2419,$AA$2:$AB$5,2,FALSE())</f>
        <v>30</v>
      </c>
      <c r="R2419" s="7" t="n">
        <f aca="false">IF(OR(F2419="Open",F2419="Reopened"),1,0)</f>
        <v>0</v>
      </c>
      <c r="S2419" s="7" t="n">
        <f aca="false">IF(AND(H2419&gt;='Exec Summary'!$E$1,H2419&lt;='Exec Summary'!$E$2),1,0)</f>
        <v>0</v>
      </c>
      <c r="T2419" s="7" t="n">
        <f aca="false">IF(AND(F2419="Closed",I2419&lt;&gt;"",I2419&gt;='Exec Summary'!$E$1,I2419&lt;='Exec Summary'!$E$2),1,0)</f>
        <v>0</v>
      </c>
      <c r="U2419" s="7" t="n">
        <f aca="false">IF(F2419="Reopened",1,0)</f>
        <v>0</v>
      </c>
      <c r="V2419" s="7" t="n">
        <f aca="false">IF(AND(R2419=1,O2419&gt;Q2419),1,0)</f>
        <v>0</v>
      </c>
      <c r="W2419" s="7" t="n">
        <f aca="false">IF(AND(T2419=1,P2419&lt;&gt;"",P2419&lt;=Q2419),1,0)</f>
        <v>0</v>
      </c>
    </row>
    <row r="2420" customFormat="false" ht="15" hidden="false" customHeight="false" outlineLevel="0" collapsed="false">
      <c r="A2420" s="7" t="s">
        <v>2878</v>
      </c>
      <c r="B2420" s="7" t="s">
        <v>46</v>
      </c>
      <c r="C2420" s="7" t="s">
        <v>79</v>
      </c>
      <c r="D2420" s="7" t="s">
        <v>59</v>
      </c>
      <c r="E2420" s="7" t="s">
        <v>60</v>
      </c>
      <c r="F2420" s="7" t="s">
        <v>56</v>
      </c>
      <c r="G2420" s="7" t="s">
        <v>19</v>
      </c>
      <c r="H2420" s="9" t="n">
        <v>45962</v>
      </c>
      <c r="I2420" s="9"/>
      <c r="J2420" s="7" t="n">
        <v>7.8</v>
      </c>
      <c r="K2420" s="7" t="s">
        <v>2628</v>
      </c>
      <c r="L2420" s="7" t="s">
        <v>21</v>
      </c>
      <c r="M2420" s="7" t="s">
        <v>2880</v>
      </c>
      <c r="N2420" s="7" t="s">
        <v>58</v>
      </c>
      <c r="O2420" s="10" t="n">
        <f aca="false">'Exec Summary'!$E$2-H2420</f>
        <v>272</v>
      </c>
      <c r="P2420" s="10" t="str">
        <f aca="false">IF(I2420="","",I2420-H2420)</f>
        <v/>
      </c>
      <c r="Q2420" s="10" t="n">
        <f aca="false">VLOOKUP(G2420,$AA$2:$AB$5,2,FALSE())</f>
        <v>15</v>
      </c>
      <c r="R2420" s="7" t="n">
        <f aca="false">IF(OR(F2420="Open",F2420="Reopened"),1,0)</f>
        <v>1</v>
      </c>
      <c r="S2420" s="7" t="n">
        <f aca="false">IF(AND(H2420&gt;='Exec Summary'!$E$1,H2420&lt;='Exec Summary'!$E$2),1,0)</f>
        <v>0</v>
      </c>
      <c r="T2420" s="7" t="n">
        <f aca="false">IF(AND(F2420="Closed",I2420&lt;&gt;"",I2420&gt;='Exec Summary'!$E$1,I2420&lt;='Exec Summary'!$E$2),1,0)</f>
        <v>0</v>
      </c>
      <c r="U2420" s="7" t="n">
        <f aca="false">IF(F2420="Reopened",1,0)</f>
        <v>0</v>
      </c>
      <c r="V2420" s="7" t="n">
        <f aca="false">IF(AND(R2420=1,O2420&gt;Q2420),1,0)</f>
        <v>1</v>
      </c>
      <c r="W2420" s="7" t="n">
        <f aca="false">IF(AND(T2420=1,P2420&lt;&gt;"",P2420&lt;=Q2420),1,0)</f>
        <v>0</v>
      </c>
    </row>
    <row r="2421" customFormat="false" ht="15" hidden="false" customHeight="false" outlineLevel="0" collapsed="false">
      <c r="A2421" s="7" t="s">
        <v>2878</v>
      </c>
      <c r="B2421" s="7" t="s">
        <v>46</v>
      </c>
      <c r="C2421" s="7" t="s">
        <v>79</v>
      </c>
      <c r="D2421" s="7" t="s">
        <v>84</v>
      </c>
      <c r="E2421" s="7" t="s">
        <v>85</v>
      </c>
      <c r="F2421" s="7" t="s">
        <v>56</v>
      </c>
      <c r="G2421" s="7" t="s">
        <v>20</v>
      </c>
      <c r="H2421" s="9" t="n">
        <v>45960</v>
      </c>
      <c r="I2421" s="9"/>
      <c r="J2421" s="7" t="n">
        <v>7.5</v>
      </c>
      <c r="K2421" s="7" t="s">
        <v>2628</v>
      </c>
      <c r="L2421" s="7" t="s">
        <v>21</v>
      </c>
      <c r="M2421" s="7" t="s">
        <v>2881</v>
      </c>
      <c r="N2421" s="7" t="s">
        <v>53</v>
      </c>
      <c r="O2421" s="10" t="n">
        <f aca="false">'Exec Summary'!$E$2-H2421</f>
        <v>274</v>
      </c>
      <c r="P2421" s="10" t="str">
        <f aca="false">IF(I2421="","",I2421-H2421)</f>
        <v/>
      </c>
      <c r="Q2421" s="10" t="n">
        <f aca="false">VLOOKUP(G2421,$AA$2:$AB$5,2,FALSE())</f>
        <v>30</v>
      </c>
      <c r="R2421" s="7" t="n">
        <f aca="false">IF(OR(F2421="Open",F2421="Reopened"),1,0)</f>
        <v>1</v>
      </c>
      <c r="S2421" s="7" t="n">
        <f aca="false">IF(AND(H2421&gt;='Exec Summary'!$E$1,H2421&lt;='Exec Summary'!$E$2),1,0)</f>
        <v>0</v>
      </c>
      <c r="T2421" s="7" t="n">
        <f aca="false">IF(AND(F2421="Closed",I2421&lt;&gt;"",I2421&gt;='Exec Summary'!$E$1,I2421&lt;='Exec Summary'!$E$2),1,0)</f>
        <v>0</v>
      </c>
      <c r="U2421" s="7" t="n">
        <f aca="false">IF(F2421="Reopened",1,0)</f>
        <v>0</v>
      </c>
      <c r="V2421" s="7" t="n">
        <f aca="false">IF(AND(R2421=1,O2421&gt;Q2421),1,0)</f>
        <v>1</v>
      </c>
      <c r="W2421" s="7" t="n">
        <f aca="false">IF(AND(T2421=1,P2421&lt;&gt;"",P2421&lt;=Q2421),1,0)</f>
        <v>0</v>
      </c>
    </row>
    <row r="2422" customFormat="false" ht="15" hidden="false" customHeight="false" outlineLevel="0" collapsed="false">
      <c r="A2422" s="7" t="s">
        <v>2882</v>
      </c>
      <c r="B2422" s="7" t="s">
        <v>46</v>
      </c>
      <c r="C2422" s="7" t="s">
        <v>158</v>
      </c>
      <c r="D2422" s="7" t="s">
        <v>68</v>
      </c>
      <c r="E2422" s="7" t="s">
        <v>69</v>
      </c>
      <c r="F2422" s="7" t="s">
        <v>123</v>
      </c>
      <c r="G2422" s="7" t="s">
        <v>19</v>
      </c>
      <c r="H2422" s="9" t="n">
        <v>46146</v>
      </c>
      <c r="I2422" s="9" t="n">
        <v>46167</v>
      </c>
      <c r="J2422" s="7" t="n">
        <v>9.8</v>
      </c>
      <c r="K2422" s="7" t="s">
        <v>2628</v>
      </c>
      <c r="L2422" s="7" t="s">
        <v>21</v>
      </c>
      <c r="M2422" s="7" t="s">
        <v>2883</v>
      </c>
      <c r="N2422" s="7" t="s">
        <v>58</v>
      </c>
      <c r="O2422" s="10" t="n">
        <f aca="false">'Exec Summary'!$E$2-H2422</f>
        <v>88</v>
      </c>
      <c r="P2422" s="10" t="n">
        <f aca="false">IF(I2422="","",I2422-H2422)</f>
        <v>21</v>
      </c>
      <c r="Q2422" s="10" t="n">
        <f aca="false">VLOOKUP(G2422,$AA$2:$AB$5,2,FALSE())</f>
        <v>15</v>
      </c>
      <c r="R2422" s="7" t="n">
        <f aca="false">IF(OR(F2422="Open",F2422="Reopened"),1,0)</f>
        <v>1</v>
      </c>
      <c r="S2422" s="7" t="n">
        <f aca="false">IF(AND(H2422&gt;='Exec Summary'!$E$1,H2422&lt;='Exec Summary'!$E$2),1,0)</f>
        <v>0</v>
      </c>
      <c r="T2422" s="7" t="n">
        <f aca="false">IF(AND(F2422="Closed",I2422&lt;&gt;"",I2422&gt;='Exec Summary'!$E$1,I2422&lt;='Exec Summary'!$E$2),1,0)</f>
        <v>0</v>
      </c>
      <c r="U2422" s="7" t="n">
        <f aca="false">IF(F2422="Reopened",1,0)</f>
        <v>1</v>
      </c>
      <c r="V2422" s="7" t="n">
        <f aca="false">IF(AND(R2422=1,O2422&gt;Q2422),1,0)</f>
        <v>1</v>
      </c>
      <c r="W2422" s="7" t="n">
        <f aca="false">IF(AND(T2422=1,P2422&lt;&gt;"",P2422&lt;=Q2422),1,0)</f>
        <v>0</v>
      </c>
    </row>
    <row r="2423" customFormat="false" ht="15" hidden="false" customHeight="false" outlineLevel="0" collapsed="false">
      <c r="A2423" s="7" t="s">
        <v>2882</v>
      </c>
      <c r="B2423" s="7" t="s">
        <v>46</v>
      </c>
      <c r="C2423" s="7" t="s">
        <v>158</v>
      </c>
      <c r="D2423" s="7" t="s">
        <v>108</v>
      </c>
      <c r="E2423" s="7" t="s">
        <v>109</v>
      </c>
      <c r="F2423" s="7" t="s">
        <v>123</v>
      </c>
      <c r="G2423" s="7" t="s">
        <v>20</v>
      </c>
      <c r="H2423" s="9" t="n">
        <v>46040</v>
      </c>
      <c r="I2423" s="9" t="n">
        <v>46050</v>
      </c>
      <c r="J2423" s="7" t="n">
        <v>8.6</v>
      </c>
      <c r="K2423" s="7" t="s">
        <v>2628</v>
      </c>
      <c r="L2423" s="7" t="s">
        <v>21</v>
      </c>
      <c r="M2423" s="7" t="s">
        <v>2884</v>
      </c>
      <c r="N2423" s="7" t="s">
        <v>53</v>
      </c>
      <c r="O2423" s="10" t="n">
        <f aca="false">'Exec Summary'!$E$2-H2423</f>
        <v>194</v>
      </c>
      <c r="P2423" s="10" t="n">
        <f aca="false">IF(I2423="","",I2423-H2423)</f>
        <v>10</v>
      </c>
      <c r="Q2423" s="10" t="n">
        <f aca="false">VLOOKUP(G2423,$AA$2:$AB$5,2,FALSE())</f>
        <v>30</v>
      </c>
      <c r="R2423" s="7" t="n">
        <f aca="false">IF(OR(F2423="Open",F2423="Reopened"),1,0)</f>
        <v>1</v>
      </c>
      <c r="S2423" s="7" t="n">
        <f aca="false">IF(AND(H2423&gt;='Exec Summary'!$E$1,H2423&lt;='Exec Summary'!$E$2),1,0)</f>
        <v>0</v>
      </c>
      <c r="T2423" s="7" t="n">
        <f aca="false">IF(AND(F2423="Closed",I2423&lt;&gt;"",I2423&gt;='Exec Summary'!$E$1,I2423&lt;='Exec Summary'!$E$2),1,0)</f>
        <v>0</v>
      </c>
      <c r="U2423" s="7" t="n">
        <f aca="false">IF(F2423="Reopened",1,0)</f>
        <v>1</v>
      </c>
      <c r="V2423" s="7" t="n">
        <f aca="false">IF(AND(R2423=1,O2423&gt;Q2423),1,0)</f>
        <v>1</v>
      </c>
      <c r="W2423" s="7" t="n">
        <f aca="false">IF(AND(T2423=1,P2423&lt;&gt;"",P2423&lt;=Q2423),1,0)</f>
        <v>0</v>
      </c>
    </row>
    <row r="2424" customFormat="false" ht="15" hidden="false" customHeight="false" outlineLevel="0" collapsed="false">
      <c r="A2424" s="7" t="s">
        <v>2882</v>
      </c>
      <c r="B2424" s="7" t="s">
        <v>46</v>
      </c>
      <c r="C2424" s="7" t="s">
        <v>158</v>
      </c>
      <c r="D2424" s="7" t="s">
        <v>163</v>
      </c>
      <c r="E2424" s="7" t="s">
        <v>164</v>
      </c>
      <c r="F2424" s="7" t="s">
        <v>56</v>
      </c>
      <c r="G2424" s="7" t="s">
        <v>19</v>
      </c>
      <c r="H2424" s="9" t="n">
        <v>46194</v>
      </c>
      <c r="I2424" s="9"/>
      <c r="J2424" s="7" t="n">
        <v>9.1</v>
      </c>
      <c r="K2424" s="7" t="s">
        <v>2628</v>
      </c>
      <c r="L2424" s="7" t="s">
        <v>21</v>
      </c>
      <c r="M2424" s="7" t="s">
        <v>2885</v>
      </c>
      <c r="N2424" s="7" t="s">
        <v>58</v>
      </c>
      <c r="O2424" s="10" t="n">
        <f aca="false">'Exec Summary'!$E$2-H2424</f>
        <v>40</v>
      </c>
      <c r="P2424" s="10" t="str">
        <f aca="false">IF(I2424="","",I2424-H2424)</f>
        <v/>
      </c>
      <c r="Q2424" s="10" t="n">
        <f aca="false">VLOOKUP(G2424,$AA$2:$AB$5,2,FALSE())</f>
        <v>15</v>
      </c>
      <c r="R2424" s="7" t="n">
        <f aca="false">IF(OR(F2424="Open",F2424="Reopened"),1,0)</f>
        <v>1</v>
      </c>
      <c r="S2424" s="7" t="n">
        <f aca="false">IF(AND(H2424&gt;='Exec Summary'!$E$1,H2424&lt;='Exec Summary'!$E$2),1,0)</f>
        <v>0</v>
      </c>
      <c r="T2424" s="7" t="n">
        <f aca="false">IF(AND(F2424="Closed",I2424&lt;&gt;"",I2424&gt;='Exec Summary'!$E$1,I2424&lt;='Exec Summary'!$E$2),1,0)</f>
        <v>0</v>
      </c>
      <c r="U2424" s="7" t="n">
        <f aca="false">IF(F2424="Reopened",1,0)</f>
        <v>0</v>
      </c>
      <c r="V2424" s="7" t="n">
        <f aca="false">IF(AND(R2424=1,O2424&gt;Q2424),1,0)</f>
        <v>1</v>
      </c>
      <c r="W2424" s="7" t="n">
        <f aca="false">IF(AND(T2424=1,P2424&lt;&gt;"",P2424&lt;=Q2424),1,0)</f>
        <v>0</v>
      </c>
    </row>
    <row r="2425" customFormat="false" ht="15" hidden="false" customHeight="false" outlineLevel="0" collapsed="false">
      <c r="A2425" s="7" t="s">
        <v>2882</v>
      </c>
      <c r="B2425" s="7" t="s">
        <v>46</v>
      </c>
      <c r="C2425" s="7" t="s">
        <v>158</v>
      </c>
      <c r="D2425" s="7" t="s">
        <v>81</v>
      </c>
      <c r="E2425" s="7" t="s">
        <v>82</v>
      </c>
      <c r="F2425" s="7" t="s">
        <v>50</v>
      </c>
      <c r="G2425" s="7" t="s">
        <v>20</v>
      </c>
      <c r="H2425" s="9" t="n">
        <v>46137</v>
      </c>
      <c r="I2425" s="9" t="n">
        <v>46160</v>
      </c>
      <c r="J2425" s="7" t="n">
        <v>7.8</v>
      </c>
      <c r="K2425" s="7" t="s">
        <v>2628</v>
      </c>
      <c r="L2425" s="7" t="s">
        <v>21</v>
      </c>
      <c r="M2425" s="7" t="s">
        <v>2886</v>
      </c>
      <c r="N2425" s="7" t="s">
        <v>53</v>
      </c>
      <c r="O2425" s="10" t="n">
        <f aca="false">'Exec Summary'!$E$2-H2425</f>
        <v>97</v>
      </c>
      <c r="P2425" s="10" t="n">
        <f aca="false">IF(I2425="","",I2425-H2425)</f>
        <v>23</v>
      </c>
      <c r="Q2425" s="10" t="n">
        <f aca="false">VLOOKUP(G2425,$AA$2:$AB$5,2,FALSE())</f>
        <v>30</v>
      </c>
      <c r="R2425" s="7" t="n">
        <f aca="false">IF(OR(F2425="Open",F2425="Reopened"),1,0)</f>
        <v>0</v>
      </c>
      <c r="S2425" s="7" t="n">
        <f aca="false">IF(AND(H2425&gt;='Exec Summary'!$E$1,H2425&lt;='Exec Summary'!$E$2),1,0)</f>
        <v>0</v>
      </c>
      <c r="T2425" s="7" t="n">
        <f aca="false">IF(AND(F2425="Closed",I2425&lt;&gt;"",I2425&gt;='Exec Summary'!$E$1,I2425&lt;='Exec Summary'!$E$2),1,0)</f>
        <v>0</v>
      </c>
      <c r="U2425" s="7" t="n">
        <f aca="false">IF(F2425="Reopened",1,0)</f>
        <v>0</v>
      </c>
      <c r="V2425" s="7" t="n">
        <f aca="false">IF(AND(R2425=1,O2425&gt;Q2425),1,0)</f>
        <v>0</v>
      </c>
      <c r="W2425" s="7" t="n">
        <f aca="false">IF(AND(T2425=1,P2425&lt;&gt;"",P2425&lt;=Q2425),1,0)</f>
        <v>0</v>
      </c>
    </row>
    <row r="2426" customFormat="false" ht="15" hidden="false" customHeight="false" outlineLevel="0" collapsed="false">
      <c r="A2426" s="7" t="s">
        <v>2882</v>
      </c>
      <c r="B2426" s="7" t="s">
        <v>46</v>
      </c>
      <c r="C2426" s="7" t="s">
        <v>158</v>
      </c>
      <c r="D2426" s="7" t="s">
        <v>145</v>
      </c>
      <c r="E2426" s="7" t="s">
        <v>146</v>
      </c>
      <c r="F2426" s="7" t="s">
        <v>50</v>
      </c>
      <c r="G2426" s="7" t="s">
        <v>19</v>
      </c>
      <c r="H2426" s="9" t="n">
        <v>46070</v>
      </c>
      <c r="I2426" s="9" t="n">
        <v>46077</v>
      </c>
      <c r="J2426" s="7" t="n">
        <v>9.8</v>
      </c>
      <c r="K2426" s="7" t="s">
        <v>2628</v>
      </c>
      <c r="L2426" s="7" t="s">
        <v>21</v>
      </c>
      <c r="M2426" s="7" t="s">
        <v>2887</v>
      </c>
      <c r="N2426" s="7" t="s">
        <v>58</v>
      </c>
      <c r="O2426" s="10" t="n">
        <f aca="false">'Exec Summary'!$E$2-H2426</f>
        <v>164</v>
      </c>
      <c r="P2426" s="10" t="n">
        <f aca="false">IF(I2426="","",I2426-H2426)</f>
        <v>7</v>
      </c>
      <c r="Q2426" s="10" t="n">
        <f aca="false">VLOOKUP(G2426,$AA$2:$AB$5,2,FALSE())</f>
        <v>15</v>
      </c>
      <c r="R2426" s="7" t="n">
        <f aca="false">IF(OR(F2426="Open",F2426="Reopened"),1,0)</f>
        <v>0</v>
      </c>
      <c r="S2426" s="7" t="n">
        <f aca="false">IF(AND(H2426&gt;='Exec Summary'!$E$1,H2426&lt;='Exec Summary'!$E$2),1,0)</f>
        <v>0</v>
      </c>
      <c r="T2426" s="7" t="n">
        <f aca="false">IF(AND(F2426="Closed",I2426&lt;&gt;"",I2426&gt;='Exec Summary'!$E$1,I2426&lt;='Exec Summary'!$E$2),1,0)</f>
        <v>0</v>
      </c>
      <c r="U2426" s="7" t="n">
        <f aca="false">IF(F2426="Reopened",1,0)</f>
        <v>0</v>
      </c>
      <c r="V2426" s="7" t="n">
        <f aca="false">IF(AND(R2426=1,O2426&gt;Q2426),1,0)</f>
        <v>0</v>
      </c>
      <c r="W2426" s="7" t="n">
        <f aca="false">IF(AND(T2426=1,P2426&lt;&gt;"",P2426&lt;=Q2426),1,0)</f>
        <v>0</v>
      </c>
    </row>
    <row r="2427" customFormat="false" ht="15" hidden="false" customHeight="false" outlineLevel="0" collapsed="false">
      <c r="A2427" s="7" t="s">
        <v>2882</v>
      </c>
      <c r="B2427" s="7" t="s">
        <v>46</v>
      </c>
      <c r="C2427" s="7" t="s">
        <v>158</v>
      </c>
      <c r="D2427" s="7" t="s">
        <v>152</v>
      </c>
      <c r="E2427" s="7" t="s">
        <v>153</v>
      </c>
      <c r="F2427" s="7" t="s">
        <v>50</v>
      </c>
      <c r="G2427" s="7" t="s">
        <v>20</v>
      </c>
      <c r="H2427" s="9" t="n">
        <v>46105</v>
      </c>
      <c r="I2427" s="9" t="n">
        <v>46126</v>
      </c>
      <c r="J2427" s="7" t="n">
        <v>7.5</v>
      </c>
      <c r="K2427" s="7" t="s">
        <v>2628</v>
      </c>
      <c r="L2427" s="7" t="s">
        <v>21</v>
      </c>
      <c r="M2427" s="7" t="s">
        <v>2888</v>
      </c>
      <c r="N2427" s="7" t="s">
        <v>53</v>
      </c>
      <c r="O2427" s="10" t="n">
        <f aca="false">'Exec Summary'!$E$2-H2427</f>
        <v>129</v>
      </c>
      <c r="P2427" s="10" t="n">
        <f aca="false">IF(I2427="","",I2427-H2427)</f>
        <v>21</v>
      </c>
      <c r="Q2427" s="10" t="n">
        <f aca="false">VLOOKUP(G2427,$AA$2:$AB$5,2,FALSE())</f>
        <v>30</v>
      </c>
      <c r="R2427" s="7" t="n">
        <f aca="false">IF(OR(F2427="Open",F2427="Reopened"),1,0)</f>
        <v>0</v>
      </c>
      <c r="S2427" s="7" t="n">
        <f aca="false">IF(AND(H2427&gt;='Exec Summary'!$E$1,H2427&lt;='Exec Summary'!$E$2),1,0)</f>
        <v>0</v>
      </c>
      <c r="T2427" s="7" t="n">
        <f aca="false">IF(AND(F2427="Closed",I2427&lt;&gt;"",I2427&gt;='Exec Summary'!$E$1,I2427&lt;='Exec Summary'!$E$2),1,0)</f>
        <v>0</v>
      </c>
      <c r="U2427" s="7" t="n">
        <f aca="false">IF(F2427="Reopened",1,0)</f>
        <v>0</v>
      </c>
      <c r="V2427" s="7" t="n">
        <f aca="false">IF(AND(R2427=1,O2427&gt;Q2427),1,0)</f>
        <v>0</v>
      </c>
      <c r="W2427" s="7" t="n">
        <f aca="false">IF(AND(T2427=1,P2427&lt;&gt;"",P2427&lt;=Q2427),1,0)</f>
        <v>0</v>
      </c>
    </row>
    <row r="2428" customFormat="false" ht="15" hidden="false" customHeight="false" outlineLevel="0" collapsed="false">
      <c r="A2428" s="7" t="s">
        <v>2882</v>
      </c>
      <c r="B2428" s="7" t="s">
        <v>46</v>
      </c>
      <c r="C2428" s="7" t="s">
        <v>158</v>
      </c>
      <c r="D2428" s="7" t="s">
        <v>104</v>
      </c>
      <c r="E2428" s="7" t="s">
        <v>105</v>
      </c>
      <c r="F2428" s="7" t="s">
        <v>56</v>
      </c>
      <c r="G2428" s="7" t="s">
        <v>19</v>
      </c>
      <c r="H2428" s="9" t="n">
        <v>45995</v>
      </c>
      <c r="I2428" s="9"/>
      <c r="J2428" s="7" t="n">
        <v>9.8</v>
      </c>
      <c r="K2428" s="7" t="s">
        <v>2628</v>
      </c>
      <c r="L2428" s="7" t="s">
        <v>21</v>
      </c>
      <c r="M2428" s="7" t="s">
        <v>2889</v>
      </c>
      <c r="N2428" s="7" t="s">
        <v>58</v>
      </c>
      <c r="O2428" s="10" t="n">
        <f aca="false">'Exec Summary'!$E$2-H2428</f>
        <v>239</v>
      </c>
      <c r="P2428" s="10" t="str">
        <f aca="false">IF(I2428="","",I2428-H2428)</f>
        <v/>
      </c>
      <c r="Q2428" s="10" t="n">
        <f aca="false">VLOOKUP(G2428,$AA$2:$AB$5,2,FALSE())</f>
        <v>15</v>
      </c>
      <c r="R2428" s="7" t="n">
        <f aca="false">IF(OR(F2428="Open",F2428="Reopened"),1,0)</f>
        <v>1</v>
      </c>
      <c r="S2428" s="7" t="n">
        <f aca="false">IF(AND(H2428&gt;='Exec Summary'!$E$1,H2428&lt;='Exec Summary'!$E$2),1,0)</f>
        <v>0</v>
      </c>
      <c r="T2428" s="7" t="n">
        <f aca="false">IF(AND(F2428="Closed",I2428&lt;&gt;"",I2428&gt;='Exec Summary'!$E$1,I2428&lt;='Exec Summary'!$E$2),1,0)</f>
        <v>0</v>
      </c>
      <c r="U2428" s="7" t="n">
        <f aca="false">IF(F2428="Reopened",1,0)</f>
        <v>0</v>
      </c>
      <c r="V2428" s="7" t="n">
        <f aca="false">IF(AND(R2428=1,O2428&gt;Q2428),1,0)</f>
        <v>1</v>
      </c>
      <c r="W2428" s="7" t="n">
        <f aca="false">IF(AND(T2428=1,P2428&lt;&gt;"",P2428&lt;=Q2428),1,0)</f>
        <v>0</v>
      </c>
    </row>
    <row r="2429" customFormat="false" ht="15" hidden="false" customHeight="false" outlineLevel="0" collapsed="false">
      <c r="A2429" s="7" t="s">
        <v>2882</v>
      </c>
      <c r="B2429" s="7" t="s">
        <v>46</v>
      </c>
      <c r="C2429" s="7" t="s">
        <v>158</v>
      </c>
      <c r="D2429" s="7" t="s">
        <v>117</v>
      </c>
      <c r="E2429" s="7" t="s">
        <v>118</v>
      </c>
      <c r="F2429" s="7" t="s">
        <v>50</v>
      </c>
      <c r="G2429" s="7" t="s">
        <v>19</v>
      </c>
      <c r="H2429" s="9" t="n">
        <v>45948</v>
      </c>
      <c r="I2429" s="9" t="n">
        <v>45969</v>
      </c>
      <c r="J2429" s="7" t="n">
        <v>10</v>
      </c>
      <c r="K2429" s="7" t="s">
        <v>2628</v>
      </c>
      <c r="L2429" s="7" t="s">
        <v>21</v>
      </c>
      <c r="M2429" s="7" t="s">
        <v>2890</v>
      </c>
      <c r="N2429" s="7" t="s">
        <v>58</v>
      </c>
      <c r="O2429" s="10" t="n">
        <f aca="false">'Exec Summary'!$E$2-H2429</f>
        <v>286</v>
      </c>
      <c r="P2429" s="10" t="n">
        <f aca="false">IF(I2429="","",I2429-H2429)</f>
        <v>21</v>
      </c>
      <c r="Q2429" s="10" t="n">
        <f aca="false">VLOOKUP(G2429,$AA$2:$AB$5,2,FALSE())</f>
        <v>15</v>
      </c>
      <c r="R2429" s="7" t="n">
        <f aca="false">IF(OR(F2429="Open",F2429="Reopened"),1,0)</f>
        <v>0</v>
      </c>
      <c r="S2429" s="7" t="n">
        <f aca="false">IF(AND(H2429&gt;='Exec Summary'!$E$1,H2429&lt;='Exec Summary'!$E$2),1,0)</f>
        <v>0</v>
      </c>
      <c r="T2429" s="7" t="n">
        <f aca="false">IF(AND(F2429="Closed",I2429&lt;&gt;"",I2429&gt;='Exec Summary'!$E$1,I2429&lt;='Exec Summary'!$E$2),1,0)</f>
        <v>0</v>
      </c>
      <c r="U2429" s="7" t="n">
        <f aca="false">IF(F2429="Reopened",1,0)</f>
        <v>0</v>
      </c>
      <c r="V2429" s="7" t="n">
        <f aca="false">IF(AND(R2429=1,O2429&gt;Q2429),1,0)</f>
        <v>0</v>
      </c>
      <c r="W2429" s="7" t="n">
        <f aca="false">IF(AND(T2429=1,P2429&lt;&gt;"",P2429&lt;=Q2429),1,0)</f>
        <v>0</v>
      </c>
    </row>
    <row r="2430" customFormat="false" ht="15" hidden="false" customHeight="false" outlineLevel="0" collapsed="false">
      <c r="A2430" s="7" t="s">
        <v>2882</v>
      </c>
      <c r="B2430" s="7" t="s">
        <v>46</v>
      </c>
      <c r="C2430" s="7" t="s">
        <v>158</v>
      </c>
      <c r="D2430" s="7" t="s">
        <v>120</v>
      </c>
      <c r="E2430" s="7" t="s">
        <v>121</v>
      </c>
      <c r="F2430" s="7" t="s">
        <v>50</v>
      </c>
      <c r="G2430" s="7" t="s">
        <v>19</v>
      </c>
      <c r="H2430" s="9" t="n">
        <v>46028</v>
      </c>
      <c r="I2430" s="9" t="n">
        <v>46037</v>
      </c>
      <c r="J2430" s="7" t="n">
        <v>8.8</v>
      </c>
      <c r="K2430" s="7" t="s">
        <v>2628</v>
      </c>
      <c r="L2430" s="7" t="s">
        <v>21</v>
      </c>
      <c r="M2430" s="7" t="s">
        <v>2891</v>
      </c>
      <c r="N2430" s="7" t="s">
        <v>58</v>
      </c>
      <c r="O2430" s="10" t="n">
        <f aca="false">'Exec Summary'!$E$2-H2430</f>
        <v>206</v>
      </c>
      <c r="P2430" s="10" t="n">
        <f aca="false">IF(I2430="","",I2430-H2430)</f>
        <v>9</v>
      </c>
      <c r="Q2430" s="10" t="n">
        <f aca="false">VLOOKUP(G2430,$AA$2:$AB$5,2,FALSE())</f>
        <v>15</v>
      </c>
      <c r="R2430" s="7" t="n">
        <f aca="false">IF(OR(F2430="Open",F2430="Reopened"),1,0)</f>
        <v>0</v>
      </c>
      <c r="S2430" s="7" t="n">
        <f aca="false">IF(AND(H2430&gt;='Exec Summary'!$E$1,H2430&lt;='Exec Summary'!$E$2),1,0)</f>
        <v>0</v>
      </c>
      <c r="T2430" s="7" t="n">
        <f aca="false">IF(AND(F2430="Closed",I2430&lt;&gt;"",I2430&gt;='Exec Summary'!$E$1,I2430&lt;='Exec Summary'!$E$2),1,0)</f>
        <v>0</v>
      </c>
      <c r="U2430" s="7" t="n">
        <f aca="false">IF(F2430="Reopened",1,0)</f>
        <v>0</v>
      </c>
      <c r="V2430" s="7" t="n">
        <f aca="false">IF(AND(R2430=1,O2430&gt;Q2430),1,0)</f>
        <v>0</v>
      </c>
      <c r="W2430" s="7" t="n">
        <f aca="false">IF(AND(T2430=1,P2430&lt;&gt;"",P2430&lt;=Q2430),1,0)</f>
        <v>0</v>
      </c>
    </row>
    <row r="2431" customFormat="false" ht="15" hidden="false" customHeight="false" outlineLevel="0" collapsed="false">
      <c r="A2431" s="7" t="s">
        <v>2882</v>
      </c>
      <c r="B2431" s="7" t="s">
        <v>46</v>
      </c>
      <c r="C2431" s="7" t="s">
        <v>158</v>
      </c>
      <c r="D2431" s="7" t="s">
        <v>101</v>
      </c>
      <c r="E2431" s="7" t="s">
        <v>102</v>
      </c>
      <c r="F2431" s="7" t="s">
        <v>50</v>
      </c>
      <c r="G2431" s="7" t="s">
        <v>19</v>
      </c>
      <c r="H2431" s="9" t="n">
        <v>46039</v>
      </c>
      <c r="I2431" s="9" t="n">
        <v>46040</v>
      </c>
      <c r="J2431" s="7" t="n">
        <v>10</v>
      </c>
      <c r="K2431" s="7" t="s">
        <v>2628</v>
      </c>
      <c r="L2431" s="7" t="s">
        <v>21</v>
      </c>
      <c r="M2431" s="7" t="s">
        <v>2892</v>
      </c>
      <c r="N2431" s="7" t="s">
        <v>58</v>
      </c>
      <c r="O2431" s="10" t="n">
        <f aca="false">'Exec Summary'!$E$2-H2431</f>
        <v>195</v>
      </c>
      <c r="P2431" s="10" t="n">
        <f aca="false">IF(I2431="","",I2431-H2431)</f>
        <v>1</v>
      </c>
      <c r="Q2431" s="10" t="n">
        <f aca="false">VLOOKUP(G2431,$AA$2:$AB$5,2,FALSE())</f>
        <v>15</v>
      </c>
      <c r="R2431" s="7" t="n">
        <f aca="false">IF(OR(F2431="Open",F2431="Reopened"),1,0)</f>
        <v>0</v>
      </c>
      <c r="S2431" s="7" t="n">
        <f aca="false">IF(AND(H2431&gt;='Exec Summary'!$E$1,H2431&lt;='Exec Summary'!$E$2),1,0)</f>
        <v>0</v>
      </c>
      <c r="T2431" s="7" t="n">
        <f aca="false">IF(AND(F2431="Closed",I2431&lt;&gt;"",I2431&gt;='Exec Summary'!$E$1,I2431&lt;='Exec Summary'!$E$2),1,0)</f>
        <v>0</v>
      </c>
      <c r="U2431" s="7" t="n">
        <f aca="false">IF(F2431="Reopened",1,0)</f>
        <v>0</v>
      </c>
      <c r="V2431" s="7" t="n">
        <f aca="false">IF(AND(R2431=1,O2431&gt;Q2431),1,0)</f>
        <v>0</v>
      </c>
      <c r="W2431" s="7" t="n">
        <f aca="false">IF(AND(T2431=1,P2431&lt;&gt;"",P2431&lt;=Q2431),1,0)</f>
        <v>0</v>
      </c>
    </row>
    <row r="2432" customFormat="false" ht="15" hidden="false" customHeight="false" outlineLevel="0" collapsed="false">
      <c r="A2432" s="7" t="s">
        <v>2882</v>
      </c>
      <c r="B2432" s="7" t="s">
        <v>46</v>
      </c>
      <c r="C2432" s="7" t="s">
        <v>158</v>
      </c>
      <c r="D2432" s="7" t="s">
        <v>210</v>
      </c>
      <c r="E2432" s="7" t="s">
        <v>211</v>
      </c>
      <c r="F2432" s="7" t="s">
        <v>123</v>
      </c>
      <c r="G2432" s="7" t="s">
        <v>19</v>
      </c>
      <c r="H2432" s="9" t="n">
        <v>46089</v>
      </c>
      <c r="I2432" s="9" t="n">
        <v>46095</v>
      </c>
      <c r="J2432" s="7" t="n">
        <v>9.8</v>
      </c>
      <c r="K2432" s="7" t="s">
        <v>2628</v>
      </c>
      <c r="L2432" s="7" t="s">
        <v>21</v>
      </c>
      <c r="M2432" s="7" t="s">
        <v>2893</v>
      </c>
      <c r="N2432" s="7" t="s">
        <v>58</v>
      </c>
      <c r="O2432" s="10" t="n">
        <f aca="false">'Exec Summary'!$E$2-H2432</f>
        <v>145</v>
      </c>
      <c r="P2432" s="10" t="n">
        <f aca="false">IF(I2432="","",I2432-H2432)</f>
        <v>6</v>
      </c>
      <c r="Q2432" s="10" t="n">
        <f aca="false">VLOOKUP(G2432,$AA$2:$AB$5,2,FALSE())</f>
        <v>15</v>
      </c>
      <c r="R2432" s="7" t="n">
        <f aca="false">IF(OR(F2432="Open",F2432="Reopened"),1,0)</f>
        <v>1</v>
      </c>
      <c r="S2432" s="7" t="n">
        <f aca="false">IF(AND(H2432&gt;='Exec Summary'!$E$1,H2432&lt;='Exec Summary'!$E$2),1,0)</f>
        <v>0</v>
      </c>
      <c r="T2432" s="7" t="n">
        <f aca="false">IF(AND(F2432="Closed",I2432&lt;&gt;"",I2432&gt;='Exec Summary'!$E$1,I2432&lt;='Exec Summary'!$E$2),1,0)</f>
        <v>0</v>
      </c>
      <c r="U2432" s="7" t="n">
        <f aca="false">IF(F2432="Reopened",1,0)</f>
        <v>1</v>
      </c>
      <c r="V2432" s="7" t="n">
        <f aca="false">IF(AND(R2432=1,O2432&gt;Q2432),1,0)</f>
        <v>1</v>
      </c>
      <c r="W2432" s="7" t="n">
        <f aca="false">IF(AND(T2432=1,P2432&lt;&gt;"",P2432&lt;=Q2432),1,0)</f>
        <v>0</v>
      </c>
    </row>
    <row r="2433" customFormat="false" ht="15" hidden="false" customHeight="false" outlineLevel="0" collapsed="false">
      <c r="A2433" s="7" t="s">
        <v>2882</v>
      </c>
      <c r="B2433" s="7" t="s">
        <v>46</v>
      </c>
      <c r="C2433" s="7" t="s">
        <v>158</v>
      </c>
      <c r="D2433" s="7" t="s">
        <v>87</v>
      </c>
      <c r="E2433" s="7" t="s">
        <v>88</v>
      </c>
      <c r="F2433" s="7" t="s">
        <v>56</v>
      </c>
      <c r="G2433" s="7" t="s">
        <v>19</v>
      </c>
      <c r="H2433" s="9" t="n">
        <v>46224</v>
      </c>
      <c r="I2433" s="9"/>
      <c r="J2433" s="7" t="n">
        <v>10</v>
      </c>
      <c r="K2433" s="7" t="s">
        <v>2628</v>
      </c>
      <c r="L2433" s="7" t="s">
        <v>21</v>
      </c>
      <c r="M2433" s="7" t="s">
        <v>2894</v>
      </c>
      <c r="N2433" s="7" t="s">
        <v>58</v>
      </c>
      <c r="O2433" s="10" t="n">
        <f aca="false">'Exec Summary'!$E$2-H2433</f>
        <v>10</v>
      </c>
      <c r="P2433" s="10" t="str">
        <f aca="false">IF(I2433="","",I2433-H2433)</f>
        <v/>
      </c>
      <c r="Q2433" s="10" t="n">
        <f aca="false">VLOOKUP(G2433,$AA$2:$AB$5,2,FALSE())</f>
        <v>15</v>
      </c>
      <c r="R2433" s="7" t="n">
        <f aca="false">IF(OR(F2433="Open",F2433="Reopened"),1,0)</f>
        <v>1</v>
      </c>
      <c r="S2433" s="7" t="n">
        <f aca="false">IF(AND(H2433&gt;='Exec Summary'!$E$1,H2433&lt;='Exec Summary'!$E$2),1,0)</f>
        <v>1</v>
      </c>
      <c r="T2433" s="7" t="n">
        <f aca="false">IF(AND(F2433="Closed",I2433&lt;&gt;"",I2433&gt;='Exec Summary'!$E$1,I2433&lt;='Exec Summary'!$E$2),1,0)</f>
        <v>0</v>
      </c>
      <c r="U2433" s="7" t="n">
        <f aca="false">IF(F2433="Reopened",1,0)</f>
        <v>0</v>
      </c>
      <c r="V2433" s="7" t="n">
        <f aca="false">IF(AND(R2433=1,O2433&gt;Q2433),1,0)</f>
        <v>0</v>
      </c>
      <c r="W2433" s="7" t="n">
        <f aca="false">IF(AND(T2433=1,P2433&lt;&gt;"",P2433&lt;=Q2433),1,0)</f>
        <v>0</v>
      </c>
    </row>
    <row r="2434" customFormat="false" ht="15" hidden="false" customHeight="false" outlineLevel="0" collapsed="false">
      <c r="A2434" s="7" t="s">
        <v>2882</v>
      </c>
      <c r="B2434" s="7" t="s">
        <v>46</v>
      </c>
      <c r="C2434" s="7" t="s">
        <v>158</v>
      </c>
      <c r="D2434" s="7" t="s">
        <v>139</v>
      </c>
      <c r="E2434" s="7" t="s">
        <v>140</v>
      </c>
      <c r="F2434" s="7" t="s">
        <v>50</v>
      </c>
      <c r="G2434" s="7" t="s">
        <v>19</v>
      </c>
      <c r="H2434" s="9" t="n">
        <v>46045</v>
      </c>
      <c r="I2434" s="9" t="n">
        <v>46054</v>
      </c>
      <c r="J2434" s="7" t="n">
        <v>9.8</v>
      </c>
      <c r="K2434" s="7" t="s">
        <v>2628</v>
      </c>
      <c r="L2434" s="7" t="s">
        <v>21</v>
      </c>
      <c r="M2434" s="7" t="s">
        <v>2895</v>
      </c>
      <c r="N2434" s="7" t="s">
        <v>58</v>
      </c>
      <c r="O2434" s="10" t="n">
        <f aca="false">'Exec Summary'!$E$2-H2434</f>
        <v>189</v>
      </c>
      <c r="P2434" s="10" t="n">
        <f aca="false">IF(I2434="","",I2434-H2434)</f>
        <v>9</v>
      </c>
      <c r="Q2434" s="10" t="n">
        <f aca="false">VLOOKUP(G2434,$AA$2:$AB$5,2,FALSE())</f>
        <v>15</v>
      </c>
      <c r="R2434" s="7" t="n">
        <f aca="false">IF(OR(F2434="Open",F2434="Reopened"),1,0)</f>
        <v>0</v>
      </c>
      <c r="S2434" s="7" t="n">
        <f aca="false">IF(AND(H2434&gt;='Exec Summary'!$E$1,H2434&lt;='Exec Summary'!$E$2),1,0)</f>
        <v>0</v>
      </c>
      <c r="T2434" s="7" t="n">
        <f aca="false">IF(AND(F2434="Closed",I2434&lt;&gt;"",I2434&gt;='Exec Summary'!$E$1,I2434&lt;='Exec Summary'!$E$2),1,0)</f>
        <v>0</v>
      </c>
      <c r="U2434" s="7" t="n">
        <f aca="false">IF(F2434="Reopened",1,0)</f>
        <v>0</v>
      </c>
      <c r="V2434" s="7" t="n">
        <f aca="false">IF(AND(R2434=1,O2434&gt;Q2434),1,0)</f>
        <v>0</v>
      </c>
      <c r="W2434" s="7" t="n">
        <f aca="false">IF(AND(T2434=1,P2434&lt;&gt;"",P2434&lt;=Q2434),1,0)</f>
        <v>0</v>
      </c>
    </row>
    <row r="2435" customFormat="false" ht="15" hidden="false" customHeight="false" outlineLevel="0" collapsed="false">
      <c r="A2435" s="7" t="s">
        <v>2882</v>
      </c>
      <c r="B2435" s="7" t="s">
        <v>46</v>
      </c>
      <c r="C2435" s="7" t="s">
        <v>158</v>
      </c>
      <c r="D2435" s="7" t="s">
        <v>206</v>
      </c>
      <c r="E2435" s="7" t="s">
        <v>207</v>
      </c>
      <c r="F2435" s="7" t="s">
        <v>50</v>
      </c>
      <c r="G2435" s="7" t="s">
        <v>20</v>
      </c>
      <c r="H2435" s="9" t="n">
        <v>46039</v>
      </c>
      <c r="I2435" s="9" t="n">
        <v>46070</v>
      </c>
      <c r="J2435" s="7" t="n">
        <v>8.8</v>
      </c>
      <c r="K2435" s="7" t="s">
        <v>2628</v>
      </c>
      <c r="L2435" s="7" t="s">
        <v>21</v>
      </c>
      <c r="M2435" s="7" t="s">
        <v>2896</v>
      </c>
      <c r="N2435" s="7" t="s">
        <v>53</v>
      </c>
      <c r="O2435" s="10" t="n">
        <f aca="false">'Exec Summary'!$E$2-H2435</f>
        <v>195</v>
      </c>
      <c r="P2435" s="10" t="n">
        <f aca="false">IF(I2435="","",I2435-H2435)</f>
        <v>31</v>
      </c>
      <c r="Q2435" s="10" t="n">
        <f aca="false">VLOOKUP(G2435,$AA$2:$AB$5,2,FALSE())</f>
        <v>30</v>
      </c>
      <c r="R2435" s="7" t="n">
        <f aca="false">IF(OR(F2435="Open",F2435="Reopened"),1,0)</f>
        <v>0</v>
      </c>
      <c r="S2435" s="7" t="n">
        <f aca="false">IF(AND(H2435&gt;='Exec Summary'!$E$1,H2435&lt;='Exec Summary'!$E$2),1,0)</f>
        <v>0</v>
      </c>
      <c r="T2435" s="7" t="n">
        <f aca="false">IF(AND(F2435="Closed",I2435&lt;&gt;"",I2435&gt;='Exec Summary'!$E$1,I2435&lt;='Exec Summary'!$E$2),1,0)</f>
        <v>0</v>
      </c>
      <c r="U2435" s="7" t="n">
        <f aca="false">IF(F2435="Reopened",1,0)</f>
        <v>0</v>
      </c>
      <c r="V2435" s="7" t="n">
        <f aca="false">IF(AND(R2435=1,O2435&gt;Q2435),1,0)</f>
        <v>0</v>
      </c>
      <c r="W2435" s="7" t="n">
        <f aca="false">IF(AND(T2435=1,P2435&lt;&gt;"",P2435&lt;=Q2435),1,0)</f>
        <v>0</v>
      </c>
    </row>
    <row r="2436" customFormat="false" ht="15" hidden="false" customHeight="false" outlineLevel="0" collapsed="false">
      <c r="A2436" s="7" t="s">
        <v>2897</v>
      </c>
      <c r="B2436" s="7" t="s">
        <v>46</v>
      </c>
      <c r="C2436" s="7" t="s">
        <v>177</v>
      </c>
      <c r="D2436" s="7" t="s">
        <v>65</v>
      </c>
      <c r="E2436" s="7" t="s">
        <v>66</v>
      </c>
      <c r="F2436" s="7" t="s">
        <v>56</v>
      </c>
      <c r="G2436" s="7" t="s">
        <v>19</v>
      </c>
      <c r="H2436" s="9" t="n">
        <v>45949</v>
      </c>
      <c r="I2436" s="9"/>
      <c r="J2436" s="7" t="n">
        <v>9.8</v>
      </c>
      <c r="K2436" s="7" t="s">
        <v>2628</v>
      </c>
      <c r="L2436" s="7" t="s">
        <v>21</v>
      </c>
      <c r="M2436" s="7" t="s">
        <v>2898</v>
      </c>
      <c r="N2436" s="7" t="s">
        <v>58</v>
      </c>
      <c r="O2436" s="10" t="n">
        <f aca="false">'Exec Summary'!$E$2-H2436</f>
        <v>285</v>
      </c>
      <c r="P2436" s="10" t="str">
        <f aca="false">IF(I2436="","",I2436-H2436)</f>
        <v/>
      </c>
      <c r="Q2436" s="10" t="n">
        <f aca="false">VLOOKUP(G2436,$AA$2:$AB$5,2,FALSE())</f>
        <v>15</v>
      </c>
      <c r="R2436" s="7" t="n">
        <f aca="false">IF(OR(F2436="Open",F2436="Reopened"),1,0)</f>
        <v>1</v>
      </c>
      <c r="S2436" s="7" t="n">
        <f aca="false">IF(AND(H2436&gt;='Exec Summary'!$E$1,H2436&lt;='Exec Summary'!$E$2),1,0)</f>
        <v>0</v>
      </c>
      <c r="T2436" s="7" t="n">
        <f aca="false">IF(AND(F2436="Closed",I2436&lt;&gt;"",I2436&gt;='Exec Summary'!$E$1,I2436&lt;='Exec Summary'!$E$2),1,0)</f>
        <v>0</v>
      </c>
      <c r="U2436" s="7" t="n">
        <f aca="false">IF(F2436="Reopened",1,0)</f>
        <v>0</v>
      </c>
      <c r="V2436" s="7" t="n">
        <f aca="false">IF(AND(R2436=1,O2436&gt;Q2436),1,0)</f>
        <v>1</v>
      </c>
      <c r="W2436" s="7" t="n">
        <f aca="false">IF(AND(T2436=1,P2436&lt;&gt;"",P2436&lt;=Q2436),1,0)</f>
        <v>0</v>
      </c>
    </row>
    <row r="2437" customFormat="false" ht="15" hidden="false" customHeight="false" outlineLevel="0" collapsed="false">
      <c r="A2437" s="7" t="s">
        <v>2897</v>
      </c>
      <c r="B2437" s="7" t="s">
        <v>46</v>
      </c>
      <c r="C2437" s="7" t="s">
        <v>177</v>
      </c>
      <c r="D2437" s="7" t="s">
        <v>87</v>
      </c>
      <c r="E2437" s="7" t="s">
        <v>88</v>
      </c>
      <c r="F2437" s="7" t="s">
        <v>56</v>
      </c>
      <c r="G2437" s="7" t="s">
        <v>19</v>
      </c>
      <c r="H2437" s="9" t="n">
        <v>46074</v>
      </c>
      <c r="I2437" s="9"/>
      <c r="J2437" s="7" t="n">
        <v>10</v>
      </c>
      <c r="K2437" s="7" t="s">
        <v>2628</v>
      </c>
      <c r="L2437" s="7" t="s">
        <v>21</v>
      </c>
      <c r="M2437" s="7" t="s">
        <v>2899</v>
      </c>
      <c r="N2437" s="7" t="s">
        <v>58</v>
      </c>
      <c r="O2437" s="10" t="n">
        <f aca="false">'Exec Summary'!$E$2-H2437</f>
        <v>160</v>
      </c>
      <c r="P2437" s="10" t="str">
        <f aca="false">IF(I2437="","",I2437-H2437)</f>
        <v/>
      </c>
      <c r="Q2437" s="10" t="n">
        <f aca="false">VLOOKUP(G2437,$AA$2:$AB$5,2,FALSE())</f>
        <v>15</v>
      </c>
      <c r="R2437" s="7" t="n">
        <f aca="false">IF(OR(F2437="Open",F2437="Reopened"),1,0)</f>
        <v>1</v>
      </c>
      <c r="S2437" s="7" t="n">
        <f aca="false">IF(AND(H2437&gt;='Exec Summary'!$E$1,H2437&lt;='Exec Summary'!$E$2),1,0)</f>
        <v>0</v>
      </c>
      <c r="T2437" s="7" t="n">
        <f aca="false">IF(AND(F2437="Closed",I2437&lt;&gt;"",I2437&gt;='Exec Summary'!$E$1,I2437&lt;='Exec Summary'!$E$2),1,0)</f>
        <v>0</v>
      </c>
      <c r="U2437" s="7" t="n">
        <f aca="false">IF(F2437="Reopened",1,0)</f>
        <v>0</v>
      </c>
      <c r="V2437" s="7" t="n">
        <f aca="false">IF(AND(R2437=1,O2437&gt;Q2437),1,0)</f>
        <v>1</v>
      </c>
      <c r="W2437" s="7" t="n">
        <f aca="false">IF(AND(T2437=1,P2437&lt;&gt;"",P2437&lt;=Q2437),1,0)</f>
        <v>0</v>
      </c>
    </row>
    <row r="2438" customFormat="false" ht="15" hidden="false" customHeight="false" outlineLevel="0" collapsed="false">
      <c r="A2438" s="7" t="s">
        <v>2897</v>
      </c>
      <c r="B2438" s="7" t="s">
        <v>46</v>
      </c>
      <c r="C2438" s="7" t="s">
        <v>177</v>
      </c>
      <c r="D2438" s="7" t="s">
        <v>120</v>
      </c>
      <c r="E2438" s="7" t="s">
        <v>121</v>
      </c>
      <c r="F2438" s="7" t="s">
        <v>123</v>
      </c>
      <c r="G2438" s="7" t="s">
        <v>19</v>
      </c>
      <c r="H2438" s="9" t="n">
        <v>46161</v>
      </c>
      <c r="I2438" s="9" t="n">
        <v>46168</v>
      </c>
      <c r="J2438" s="7" t="n">
        <v>8.8</v>
      </c>
      <c r="K2438" s="7" t="s">
        <v>2628</v>
      </c>
      <c r="L2438" s="7" t="s">
        <v>21</v>
      </c>
      <c r="M2438" s="7" t="s">
        <v>2900</v>
      </c>
      <c r="N2438" s="7" t="s">
        <v>58</v>
      </c>
      <c r="O2438" s="10" t="n">
        <f aca="false">'Exec Summary'!$E$2-H2438</f>
        <v>73</v>
      </c>
      <c r="P2438" s="10" t="n">
        <f aca="false">IF(I2438="","",I2438-H2438)</f>
        <v>7</v>
      </c>
      <c r="Q2438" s="10" t="n">
        <f aca="false">VLOOKUP(G2438,$AA$2:$AB$5,2,FALSE())</f>
        <v>15</v>
      </c>
      <c r="R2438" s="7" t="n">
        <f aca="false">IF(OR(F2438="Open",F2438="Reopened"),1,0)</f>
        <v>1</v>
      </c>
      <c r="S2438" s="7" t="n">
        <f aca="false">IF(AND(H2438&gt;='Exec Summary'!$E$1,H2438&lt;='Exec Summary'!$E$2),1,0)</f>
        <v>0</v>
      </c>
      <c r="T2438" s="7" t="n">
        <f aca="false">IF(AND(F2438="Closed",I2438&lt;&gt;"",I2438&gt;='Exec Summary'!$E$1,I2438&lt;='Exec Summary'!$E$2),1,0)</f>
        <v>0</v>
      </c>
      <c r="U2438" s="7" t="n">
        <f aca="false">IF(F2438="Reopened",1,0)</f>
        <v>1</v>
      </c>
      <c r="V2438" s="7" t="n">
        <f aca="false">IF(AND(R2438=1,O2438&gt;Q2438),1,0)</f>
        <v>1</v>
      </c>
      <c r="W2438" s="7" t="n">
        <f aca="false">IF(AND(T2438=1,P2438&lt;&gt;"",P2438&lt;=Q2438),1,0)</f>
        <v>0</v>
      </c>
    </row>
    <row r="2439" customFormat="false" ht="15" hidden="false" customHeight="false" outlineLevel="0" collapsed="false">
      <c r="A2439" s="7" t="s">
        <v>2897</v>
      </c>
      <c r="B2439" s="7" t="s">
        <v>46</v>
      </c>
      <c r="C2439" s="7" t="s">
        <v>177</v>
      </c>
      <c r="D2439" s="7" t="s">
        <v>117</v>
      </c>
      <c r="E2439" s="7" t="s">
        <v>118</v>
      </c>
      <c r="F2439" s="7" t="s">
        <v>56</v>
      </c>
      <c r="G2439" s="7" t="s">
        <v>19</v>
      </c>
      <c r="H2439" s="9" t="n">
        <v>46031</v>
      </c>
      <c r="I2439" s="9"/>
      <c r="J2439" s="7" t="n">
        <v>10</v>
      </c>
      <c r="K2439" s="7" t="s">
        <v>2628</v>
      </c>
      <c r="L2439" s="7" t="s">
        <v>21</v>
      </c>
      <c r="M2439" s="7" t="s">
        <v>2901</v>
      </c>
      <c r="N2439" s="7" t="s">
        <v>58</v>
      </c>
      <c r="O2439" s="10" t="n">
        <f aca="false">'Exec Summary'!$E$2-H2439</f>
        <v>203</v>
      </c>
      <c r="P2439" s="10" t="str">
        <f aca="false">IF(I2439="","",I2439-H2439)</f>
        <v/>
      </c>
      <c r="Q2439" s="10" t="n">
        <f aca="false">VLOOKUP(G2439,$AA$2:$AB$5,2,FALSE())</f>
        <v>15</v>
      </c>
      <c r="R2439" s="7" t="n">
        <f aca="false">IF(OR(F2439="Open",F2439="Reopened"),1,0)</f>
        <v>1</v>
      </c>
      <c r="S2439" s="7" t="n">
        <f aca="false">IF(AND(H2439&gt;='Exec Summary'!$E$1,H2439&lt;='Exec Summary'!$E$2),1,0)</f>
        <v>0</v>
      </c>
      <c r="T2439" s="7" t="n">
        <f aca="false">IF(AND(F2439="Closed",I2439&lt;&gt;"",I2439&gt;='Exec Summary'!$E$1,I2439&lt;='Exec Summary'!$E$2),1,0)</f>
        <v>0</v>
      </c>
      <c r="U2439" s="7" t="n">
        <f aca="false">IF(F2439="Reopened",1,0)</f>
        <v>0</v>
      </c>
      <c r="V2439" s="7" t="n">
        <f aca="false">IF(AND(R2439=1,O2439&gt;Q2439),1,0)</f>
        <v>1</v>
      </c>
      <c r="W2439" s="7" t="n">
        <f aca="false">IF(AND(T2439=1,P2439&lt;&gt;"",P2439&lt;=Q2439),1,0)</f>
        <v>0</v>
      </c>
    </row>
    <row r="2440" customFormat="false" ht="15" hidden="false" customHeight="false" outlineLevel="0" collapsed="false">
      <c r="A2440" s="7" t="s">
        <v>2897</v>
      </c>
      <c r="B2440" s="7" t="s">
        <v>46</v>
      </c>
      <c r="C2440" s="7" t="s">
        <v>177</v>
      </c>
      <c r="D2440" s="7" t="s">
        <v>54</v>
      </c>
      <c r="E2440" s="7" t="s">
        <v>55</v>
      </c>
      <c r="F2440" s="7" t="s">
        <v>50</v>
      </c>
      <c r="G2440" s="7" t="s">
        <v>19</v>
      </c>
      <c r="H2440" s="9" t="n">
        <v>45972</v>
      </c>
      <c r="I2440" s="9" t="n">
        <v>45981</v>
      </c>
      <c r="J2440" s="7" t="n">
        <v>9.8</v>
      </c>
      <c r="K2440" s="7" t="s">
        <v>2628</v>
      </c>
      <c r="L2440" s="7" t="s">
        <v>21</v>
      </c>
      <c r="M2440" s="7" t="s">
        <v>2902</v>
      </c>
      <c r="N2440" s="7" t="s">
        <v>58</v>
      </c>
      <c r="O2440" s="10" t="n">
        <f aca="false">'Exec Summary'!$E$2-H2440</f>
        <v>262</v>
      </c>
      <c r="P2440" s="10" t="n">
        <f aca="false">IF(I2440="","",I2440-H2440)</f>
        <v>9</v>
      </c>
      <c r="Q2440" s="10" t="n">
        <f aca="false">VLOOKUP(G2440,$AA$2:$AB$5,2,FALSE())</f>
        <v>15</v>
      </c>
      <c r="R2440" s="7" t="n">
        <f aca="false">IF(OR(F2440="Open",F2440="Reopened"),1,0)</f>
        <v>0</v>
      </c>
      <c r="S2440" s="7" t="n">
        <f aca="false">IF(AND(H2440&gt;='Exec Summary'!$E$1,H2440&lt;='Exec Summary'!$E$2),1,0)</f>
        <v>0</v>
      </c>
      <c r="T2440" s="7" t="n">
        <f aca="false">IF(AND(F2440="Closed",I2440&lt;&gt;"",I2440&gt;='Exec Summary'!$E$1,I2440&lt;='Exec Summary'!$E$2),1,0)</f>
        <v>0</v>
      </c>
      <c r="U2440" s="7" t="n">
        <f aca="false">IF(F2440="Reopened",1,0)</f>
        <v>0</v>
      </c>
      <c r="V2440" s="7" t="n">
        <f aca="false">IF(AND(R2440=1,O2440&gt;Q2440),1,0)</f>
        <v>0</v>
      </c>
      <c r="W2440" s="7" t="n">
        <f aca="false">IF(AND(T2440=1,P2440&lt;&gt;"",P2440&lt;=Q2440),1,0)</f>
        <v>0</v>
      </c>
    </row>
    <row r="2441" customFormat="false" ht="15" hidden="false" customHeight="false" outlineLevel="0" collapsed="false">
      <c r="A2441" s="7" t="s">
        <v>2897</v>
      </c>
      <c r="B2441" s="7" t="s">
        <v>46</v>
      </c>
      <c r="C2441" s="7" t="s">
        <v>177</v>
      </c>
      <c r="D2441" s="7" t="s">
        <v>84</v>
      </c>
      <c r="E2441" s="7" t="s">
        <v>85</v>
      </c>
      <c r="F2441" s="7" t="s">
        <v>56</v>
      </c>
      <c r="G2441" s="7" t="s">
        <v>20</v>
      </c>
      <c r="H2441" s="9" t="n">
        <v>45951</v>
      </c>
      <c r="I2441" s="9"/>
      <c r="J2441" s="7" t="n">
        <v>7.5</v>
      </c>
      <c r="K2441" s="7" t="s">
        <v>2628</v>
      </c>
      <c r="L2441" s="7" t="s">
        <v>21</v>
      </c>
      <c r="M2441" s="7" t="s">
        <v>2903</v>
      </c>
      <c r="N2441" s="7" t="s">
        <v>53</v>
      </c>
      <c r="O2441" s="10" t="n">
        <f aca="false">'Exec Summary'!$E$2-H2441</f>
        <v>283</v>
      </c>
      <c r="P2441" s="10" t="str">
        <f aca="false">IF(I2441="","",I2441-H2441)</f>
        <v/>
      </c>
      <c r="Q2441" s="10" t="n">
        <f aca="false">VLOOKUP(G2441,$AA$2:$AB$5,2,FALSE())</f>
        <v>30</v>
      </c>
      <c r="R2441" s="7" t="n">
        <f aca="false">IF(OR(F2441="Open",F2441="Reopened"),1,0)</f>
        <v>1</v>
      </c>
      <c r="S2441" s="7" t="n">
        <f aca="false">IF(AND(H2441&gt;='Exec Summary'!$E$1,H2441&lt;='Exec Summary'!$E$2),1,0)</f>
        <v>0</v>
      </c>
      <c r="T2441" s="7" t="n">
        <f aca="false">IF(AND(F2441="Closed",I2441&lt;&gt;"",I2441&gt;='Exec Summary'!$E$1,I2441&lt;='Exec Summary'!$E$2),1,0)</f>
        <v>0</v>
      </c>
      <c r="U2441" s="7" t="n">
        <f aca="false">IF(F2441="Reopened",1,0)</f>
        <v>0</v>
      </c>
      <c r="V2441" s="7" t="n">
        <f aca="false">IF(AND(R2441=1,O2441&gt;Q2441),1,0)</f>
        <v>1</v>
      </c>
      <c r="W2441" s="7" t="n">
        <f aca="false">IF(AND(T2441=1,P2441&lt;&gt;"",P2441&lt;=Q2441),1,0)</f>
        <v>0</v>
      </c>
    </row>
    <row r="2442" customFormat="false" ht="15" hidden="false" customHeight="false" outlineLevel="0" collapsed="false">
      <c r="A2442" s="7" t="s">
        <v>2897</v>
      </c>
      <c r="B2442" s="7" t="s">
        <v>46</v>
      </c>
      <c r="C2442" s="7" t="s">
        <v>177</v>
      </c>
      <c r="D2442" s="7" t="s">
        <v>74</v>
      </c>
      <c r="E2442" s="7" t="s">
        <v>75</v>
      </c>
      <c r="F2442" s="7" t="s">
        <v>50</v>
      </c>
      <c r="G2442" s="7" t="s">
        <v>21</v>
      </c>
      <c r="H2442" s="9" t="n">
        <v>46006</v>
      </c>
      <c r="I2442" s="9" t="n">
        <v>46150</v>
      </c>
      <c r="J2442" s="7" t="n">
        <v>6.5</v>
      </c>
      <c r="K2442" s="7" t="s">
        <v>2628</v>
      </c>
      <c r="L2442" s="7" t="s">
        <v>21</v>
      </c>
      <c r="M2442" s="7" t="s">
        <v>2904</v>
      </c>
      <c r="N2442" s="7" t="s">
        <v>77</v>
      </c>
      <c r="O2442" s="10" t="n">
        <f aca="false">'Exec Summary'!$E$2-H2442</f>
        <v>228</v>
      </c>
      <c r="P2442" s="10" t="n">
        <f aca="false">IF(I2442="","",I2442-H2442)</f>
        <v>144</v>
      </c>
      <c r="Q2442" s="10" t="n">
        <f aca="false">VLOOKUP(G2442,$AA$2:$AB$5,2,FALSE())</f>
        <v>90</v>
      </c>
      <c r="R2442" s="7" t="n">
        <f aca="false">IF(OR(F2442="Open",F2442="Reopened"),1,0)</f>
        <v>0</v>
      </c>
      <c r="S2442" s="7" t="n">
        <f aca="false">IF(AND(H2442&gt;='Exec Summary'!$E$1,H2442&lt;='Exec Summary'!$E$2),1,0)</f>
        <v>0</v>
      </c>
      <c r="T2442" s="7" t="n">
        <f aca="false">IF(AND(F2442="Closed",I2442&lt;&gt;"",I2442&gt;='Exec Summary'!$E$1,I2442&lt;='Exec Summary'!$E$2),1,0)</f>
        <v>0</v>
      </c>
      <c r="U2442" s="7" t="n">
        <f aca="false">IF(F2442="Reopened",1,0)</f>
        <v>0</v>
      </c>
      <c r="V2442" s="7" t="n">
        <f aca="false">IF(AND(R2442=1,O2442&gt;Q2442),1,0)</f>
        <v>0</v>
      </c>
      <c r="W2442" s="7" t="n">
        <f aca="false">IF(AND(T2442=1,P2442&lt;&gt;"",P2442&lt;=Q2442),1,0)</f>
        <v>0</v>
      </c>
    </row>
    <row r="2443" customFormat="false" ht="15" hidden="false" customHeight="false" outlineLevel="0" collapsed="false">
      <c r="A2443" s="7" t="s">
        <v>2897</v>
      </c>
      <c r="B2443" s="7" t="s">
        <v>46</v>
      </c>
      <c r="C2443" s="7" t="s">
        <v>177</v>
      </c>
      <c r="D2443" s="7" t="s">
        <v>131</v>
      </c>
      <c r="E2443" s="7" t="s">
        <v>132</v>
      </c>
      <c r="F2443" s="7" t="s">
        <v>56</v>
      </c>
      <c r="G2443" s="7" t="s">
        <v>19</v>
      </c>
      <c r="H2443" s="9" t="n">
        <v>45995</v>
      </c>
      <c r="I2443" s="9"/>
      <c r="J2443" s="7" t="n">
        <v>9.8</v>
      </c>
      <c r="K2443" s="7" t="s">
        <v>2628</v>
      </c>
      <c r="L2443" s="7" t="s">
        <v>21</v>
      </c>
      <c r="M2443" s="7" t="s">
        <v>2905</v>
      </c>
      <c r="N2443" s="7" t="s">
        <v>58</v>
      </c>
      <c r="O2443" s="10" t="n">
        <f aca="false">'Exec Summary'!$E$2-H2443</f>
        <v>239</v>
      </c>
      <c r="P2443" s="10" t="str">
        <f aca="false">IF(I2443="","",I2443-H2443)</f>
        <v/>
      </c>
      <c r="Q2443" s="10" t="n">
        <f aca="false">VLOOKUP(G2443,$AA$2:$AB$5,2,FALSE())</f>
        <v>15</v>
      </c>
      <c r="R2443" s="7" t="n">
        <f aca="false">IF(OR(F2443="Open",F2443="Reopened"),1,0)</f>
        <v>1</v>
      </c>
      <c r="S2443" s="7" t="n">
        <f aca="false">IF(AND(H2443&gt;='Exec Summary'!$E$1,H2443&lt;='Exec Summary'!$E$2),1,0)</f>
        <v>0</v>
      </c>
      <c r="T2443" s="7" t="n">
        <f aca="false">IF(AND(F2443="Closed",I2443&lt;&gt;"",I2443&gt;='Exec Summary'!$E$1,I2443&lt;='Exec Summary'!$E$2),1,0)</f>
        <v>0</v>
      </c>
      <c r="U2443" s="7" t="n">
        <f aca="false">IF(F2443="Reopened",1,0)</f>
        <v>0</v>
      </c>
      <c r="V2443" s="7" t="n">
        <f aca="false">IF(AND(R2443=1,O2443&gt;Q2443),1,0)</f>
        <v>1</v>
      </c>
      <c r="W2443" s="7" t="n">
        <f aca="false">IF(AND(T2443=1,P2443&lt;&gt;"",P2443&lt;=Q2443),1,0)</f>
        <v>0</v>
      </c>
    </row>
    <row r="2444" customFormat="false" ht="15" hidden="false" customHeight="false" outlineLevel="0" collapsed="false">
      <c r="A2444" s="7" t="s">
        <v>2897</v>
      </c>
      <c r="B2444" s="7" t="s">
        <v>46</v>
      </c>
      <c r="C2444" s="7" t="s">
        <v>177</v>
      </c>
      <c r="D2444" s="7" t="s">
        <v>101</v>
      </c>
      <c r="E2444" s="7" t="s">
        <v>102</v>
      </c>
      <c r="F2444" s="7" t="s">
        <v>50</v>
      </c>
      <c r="G2444" s="7" t="s">
        <v>19</v>
      </c>
      <c r="H2444" s="9" t="n">
        <v>46177</v>
      </c>
      <c r="I2444" s="9" t="n">
        <v>46182</v>
      </c>
      <c r="J2444" s="7" t="n">
        <v>10</v>
      </c>
      <c r="K2444" s="7" t="s">
        <v>2628</v>
      </c>
      <c r="L2444" s="7" t="s">
        <v>21</v>
      </c>
      <c r="M2444" s="7" t="s">
        <v>2906</v>
      </c>
      <c r="N2444" s="7" t="s">
        <v>58</v>
      </c>
      <c r="O2444" s="10" t="n">
        <f aca="false">'Exec Summary'!$E$2-H2444</f>
        <v>57</v>
      </c>
      <c r="P2444" s="10" t="n">
        <f aca="false">IF(I2444="","",I2444-H2444)</f>
        <v>5</v>
      </c>
      <c r="Q2444" s="10" t="n">
        <f aca="false">VLOOKUP(G2444,$AA$2:$AB$5,2,FALSE())</f>
        <v>15</v>
      </c>
      <c r="R2444" s="7" t="n">
        <f aca="false">IF(OR(F2444="Open",F2444="Reopened"),1,0)</f>
        <v>0</v>
      </c>
      <c r="S2444" s="7" t="n">
        <f aca="false">IF(AND(H2444&gt;='Exec Summary'!$E$1,H2444&lt;='Exec Summary'!$E$2),1,0)</f>
        <v>0</v>
      </c>
      <c r="T2444" s="7" t="n">
        <f aca="false">IF(AND(F2444="Closed",I2444&lt;&gt;"",I2444&gt;='Exec Summary'!$E$1,I2444&lt;='Exec Summary'!$E$2),1,0)</f>
        <v>0</v>
      </c>
      <c r="U2444" s="7" t="n">
        <f aca="false">IF(F2444="Reopened",1,0)</f>
        <v>0</v>
      </c>
      <c r="V2444" s="7" t="n">
        <f aca="false">IF(AND(R2444=1,O2444&gt;Q2444),1,0)</f>
        <v>0</v>
      </c>
      <c r="W2444" s="7" t="n">
        <f aca="false">IF(AND(T2444=1,P2444&lt;&gt;"",P2444&lt;=Q2444),1,0)</f>
        <v>0</v>
      </c>
    </row>
    <row r="2445" customFormat="false" ht="15" hidden="false" customHeight="false" outlineLevel="0" collapsed="false">
      <c r="A2445" s="7" t="s">
        <v>2907</v>
      </c>
      <c r="B2445" s="7" t="s">
        <v>46</v>
      </c>
      <c r="C2445" s="7" t="s">
        <v>79</v>
      </c>
      <c r="D2445" s="7" t="s">
        <v>139</v>
      </c>
      <c r="E2445" s="7" t="s">
        <v>140</v>
      </c>
      <c r="F2445" s="7" t="s">
        <v>50</v>
      </c>
      <c r="G2445" s="7" t="s">
        <v>19</v>
      </c>
      <c r="H2445" s="9" t="n">
        <v>45949</v>
      </c>
      <c r="I2445" s="9" t="n">
        <v>45953</v>
      </c>
      <c r="J2445" s="7" t="n">
        <v>9.8</v>
      </c>
      <c r="K2445" s="7" t="s">
        <v>2628</v>
      </c>
      <c r="L2445" s="7" t="s">
        <v>21</v>
      </c>
      <c r="M2445" s="7" t="s">
        <v>2908</v>
      </c>
      <c r="N2445" s="7" t="s">
        <v>58</v>
      </c>
      <c r="O2445" s="10" t="n">
        <f aca="false">'Exec Summary'!$E$2-H2445</f>
        <v>285</v>
      </c>
      <c r="P2445" s="10" t="n">
        <f aca="false">IF(I2445="","",I2445-H2445)</f>
        <v>4</v>
      </c>
      <c r="Q2445" s="10" t="n">
        <f aca="false">VLOOKUP(G2445,$AA$2:$AB$5,2,FALSE())</f>
        <v>15</v>
      </c>
      <c r="R2445" s="7" t="n">
        <f aca="false">IF(OR(F2445="Open",F2445="Reopened"),1,0)</f>
        <v>0</v>
      </c>
      <c r="S2445" s="7" t="n">
        <f aca="false">IF(AND(H2445&gt;='Exec Summary'!$E$1,H2445&lt;='Exec Summary'!$E$2),1,0)</f>
        <v>0</v>
      </c>
      <c r="T2445" s="7" t="n">
        <f aca="false">IF(AND(F2445="Closed",I2445&lt;&gt;"",I2445&gt;='Exec Summary'!$E$1,I2445&lt;='Exec Summary'!$E$2),1,0)</f>
        <v>0</v>
      </c>
      <c r="U2445" s="7" t="n">
        <f aca="false">IF(F2445="Reopened",1,0)</f>
        <v>0</v>
      </c>
      <c r="V2445" s="7" t="n">
        <f aca="false">IF(AND(R2445=1,O2445&gt;Q2445),1,0)</f>
        <v>0</v>
      </c>
      <c r="W2445" s="7" t="n">
        <f aca="false">IF(AND(T2445=1,P2445&lt;&gt;"",P2445&lt;=Q2445),1,0)</f>
        <v>0</v>
      </c>
    </row>
    <row r="2446" customFormat="false" ht="15" hidden="false" customHeight="false" outlineLevel="0" collapsed="false">
      <c r="A2446" s="7" t="s">
        <v>2907</v>
      </c>
      <c r="B2446" s="7" t="s">
        <v>46</v>
      </c>
      <c r="C2446" s="7" t="s">
        <v>79</v>
      </c>
      <c r="D2446" s="7" t="s">
        <v>84</v>
      </c>
      <c r="E2446" s="7" t="s">
        <v>85</v>
      </c>
      <c r="F2446" s="7" t="s">
        <v>56</v>
      </c>
      <c r="G2446" s="7" t="s">
        <v>20</v>
      </c>
      <c r="H2446" s="9" t="n">
        <v>45956</v>
      </c>
      <c r="I2446" s="9"/>
      <c r="J2446" s="7" t="n">
        <v>7.5</v>
      </c>
      <c r="K2446" s="7" t="s">
        <v>2628</v>
      </c>
      <c r="L2446" s="7" t="s">
        <v>21</v>
      </c>
      <c r="M2446" s="7" t="s">
        <v>2909</v>
      </c>
      <c r="N2446" s="7" t="s">
        <v>53</v>
      </c>
      <c r="O2446" s="10" t="n">
        <f aca="false">'Exec Summary'!$E$2-H2446</f>
        <v>278</v>
      </c>
      <c r="P2446" s="10" t="str">
        <f aca="false">IF(I2446="","",I2446-H2446)</f>
        <v/>
      </c>
      <c r="Q2446" s="10" t="n">
        <f aca="false">VLOOKUP(G2446,$AA$2:$AB$5,2,FALSE())</f>
        <v>30</v>
      </c>
      <c r="R2446" s="7" t="n">
        <f aca="false">IF(OR(F2446="Open",F2446="Reopened"),1,0)</f>
        <v>1</v>
      </c>
      <c r="S2446" s="7" t="n">
        <f aca="false">IF(AND(H2446&gt;='Exec Summary'!$E$1,H2446&lt;='Exec Summary'!$E$2),1,0)</f>
        <v>0</v>
      </c>
      <c r="T2446" s="7" t="n">
        <f aca="false">IF(AND(F2446="Closed",I2446&lt;&gt;"",I2446&gt;='Exec Summary'!$E$1,I2446&lt;='Exec Summary'!$E$2),1,0)</f>
        <v>0</v>
      </c>
      <c r="U2446" s="7" t="n">
        <f aca="false">IF(F2446="Reopened",1,0)</f>
        <v>0</v>
      </c>
      <c r="V2446" s="7" t="n">
        <f aca="false">IF(AND(R2446=1,O2446&gt;Q2446),1,0)</f>
        <v>1</v>
      </c>
      <c r="W2446" s="7" t="n">
        <f aca="false">IF(AND(T2446=1,P2446&lt;&gt;"",P2446&lt;=Q2446),1,0)</f>
        <v>0</v>
      </c>
    </row>
    <row r="2447" customFormat="false" ht="15" hidden="false" customHeight="false" outlineLevel="0" collapsed="false">
      <c r="A2447" s="7" t="s">
        <v>2907</v>
      </c>
      <c r="B2447" s="7" t="s">
        <v>46</v>
      </c>
      <c r="C2447" s="7" t="s">
        <v>79</v>
      </c>
      <c r="D2447" s="7" t="s">
        <v>206</v>
      </c>
      <c r="E2447" s="7" t="s">
        <v>207</v>
      </c>
      <c r="F2447" s="7" t="s">
        <v>56</v>
      </c>
      <c r="G2447" s="7" t="s">
        <v>20</v>
      </c>
      <c r="H2447" s="9" t="n">
        <v>46078</v>
      </c>
      <c r="I2447" s="9"/>
      <c r="J2447" s="7" t="n">
        <v>8.8</v>
      </c>
      <c r="K2447" s="7" t="s">
        <v>2628</v>
      </c>
      <c r="L2447" s="7" t="s">
        <v>21</v>
      </c>
      <c r="M2447" s="7" t="s">
        <v>2910</v>
      </c>
      <c r="N2447" s="7" t="s">
        <v>53</v>
      </c>
      <c r="O2447" s="10" t="n">
        <f aca="false">'Exec Summary'!$E$2-H2447</f>
        <v>156</v>
      </c>
      <c r="P2447" s="10" t="str">
        <f aca="false">IF(I2447="","",I2447-H2447)</f>
        <v/>
      </c>
      <c r="Q2447" s="10" t="n">
        <f aca="false">VLOOKUP(G2447,$AA$2:$AB$5,2,FALSE())</f>
        <v>30</v>
      </c>
      <c r="R2447" s="7" t="n">
        <f aca="false">IF(OR(F2447="Open",F2447="Reopened"),1,0)</f>
        <v>1</v>
      </c>
      <c r="S2447" s="7" t="n">
        <f aca="false">IF(AND(H2447&gt;='Exec Summary'!$E$1,H2447&lt;='Exec Summary'!$E$2),1,0)</f>
        <v>0</v>
      </c>
      <c r="T2447" s="7" t="n">
        <f aca="false">IF(AND(F2447="Closed",I2447&lt;&gt;"",I2447&gt;='Exec Summary'!$E$1,I2447&lt;='Exec Summary'!$E$2),1,0)</f>
        <v>0</v>
      </c>
      <c r="U2447" s="7" t="n">
        <f aca="false">IF(F2447="Reopened",1,0)</f>
        <v>0</v>
      </c>
      <c r="V2447" s="7" t="n">
        <f aca="false">IF(AND(R2447=1,O2447&gt;Q2447),1,0)</f>
        <v>1</v>
      </c>
      <c r="W2447" s="7" t="n">
        <f aca="false">IF(AND(T2447=1,P2447&lt;&gt;"",P2447&lt;=Q2447),1,0)</f>
        <v>0</v>
      </c>
    </row>
    <row r="2448" customFormat="false" ht="15" hidden="false" customHeight="false" outlineLevel="0" collapsed="false">
      <c r="A2448" s="7" t="s">
        <v>2907</v>
      </c>
      <c r="B2448" s="7" t="s">
        <v>46</v>
      </c>
      <c r="C2448" s="7" t="s">
        <v>79</v>
      </c>
      <c r="D2448" s="7" t="s">
        <v>173</v>
      </c>
      <c r="E2448" s="7" t="s">
        <v>174</v>
      </c>
      <c r="F2448" s="7" t="s">
        <v>50</v>
      </c>
      <c r="G2448" s="7" t="s">
        <v>19</v>
      </c>
      <c r="H2448" s="9" t="n">
        <v>46070</v>
      </c>
      <c r="I2448" s="9" t="n">
        <v>46084</v>
      </c>
      <c r="J2448" s="7" t="n">
        <v>9.8</v>
      </c>
      <c r="K2448" s="7" t="s">
        <v>2628</v>
      </c>
      <c r="L2448" s="7" t="s">
        <v>21</v>
      </c>
      <c r="M2448" s="7" t="s">
        <v>2911</v>
      </c>
      <c r="N2448" s="7" t="s">
        <v>58</v>
      </c>
      <c r="O2448" s="10" t="n">
        <f aca="false">'Exec Summary'!$E$2-H2448</f>
        <v>164</v>
      </c>
      <c r="P2448" s="10" t="n">
        <f aca="false">IF(I2448="","",I2448-H2448)</f>
        <v>14</v>
      </c>
      <c r="Q2448" s="10" t="n">
        <f aca="false">VLOOKUP(G2448,$AA$2:$AB$5,2,FALSE())</f>
        <v>15</v>
      </c>
      <c r="R2448" s="7" t="n">
        <f aca="false">IF(OR(F2448="Open",F2448="Reopened"),1,0)</f>
        <v>0</v>
      </c>
      <c r="S2448" s="7" t="n">
        <f aca="false">IF(AND(H2448&gt;='Exec Summary'!$E$1,H2448&lt;='Exec Summary'!$E$2),1,0)</f>
        <v>0</v>
      </c>
      <c r="T2448" s="7" t="n">
        <f aca="false">IF(AND(F2448="Closed",I2448&lt;&gt;"",I2448&gt;='Exec Summary'!$E$1,I2448&lt;='Exec Summary'!$E$2),1,0)</f>
        <v>0</v>
      </c>
      <c r="U2448" s="7" t="n">
        <f aca="false">IF(F2448="Reopened",1,0)</f>
        <v>0</v>
      </c>
      <c r="V2448" s="7" t="n">
        <f aca="false">IF(AND(R2448=1,O2448&gt;Q2448),1,0)</f>
        <v>0</v>
      </c>
      <c r="W2448" s="7" t="n">
        <f aca="false">IF(AND(T2448=1,P2448&lt;&gt;"",P2448&lt;=Q2448),1,0)</f>
        <v>0</v>
      </c>
    </row>
    <row r="2449" customFormat="false" ht="15" hidden="false" customHeight="false" outlineLevel="0" collapsed="false">
      <c r="A2449" s="7" t="s">
        <v>2907</v>
      </c>
      <c r="B2449" s="7" t="s">
        <v>46</v>
      </c>
      <c r="C2449" s="7" t="s">
        <v>79</v>
      </c>
      <c r="D2449" s="7" t="s">
        <v>68</v>
      </c>
      <c r="E2449" s="7" t="s">
        <v>69</v>
      </c>
      <c r="F2449" s="7" t="s">
        <v>56</v>
      </c>
      <c r="G2449" s="7" t="s">
        <v>19</v>
      </c>
      <c r="H2449" s="9" t="n">
        <v>46054</v>
      </c>
      <c r="I2449" s="9"/>
      <c r="J2449" s="7" t="n">
        <v>9.8</v>
      </c>
      <c r="K2449" s="7" t="s">
        <v>2628</v>
      </c>
      <c r="L2449" s="7" t="s">
        <v>21</v>
      </c>
      <c r="M2449" s="7" t="s">
        <v>2912</v>
      </c>
      <c r="N2449" s="7" t="s">
        <v>58</v>
      </c>
      <c r="O2449" s="10" t="n">
        <f aca="false">'Exec Summary'!$E$2-H2449</f>
        <v>180</v>
      </c>
      <c r="P2449" s="10" t="str">
        <f aca="false">IF(I2449="","",I2449-H2449)</f>
        <v/>
      </c>
      <c r="Q2449" s="10" t="n">
        <f aca="false">VLOOKUP(G2449,$AA$2:$AB$5,2,FALSE())</f>
        <v>15</v>
      </c>
      <c r="R2449" s="7" t="n">
        <f aca="false">IF(OR(F2449="Open",F2449="Reopened"),1,0)</f>
        <v>1</v>
      </c>
      <c r="S2449" s="7" t="n">
        <f aca="false">IF(AND(H2449&gt;='Exec Summary'!$E$1,H2449&lt;='Exec Summary'!$E$2),1,0)</f>
        <v>0</v>
      </c>
      <c r="T2449" s="7" t="n">
        <f aca="false">IF(AND(F2449="Closed",I2449&lt;&gt;"",I2449&gt;='Exec Summary'!$E$1,I2449&lt;='Exec Summary'!$E$2),1,0)</f>
        <v>0</v>
      </c>
      <c r="U2449" s="7" t="n">
        <f aca="false">IF(F2449="Reopened",1,0)</f>
        <v>0</v>
      </c>
      <c r="V2449" s="7" t="n">
        <f aca="false">IF(AND(R2449=1,O2449&gt;Q2449),1,0)</f>
        <v>1</v>
      </c>
      <c r="W2449" s="7" t="n">
        <f aca="false">IF(AND(T2449=1,P2449&lt;&gt;"",P2449&lt;=Q2449),1,0)</f>
        <v>0</v>
      </c>
    </row>
    <row r="2450" customFormat="false" ht="15" hidden="false" customHeight="false" outlineLevel="0" collapsed="false">
      <c r="A2450" s="7" t="s">
        <v>2907</v>
      </c>
      <c r="B2450" s="7" t="s">
        <v>46</v>
      </c>
      <c r="C2450" s="7" t="s">
        <v>79</v>
      </c>
      <c r="D2450" s="7" t="s">
        <v>98</v>
      </c>
      <c r="E2450" s="7" t="s">
        <v>99</v>
      </c>
      <c r="F2450" s="7" t="s">
        <v>56</v>
      </c>
      <c r="G2450" s="7" t="s">
        <v>19</v>
      </c>
      <c r="H2450" s="9" t="n">
        <v>45956</v>
      </c>
      <c r="I2450" s="9"/>
      <c r="J2450" s="7" t="n">
        <v>10</v>
      </c>
      <c r="K2450" s="7" t="s">
        <v>2628</v>
      </c>
      <c r="L2450" s="7" t="s">
        <v>21</v>
      </c>
      <c r="M2450" s="7" t="s">
        <v>2913</v>
      </c>
      <c r="N2450" s="7" t="s">
        <v>58</v>
      </c>
      <c r="O2450" s="10" t="n">
        <f aca="false">'Exec Summary'!$E$2-H2450</f>
        <v>278</v>
      </c>
      <c r="P2450" s="10" t="str">
        <f aca="false">IF(I2450="","",I2450-H2450)</f>
        <v/>
      </c>
      <c r="Q2450" s="10" t="n">
        <f aca="false">VLOOKUP(G2450,$AA$2:$AB$5,2,FALSE())</f>
        <v>15</v>
      </c>
      <c r="R2450" s="7" t="n">
        <f aca="false">IF(OR(F2450="Open",F2450="Reopened"),1,0)</f>
        <v>1</v>
      </c>
      <c r="S2450" s="7" t="n">
        <f aca="false">IF(AND(H2450&gt;='Exec Summary'!$E$1,H2450&lt;='Exec Summary'!$E$2),1,0)</f>
        <v>0</v>
      </c>
      <c r="T2450" s="7" t="n">
        <f aca="false">IF(AND(F2450="Closed",I2450&lt;&gt;"",I2450&gt;='Exec Summary'!$E$1,I2450&lt;='Exec Summary'!$E$2),1,0)</f>
        <v>0</v>
      </c>
      <c r="U2450" s="7" t="n">
        <f aca="false">IF(F2450="Reopened",1,0)</f>
        <v>0</v>
      </c>
      <c r="V2450" s="7" t="n">
        <f aca="false">IF(AND(R2450=1,O2450&gt;Q2450),1,0)</f>
        <v>1</v>
      </c>
      <c r="W2450" s="7" t="n">
        <f aca="false">IF(AND(T2450=1,P2450&lt;&gt;"",P2450&lt;=Q2450),1,0)</f>
        <v>0</v>
      </c>
    </row>
    <row r="2451" customFormat="false" ht="15" hidden="false" customHeight="false" outlineLevel="0" collapsed="false">
      <c r="A2451" s="7" t="s">
        <v>2907</v>
      </c>
      <c r="B2451" s="7" t="s">
        <v>46</v>
      </c>
      <c r="C2451" s="7" t="s">
        <v>79</v>
      </c>
      <c r="D2451" s="7" t="s">
        <v>210</v>
      </c>
      <c r="E2451" s="7" t="s">
        <v>211</v>
      </c>
      <c r="F2451" s="7" t="s">
        <v>56</v>
      </c>
      <c r="G2451" s="7" t="s">
        <v>19</v>
      </c>
      <c r="H2451" s="9" t="n">
        <v>46220</v>
      </c>
      <c r="I2451" s="9"/>
      <c r="J2451" s="7" t="n">
        <v>9.8</v>
      </c>
      <c r="K2451" s="7" t="s">
        <v>2628</v>
      </c>
      <c r="L2451" s="7" t="s">
        <v>21</v>
      </c>
      <c r="M2451" s="7" t="s">
        <v>2914</v>
      </c>
      <c r="N2451" s="7" t="s">
        <v>58</v>
      </c>
      <c r="O2451" s="10" t="n">
        <f aca="false">'Exec Summary'!$E$2-H2451</f>
        <v>14</v>
      </c>
      <c r="P2451" s="10" t="str">
        <f aca="false">IF(I2451="","",I2451-H2451)</f>
        <v/>
      </c>
      <c r="Q2451" s="10" t="n">
        <f aca="false">VLOOKUP(G2451,$AA$2:$AB$5,2,FALSE())</f>
        <v>15</v>
      </c>
      <c r="R2451" s="7" t="n">
        <f aca="false">IF(OR(F2451="Open",F2451="Reopened"),1,0)</f>
        <v>1</v>
      </c>
      <c r="S2451" s="7" t="n">
        <f aca="false">IF(AND(H2451&gt;='Exec Summary'!$E$1,H2451&lt;='Exec Summary'!$E$2),1,0)</f>
        <v>1</v>
      </c>
      <c r="T2451" s="7" t="n">
        <f aca="false">IF(AND(F2451="Closed",I2451&lt;&gt;"",I2451&gt;='Exec Summary'!$E$1,I2451&lt;='Exec Summary'!$E$2),1,0)</f>
        <v>0</v>
      </c>
      <c r="U2451" s="7" t="n">
        <f aca="false">IF(F2451="Reopened",1,0)</f>
        <v>0</v>
      </c>
      <c r="V2451" s="7" t="n">
        <f aca="false">IF(AND(R2451=1,O2451&gt;Q2451),1,0)</f>
        <v>0</v>
      </c>
      <c r="W2451" s="7" t="n">
        <f aca="false">IF(AND(T2451=1,P2451&lt;&gt;"",P2451&lt;=Q2451),1,0)</f>
        <v>0</v>
      </c>
    </row>
    <row r="2452" customFormat="false" ht="15" hidden="false" customHeight="false" outlineLevel="0" collapsed="false">
      <c r="A2452" s="7" t="s">
        <v>2907</v>
      </c>
      <c r="B2452" s="7" t="s">
        <v>46</v>
      </c>
      <c r="C2452" s="7" t="s">
        <v>79</v>
      </c>
      <c r="D2452" s="7" t="s">
        <v>145</v>
      </c>
      <c r="E2452" s="7" t="s">
        <v>146</v>
      </c>
      <c r="F2452" s="7" t="s">
        <v>56</v>
      </c>
      <c r="G2452" s="7" t="s">
        <v>19</v>
      </c>
      <c r="H2452" s="9" t="n">
        <v>46052</v>
      </c>
      <c r="I2452" s="9"/>
      <c r="J2452" s="7" t="n">
        <v>9.8</v>
      </c>
      <c r="K2452" s="7" t="s">
        <v>2628</v>
      </c>
      <c r="L2452" s="7" t="s">
        <v>21</v>
      </c>
      <c r="M2452" s="7" t="s">
        <v>2915</v>
      </c>
      <c r="N2452" s="7" t="s">
        <v>58</v>
      </c>
      <c r="O2452" s="10" t="n">
        <f aca="false">'Exec Summary'!$E$2-H2452</f>
        <v>182</v>
      </c>
      <c r="P2452" s="10" t="str">
        <f aca="false">IF(I2452="","",I2452-H2452)</f>
        <v/>
      </c>
      <c r="Q2452" s="10" t="n">
        <f aca="false">VLOOKUP(G2452,$AA$2:$AB$5,2,FALSE())</f>
        <v>15</v>
      </c>
      <c r="R2452" s="7" t="n">
        <f aca="false">IF(OR(F2452="Open",F2452="Reopened"),1,0)</f>
        <v>1</v>
      </c>
      <c r="S2452" s="7" t="n">
        <f aca="false">IF(AND(H2452&gt;='Exec Summary'!$E$1,H2452&lt;='Exec Summary'!$E$2),1,0)</f>
        <v>0</v>
      </c>
      <c r="T2452" s="7" t="n">
        <f aca="false">IF(AND(F2452="Closed",I2452&lt;&gt;"",I2452&gt;='Exec Summary'!$E$1,I2452&lt;='Exec Summary'!$E$2),1,0)</f>
        <v>0</v>
      </c>
      <c r="U2452" s="7" t="n">
        <f aca="false">IF(F2452="Reopened",1,0)</f>
        <v>0</v>
      </c>
      <c r="V2452" s="7" t="n">
        <f aca="false">IF(AND(R2452=1,O2452&gt;Q2452),1,0)</f>
        <v>1</v>
      </c>
      <c r="W2452" s="7" t="n">
        <f aca="false">IF(AND(T2452=1,P2452&lt;&gt;"",P2452&lt;=Q2452),1,0)</f>
        <v>0</v>
      </c>
    </row>
    <row r="2453" customFormat="false" ht="15" hidden="false" customHeight="false" outlineLevel="0" collapsed="false">
      <c r="A2453" s="7" t="s">
        <v>2907</v>
      </c>
      <c r="B2453" s="7" t="s">
        <v>46</v>
      </c>
      <c r="C2453" s="7" t="s">
        <v>79</v>
      </c>
      <c r="D2453" s="7" t="s">
        <v>117</v>
      </c>
      <c r="E2453" s="7" t="s">
        <v>118</v>
      </c>
      <c r="F2453" s="7" t="s">
        <v>50</v>
      </c>
      <c r="G2453" s="7" t="s">
        <v>19</v>
      </c>
      <c r="H2453" s="9" t="n">
        <v>46080</v>
      </c>
      <c r="I2453" s="9" t="n">
        <v>46085</v>
      </c>
      <c r="J2453" s="7" t="n">
        <v>10</v>
      </c>
      <c r="K2453" s="7" t="s">
        <v>2628</v>
      </c>
      <c r="L2453" s="7" t="s">
        <v>21</v>
      </c>
      <c r="M2453" s="7" t="s">
        <v>2916</v>
      </c>
      <c r="N2453" s="7" t="s">
        <v>58</v>
      </c>
      <c r="O2453" s="10" t="n">
        <f aca="false">'Exec Summary'!$E$2-H2453</f>
        <v>154</v>
      </c>
      <c r="P2453" s="10" t="n">
        <f aca="false">IF(I2453="","",I2453-H2453)</f>
        <v>5</v>
      </c>
      <c r="Q2453" s="10" t="n">
        <f aca="false">VLOOKUP(G2453,$AA$2:$AB$5,2,FALSE())</f>
        <v>15</v>
      </c>
      <c r="R2453" s="7" t="n">
        <f aca="false">IF(OR(F2453="Open",F2453="Reopened"),1,0)</f>
        <v>0</v>
      </c>
      <c r="S2453" s="7" t="n">
        <f aca="false">IF(AND(H2453&gt;='Exec Summary'!$E$1,H2453&lt;='Exec Summary'!$E$2),1,0)</f>
        <v>0</v>
      </c>
      <c r="T2453" s="7" t="n">
        <f aca="false">IF(AND(F2453="Closed",I2453&lt;&gt;"",I2453&gt;='Exec Summary'!$E$1,I2453&lt;='Exec Summary'!$E$2),1,0)</f>
        <v>0</v>
      </c>
      <c r="U2453" s="7" t="n">
        <f aca="false">IF(F2453="Reopened",1,0)</f>
        <v>0</v>
      </c>
      <c r="V2453" s="7" t="n">
        <f aca="false">IF(AND(R2453=1,O2453&gt;Q2453),1,0)</f>
        <v>0</v>
      </c>
      <c r="W2453" s="7" t="n">
        <f aca="false">IF(AND(T2453=1,P2453&lt;&gt;"",P2453&lt;=Q2453),1,0)</f>
        <v>0</v>
      </c>
    </row>
    <row r="2454" customFormat="false" ht="15" hidden="false" customHeight="false" outlineLevel="0" collapsed="false">
      <c r="A2454" s="7" t="s">
        <v>2907</v>
      </c>
      <c r="B2454" s="7" t="s">
        <v>46</v>
      </c>
      <c r="C2454" s="7" t="s">
        <v>79</v>
      </c>
      <c r="D2454" s="7" t="s">
        <v>59</v>
      </c>
      <c r="E2454" s="7" t="s">
        <v>60</v>
      </c>
      <c r="F2454" s="7" t="s">
        <v>56</v>
      </c>
      <c r="G2454" s="7" t="s">
        <v>19</v>
      </c>
      <c r="H2454" s="9" t="n">
        <v>46125</v>
      </c>
      <c r="I2454" s="9"/>
      <c r="J2454" s="7" t="n">
        <v>7.8</v>
      </c>
      <c r="K2454" s="7" t="s">
        <v>2628</v>
      </c>
      <c r="L2454" s="7" t="s">
        <v>21</v>
      </c>
      <c r="M2454" s="7" t="s">
        <v>2917</v>
      </c>
      <c r="N2454" s="7" t="s">
        <v>58</v>
      </c>
      <c r="O2454" s="10" t="n">
        <f aca="false">'Exec Summary'!$E$2-H2454</f>
        <v>109</v>
      </c>
      <c r="P2454" s="10" t="str">
        <f aca="false">IF(I2454="","",I2454-H2454)</f>
        <v/>
      </c>
      <c r="Q2454" s="10" t="n">
        <f aca="false">VLOOKUP(G2454,$AA$2:$AB$5,2,FALSE())</f>
        <v>15</v>
      </c>
      <c r="R2454" s="7" t="n">
        <f aca="false">IF(OR(F2454="Open",F2454="Reopened"),1,0)</f>
        <v>1</v>
      </c>
      <c r="S2454" s="7" t="n">
        <f aca="false">IF(AND(H2454&gt;='Exec Summary'!$E$1,H2454&lt;='Exec Summary'!$E$2),1,0)</f>
        <v>0</v>
      </c>
      <c r="T2454" s="7" t="n">
        <f aca="false">IF(AND(F2454="Closed",I2454&lt;&gt;"",I2454&gt;='Exec Summary'!$E$1,I2454&lt;='Exec Summary'!$E$2),1,0)</f>
        <v>0</v>
      </c>
      <c r="U2454" s="7" t="n">
        <f aca="false">IF(F2454="Reopened",1,0)</f>
        <v>0</v>
      </c>
      <c r="V2454" s="7" t="n">
        <f aca="false">IF(AND(R2454=1,O2454&gt;Q2454),1,0)</f>
        <v>1</v>
      </c>
      <c r="W2454" s="7" t="n">
        <f aca="false">IF(AND(T2454=1,P2454&lt;&gt;"",P2454&lt;=Q2454),1,0)</f>
        <v>0</v>
      </c>
    </row>
    <row r="2455" customFormat="false" ht="15" hidden="false" customHeight="false" outlineLevel="0" collapsed="false">
      <c r="A2455" s="7" t="s">
        <v>2918</v>
      </c>
      <c r="B2455" s="7" t="s">
        <v>46</v>
      </c>
      <c r="C2455" s="7" t="s">
        <v>79</v>
      </c>
      <c r="D2455" s="7" t="s">
        <v>71</v>
      </c>
      <c r="E2455" s="7" t="s">
        <v>72</v>
      </c>
      <c r="F2455" s="7" t="s">
        <v>56</v>
      </c>
      <c r="G2455" s="7" t="s">
        <v>19</v>
      </c>
      <c r="H2455" s="9" t="n">
        <v>46173</v>
      </c>
      <c r="I2455" s="9"/>
      <c r="J2455" s="7" t="n">
        <v>9.8</v>
      </c>
      <c r="K2455" s="7" t="s">
        <v>2628</v>
      </c>
      <c r="L2455" s="7" t="s">
        <v>21</v>
      </c>
      <c r="M2455" s="7" t="s">
        <v>2919</v>
      </c>
      <c r="N2455" s="7" t="s">
        <v>58</v>
      </c>
      <c r="O2455" s="10" t="n">
        <f aca="false">'Exec Summary'!$E$2-H2455</f>
        <v>61</v>
      </c>
      <c r="P2455" s="10" t="str">
        <f aca="false">IF(I2455="","",I2455-H2455)</f>
        <v/>
      </c>
      <c r="Q2455" s="10" t="n">
        <f aca="false">VLOOKUP(G2455,$AA$2:$AB$5,2,FALSE())</f>
        <v>15</v>
      </c>
      <c r="R2455" s="7" t="n">
        <f aca="false">IF(OR(F2455="Open",F2455="Reopened"),1,0)</f>
        <v>1</v>
      </c>
      <c r="S2455" s="7" t="n">
        <f aca="false">IF(AND(H2455&gt;='Exec Summary'!$E$1,H2455&lt;='Exec Summary'!$E$2),1,0)</f>
        <v>0</v>
      </c>
      <c r="T2455" s="7" t="n">
        <f aca="false">IF(AND(F2455="Closed",I2455&lt;&gt;"",I2455&gt;='Exec Summary'!$E$1,I2455&lt;='Exec Summary'!$E$2),1,0)</f>
        <v>0</v>
      </c>
      <c r="U2455" s="7" t="n">
        <f aca="false">IF(F2455="Reopened",1,0)</f>
        <v>0</v>
      </c>
      <c r="V2455" s="7" t="n">
        <f aca="false">IF(AND(R2455=1,O2455&gt;Q2455),1,0)</f>
        <v>1</v>
      </c>
      <c r="W2455" s="7" t="n">
        <f aca="false">IF(AND(T2455=1,P2455&lt;&gt;"",P2455&lt;=Q2455),1,0)</f>
        <v>0</v>
      </c>
    </row>
    <row r="2456" customFormat="false" ht="15" hidden="false" customHeight="false" outlineLevel="0" collapsed="false">
      <c r="A2456" s="7" t="s">
        <v>2918</v>
      </c>
      <c r="B2456" s="7" t="s">
        <v>46</v>
      </c>
      <c r="C2456" s="7" t="s">
        <v>79</v>
      </c>
      <c r="D2456" s="7" t="s">
        <v>145</v>
      </c>
      <c r="E2456" s="7" t="s">
        <v>146</v>
      </c>
      <c r="F2456" s="7" t="s">
        <v>56</v>
      </c>
      <c r="G2456" s="7" t="s">
        <v>19</v>
      </c>
      <c r="H2456" s="9" t="n">
        <v>46009</v>
      </c>
      <c r="I2456" s="9"/>
      <c r="J2456" s="7" t="n">
        <v>9.8</v>
      </c>
      <c r="K2456" s="7" t="s">
        <v>2628</v>
      </c>
      <c r="L2456" s="7" t="s">
        <v>21</v>
      </c>
      <c r="M2456" s="7" t="s">
        <v>2920</v>
      </c>
      <c r="N2456" s="7" t="s">
        <v>58</v>
      </c>
      <c r="O2456" s="10" t="n">
        <f aca="false">'Exec Summary'!$E$2-H2456</f>
        <v>225</v>
      </c>
      <c r="P2456" s="10" t="str">
        <f aca="false">IF(I2456="","",I2456-H2456)</f>
        <v/>
      </c>
      <c r="Q2456" s="10" t="n">
        <f aca="false">VLOOKUP(G2456,$AA$2:$AB$5,2,FALSE())</f>
        <v>15</v>
      </c>
      <c r="R2456" s="7" t="n">
        <f aca="false">IF(OR(F2456="Open",F2456="Reopened"),1,0)</f>
        <v>1</v>
      </c>
      <c r="S2456" s="7" t="n">
        <f aca="false">IF(AND(H2456&gt;='Exec Summary'!$E$1,H2456&lt;='Exec Summary'!$E$2),1,0)</f>
        <v>0</v>
      </c>
      <c r="T2456" s="7" t="n">
        <f aca="false">IF(AND(F2456="Closed",I2456&lt;&gt;"",I2456&gt;='Exec Summary'!$E$1,I2456&lt;='Exec Summary'!$E$2),1,0)</f>
        <v>0</v>
      </c>
      <c r="U2456" s="7" t="n">
        <f aca="false">IF(F2456="Reopened",1,0)</f>
        <v>0</v>
      </c>
      <c r="V2456" s="7" t="n">
        <f aca="false">IF(AND(R2456=1,O2456&gt;Q2456),1,0)</f>
        <v>1</v>
      </c>
      <c r="W2456" s="7" t="n">
        <f aca="false">IF(AND(T2456=1,P2456&lt;&gt;"",P2456&lt;=Q2456),1,0)</f>
        <v>0</v>
      </c>
    </row>
    <row r="2457" customFormat="false" ht="15" hidden="false" customHeight="false" outlineLevel="0" collapsed="false">
      <c r="A2457" s="7" t="s">
        <v>2918</v>
      </c>
      <c r="B2457" s="7" t="s">
        <v>46</v>
      </c>
      <c r="C2457" s="7" t="s">
        <v>79</v>
      </c>
      <c r="D2457" s="7" t="s">
        <v>166</v>
      </c>
      <c r="E2457" s="7" t="s">
        <v>167</v>
      </c>
      <c r="F2457" s="7" t="s">
        <v>50</v>
      </c>
      <c r="G2457" s="7" t="s">
        <v>19</v>
      </c>
      <c r="H2457" s="9" t="n">
        <v>46211</v>
      </c>
      <c r="I2457" s="9" t="n">
        <v>46217</v>
      </c>
      <c r="J2457" s="7" t="n">
        <v>9.8</v>
      </c>
      <c r="K2457" s="7" t="s">
        <v>2628</v>
      </c>
      <c r="L2457" s="7" t="s">
        <v>21</v>
      </c>
      <c r="M2457" s="7" t="s">
        <v>2921</v>
      </c>
      <c r="N2457" s="7" t="s">
        <v>58</v>
      </c>
      <c r="O2457" s="10" t="n">
        <f aca="false">'Exec Summary'!$E$2-H2457</f>
        <v>23</v>
      </c>
      <c r="P2457" s="10" t="n">
        <f aca="false">IF(I2457="","",I2457-H2457)</f>
        <v>6</v>
      </c>
      <c r="Q2457" s="10" t="n">
        <f aca="false">VLOOKUP(G2457,$AA$2:$AB$5,2,FALSE())</f>
        <v>15</v>
      </c>
      <c r="R2457" s="7" t="n">
        <f aca="false">IF(OR(F2457="Open",F2457="Reopened"),1,0)</f>
        <v>0</v>
      </c>
      <c r="S2457" s="7" t="n">
        <f aca="false">IF(AND(H2457&gt;='Exec Summary'!$E$1,H2457&lt;='Exec Summary'!$E$2),1,0)</f>
        <v>1</v>
      </c>
      <c r="T2457" s="7" t="n">
        <f aca="false">IF(AND(F2457="Closed",I2457&lt;&gt;"",I2457&gt;='Exec Summary'!$E$1,I2457&lt;='Exec Summary'!$E$2),1,0)</f>
        <v>1</v>
      </c>
      <c r="U2457" s="7" t="n">
        <f aca="false">IF(F2457="Reopened",1,0)</f>
        <v>0</v>
      </c>
      <c r="V2457" s="7" t="n">
        <f aca="false">IF(AND(R2457=1,O2457&gt;Q2457),1,0)</f>
        <v>0</v>
      </c>
      <c r="W2457" s="7" t="n">
        <f aca="false">IF(AND(T2457=1,P2457&lt;&gt;"",P2457&lt;=Q2457),1,0)</f>
        <v>1</v>
      </c>
    </row>
    <row r="2458" customFormat="false" ht="15" hidden="false" customHeight="false" outlineLevel="0" collapsed="false">
      <c r="A2458" s="7" t="s">
        <v>2922</v>
      </c>
      <c r="B2458" s="7" t="s">
        <v>46</v>
      </c>
      <c r="C2458" s="7" t="s">
        <v>128</v>
      </c>
      <c r="D2458" s="7" t="s">
        <v>91</v>
      </c>
      <c r="E2458" s="7" t="s">
        <v>92</v>
      </c>
      <c r="F2458" s="7" t="s">
        <v>56</v>
      </c>
      <c r="G2458" s="7" t="s">
        <v>20</v>
      </c>
      <c r="H2458" s="9" t="n">
        <v>46005</v>
      </c>
      <c r="I2458" s="9"/>
      <c r="J2458" s="7" t="n">
        <v>8.1</v>
      </c>
      <c r="K2458" s="7" t="s">
        <v>2628</v>
      </c>
      <c r="L2458" s="7" t="s">
        <v>21</v>
      </c>
      <c r="M2458" s="7" t="s">
        <v>2923</v>
      </c>
      <c r="N2458" s="7" t="s">
        <v>53</v>
      </c>
      <c r="O2458" s="10" t="n">
        <f aca="false">'Exec Summary'!$E$2-H2458</f>
        <v>229</v>
      </c>
      <c r="P2458" s="10" t="str">
        <f aca="false">IF(I2458="","",I2458-H2458)</f>
        <v/>
      </c>
      <c r="Q2458" s="10" t="n">
        <f aca="false">VLOOKUP(G2458,$AA$2:$AB$5,2,FALSE())</f>
        <v>30</v>
      </c>
      <c r="R2458" s="7" t="n">
        <f aca="false">IF(OR(F2458="Open",F2458="Reopened"),1,0)</f>
        <v>1</v>
      </c>
      <c r="S2458" s="7" t="n">
        <f aca="false">IF(AND(H2458&gt;='Exec Summary'!$E$1,H2458&lt;='Exec Summary'!$E$2),1,0)</f>
        <v>0</v>
      </c>
      <c r="T2458" s="7" t="n">
        <f aca="false">IF(AND(F2458="Closed",I2458&lt;&gt;"",I2458&gt;='Exec Summary'!$E$1,I2458&lt;='Exec Summary'!$E$2),1,0)</f>
        <v>0</v>
      </c>
      <c r="U2458" s="7" t="n">
        <f aca="false">IF(F2458="Reopened",1,0)</f>
        <v>0</v>
      </c>
      <c r="V2458" s="7" t="n">
        <f aca="false">IF(AND(R2458=1,O2458&gt;Q2458),1,0)</f>
        <v>1</v>
      </c>
      <c r="W2458" s="7" t="n">
        <f aca="false">IF(AND(T2458=1,P2458&lt;&gt;"",P2458&lt;=Q2458),1,0)</f>
        <v>0</v>
      </c>
    </row>
    <row r="2459" customFormat="false" ht="15" hidden="false" customHeight="false" outlineLevel="0" collapsed="false">
      <c r="A2459" s="7" t="s">
        <v>2922</v>
      </c>
      <c r="B2459" s="7" t="s">
        <v>46</v>
      </c>
      <c r="C2459" s="7" t="s">
        <v>128</v>
      </c>
      <c r="D2459" s="7" t="s">
        <v>81</v>
      </c>
      <c r="E2459" s="7" t="s">
        <v>82</v>
      </c>
      <c r="F2459" s="7" t="s">
        <v>50</v>
      </c>
      <c r="G2459" s="7" t="s">
        <v>20</v>
      </c>
      <c r="H2459" s="9" t="n">
        <v>46136</v>
      </c>
      <c r="I2459" s="9" t="n">
        <v>46152</v>
      </c>
      <c r="J2459" s="7" t="n">
        <v>7.8</v>
      </c>
      <c r="K2459" s="7" t="s">
        <v>2628</v>
      </c>
      <c r="L2459" s="7" t="s">
        <v>21</v>
      </c>
      <c r="M2459" s="7" t="s">
        <v>2924</v>
      </c>
      <c r="N2459" s="7" t="s">
        <v>53</v>
      </c>
      <c r="O2459" s="10" t="n">
        <f aca="false">'Exec Summary'!$E$2-H2459</f>
        <v>98</v>
      </c>
      <c r="P2459" s="10" t="n">
        <f aca="false">IF(I2459="","",I2459-H2459)</f>
        <v>16</v>
      </c>
      <c r="Q2459" s="10" t="n">
        <f aca="false">VLOOKUP(G2459,$AA$2:$AB$5,2,FALSE())</f>
        <v>30</v>
      </c>
      <c r="R2459" s="7" t="n">
        <f aca="false">IF(OR(F2459="Open",F2459="Reopened"),1,0)</f>
        <v>0</v>
      </c>
      <c r="S2459" s="7" t="n">
        <f aca="false">IF(AND(H2459&gt;='Exec Summary'!$E$1,H2459&lt;='Exec Summary'!$E$2),1,0)</f>
        <v>0</v>
      </c>
      <c r="T2459" s="7" t="n">
        <f aca="false">IF(AND(F2459="Closed",I2459&lt;&gt;"",I2459&gt;='Exec Summary'!$E$1,I2459&lt;='Exec Summary'!$E$2),1,0)</f>
        <v>0</v>
      </c>
      <c r="U2459" s="7" t="n">
        <f aca="false">IF(F2459="Reopened",1,0)</f>
        <v>0</v>
      </c>
      <c r="V2459" s="7" t="n">
        <f aca="false">IF(AND(R2459=1,O2459&gt;Q2459),1,0)</f>
        <v>0</v>
      </c>
      <c r="W2459" s="7" t="n">
        <f aca="false">IF(AND(T2459=1,P2459&lt;&gt;"",P2459&lt;=Q2459),1,0)</f>
        <v>0</v>
      </c>
    </row>
    <row r="2460" customFormat="false" ht="15" hidden="false" customHeight="false" outlineLevel="0" collapsed="false">
      <c r="A2460" s="7" t="s">
        <v>2922</v>
      </c>
      <c r="B2460" s="7" t="s">
        <v>46</v>
      </c>
      <c r="C2460" s="7" t="s">
        <v>128</v>
      </c>
      <c r="D2460" s="7" t="s">
        <v>117</v>
      </c>
      <c r="E2460" s="7" t="s">
        <v>118</v>
      </c>
      <c r="F2460" s="7" t="s">
        <v>123</v>
      </c>
      <c r="G2460" s="7" t="s">
        <v>19</v>
      </c>
      <c r="H2460" s="9" t="n">
        <v>46200</v>
      </c>
      <c r="I2460" s="9" t="n">
        <v>46212</v>
      </c>
      <c r="J2460" s="7" t="n">
        <v>10</v>
      </c>
      <c r="K2460" s="7" t="s">
        <v>2628</v>
      </c>
      <c r="L2460" s="7" t="s">
        <v>21</v>
      </c>
      <c r="M2460" s="7" t="s">
        <v>2925</v>
      </c>
      <c r="N2460" s="7" t="s">
        <v>58</v>
      </c>
      <c r="O2460" s="10" t="n">
        <f aca="false">'Exec Summary'!$E$2-H2460</f>
        <v>34</v>
      </c>
      <c r="P2460" s="10" t="n">
        <f aca="false">IF(I2460="","",I2460-H2460)</f>
        <v>12</v>
      </c>
      <c r="Q2460" s="10" t="n">
        <f aca="false">VLOOKUP(G2460,$AA$2:$AB$5,2,FALSE())</f>
        <v>15</v>
      </c>
      <c r="R2460" s="7" t="n">
        <f aca="false">IF(OR(F2460="Open",F2460="Reopened"),1,0)</f>
        <v>1</v>
      </c>
      <c r="S2460" s="7" t="n">
        <f aca="false">IF(AND(H2460&gt;='Exec Summary'!$E$1,H2460&lt;='Exec Summary'!$E$2),1,0)</f>
        <v>0</v>
      </c>
      <c r="T2460" s="7" t="n">
        <f aca="false">IF(AND(F2460="Closed",I2460&lt;&gt;"",I2460&gt;='Exec Summary'!$E$1,I2460&lt;='Exec Summary'!$E$2),1,0)</f>
        <v>0</v>
      </c>
      <c r="U2460" s="7" t="n">
        <f aca="false">IF(F2460="Reopened",1,0)</f>
        <v>1</v>
      </c>
      <c r="V2460" s="7" t="n">
        <f aca="false">IF(AND(R2460=1,O2460&gt;Q2460),1,0)</f>
        <v>1</v>
      </c>
      <c r="W2460" s="7" t="n">
        <f aca="false">IF(AND(T2460=1,P2460&lt;&gt;"",P2460&lt;=Q2460),1,0)</f>
        <v>0</v>
      </c>
    </row>
    <row r="2461" customFormat="false" ht="15" hidden="false" customHeight="false" outlineLevel="0" collapsed="false">
      <c r="A2461" s="7" t="s">
        <v>2922</v>
      </c>
      <c r="B2461" s="7" t="s">
        <v>46</v>
      </c>
      <c r="C2461" s="7" t="s">
        <v>128</v>
      </c>
      <c r="D2461" s="7" t="s">
        <v>48</v>
      </c>
      <c r="E2461" s="7" t="s">
        <v>49</v>
      </c>
      <c r="F2461" s="7" t="s">
        <v>56</v>
      </c>
      <c r="G2461" s="7" t="s">
        <v>20</v>
      </c>
      <c r="H2461" s="9" t="n">
        <v>46050</v>
      </c>
      <c r="I2461" s="9"/>
      <c r="J2461" s="7" t="n">
        <v>7.5</v>
      </c>
      <c r="K2461" s="7" t="s">
        <v>2628</v>
      </c>
      <c r="L2461" s="7" t="s">
        <v>21</v>
      </c>
      <c r="M2461" s="7" t="s">
        <v>2926</v>
      </c>
      <c r="N2461" s="7" t="s">
        <v>53</v>
      </c>
      <c r="O2461" s="10" t="n">
        <f aca="false">'Exec Summary'!$E$2-H2461</f>
        <v>184</v>
      </c>
      <c r="P2461" s="10" t="str">
        <f aca="false">IF(I2461="","",I2461-H2461)</f>
        <v/>
      </c>
      <c r="Q2461" s="10" t="n">
        <f aca="false">VLOOKUP(G2461,$AA$2:$AB$5,2,FALSE())</f>
        <v>30</v>
      </c>
      <c r="R2461" s="7" t="n">
        <f aca="false">IF(OR(F2461="Open",F2461="Reopened"),1,0)</f>
        <v>1</v>
      </c>
      <c r="S2461" s="7" t="n">
        <f aca="false">IF(AND(H2461&gt;='Exec Summary'!$E$1,H2461&lt;='Exec Summary'!$E$2),1,0)</f>
        <v>0</v>
      </c>
      <c r="T2461" s="7" t="n">
        <f aca="false">IF(AND(F2461="Closed",I2461&lt;&gt;"",I2461&gt;='Exec Summary'!$E$1,I2461&lt;='Exec Summary'!$E$2),1,0)</f>
        <v>0</v>
      </c>
      <c r="U2461" s="7" t="n">
        <f aca="false">IF(F2461="Reopened",1,0)</f>
        <v>0</v>
      </c>
      <c r="V2461" s="7" t="n">
        <f aca="false">IF(AND(R2461=1,O2461&gt;Q2461),1,0)</f>
        <v>1</v>
      </c>
      <c r="W2461" s="7" t="n">
        <f aca="false">IF(AND(T2461=1,P2461&lt;&gt;"",P2461&lt;=Q2461),1,0)</f>
        <v>0</v>
      </c>
    </row>
    <row r="2462" customFormat="false" ht="15" hidden="false" customHeight="false" outlineLevel="0" collapsed="false">
      <c r="A2462" s="7" t="s">
        <v>2922</v>
      </c>
      <c r="B2462" s="7" t="s">
        <v>46</v>
      </c>
      <c r="C2462" s="7" t="s">
        <v>128</v>
      </c>
      <c r="D2462" s="7" t="s">
        <v>192</v>
      </c>
      <c r="E2462" s="7" t="s">
        <v>193</v>
      </c>
      <c r="F2462" s="7" t="s">
        <v>50</v>
      </c>
      <c r="G2462" s="7" t="s">
        <v>19</v>
      </c>
      <c r="H2462" s="9" t="n">
        <v>46184</v>
      </c>
      <c r="I2462" s="9" t="n">
        <v>46193</v>
      </c>
      <c r="J2462" s="7" t="n">
        <v>9.8</v>
      </c>
      <c r="K2462" s="7" t="s">
        <v>2628</v>
      </c>
      <c r="L2462" s="7" t="s">
        <v>21</v>
      </c>
      <c r="M2462" s="7" t="s">
        <v>2927</v>
      </c>
      <c r="N2462" s="7" t="s">
        <v>58</v>
      </c>
      <c r="O2462" s="10" t="n">
        <f aca="false">'Exec Summary'!$E$2-H2462</f>
        <v>50</v>
      </c>
      <c r="P2462" s="10" t="n">
        <f aca="false">IF(I2462="","",I2462-H2462)</f>
        <v>9</v>
      </c>
      <c r="Q2462" s="10" t="n">
        <f aca="false">VLOOKUP(G2462,$AA$2:$AB$5,2,FALSE())</f>
        <v>15</v>
      </c>
      <c r="R2462" s="7" t="n">
        <f aca="false">IF(OR(F2462="Open",F2462="Reopened"),1,0)</f>
        <v>0</v>
      </c>
      <c r="S2462" s="7" t="n">
        <f aca="false">IF(AND(H2462&gt;='Exec Summary'!$E$1,H2462&lt;='Exec Summary'!$E$2),1,0)</f>
        <v>0</v>
      </c>
      <c r="T2462" s="7" t="n">
        <f aca="false">IF(AND(F2462="Closed",I2462&lt;&gt;"",I2462&gt;='Exec Summary'!$E$1,I2462&lt;='Exec Summary'!$E$2),1,0)</f>
        <v>0</v>
      </c>
      <c r="U2462" s="7" t="n">
        <f aca="false">IF(F2462="Reopened",1,0)</f>
        <v>0</v>
      </c>
      <c r="V2462" s="7" t="n">
        <f aca="false">IF(AND(R2462=1,O2462&gt;Q2462),1,0)</f>
        <v>0</v>
      </c>
      <c r="W2462" s="7" t="n">
        <f aca="false">IF(AND(T2462=1,P2462&lt;&gt;"",P2462&lt;=Q2462),1,0)</f>
        <v>0</v>
      </c>
    </row>
    <row r="2463" customFormat="false" ht="15" hidden="false" customHeight="false" outlineLevel="0" collapsed="false">
      <c r="A2463" s="7" t="s">
        <v>2922</v>
      </c>
      <c r="B2463" s="7" t="s">
        <v>46</v>
      </c>
      <c r="C2463" s="7" t="s">
        <v>128</v>
      </c>
      <c r="D2463" s="7" t="s">
        <v>163</v>
      </c>
      <c r="E2463" s="7" t="s">
        <v>164</v>
      </c>
      <c r="F2463" s="7" t="s">
        <v>56</v>
      </c>
      <c r="G2463" s="7" t="s">
        <v>19</v>
      </c>
      <c r="H2463" s="9" t="n">
        <v>46201</v>
      </c>
      <c r="I2463" s="9"/>
      <c r="J2463" s="7" t="n">
        <v>9.1</v>
      </c>
      <c r="K2463" s="7" t="s">
        <v>2628</v>
      </c>
      <c r="L2463" s="7" t="s">
        <v>21</v>
      </c>
      <c r="M2463" s="7" t="s">
        <v>2928</v>
      </c>
      <c r="N2463" s="7" t="s">
        <v>58</v>
      </c>
      <c r="O2463" s="10" t="n">
        <f aca="false">'Exec Summary'!$E$2-H2463</f>
        <v>33</v>
      </c>
      <c r="P2463" s="10" t="str">
        <f aca="false">IF(I2463="","",I2463-H2463)</f>
        <v/>
      </c>
      <c r="Q2463" s="10" t="n">
        <f aca="false">VLOOKUP(G2463,$AA$2:$AB$5,2,FALSE())</f>
        <v>15</v>
      </c>
      <c r="R2463" s="7" t="n">
        <f aca="false">IF(OR(F2463="Open",F2463="Reopened"),1,0)</f>
        <v>1</v>
      </c>
      <c r="S2463" s="7" t="n">
        <f aca="false">IF(AND(H2463&gt;='Exec Summary'!$E$1,H2463&lt;='Exec Summary'!$E$2),1,0)</f>
        <v>0</v>
      </c>
      <c r="T2463" s="7" t="n">
        <f aca="false">IF(AND(F2463="Closed",I2463&lt;&gt;"",I2463&gt;='Exec Summary'!$E$1,I2463&lt;='Exec Summary'!$E$2),1,0)</f>
        <v>0</v>
      </c>
      <c r="U2463" s="7" t="n">
        <f aca="false">IF(F2463="Reopened",1,0)</f>
        <v>0</v>
      </c>
      <c r="V2463" s="7" t="n">
        <f aca="false">IF(AND(R2463=1,O2463&gt;Q2463),1,0)</f>
        <v>1</v>
      </c>
      <c r="W2463" s="7" t="n">
        <f aca="false">IF(AND(T2463=1,P2463&lt;&gt;"",P2463&lt;=Q2463),1,0)</f>
        <v>0</v>
      </c>
    </row>
    <row r="2464" customFormat="false" ht="15" hidden="false" customHeight="false" outlineLevel="0" collapsed="false">
      <c r="A2464" s="7" t="s">
        <v>2922</v>
      </c>
      <c r="B2464" s="7" t="s">
        <v>46</v>
      </c>
      <c r="C2464" s="7" t="s">
        <v>128</v>
      </c>
      <c r="D2464" s="7" t="s">
        <v>108</v>
      </c>
      <c r="E2464" s="7" t="s">
        <v>109</v>
      </c>
      <c r="F2464" s="7" t="s">
        <v>50</v>
      </c>
      <c r="G2464" s="7" t="s">
        <v>20</v>
      </c>
      <c r="H2464" s="9" t="n">
        <v>46046</v>
      </c>
      <c r="I2464" s="9" t="n">
        <v>46047</v>
      </c>
      <c r="J2464" s="7" t="n">
        <v>8.6</v>
      </c>
      <c r="K2464" s="7" t="s">
        <v>2628</v>
      </c>
      <c r="L2464" s="7" t="s">
        <v>21</v>
      </c>
      <c r="M2464" s="7" t="s">
        <v>2929</v>
      </c>
      <c r="N2464" s="7" t="s">
        <v>53</v>
      </c>
      <c r="O2464" s="10" t="n">
        <f aca="false">'Exec Summary'!$E$2-H2464</f>
        <v>188</v>
      </c>
      <c r="P2464" s="10" t="n">
        <f aca="false">IF(I2464="","",I2464-H2464)</f>
        <v>1</v>
      </c>
      <c r="Q2464" s="10" t="n">
        <f aca="false">VLOOKUP(G2464,$AA$2:$AB$5,2,FALSE())</f>
        <v>30</v>
      </c>
      <c r="R2464" s="7" t="n">
        <f aca="false">IF(OR(F2464="Open",F2464="Reopened"),1,0)</f>
        <v>0</v>
      </c>
      <c r="S2464" s="7" t="n">
        <f aca="false">IF(AND(H2464&gt;='Exec Summary'!$E$1,H2464&lt;='Exec Summary'!$E$2),1,0)</f>
        <v>0</v>
      </c>
      <c r="T2464" s="7" t="n">
        <f aca="false">IF(AND(F2464="Closed",I2464&lt;&gt;"",I2464&gt;='Exec Summary'!$E$1,I2464&lt;='Exec Summary'!$E$2),1,0)</f>
        <v>0</v>
      </c>
      <c r="U2464" s="7" t="n">
        <f aca="false">IF(F2464="Reopened",1,0)</f>
        <v>0</v>
      </c>
      <c r="V2464" s="7" t="n">
        <f aca="false">IF(AND(R2464=1,O2464&gt;Q2464),1,0)</f>
        <v>0</v>
      </c>
      <c r="W2464" s="7" t="n">
        <f aca="false">IF(AND(T2464=1,P2464&lt;&gt;"",P2464&lt;=Q2464),1,0)</f>
        <v>0</v>
      </c>
    </row>
    <row r="2465" customFormat="false" ht="15" hidden="false" customHeight="false" outlineLevel="0" collapsed="false">
      <c r="A2465" s="7" t="s">
        <v>2922</v>
      </c>
      <c r="B2465" s="7" t="s">
        <v>46</v>
      </c>
      <c r="C2465" s="7" t="s">
        <v>128</v>
      </c>
      <c r="D2465" s="7" t="s">
        <v>104</v>
      </c>
      <c r="E2465" s="7" t="s">
        <v>105</v>
      </c>
      <c r="F2465" s="7" t="s">
        <v>56</v>
      </c>
      <c r="G2465" s="7" t="s">
        <v>19</v>
      </c>
      <c r="H2465" s="9" t="n">
        <v>46049</v>
      </c>
      <c r="I2465" s="9"/>
      <c r="J2465" s="7" t="n">
        <v>9.8</v>
      </c>
      <c r="K2465" s="7" t="s">
        <v>2628</v>
      </c>
      <c r="L2465" s="7" t="s">
        <v>21</v>
      </c>
      <c r="M2465" s="7" t="s">
        <v>2930</v>
      </c>
      <c r="N2465" s="7" t="s">
        <v>58</v>
      </c>
      <c r="O2465" s="10" t="n">
        <f aca="false">'Exec Summary'!$E$2-H2465</f>
        <v>185</v>
      </c>
      <c r="P2465" s="10" t="str">
        <f aca="false">IF(I2465="","",I2465-H2465)</f>
        <v/>
      </c>
      <c r="Q2465" s="10" t="n">
        <f aca="false">VLOOKUP(G2465,$AA$2:$AB$5,2,FALSE())</f>
        <v>15</v>
      </c>
      <c r="R2465" s="7" t="n">
        <f aca="false">IF(OR(F2465="Open",F2465="Reopened"),1,0)</f>
        <v>1</v>
      </c>
      <c r="S2465" s="7" t="n">
        <f aca="false">IF(AND(H2465&gt;='Exec Summary'!$E$1,H2465&lt;='Exec Summary'!$E$2),1,0)</f>
        <v>0</v>
      </c>
      <c r="T2465" s="7" t="n">
        <f aca="false">IF(AND(F2465="Closed",I2465&lt;&gt;"",I2465&gt;='Exec Summary'!$E$1,I2465&lt;='Exec Summary'!$E$2),1,0)</f>
        <v>0</v>
      </c>
      <c r="U2465" s="7" t="n">
        <f aca="false">IF(F2465="Reopened",1,0)</f>
        <v>0</v>
      </c>
      <c r="V2465" s="7" t="n">
        <f aca="false">IF(AND(R2465=1,O2465&gt;Q2465),1,0)</f>
        <v>1</v>
      </c>
      <c r="W2465" s="7" t="n">
        <f aca="false">IF(AND(T2465=1,P2465&lt;&gt;"",P2465&lt;=Q2465),1,0)</f>
        <v>0</v>
      </c>
    </row>
    <row r="2466" customFormat="false" ht="15" hidden="false" customHeight="false" outlineLevel="0" collapsed="false">
      <c r="A2466" s="7" t="s">
        <v>2922</v>
      </c>
      <c r="B2466" s="7" t="s">
        <v>46</v>
      </c>
      <c r="C2466" s="7" t="s">
        <v>128</v>
      </c>
      <c r="D2466" s="7" t="s">
        <v>68</v>
      </c>
      <c r="E2466" s="7" t="s">
        <v>69</v>
      </c>
      <c r="F2466" s="7" t="s">
        <v>56</v>
      </c>
      <c r="G2466" s="7" t="s">
        <v>19</v>
      </c>
      <c r="H2466" s="9" t="n">
        <v>46013</v>
      </c>
      <c r="I2466" s="9"/>
      <c r="J2466" s="7" t="n">
        <v>9.8</v>
      </c>
      <c r="K2466" s="7" t="s">
        <v>2628</v>
      </c>
      <c r="L2466" s="7" t="s">
        <v>21</v>
      </c>
      <c r="M2466" s="7" t="s">
        <v>2931</v>
      </c>
      <c r="N2466" s="7" t="s">
        <v>58</v>
      </c>
      <c r="O2466" s="10" t="n">
        <f aca="false">'Exec Summary'!$E$2-H2466</f>
        <v>221</v>
      </c>
      <c r="P2466" s="10" t="str">
        <f aca="false">IF(I2466="","",I2466-H2466)</f>
        <v/>
      </c>
      <c r="Q2466" s="10" t="n">
        <f aca="false">VLOOKUP(G2466,$AA$2:$AB$5,2,FALSE())</f>
        <v>15</v>
      </c>
      <c r="R2466" s="7" t="n">
        <f aca="false">IF(OR(F2466="Open",F2466="Reopened"),1,0)</f>
        <v>1</v>
      </c>
      <c r="S2466" s="7" t="n">
        <f aca="false">IF(AND(H2466&gt;='Exec Summary'!$E$1,H2466&lt;='Exec Summary'!$E$2),1,0)</f>
        <v>0</v>
      </c>
      <c r="T2466" s="7" t="n">
        <f aca="false">IF(AND(F2466="Closed",I2466&lt;&gt;"",I2466&gt;='Exec Summary'!$E$1,I2466&lt;='Exec Summary'!$E$2),1,0)</f>
        <v>0</v>
      </c>
      <c r="U2466" s="7" t="n">
        <f aca="false">IF(F2466="Reopened",1,0)</f>
        <v>0</v>
      </c>
      <c r="V2466" s="7" t="n">
        <f aca="false">IF(AND(R2466=1,O2466&gt;Q2466),1,0)</f>
        <v>1</v>
      </c>
      <c r="W2466" s="7" t="n">
        <f aca="false">IF(AND(T2466=1,P2466&lt;&gt;"",P2466&lt;=Q2466),1,0)</f>
        <v>0</v>
      </c>
    </row>
    <row r="2467" customFormat="false" ht="15" hidden="false" customHeight="false" outlineLevel="0" collapsed="false">
      <c r="A2467" s="7" t="s">
        <v>2922</v>
      </c>
      <c r="B2467" s="7" t="s">
        <v>46</v>
      </c>
      <c r="C2467" s="7" t="s">
        <v>128</v>
      </c>
      <c r="D2467" s="7" t="s">
        <v>65</v>
      </c>
      <c r="E2467" s="7" t="s">
        <v>66</v>
      </c>
      <c r="F2467" s="7" t="s">
        <v>56</v>
      </c>
      <c r="G2467" s="7" t="s">
        <v>19</v>
      </c>
      <c r="H2467" s="9" t="n">
        <v>45934</v>
      </c>
      <c r="I2467" s="9"/>
      <c r="J2467" s="7" t="n">
        <v>9.8</v>
      </c>
      <c r="K2467" s="7" t="s">
        <v>2628</v>
      </c>
      <c r="L2467" s="7" t="s">
        <v>21</v>
      </c>
      <c r="M2467" s="7" t="s">
        <v>2932</v>
      </c>
      <c r="N2467" s="7" t="s">
        <v>58</v>
      </c>
      <c r="O2467" s="10" t="n">
        <f aca="false">'Exec Summary'!$E$2-H2467</f>
        <v>300</v>
      </c>
      <c r="P2467" s="10" t="str">
        <f aca="false">IF(I2467="","",I2467-H2467)</f>
        <v/>
      </c>
      <c r="Q2467" s="10" t="n">
        <f aca="false">VLOOKUP(G2467,$AA$2:$AB$5,2,FALSE())</f>
        <v>15</v>
      </c>
      <c r="R2467" s="7" t="n">
        <f aca="false">IF(OR(F2467="Open",F2467="Reopened"),1,0)</f>
        <v>1</v>
      </c>
      <c r="S2467" s="7" t="n">
        <f aca="false">IF(AND(H2467&gt;='Exec Summary'!$E$1,H2467&lt;='Exec Summary'!$E$2),1,0)</f>
        <v>0</v>
      </c>
      <c r="T2467" s="7" t="n">
        <f aca="false">IF(AND(F2467="Closed",I2467&lt;&gt;"",I2467&gt;='Exec Summary'!$E$1,I2467&lt;='Exec Summary'!$E$2),1,0)</f>
        <v>0</v>
      </c>
      <c r="U2467" s="7" t="n">
        <f aca="false">IF(F2467="Reopened",1,0)</f>
        <v>0</v>
      </c>
      <c r="V2467" s="7" t="n">
        <f aca="false">IF(AND(R2467=1,O2467&gt;Q2467),1,0)</f>
        <v>1</v>
      </c>
      <c r="W2467" s="7" t="n">
        <f aca="false">IF(AND(T2467=1,P2467&lt;&gt;"",P2467&lt;=Q2467),1,0)</f>
        <v>0</v>
      </c>
    </row>
    <row r="2468" customFormat="false" ht="15" hidden="false" customHeight="false" outlineLevel="0" collapsed="false">
      <c r="A2468" s="7" t="s">
        <v>2922</v>
      </c>
      <c r="B2468" s="7" t="s">
        <v>46</v>
      </c>
      <c r="C2468" s="7" t="s">
        <v>128</v>
      </c>
      <c r="D2468" s="7" t="s">
        <v>152</v>
      </c>
      <c r="E2468" s="7" t="s">
        <v>153</v>
      </c>
      <c r="F2468" s="7" t="s">
        <v>50</v>
      </c>
      <c r="G2468" s="7" t="s">
        <v>20</v>
      </c>
      <c r="H2468" s="9" t="n">
        <v>45989</v>
      </c>
      <c r="I2468" s="9" t="n">
        <v>46029</v>
      </c>
      <c r="J2468" s="7" t="n">
        <v>7.5</v>
      </c>
      <c r="K2468" s="7" t="s">
        <v>2628</v>
      </c>
      <c r="L2468" s="7" t="s">
        <v>21</v>
      </c>
      <c r="M2468" s="7" t="s">
        <v>2933</v>
      </c>
      <c r="N2468" s="7" t="s">
        <v>53</v>
      </c>
      <c r="O2468" s="10" t="n">
        <f aca="false">'Exec Summary'!$E$2-H2468</f>
        <v>245</v>
      </c>
      <c r="P2468" s="10" t="n">
        <f aca="false">IF(I2468="","",I2468-H2468)</f>
        <v>40</v>
      </c>
      <c r="Q2468" s="10" t="n">
        <f aca="false">VLOOKUP(G2468,$AA$2:$AB$5,2,FALSE())</f>
        <v>30</v>
      </c>
      <c r="R2468" s="7" t="n">
        <f aca="false">IF(OR(F2468="Open",F2468="Reopened"),1,0)</f>
        <v>0</v>
      </c>
      <c r="S2468" s="7" t="n">
        <f aca="false">IF(AND(H2468&gt;='Exec Summary'!$E$1,H2468&lt;='Exec Summary'!$E$2),1,0)</f>
        <v>0</v>
      </c>
      <c r="T2468" s="7" t="n">
        <f aca="false">IF(AND(F2468="Closed",I2468&lt;&gt;"",I2468&gt;='Exec Summary'!$E$1,I2468&lt;='Exec Summary'!$E$2),1,0)</f>
        <v>0</v>
      </c>
      <c r="U2468" s="7" t="n">
        <f aca="false">IF(F2468="Reopened",1,0)</f>
        <v>0</v>
      </c>
      <c r="V2468" s="7" t="n">
        <f aca="false">IF(AND(R2468=1,O2468&gt;Q2468),1,0)</f>
        <v>0</v>
      </c>
      <c r="W2468" s="7" t="n">
        <f aca="false">IF(AND(T2468=1,P2468&lt;&gt;"",P2468&lt;=Q2468),1,0)</f>
        <v>0</v>
      </c>
    </row>
    <row r="2469" customFormat="false" ht="15" hidden="false" customHeight="false" outlineLevel="0" collapsed="false">
      <c r="A2469" s="7" t="s">
        <v>2922</v>
      </c>
      <c r="B2469" s="7" t="s">
        <v>46</v>
      </c>
      <c r="C2469" s="7" t="s">
        <v>128</v>
      </c>
      <c r="D2469" s="7" t="s">
        <v>74</v>
      </c>
      <c r="E2469" s="7" t="s">
        <v>75</v>
      </c>
      <c r="F2469" s="7" t="s">
        <v>56</v>
      </c>
      <c r="G2469" s="7" t="s">
        <v>21</v>
      </c>
      <c r="H2469" s="9" t="n">
        <v>46089</v>
      </c>
      <c r="I2469" s="9"/>
      <c r="J2469" s="7" t="n">
        <v>6.5</v>
      </c>
      <c r="K2469" s="7" t="s">
        <v>2628</v>
      </c>
      <c r="L2469" s="7" t="s">
        <v>21</v>
      </c>
      <c r="M2469" s="7" t="s">
        <v>2934</v>
      </c>
      <c r="N2469" s="7" t="s">
        <v>77</v>
      </c>
      <c r="O2469" s="10" t="n">
        <f aca="false">'Exec Summary'!$E$2-H2469</f>
        <v>145</v>
      </c>
      <c r="P2469" s="10" t="str">
        <f aca="false">IF(I2469="","",I2469-H2469)</f>
        <v/>
      </c>
      <c r="Q2469" s="10" t="n">
        <f aca="false">VLOOKUP(G2469,$AA$2:$AB$5,2,FALSE())</f>
        <v>90</v>
      </c>
      <c r="R2469" s="7" t="n">
        <f aca="false">IF(OR(F2469="Open",F2469="Reopened"),1,0)</f>
        <v>1</v>
      </c>
      <c r="S2469" s="7" t="n">
        <f aca="false">IF(AND(H2469&gt;='Exec Summary'!$E$1,H2469&lt;='Exec Summary'!$E$2),1,0)</f>
        <v>0</v>
      </c>
      <c r="T2469" s="7" t="n">
        <f aca="false">IF(AND(F2469="Closed",I2469&lt;&gt;"",I2469&gt;='Exec Summary'!$E$1,I2469&lt;='Exec Summary'!$E$2),1,0)</f>
        <v>0</v>
      </c>
      <c r="U2469" s="7" t="n">
        <f aca="false">IF(F2469="Reopened",1,0)</f>
        <v>0</v>
      </c>
      <c r="V2469" s="7" t="n">
        <f aca="false">IF(AND(R2469=1,O2469&gt;Q2469),1,0)</f>
        <v>1</v>
      </c>
      <c r="W2469" s="7" t="n">
        <f aca="false">IF(AND(T2469=1,P2469&lt;&gt;"",P2469&lt;=Q2469),1,0)</f>
        <v>0</v>
      </c>
    </row>
    <row r="2470" customFormat="false" ht="15" hidden="false" customHeight="false" outlineLevel="0" collapsed="false">
      <c r="A2470" s="7" t="s">
        <v>2922</v>
      </c>
      <c r="B2470" s="7" t="s">
        <v>46</v>
      </c>
      <c r="C2470" s="7" t="s">
        <v>128</v>
      </c>
      <c r="D2470" s="7" t="s">
        <v>59</v>
      </c>
      <c r="E2470" s="7" t="s">
        <v>60</v>
      </c>
      <c r="F2470" s="7" t="s">
        <v>123</v>
      </c>
      <c r="G2470" s="7" t="s">
        <v>19</v>
      </c>
      <c r="H2470" s="9" t="n">
        <v>46031</v>
      </c>
      <c r="I2470" s="9" t="n">
        <v>46037</v>
      </c>
      <c r="J2470" s="7" t="n">
        <v>7.8</v>
      </c>
      <c r="K2470" s="7" t="s">
        <v>2628</v>
      </c>
      <c r="L2470" s="7" t="s">
        <v>21</v>
      </c>
      <c r="M2470" s="7" t="s">
        <v>2935</v>
      </c>
      <c r="N2470" s="7" t="s">
        <v>58</v>
      </c>
      <c r="O2470" s="10" t="n">
        <f aca="false">'Exec Summary'!$E$2-H2470</f>
        <v>203</v>
      </c>
      <c r="P2470" s="10" t="n">
        <f aca="false">IF(I2470="","",I2470-H2470)</f>
        <v>6</v>
      </c>
      <c r="Q2470" s="10" t="n">
        <f aca="false">VLOOKUP(G2470,$AA$2:$AB$5,2,FALSE())</f>
        <v>15</v>
      </c>
      <c r="R2470" s="7" t="n">
        <f aca="false">IF(OR(F2470="Open",F2470="Reopened"),1,0)</f>
        <v>1</v>
      </c>
      <c r="S2470" s="7" t="n">
        <f aca="false">IF(AND(H2470&gt;='Exec Summary'!$E$1,H2470&lt;='Exec Summary'!$E$2),1,0)</f>
        <v>0</v>
      </c>
      <c r="T2470" s="7" t="n">
        <f aca="false">IF(AND(F2470="Closed",I2470&lt;&gt;"",I2470&gt;='Exec Summary'!$E$1,I2470&lt;='Exec Summary'!$E$2),1,0)</f>
        <v>0</v>
      </c>
      <c r="U2470" s="7" t="n">
        <f aca="false">IF(F2470="Reopened",1,0)</f>
        <v>1</v>
      </c>
      <c r="V2470" s="7" t="n">
        <f aca="false">IF(AND(R2470=1,O2470&gt;Q2470),1,0)</f>
        <v>1</v>
      </c>
      <c r="W2470" s="7" t="n">
        <f aca="false">IF(AND(T2470=1,P2470&lt;&gt;"",P2470&lt;=Q2470),1,0)</f>
        <v>0</v>
      </c>
    </row>
    <row r="2471" customFormat="false" ht="15" hidden="false" customHeight="false" outlineLevel="0" collapsed="false">
      <c r="A2471" s="7" t="s">
        <v>2936</v>
      </c>
      <c r="B2471" s="7" t="s">
        <v>46</v>
      </c>
      <c r="C2471" s="7" t="s">
        <v>158</v>
      </c>
      <c r="D2471" s="7" t="s">
        <v>117</v>
      </c>
      <c r="E2471" s="7" t="s">
        <v>118</v>
      </c>
      <c r="F2471" s="7" t="s">
        <v>50</v>
      </c>
      <c r="G2471" s="7" t="s">
        <v>19</v>
      </c>
      <c r="H2471" s="9" t="n">
        <v>46109</v>
      </c>
      <c r="I2471" s="9" t="n">
        <v>46122</v>
      </c>
      <c r="J2471" s="7" t="n">
        <v>10</v>
      </c>
      <c r="K2471" s="7" t="s">
        <v>2628</v>
      </c>
      <c r="L2471" s="7" t="s">
        <v>21</v>
      </c>
      <c r="M2471" s="7" t="s">
        <v>2937</v>
      </c>
      <c r="N2471" s="7" t="s">
        <v>58</v>
      </c>
      <c r="O2471" s="10" t="n">
        <f aca="false">'Exec Summary'!$E$2-H2471</f>
        <v>125</v>
      </c>
      <c r="P2471" s="10" t="n">
        <f aca="false">IF(I2471="","",I2471-H2471)</f>
        <v>13</v>
      </c>
      <c r="Q2471" s="10" t="n">
        <f aca="false">VLOOKUP(G2471,$AA$2:$AB$5,2,FALSE())</f>
        <v>15</v>
      </c>
      <c r="R2471" s="7" t="n">
        <f aca="false">IF(OR(F2471="Open",F2471="Reopened"),1,0)</f>
        <v>0</v>
      </c>
      <c r="S2471" s="7" t="n">
        <f aca="false">IF(AND(H2471&gt;='Exec Summary'!$E$1,H2471&lt;='Exec Summary'!$E$2),1,0)</f>
        <v>0</v>
      </c>
      <c r="T2471" s="7" t="n">
        <f aca="false">IF(AND(F2471="Closed",I2471&lt;&gt;"",I2471&gt;='Exec Summary'!$E$1,I2471&lt;='Exec Summary'!$E$2),1,0)</f>
        <v>0</v>
      </c>
      <c r="U2471" s="7" t="n">
        <f aca="false">IF(F2471="Reopened",1,0)</f>
        <v>0</v>
      </c>
      <c r="V2471" s="7" t="n">
        <f aca="false">IF(AND(R2471=1,O2471&gt;Q2471),1,0)</f>
        <v>0</v>
      </c>
      <c r="W2471" s="7" t="n">
        <f aca="false">IF(AND(T2471=1,P2471&lt;&gt;"",P2471&lt;=Q2471),1,0)</f>
        <v>0</v>
      </c>
    </row>
    <row r="2472" customFormat="false" ht="15" hidden="false" customHeight="false" outlineLevel="0" collapsed="false">
      <c r="A2472" s="7" t="s">
        <v>2936</v>
      </c>
      <c r="B2472" s="7" t="s">
        <v>46</v>
      </c>
      <c r="C2472" s="7" t="s">
        <v>158</v>
      </c>
      <c r="D2472" s="7" t="s">
        <v>145</v>
      </c>
      <c r="E2472" s="7" t="s">
        <v>146</v>
      </c>
      <c r="F2472" s="7" t="s">
        <v>56</v>
      </c>
      <c r="G2472" s="7" t="s">
        <v>19</v>
      </c>
      <c r="H2472" s="9" t="n">
        <v>45955</v>
      </c>
      <c r="I2472" s="9"/>
      <c r="J2472" s="7" t="n">
        <v>9.8</v>
      </c>
      <c r="K2472" s="7" t="s">
        <v>2628</v>
      </c>
      <c r="L2472" s="7" t="s">
        <v>21</v>
      </c>
      <c r="M2472" s="7" t="s">
        <v>2938</v>
      </c>
      <c r="N2472" s="7" t="s">
        <v>58</v>
      </c>
      <c r="O2472" s="10" t="n">
        <f aca="false">'Exec Summary'!$E$2-H2472</f>
        <v>279</v>
      </c>
      <c r="P2472" s="10" t="str">
        <f aca="false">IF(I2472="","",I2472-H2472)</f>
        <v/>
      </c>
      <c r="Q2472" s="10" t="n">
        <f aca="false">VLOOKUP(G2472,$AA$2:$AB$5,2,FALSE())</f>
        <v>15</v>
      </c>
      <c r="R2472" s="7" t="n">
        <f aca="false">IF(OR(F2472="Open",F2472="Reopened"),1,0)</f>
        <v>1</v>
      </c>
      <c r="S2472" s="7" t="n">
        <f aca="false">IF(AND(H2472&gt;='Exec Summary'!$E$1,H2472&lt;='Exec Summary'!$E$2),1,0)</f>
        <v>0</v>
      </c>
      <c r="T2472" s="7" t="n">
        <f aca="false">IF(AND(F2472="Closed",I2472&lt;&gt;"",I2472&gt;='Exec Summary'!$E$1,I2472&lt;='Exec Summary'!$E$2),1,0)</f>
        <v>0</v>
      </c>
      <c r="U2472" s="7" t="n">
        <f aca="false">IF(F2472="Reopened",1,0)</f>
        <v>0</v>
      </c>
      <c r="V2472" s="7" t="n">
        <f aca="false">IF(AND(R2472=1,O2472&gt;Q2472),1,0)</f>
        <v>1</v>
      </c>
      <c r="W2472" s="7" t="n">
        <f aca="false">IF(AND(T2472=1,P2472&lt;&gt;"",P2472&lt;=Q2472),1,0)</f>
        <v>0</v>
      </c>
    </row>
    <row r="2473" customFormat="false" ht="15" hidden="false" customHeight="false" outlineLevel="0" collapsed="false">
      <c r="A2473" s="7" t="s">
        <v>2936</v>
      </c>
      <c r="B2473" s="7" t="s">
        <v>46</v>
      </c>
      <c r="C2473" s="7" t="s">
        <v>158</v>
      </c>
      <c r="D2473" s="7" t="s">
        <v>101</v>
      </c>
      <c r="E2473" s="7" t="s">
        <v>102</v>
      </c>
      <c r="F2473" s="7" t="s">
        <v>123</v>
      </c>
      <c r="G2473" s="7" t="s">
        <v>19</v>
      </c>
      <c r="H2473" s="9" t="n">
        <v>46189</v>
      </c>
      <c r="I2473" s="9" t="n">
        <v>46207</v>
      </c>
      <c r="J2473" s="7" t="n">
        <v>10</v>
      </c>
      <c r="K2473" s="7" t="s">
        <v>2628</v>
      </c>
      <c r="L2473" s="7" t="s">
        <v>21</v>
      </c>
      <c r="M2473" s="7" t="s">
        <v>2939</v>
      </c>
      <c r="N2473" s="7" t="s">
        <v>58</v>
      </c>
      <c r="O2473" s="10" t="n">
        <f aca="false">'Exec Summary'!$E$2-H2473</f>
        <v>45</v>
      </c>
      <c r="P2473" s="10" t="n">
        <f aca="false">IF(I2473="","",I2473-H2473)</f>
        <v>18</v>
      </c>
      <c r="Q2473" s="10" t="n">
        <f aca="false">VLOOKUP(G2473,$AA$2:$AB$5,2,FALSE())</f>
        <v>15</v>
      </c>
      <c r="R2473" s="7" t="n">
        <f aca="false">IF(OR(F2473="Open",F2473="Reopened"),1,0)</f>
        <v>1</v>
      </c>
      <c r="S2473" s="7" t="n">
        <f aca="false">IF(AND(H2473&gt;='Exec Summary'!$E$1,H2473&lt;='Exec Summary'!$E$2),1,0)</f>
        <v>0</v>
      </c>
      <c r="T2473" s="7" t="n">
        <f aca="false">IF(AND(F2473="Closed",I2473&lt;&gt;"",I2473&gt;='Exec Summary'!$E$1,I2473&lt;='Exec Summary'!$E$2),1,0)</f>
        <v>0</v>
      </c>
      <c r="U2473" s="7" t="n">
        <f aca="false">IF(F2473="Reopened",1,0)</f>
        <v>1</v>
      </c>
      <c r="V2473" s="7" t="n">
        <f aca="false">IF(AND(R2473=1,O2473&gt;Q2473),1,0)</f>
        <v>1</v>
      </c>
      <c r="W2473" s="7" t="n">
        <f aca="false">IF(AND(T2473=1,P2473&lt;&gt;"",P2473&lt;=Q2473),1,0)</f>
        <v>0</v>
      </c>
    </row>
    <row r="2474" customFormat="false" ht="15" hidden="false" customHeight="false" outlineLevel="0" collapsed="false">
      <c r="A2474" s="7" t="s">
        <v>2936</v>
      </c>
      <c r="B2474" s="7" t="s">
        <v>46</v>
      </c>
      <c r="C2474" s="7" t="s">
        <v>158</v>
      </c>
      <c r="D2474" s="7" t="s">
        <v>173</v>
      </c>
      <c r="E2474" s="7" t="s">
        <v>174</v>
      </c>
      <c r="F2474" s="7" t="s">
        <v>56</v>
      </c>
      <c r="G2474" s="7" t="s">
        <v>19</v>
      </c>
      <c r="H2474" s="9" t="n">
        <v>46130</v>
      </c>
      <c r="I2474" s="9"/>
      <c r="J2474" s="7" t="n">
        <v>9.8</v>
      </c>
      <c r="K2474" s="7" t="s">
        <v>2628</v>
      </c>
      <c r="L2474" s="7" t="s">
        <v>21</v>
      </c>
      <c r="M2474" s="7" t="s">
        <v>2940</v>
      </c>
      <c r="N2474" s="7" t="s">
        <v>58</v>
      </c>
      <c r="O2474" s="10" t="n">
        <f aca="false">'Exec Summary'!$E$2-H2474</f>
        <v>104</v>
      </c>
      <c r="P2474" s="10" t="str">
        <f aca="false">IF(I2474="","",I2474-H2474)</f>
        <v/>
      </c>
      <c r="Q2474" s="10" t="n">
        <f aca="false">VLOOKUP(G2474,$AA$2:$AB$5,2,FALSE())</f>
        <v>15</v>
      </c>
      <c r="R2474" s="7" t="n">
        <f aca="false">IF(OR(F2474="Open",F2474="Reopened"),1,0)</f>
        <v>1</v>
      </c>
      <c r="S2474" s="7" t="n">
        <f aca="false">IF(AND(H2474&gt;='Exec Summary'!$E$1,H2474&lt;='Exec Summary'!$E$2),1,0)</f>
        <v>0</v>
      </c>
      <c r="T2474" s="7" t="n">
        <f aca="false">IF(AND(F2474="Closed",I2474&lt;&gt;"",I2474&gt;='Exec Summary'!$E$1,I2474&lt;='Exec Summary'!$E$2),1,0)</f>
        <v>0</v>
      </c>
      <c r="U2474" s="7" t="n">
        <f aca="false">IF(F2474="Reopened",1,0)</f>
        <v>0</v>
      </c>
      <c r="V2474" s="7" t="n">
        <f aca="false">IF(AND(R2474=1,O2474&gt;Q2474),1,0)</f>
        <v>1</v>
      </c>
      <c r="W2474" s="7" t="n">
        <f aca="false">IF(AND(T2474=1,P2474&lt;&gt;"",P2474&lt;=Q2474),1,0)</f>
        <v>0</v>
      </c>
    </row>
    <row r="2475" customFormat="false" ht="15" hidden="false" customHeight="false" outlineLevel="0" collapsed="false">
      <c r="A2475" s="7" t="s">
        <v>2936</v>
      </c>
      <c r="B2475" s="7" t="s">
        <v>46</v>
      </c>
      <c r="C2475" s="7" t="s">
        <v>158</v>
      </c>
      <c r="D2475" s="7" t="s">
        <v>65</v>
      </c>
      <c r="E2475" s="7" t="s">
        <v>66</v>
      </c>
      <c r="F2475" s="7" t="s">
        <v>56</v>
      </c>
      <c r="G2475" s="7" t="s">
        <v>19</v>
      </c>
      <c r="H2475" s="9" t="n">
        <v>46150</v>
      </c>
      <c r="I2475" s="9"/>
      <c r="J2475" s="7" t="n">
        <v>9.8</v>
      </c>
      <c r="K2475" s="7" t="s">
        <v>2628</v>
      </c>
      <c r="L2475" s="7" t="s">
        <v>21</v>
      </c>
      <c r="M2475" s="7" t="s">
        <v>2941</v>
      </c>
      <c r="N2475" s="7" t="s">
        <v>58</v>
      </c>
      <c r="O2475" s="10" t="n">
        <f aca="false">'Exec Summary'!$E$2-H2475</f>
        <v>84</v>
      </c>
      <c r="P2475" s="10" t="str">
        <f aca="false">IF(I2475="","",I2475-H2475)</f>
        <v/>
      </c>
      <c r="Q2475" s="10" t="n">
        <f aca="false">VLOOKUP(G2475,$AA$2:$AB$5,2,FALSE())</f>
        <v>15</v>
      </c>
      <c r="R2475" s="7" t="n">
        <f aca="false">IF(OR(F2475="Open",F2475="Reopened"),1,0)</f>
        <v>1</v>
      </c>
      <c r="S2475" s="7" t="n">
        <f aca="false">IF(AND(H2475&gt;='Exec Summary'!$E$1,H2475&lt;='Exec Summary'!$E$2),1,0)</f>
        <v>0</v>
      </c>
      <c r="T2475" s="7" t="n">
        <f aca="false">IF(AND(F2475="Closed",I2475&lt;&gt;"",I2475&gt;='Exec Summary'!$E$1,I2475&lt;='Exec Summary'!$E$2),1,0)</f>
        <v>0</v>
      </c>
      <c r="U2475" s="7" t="n">
        <f aca="false">IF(F2475="Reopened",1,0)</f>
        <v>0</v>
      </c>
      <c r="V2475" s="7" t="n">
        <f aca="false">IF(AND(R2475=1,O2475&gt;Q2475),1,0)</f>
        <v>1</v>
      </c>
      <c r="W2475" s="7" t="n">
        <f aca="false">IF(AND(T2475=1,P2475&lt;&gt;"",P2475&lt;=Q2475),1,0)</f>
        <v>0</v>
      </c>
    </row>
    <row r="2476" customFormat="false" ht="15" hidden="false" customHeight="false" outlineLevel="0" collapsed="false">
      <c r="A2476" s="7" t="s">
        <v>2936</v>
      </c>
      <c r="B2476" s="7" t="s">
        <v>46</v>
      </c>
      <c r="C2476" s="7" t="s">
        <v>158</v>
      </c>
      <c r="D2476" s="7" t="s">
        <v>87</v>
      </c>
      <c r="E2476" s="7" t="s">
        <v>88</v>
      </c>
      <c r="F2476" s="7" t="s">
        <v>56</v>
      </c>
      <c r="G2476" s="7" t="s">
        <v>19</v>
      </c>
      <c r="H2476" s="9" t="n">
        <v>46185</v>
      </c>
      <c r="I2476" s="9"/>
      <c r="J2476" s="7" t="n">
        <v>10</v>
      </c>
      <c r="K2476" s="7" t="s">
        <v>2628</v>
      </c>
      <c r="L2476" s="7" t="s">
        <v>21</v>
      </c>
      <c r="M2476" s="7" t="s">
        <v>2942</v>
      </c>
      <c r="N2476" s="7" t="s">
        <v>58</v>
      </c>
      <c r="O2476" s="10" t="n">
        <f aca="false">'Exec Summary'!$E$2-H2476</f>
        <v>49</v>
      </c>
      <c r="P2476" s="10" t="str">
        <f aca="false">IF(I2476="","",I2476-H2476)</f>
        <v/>
      </c>
      <c r="Q2476" s="10" t="n">
        <f aca="false">VLOOKUP(G2476,$AA$2:$AB$5,2,FALSE())</f>
        <v>15</v>
      </c>
      <c r="R2476" s="7" t="n">
        <f aca="false">IF(OR(F2476="Open",F2476="Reopened"),1,0)</f>
        <v>1</v>
      </c>
      <c r="S2476" s="7" t="n">
        <f aca="false">IF(AND(H2476&gt;='Exec Summary'!$E$1,H2476&lt;='Exec Summary'!$E$2),1,0)</f>
        <v>0</v>
      </c>
      <c r="T2476" s="7" t="n">
        <f aca="false">IF(AND(F2476="Closed",I2476&lt;&gt;"",I2476&gt;='Exec Summary'!$E$1,I2476&lt;='Exec Summary'!$E$2),1,0)</f>
        <v>0</v>
      </c>
      <c r="U2476" s="7" t="n">
        <f aca="false">IF(F2476="Reopened",1,0)</f>
        <v>0</v>
      </c>
      <c r="V2476" s="7" t="n">
        <f aca="false">IF(AND(R2476=1,O2476&gt;Q2476),1,0)</f>
        <v>1</v>
      </c>
      <c r="W2476" s="7" t="n">
        <f aca="false">IF(AND(T2476=1,P2476&lt;&gt;"",P2476&lt;=Q2476),1,0)</f>
        <v>0</v>
      </c>
    </row>
    <row r="2477" customFormat="false" ht="15" hidden="false" customHeight="false" outlineLevel="0" collapsed="false">
      <c r="A2477" s="7" t="s">
        <v>2943</v>
      </c>
      <c r="B2477" s="7" t="s">
        <v>46</v>
      </c>
      <c r="C2477" s="7" t="s">
        <v>177</v>
      </c>
      <c r="D2477" s="7" t="s">
        <v>84</v>
      </c>
      <c r="E2477" s="7" t="s">
        <v>85</v>
      </c>
      <c r="F2477" s="7" t="s">
        <v>50</v>
      </c>
      <c r="G2477" s="7" t="s">
        <v>20</v>
      </c>
      <c r="H2477" s="9" t="n">
        <v>45982</v>
      </c>
      <c r="I2477" s="9" t="n">
        <v>46004</v>
      </c>
      <c r="J2477" s="7" t="n">
        <v>7.5</v>
      </c>
      <c r="K2477" s="7" t="s">
        <v>2628</v>
      </c>
      <c r="L2477" s="7" t="s">
        <v>19</v>
      </c>
      <c r="M2477" s="7" t="s">
        <v>2944</v>
      </c>
      <c r="N2477" s="7" t="s">
        <v>53</v>
      </c>
      <c r="O2477" s="10" t="n">
        <f aca="false">'Exec Summary'!$E$2-H2477</f>
        <v>252</v>
      </c>
      <c r="P2477" s="10" t="n">
        <f aca="false">IF(I2477="","",I2477-H2477)</f>
        <v>22</v>
      </c>
      <c r="Q2477" s="10" t="n">
        <f aca="false">VLOOKUP(G2477,$AA$2:$AB$5,2,FALSE())</f>
        <v>30</v>
      </c>
      <c r="R2477" s="7" t="n">
        <f aca="false">IF(OR(F2477="Open",F2477="Reopened"),1,0)</f>
        <v>0</v>
      </c>
      <c r="S2477" s="7" t="n">
        <f aca="false">IF(AND(H2477&gt;='Exec Summary'!$E$1,H2477&lt;='Exec Summary'!$E$2),1,0)</f>
        <v>0</v>
      </c>
      <c r="T2477" s="7" t="n">
        <f aca="false">IF(AND(F2477="Closed",I2477&lt;&gt;"",I2477&gt;='Exec Summary'!$E$1,I2477&lt;='Exec Summary'!$E$2),1,0)</f>
        <v>0</v>
      </c>
      <c r="U2477" s="7" t="n">
        <f aca="false">IF(F2477="Reopened",1,0)</f>
        <v>0</v>
      </c>
      <c r="V2477" s="7" t="n">
        <f aca="false">IF(AND(R2477=1,O2477&gt;Q2477),1,0)</f>
        <v>0</v>
      </c>
      <c r="W2477" s="7" t="n">
        <f aca="false">IF(AND(T2477=1,P2477&lt;&gt;"",P2477&lt;=Q2477),1,0)</f>
        <v>0</v>
      </c>
    </row>
    <row r="2478" customFormat="false" ht="15" hidden="false" customHeight="false" outlineLevel="0" collapsed="false">
      <c r="A2478" s="7" t="s">
        <v>2943</v>
      </c>
      <c r="B2478" s="7" t="s">
        <v>46</v>
      </c>
      <c r="C2478" s="7" t="s">
        <v>177</v>
      </c>
      <c r="D2478" s="7" t="s">
        <v>54</v>
      </c>
      <c r="E2478" s="7" t="s">
        <v>55</v>
      </c>
      <c r="F2478" s="7" t="s">
        <v>50</v>
      </c>
      <c r="G2478" s="7" t="s">
        <v>19</v>
      </c>
      <c r="H2478" s="9" t="n">
        <v>46099</v>
      </c>
      <c r="I2478" s="9" t="n">
        <v>46105</v>
      </c>
      <c r="J2478" s="7" t="n">
        <v>9.8</v>
      </c>
      <c r="K2478" s="7" t="s">
        <v>2628</v>
      </c>
      <c r="L2478" s="7" t="s">
        <v>19</v>
      </c>
      <c r="M2478" s="7" t="s">
        <v>2945</v>
      </c>
      <c r="N2478" s="7" t="s">
        <v>58</v>
      </c>
      <c r="O2478" s="10" t="n">
        <f aca="false">'Exec Summary'!$E$2-H2478</f>
        <v>135</v>
      </c>
      <c r="P2478" s="10" t="n">
        <f aca="false">IF(I2478="","",I2478-H2478)</f>
        <v>6</v>
      </c>
      <c r="Q2478" s="10" t="n">
        <f aca="false">VLOOKUP(G2478,$AA$2:$AB$5,2,FALSE())</f>
        <v>15</v>
      </c>
      <c r="R2478" s="7" t="n">
        <f aca="false">IF(OR(F2478="Open",F2478="Reopened"),1,0)</f>
        <v>0</v>
      </c>
      <c r="S2478" s="7" t="n">
        <f aca="false">IF(AND(H2478&gt;='Exec Summary'!$E$1,H2478&lt;='Exec Summary'!$E$2),1,0)</f>
        <v>0</v>
      </c>
      <c r="T2478" s="7" t="n">
        <f aca="false">IF(AND(F2478="Closed",I2478&lt;&gt;"",I2478&gt;='Exec Summary'!$E$1,I2478&lt;='Exec Summary'!$E$2),1,0)</f>
        <v>0</v>
      </c>
      <c r="U2478" s="7" t="n">
        <f aca="false">IF(F2478="Reopened",1,0)</f>
        <v>0</v>
      </c>
      <c r="V2478" s="7" t="n">
        <f aca="false">IF(AND(R2478=1,O2478&gt;Q2478),1,0)</f>
        <v>0</v>
      </c>
      <c r="W2478" s="7" t="n">
        <f aca="false">IF(AND(T2478=1,P2478&lt;&gt;"",P2478&lt;=Q2478),1,0)</f>
        <v>0</v>
      </c>
    </row>
    <row r="2479" customFormat="false" ht="15" hidden="false" customHeight="false" outlineLevel="0" collapsed="false">
      <c r="A2479" s="7" t="s">
        <v>2946</v>
      </c>
      <c r="B2479" s="7" t="s">
        <v>46</v>
      </c>
      <c r="C2479" s="7" t="s">
        <v>177</v>
      </c>
      <c r="D2479" s="7" t="s">
        <v>117</v>
      </c>
      <c r="E2479" s="7" t="s">
        <v>118</v>
      </c>
      <c r="F2479" s="7" t="s">
        <v>56</v>
      </c>
      <c r="G2479" s="7" t="s">
        <v>19</v>
      </c>
      <c r="H2479" s="9" t="n">
        <v>46063</v>
      </c>
      <c r="I2479" s="9"/>
      <c r="J2479" s="7" t="n">
        <v>10</v>
      </c>
      <c r="K2479" s="7" t="s">
        <v>2628</v>
      </c>
      <c r="L2479" s="7" t="s">
        <v>21</v>
      </c>
      <c r="M2479" s="7" t="s">
        <v>2947</v>
      </c>
      <c r="N2479" s="7" t="s">
        <v>58</v>
      </c>
      <c r="O2479" s="10" t="n">
        <f aca="false">'Exec Summary'!$E$2-H2479</f>
        <v>171</v>
      </c>
      <c r="P2479" s="10" t="str">
        <f aca="false">IF(I2479="","",I2479-H2479)</f>
        <v/>
      </c>
      <c r="Q2479" s="10" t="n">
        <f aca="false">VLOOKUP(G2479,$AA$2:$AB$5,2,FALSE())</f>
        <v>15</v>
      </c>
      <c r="R2479" s="7" t="n">
        <f aca="false">IF(OR(F2479="Open",F2479="Reopened"),1,0)</f>
        <v>1</v>
      </c>
      <c r="S2479" s="7" t="n">
        <f aca="false">IF(AND(H2479&gt;='Exec Summary'!$E$1,H2479&lt;='Exec Summary'!$E$2),1,0)</f>
        <v>0</v>
      </c>
      <c r="T2479" s="7" t="n">
        <f aca="false">IF(AND(F2479="Closed",I2479&lt;&gt;"",I2479&gt;='Exec Summary'!$E$1,I2479&lt;='Exec Summary'!$E$2),1,0)</f>
        <v>0</v>
      </c>
      <c r="U2479" s="7" t="n">
        <f aca="false">IF(F2479="Reopened",1,0)</f>
        <v>0</v>
      </c>
      <c r="V2479" s="7" t="n">
        <f aca="false">IF(AND(R2479=1,O2479&gt;Q2479),1,0)</f>
        <v>1</v>
      </c>
      <c r="W2479" s="7" t="n">
        <f aca="false">IF(AND(T2479=1,P2479&lt;&gt;"",P2479&lt;=Q2479),1,0)</f>
        <v>0</v>
      </c>
    </row>
    <row r="2480" customFormat="false" ht="15" hidden="false" customHeight="false" outlineLevel="0" collapsed="false">
      <c r="A2480" s="7" t="s">
        <v>2946</v>
      </c>
      <c r="B2480" s="7" t="s">
        <v>46</v>
      </c>
      <c r="C2480" s="7" t="s">
        <v>177</v>
      </c>
      <c r="D2480" s="7" t="s">
        <v>152</v>
      </c>
      <c r="E2480" s="7" t="s">
        <v>153</v>
      </c>
      <c r="F2480" s="7" t="s">
        <v>123</v>
      </c>
      <c r="G2480" s="7" t="s">
        <v>20</v>
      </c>
      <c r="H2480" s="9" t="n">
        <v>46185</v>
      </c>
      <c r="I2480" s="9" t="n">
        <v>46186</v>
      </c>
      <c r="J2480" s="7" t="n">
        <v>7.5</v>
      </c>
      <c r="K2480" s="7" t="s">
        <v>2628</v>
      </c>
      <c r="L2480" s="7" t="s">
        <v>21</v>
      </c>
      <c r="M2480" s="7" t="s">
        <v>2948</v>
      </c>
      <c r="N2480" s="7" t="s">
        <v>53</v>
      </c>
      <c r="O2480" s="10" t="n">
        <f aca="false">'Exec Summary'!$E$2-H2480</f>
        <v>49</v>
      </c>
      <c r="P2480" s="10" t="n">
        <f aca="false">IF(I2480="","",I2480-H2480)</f>
        <v>1</v>
      </c>
      <c r="Q2480" s="10" t="n">
        <f aca="false">VLOOKUP(G2480,$AA$2:$AB$5,2,FALSE())</f>
        <v>30</v>
      </c>
      <c r="R2480" s="7" t="n">
        <f aca="false">IF(OR(F2480="Open",F2480="Reopened"),1,0)</f>
        <v>1</v>
      </c>
      <c r="S2480" s="7" t="n">
        <f aca="false">IF(AND(H2480&gt;='Exec Summary'!$E$1,H2480&lt;='Exec Summary'!$E$2),1,0)</f>
        <v>0</v>
      </c>
      <c r="T2480" s="7" t="n">
        <f aca="false">IF(AND(F2480="Closed",I2480&lt;&gt;"",I2480&gt;='Exec Summary'!$E$1,I2480&lt;='Exec Summary'!$E$2),1,0)</f>
        <v>0</v>
      </c>
      <c r="U2480" s="7" t="n">
        <f aca="false">IF(F2480="Reopened",1,0)</f>
        <v>1</v>
      </c>
      <c r="V2480" s="7" t="n">
        <f aca="false">IF(AND(R2480=1,O2480&gt;Q2480),1,0)</f>
        <v>1</v>
      </c>
      <c r="W2480" s="7" t="n">
        <f aca="false">IF(AND(T2480=1,P2480&lt;&gt;"",P2480&lt;=Q2480),1,0)</f>
        <v>0</v>
      </c>
    </row>
    <row r="2481" customFormat="false" ht="15" hidden="false" customHeight="false" outlineLevel="0" collapsed="false">
      <c r="A2481" s="7" t="s">
        <v>2946</v>
      </c>
      <c r="B2481" s="7" t="s">
        <v>46</v>
      </c>
      <c r="C2481" s="7" t="s">
        <v>177</v>
      </c>
      <c r="D2481" s="7" t="s">
        <v>101</v>
      </c>
      <c r="E2481" s="7" t="s">
        <v>102</v>
      </c>
      <c r="F2481" s="7" t="s">
        <v>50</v>
      </c>
      <c r="G2481" s="7" t="s">
        <v>19</v>
      </c>
      <c r="H2481" s="9" t="n">
        <v>46152</v>
      </c>
      <c r="I2481" s="9" t="n">
        <v>46167</v>
      </c>
      <c r="J2481" s="7" t="n">
        <v>10</v>
      </c>
      <c r="K2481" s="7" t="s">
        <v>2628</v>
      </c>
      <c r="L2481" s="7" t="s">
        <v>21</v>
      </c>
      <c r="M2481" s="7" t="s">
        <v>2949</v>
      </c>
      <c r="N2481" s="7" t="s">
        <v>58</v>
      </c>
      <c r="O2481" s="10" t="n">
        <f aca="false">'Exec Summary'!$E$2-H2481</f>
        <v>82</v>
      </c>
      <c r="P2481" s="10" t="n">
        <f aca="false">IF(I2481="","",I2481-H2481)</f>
        <v>15</v>
      </c>
      <c r="Q2481" s="10" t="n">
        <f aca="false">VLOOKUP(G2481,$AA$2:$AB$5,2,FALSE())</f>
        <v>15</v>
      </c>
      <c r="R2481" s="7" t="n">
        <f aca="false">IF(OR(F2481="Open",F2481="Reopened"),1,0)</f>
        <v>0</v>
      </c>
      <c r="S2481" s="7" t="n">
        <f aca="false">IF(AND(H2481&gt;='Exec Summary'!$E$1,H2481&lt;='Exec Summary'!$E$2),1,0)</f>
        <v>0</v>
      </c>
      <c r="T2481" s="7" t="n">
        <f aca="false">IF(AND(F2481="Closed",I2481&lt;&gt;"",I2481&gt;='Exec Summary'!$E$1,I2481&lt;='Exec Summary'!$E$2),1,0)</f>
        <v>0</v>
      </c>
      <c r="U2481" s="7" t="n">
        <f aca="false">IF(F2481="Reopened",1,0)</f>
        <v>0</v>
      </c>
      <c r="V2481" s="7" t="n">
        <f aca="false">IF(AND(R2481=1,O2481&gt;Q2481),1,0)</f>
        <v>0</v>
      </c>
      <c r="W2481" s="7" t="n">
        <f aca="false">IF(AND(T2481=1,P2481&lt;&gt;"",P2481&lt;=Q2481),1,0)</f>
        <v>0</v>
      </c>
    </row>
    <row r="2482" customFormat="false" ht="15" hidden="false" customHeight="false" outlineLevel="0" collapsed="false">
      <c r="A2482" s="7" t="s">
        <v>2946</v>
      </c>
      <c r="B2482" s="7" t="s">
        <v>46</v>
      </c>
      <c r="C2482" s="7" t="s">
        <v>177</v>
      </c>
      <c r="D2482" s="7" t="s">
        <v>108</v>
      </c>
      <c r="E2482" s="7" t="s">
        <v>109</v>
      </c>
      <c r="F2482" s="7" t="s">
        <v>50</v>
      </c>
      <c r="G2482" s="7" t="s">
        <v>20</v>
      </c>
      <c r="H2482" s="9" t="n">
        <v>46035</v>
      </c>
      <c r="I2482" s="9" t="n">
        <v>46057</v>
      </c>
      <c r="J2482" s="7" t="n">
        <v>8.6</v>
      </c>
      <c r="K2482" s="7" t="s">
        <v>2628</v>
      </c>
      <c r="L2482" s="7" t="s">
        <v>21</v>
      </c>
      <c r="M2482" s="7" t="s">
        <v>2950</v>
      </c>
      <c r="N2482" s="7" t="s">
        <v>53</v>
      </c>
      <c r="O2482" s="10" t="n">
        <f aca="false">'Exec Summary'!$E$2-H2482</f>
        <v>199</v>
      </c>
      <c r="P2482" s="10" t="n">
        <f aca="false">IF(I2482="","",I2482-H2482)</f>
        <v>22</v>
      </c>
      <c r="Q2482" s="10" t="n">
        <f aca="false">VLOOKUP(G2482,$AA$2:$AB$5,2,FALSE())</f>
        <v>30</v>
      </c>
      <c r="R2482" s="7" t="n">
        <f aca="false">IF(OR(F2482="Open",F2482="Reopened"),1,0)</f>
        <v>0</v>
      </c>
      <c r="S2482" s="7" t="n">
        <f aca="false">IF(AND(H2482&gt;='Exec Summary'!$E$1,H2482&lt;='Exec Summary'!$E$2),1,0)</f>
        <v>0</v>
      </c>
      <c r="T2482" s="7" t="n">
        <f aca="false">IF(AND(F2482="Closed",I2482&lt;&gt;"",I2482&gt;='Exec Summary'!$E$1,I2482&lt;='Exec Summary'!$E$2),1,0)</f>
        <v>0</v>
      </c>
      <c r="U2482" s="7" t="n">
        <f aca="false">IF(F2482="Reopened",1,0)</f>
        <v>0</v>
      </c>
      <c r="V2482" s="7" t="n">
        <f aca="false">IF(AND(R2482=1,O2482&gt;Q2482),1,0)</f>
        <v>0</v>
      </c>
      <c r="W2482" s="7" t="n">
        <f aca="false">IF(AND(T2482=1,P2482&lt;&gt;"",P2482&lt;=Q2482),1,0)</f>
        <v>0</v>
      </c>
    </row>
    <row r="2483" customFormat="false" ht="15" hidden="false" customHeight="false" outlineLevel="0" collapsed="false">
      <c r="A2483" s="7" t="s">
        <v>2946</v>
      </c>
      <c r="B2483" s="7" t="s">
        <v>46</v>
      </c>
      <c r="C2483" s="7" t="s">
        <v>177</v>
      </c>
      <c r="D2483" s="7" t="s">
        <v>112</v>
      </c>
      <c r="E2483" s="7" t="s">
        <v>113</v>
      </c>
      <c r="F2483" s="7" t="s">
        <v>50</v>
      </c>
      <c r="G2483" s="7" t="s">
        <v>20</v>
      </c>
      <c r="H2483" s="9" t="n">
        <v>46126</v>
      </c>
      <c r="I2483" s="9" t="n">
        <v>46161</v>
      </c>
      <c r="J2483" s="7" t="n">
        <v>7.8</v>
      </c>
      <c r="K2483" s="7" t="s">
        <v>2628</v>
      </c>
      <c r="L2483" s="7" t="s">
        <v>21</v>
      </c>
      <c r="M2483" s="7" t="s">
        <v>2951</v>
      </c>
      <c r="N2483" s="7" t="s">
        <v>53</v>
      </c>
      <c r="O2483" s="10" t="n">
        <f aca="false">'Exec Summary'!$E$2-H2483</f>
        <v>108</v>
      </c>
      <c r="P2483" s="10" t="n">
        <f aca="false">IF(I2483="","",I2483-H2483)</f>
        <v>35</v>
      </c>
      <c r="Q2483" s="10" t="n">
        <f aca="false">VLOOKUP(G2483,$AA$2:$AB$5,2,FALSE())</f>
        <v>30</v>
      </c>
      <c r="R2483" s="7" t="n">
        <f aca="false">IF(OR(F2483="Open",F2483="Reopened"),1,0)</f>
        <v>0</v>
      </c>
      <c r="S2483" s="7" t="n">
        <f aca="false">IF(AND(H2483&gt;='Exec Summary'!$E$1,H2483&lt;='Exec Summary'!$E$2),1,0)</f>
        <v>0</v>
      </c>
      <c r="T2483" s="7" t="n">
        <f aca="false">IF(AND(F2483="Closed",I2483&lt;&gt;"",I2483&gt;='Exec Summary'!$E$1,I2483&lt;='Exec Summary'!$E$2),1,0)</f>
        <v>0</v>
      </c>
      <c r="U2483" s="7" t="n">
        <f aca="false">IF(F2483="Reopened",1,0)</f>
        <v>0</v>
      </c>
      <c r="V2483" s="7" t="n">
        <f aca="false">IF(AND(R2483=1,O2483&gt;Q2483),1,0)</f>
        <v>0</v>
      </c>
      <c r="W2483" s="7" t="n">
        <f aca="false">IF(AND(T2483=1,P2483&lt;&gt;"",P2483&lt;=Q2483),1,0)</f>
        <v>0</v>
      </c>
    </row>
    <row r="2484" customFormat="false" ht="15" hidden="false" customHeight="false" outlineLevel="0" collapsed="false">
      <c r="A2484" s="7" t="s">
        <v>2946</v>
      </c>
      <c r="B2484" s="7" t="s">
        <v>46</v>
      </c>
      <c r="C2484" s="7" t="s">
        <v>177</v>
      </c>
      <c r="D2484" s="7" t="s">
        <v>84</v>
      </c>
      <c r="E2484" s="7" t="s">
        <v>85</v>
      </c>
      <c r="F2484" s="7" t="s">
        <v>50</v>
      </c>
      <c r="G2484" s="7" t="s">
        <v>20</v>
      </c>
      <c r="H2484" s="9" t="n">
        <v>46186</v>
      </c>
      <c r="I2484" s="9" t="n">
        <v>46188</v>
      </c>
      <c r="J2484" s="7" t="n">
        <v>7.5</v>
      </c>
      <c r="K2484" s="7" t="s">
        <v>2628</v>
      </c>
      <c r="L2484" s="7" t="s">
        <v>21</v>
      </c>
      <c r="M2484" s="7" t="s">
        <v>2952</v>
      </c>
      <c r="N2484" s="7" t="s">
        <v>53</v>
      </c>
      <c r="O2484" s="10" t="n">
        <f aca="false">'Exec Summary'!$E$2-H2484</f>
        <v>48</v>
      </c>
      <c r="P2484" s="10" t="n">
        <f aca="false">IF(I2484="","",I2484-H2484)</f>
        <v>2</v>
      </c>
      <c r="Q2484" s="10" t="n">
        <f aca="false">VLOOKUP(G2484,$AA$2:$AB$5,2,FALSE())</f>
        <v>30</v>
      </c>
      <c r="R2484" s="7" t="n">
        <f aca="false">IF(OR(F2484="Open",F2484="Reopened"),1,0)</f>
        <v>0</v>
      </c>
      <c r="S2484" s="7" t="n">
        <f aca="false">IF(AND(H2484&gt;='Exec Summary'!$E$1,H2484&lt;='Exec Summary'!$E$2),1,0)</f>
        <v>0</v>
      </c>
      <c r="T2484" s="7" t="n">
        <f aca="false">IF(AND(F2484="Closed",I2484&lt;&gt;"",I2484&gt;='Exec Summary'!$E$1,I2484&lt;='Exec Summary'!$E$2),1,0)</f>
        <v>0</v>
      </c>
      <c r="U2484" s="7" t="n">
        <f aca="false">IF(F2484="Reopened",1,0)</f>
        <v>0</v>
      </c>
      <c r="V2484" s="7" t="n">
        <f aca="false">IF(AND(R2484=1,O2484&gt;Q2484),1,0)</f>
        <v>0</v>
      </c>
      <c r="W2484" s="7" t="n">
        <f aca="false">IF(AND(T2484=1,P2484&lt;&gt;"",P2484&lt;=Q2484),1,0)</f>
        <v>0</v>
      </c>
    </row>
    <row r="2485" customFormat="false" ht="15" hidden="false" customHeight="false" outlineLevel="0" collapsed="false">
      <c r="A2485" s="7" t="s">
        <v>2946</v>
      </c>
      <c r="B2485" s="7" t="s">
        <v>46</v>
      </c>
      <c r="C2485" s="7" t="s">
        <v>177</v>
      </c>
      <c r="D2485" s="7" t="s">
        <v>59</v>
      </c>
      <c r="E2485" s="7" t="s">
        <v>60</v>
      </c>
      <c r="F2485" s="7" t="s">
        <v>50</v>
      </c>
      <c r="G2485" s="7" t="s">
        <v>19</v>
      </c>
      <c r="H2485" s="9" t="n">
        <v>46018</v>
      </c>
      <c r="I2485" s="9" t="n">
        <v>46032</v>
      </c>
      <c r="J2485" s="7" t="n">
        <v>7.8</v>
      </c>
      <c r="K2485" s="7" t="s">
        <v>2628</v>
      </c>
      <c r="L2485" s="7" t="s">
        <v>21</v>
      </c>
      <c r="M2485" s="7" t="s">
        <v>2953</v>
      </c>
      <c r="N2485" s="7" t="s">
        <v>58</v>
      </c>
      <c r="O2485" s="10" t="n">
        <f aca="false">'Exec Summary'!$E$2-H2485</f>
        <v>216</v>
      </c>
      <c r="P2485" s="10" t="n">
        <f aca="false">IF(I2485="","",I2485-H2485)</f>
        <v>14</v>
      </c>
      <c r="Q2485" s="10" t="n">
        <f aca="false">VLOOKUP(G2485,$AA$2:$AB$5,2,FALSE())</f>
        <v>15</v>
      </c>
      <c r="R2485" s="7" t="n">
        <f aca="false">IF(OR(F2485="Open",F2485="Reopened"),1,0)</f>
        <v>0</v>
      </c>
      <c r="S2485" s="7" t="n">
        <f aca="false">IF(AND(H2485&gt;='Exec Summary'!$E$1,H2485&lt;='Exec Summary'!$E$2),1,0)</f>
        <v>0</v>
      </c>
      <c r="T2485" s="7" t="n">
        <f aca="false">IF(AND(F2485="Closed",I2485&lt;&gt;"",I2485&gt;='Exec Summary'!$E$1,I2485&lt;='Exec Summary'!$E$2),1,0)</f>
        <v>0</v>
      </c>
      <c r="U2485" s="7" t="n">
        <f aca="false">IF(F2485="Reopened",1,0)</f>
        <v>0</v>
      </c>
      <c r="V2485" s="7" t="n">
        <f aca="false">IF(AND(R2485=1,O2485&gt;Q2485),1,0)</f>
        <v>0</v>
      </c>
      <c r="W2485" s="7" t="n">
        <f aca="false">IF(AND(T2485=1,P2485&lt;&gt;"",P2485&lt;=Q2485),1,0)</f>
        <v>0</v>
      </c>
    </row>
    <row r="2486" customFormat="false" ht="15" hidden="false" customHeight="false" outlineLevel="0" collapsed="false">
      <c r="A2486" s="7" t="s">
        <v>2946</v>
      </c>
      <c r="B2486" s="7" t="s">
        <v>46</v>
      </c>
      <c r="C2486" s="7" t="s">
        <v>177</v>
      </c>
      <c r="D2486" s="7" t="s">
        <v>48</v>
      </c>
      <c r="E2486" s="7" t="s">
        <v>49</v>
      </c>
      <c r="F2486" s="7" t="s">
        <v>50</v>
      </c>
      <c r="G2486" s="7" t="s">
        <v>20</v>
      </c>
      <c r="H2486" s="9" t="n">
        <v>46158</v>
      </c>
      <c r="I2486" s="9" t="n">
        <v>46184</v>
      </c>
      <c r="J2486" s="7" t="n">
        <v>7.5</v>
      </c>
      <c r="K2486" s="7" t="s">
        <v>2628</v>
      </c>
      <c r="L2486" s="7" t="s">
        <v>21</v>
      </c>
      <c r="M2486" s="7" t="s">
        <v>2954</v>
      </c>
      <c r="N2486" s="7" t="s">
        <v>53</v>
      </c>
      <c r="O2486" s="10" t="n">
        <f aca="false">'Exec Summary'!$E$2-H2486</f>
        <v>76</v>
      </c>
      <c r="P2486" s="10" t="n">
        <f aca="false">IF(I2486="","",I2486-H2486)</f>
        <v>26</v>
      </c>
      <c r="Q2486" s="10" t="n">
        <f aca="false">VLOOKUP(G2486,$AA$2:$AB$5,2,FALSE())</f>
        <v>30</v>
      </c>
      <c r="R2486" s="7" t="n">
        <f aca="false">IF(OR(F2486="Open",F2486="Reopened"),1,0)</f>
        <v>0</v>
      </c>
      <c r="S2486" s="7" t="n">
        <f aca="false">IF(AND(H2486&gt;='Exec Summary'!$E$1,H2486&lt;='Exec Summary'!$E$2),1,0)</f>
        <v>0</v>
      </c>
      <c r="T2486" s="7" t="n">
        <f aca="false">IF(AND(F2486="Closed",I2486&lt;&gt;"",I2486&gt;='Exec Summary'!$E$1,I2486&lt;='Exec Summary'!$E$2),1,0)</f>
        <v>0</v>
      </c>
      <c r="U2486" s="7" t="n">
        <f aca="false">IF(F2486="Reopened",1,0)</f>
        <v>0</v>
      </c>
      <c r="V2486" s="7" t="n">
        <f aca="false">IF(AND(R2486=1,O2486&gt;Q2486),1,0)</f>
        <v>0</v>
      </c>
      <c r="W2486" s="7" t="n">
        <f aca="false">IF(AND(T2486=1,P2486&lt;&gt;"",P2486&lt;=Q2486),1,0)</f>
        <v>0</v>
      </c>
    </row>
    <row r="2487" customFormat="false" ht="15" hidden="false" customHeight="false" outlineLevel="0" collapsed="false">
      <c r="A2487" s="7" t="s">
        <v>2946</v>
      </c>
      <c r="B2487" s="7" t="s">
        <v>46</v>
      </c>
      <c r="C2487" s="7" t="s">
        <v>177</v>
      </c>
      <c r="D2487" s="7" t="s">
        <v>120</v>
      </c>
      <c r="E2487" s="7" t="s">
        <v>121</v>
      </c>
      <c r="F2487" s="7" t="s">
        <v>50</v>
      </c>
      <c r="G2487" s="7" t="s">
        <v>19</v>
      </c>
      <c r="H2487" s="9" t="n">
        <v>46212</v>
      </c>
      <c r="I2487" s="9" t="n">
        <v>46216</v>
      </c>
      <c r="J2487" s="7" t="n">
        <v>8.8</v>
      </c>
      <c r="K2487" s="7" t="s">
        <v>2628</v>
      </c>
      <c r="L2487" s="7" t="s">
        <v>21</v>
      </c>
      <c r="M2487" s="7" t="s">
        <v>2955</v>
      </c>
      <c r="N2487" s="7" t="s">
        <v>58</v>
      </c>
      <c r="O2487" s="10" t="n">
        <f aca="false">'Exec Summary'!$E$2-H2487</f>
        <v>22</v>
      </c>
      <c r="P2487" s="10" t="n">
        <f aca="false">IF(I2487="","",I2487-H2487)</f>
        <v>4</v>
      </c>
      <c r="Q2487" s="10" t="n">
        <f aca="false">VLOOKUP(G2487,$AA$2:$AB$5,2,FALSE())</f>
        <v>15</v>
      </c>
      <c r="R2487" s="7" t="n">
        <f aca="false">IF(OR(F2487="Open",F2487="Reopened"),1,0)</f>
        <v>0</v>
      </c>
      <c r="S2487" s="7" t="n">
        <f aca="false">IF(AND(H2487&gt;='Exec Summary'!$E$1,H2487&lt;='Exec Summary'!$E$2),1,0)</f>
        <v>1</v>
      </c>
      <c r="T2487" s="7" t="n">
        <f aca="false">IF(AND(F2487="Closed",I2487&lt;&gt;"",I2487&gt;='Exec Summary'!$E$1,I2487&lt;='Exec Summary'!$E$2),1,0)</f>
        <v>1</v>
      </c>
      <c r="U2487" s="7" t="n">
        <f aca="false">IF(F2487="Reopened",1,0)</f>
        <v>0</v>
      </c>
      <c r="V2487" s="7" t="n">
        <f aca="false">IF(AND(R2487=1,O2487&gt;Q2487),1,0)</f>
        <v>0</v>
      </c>
      <c r="W2487" s="7" t="n">
        <f aca="false">IF(AND(T2487=1,P2487&lt;&gt;"",P2487&lt;=Q2487),1,0)</f>
        <v>1</v>
      </c>
    </row>
    <row r="2488" customFormat="false" ht="15" hidden="false" customHeight="false" outlineLevel="0" collapsed="false">
      <c r="A2488" s="7" t="s">
        <v>2946</v>
      </c>
      <c r="B2488" s="7" t="s">
        <v>46</v>
      </c>
      <c r="C2488" s="7" t="s">
        <v>177</v>
      </c>
      <c r="D2488" s="7" t="s">
        <v>95</v>
      </c>
      <c r="E2488" s="7" t="s">
        <v>96</v>
      </c>
      <c r="F2488" s="7" t="s">
        <v>50</v>
      </c>
      <c r="G2488" s="7" t="s">
        <v>20</v>
      </c>
      <c r="H2488" s="9" t="n">
        <v>46157</v>
      </c>
      <c r="I2488" s="9" t="n">
        <v>46175</v>
      </c>
      <c r="J2488" s="7" t="n">
        <v>8.8</v>
      </c>
      <c r="K2488" s="7" t="s">
        <v>2628</v>
      </c>
      <c r="L2488" s="7" t="s">
        <v>21</v>
      </c>
      <c r="M2488" s="7" t="s">
        <v>2956</v>
      </c>
      <c r="N2488" s="7" t="s">
        <v>53</v>
      </c>
      <c r="O2488" s="10" t="n">
        <f aca="false">'Exec Summary'!$E$2-H2488</f>
        <v>77</v>
      </c>
      <c r="P2488" s="10" t="n">
        <f aca="false">IF(I2488="","",I2488-H2488)</f>
        <v>18</v>
      </c>
      <c r="Q2488" s="10" t="n">
        <f aca="false">VLOOKUP(G2488,$AA$2:$AB$5,2,FALSE())</f>
        <v>30</v>
      </c>
      <c r="R2488" s="7" t="n">
        <f aca="false">IF(OR(F2488="Open",F2488="Reopened"),1,0)</f>
        <v>0</v>
      </c>
      <c r="S2488" s="7" t="n">
        <f aca="false">IF(AND(H2488&gt;='Exec Summary'!$E$1,H2488&lt;='Exec Summary'!$E$2),1,0)</f>
        <v>0</v>
      </c>
      <c r="T2488" s="7" t="n">
        <f aca="false">IF(AND(F2488="Closed",I2488&lt;&gt;"",I2488&gt;='Exec Summary'!$E$1,I2488&lt;='Exec Summary'!$E$2),1,0)</f>
        <v>0</v>
      </c>
      <c r="U2488" s="7" t="n">
        <f aca="false">IF(F2488="Reopened",1,0)</f>
        <v>0</v>
      </c>
      <c r="V2488" s="7" t="n">
        <f aca="false">IF(AND(R2488=1,O2488&gt;Q2488),1,0)</f>
        <v>0</v>
      </c>
      <c r="W2488" s="7" t="n">
        <f aca="false">IF(AND(T2488=1,P2488&lt;&gt;"",P2488&lt;=Q2488),1,0)</f>
        <v>0</v>
      </c>
    </row>
    <row r="2489" customFormat="false" ht="15" hidden="false" customHeight="false" outlineLevel="0" collapsed="false">
      <c r="A2489" s="7" t="s">
        <v>2946</v>
      </c>
      <c r="B2489" s="7" t="s">
        <v>46</v>
      </c>
      <c r="C2489" s="7" t="s">
        <v>177</v>
      </c>
      <c r="D2489" s="7" t="s">
        <v>71</v>
      </c>
      <c r="E2489" s="7" t="s">
        <v>72</v>
      </c>
      <c r="F2489" s="7" t="s">
        <v>50</v>
      </c>
      <c r="G2489" s="7" t="s">
        <v>19</v>
      </c>
      <c r="H2489" s="9" t="n">
        <v>46177</v>
      </c>
      <c r="I2489" s="9" t="n">
        <v>46189</v>
      </c>
      <c r="J2489" s="7" t="n">
        <v>9.8</v>
      </c>
      <c r="K2489" s="7" t="s">
        <v>2628</v>
      </c>
      <c r="L2489" s="7" t="s">
        <v>21</v>
      </c>
      <c r="M2489" s="7" t="s">
        <v>2957</v>
      </c>
      <c r="N2489" s="7" t="s">
        <v>58</v>
      </c>
      <c r="O2489" s="10" t="n">
        <f aca="false">'Exec Summary'!$E$2-H2489</f>
        <v>57</v>
      </c>
      <c r="P2489" s="10" t="n">
        <f aca="false">IF(I2489="","",I2489-H2489)</f>
        <v>12</v>
      </c>
      <c r="Q2489" s="10" t="n">
        <f aca="false">VLOOKUP(G2489,$AA$2:$AB$5,2,FALSE())</f>
        <v>15</v>
      </c>
      <c r="R2489" s="7" t="n">
        <f aca="false">IF(OR(F2489="Open",F2489="Reopened"),1,0)</f>
        <v>0</v>
      </c>
      <c r="S2489" s="7" t="n">
        <f aca="false">IF(AND(H2489&gt;='Exec Summary'!$E$1,H2489&lt;='Exec Summary'!$E$2),1,0)</f>
        <v>0</v>
      </c>
      <c r="T2489" s="7" t="n">
        <f aca="false">IF(AND(F2489="Closed",I2489&lt;&gt;"",I2489&gt;='Exec Summary'!$E$1,I2489&lt;='Exec Summary'!$E$2),1,0)</f>
        <v>0</v>
      </c>
      <c r="U2489" s="7" t="n">
        <f aca="false">IF(F2489="Reopened",1,0)</f>
        <v>0</v>
      </c>
      <c r="V2489" s="7" t="n">
        <f aca="false">IF(AND(R2489=1,O2489&gt;Q2489),1,0)</f>
        <v>0</v>
      </c>
      <c r="W2489" s="7" t="n">
        <f aca="false">IF(AND(T2489=1,P2489&lt;&gt;"",P2489&lt;=Q2489),1,0)</f>
        <v>0</v>
      </c>
    </row>
    <row r="2490" customFormat="false" ht="15" hidden="false" customHeight="false" outlineLevel="0" collapsed="false">
      <c r="A2490" s="7" t="s">
        <v>2946</v>
      </c>
      <c r="B2490" s="7" t="s">
        <v>46</v>
      </c>
      <c r="C2490" s="7" t="s">
        <v>177</v>
      </c>
      <c r="D2490" s="7" t="s">
        <v>145</v>
      </c>
      <c r="E2490" s="7" t="s">
        <v>146</v>
      </c>
      <c r="F2490" s="7" t="s">
        <v>50</v>
      </c>
      <c r="G2490" s="7" t="s">
        <v>19</v>
      </c>
      <c r="H2490" s="9" t="n">
        <v>45995</v>
      </c>
      <c r="I2490" s="9" t="n">
        <v>46009</v>
      </c>
      <c r="J2490" s="7" t="n">
        <v>9.8</v>
      </c>
      <c r="K2490" s="7" t="s">
        <v>2628</v>
      </c>
      <c r="L2490" s="7" t="s">
        <v>21</v>
      </c>
      <c r="M2490" s="7" t="s">
        <v>2958</v>
      </c>
      <c r="N2490" s="7" t="s">
        <v>58</v>
      </c>
      <c r="O2490" s="10" t="n">
        <f aca="false">'Exec Summary'!$E$2-H2490</f>
        <v>239</v>
      </c>
      <c r="P2490" s="10" t="n">
        <f aca="false">IF(I2490="","",I2490-H2490)</f>
        <v>14</v>
      </c>
      <c r="Q2490" s="10" t="n">
        <f aca="false">VLOOKUP(G2490,$AA$2:$AB$5,2,FALSE())</f>
        <v>15</v>
      </c>
      <c r="R2490" s="7" t="n">
        <f aca="false">IF(OR(F2490="Open",F2490="Reopened"),1,0)</f>
        <v>0</v>
      </c>
      <c r="S2490" s="7" t="n">
        <f aca="false">IF(AND(H2490&gt;='Exec Summary'!$E$1,H2490&lt;='Exec Summary'!$E$2),1,0)</f>
        <v>0</v>
      </c>
      <c r="T2490" s="7" t="n">
        <f aca="false">IF(AND(F2490="Closed",I2490&lt;&gt;"",I2490&gt;='Exec Summary'!$E$1,I2490&lt;='Exec Summary'!$E$2),1,0)</f>
        <v>0</v>
      </c>
      <c r="U2490" s="7" t="n">
        <f aca="false">IF(F2490="Reopened",1,0)</f>
        <v>0</v>
      </c>
      <c r="V2490" s="7" t="n">
        <f aca="false">IF(AND(R2490=1,O2490&gt;Q2490),1,0)</f>
        <v>0</v>
      </c>
      <c r="W2490" s="7" t="n">
        <f aca="false">IF(AND(T2490=1,P2490&lt;&gt;"",P2490&lt;=Q2490),1,0)</f>
        <v>0</v>
      </c>
    </row>
    <row r="2491" customFormat="false" ht="15" hidden="false" customHeight="false" outlineLevel="0" collapsed="false">
      <c r="A2491" s="7" t="s">
        <v>2946</v>
      </c>
      <c r="B2491" s="7" t="s">
        <v>46</v>
      </c>
      <c r="C2491" s="7" t="s">
        <v>177</v>
      </c>
      <c r="D2491" s="7" t="s">
        <v>91</v>
      </c>
      <c r="E2491" s="7" t="s">
        <v>92</v>
      </c>
      <c r="F2491" s="7" t="s">
        <v>50</v>
      </c>
      <c r="G2491" s="7" t="s">
        <v>20</v>
      </c>
      <c r="H2491" s="9" t="n">
        <v>46219</v>
      </c>
      <c r="I2491" s="9" t="n">
        <v>46234</v>
      </c>
      <c r="J2491" s="7" t="n">
        <v>8.1</v>
      </c>
      <c r="K2491" s="7" t="s">
        <v>2628</v>
      </c>
      <c r="L2491" s="7" t="s">
        <v>21</v>
      </c>
      <c r="M2491" s="7" t="s">
        <v>2959</v>
      </c>
      <c r="N2491" s="7" t="s">
        <v>53</v>
      </c>
      <c r="O2491" s="10" t="n">
        <f aca="false">'Exec Summary'!$E$2-H2491</f>
        <v>15</v>
      </c>
      <c r="P2491" s="10" t="n">
        <f aca="false">IF(I2491="","",I2491-H2491)</f>
        <v>15</v>
      </c>
      <c r="Q2491" s="10" t="n">
        <f aca="false">VLOOKUP(G2491,$AA$2:$AB$5,2,FALSE())</f>
        <v>30</v>
      </c>
      <c r="R2491" s="7" t="n">
        <f aca="false">IF(OR(F2491="Open",F2491="Reopened"),1,0)</f>
        <v>0</v>
      </c>
      <c r="S2491" s="7" t="n">
        <f aca="false">IF(AND(H2491&gt;='Exec Summary'!$E$1,H2491&lt;='Exec Summary'!$E$2),1,0)</f>
        <v>1</v>
      </c>
      <c r="T2491" s="7" t="n">
        <f aca="false">IF(AND(F2491="Closed",I2491&lt;&gt;"",I2491&gt;='Exec Summary'!$E$1,I2491&lt;='Exec Summary'!$E$2),1,0)</f>
        <v>1</v>
      </c>
      <c r="U2491" s="7" t="n">
        <f aca="false">IF(F2491="Reopened",1,0)</f>
        <v>0</v>
      </c>
      <c r="V2491" s="7" t="n">
        <f aca="false">IF(AND(R2491=1,O2491&gt;Q2491),1,0)</f>
        <v>0</v>
      </c>
      <c r="W2491" s="7" t="n">
        <f aca="false">IF(AND(T2491=1,P2491&lt;&gt;"",P2491&lt;=Q2491),1,0)</f>
        <v>1</v>
      </c>
    </row>
    <row r="2492" customFormat="false" ht="15" hidden="false" customHeight="false" outlineLevel="0" collapsed="false">
      <c r="A2492" s="7" t="s">
        <v>2946</v>
      </c>
      <c r="B2492" s="7" t="s">
        <v>46</v>
      </c>
      <c r="C2492" s="7" t="s">
        <v>177</v>
      </c>
      <c r="D2492" s="7" t="s">
        <v>192</v>
      </c>
      <c r="E2492" s="7" t="s">
        <v>193</v>
      </c>
      <c r="F2492" s="7" t="s">
        <v>50</v>
      </c>
      <c r="G2492" s="7" t="s">
        <v>19</v>
      </c>
      <c r="H2492" s="9" t="n">
        <v>46145</v>
      </c>
      <c r="I2492" s="9" t="n">
        <v>46160</v>
      </c>
      <c r="J2492" s="7" t="n">
        <v>9.8</v>
      </c>
      <c r="K2492" s="7" t="s">
        <v>2628</v>
      </c>
      <c r="L2492" s="7" t="s">
        <v>21</v>
      </c>
      <c r="M2492" s="7" t="s">
        <v>2960</v>
      </c>
      <c r="N2492" s="7" t="s">
        <v>58</v>
      </c>
      <c r="O2492" s="10" t="n">
        <f aca="false">'Exec Summary'!$E$2-H2492</f>
        <v>89</v>
      </c>
      <c r="P2492" s="10" t="n">
        <f aca="false">IF(I2492="","",I2492-H2492)</f>
        <v>15</v>
      </c>
      <c r="Q2492" s="10" t="n">
        <f aca="false">VLOOKUP(G2492,$AA$2:$AB$5,2,FALSE())</f>
        <v>15</v>
      </c>
      <c r="R2492" s="7" t="n">
        <f aca="false">IF(OR(F2492="Open",F2492="Reopened"),1,0)</f>
        <v>0</v>
      </c>
      <c r="S2492" s="7" t="n">
        <f aca="false">IF(AND(H2492&gt;='Exec Summary'!$E$1,H2492&lt;='Exec Summary'!$E$2),1,0)</f>
        <v>0</v>
      </c>
      <c r="T2492" s="7" t="n">
        <f aca="false">IF(AND(F2492="Closed",I2492&lt;&gt;"",I2492&gt;='Exec Summary'!$E$1,I2492&lt;='Exec Summary'!$E$2),1,0)</f>
        <v>0</v>
      </c>
      <c r="U2492" s="7" t="n">
        <f aca="false">IF(F2492="Reopened",1,0)</f>
        <v>0</v>
      </c>
      <c r="V2492" s="7" t="n">
        <f aca="false">IF(AND(R2492=1,O2492&gt;Q2492),1,0)</f>
        <v>0</v>
      </c>
      <c r="W2492" s="7" t="n">
        <f aca="false">IF(AND(T2492=1,P2492&lt;&gt;"",P2492&lt;=Q2492),1,0)</f>
        <v>0</v>
      </c>
    </row>
    <row r="2493" customFormat="false" ht="15" hidden="false" customHeight="false" outlineLevel="0" collapsed="false">
      <c r="A2493" s="7" t="s">
        <v>2961</v>
      </c>
      <c r="B2493" s="7" t="s">
        <v>46</v>
      </c>
      <c r="C2493" s="7" t="s">
        <v>158</v>
      </c>
      <c r="D2493" s="7" t="s">
        <v>95</v>
      </c>
      <c r="E2493" s="7" t="s">
        <v>96</v>
      </c>
      <c r="F2493" s="7" t="s">
        <v>50</v>
      </c>
      <c r="G2493" s="7" t="s">
        <v>20</v>
      </c>
      <c r="H2493" s="9" t="n">
        <v>46177</v>
      </c>
      <c r="I2493" s="9" t="n">
        <v>46201</v>
      </c>
      <c r="J2493" s="7" t="n">
        <v>8.8</v>
      </c>
      <c r="K2493" s="7" t="s">
        <v>2628</v>
      </c>
      <c r="L2493" s="7" t="s">
        <v>21</v>
      </c>
      <c r="M2493" s="7" t="s">
        <v>2962</v>
      </c>
      <c r="N2493" s="7" t="s">
        <v>53</v>
      </c>
      <c r="O2493" s="10" t="n">
        <f aca="false">'Exec Summary'!$E$2-H2493</f>
        <v>57</v>
      </c>
      <c r="P2493" s="10" t="n">
        <f aca="false">IF(I2493="","",I2493-H2493)</f>
        <v>24</v>
      </c>
      <c r="Q2493" s="10" t="n">
        <f aca="false">VLOOKUP(G2493,$AA$2:$AB$5,2,FALSE())</f>
        <v>30</v>
      </c>
      <c r="R2493" s="7" t="n">
        <f aca="false">IF(OR(F2493="Open",F2493="Reopened"),1,0)</f>
        <v>0</v>
      </c>
      <c r="S2493" s="7" t="n">
        <f aca="false">IF(AND(H2493&gt;='Exec Summary'!$E$1,H2493&lt;='Exec Summary'!$E$2),1,0)</f>
        <v>0</v>
      </c>
      <c r="T2493" s="7" t="n">
        <f aca="false">IF(AND(F2493="Closed",I2493&lt;&gt;"",I2493&gt;='Exec Summary'!$E$1,I2493&lt;='Exec Summary'!$E$2),1,0)</f>
        <v>0</v>
      </c>
      <c r="U2493" s="7" t="n">
        <f aca="false">IF(F2493="Reopened",1,0)</f>
        <v>0</v>
      </c>
      <c r="V2493" s="7" t="n">
        <f aca="false">IF(AND(R2493=1,O2493&gt;Q2493),1,0)</f>
        <v>0</v>
      </c>
      <c r="W2493" s="7" t="n">
        <f aca="false">IF(AND(T2493=1,P2493&lt;&gt;"",P2493&lt;=Q2493),1,0)</f>
        <v>0</v>
      </c>
    </row>
    <row r="2494" customFormat="false" ht="15" hidden="false" customHeight="false" outlineLevel="0" collapsed="false">
      <c r="A2494" s="7" t="s">
        <v>2961</v>
      </c>
      <c r="B2494" s="7" t="s">
        <v>46</v>
      </c>
      <c r="C2494" s="7" t="s">
        <v>158</v>
      </c>
      <c r="D2494" s="7" t="s">
        <v>71</v>
      </c>
      <c r="E2494" s="7" t="s">
        <v>72</v>
      </c>
      <c r="F2494" s="7" t="s">
        <v>123</v>
      </c>
      <c r="G2494" s="7" t="s">
        <v>19</v>
      </c>
      <c r="H2494" s="9" t="n">
        <v>46132</v>
      </c>
      <c r="I2494" s="9" t="n">
        <v>46133</v>
      </c>
      <c r="J2494" s="7" t="n">
        <v>9.8</v>
      </c>
      <c r="K2494" s="7" t="s">
        <v>2628</v>
      </c>
      <c r="L2494" s="7" t="s">
        <v>21</v>
      </c>
      <c r="M2494" s="7" t="s">
        <v>2963</v>
      </c>
      <c r="N2494" s="7" t="s">
        <v>58</v>
      </c>
      <c r="O2494" s="10" t="n">
        <f aca="false">'Exec Summary'!$E$2-H2494</f>
        <v>102</v>
      </c>
      <c r="P2494" s="10" t="n">
        <f aca="false">IF(I2494="","",I2494-H2494)</f>
        <v>1</v>
      </c>
      <c r="Q2494" s="10" t="n">
        <f aca="false">VLOOKUP(G2494,$AA$2:$AB$5,2,FALSE())</f>
        <v>15</v>
      </c>
      <c r="R2494" s="7" t="n">
        <f aca="false">IF(OR(F2494="Open",F2494="Reopened"),1,0)</f>
        <v>1</v>
      </c>
      <c r="S2494" s="7" t="n">
        <f aca="false">IF(AND(H2494&gt;='Exec Summary'!$E$1,H2494&lt;='Exec Summary'!$E$2),1,0)</f>
        <v>0</v>
      </c>
      <c r="T2494" s="7" t="n">
        <f aca="false">IF(AND(F2494="Closed",I2494&lt;&gt;"",I2494&gt;='Exec Summary'!$E$1,I2494&lt;='Exec Summary'!$E$2),1,0)</f>
        <v>0</v>
      </c>
      <c r="U2494" s="7" t="n">
        <f aca="false">IF(F2494="Reopened",1,0)</f>
        <v>1</v>
      </c>
      <c r="V2494" s="7" t="n">
        <f aca="false">IF(AND(R2494=1,O2494&gt;Q2494),1,0)</f>
        <v>1</v>
      </c>
      <c r="W2494" s="7" t="n">
        <f aca="false">IF(AND(T2494=1,P2494&lt;&gt;"",P2494&lt;=Q2494),1,0)</f>
        <v>0</v>
      </c>
    </row>
    <row r="2495" customFormat="false" ht="15" hidden="false" customHeight="false" outlineLevel="0" collapsed="false">
      <c r="A2495" s="7" t="s">
        <v>2961</v>
      </c>
      <c r="B2495" s="7" t="s">
        <v>46</v>
      </c>
      <c r="C2495" s="7" t="s">
        <v>158</v>
      </c>
      <c r="D2495" s="7" t="s">
        <v>108</v>
      </c>
      <c r="E2495" s="7" t="s">
        <v>109</v>
      </c>
      <c r="F2495" s="7" t="s">
        <v>50</v>
      </c>
      <c r="G2495" s="7" t="s">
        <v>20</v>
      </c>
      <c r="H2495" s="9" t="n">
        <v>46195</v>
      </c>
      <c r="I2495" s="9" t="n">
        <v>46198</v>
      </c>
      <c r="J2495" s="7" t="n">
        <v>8.6</v>
      </c>
      <c r="K2495" s="7" t="s">
        <v>2628</v>
      </c>
      <c r="L2495" s="7" t="s">
        <v>21</v>
      </c>
      <c r="M2495" s="7" t="s">
        <v>2964</v>
      </c>
      <c r="N2495" s="7" t="s">
        <v>53</v>
      </c>
      <c r="O2495" s="10" t="n">
        <f aca="false">'Exec Summary'!$E$2-H2495</f>
        <v>39</v>
      </c>
      <c r="P2495" s="10" t="n">
        <f aca="false">IF(I2495="","",I2495-H2495)</f>
        <v>3</v>
      </c>
      <c r="Q2495" s="10" t="n">
        <f aca="false">VLOOKUP(G2495,$AA$2:$AB$5,2,FALSE())</f>
        <v>30</v>
      </c>
      <c r="R2495" s="7" t="n">
        <f aca="false">IF(OR(F2495="Open",F2495="Reopened"),1,0)</f>
        <v>0</v>
      </c>
      <c r="S2495" s="7" t="n">
        <f aca="false">IF(AND(H2495&gt;='Exec Summary'!$E$1,H2495&lt;='Exec Summary'!$E$2),1,0)</f>
        <v>0</v>
      </c>
      <c r="T2495" s="7" t="n">
        <f aca="false">IF(AND(F2495="Closed",I2495&lt;&gt;"",I2495&gt;='Exec Summary'!$E$1,I2495&lt;='Exec Summary'!$E$2),1,0)</f>
        <v>0</v>
      </c>
      <c r="U2495" s="7" t="n">
        <f aca="false">IF(F2495="Reopened",1,0)</f>
        <v>0</v>
      </c>
      <c r="V2495" s="7" t="n">
        <f aca="false">IF(AND(R2495=1,O2495&gt;Q2495),1,0)</f>
        <v>0</v>
      </c>
      <c r="W2495" s="7" t="n">
        <f aca="false">IF(AND(T2495=1,P2495&lt;&gt;"",P2495&lt;=Q2495),1,0)</f>
        <v>0</v>
      </c>
    </row>
    <row r="2496" customFormat="false" ht="15" hidden="false" customHeight="false" outlineLevel="0" collapsed="false">
      <c r="A2496" s="7" t="s">
        <v>2961</v>
      </c>
      <c r="B2496" s="7" t="s">
        <v>46</v>
      </c>
      <c r="C2496" s="7" t="s">
        <v>158</v>
      </c>
      <c r="D2496" s="7" t="s">
        <v>101</v>
      </c>
      <c r="E2496" s="7" t="s">
        <v>102</v>
      </c>
      <c r="F2496" s="7" t="s">
        <v>56</v>
      </c>
      <c r="G2496" s="7" t="s">
        <v>19</v>
      </c>
      <c r="H2496" s="9" t="n">
        <v>46196</v>
      </c>
      <c r="I2496" s="9"/>
      <c r="J2496" s="7" t="n">
        <v>10</v>
      </c>
      <c r="K2496" s="7" t="s">
        <v>2628</v>
      </c>
      <c r="L2496" s="7" t="s">
        <v>21</v>
      </c>
      <c r="M2496" s="7" t="s">
        <v>2965</v>
      </c>
      <c r="N2496" s="7" t="s">
        <v>58</v>
      </c>
      <c r="O2496" s="10" t="n">
        <f aca="false">'Exec Summary'!$E$2-H2496</f>
        <v>38</v>
      </c>
      <c r="P2496" s="10" t="str">
        <f aca="false">IF(I2496="","",I2496-H2496)</f>
        <v/>
      </c>
      <c r="Q2496" s="10" t="n">
        <f aca="false">VLOOKUP(G2496,$AA$2:$AB$5,2,FALSE())</f>
        <v>15</v>
      </c>
      <c r="R2496" s="7" t="n">
        <f aca="false">IF(OR(F2496="Open",F2496="Reopened"),1,0)</f>
        <v>1</v>
      </c>
      <c r="S2496" s="7" t="n">
        <f aca="false">IF(AND(H2496&gt;='Exec Summary'!$E$1,H2496&lt;='Exec Summary'!$E$2),1,0)</f>
        <v>0</v>
      </c>
      <c r="T2496" s="7" t="n">
        <f aca="false">IF(AND(F2496="Closed",I2496&lt;&gt;"",I2496&gt;='Exec Summary'!$E$1,I2496&lt;='Exec Summary'!$E$2),1,0)</f>
        <v>0</v>
      </c>
      <c r="U2496" s="7" t="n">
        <f aca="false">IF(F2496="Reopened",1,0)</f>
        <v>0</v>
      </c>
      <c r="V2496" s="7" t="n">
        <f aca="false">IF(AND(R2496=1,O2496&gt;Q2496),1,0)</f>
        <v>1</v>
      </c>
      <c r="W2496" s="7" t="n">
        <f aca="false">IF(AND(T2496=1,P2496&lt;&gt;"",P2496&lt;=Q2496),1,0)</f>
        <v>0</v>
      </c>
    </row>
    <row r="2497" customFormat="false" ht="15" hidden="false" customHeight="false" outlineLevel="0" collapsed="false">
      <c r="A2497" s="7" t="s">
        <v>2961</v>
      </c>
      <c r="B2497" s="7" t="s">
        <v>46</v>
      </c>
      <c r="C2497" s="7" t="s">
        <v>158</v>
      </c>
      <c r="D2497" s="7" t="s">
        <v>87</v>
      </c>
      <c r="E2497" s="7" t="s">
        <v>88</v>
      </c>
      <c r="F2497" s="7" t="s">
        <v>50</v>
      </c>
      <c r="G2497" s="7" t="s">
        <v>19</v>
      </c>
      <c r="H2497" s="9" t="n">
        <v>46223</v>
      </c>
      <c r="I2497" s="9" t="n">
        <v>46229</v>
      </c>
      <c r="J2497" s="7" t="n">
        <v>10</v>
      </c>
      <c r="K2497" s="7" t="s">
        <v>2628</v>
      </c>
      <c r="L2497" s="7" t="s">
        <v>21</v>
      </c>
      <c r="M2497" s="7" t="s">
        <v>2966</v>
      </c>
      <c r="N2497" s="7" t="s">
        <v>58</v>
      </c>
      <c r="O2497" s="10" t="n">
        <f aca="false">'Exec Summary'!$E$2-H2497</f>
        <v>11</v>
      </c>
      <c r="P2497" s="10" t="n">
        <f aca="false">IF(I2497="","",I2497-H2497)</f>
        <v>6</v>
      </c>
      <c r="Q2497" s="10" t="n">
        <f aca="false">VLOOKUP(G2497,$AA$2:$AB$5,2,FALSE())</f>
        <v>15</v>
      </c>
      <c r="R2497" s="7" t="n">
        <f aca="false">IF(OR(F2497="Open",F2497="Reopened"),1,0)</f>
        <v>0</v>
      </c>
      <c r="S2497" s="7" t="n">
        <f aca="false">IF(AND(H2497&gt;='Exec Summary'!$E$1,H2497&lt;='Exec Summary'!$E$2),1,0)</f>
        <v>1</v>
      </c>
      <c r="T2497" s="7" t="n">
        <f aca="false">IF(AND(F2497="Closed",I2497&lt;&gt;"",I2497&gt;='Exec Summary'!$E$1,I2497&lt;='Exec Summary'!$E$2),1,0)</f>
        <v>1</v>
      </c>
      <c r="U2497" s="7" t="n">
        <f aca="false">IF(F2497="Reopened",1,0)</f>
        <v>0</v>
      </c>
      <c r="V2497" s="7" t="n">
        <f aca="false">IF(AND(R2497=1,O2497&gt;Q2497),1,0)</f>
        <v>0</v>
      </c>
      <c r="W2497" s="7" t="n">
        <f aca="false">IF(AND(T2497=1,P2497&lt;&gt;"",P2497&lt;=Q2497),1,0)</f>
        <v>1</v>
      </c>
    </row>
    <row r="2498" customFormat="false" ht="15" hidden="false" customHeight="false" outlineLevel="0" collapsed="false">
      <c r="A2498" s="7" t="s">
        <v>2961</v>
      </c>
      <c r="B2498" s="7" t="s">
        <v>46</v>
      </c>
      <c r="C2498" s="7" t="s">
        <v>158</v>
      </c>
      <c r="D2498" s="7" t="s">
        <v>68</v>
      </c>
      <c r="E2498" s="7" t="s">
        <v>69</v>
      </c>
      <c r="F2498" s="7" t="s">
        <v>50</v>
      </c>
      <c r="G2498" s="7" t="s">
        <v>19</v>
      </c>
      <c r="H2498" s="9" t="n">
        <v>46068</v>
      </c>
      <c r="I2498" s="9" t="n">
        <v>46074</v>
      </c>
      <c r="J2498" s="7" t="n">
        <v>9.8</v>
      </c>
      <c r="K2498" s="7" t="s">
        <v>2628</v>
      </c>
      <c r="L2498" s="7" t="s">
        <v>21</v>
      </c>
      <c r="M2498" s="7" t="s">
        <v>2967</v>
      </c>
      <c r="N2498" s="7" t="s">
        <v>58</v>
      </c>
      <c r="O2498" s="10" t="n">
        <f aca="false">'Exec Summary'!$E$2-H2498</f>
        <v>166</v>
      </c>
      <c r="P2498" s="10" t="n">
        <f aca="false">IF(I2498="","",I2498-H2498)</f>
        <v>6</v>
      </c>
      <c r="Q2498" s="10" t="n">
        <f aca="false">VLOOKUP(G2498,$AA$2:$AB$5,2,FALSE())</f>
        <v>15</v>
      </c>
      <c r="R2498" s="7" t="n">
        <f aca="false">IF(OR(F2498="Open",F2498="Reopened"),1,0)</f>
        <v>0</v>
      </c>
      <c r="S2498" s="7" t="n">
        <f aca="false">IF(AND(H2498&gt;='Exec Summary'!$E$1,H2498&lt;='Exec Summary'!$E$2),1,0)</f>
        <v>0</v>
      </c>
      <c r="T2498" s="7" t="n">
        <f aca="false">IF(AND(F2498="Closed",I2498&lt;&gt;"",I2498&gt;='Exec Summary'!$E$1,I2498&lt;='Exec Summary'!$E$2),1,0)</f>
        <v>0</v>
      </c>
      <c r="U2498" s="7" t="n">
        <f aca="false">IF(F2498="Reopened",1,0)</f>
        <v>0</v>
      </c>
      <c r="V2498" s="7" t="n">
        <f aca="false">IF(AND(R2498=1,O2498&gt;Q2498),1,0)</f>
        <v>0</v>
      </c>
      <c r="W2498" s="7" t="n">
        <f aca="false">IF(AND(T2498=1,P2498&lt;&gt;"",P2498&lt;=Q2498),1,0)</f>
        <v>0</v>
      </c>
    </row>
    <row r="2499" customFormat="false" ht="15" hidden="false" customHeight="false" outlineLevel="0" collapsed="false">
      <c r="A2499" s="7" t="s">
        <v>2961</v>
      </c>
      <c r="B2499" s="7" t="s">
        <v>46</v>
      </c>
      <c r="C2499" s="7" t="s">
        <v>158</v>
      </c>
      <c r="D2499" s="7" t="s">
        <v>163</v>
      </c>
      <c r="E2499" s="7" t="s">
        <v>164</v>
      </c>
      <c r="F2499" s="7" t="s">
        <v>56</v>
      </c>
      <c r="G2499" s="7" t="s">
        <v>19</v>
      </c>
      <c r="H2499" s="9" t="n">
        <v>46098</v>
      </c>
      <c r="I2499" s="9"/>
      <c r="J2499" s="7" t="n">
        <v>9.1</v>
      </c>
      <c r="K2499" s="7" t="s">
        <v>2628</v>
      </c>
      <c r="L2499" s="7" t="s">
        <v>21</v>
      </c>
      <c r="M2499" s="7" t="s">
        <v>2968</v>
      </c>
      <c r="N2499" s="7" t="s">
        <v>58</v>
      </c>
      <c r="O2499" s="10" t="n">
        <f aca="false">'Exec Summary'!$E$2-H2499</f>
        <v>136</v>
      </c>
      <c r="P2499" s="10" t="str">
        <f aca="false">IF(I2499="","",I2499-H2499)</f>
        <v/>
      </c>
      <c r="Q2499" s="10" t="n">
        <f aca="false">VLOOKUP(G2499,$AA$2:$AB$5,2,FALSE())</f>
        <v>15</v>
      </c>
      <c r="R2499" s="7" t="n">
        <f aca="false">IF(OR(F2499="Open",F2499="Reopened"),1,0)</f>
        <v>1</v>
      </c>
      <c r="S2499" s="7" t="n">
        <f aca="false">IF(AND(H2499&gt;='Exec Summary'!$E$1,H2499&lt;='Exec Summary'!$E$2),1,0)</f>
        <v>0</v>
      </c>
      <c r="T2499" s="7" t="n">
        <f aca="false">IF(AND(F2499="Closed",I2499&lt;&gt;"",I2499&gt;='Exec Summary'!$E$1,I2499&lt;='Exec Summary'!$E$2),1,0)</f>
        <v>0</v>
      </c>
      <c r="U2499" s="7" t="n">
        <f aca="false">IF(F2499="Reopened",1,0)</f>
        <v>0</v>
      </c>
      <c r="V2499" s="7" t="n">
        <f aca="false">IF(AND(R2499=1,O2499&gt;Q2499),1,0)</f>
        <v>1</v>
      </c>
      <c r="W2499" s="7" t="n">
        <f aca="false">IF(AND(T2499=1,P2499&lt;&gt;"",P2499&lt;=Q2499),1,0)</f>
        <v>0</v>
      </c>
    </row>
    <row r="2500" customFormat="false" ht="15" hidden="false" customHeight="false" outlineLevel="0" collapsed="false">
      <c r="A2500" s="7" t="s">
        <v>2961</v>
      </c>
      <c r="B2500" s="7" t="s">
        <v>46</v>
      </c>
      <c r="C2500" s="7" t="s">
        <v>158</v>
      </c>
      <c r="D2500" s="7" t="s">
        <v>54</v>
      </c>
      <c r="E2500" s="7" t="s">
        <v>55</v>
      </c>
      <c r="F2500" s="7" t="s">
        <v>56</v>
      </c>
      <c r="G2500" s="7" t="s">
        <v>19</v>
      </c>
      <c r="H2500" s="9" t="n">
        <v>46032</v>
      </c>
      <c r="I2500" s="9"/>
      <c r="J2500" s="7" t="n">
        <v>9.8</v>
      </c>
      <c r="K2500" s="7" t="s">
        <v>2628</v>
      </c>
      <c r="L2500" s="7" t="s">
        <v>21</v>
      </c>
      <c r="M2500" s="7" t="s">
        <v>2969</v>
      </c>
      <c r="N2500" s="7" t="s">
        <v>58</v>
      </c>
      <c r="O2500" s="10" t="n">
        <f aca="false">'Exec Summary'!$E$2-H2500</f>
        <v>202</v>
      </c>
      <c r="P2500" s="10" t="str">
        <f aca="false">IF(I2500="","",I2500-H2500)</f>
        <v/>
      </c>
      <c r="Q2500" s="10" t="n">
        <f aca="false">VLOOKUP(G2500,$AA$2:$AB$5,2,FALSE())</f>
        <v>15</v>
      </c>
      <c r="R2500" s="7" t="n">
        <f aca="false">IF(OR(F2500="Open",F2500="Reopened"),1,0)</f>
        <v>1</v>
      </c>
      <c r="S2500" s="7" t="n">
        <f aca="false">IF(AND(H2500&gt;='Exec Summary'!$E$1,H2500&lt;='Exec Summary'!$E$2),1,0)</f>
        <v>0</v>
      </c>
      <c r="T2500" s="7" t="n">
        <f aca="false">IF(AND(F2500="Closed",I2500&lt;&gt;"",I2500&gt;='Exec Summary'!$E$1,I2500&lt;='Exec Summary'!$E$2),1,0)</f>
        <v>0</v>
      </c>
      <c r="U2500" s="7" t="n">
        <f aca="false">IF(F2500="Reopened",1,0)</f>
        <v>0</v>
      </c>
      <c r="V2500" s="7" t="n">
        <f aca="false">IF(AND(R2500=1,O2500&gt;Q2500),1,0)</f>
        <v>1</v>
      </c>
      <c r="W2500" s="7" t="n">
        <f aca="false">IF(AND(T2500=1,P2500&lt;&gt;"",P2500&lt;=Q2500),1,0)</f>
        <v>0</v>
      </c>
    </row>
    <row r="2501" customFormat="false" ht="15" hidden="false" customHeight="false" outlineLevel="0" collapsed="false">
      <c r="A2501" s="7" t="s">
        <v>2961</v>
      </c>
      <c r="B2501" s="7" t="s">
        <v>46</v>
      </c>
      <c r="C2501" s="7" t="s">
        <v>158</v>
      </c>
      <c r="D2501" s="7" t="s">
        <v>139</v>
      </c>
      <c r="E2501" s="7" t="s">
        <v>140</v>
      </c>
      <c r="F2501" s="7" t="s">
        <v>50</v>
      </c>
      <c r="G2501" s="7" t="s">
        <v>19</v>
      </c>
      <c r="H2501" s="9" t="n">
        <v>46134</v>
      </c>
      <c r="I2501" s="9" t="n">
        <v>46147</v>
      </c>
      <c r="J2501" s="7" t="n">
        <v>9.8</v>
      </c>
      <c r="K2501" s="7" t="s">
        <v>2628</v>
      </c>
      <c r="L2501" s="7" t="s">
        <v>21</v>
      </c>
      <c r="M2501" s="7" t="s">
        <v>2970</v>
      </c>
      <c r="N2501" s="7" t="s">
        <v>58</v>
      </c>
      <c r="O2501" s="10" t="n">
        <f aca="false">'Exec Summary'!$E$2-H2501</f>
        <v>100</v>
      </c>
      <c r="P2501" s="10" t="n">
        <f aca="false">IF(I2501="","",I2501-H2501)</f>
        <v>13</v>
      </c>
      <c r="Q2501" s="10" t="n">
        <f aca="false">VLOOKUP(G2501,$AA$2:$AB$5,2,FALSE())</f>
        <v>15</v>
      </c>
      <c r="R2501" s="7" t="n">
        <f aca="false">IF(OR(F2501="Open",F2501="Reopened"),1,0)</f>
        <v>0</v>
      </c>
      <c r="S2501" s="7" t="n">
        <f aca="false">IF(AND(H2501&gt;='Exec Summary'!$E$1,H2501&lt;='Exec Summary'!$E$2),1,0)</f>
        <v>0</v>
      </c>
      <c r="T2501" s="7" t="n">
        <f aca="false">IF(AND(F2501="Closed",I2501&lt;&gt;"",I2501&gt;='Exec Summary'!$E$1,I2501&lt;='Exec Summary'!$E$2),1,0)</f>
        <v>0</v>
      </c>
      <c r="U2501" s="7" t="n">
        <f aca="false">IF(F2501="Reopened",1,0)</f>
        <v>0</v>
      </c>
      <c r="V2501" s="7" t="n">
        <f aca="false">IF(AND(R2501=1,O2501&gt;Q2501),1,0)</f>
        <v>0</v>
      </c>
      <c r="W2501" s="7" t="n">
        <f aca="false">IF(AND(T2501=1,P2501&lt;&gt;"",P2501&lt;=Q2501),1,0)</f>
        <v>0</v>
      </c>
    </row>
    <row r="2502" customFormat="false" ht="15" hidden="false" customHeight="false" outlineLevel="0" collapsed="false">
      <c r="A2502" s="7" t="s">
        <v>2961</v>
      </c>
      <c r="B2502" s="7" t="s">
        <v>46</v>
      </c>
      <c r="C2502" s="7" t="s">
        <v>158</v>
      </c>
      <c r="D2502" s="7" t="s">
        <v>98</v>
      </c>
      <c r="E2502" s="7" t="s">
        <v>99</v>
      </c>
      <c r="F2502" s="7" t="s">
        <v>56</v>
      </c>
      <c r="G2502" s="7" t="s">
        <v>19</v>
      </c>
      <c r="H2502" s="9" t="n">
        <v>46194</v>
      </c>
      <c r="I2502" s="9"/>
      <c r="J2502" s="7" t="n">
        <v>10</v>
      </c>
      <c r="K2502" s="7" t="s">
        <v>2628</v>
      </c>
      <c r="L2502" s="7" t="s">
        <v>21</v>
      </c>
      <c r="M2502" s="7" t="s">
        <v>2971</v>
      </c>
      <c r="N2502" s="7" t="s">
        <v>58</v>
      </c>
      <c r="O2502" s="10" t="n">
        <f aca="false">'Exec Summary'!$E$2-H2502</f>
        <v>40</v>
      </c>
      <c r="P2502" s="10" t="str">
        <f aca="false">IF(I2502="","",I2502-H2502)</f>
        <v/>
      </c>
      <c r="Q2502" s="10" t="n">
        <f aca="false">VLOOKUP(G2502,$AA$2:$AB$5,2,FALSE())</f>
        <v>15</v>
      </c>
      <c r="R2502" s="7" t="n">
        <f aca="false">IF(OR(F2502="Open",F2502="Reopened"),1,0)</f>
        <v>1</v>
      </c>
      <c r="S2502" s="7" t="n">
        <f aca="false">IF(AND(H2502&gt;='Exec Summary'!$E$1,H2502&lt;='Exec Summary'!$E$2),1,0)</f>
        <v>0</v>
      </c>
      <c r="T2502" s="7" t="n">
        <f aca="false">IF(AND(F2502="Closed",I2502&lt;&gt;"",I2502&gt;='Exec Summary'!$E$1,I2502&lt;='Exec Summary'!$E$2),1,0)</f>
        <v>0</v>
      </c>
      <c r="U2502" s="7" t="n">
        <f aca="false">IF(F2502="Reopened",1,0)</f>
        <v>0</v>
      </c>
      <c r="V2502" s="7" t="n">
        <f aca="false">IF(AND(R2502=1,O2502&gt;Q2502),1,0)</f>
        <v>1</v>
      </c>
      <c r="W2502" s="7" t="n">
        <f aca="false">IF(AND(T2502=1,P2502&lt;&gt;"",P2502&lt;=Q2502),1,0)</f>
        <v>0</v>
      </c>
    </row>
    <row r="2503" customFormat="false" ht="15" hidden="false" customHeight="false" outlineLevel="0" collapsed="false">
      <c r="A2503" s="7" t="s">
        <v>2961</v>
      </c>
      <c r="B2503" s="7" t="s">
        <v>46</v>
      </c>
      <c r="C2503" s="7" t="s">
        <v>158</v>
      </c>
      <c r="D2503" s="7" t="s">
        <v>104</v>
      </c>
      <c r="E2503" s="7" t="s">
        <v>105</v>
      </c>
      <c r="F2503" s="7" t="s">
        <v>56</v>
      </c>
      <c r="G2503" s="7" t="s">
        <v>19</v>
      </c>
      <c r="H2503" s="9" t="n">
        <v>46057</v>
      </c>
      <c r="I2503" s="9"/>
      <c r="J2503" s="7" t="n">
        <v>9.8</v>
      </c>
      <c r="K2503" s="7" t="s">
        <v>2628</v>
      </c>
      <c r="L2503" s="7" t="s">
        <v>21</v>
      </c>
      <c r="M2503" s="7" t="s">
        <v>2972</v>
      </c>
      <c r="N2503" s="7" t="s">
        <v>58</v>
      </c>
      <c r="O2503" s="10" t="n">
        <f aca="false">'Exec Summary'!$E$2-H2503</f>
        <v>177</v>
      </c>
      <c r="P2503" s="10" t="str">
        <f aca="false">IF(I2503="","",I2503-H2503)</f>
        <v/>
      </c>
      <c r="Q2503" s="10" t="n">
        <f aca="false">VLOOKUP(G2503,$AA$2:$AB$5,2,FALSE())</f>
        <v>15</v>
      </c>
      <c r="R2503" s="7" t="n">
        <f aca="false">IF(OR(F2503="Open",F2503="Reopened"),1,0)</f>
        <v>1</v>
      </c>
      <c r="S2503" s="7" t="n">
        <f aca="false">IF(AND(H2503&gt;='Exec Summary'!$E$1,H2503&lt;='Exec Summary'!$E$2),1,0)</f>
        <v>0</v>
      </c>
      <c r="T2503" s="7" t="n">
        <f aca="false">IF(AND(F2503="Closed",I2503&lt;&gt;"",I2503&gt;='Exec Summary'!$E$1,I2503&lt;='Exec Summary'!$E$2),1,0)</f>
        <v>0</v>
      </c>
      <c r="U2503" s="7" t="n">
        <f aca="false">IF(F2503="Reopened",1,0)</f>
        <v>0</v>
      </c>
      <c r="V2503" s="7" t="n">
        <f aca="false">IF(AND(R2503=1,O2503&gt;Q2503),1,0)</f>
        <v>1</v>
      </c>
      <c r="W2503" s="7" t="n">
        <f aca="false">IF(AND(T2503=1,P2503&lt;&gt;"",P2503&lt;=Q2503),1,0)</f>
        <v>0</v>
      </c>
    </row>
    <row r="2504" customFormat="false" ht="15" hidden="false" customHeight="false" outlineLevel="0" collapsed="false">
      <c r="A2504" s="7" t="s">
        <v>2973</v>
      </c>
      <c r="B2504" s="7" t="s">
        <v>46</v>
      </c>
      <c r="C2504" s="7" t="s">
        <v>158</v>
      </c>
      <c r="D2504" s="7" t="s">
        <v>84</v>
      </c>
      <c r="E2504" s="7" t="s">
        <v>85</v>
      </c>
      <c r="F2504" s="7" t="s">
        <v>50</v>
      </c>
      <c r="G2504" s="7" t="s">
        <v>20</v>
      </c>
      <c r="H2504" s="9" t="n">
        <v>46135</v>
      </c>
      <c r="I2504" s="9" t="n">
        <v>46149</v>
      </c>
      <c r="J2504" s="7" t="n">
        <v>7.5</v>
      </c>
      <c r="K2504" s="7" t="s">
        <v>2628</v>
      </c>
      <c r="L2504" s="7" t="s">
        <v>21</v>
      </c>
      <c r="M2504" s="7" t="s">
        <v>2974</v>
      </c>
      <c r="N2504" s="7" t="s">
        <v>53</v>
      </c>
      <c r="O2504" s="10" t="n">
        <f aca="false">'Exec Summary'!$E$2-H2504</f>
        <v>99</v>
      </c>
      <c r="P2504" s="10" t="n">
        <f aca="false">IF(I2504="","",I2504-H2504)</f>
        <v>14</v>
      </c>
      <c r="Q2504" s="10" t="n">
        <f aca="false">VLOOKUP(G2504,$AA$2:$AB$5,2,FALSE())</f>
        <v>30</v>
      </c>
      <c r="R2504" s="7" t="n">
        <f aca="false">IF(OR(F2504="Open",F2504="Reopened"),1,0)</f>
        <v>0</v>
      </c>
      <c r="S2504" s="7" t="n">
        <f aca="false">IF(AND(H2504&gt;='Exec Summary'!$E$1,H2504&lt;='Exec Summary'!$E$2),1,0)</f>
        <v>0</v>
      </c>
      <c r="T2504" s="7" t="n">
        <f aca="false">IF(AND(F2504="Closed",I2504&lt;&gt;"",I2504&gt;='Exec Summary'!$E$1,I2504&lt;='Exec Summary'!$E$2),1,0)</f>
        <v>0</v>
      </c>
      <c r="U2504" s="7" t="n">
        <f aca="false">IF(F2504="Reopened",1,0)</f>
        <v>0</v>
      </c>
      <c r="V2504" s="7" t="n">
        <f aca="false">IF(AND(R2504=1,O2504&gt;Q2504),1,0)</f>
        <v>0</v>
      </c>
      <c r="W2504" s="7" t="n">
        <f aca="false">IF(AND(T2504=1,P2504&lt;&gt;"",P2504&lt;=Q2504),1,0)</f>
        <v>0</v>
      </c>
    </row>
    <row r="2505" customFormat="false" ht="15" hidden="false" customHeight="false" outlineLevel="0" collapsed="false">
      <c r="A2505" s="7" t="s">
        <v>2973</v>
      </c>
      <c r="B2505" s="7" t="s">
        <v>46</v>
      </c>
      <c r="C2505" s="7" t="s">
        <v>158</v>
      </c>
      <c r="D2505" s="7" t="s">
        <v>173</v>
      </c>
      <c r="E2505" s="7" t="s">
        <v>174</v>
      </c>
      <c r="F2505" s="7" t="s">
        <v>56</v>
      </c>
      <c r="G2505" s="7" t="s">
        <v>19</v>
      </c>
      <c r="H2505" s="9" t="n">
        <v>46089</v>
      </c>
      <c r="I2505" s="9"/>
      <c r="J2505" s="7" t="n">
        <v>9.8</v>
      </c>
      <c r="K2505" s="7" t="s">
        <v>2628</v>
      </c>
      <c r="L2505" s="7" t="s">
        <v>21</v>
      </c>
      <c r="M2505" s="7" t="s">
        <v>2975</v>
      </c>
      <c r="N2505" s="7" t="s">
        <v>58</v>
      </c>
      <c r="O2505" s="10" t="n">
        <f aca="false">'Exec Summary'!$E$2-H2505</f>
        <v>145</v>
      </c>
      <c r="P2505" s="10" t="str">
        <f aca="false">IF(I2505="","",I2505-H2505)</f>
        <v/>
      </c>
      <c r="Q2505" s="10" t="n">
        <f aca="false">VLOOKUP(G2505,$AA$2:$AB$5,2,FALSE())</f>
        <v>15</v>
      </c>
      <c r="R2505" s="7" t="n">
        <f aca="false">IF(OR(F2505="Open",F2505="Reopened"),1,0)</f>
        <v>1</v>
      </c>
      <c r="S2505" s="7" t="n">
        <f aca="false">IF(AND(H2505&gt;='Exec Summary'!$E$1,H2505&lt;='Exec Summary'!$E$2),1,0)</f>
        <v>0</v>
      </c>
      <c r="T2505" s="7" t="n">
        <f aca="false">IF(AND(F2505="Closed",I2505&lt;&gt;"",I2505&gt;='Exec Summary'!$E$1,I2505&lt;='Exec Summary'!$E$2),1,0)</f>
        <v>0</v>
      </c>
      <c r="U2505" s="7" t="n">
        <f aca="false">IF(F2505="Reopened",1,0)</f>
        <v>0</v>
      </c>
      <c r="V2505" s="7" t="n">
        <f aca="false">IF(AND(R2505=1,O2505&gt;Q2505),1,0)</f>
        <v>1</v>
      </c>
      <c r="W2505" s="7" t="n">
        <f aca="false">IF(AND(T2505=1,P2505&lt;&gt;"",P2505&lt;=Q2505),1,0)</f>
        <v>0</v>
      </c>
    </row>
    <row r="2506" customFormat="false" ht="15" hidden="false" customHeight="false" outlineLevel="0" collapsed="false">
      <c r="A2506" s="7" t="s">
        <v>2973</v>
      </c>
      <c r="B2506" s="7" t="s">
        <v>46</v>
      </c>
      <c r="C2506" s="7" t="s">
        <v>158</v>
      </c>
      <c r="D2506" s="7" t="s">
        <v>152</v>
      </c>
      <c r="E2506" s="7" t="s">
        <v>153</v>
      </c>
      <c r="F2506" s="7" t="s">
        <v>56</v>
      </c>
      <c r="G2506" s="7" t="s">
        <v>20</v>
      </c>
      <c r="H2506" s="9" t="n">
        <v>46091</v>
      </c>
      <c r="I2506" s="9"/>
      <c r="J2506" s="7" t="n">
        <v>7.5</v>
      </c>
      <c r="K2506" s="7" t="s">
        <v>2628</v>
      </c>
      <c r="L2506" s="7" t="s">
        <v>21</v>
      </c>
      <c r="M2506" s="7" t="s">
        <v>2976</v>
      </c>
      <c r="N2506" s="7" t="s">
        <v>53</v>
      </c>
      <c r="O2506" s="10" t="n">
        <f aca="false">'Exec Summary'!$E$2-H2506</f>
        <v>143</v>
      </c>
      <c r="P2506" s="10" t="str">
        <f aca="false">IF(I2506="","",I2506-H2506)</f>
        <v/>
      </c>
      <c r="Q2506" s="10" t="n">
        <f aca="false">VLOOKUP(G2506,$AA$2:$AB$5,2,FALSE())</f>
        <v>30</v>
      </c>
      <c r="R2506" s="7" t="n">
        <f aca="false">IF(OR(F2506="Open",F2506="Reopened"),1,0)</f>
        <v>1</v>
      </c>
      <c r="S2506" s="7" t="n">
        <f aca="false">IF(AND(H2506&gt;='Exec Summary'!$E$1,H2506&lt;='Exec Summary'!$E$2),1,0)</f>
        <v>0</v>
      </c>
      <c r="T2506" s="7" t="n">
        <f aca="false">IF(AND(F2506="Closed",I2506&lt;&gt;"",I2506&gt;='Exec Summary'!$E$1,I2506&lt;='Exec Summary'!$E$2),1,0)</f>
        <v>0</v>
      </c>
      <c r="U2506" s="7" t="n">
        <f aca="false">IF(F2506="Reopened",1,0)</f>
        <v>0</v>
      </c>
      <c r="V2506" s="7" t="n">
        <f aca="false">IF(AND(R2506=1,O2506&gt;Q2506),1,0)</f>
        <v>1</v>
      </c>
      <c r="W2506" s="7" t="n">
        <f aca="false">IF(AND(T2506=1,P2506&lt;&gt;"",P2506&lt;=Q2506),1,0)</f>
        <v>0</v>
      </c>
    </row>
    <row r="2507" customFormat="false" ht="15" hidden="false" customHeight="false" outlineLevel="0" collapsed="false">
      <c r="A2507" s="7" t="s">
        <v>2973</v>
      </c>
      <c r="B2507" s="7" t="s">
        <v>46</v>
      </c>
      <c r="C2507" s="7" t="s">
        <v>158</v>
      </c>
      <c r="D2507" s="7" t="s">
        <v>68</v>
      </c>
      <c r="E2507" s="7" t="s">
        <v>69</v>
      </c>
      <c r="F2507" s="7" t="s">
        <v>50</v>
      </c>
      <c r="G2507" s="7" t="s">
        <v>19</v>
      </c>
      <c r="H2507" s="9" t="n">
        <v>46195</v>
      </c>
      <c r="I2507" s="9" t="n">
        <v>46206</v>
      </c>
      <c r="J2507" s="7" t="n">
        <v>9.8</v>
      </c>
      <c r="K2507" s="7" t="s">
        <v>2628</v>
      </c>
      <c r="L2507" s="7" t="s">
        <v>21</v>
      </c>
      <c r="M2507" s="7" t="s">
        <v>2977</v>
      </c>
      <c r="N2507" s="7" t="s">
        <v>58</v>
      </c>
      <c r="O2507" s="10" t="n">
        <f aca="false">'Exec Summary'!$E$2-H2507</f>
        <v>39</v>
      </c>
      <c r="P2507" s="10" t="n">
        <f aca="false">IF(I2507="","",I2507-H2507)</f>
        <v>11</v>
      </c>
      <c r="Q2507" s="10" t="n">
        <f aca="false">VLOOKUP(G2507,$AA$2:$AB$5,2,FALSE())</f>
        <v>15</v>
      </c>
      <c r="R2507" s="7" t="n">
        <f aca="false">IF(OR(F2507="Open",F2507="Reopened"),1,0)</f>
        <v>0</v>
      </c>
      <c r="S2507" s="7" t="n">
        <f aca="false">IF(AND(H2507&gt;='Exec Summary'!$E$1,H2507&lt;='Exec Summary'!$E$2),1,0)</f>
        <v>0</v>
      </c>
      <c r="T2507" s="7" t="n">
        <f aca="false">IF(AND(F2507="Closed",I2507&lt;&gt;"",I2507&gt;='Exec Summary'!$E$1,I2507&lt;='Exec Summary'!$E$2),1,0)</f>
        <v>1</v>
      </c>
      <c r="U2507" s="7" t="n">
        <f aca="false">IF(F2507="Reopened",1,0)</f>
        <v>0</v>
      </c>
      <c r="V2507" s="7" t="n">
        <f aca="false">IF(AND(R2507=1,O2507&gt;Q2507),1,0)</f>
        <v>0</v>
      </c>
      <c r="W2507" s="7" t="n">
        <f aca="false">IF(AND(T2507=1,P2507&lt;&gt;"",P2507&lt;=Q2507),1,0)</f>
        <v>1</v>
      </c>
    </row>
    <row r="2508" customFormat="false" ht="15" hidden="false" customHeight="false" outlineLevel="0" collapsed="false">
      <c r="A2508" s="7" t="s">
        <v>2973</v>
      </c>
      <c r="B2508" s="7" t="s">
        <v>46</v>
      </c>
      <c r="C2508" s="7" t="s">
        <v>158</v>
      </c>
      <c r="D2508" s="7" t="s">
        <v>81</v>
      </c>
      <c r="E2508" s="7" t="s">
        <v>82</v>
      </c>
      <c r="F2508" s="7" t="s">
        <v>50</v>
      </c>
      <c r="G2508" s="7" t="s">
        <v>20</v>
      </c>
      <c r="H2508" s="9" t="n">
        <v>46174</v>
      </c>
      <c r="I2508" s="9" t="n">
        <v>46175</v>
      </c>
      <c r="J2508" s="7" t="n">
        <v>7.8</v>
      </c>
      <c r="K2508" s="7" t="s">
        <v>2628</v>
      </c>
      <c r="L2508" s="7" t="s">
        <v>21</v>
      </c>
      <c r="M2508" s="7" t="s">
        <v>2978</v>
      </c>
      <c r="N2508" s="7" t="s">
        <v>53</v>
      </c>
      <c r="O2508" s="10" t="n">
        <f aca="false">'Exec Summary'!$E$2-H2508</f>
        <v>60</v>
      </c>
      <c r="P2508" s="10" t="n">
        <f aca="false">IF(I2508="","",I2508-H2508)</f>
        <v>1</v>
      </c>
      <c r="Q2508" s="10" t="n">
        <f aca="false">VLOOKUP(G2508,$AA$2:$AB$5,2,FALSE())</f>
        <v>30</v>
      </c>
      <c r="R2508" s="7" t="n">
        <f aca="false">IF(OR(F2508="Open",F2508="Reopened"),1,0)</f>
        <v>0</v>
      </c>
      <c r="S2508" s="7" t="n">
        <f aca="false">IF(AND(H2508&gt;='Exec Summary'!$E$1,H2508&lt;='Exec Summary'!$E$2),1,0)</f>
        <v>0</v>
      </c>
      <c r="T2508" s="7" t="n">
        <f aca="false">IF(AND(F2508="Closed",I2508&lt;&gt;"",I2508&gt;='Exec Summary'!$E$1,I2508&lt;='Exec Summary'!$E$2),1,0)</f>
        <v>0</v>
      </c>
      <c r="U2508" s="7" t="n">
        <f aca="false">IF(F2508="Reopened",1,0)</f>
        <v>0</v>
      </c>
      <c r="V2508" s="7" t="n">
        <f aca="false">IF(AND(R2508=1,O2508&gt;Q2508),1,0)</f>
        <v>0</v>
      </c>
      <c r="W2508" s="7" t="n">
        <f aca="false">IF(AND(T2508=1,P2508&lt;&gt;"",P2508&lt;=Q2508),1,0)</f>
        <v>0</v>
      </c>
    </row>
    <row r="2509" customFormat="false" ht="15" hidden="false" customHeight="false" outlineLevel="0" collapsed="false">
      <c r="A2509" s="7" t="s">
        <v>2973</v>
      </c>
      <c r="B2509" s="7" t="s">
        <v>46</v>
      </c>
      <c r="C2509" s="7" t="s">
        <v>158</v>
      </c>
      <c r="D2509" s="7" t="s">
        <v>104</v>
      </c>
      <c r="E2509" s="7" t="s">
        <v>105</v>
      </c>
      <c r="F2509" s="7" t="s">
        <v>50</v>
      </c>
      <c r="G2509" s="7" t="s">
        <v>19</v>
      </c>
      <c r="H2509" s="9" t="n">
        <v>46206</v>
      </c>
      <c r="I2509" s="9" t="n">
        <v>46213</v>
      </c>
      <c r="J2509" s="7" t="n">
        <v>9.8</v>
      </c>
      <c r="K2509" s="7" t="s">
        <v>2628</v>
      </c>
      <c r="L2509" s="7" t="s">
        <v>21</v>
      </c>
      <c r="M2509" s="7" t="s">
        <v>2979</v>
      </c>
      <c r="N2509" s="7" t="s">
        <v>58</v>
      </c>
      <c r="O2509" s="10" t="n">
        <f aca="false">'Exec Summary'!$E$2-H2509</f>
        <v>28</v>
      </c>
      <c r="P2509" s="10" t="n">
        <f aca="false">IF(I2509="","",I2509-H2509)</f>
        <v>7</v>
      </c>
      <c r="Q2509" s="10" t="n">
        <f aca="false">VLOOKUP(G2509,$AA$2:$AB$5,2,FALSE())</f>
        <v>15</v>
      </c>
      <c r="R2509" s="7" t="n">
        <f aca="false">IF(OR(F2509="Open",F2509="Reopened"),1,0)</f>
        <v>0</v>
      </c>
      <c r="S2509" s="7" t="n">
        <f aca="false">IF(AND(H2509&gt;='Exec Summary'!$E$1,H2509&lt;='Exec Summary'!$E$2),1,0)</f>
        <v>1</v>
      </c>
      <c r="T2509" s="7" t="n">
        <f aca="false">IF(AND(F2509="Closed",I2509&lt;&gt;"",I2509&gt;='Exec Summary'!$E$1,I2509&lt;='Exec Summary'!$E$2),1,0)</f>
        <v>1</v>
      </c>
      <c r="U2509" s="7" t="n">
        <f aca="false">IF(F2509="Reopened",1,0)</f>
        <v>0</v>
      </c>
      <c r="V2509" s="7" t="n">
        <f aca="false">IF(AND(R2509=1,O2509&gt;Q2509),1,0)</f>
        <v>0</v>
      </c>
      <c r="W2509" s="7" t="n">
        <f aca="false">IF(AND(T2509=1,P2509&lt;&gt;"",P2509&lt;=Q2509),1,0)</f>
        <v>1</v>
      </c>
    </row>
    <row r="2510" customFormat="false" ht="15" hidden="false" customHeight="false" outlineLevel="0" collapsed="false">
      <c r="A2510" s="7" t="s">
        <v>2973</v>
      </c>
      <c r="B2510" s="7" t="s">
        <v>46</v>
      </c>
      <c r="C2510" s="7" t="s">
        <v>158</v>
      </c>
      <c r="D2510" s="7" t="s">
        <v>192</v>
      </c>
      <c r="E2510" s="7" t="s">
        <v>193</v>
      </c>
      <c r="F2510" s="7" t="s">
        <v>56</v>
      </c>
      <c r="G2510" s="7" t="s">
        <v>19</v>
      </c>
      <c r="H2510" s="9" t="n">
        <v>46081</v>
      </c>
      <c r="I2510" s="9"/>
      <c r="J2510" s="7" t="n">
        <v>9.8</v>
      </c>
      <c r="K2510" s="7" t="s">
        <v>2628</v>
      </c>
      <c r="L2510" s="7" t="s">
        <v>21</v>
      </c>
      <c r="M2510" s="7" t="s">
        <v>2980</v>
      </c>
      <c r="N2510" s="7" t="s">
        <v>58</v>
      </c>
      <c r="O2510" s="10" t="n">
        <f aca="false">'Exec Summary'!$E$2-H2510</f>
        <v>153</v>
      </c>
      <c r="P2510" s="10" t="str">
        <f aca="false">IF(I2510="","",I2510-H2510)</f>
        <v/>
      </c>
      <c r="Q2510" s="10" t="n">
        <f aca="false">VLOOKUP(G2510,$AA$2:$AB$5,2,FALSE())</f>
        <v>15</v>
      </c>
      <c r="R2510" s="7" t="n">
        <f aca="false">IF(OR(F2510="Open",F2510="Reopened"),1,0)</f>
        <v>1</v>
      </c>
      <c r="S2510" s="7" t="n">
        <f aca="false">IF(AND(H2510&gt;='Exec Summary'!$E$1,H2510&lt;='Exec Summary'!$E$2),1,0)</f>
        <v>0</v>
      </c>
      <c r="T2510" s="7" t="n">
        <f aca="false">IF(AND(F2510="Closed",I2510&lt;&gt;"",I2510&gt;='Exec Summary'!$E$1,I2510&lt;='Exec Summary'!$E$2),1,0)</f>
        <v>0</v>
      </c>
      <c r="U2510" s="7" t="n">
        <f aca="false">IF(F2510="Reopened",1,0)</f>
        <v>0</v>
      </c>
      <c r="V2510" s="7" t="n">
        <f aca="false">IF(AND(R2510=1,O2510&gt;Q2510),1,0)</f>
        <v>1</v>
      </c>
      <c r="W2510" s="7" t="n">
        <f aca="false">IF(AND(T2510=1,P2510&lt;&gt;"",P2510&lt;=Q2510),1,0)</f>
        <v>0</v>
      </c>
    </row>
    <row r="2511" customFormat="false" ht="15" hidden="false" customHeight="false" outlineLevel="0" collapsed="false">
      <c r="A2511" s="7" t="s">
        <v>2973</v>
      </c>
      <c r="B2511" s="7" t="s">
        <v>46</v>
      </c>
      <c r="C2511" s="7" t="s">
        <v>158</v>
      </c>
      <c r="D2511" s="7" t="s">
        <v>166</v>
      </c>
      <c r="E2511" s="7" t="s">
        <v>167</v>
      </c>
      <c r="F2511" s="7" t="s">
        <v>56</v>
      </c>
      <c r="G2511" s="7" t="s">
        <v>19</v>
      </c>
      <c r="H2511" s="9" t="n">
        <v>46094</v>
      </c>
      <c r="I2511" s="9"/>
      <c r="J2511" s="7" t="n">
        <v>9.8</v>
      </c>
      <c r="K2511" s="7" t="s">
        <v>2628</v>
      </c>
      <c r="L2511" s="7" t="s">
        <v>21</v>
      </c>
      <c r="M2511" s="7" t="s">
        <v>2981</v>
      </c>
      <c r="N2511" s="7" t="s">
        <v>58</v>
      </c>
      <c r="O2511" s="10" t="n">
        <f aca="false">'Exec Summary'!$E$2-H2511</f>
        <v>140</v>
      </c>
      <c r="P2511" s="10" t="str">
        <f aca="false">IF(I2511="","",I2511-H2511)</f>
        <v/>
      </c>
      <c r="Q2511" s="10" t="n">
        <f aca="false">VLOOKUP(G2511,$AA$2:$AB$5,2,FALSE())</f>
        <v>15</v>
      </c>
      <c r="R2511" s="7" t="n">
        <f aca="false">IF(OR(F2511="Open",F2511="Reopened"),1,0)</f>
        <v>1</v>
      </c>
      <c r="S2511" s="7" t="n">
        <f aca="false">IF(AND(H2511&gt;='Exec Summary'!$E$1,H2511&lt;='Exec Summary'!$E$2),1,0)</f>
        <v>0</v>
      </c>
      <c r="T2511" s="7" t="n">
        <f aca="false">IF(AND(F2511="Closed",I2511&lt;&gt;"",I2511&gt;='Exec Summary'!$E$1,I2511&lt;='Exec Summary'!$E$2),1,0)</f>
        <v>0</v>
      </c>
      <c r="U2511" s="7" t="n">
        <f aca="false">IF(F2511="Reopened",1,0)</f>
        <v>0</v>
      </c>
      <c r="V2511" s="7" t="n">
        <f aca="false">IF(AND(R2511=1,O2511&gt;Q2511),1,0)</f>
        <v>1</v>
      </c>
      <c r="W2511" s="7" t="n">
        <f aca="false">IF(AND(T2511=1,P2511&lt;&gt;"",P2511&lt;=Q2511),1,0)</f>
        <v>0</v>
      </c>
    </row>
    <row r="2512" customFormat="false" ht="15" hidden="false" customHeight="false" outlineLevel="0" collapsed="false">
      <c r="A2512" s="7" t="s">
        <v>2973</v>
      </c>
      <c r="B2512" s="7" t="s">
        <v>46</v>
      </c>
      <c r="C2512" s="7" t="s">
        <v>158</v>
      </c>
      <c r="D2512" s="7" t="s">
        <v>95</v>
      </c>
      <c r="E2512" s="7" t="s">
        <v>96</v>
      </c>
      <c r="F2512" s="7" t="s">
        <v>50</v>
      </c>
      <c r="G2512" s="7" t="s">
        <v>20</v>
      </c>
      <c r="H2512" s="9" t="n">
        <v>46056</v>
      </c>
      <c r="I2512" s="9" t="n">
        <v>46070</v>
      </c>
      <c r="J2512" s="7" t="n">
        <v>8.8</v>
      </c>
      <c r="K2512" s="7" t="s">
        <v>2628</v>
      </c>
      <c r="L2512" s="7" t="s">
        <v>21</v>
      </c>
      <c r="M2512" s="7" t="s">
        <v>2982</v>
      </c>
      <c r="N2512" s="7" t="s">
        <v>53</v>
      </c>
      <c r="O2512" s="10" t="n">
        <f aca="false">'Exec Summary'!$E$2-H2512</f>
        <v>178</v>
      </c>
      <c r="P2512" s="10" t="n">
        <f aca="false">IF(I2512="","",I2512-H2512)</f>
        <v>14</v>
      </c>
      <c r="Q2512" s="10" t="n">
        <f aca="false">VLOOKUP(G2512,$AA$2:$AB$5,2,FALSE())</f>
        <v>30</v>
      </c>
      <c r="R2512" s="7" t="n">
        <f aca="false">IF(OR(F2512="Open",F2512="Reopened"),1,0)</f>
        <v>0</v>
      </c>
      <c r="S2512" s="7" t="n">
        <f aca="false">IF(AND(H2512&gt;='Exec Summary'!$E$1,H2512&lt;='Exec Summary'!$E$2),1,0)</f>
        <v>0</v>
      </c>
      <c r="T2512" s="7" t="n">
        <f aca="false">IF(AND(F2512="Closed",I2512&lt;&gt;"",I2512&gt;='Exec Summary'!$E$1,I2512&lt;='Exec Summary'!$E$2),1,0)</f>
        <v>0</v>
      </c>
      <c r="U2512" s="7" t="n">
        <f aca="false">IF(F2512="Reopened",1,0)</f>
        <v>0</v>
      </c>
      <c r="V2512" s="7" t="n">
        <f aca="false">IF(AND(R2512=1,O2512&gt;Q2512),1,0)</f>
        <v>0</v>
      </c>
      <c r="W2512" s="7" t="n">
        <f aca="false">IF(AND(T2512=1,P2512&lt;&gt;"",P2512&lt;=Q2512),1,0)</f>
        <v>0</v>
      </c>
    </row>
    <row r="2513" customFormat="false" ht="15" hidden="false" customHeight="false" outlineLevel="0" collapsed="false">
      <c r="A2513" s="7" t="s">
        <v>2983</v>
      </c>
      <c r="B2513" s="7" t="s">
        <v>46</v>
      </c>
      <c r="C2513" s="7" t="s">
        <v>128</v>
      </c>
      <c r="D2513" s="7" t="s">
        <v>91</v>
      </c>
      <c r="E2513" s="7" t="s">
        <v>92</v>
      </c>
      <c r="F2513" s="7" t="s">
        <v>56</v>
      </c>
      <c r="G2513" s="7" t="s">
        <v>20</v>
      </c>
      <c r="H2513" s="9" t="n">
        <v>46016</v>
      </c>
      <c r="I2513" s="9"/>
      <c r="J2513" s="7" t="n">
        <v>8.1</v>
      </c>
      <c r="K2513" s="7" t="s">
        <v>2984</v>
      </c>
      <c r="L2513" s="7" t="s">
        <v>19</v>
      </c>
      <c r="M2513" s="7" t="s">
        <v>2985</v>
      </c>
      <c r="N2513" s="7" t="s">
        <v>53</v>
      </c>
      <c r="O2513" s="10" t="n">
        <f aca="false">'Exec Summary'!$E$2-H2513</f>
        <v>218</v>
      </c>
      <c r="P2513" s="10" t="str">
        <f aca="false">IF(I2513="","",I2513-H2513)</f>
        <v/>
      </c>
      <c r="Q2513" s="10" t="n">
        <f aca="false">VLOOKUP(G2513,$AA$2:$AB$5,2,FALSE())</f>
        <v>30</v>
      </c>
      <c r="R2513" s="7" t="n">
        <f aca="false">IF(OR(F2513="Open",F2513="Reopened"),1,0)</f>
        <v>1</v>
      </c>
      <c r="S2513" s="7" t="n">
        <f aca="false">IF(AND(H2513&gt;='Exec Summary'!$E$1,H2513&lt;='Exec Summary'!$E$2),1,0)</f>
        <v>0</v>
      </c>
      <c r="T2513" s="7" t="n">
        <f aca="false">IF(AND(F2513="Closed",I2513&lt;&gt;"",I2513&gt;='Exec Summary'!$E$1,I2513&lt;='Exec Summary'!$E$2),1,0)</f>
        <v>0</v>
      </c>
      <c r="U2513" s="7" t="n">
        <f aca="false">IF(F2513="Reopened",1,0)</f>
        <v>0</v>
      </c>
      <c r="V2513" s="7" t="n">
        <f aca="false">IF(AND(R2513=1,O2513&gt;Q2513),1,0)</f>
        <v>1</v>
      </c>
      <c r="W2513" s="7" t="n">
        <f aca="false">IF(AND(T2513=1,P2513&lt;&gt;"",P2513&lt;=Q2513),1,0)</f>
        <v>0</v>
      </c>
    </row>
    <row r="2514" customFormat="false" ht="15" hidden="false" customHeight="false" outlineLevel="0" collapsed="false">
      <c r="A2514" s="7" t="s">
        <v>2983</v>
      </c>
      <c r="B2514" s="7" t="s">
        <v>46</v>
      </c>
      <c r="C2514" s="7" t="s">
        <v>128</v>
      </c>
      <c r="D2514" s="7" t="s">
        <v>108</v>
      </c>
      <c r="E2514" s="7" t="s">
        <v>109</v>
      </c>
      <c r="F2514" s="7" t="s">
        <v>50</v>
      </c>
      <c r="G2514" s="7" t="s">
        <v>20</v>
      </c>
      <c r="H2514" s="9" t="n">
        <v>46116</v>
      </c>
      <c r="I2514" s="9" t="n">
        <v>46120</v>
      </c>
      <c r="J2514" s="7" t="n">
        <v>8.6</v>
      </c>
      <c r="K2514" s="7" t="s">
        <v>2984</v>
      </c>
      <c r="L2514" s="7" t="s">
        <v>19</v>
      </c>
      <c r="M2514" s="7" t="s">
        <v>2986</v>
      </c>
      <c r="N2514" s="7" t="s">
        <v>53</v>
      </c>
      <c r="O2514" s="10" t="n">
        <f aca="false">'Exec Summary'!$E$2-H2514</f>
        <v>118</v>
      </c>
      <c r="P2514" s="10" t="n">
        <f aca="false">IF(I2514="","",I2514-H2514)</f>
        <v>4</v>
      </c>
      <c r="Q2514" s="10" t="n">
        <f aca="false">VLOOKUP(G2514,$AA$2:$AB$5,2,FALSE())</f>
        <v>30</v>
      </c>
      <c r="R2514" s="7" t="n">
        <f aca="false">IF(OR(F2514="Open",F2514="Reopened"),1,0)</f>
        <v>0</v>
      </c>
      <c r="S2514" s="7" t="n">
        <f aca="false">IF(AND(H2514&gt;='Exec Summary'!$E$1,H2514&lt;='Exec Summary'!$E$2),1,0)</f>
        <v>0</v>
      </c>
      <c r="T2514" s="7" t="n">
        <f aca="false">IF(AND(F2514="Closed",I2514&lt;&gt;"",I2514&gt;='Exec Summary'!$E$1,I2514&lt;='Exec Summary'!$E$2),1,0)</f>
        <v>0</v>
      </c>
      <c r="U2514" s="7" t="n">
        <f aca="false">IF(F2514="Reopened",1,0)</f>
        <v>0</v>
      </c>
      <c r="V2514" s="7" t="n">
        <f aca="false">IF(AND(R2514=1,O2514&gt;Q2514),1,0)</f>
        <v>0</v>
      </c>
      <c r="W2514" s="7" t="n">
        <f aca="false">IF(AND(T2514=1,P2514&lt;&gt;"",P2514&lt;=Q2514),1,0)</f>
        <v>0</v>
      </c>
    </row>
    <row r="2515" customFormat="false" ht="15" hidden="false" customHeight="false" outlineLevel="0" collapsed="false">
      <c r="A2515" s="7" t="s">
        <v>2983</v>
      </c>
      <c r="B2515" s="7" t="s">
        <v>46</v>
      </c>
      <c r="C2515" s="7" t="s">
        <v>128</v>
      </c>
      <c r="D2515" s="7" t="s">
        <v>104</v>
      </c>
      <c r="E2515" s="7" t="s">
        <v>105</v>
      </c>
      <c r="F2515" s="7" t="s">
        <v>56</v>
      </c>
      <c r="G2515" s="7" t="s">
        <v>19</v>
      </c>
      <c r="H2515" s="9" t="n">
        <v>46159</v>
      </c>
      <c r="I2515" s="9"/>
      <c r="J2515" s="7" t="n">
        <v>9.8</v>
      </c>
      <c r="K2515" s="7" t="s">
        <v>2984</v>
      </c>
      <c r="L2515" s="7" t="s">
        <v>19</v>
      </c>
      <c r="M2515" s="7" t="s">
        <v>2987</v>
      </c>
      <c r="N2515" s="7" t="s">
        <v>58</v>
      </c>
      <c r="O2515" s="10" t="n">
        <f aca="false">'Exec Summary'!$E$2-H2515</f>
        <v>75</v>
      </c>
      <c r="P2515" s="10" t="str">
        <f aca="false">IF(I2515="","",I2515-H2515)</f>
        <v/>
      </c>
      <c r="Q2515" s="10" t="n">
        <f aca="false">VLOOKUP(G2515,$AA$2:$AB$5,2,FALSE())</f>
        <v>15</v>
      </c>
      <c r="R2515" s="7" t="n">
        <f aca="false">IF(OR(F2515="Open",F2515="Reopened"),1,0)</f>
        <v>1</v>
      </c>
      <c r="S2515" s="7" t="n">
        <f aca="false">IF(AND(H2515&gt;='Exec Summary'!$E$1,H2515&lt;='Exec Summary'!$E$2),1,0)</f>
        <v>0</v>
      </c>
      <c r="T2515" s="7" t="n">
        <f aca="false">IF(AND(F2515="Closed",I2515&lt;&gt;"",I2515&gt;='Exec Summary'!$E$1,I2515&lt;='Exec Summary'!$E$2),1,0)</f>
        <v>0</v>
      </c>
      <c r="U2515" s="7" t="n">
        <f aca="false">IF(F2515="Reopened",1,0)</f>
        <v>0</v>
      </c>
      <c r="V2515" s="7" t="n">
        <f aca="false">IF(AND(R2515=1,O2515&gt;Q2515),1,0)</f>
        <v>1</v>
      </c>
      <c r="W2515" s="7" t="n">
        <f aca="false">IF(AND(T2515=1,P2515&lt;&gt;"",P2515&lt;=Q2515),1,0)</f>
        <v>0</v>
      </c>
    </row>
    <row r="2516" customFormat="false" ht="15" hidden="false" customHeight="false" outlineLevel="0" collapsed="false">
      <c r="A2516" s="7" t="s">
        <v>2983</v>
      </c>
      <c r="B2516" s="7" t="s">
        <v>46</v>
      </c>
      <c r="C2516" s="7" t="s">
        <v>128</v>
      </c>
      <c r="D2516" s="7" t="s">
        <v>71</v>
      </c>
      <c r="E2516" s="7" t="s">
        <v>72</v>
      </c>
      <c r="F2516" s="7" t="s">
        <v>56</v>
      </c>
      <c r="G2516" s="7" t="s">
        <v>19</v>
      </c>
      <c r="H2516" s="9" t="n">
        <v>46158</v>
      </c>
      <c r="I2516" s="9"/>
      <c r="J2516" s="7" t="n">
        <v>9.8</v>
      </c>
      <c r="K2516" s="7" t="s">
        <v>2984</v>
      </c>
      <c r="L2516" s="7" t="s">
        <v>19</v>
      </c>
      <c r="M2516" s="7" t="s">
        <v>2988</v>
      </c>
      <c r="N2516" s="7" t="s">
        <v>58</v>
      </c>
      <c r="O2516" s="10" t="n">
        <f aca="false">'Exec Summary'!$E$2-H2516</f>
        <v>76</v>
      </c>
      <c r="P2516" s="10" t="str">
        <f aca="false">IF(I2516="","",I2516-H2516)</f>
        <v/>
      </c>
      <c r="Q2516" s="10" t="n">
        <f aca="false">VLOOKUP(G2516,$AA$2:$AB$5,2,FALSE())</f>
        <v>15</v>
      </c>
      <c r="R2516" s="7" t="n">
        <f aca="false">IF(OR(F2516="Open",F2516="Reopened"),1,0)</f>
        <v>1</v>
      </c>
      <c r="S2516" s="7" t="n">
        <f aca="false">IF(AND(H2516&gt;='Exec Summary'!$E$1,H2516&lt;='Exec Summary'!$E$2),1,0)</f>
        <v>0</v>
      </c>
      <c r="T2516" s="7" t="n">
        <f aca="false">IF(AND(F2516="Closed",I2516&lt;&gt;"",I2516&gt;='Exec Summary'!$E$1,I2516&lt;='Exec Summary'!$E$2),1,0)</f>
        <v>0</v>
      </c>
      <c r="U2516" s="7" t="n">
        <f aca="false">IF(F2516="Reopened",1,0)</f>
        <v>0</v>
      </c>
      <c r="V2516" s="7" t="n">
        <f aca="false">IF(AND(R2516=1,O2516&gt;Q2516),1,0)</f>
        <v>1</v>
      </c>
      <c r="W2516" s="7" t="n">
        <f aca="false">IF(AND(T2516=1,P2516&lt;&gt;"",P2516&lt;=Q2516),1,0)</f>
        <v>0</v>
      </c>
    </row>
    <row r="2517" customFormat="false" ht="15" hidden="false" customHeight="false" outlineLevel="0" collapsed="false">
      <c r="A2517" s="7" t="s">
        <v>2983</v>
      </c>
      <c r="B2517" s="7" t="s">
        <v>46</v>
      </c>
      <c r="C2517" s="7" t="s">
        <v>128</v>
      </c>
      <c r="D2517" s="7" t="s">
        <v>87</v>
      </c>
      <c r="E2517" s="7" t="s">
        <v>88</v>
      </c>
      <c r="F2517" s="7" t="s">
        <v>56</v>
      </c>
      <c r="G2517" s="7" t="s">
        <v>19</v>
      </c>
      <c r="H2517" s="9" t="n">
        <v>45965</v>
      </c>
      <c r="I2517" s="9"/>
      <c r="J2517" s="7" t="n">
        <v>10</v>
      </c>
      <c r="K2517" s="7" t="s">
        <v>2984</v>
      </c>
      <c r="L2517" s="7" t="s">
        <v>19</v>
      </c>
      <c r="M2517" s="7" t="s">
        <v>2989</v>
      </c>
      <c r="N2517" s="7" t="s">
        <v>58</v>
      </c>
      <c r="O2517" s="10" t="n">
        <f aca="false">'Exec Summary'!$E$2-H2517</f>
        <v>269</v>
      </c>
      <c r="P2517" s="10" t="str">
        <f aca="false">IF(I2517="","",I2517-H2517)</f>
        <v/>
      </c>
      <c r="Q2517" s="10" t="n">
        <f aca="false">VLOOKUP(G2517,$AA$2:$AB$5,2,FALSE())</f>
        <v>15</v>
      </c>
      <c r="R2517" s="7" t="n">
        <f aca="false">IF(OR(F2517="Open",F2517="Reopened"),1,0)</f>
        <v>1</v>
      </c>
      <c r="S2517" s="7" t="n">
        <f aca="false">IF(AND(H2517&gt;='Exec Summary'!$E$1,H2517&lt;='Exec Summary'!$E$2),1,0)</f>
        <v>0</v>
      </c>
      <c r="T2517" s="7" t="n">
        <f aca="false">IF(AND(F2517="Closed",I2517&lt;&gt;"",I2517&gt;='Exec Summary'!$E$1,I2517&lt;='Exec Summary'!$E$2),1,0)</f>
        <v>0</v>
      </c>
      <c r="U2517" s="7" t="n">
        <f aca="false">IF(F2517="Reopened",1,0)</f>
        <v>0</v>
      </c>
      <c r="V2517" s="7" t="n">
        <f aca="false">IF(AND(R2517=1,O2517&gt;Q2517),1,0)</f>
        <v>1</v>
      </c>
      <c r="W2517" s="7" t="n">
        <f aca="false">IF(AND(T2517=1,P2517&lt;&gt;"",P2517&lt;=Q2517),1,0)</f>
        <v>0</v>
      </c>
    </row>
    <row r="2518" customFormat="false" ht="15" hidden="false" customHeight="false" outlineLevel="0" collapsed="false">
      <c r="A2518" s="7" t="s">
        <v>2983</v>
      </c>
      <c r="B2518" s="7" t="s">
        <v>46</v>
      </c>
      <c r="C2518" s="7" t="s">
        <v>128</v>
      </c>
      <c r="D2518" s="7" t="s">
        <v>117</v>
      </c>
      <c r="E2518" s="7" t="s">
        <v>118</v>
      </c>
      <c r="F2518" s="7" t="s">
        <v>123</v>
      </c>
      <c r="G2518" s="7" t="s">
        <v>19</v>
      </c>
      <c r="H2518" s="9" t="n">
        <v>46210</v>
      </c>
      <c r="I2518" s="9" t="n">
        <v>46213</v>
      </c>
      <c r="J2518" s="7" t="n">
        <v>10</v>
      </c>
      <c r="K2518" s="7" t="s">
        <v>2984</v>
      </c>
      <c r="L2518" s="7" t="s">
        <v>19</v>
      </c>
      <c r="M2518" s="7" t="s">
        <v>2990</v>
      </c>
      <c r="N2518" s="7" t="s">
        <v>58</v>
      </c>
      <c r="O2518" s="10" t="n">
        <f aca="false">'Exec Summary'!$E$2-H2518</f>
        <v>24</v>
      </c>
      <c r="P2518" s="10" t="n">
        <f aca="false">IF(I2518="","",I2518-H2518)</f>
        <v>3</v>
      </c>
      <c r="Q2518" s="10" t="n">
        <f aca="false">VLOOKUP(G2518,$AA$2:$AB$5,2,FALSE())</f>
        <v>15</v>
      </c>
      <c r="R2518" s="7" t="n">
        <f aca="false">IF(OR(F2518="Open",F2518="Reopened"),1,0)</f>
        <v>1</v>
      </c>
      <c r="S2518" s="7" t="n">
        <f aca="false">IF(AND(H2518&gt;='Exec Summary'!$E$1,H2518&lt;='Exec Summary'!$E$2),1,0)</f>
        <v>1</v>
      </c>
      <c r="T2518" s="7" t="n">
        <f aca="false">IF(AND(F2518="Closed",I2518&lt;&gt;"",I2518&gt;='Exec Summary'!$E$1,I2518&lt;='Exec Summary'!$E$2),1,0)</f>
        <v>0</v>
      </c>
      <c r="U2518" s="7" t="n">
        <f aca="false">IF(F2518="Reopened",1,0)</f>
        <v>1</v>
      </c>
      <c r="V2518" s="7" t="n">
        <f aca="false">IF(AND(R2518=1,O2518&gt;Q2518),1,0)</f>
        <v>1</v>
      </c>
      <c r="W2518" s="7" t="n">
        <f aca="false">IF(AND(T2518=1,P2518&lt;&gt;"",P2518&lt;=Q2518),1,0)</f>
        <v>0</v>
      </c>
    </row>
    <row r="2519" customFormat="false" ht="15" hidden="false" customHeight="false" outlineLevel="0" collapsed="false">
      <c r="A2519" s="7" t="s">
        <v>2983</v>
      </c>
      <c r="B2519" s="7" t="s">
        <v>46</v>
      </c>
      <c r="C2519" s="7" t="s">
        <v>128</v>
      </c>
      <c r="D2519" s="7" t="s">
        <v>210</v>
      </c>
      <c r="E2519" s="7" t="s">
        <v>211</v>
      </c>
      <c r="F2519" s="7" t="s">
        <v>123</v>
      </c>
      <c r="G2519" s="7" t="s">
        <v>19</v>
      </c>
      <c r="H2519" s="9" t="n">
        <v>46030</v>
      </c>
      <c r="I2519" s="9" t="n">
        <v>46042</v>
      </c>
      <c r="J2519" s="7" t="n">
        <v>9.8</v>
      </c>
      <c r="K2519" s="7" t="s">
        <v>2984</v>
      </c>
      <c r="L2519" s="7" t="s">
        <v>19</v>
      </c>
      <c r="M2519" s="7" t="s">
        <v>2991</v>
      </c>
      <c r="N2519" s="7" t="s">
        <v>58</v>
      </c>
      <c r="O2519" s="10" t="n">
        <f aca="false">'Exec Summary'!$E$2-H2519</f>
        <v>204</v>
      </c>
      <c r="P2519" s="10" t="n">
        <f aca="false">IF(I2519="","",I2519-H2519)</f>
        <v>12</v>
      </c>
      <c r="Q2519" s="10" t="n">
        <f aca="false">VLOOKUP(G2519,$AA$2:$AB$5,2,FALSE())</f>
        <v>15</v>
      </c>
      <c r="R2519" s="7" t="n">
        <f aca="false">IF(OR(F2519="Open",F2519="Reopened"),1,0)</f>
        <v>1</v>
      </c>
      <c r="S2519" s="7" t="n">
        <f aca="false">IF(AND(H2519&gt;='Exec Summary'!$E$1,H2519&lt;='Exec Summary'!$E$2),1,0)</f>
        <v>0</v>
      </c>
      <c r="T2519" s="7" t="n">
        <f aca="false">IF(AND(F2519="Closed",I2519&lt;&gt;"",I2519&gt;='Exec Summary'!$E$1,I2519&lt;='Exec Summary'!$E$2),1,0)</f>
        <v>0</v>
      </c>
      <c r="U2519" s="7" t="n">
        <f aca="false">IF(F2519="Reopened",1,0)</f>
        <v>1</v>
      </c>
      <c r="V2519" s="7" t="n">
        <f aca="false">IF(AND(R2519=1,O2519&gt;Q2519),1,0)</f>
        <v>1</v>
      </c>
      <c r="W2519" s="7" t="n">
        <f aca="false">IF(AND(T2519=1,P2519&lt;&gt;"",P2519&lt;=Q2519),1,0)</f>
        <v>0</v>
      </c>
    </row>
    <row r="2520" customFormat="false" ht="15" hidden="false" customHeight="false" outlineLevel="0" collapsed="false">
      <c r="A2520" s="7" t="s">
        <v>2983</v>
      </c>
      <c r="B2520" s="7" t="s">
        <v>46</v>
      </c>
      <c r="C2520" s="7" t="s">
        <v>128</v>
      </c>
      <c r="D2520" s="7" t="s">
        <v>101</v>
      </c>
      <c r="E2520" s="7" t="s">
        <v>102</v>
      </c>
      <c r="F2520" s="7" t="s">
        <v>56</v>
      </c>
      <c r="G2520" s="7" t="s">
        <v>19</v>
      </c>
      <c r="H2520" s="9" t="n">
        <v>45980</v>
      </c>
      <c r="I2520" s="9"/>
      <c r="J2520" s="7" t="n">
        <v>10</v>
      </c>
      <c r="K2520" s="7" t="s">
        <v>2984</v>
      </c>
      <c r="L2520" s="7" t="s">
        <v>19</v>
      </c>
      <c r="M2520" s="7" t="s">
        <v>2992</v>
      </c>
      <c r="N2520" s="7" t="s">
        <v>58</v>
      </c>
      <c r="O2520" s="10" t="n">
        <f aca="false">'Exec Summary'!$E$2-H2520</f>
        <v>254</v>
      </c>
      <c r="P2520" s="10" t="str">
        <f aca="false">IF(I2520="","",I2520-H2520)</f>
        <v/>
      </c>
      <c r="Q2520" s="10" t="n">
        <f aca="false">VLOOKUP(G2520,$AA$2:$AB$5,2,FALSE())</f>
        <v>15</v>
      </c>
      <c r="R2520" s="7" t="n">
        <f aca="false">IF(OR(F2520="Open",F2520="Reopened"),1,0)</f>
        <v>1</v>
      </c>
      <c r="S2520" s="7" t="n">
        <f aca="false">IF(AND(H2520&gt;='Exec Summary'!$E$1,H2520&lt;='Exec Summary'!$E$2),1,0)</f>
        <v>0</v>
      </c>
      <c r="T2520" s="7" t="n">
        <f aca="false">IF(AND(F2520="Closed",I2520&lt;&gt;"",I2520&gt;='Exec Summary'!$E$1,I2520&lt;='Exec Summary'!$E$2),1,0)</f>
        <v>0</v>
      </c>
      <c r="U2520" s="7" t="n">
        <f aca="false">IF(F2520="Reopened",1,0)</f>
        <v>0</v>
      </c>
      <c r="V2520" s="7" t="n">
        <f aca="false">IF(AND(R2520=1,O2520&gt;Q2520),1,0)</f>
        <v>1</v>
      </c>
      <c r="W2520" s="7" t="n">
        <f aca="false">IF(AND(T2520=1,P2520&lt;&gt;"",P2520&lt;=Q2520),1,0)</f>
        <v>0</v>
      </c>
    </row>
    <row r="2521" customFormat="false" ht="15" hidden="false" customHeight="false" outlineLevel="0" collapsed="false">
      <c r="A2521" s="7" t="s">
        <v>2983</v>
      </c>
      <c r="B2521" s="7" t="s">
        <v>46</v>
      </c>
      <c r="C2521" s="7" t="s">
        <v>128</v>
      </c>
      <c r="D2521" s="7" t="s">
        <v>84</v>
      </c>
      <c r="E2521" s="7" t="s">
        <v>85</v>
      </c>
      <c r="F2521" s="7" t="s">
        <v>50</v>
      </c>
      <c r="G2521" s="7" t="s">
        <v>20</v>
      </c>
      <c r="H2521" s="9" t="n">
        <v>46014</v>
      </c>
      <c r="I2521" s="9" t="n">
        <v>46015</v>
      </c>
      <c r="J2521" s="7" t="n">
        <v>7.5</v>
      </c>
      <c r="K2521" s="7" t="s">
        <v>2984</v>
      </c>
      <c r="L2521" s="7" t="s">
        <v>19</v>
      </c>
      <c r="M2521" s="7" t="s">
        <v>2993</v>
      </c>
      <c r="N2521" s="7" t="s">
        <v>53</v>
      </c>
      <c r="O2521" s="10" t="n">
        <f aca="false">'Exec Summary'!$E$2-H2521</f>
        <v>220</v>
      </c>
      <c r="P2521" s="10" t="n">
        <f aca="false">IF(I2521="","",I2521-H2521)</f>
        <v>1</v>
      </c>
      <c r="Q2521" s="10" t="n">
        <f aca="false">VLOOKUP(G2521,$AA$2:$AB$5,2,FALSE())</f>
        <v>30</v>
      </c>
      <c r="R2521" s="7" t="n">
        <f aca="false">IF(OR(F2521="Open",F2521="Reopened"),1,0)</f>
        <v>0</v>
      </c>
      <c r="S2521" s="7" t="n">
        <f aca="false">IF(AND(H2521&gt;='Exec Summary'!$E$1,H2521&lt;='Exec Summary'!$E$2),1,0)</f>
        <v>0</v>
      </c>
      <c r="T2521" s="7" t="n">
        <f aca="false">IF(AND(F2521="Closed",I2521&lt;&gt;"",I2521&gt;='Exec Summary'!$E$1,I2521&lt;='Exec Summary'!$E$2),1,0)</f>
        <v>0</v>
      </c>
      <c r="U2521" s="7" t="n">
        <f aca="false">IF(F2521="Reopened",1,0)</f>
        <v>0</v>
      </c>
      <c r="V2521" s="7" t="n">
        <f aca="false">IF(AND(R2521=1,O2521&gt;Q2521),1,0)</f>
        <v>0</v>
      </c>
      <c r="W2521" s="7" t="n">
        <f aca="false">IF(AND(T2521=1,P2521&lt;&gt;"",P2521&lt;=Q2521),1,0)</f>
        <v>0</v>
      </c>
    </row>
    <row r="2522" customFormat="false" ht="15" hidden="false" customHeight="false" outlineLevel="0" collapsed="false">
      <c r="A2522" s="7" t="s">
        <v>2983</v>
      </c>
      <c r="B2522" s="7" t="s">
        <v>46</v>
      </c>
      <c r="C2522" s="7" t="s">
        <v>128</v>
      </c>
      <c r="D2522" s="7" t="s">
        <v>74</v>
      </c>
      <c r="E2522" s="7" t="s">
        <v>75</v>
      </c>
      <c r="F2522" s="7" t="s">
        <v>50</v>
      </c>
      <c r="G2522" s="7" t="s">
        <v>21</v>
      </c>
      <c r="H2522" s="9" t="n">
        <v>46150</v>
      </c>
      <c r="I2522" s="9" t="n">
        <v>46217</v>
      </c>
      <c r="J2522" s="7" t="n">
        <v>6.5</v>
      </c>
      <c r="K2522" s="7" t="s">
        <v>2984</v>
      </c>
      <c r="L2522" s="7" t="s">
        <v>19</v>
      </c>
      <c r="M2522" s="7" t="s">
        <v>2994</v>
      </c>
      <c r="N2522" s="7" t="s">
        <v>77</v>
      </c>
      <c r="O2522" s="10" t="n">
        <f aca="false">'Exec Summary'!$E$2-H2522</f>
        <v>84</v>
      </c>
      <c r="P2522" s="10" t="n">
        <f aca="false">IF(I2522="","",I2522-H2522)</f>
        <v>67</v>
      </c>
      <c r="Q2522" s="10" t="n">
        <f aca="false">VLOOKUP(G2522,$AA$2:$AB$5,2,FALSE())</f>
        <v>90</v>
      </c>
      <c r="R2522" s="7" t="n">
        <f aca="false">IF(OR(F2522="Open",F2522="Reopened"),1,0)</f>
        <v>0</v>
      </c>
      <c r="S2522" s="7" t="n">
        <f aca="false">IF(AND(H2522&gt;='Exec Summary'!$E$1,H2522&lt;='Exec Summary'!$E$2),1,0)</f>
        <v>0</v>
      </c>
      <c r="T2522" s="7" t="n">
        <f aca="false">IF(AND(F2522="Closed",I2522&lt;&gt;"",I2522&gt;='Exec Summary'!$E$1,I2522&lt;='Exec Summary'!$E$2),1,0)</f>
        <v>1</v>
      </c>
      <c r="U2522" s="7" t="n">
        <f aca="false">IF(F2522="Reopened",1,0)</f>
        <v>0</v>
      </c>
      <c r="V2522" s="7" t="n">
        <f aca="false">IF(AND(R2522=1,O2522&gt;Q2522),1,0)</f>
        <v>0</v>
      </c>
      <c r="W2522" s="7" t="n">
        <f aca="false">IF(AND(T2522=1,P2522&lt;&gt;"",P2522&lt;=Q2522),1,0)</f>
        <v>1</v>
      </c>
    </row>
    <row r="2523" customFormat="false" ht="15" hidden="false" customHeight="false" outlineLevel="0" collapsed="false">
      <c r="A2523" s="7" t="s">
        <v>2983</v>
      </c>
      <c r="B2523" s="7" t="s">
        <v>46</v>
      </c>
      <c r="C2523" s="7" t="s">
        <v>128</v>
      </c>
      <c r="D2523" s="7" t="s">
        <v>145</v>
      </c>
      <c r="E2523" s="7" t="s">
        <v>146</v>
      </c>
      <c r="F2523" s="7" t="s">
        <v>50</v>
      </c>
      <c r="G2523" s="7" t="s">
        <v>19</v>
      </c>
      <c r="H2523" s="9" t="n">
        <v>46134</v>
      </c>
      <c r="I2523" s="9" t="n">
        <v>46160</v>
      </c>
      <c r="J2523" s="7" t="n">
        <v>9.8</v>
      </c>
      <c r="K2523" s="7" t="s">
        <v>2984</v>
      </c>
      <c r="L2523" s="7" t="s">
        <v>19</v>
      </c>
      <c r="M2523" s="7" t="s">
        <v>2995</v>
      </c>
      <c r="N2523" s="7" t="s">
        <v>58</v>
      </c>
      <c r="O2523" s="10" t="n">
        <f aca="false">'Exec Summary'!$E$2-H2523</f>
        <v>100</v>
      </c>
      <c r="P2523" s="10" t="n">
        <f aca="false">IF(I2523="","",I2523-H2523)</f>
        <v>26</v>
      </c>
      <c r="Q2523" s="10" t="n">
        <f aca="false">VLOOKUP(G2523,$AA$2:$AB$5,2,FALSE())</f>
        <v>15</v>
      </c>
      <c r="R2523" s="7" t="n">
        <f aca="false">IF(OR(F2523="Open",F2523="Reopened"),1,0)</f>
        <v>0</v>
      </c>
      <c r="S2523" s="7" t="n">
        <f aca="false">IF(AND(H2523&gt;='Exec Summary'!$E$1,H2523&lt;='Exec Summary'!$E$2),1,0)</f>
        <v>0</v>
      </c>
      <c r="T2523" s="7" t="n">
        <f aca="false">IF(AND(F2523="Closed",I2523&lt;&gt;"",I2523&gt;='Exec Summary'!$E$1,I2523&lt;='Exec Summary'!$E$2),1,0)</f>
        <v>0</v>
      </c>
      <c r="U2523" s="7" t="n">
        <f aca="false">IF(F2523="Reopened",1,0)</f>
        <v>0</v>
      </c>
      <c r="V2523" s="7" t="n">
        <f aca="false">IF(AND(R2523=1,O2523&gt;Q2523),1,0)</f>
        <v>0</v>
      </c>
      <c r="W2523" s="7" t="n">
        <f aca="false">IF(AND(T2523=1,P2523&lt;&gt;"",P2523&lt;=Q2523),1,0)</f>
        <v>0</v>
      </c>
    </row>
    <row r="2524" customFormat="false" ht="15" hidden="false" customHeight="false" outlineLevel="0" collapsed="false">
      <c r="A2524" s="7" t="s">
        <v>2983</v>
      </c>
      <c r="B2524" s="7" t="s">
        <v>46</v>
      </c>
      <c r="C2524" s="7" t="s">
        <v>128</v>
      </c>
      <c r="D2524" s="7" t="s">
        <v>95</v>
      </c>
      <c r="E2524" s="7" t="s">
        <v>96</v>
      </c>
      <c r="F2524" s="7" t="s">
        <v>50</v>
      </c>
      <c r="G2524" s="7" t="s">
        <v>20</v>
      </c>
      <c r="H2524" s="9" t="n">
        <v>46070</v>
      </c>
      <c r="I2524" s="9" t="n">
        <v>46092</v>
      </c>
      <c r="J2524" s="7" t="n">
        <v>8.8</v>
      </c>
      <c r="K2524" s="7" t="s">
        <v>2984</v>
      </c>
      <c r="L2524" s="7" t="s">
        <v>19</v>
      </c>
      <c r="M2524" s="7" t="s">
        <v>2996</v>
      </c>
      <c r="N2524" s="7" t="s">
        <v>53</v>
      </c>
      <c r="O2524" s="10" t="n">
        <f aca="false">'Exec Summary'!$E$2-H2524</f>
        <v>164</v>
      </c>
      <c r="P2524" s="10" t="n">
        <f aca="false">IF(I2524="","",I2524-H2524)</f>
        <v>22</v>
      </c>
      <c r="Q2524" s="10" t="n">
        <f aca="false">VLOOKUP(G2524,$AA$2:$AB$5,2,FALSE())</f>
        <v>30</v>
      </c>
      <c r="R2524" s="7" t="n">
        <f aca="false">IF(OR(F2524="Open",F2524="Reopened"),1,0)</f>
        <v>0</v>
      </c>
      <c r="S2524" s="7" t="n">
        <f aca="false">IF(AND(H2524&gt;='Exec Summary'!$E$1,H2524&lt;='Exec Summary'!$E$2),1,0)</f>
        <v>0</v>
      </c>
      <c r="T2524" s="7" t="n">
        <f aca="false">IF(AND(F2524="Closed",I2524&lt;&gt;"",I2524&gt;='Exec Summary'!$E$1,I2524&lt;='Exec Summary'!$E$2),1,0)</f>
        <v>0</v>
      </c>
      <c r="U2524" s="7" t="n">
        <f aca="false">IF(F2524="Reopened",1,0)</f>
        <v>0</v>
      </c>
      <c r="V2524" s="7" t="n">
        <f aca="false">IF(AND(R2524=1,O2524&gt;Q2524),1,0)</f>
        <v>0</v>
      </c>
      <c r="W2524" s="7" t="n">
        <f aca="false">IF(AND(T2524=1,P2524&lt;&gt;"",P2524&lt;=Q2524),1,0)</f>
        <v>0</v>
      </c>
    </row>
    <row r="2525" customFormat="false" ht="15" hidden="false" customHeight="false" outlineLevel="0" collapsed="false">
      <c r="A2525" s="7" t="s">
        <v>2983</v>
      </c>
      <c r="B2525" s="7" t="s">
        <v>46</v>
      </c>
      <c r="C2525" s="7" t="s">
        <v>128</v>
      </c>
      <c r="D2525" s="7" t="s">
        <v>120</v>
      </c>
      <c r="E2525" s="7" t="s">
        <v>121</v>
      </c>
      <c r="F2525" s="7" t="s">
        <v>56</v>
      </c>
      <c r="G2525" s="7" t="s">
        <v>19</v>
      </c>
      <c r="H2525" s="9" t="n">
        <v>46066</v>
      </c>
      <c r="I2525" s="9"/>
      <c r="J2525" s="7" t="n">
        <v>8.8</v>
      </c>
      <c r="K2525" s="7" t="s">
        <v>2984</v>
      </c>
      <c r="L2525" s="7" t="s">
        <v>19</v>
      </c>
      <c r="M2525" s="7" t="s">
        <v>2997</v>
      </c>
      <c r="N2525" s="7" t="s">
        <v>58</v>
      </c>
      <c r="O2525" s="10" t="n">
        <f aca="false">'Exec Summary'!$E$2-H2525</f>
        <v>168</v>
      </c>
      <c r="P2525" s="10" t="str">
        <f aca="false">IF(I2525="","",I2525-H2525)</f>
        <v/>
      </c>
      <c r="Q2525" s="10" t="n">
        <f aca="false">VLOOKUP(G2525,$AA$2:$AB$5,2,FALSE())</f>
        <v>15</v>
      </c>
      <c r="R2525" s="7" t="n">
        <f aca="false">IF(OR(F2525="Open",F2525="Reopened"),1,0)</f>
        <v>1</v>
      </c>
      <c r="S2525" s="7" t="n">
        <f aca="false">IF(AND(H2525&gt;='Exec Summary'!$E$1,H2525&lt;='Exec Summary'!$E$2),1,0)</f>
        <v>0</v>
      </c>
      <c r="T2525" s="7" t="n">
        <f aca="false">IF(AND(F2525="Closed",I2525&lt;&gt;"",I2525&gt;='Exec Summary'!$E$1,I2525&lt;='Exec Summary'!$E$2),1,0)</f>
        <v>0</v>
      </c>
      <c r="U2525" s="7" t="n">
        <f aca="false">IF(F2525="Reopened",1,0)</f>
        <v>0</v>
      </c>
      <c r="V2525" s="7" t="n">
        <f aca="false">IF(AND(R2525=1,O2525&gt;Q2525),1,0)</f>
        <v>1</v>
      </c>
      <c r="W2525" s="7" t="n">
        <f aca="false">IF(AND(T2525=1,P2525&lt;&gt;"",P2525&lt;=Q2525),1,0)</f>
        <v>0</v>
      </c>
    </row>
    <row r="2526" customFormat="false" ht="15" hidden="false" customHeight="false" outlineLevel="0" collapsed="false">
      <c r="A2526" s="7" t="s">
        <v>2983</v>
      </c>
      <c r="B2526" s="7" t="s">
        <v>46</v>
      </c>
      <c r="C2526" s="7" t="s">
        <v>128</v>
      </c>
      <c r="D2526" s="7" t="s">
        <v>68</v>
      </c>
      <c r="E2526" s="7" t="s">
        <v>69</v>
      </c>
      <c r="F2526" s="7" t="s">
        <v>50</v>
      </c>
      <c r="G2526" s="7" t="s">
        <v>19</v>
      </c>
      <c r="H2526" s="9" t="n">
        <v>46150</v>
      </c>
      <c r="I2526" s="9" t="n">
        <v>46154</v>
      </c>
      <c r="J2526" s="7" t="n">
        <v>9.8</v>
      </c>
      <c r="K2526" s="7" t="s">
        <v>2984</v>
      </c>
      <c r="L2526" s="7" t="s">
        <v>19</v>
      </c>
      <c r="M2526" s="7" t="s">
        <v>2998</v>
      </c>
      <c r="N2526" s="7" t="s">
        <v>58</v>
      </c>
      <c r="O2526" s="10" t="n">
        <f aca="false">'Exec Summary'!$E$2-H2526</f>
        <v>84</v>
      </c>
      <c r="P2526" s="10" t="n">
        <f aca="false">IF(I2526="","",I2526-H2526)</f>
        <v>4</v>
      </c>
      <c r="Q2526" s="10" t="n">
        <f aca="false">VLOOKUP(G2526,$AA$2:$AB$5,2,FALSE())</f>
        <v>15</v>
      </c>
      <c r="R2526" s="7" t="n">
        <f aca="false">IF(OR(F2526="Open",F2526="Reopened"),1,0)</f>
        <v>0</v>
      </c>
      <c r="S2526" s="7" t="n">
        <f aca="false">IF(AND(H2526&gt;='Exec Summary'!$E$1,H2526&lt;='Exec Summary'!$E$2),1,0)</f>
        <v>0</v>
      </c>
      <c r="T2526" s="7" t="n">
        <f aca="false">IF(AND(F2526="Closed",I2526&lt;&gt;"",I2526&gt;='Exec Summary'!$E$1,I2526&lt;='Exec Summary'!$E$2),1,0)</f>
        <v>0</v>
      </c>
      <c r="U2526" s="7" t="n">
        <f aca="false">IF(F2526="Reopened",1,0)</f>
        <v>0</v>
      </c>
      <c r="V2526" s="7" t="n">
        <f aca="false">IF(AND(R2526=1,O2526&gt;Q2526),1,0)</f>
        <v>0</v>
      </c>
      <c r="W2526" s="7" t="n">
        <f aca="false">IF(AND(T2526=1,P2526&lt;&gt;"",P2526&lt;=Q2526),1,0)</f>
        <v>0</v>
      </c>
    </row>
    <row r="2527" customFormat="false" ht="15" hidden="false" customHeight="false" outlineLevel="0" collapsed="false">
      <c r="A2527" s="7" t="s">
        <v>2999</v>
      </c>
      <c r="B2527" s="7" t="s">
        <v>46</v>
      </c>
      <c r="C2527" s="7" t="s">
        <v>47</v>
      </c>
      <c r="D2527" s="7" t="s">
        <v>152</v>
      </c>
      <c r="E2527" s="7" t="s">
        <v>153</v>
      </c>
      <c r="F2527" s="7" t="s">
        <v>56</v>
      </c>
      <c r="G2527" s="7" t="s">
        <v>20</v>
      </c>
      <c r="H2527" s="9" t="n">
        <v>46169</v>
      </c>
      <c r="I2527" s="9"/>
      <c r="J2527" s="7" t="n">
        <v>7.5</v>
      </c>
      <c r="K2527" s="7" t="s">
        <v>2984</v>
      </c>
      <c r="L2527" s="7" t="s">
        <v>20</v>
      </c>
      <c r="M2527" s="7" t="s">
        <v>3000</v>
      </c>
      <c r="N2527" s="7" t="s">
        <v>53</v>
      </c>
      <c r="O2527" s="10" t="n">
        <f aca="false">'Exec Summary'!$E$2-H2527</f>
        <v>65</v>
      </c>
      <c r="P2527" s="10" t="str">
        <f aca="false">IF(I2527="","",I2527-H2527)</f>
        <v/>
      </c>
      <c r="Q2527" s="10" t="n">
        <f aca="false">VLOOKUP(G2527,$AA$2:$AB$5,2,FALSE())</f>
        <v>30</v>
      </c>
      <c r="R2527" s="7" t="n">
        <f aca="false">IF(OR(F2527="Open",F2527="Reopened"),1,0)</f>
        <v>1</v>
      </c>
      <c r="S2527" s="7" t="n">
        <f aca="false">IF(AND(H2527&gt;='Exec Summary'!$E$1,H2527&lt;='Exec Summary'!$E$2),1,0)</f>
        <v>0</v>
      </c>
      <c r="T2527" s="7" t="n">
        <f aca="false">IF(AND(F2527="Closed",I2527&lt;&gt;"",I2527&gt;='Exec Summary'!$E$1,I2527&lt;='Exec Summary'!$E$2),1,0)</f>
        <v>0</v>
      </c>
      <c r="U2527" s="7" t="n">
        <f aca="false">IF(F2527="Reopened",1,0)</f>
        <v>0</v>
      </c>
      <c r="V2527" s="7" t="n">
        <f aca="false">IF(AND(R2527=1,O2527&gt;Q2527),1,0)</f>
        <v>1</v>
      </c>
      <c r="W2527" s="7" t="n">
        <f aca="false">IF(AND(T2527=1,P2527&lt;&gt;"",P2527&lt;=Q2527),1,0)</f>
        <v>0</v>
      </c>
    </row>
    <row r="2528" customFormat="false" ht="15" hidden="false" customHeight="false" outlineLevel="0" collapsed="false">
      <c r="A2528" s="7" t="s">
        <v>2999</v>
      </c>
      <c r="B2528" s="7" t="s">
        <v>46</v>
      </c>
      <c r="C2528" s="7" t="s">
        <v>47</v>
      </c>
      <c r="D2528" s="7" t="s">
        <v>74</v>
      </c>
      <c r="E2528" s="7" t="s">
        <v>75</v>
      </c>
      <c r="F2528" s="7" t="s">
        <v>123</v>
      </c>
      <c r="G2528" s="7" t="s">
        <v>21</v>
      </c>
      <c r="H2528" s="9" t="n">
        <v>46027</v>
      </c>
      <c r="I2528" s="9" t="n">
        <v>46115</v>
      </c>
      <c r="J2528" s="7" t="n">
        <v>6.5</v>
      </c>
      <c r="K2528" s="7" t="s">
        <v>2984</v>
      </c>
      <c r="L2528" s="7" t="s">
        <v>20</v>
      </c>
      <c r="M2528" s="7" t="s">
        <v>3001</v>
      </c>
      <c r="N2528" s="7" t="s">
        <v>77</v>
      </c>
      <c r="O2528" s="10" t="n">
        <f aca="false">'Exec Summary'!$E$2-H2528</f>
        <v>207</v>
      </c>
      <c r="P2528" s="10" t="n">
        <f aca="false">IF(I2528="","",I2528-H2528)</f>
        <v>88</v>
      </c>
      <c r="Q2528" s="10" t="n">
        <f aca="false">VLOOKUP(G2528,$AA$2:$AB$5,2,FALSE())</f>
        <v>90</v>
      </c>
      <c r="R2528" s="7" t="n">
        <f aca="false">IF(OR(F2528="Open",F2528="Reopened"),1,0)</f>
        <v>1</v>
      </c>
      <c r="S2528" s="7" t="n">
        <f aca="false">IF(AND(H2528&gt;='Exec Summary'!$E$1,H2528&lt;='Exec Summary'!$E$2),1,0)</f>
        <v>0</v>
      </c>
      <c r="T2528" s="7" t="n">
        <f aca="false">IF(AND(F2528="Closed",I2528&lt;&gt;"",I2528&gt;='Exec Summary'!$E$1,I2528&lt;='Exec Summary'!$E$2),1,0)</f>
        <v>0</v>
      </c>
      <c r="U2528" s="7" t="n">
        <f aca="false">IF(F2528="Reopened",1,0)</f>
        <v>1</v>
      </c>
      <c r="V2528" s="7" t="n">
        <f aca="false">IF(AND(R2528=1,O2528&gt;Q2528),1,0)</f>
        <v>1</v>
      </c>
      <c r="W2528" s="7" t="n">
        <f aca="false">IF(AND(T2528=1,P2528&lt;&gt;"",P2528&lt;=Q2528),1,0)</f>
        <v>0</v>
      </c>
    </row>
    <row r="2529" customFormat="false" ht="15" hidden="false" customHeight="false" outlineLevel="0" collapsed="false">
      <c r="A2529" s="7" t="s">
        <v>3002</v>
      </c>
      <c r="B2529" s="7" t="s">
        <v>46</v>
      </c>
      <c r="C2529" s="7" t="s">
        <v>47</v>
      </c>
      <c r="D2529" s="7" t="s">
        <v>74</v>
      </c>
      <c r="E2529" s="7" t="s">
        <v>75</v>
      </c>
      <c r="F2529" s="7" t="s">
        <v>50</v>
      </c>
      <c r="G2529" s="7" t="s">
        <v>21</v>
      </c>
      <c r="H2529" s="9" t="n">
        <v>46165</v>
      </c>
      <c r="I2529" s="9" t="n">
        <v>46234</v>
      </c>
      <c r="J2529" s="7" t="n">
        <v>6.5</v>
      </c>
      <c r="K2529" s="7" t="s">
        <v>2984</v>
      </c>
      <c r="L2529" s="7" t="s">
        <v>22</v>
      </c>
      <c r="M2529" s="7" t="s">
        <v>3003</v>
      </c>
      <c r="N2529" s="7" t="s">
        <v>77</v>
      </c>
      <c r="O2529" s="10" t="n">
        <f aca="false">'Exec Summary'!$E$2-H2529</f>
        <v>69</v>
      </c>
      <c r="P2529" s="10" t="n">
        <f aca="false">IF(I2529="","",I2529-H2529)</f>
        <v>69</v>
      </c>
      <c r="Q2529" s="10" t="n">
        <f aca="false">VLOOKUP(G2529,$AA$2:$AB$5,2,FALSE())</f>
        <v>90</v>
      </c>
      <c r="R2529" s="7" t="n">
        <f aca="false">IF(OR(F2529="Open",F2529="Reopened"),1,0)</f>
        <v>0</v>
      </c>
      <c r="S2529" s="7" t="n">
        <f aca="false">IF(AND(H2529&gt;='Exec Summary'!$E$1,H2529&lt;='Exec Summary'!$E$2),1,0)</f>
        <v>0</v>
      </c>
      <c r="T2529" s="7" t="n">
        <f aca="false">IF(AND(F2529="Closed",I2529&lt;&gt;"",I2529&gt;='Exec Summary'!$E$1,I2529&lt;='Exec Summary'!$E$2),1,0)</f>
        <v>1</v>
      </c>
      <c r="U2529" s="7" t="n">
        <f aca="false">IF(F2529="Reopened",1,0)</f>
        <v>0</v>
      </c>
      <c r="V2529" s="7" t="n">
        <f aca="false">IF(AND(R2529=1,O2529&gt;Q2529),1,0)</f>
        <v>0</v>
      </c>
      <c r="W2529" s="7" t="n">
        <f aca="false">IF(AND(T2529=1,P2529&lt;&gt;"",P2529&lt;=Q2529),1,0)</f>
        <v>1</v>
      </c>
    </row>
    <row r="2530" customFormat="false" ht="15" hidden="false" customHeight="false" outlineLevel="0" collapsed="false">
      <c r="A2530" s="7" t="s">
        <v>3002</v>
      </c>
      <c r="B2530" s="7" t="s">
        <v>46</v>
      </c>
      <c r="C2530" s="7" t="s">
        <v>47</v>
      </c>
      <c r="D2530" s="7" t="s">
        <v>65</v>
      </c>
      <c r="E2530" s="7" t="s">
        <v>66</v>
      </c>
      <c r="F2530" s="7" t="s">
        <v>50</v>
      </c>
      <c r="G2530" s="7" t="s">
        <v>19</v>
      </c>
      <c r="H2530" s="9" t="n">
        <v>45986</v>
      </c>
      <c r="I2530" s="9" t="n">
        <v>46003</v>
      </c>
      <c r="J2530" s="7" t="n">
        <v>9.8</v>
      </c>
      <c r="K2530" s="7" t="s">
        <v>2984</v>
      </c>
      <c r="L2530" s="7" t="s">
        <v>22</v>
      </c>
      <c r="M2530" s="7" t="s">
        <v>3004</v>
      </c>
      <c r="N2530" s="7" t="s">
        <v>58</v>
      </c>
      <c r="O2530" s="10" t="n">
        <f aca="false">'Exec Summary'!$E$2-H2530</f>
        <v>248</v>
      </c>
      <c r="P2530" s="10" t="n">
        <f aca="false">IF(I2530="","",I2530-H2530)</f>
        <v>17</v>
      </c>
      <c r="Q2530" s="10" t="n">
        <f aca="false">VLOOKUP(G2530,$AA$2:$AB$5,2,FALSE())</f>
        <v>15</v>
      </c>
      <c r="R2530" s="7" t="n">
        <f aca="false">IF(OR(F2530="Open",F2530="Reopened"),1,0)</f>
        <v>0</v>
      </c>
      <c r="S2530" s="7" t="n">
        <f aca="false">IF(AND(H2530&gt;='Exec Summary'!$E$1,H2530&lt;='Exec Summary'!$E$2),1,0)</f>
        <v>0</v>
      </c>
      <c r="T2530" s="7" t="n">
        <f aca="false">IF(AND(F2530="Closed",I2530&lt;&gt;"",I2530&gt;='Exec Summary'!$E$1,I2530&lt;='Exec Summary'!$E$2),1,0)</f>
        <v>0</v>
      </c>
      <c r="U2530" s="7" t="n">
        <f aca="false">IF(F2530="Reopened",1,0)</f>
        <v>0</v>
      </c>
      <c r="V2530" s="7" t="n">
        <f aca="false">IF(AND(R2530=1,O2530&gt;Q2530),1,0)</f>
        <v>0</v>
      </c>
      <c r="W2530" s="7" t="n">
        <f aca="false">IF(AND(T2530=1,P2530&lt;&gt;"",P2530&lt;=Q2530),1,0)</f>
        <v>0</v>
      </c>
    </row>
    <row r="2531" customFormat="false" ht="15" hidden="false" customHeight="false" outlineLevel="0" collapsed="false">
      <c r="A2531" s="7" t="s">
        <v>3002</v>
      </c>
      <c r="B2531" s="7" t="s">
        <v>46</v>
      </c>
      <c r="C2531" s="7" t="s">
        <v>47</v>
      </c>
      <c r="D2531" s="7" t="s">
        <v>62</v>
      </c>
      <c r="E2531" s="7" t="s">
        <v>63</v>
      </c>
      <c r="F2531" s="7" t="s">
        <v>56</v>
      </c>
      <c r="G2531" s="7" t="s">
        <v>20</v>
      </c>
      <c r="H2531" s="9" t="n">
        <v>46058</v>
      </c>
      <c r="I2531" s="9"/>
      <c r="J2531" s="7" t="n">
        <v>8.1</v>
      </c>
      <c r="K2531" s="7" t="s">
        <v>2984</v>
      </c>
      <c r="L2531" s="7" t="s">
        <v>22</v>
      </c>
      <c r="M2531" s="7" t="s">
        <v>3005</v>
      </c>
      <c r="N2531" s="7" t="s">
        <v>53</v>
      </c>
      <c r="O2531" s="10" t="n">
        <f aca="false">'Exec Summary'!$E$2-H2531</f>
        <v>176</v>
      </c>
      <c r="P2531" s="10" t="str">
        <f aca="false">IF(I2531="","",I2531-H2531)</f>
        <v/>
      </c>
      <c r="Q2531" s="10" t="n">
        <f aca="false">VLOOKUP(G2531,$AA$2:$AB$5,2,FALSE())</f>
        <v>30</v>
      </c>
      <c r="R2531" s="7" t="n">
        <f aca="false">IF(OR(F2531="Open",F2531="Reopened"),1,0)</f>
        <v>1</v>
      </c>
      <c r="S2531" s="7" t="n">
        <f aca="false">IF(AND(H2531&gt;='Exec Summary'!$E$1,H2531&lt;='Exec Summary'!$E$2),1,0)</f>
        <v>0</v>
      </c>
      <c r="T2531" s="7" t="n">
        <f aca="false">IF(AND(F2531="Closed",I2531&lt;&gt;"",I2531&gt;='Exec Summary'!$E$1,I2531&lt;='Exec Summary'!$E$2),1,0)</f>
        <v>0</v>
      </c>
      <c r="U2531" s="7" t="n">
        <f aca="false">IF(F2531="Reopened",1,0)</f>
        <v>0</v>
      </c>
      <c r="V2531" s="7" t="n">
        <f aca="false">IF(AND(R2531=1,O2531&gt;Q2531),1,0)</f>
        <v>1</v>
      </c>
      <c r="W2531" s="7" t="n">
        <f aca="false">IF(AND(T2531=1,P2531&lt;&gt;"",P2531&lt;=Q2531),1,0)</f>
        <v>0</v>
      </c>
    </row>
    <row r="2532" customFormat="false" ht="15" hidden="false" customHeight="false" outlineLevel="0" collapsed="false">
      <c r="A2532" s="7" t="s">
        <v>3002</v>
      </c>
      <c r="B2532" s="7" t="s">
        <v>46</v>
      </c>
      <c r="C2532" s="7" t="s">
        <v>47</v>
      </c>
      <c r="D2532" s="7" t="s">
        <v>101</v>
      </c>
      <c r="E2532" s="7" t="s">
        <v>102</v>
      </c>
      <c r="F2532" s="7" t="s">
        <v>50</v>
      </c>
      <c r="G2532" s="7" t="s">
        <v>19</v>
      </c>
      <c r="H2532" s="9" t="n">
        <v>46074</v>
      </c>
      <c r="I2532" s="9" t="n">
        <v>46090</v>
      </c>
      <c r="J2532" s="7" t="n">
        <v>10</v>
      </c>
      <c r="K2532" s="7" t="s">
        <v>2984</v>
      </c>
      <c r="L2532" s="7" t="s">
        <v>22</v>
      </c>
      <c r="M2532" s="7" t="s">
        <v>3006</v>
      </c>
      <c r="N2532" s="7" t="s">
        <v>58</v>
      </c>
      <c r="O2532" s="10" t="n">
        <f aca="false">'Exec Summary'!$E$2-H2532</f>
        <v>160</v>
      </c>
      <c r="P2532" s="10" t="n">
        <f aca="false">IF(I2532="","",I2532-H2532)</f>
        <v>16</v>
      </c>
      <c r="Q2532" s="10" t="n">
        <f aca="false">VLOOKUP(G2532,$AA$2:$AB$5,2,FALSE())</f>
        <v>15</v>
      </c>
      <c r="R2532" s="7" t="n">
        <f aca="false">IF(OR(F2532="Open",F2532="Reopened"),1,0)</f>
        <v>0</v>
      </c>
      <c r="S2532" s="7" t="n">
        <f aca="false">IF(AND(H2532&gt;='Exec Summary'!$E$1,H2532&lt;='Exec Summary'!$E$2),1,0)</f>
        <v>0</v>
      </c>
      <c r="T2532" s="7" t="n">
        <f aca="false">IF(AND(F2532="Closed",I2532&lt;&gt;"",I2532&gt;='Exec Summary'!$E$1,I2532&lt;='Exec Summary'!$E$2),1,0)</f>
        <v>0</v>
      </c>
      <c r="U2532" s="7" t="n">
        <f aca="false">IF(F2532="Reopened",1,0)</f>
        <v>0</v>
      </c>
      <c r="V2532" s="7" t="n">
        <f aca="false">IF(AND(R2532=1,O2532&gt;Q2532),1,0)</f>
        <v>0</v>
      </c>
      <c r="W2532" s="7" t="n">
        <f aca="false">IF(AND(T2532=1,P2532&lt;&gt;"",P2532&lt;=Q2532),1,0)</f>
        <v>0</v>
      </c>
    </row>
    <row r="2533" customFormat="false" ht="15" hidden="false" customHeight="false" outlineLevel="0" collapsed="false">
      <c r="A2533" s="7" t="s">
        <v>3002</v>
      </c>
      <c r="B2533" s="7" t="s">
        <v>46</v>
      </c>
      <c r="C2533" s="7" t="s">
        <v>47</v>
      </c>
      <c r="D2533" s="7" t="s">
        <v>95</v>
      </c>
      <c r="E2533" s="7" t="s">
        <v>96</v>
      </c>
      <c r="F2533" s="7" t="s">
        <v>50</v>
      </c>
      <c r="G2533" s="7" t="s">
        <v>20</v>
      </c>
      <c r="H2533" s="9" t="n">
        <v>46070</v>
      </c>
      <c r="I2533" s="9" t="n">
        <v>46103</v>
      </c>
      <c r="J2533" s="7" t="n">
        <v>8.8</v>
      </c>
      <c r="K2533" s="7" t="s">
        <v>2984</v>
      </c>
      <c r="L2533" s="7" t="s">
        <v>22</v>
      </c>
      <c r="M2533" s="7" t="s">
        <v>3007</v>
      </c>
      <c r="N2533" s="7" t="s">
        <v>53</v>
      </c>
      <c r="O2533" s="10" t="n">
        <f aca="false">'Exec Summary'!$E$2-H2533</f>
        <v>164</v>
      </c>
      <c r="P2533" s="10" t="n">
        <f aca="false">IF(I2533="","",I2533-H2533)</f>
        <v>33</v>
      </c>
      <c r="Q2533" s="10" t="n">
        <f aca="false">VLOOKUP(G2533,$AA$2:$AB$5,2,FALSE())</f>
        <v>30</v>
      </c>
      <c r="R2533" s="7" t="n">
        <f aca="false">IF(OR(F2533="Open",F2533="Reopened"),1,0)</f>
        <v>0</v>
      </c>
      <c r="S2533" s="7" t="n">
        <f aca="false">IF(AND(H2533&gt;='Exec Summary'!$E$1,H2533&lt;='Exec Summary'!$E$2),1,0)</f>
        <v>0</v>
      </c>
      <c r="T2533" s="7" t="n">
        <f aca="false">IF(AND(F2533="Closed",I2533&lt;&gt;"",I2533&gt;='Exec Summary'!$E$1,I2533&lt;='Exec Summary'!$E$2),1,0)</f>
        <v>0</v>
      </c>
      <c r="U2533" s="7" t="n">
        <f aca="false">IF(F2533="Reopened",1,0)</f>
        <v>0</v>
      </c>
      <c r="V2533" s="7" t="n">
        <f aca="false">IF(AND(R2533=1,O2533&gt;Q2533),1,0)</f>
        <v>0</v>
      </c>
      <c r="W2533" s="7" t="n">
        <f aca="false">IF(AND(T2533=1,P2533&lt;&gt;"",P2533&lt;=Q2533),1,0)</f>
        <v>0</v>
      </c>
    </row>
    <row r="2534" customFormat="false" ht="15" hidden="false" customHeight="false" outlineLevel="0" collapsed="false">
      <c r="A2534" s="7" t="s">
        <v>3008</v>
      </c>
      <c r="B2534" s="7" t="s">
        <v>46</v>
      </c>
      <c r="C2534" s="7" t="s">
        <v>158</v>
      </c>
      <c r="D2534" s="7" t="s">
        <v>152</v>
      </c>
      <c r="E2534" s="7" t="s">
        <v>153</v>
      </c>
      <c r="F2534" s="7" t="s">
        <v>50</v>
      </c>
      <c r="G2534" s="7" t="s">
        <v>20</v>
      </c>
      <c r="H2534" s="9" t="n">
        <v>45968</v>
      </c>
      <c r="I2534" s="9" t="n">
        <v>45987</v>
      </c>
      <c r="J2534" s="7" t="n">
        <v>7.5</v>
      </c>
      <c r="K2534" s="7" t="s">
        <v>2984</v>
      </c>
      <c r="L2534" s="7" t="s">
        <v>20</v>
      </c>
      <c r="M2534" s="7" t="s">
        <v>3009</v>
      </c>
      <c r="N2534" s="7" t="s">
        <v>53</v>
      </c>
      <c r="O2534" s="10" t="n">
        <f aca="false">'Exec Summary'!$E$2-H2534</f>
        <v>266</v>
      </c>
      <c r="P2534" s="10" t="n">
        <f aca="false">IF(I2534="","",I2534-H2534)</f>
        <v>19</v>
      </c>
      <c r="Q2534" s="10" t="n">
        <f aca="false">VLOOKUP(G2534,$AA$2:$AB$5,2,FALSE())</f>
        <v>30</v>
      </c>
      <c r="R2534" s="7" t="n">
        <f aca="false">IF(OR(F2534="Open",F2534="Reopened"),1,0)</f>
        <v>0</v>
      </c>
      <c r="S2534" s="7" t="n">
        <f aca="false">IF(AND(H2534&gt;='Exec Summary'!$E$1,H2534&lt;='Exec Summary'!$E$2),1,0)</f>
        <v>0</v>
      </c>
      <c r="T2534" s="7" t="n">
        <f aca="false">IF(AND(F2534="Closed",I2534&lt;&gt;"",I2534&gt;='Exec Summary'!$E$1,I2534&lt;='Exec Summary'!$E$2),1,0)</f>
        <v>0</v>
      </c>
      <c r="U2534" s="7" t="n">
        <f aca="false">IF(F2534="Reopened",1,0)</f>
        <v>0</v>
      </c>
      <c r="V2534" s="7" t="n">
        <f aca="false">IF(AND(R2534=1,O2534&gt;Q2534),1,0)</f>
        <v>0</v>
      </c>
      <c r="W2534" s="7" t="n">
        <f aca="false">IF(AND(T2534=1,P2534&lt;&gt;"",P2534&lt;=Q2534),1,0)</f>
        <v>0</v>
      </c>
    </row>
    <row r="2535" customFormat="false" ht="15" hidden="false" customHeight="false" outlineLevel="0" collapsed="false">
      <c r="A2535" s="7" t="s">
        <v>3008</v>
      </c>
      <c r="B2535" s="7" t="s">
        <v>46</v>
      </c>
      <c r="C2535" s="7" t="s">
        <v>158</v>
      </c>
      <c r="D2535" s="7" t="s">
        <v>108</v>
      </c>
      <c r="E2535" s="7" t="s">
        <v>109</v>
      </c>
      <c r="F2535" s="7" t="s">
        <v>56</v>
      </c>
      <c r="G2535" s="7" t="s">
        <v>20</v>
      </c>
      <c r="H2535" s="9" t="n">
        <v>45991</v>
      </c>
      <c r="I2535" s="9"/>
      <c r="J2535" s="7" t="n">
        <v>8.6</v>
      </c>
      <c r="K2535" s="7" t="s">
        <v>2984</v>
      </c>
      <c r="L2535" s="7" t="s">
        <v>20</v>
      </c>
      <c r="M2535" s="7" t="s">
        <v>3010</v>
      </c>
      <c r="N2535" s="7" t="s">
        <v>53</v>
      </c>
      <c r="O2535" s="10" t="n">
        <f aca="false">'Exec Summary'!$E$2-H2535</f>
        <v>243</v>
      </c>
      <c r="P2535" s="10" t="str">
        <f aca="false">IF(I2535="","",I2535-H2535)</f>
        <v/>
      </c>
      <c r="Q2535" s="10" t="n">
        <f aca="false">VLOOKUP(G2535,$AA$2:$AB$5,2,FALSE())</f>
        <v>30</v>
      </c>
      <c r="R2535" s="7" t="n">
        <f aca="false">IF(OR(F2535="Open",F2535="Reopened"),1,0)</f>
        <v>1</v>
      </c>
      <c r="S2535" s="7" t="n">
        <f aca="false">IF(AND(H2535&gt;='Exec Summary'!$E$1,H2535&lt;='Exec Summary'!$E$2),1,0)</f>
        <v>0</v>
      </c>
      <c r="T2535" s="7" t="n">
        <f aca="false">IF(AND(F2535="Closed",I2535&lt;&gt;"",I2535&gt;='Exec Summary'!$E$1,I2535&lt;='Exec Summary'!$E$2),1,0)</f>
        <v>0</v>
      </c>
      <c r="U2535" s="7" t="n">
        <f aca="false">IF(F2535="Reopened",1,0)</f>
        <v>0</v>
      </c>
      <c r="V2535" s="7" t="n">
        <f aca="false">IF(AND(R2535=1,O2535&gt;Q2535),1,0)</f>
        <v>1</v>
      </c>
      <c r="W2535" s="7" t="n">
        <f aca="false">IF(AND(T2535=1,P2535&lt;&gt;"",P2535&lt;=Q2535),1,0)</f>
        <v>0</v>
      </c>
    </row>
    <row r="2536" customFormat="false" ht="15" hidden="false" customHeight="false" outlineLevel="0" collapsed="false">
      <c r="A2536" s="7" t="s">
        <v>3008</v>
      </c>
      <c r="B2536" s="7" t="s">
        <v>46</v>
      </c>
      <c r="C2536" s="7" t="s">
        <v>158</v>
      </c>
      <c r="D2536" s="7" t="s">
        <v>112</v>
      </c>
      <c r="E2536" s="7" t="s">
        <v>113</v>
      </c>
      <c r="F2536" s="7" t="s">
        <v>56</v>
      </c>
      <c r="G2536" s="7" t="s">
        <v>20</v>
      </c>
      <c r="H2536" s="9" t="n">
        <v>46117</v>
      </c>
      <c r="I2536" s="9"/>
      <c r="J2536" s="7" t="n">
        <v>7.8</v>
      </c>
      <c r="K2536" s="7" t="s">
        <v>2984</v>
      </c>
      <c r="L2536" s="7" t="s">
        <v>20</v>
      </c>
      <c r="M2536" s="7" t="s">
        <v>3011</v>
      </c>
      <c r="N2536" s="7" t="s">
        <v>53</v>
      </c>
      <c r="O2536" s="10" t="n">
        <f aca="false">'Exec Summary'!$E$2-H2536</f>
        <v>117</v>
      </c>
      <c r="P2536" s="10" t="str">
        <f aca="false">IF(I2536="","",I2536-H2536)</f>
        <v/>
      </c>
      <c r="Q2536" s="10" t="n">
        <f aca="false">VLOOKUP(G2536,$AA$2:$AB$5,2,FALSE())</f>
        <v>30</v>
      </c>
      <c r="R2536" s="7" t="n">
        <f aca="false">IF(OR(F2536="Open",F2536="Reopened"),1,0)</f>
        <v>1</v>
      </c>
      <c r="S2536" s="7" t="n">
        <f aca="false">IF(AND(H2536&gt;='Exec Summary'!$E$1,H2536&lt;='Exec Summary'!$E$2),1,0)</f>
        <v>0</v>
      </c>
      <c r="T2536" s="7" t="n">
        <f aca="false">IF(AND(F2536="Closed",I2536&lt;&gt;"",I2536&gt;='Exec Summary'!$E$1,I2536&lt;='Exec Summary'!$E$2),1,0)</f>
        <v>0</v>
      </c>
      <c r="U2536" s="7" t="n">
        <f aca="false">IF(F2536="Reopened",1,0)</f>
        <v>0</v>
      </c>
      <c r="V2536" s="7" t="n">
        <f aca="false">IF(AND(R2536=1,O2536&gt;Q2536),1,0)</f>
        <v>1</v>
      </c>
      <c r="W2536" s="7" t="n">
        <f aca="false">IF(AND(T2536=1,P2536&lt;&gt;"",P2536&lt;=Q2536),1,0)</f>
        <v>0</v>
      </c>
    </row>
    <row r="2537" customFormat="false" ht="15" hidden="false" customHeight="false" outlineLevel="0" collapsed="false">
      <c r="A2537" s="7" t="s">
        <v>3012</v>
      </c>
      <c r="B2537" s="7" t="s">
        <v>135</v>
      </c>
      <c r="C2537" s="7" t="s">
        <v>306</v>
      </c>
      <c r="D2537" s="7" t="s">
        <v>62</v>
      </c>
      <c r="E2537" s="7" t="s">
        <v>63</v>
      </c>
      <c r="F2537" s="7" t="s">
        <v>50</v>
      </c>
      <c r="G2537" s="7" t="s">
        <v>20</v>
      </c>
      <c r="H2537" s="9" t="n">
        <v>46139</v>
      </c>
      <c r="I2537" s="9" t="n">
        <v>46158</v>
      </c>
      <c r="J2537" s="7" t="n">
        <v>8.1</v>
      </c>
      <c r="K2537" s="7" t="s">
        <v>2984</v>
      </c>
      <c r="L2537" s="7" t="s">
        <v>19</v>
      </c>
      <c r="M2537" s="7" t="s">
        <v>3013</v>
      </c>
      <c r="N2537" s="7" t="s">
        <v>53</v>
      </c>
      <c r="O2537" s="10" t="n">
        <f aca="false">'Exec Summary'!$E$2-H2537</f>
        <v>95</v>
      </c>
      <c r="P2537" s="10" t="n">
        <f aca="false">IF(I2537="","",I2537-H2537)</f>
        <v>19</v>
      </c>
      <c r="Q2537" s="10" t="n">
        <f aca="false">VLOOKUP(G2537,$AA$2:$AB$5,2,FALSE())</f>
        <v>30</v>
      </c>
      <c r="R2537" s="7" t="n">
        <f aca="false">IF(OR(F2537="Open",F2537="Reopened"),1,0)</f>
        <v>0</v>
      </c>
      <c r="S2537" s="7" t="n">
        <f aca="false">IF(AND(H2537&gt;='Exec Summary'!$E$1,H2537&lt;='Exec Summary'!$E$2),1,0)</f>
        <v>0</v>
      </c>
      <c r="T2537" s="7" t="n">
        <f aca="false">IF(AND(F2537="Closed",I2537&lt;&gt;"",I2537&gt;='Exec Summary'!$E$1,I2537&lt;='Exec Summary'!$E$2),1,0)</f>
        <v>0</v>
      </c>
      <c r="U2537" s="7" t="n">
        <f aca="false">IF(F2537="Reopened",1,0)</f>
        <v>0</v>
      </c>
      <c r="V2537" s="7" t="n">
        <f aca="false">IF(AND(R2537=1,O2537&gt;Q2537),1,0)</f>
        <v>0</v>
      </c>
      <c r="W2537" s="7" t="n">
        <f aca="false">IF(AND(T2537=1,P2537&lt;&gt;"",P2537&lt;=Q2537),1,0)</f>
        <v>0</v>
      </c>
    </row>
    <row r="2538" customFormat="false" ht="15" hidden="false" customHeight="false" outlineLevel="0" collapsed="false">
      <c r="A2538" s="7" t="s">
        <v>3012</v>
      </c>
      <c r="B2538" s="7" t="s">
        <v>135</v>
      </c>
      <c r="C2538" s="7" t="s">
        <v>306</v>
      </c>
      <c r="D2538" s="7" t="s">
        <v>210</v>
      </c>
      <c r="E2538" s="7" t="s">
        <v>211</v>
      </c>
      <c r="F2538" s="7" t="s">
        <v>50</v>
      </c>
      <c r="G2538" s="7" t="s">
        <v>19</v>
      </c>
      <c r="H2538" s="9" t="n">
        <v>46018</v>
      </c>
      <c r="I2538" s="9" t="n">
        <v>46040</v>
      </c>
      <c r="J2538" s="7" t="n">
        <v>9.8</v>
      </c>
      <c r="K2538" s="7" t="s">
        <v>2984</v>
      </c>
      <c r="L2538" s="7" t="s">
        <v>19</v>
      </c>
      <c r="M2538" s="7" t="s">
        <v>3014</v>
      </c>
      <c r="N2538" s="7" t="s">
        <v>58</v>
      </c>
      <c r="O2538" s="10" t="n">
        <f aca="false">'Exec Summary'!$E$2-H2538</f>
        <v>216</v>
      </c>
      <c r="P2538" s="10" t="n">
        <f aca="false">IF(I2538="","",I2538-H2538)</f>
        <v>22</v>
      </c>
      <c r="Q2538" s="10" t="n">
        <f aca="false">VLOOKUP(G2538,$AA$2:$AB$5,2,FALSE())</f>
        <v>15</v>
      </c>
      <c r="R2538" s="7" t="n">
        <f aca="false">IF(OR(F2538="Open",F2538="Reopened"),1,0)</f>
        <v>0</v>
      </c>
      <c r="S2538" s="7" t="n">
        <f aca="false">IF(AND(H2538&gt;='Exec Summary'!$E$1,H2538&lt;='Exec Summary'!$E$2),1,0)</f>
        <v>0</v>
      </c>
      <c r="T2538" s="7" t="n">
        <f aca="false">IF(AND(F2538="Closed",I2538&lt;&gt;"",I2538&gt;='Exec Summary'!$E$1,I2538&lt;='Exec Summary'!$E$2),1,0)</f>
        <v>0</v>
      </c>
      <c r="U2538" s="7" t="n">
        <f aca="false">IF(F2538="Reopened",1,0)</f>
        <v>0</v>
      </c>
      <c r="V2538" s="7" t="n">
        <f aca="false">IF(AND(R2538=1,O2538&gt;Q2538),1,0)</f>
        <v>0</v>
      </c>
      <c r="W2538" s="7" t="n">
        <f aca="false">IF(AND(T2538=1,P2538&lt;&gt;"",P2538&lt;=Q2538),1,0)</f>
        <v>0</v>
      </c>
    </row>
    <row r="2539" customFormat="false" ht="15" hidden="false" customHeight="false" outlineLevel="0" collapsed="false">
      <c r="A2539" s="7" t="s">
        <v>3012</v>
      </c>
      <c r="B2539" s="7" t="s">
        <v>135</v>
      </c>
      <c r="C2539" s="7" t="s">
        <v>306</v>
      </c>
      <c r="D2539" s="7" t="s">
        <v>101</v>
      </c>
      <c r="E2539" s="7" t="s">
        <v>102</v>
      </c>
      <c r="F2539" s="7" t="s">
        <v>56</v>
      </c>
      <c r="G2539" s="7" t="s">
        <v>19</v>
      </c>
      <c r="H2539" s="9" t="n">
        <v>45997</v>
      </c>
      <c r="I2539" s="9"/>
      <c r="J2539" s="7" t="n">
        <v>10</v>
      </c>
      <c r="K2539" s="7" t="s">
        <v>2984</v>
      </c>
      <c r="L2539" s="7" t="s">
        <v>19</v>
      </c>
      <c r="M2539" s="7" t="s">
        <v>3015</v>
      </c>
      <c r="N2539" s="7" t="s">
        <v>58</v>
      </c>
      <c r="O2539" s="10" t="n">
        <f aca="false">'Exec Summary'!$E$2-H2539</f>
        <v>237</v>
      </c>
      <c r="P2539" s="10" t="str">
        <f aca="false">IF(I2539="","",I2539-H2539)</f>
        <v/>
      </c>
      <c r="Q2539" s="10" t="n">
        <f aca="false">VLOOKUP(G2539,$AA$2:$AB$5,2,FALSE())</f>
        <v>15</v>
      </c>
      <c r="R2539" s="7" t="n">
        <f aca="false">IF(OR(F2539="Open",F2539="Reopened"),1,0)</f>
        <v>1</v>
      </c>
      <c r="S2539" s="7" t="n">
        <f aca="false">IF(AND(H2539&gt;='Exec Summary'!$E$1,H2539&lt;='Exec Summary'!$E$2),1,0)</f>
        <v>0</v>
      </c>
      <c r="T2539" s="7" t="n">
        <f aca="false">IF(AND(F2539="Closed",I2539&lt;&gt;"",I2539&gt;='Exec Summary'!$E$1,I2539&lt;='Exec Summary'!$E$2),1,0)</f>
        <v>0</v>
      </c>
      <c r="U2539" s="7" t="n">
        <f aca="false">IF(F2539="Reopened",1,0)</f>
        <v>0</v>
      </c>
      <c r="V2539" s="7" t="n">
        <f aca="false">IF(AND(R2539=1,O2539&gt;Q2539),1,0)</f>
        <v>1</v>
      </c>
      <c r="W2539" s="7" t="n">
        <f aca="false">IF(AND(T2539=1,P2539&lt;&gt;"",P2539&lt;=Q2539),1,0)</f>
        <v>0</v>
      </c>
    </row>
    <row r="2540" customFormat="false" ht="15" hidden="false" customHeight="false" outlineLevel="0" collapsed="false">
      <c r="A2540" s="7" t="s">
        <v>3012</v>
      </c>
      <c r="B2540" s="7" t="s">
        <v>135</v>
      </c>
      <c r="C2540" s="7" t="s">
        <v>306</v>
      </c>
      <c r="D2540" s="7" t="s">
        <v>163</v>
      </c>
      <c r="E2540" s="7" t="s">
        <v>164</v>
      </c>
      <c r="F2540" s="7" t="s">
        <v>56</v>
      </c>
      <c r="G2540" s="7" t="s">
        <v>19</v>
      </c>
      <c r="H2540" s="9" t="n">
        <v>46096</v>
      </c>
      <c r="I2540" s="9"/>
      <c r="J2540" s="7" t="n">
        <v>9.1</v>
      </c>
      <c r="K2540" s="7" t="s">
        <v>2984</v>
      </c>
      <c r="L2540" s="7" t="s">
        <v>19</v>
      </c>
      <c r="M2540" s="7" t="s">
        <v>3016</v>
      </c>
      <c r="N2540" s="7" t="s">
        <v>58</v>
      </c>
      <c r="O2540" s="10" t="n">
        <f aca="false">'Exec Summary'!$E$2-H2540</f>
        <v>138</v>
      </c>
      <c r="P2540" s="10" t="str">
        <f aca="false">IF(I2540="","",I2540-H2540)</f>
        <v/>
      </c>
      <c r="Q2540" s="10" t="n">
        <f aca="false">VLOOKUP(G2540,$AA$2:$AB$5,2,FALSE())</f>
        <v>15</v>
      </c>
      <c r="R2540" s="7" t="n">
        <f aca="false">IF(OR(F2540="Open",F2540="Reopened"),1,0)</f>
        <v>1</v>
      </c>
      <c r="S2540" s="7" t="n">
        <f aca="false">IF(AND(H2540&gt;='Exec Summary'!$E$1,H2540&lt;='Exec Summary'!$E$2),1,0)</f>
        <v>0</v>
      </c>
      <c r="T2540" s="7" t="n">
        <f aca="false">IF(AND(F2540="Closed",I2540&lt;&gt;"",I2540&gt;='Exec Summary'!$E$1,I2540&lt;='Exec Summary'!$E$2),1,0)</f>
        <v>0</v>
      </c>
      <c r="U2540" s="7" t="n">
        <f aca="false">IF(F2540="Reopened",1,0)</f>
        <v>0</v>
      </c>
      <c r="V2540" s="7" t="n">
        <f aca="false">IF(AND(R2540=1,O2540&gt;Q2540),1,0)</f>
        <v>1</v>
      </c>
      <c r="W2540" s="7" t="n">
        <f aca="false">IF(AND(T2540=1,P2540&lt;&gt;"",P2540&lt;=Q2540),1,0)</f>
        <v>0</v>
      </c>
    </row>
    <row r="2541" customFormat="false" ht="15" hidden="false" customHeight="false" outlineLevel="0" collapsed="false">
      <c r="A2541" s="7" t="s">
        <v>3012</v>
      </c>
      <c r="B2541" s="7" t="s">
        <v>135</v>
      </c>
      <c r="C2541" s="7" t="s">
        <v>306</v>
      </c>
      <c r="D2541" s="7" t="s">
        <v>48</v>
      </c>
      <c r="E2541" s="7" t="s">
        <v>49</v>
      </c>
      <c r="F2541" s="7" t="s">
        <v>50</v>
      </c>
      <c r="G2541" s="7" t="s">
        <v>20</v>
      </c>
      <c r="H2541" s="9" t="n">
        <v>46082</v>
      </c>
      <c r="I2541" s="9" t="n">
        <v>46098</v>
      </c>
      <c r="J2541" s="7" t="n">
        <v>7.5</v>
      </c>
      <c r="K2541" s="7" t="s">
        <v>2984</v>
      </c>
      <c r="L2541" s="7" t="s">
        <v>19</v>
      </c>
      <c r="M2541" s="7" t="s">
        <v>3017</v>
      </c>
      <c r="N2541" s="7" t="s">
        <v>53</v>
      </c>
      <c r="O2541" s="10" t="n">
        <f aca="false">'Exec Summary'!$E$2-H2541</f>
        <v>152</v>
      </c>
      <c r="P2541" s="10" t="n">
        <f aca="false">IF(I2541="","",I2541-H2541)</f>
        <v>16</v>
      </c>
      <c r="Q2541" s="10" t="n">
        <f aca="false">VLOOKUP(G2541,$AA$2:$AB$5,2,FALSE())</f>
        <v>30</v>
      </c>
      <c r="R2541" s="7" t="n">
        <f aca="false">IF(OR(F2541="Open",F2541="Reopened"),1,0)</f>
        <v>0</v>
      </c>
      <c r="S2541" s="7" t="n">
        <f aca="false">IF(AND(H2541&gt;='Exec Summary'!$E$1,H2541&lt;='Exec Summary'!$E$2),1,0)</f>
        <v>0</v>
      </c>
      <c r="T2541" s="7" t="n">
        <f aca="false">IF(AND(F2541="Closed",I2541&lt;&gt;"",I2541&gt;='Exec Summary'!$E$1,I2541&lt;='Exec Summary'!$E$2),1,0)</f>
        <v>0</v>
      </c>
      <c r="U2541" s="7" t="n">
        <f aca="false">IF(F2541="Reopened",1,0)</f>
        <v>0</v>
      </c>
      <c r="V2541" s="7" t="n">
        <f aca="false">IF(AND(R2541=1,O2541&gt;Q2541),1,0)</f>
        <v>0</v>
      </c>
      <c r="W2541" s="7" t="n">
        <f aca="false">IF(AND(T2541=1,P2541&lt;&gt;"",P2541&lt;=Q2541),1,0)</f>
        <v>0</v>
      </c>
    </row>
    <row r="2542" customFormat="false" ht="15" hidden="false" customHeight="false" outlineLevel="0" collapsed="false">
      <c r="A2542" s="7" t="s">
        <v>3012</v>
      </c>
      <c r="B2542" s="7" t="s">
        <v>135</v>
      </c>
      <c r="C2542" s="7" t="s">
        <v>306</v>
      </c>
      <c r="D2542" s="7" t="s">
        <v>54</v>
      </c>
      <c r="E2542" s="7" t="s">
        <v>55</v>
      </c>
      <c r="F2542" s="7" t="s">
        <v>56</v>
      </c>
      <c r="G2542" s="7" t="s">
        <v>19</v>
      </c>
      <c r="H2542" s="9" t="n">
        <v>46139</v>
      </c>
      <c r="I2542" s="9"/>
      <c r="J2542" s="7" t="n">
        <v>9.8</v>
      </c>
      <c r="K2542" s="7" t="s">
        <v>2984</v>
      </c>
      <c r="L2542" s="7" t="s">
        <v>19</v>
      </c>
      <c r="M2542" s="7" t="s">
        <v>3018</v>
      </c>
      <c r="N2542" s="7" t="s">
        <v>58</v>
      </c>
      <c r="O2542" s="10" t="n">
        <f aca="false">'Exec Summary'!$E$2-H2542</f>
        <v>95</v>
      </c>
      <c r="P2542" s="10" t="str">
        <f aca="false">IF(I2542="","",I2542-H2542)</f>
        <v/>
      </c>
      <c r="Q2542" s="10" t="n">
        <f aca="false">VLOOKUP(G2542,$AA$2:$AB$5,2,FALSE())</f>
        <v>15</v>
      </c>
      <c r="R2542" s="7" t="n">
        <f aca="false">IF(OR(F2542="Open",F2542="Reopened"),1,0)</f>
        <v>1</v>
      </c>
      <c r="S2542" s="7" t="n">
        <f aca="false">IF(AND(H2542&gt;='Exec Summary'!$E$1,H2542&lt;='Exec Summary'!$E$2),1,0)</f>
        <v>0</v>
      </c>
      <c r="T2542" s="7" t="n">
        <f aca="false">IF(AND(F2542="Closed",I2542&lt;&gt;"",I2542&gt;='Exec Summary'!$E$1,I2542&lt;='Exec Summary'!$E$2),1,0)</f>
        <v>0</v>
      </c>
      <c r="U2542" s="7" t="n">
        <f aca="false">IF(F2542="Reopened",1,0)</f>
        <v>0</v>
      </c>
      <c r="V2542" s="7" t="n">
        <f aca="false">IF(AND(R2542=1,O2542&gt;Q2542),1,0)</f>
        <v>1</v>
      </c>
      <c r="W2542" s="7" t="n">
        <f aca="false">IF(AND(T2542=1,P2542&lt;&gt;"",P2542&lt;=Q2542),1,0)</f>
        <v>0</v>
      </c>
    </row>
    <row r="2543" customFormat="false" ht="15" hidden="false" customHeight="false" outlineLevel="0" collapsed="false">
      <c r="A2543" s="7" t="s">
        <v>3012</v>
      </c>
      <c r="B2543" s="7" t="s">
        <v>135</v>
      </c>
      <c r="C2543" s="7" t="s">
        <v>306</v>
      </c>
      <c r="D2543" s="7" t="s">
        <v>192</v>
      </c>
      <c r="E2543" s="7" t="s">
        <v>193</v>
      </c>
      <c r="F2543" s="7" t="s">
        <v>56</v>
      </c>
      <c r="G2543" s="7" t="s">
        <v>19</v>
      </c>
      <c r="H2543" s="9" t="n">
        <v>46181</v>
      </c>
      <c r="I2543" s="9"/>
      <c r="J2543" s="7" t="n">
        <v>9.8</v>
      </c>
      <c r="K2543" s="7" t="s">
        <v>2984</v>
      </c>
      <c r="L2543" s="7" t="s">
        <v>19</v>
      </c>
      <c r="M2543" s="7" t="s">
        <v>3019</v>
      </c>
      <c r="N2543" s="7" t="s">
        <v>58</v>
      </c>
      <c r="O2543" s="10" t="n">
        <f aca="false">'Exec Summary'!$E$2-H2543</f>
        <v>53</v>
      </c>
      <c r="P2543" s="10" t="str">
        <f aca="false">IF(I2543="","",I2543-H2543)</f>
        <v/>
      </c>
      <c r="Q2543" s="10" t="n">
        <f aca="false">VLOOKUP(G2543,$AA$2:$AB$5,2,FALSE())</f>
        <v>15</v>
      </c>
      <c r="R2543" s="7" t="n">
        <f aca="false">IF(OR(F2543="Open",F2543="Reopened"),1,0)</f>
        <v>1</v>
      </c>
      <c r="S2543" s="7" t="n">
        <f aca="false">IF(AND(H2543&gt;='Exec Summary'!$E$1,H2543&lt;='Exec Summary'!$E$2),1,0)</f>
        <v>0</v>
      </c>
      <c r="T2543" s="7" t="n">
        <f aca="false">IF(AND(F2543="Closed",I2543&lt;&gt;"",I2543&gt;='Exec Summary'!$E$1,I2543&lt;='Exec Summary'!$E$2),1,0)</f>
        <v>0</v>
      </c>
      <c r="U2543" s="7" t="n">
        <f aca="false">IF(F2543="Reopened",1,0)</f>
        <v>0</v>
      </c>
      <c r="V2543" s="7" t="n">
        <f aca="false">IF(AND(R2543=1,O2543&gt;Q2543),1,0)</f>
        <v>1</v>
      </c>
      <c r="W2543" s="7" t="n">
        <f aca="false">IF(AND(T2543=1,P2543&lt;&gt;"",P2543&lt;=Q2543),1,0)</f>
        <v>0</v>
      </c>
    </row>
    <row r="2544" customFormat="false" ht="15" hidden="false" customHeight="false" outlineLevel="0" collapsed="false">
      <c r="A2544" s="7" t="s">
        <v>3012</v>
      </c>
      <c r="B2544" s="7" t="s">
        <v>135</v>
      </c>
      <c r="C2544" s="7" t="s">
        <v>306</v>
      </c>
      <c r="D2544" s="7" t="s">
        <v>95</v>
      </c>
      <c r="E2544" s="7" t="s">
        <v>96</v>
      </c>
      <c r="F2544" s="7" t="s">
        <v>50</v>
      </c>
      <c r="G2544" s="7" t="s">
        <v>20</v>
      </c>
      <c r="H2544" s="9" t="n">
        <v>46198</v>
      </c>
      <c r="I2544" s="9" t="n">
        <v>46219</v>
      </c>
      <c r="J2544" s="7" t="n">
        <v>8.8</v>
      </c>
      <c r="K2544" s="7" t="s">
        <v>2984</v>
      </c>
      <c r="L2544" s="7" t="s">
        <v>19</v>
      </c>
      <c r="M2544" s="7" t="s">
        <v>3020</v>
      </c>
      <c r="N2544" s="7" t="s">
        <v>53</v>
      </c>
      <c r="O2544" s="10" t="n">
        <f aca="false">'Exec Summary'!$E$2-H2544</f>
        <v>36</v>
      </c>
      <c r="P2544" s="10" t="n">
        <f aca="false">IF(I2544="","",I2544-H2544)</f>
        <v>21</v>
      </c>
      <c r="Q2544" s="10" t="n">
        <f aca="false">VLOOKUP(G2544,$AA$2:$AB$5,2,FALSE())</f>
        <v>30</v>
      </c>
      <c r="R2544" s="7" t="n">
        <f aca="false">IF(OR(F2544="Open",F2544="Reopened"),1,0)</f>
        <v>0</v>
      </c>
      <c r="S2544" s="7" t="n">
        <f aca="false">IF(AND(H2544&gt;='Exec Summary'!$E$1,H2544&lt;='Exec Summary'!$E$2),1,0)</f>
        <v>0</v>
      </c>
      <c r="T2544" s="7" t="n">
        <f aca="false">IF(AND(F2544="Closed",I2544&lt;&gt;"",I2544&gt;='Exec Summary'!$E$1,I2544&lt;='Exec Summary'!$E$2),1,0)</f>
        <v>1</v>
      </c>
      <c r="U2544" s="7" t="n">
        <f aca="false">IF(F2544="Reopened",1,0)</f>
        <v>0</v>
      </c>
      <c r="V2544" s="7" t="n">
        <f aca="false">IF(AND(R2544=1,O2544&gt;Q2544),1,0)</f>
        <v>0</v>
      </c>
      <c r="W2544" s="7" t="n">
        <f aca="false">IF(AND(T2544=1,P2544&lt;&gt;"",P2544&lt;=Q2544),1,0)</f>
        <v>1</v>
      </c>
    </row>
    <row r="2545" customFormat="false" ht="15" hidden="false" customHeight="false" outlineLevel="0" collapsed="false">
      <c r="A2545" s="7" t="s">
        <v>3012</v>
      </c>
      <c r="B2545" s="7" t="s">
        <v>135</v>
      </c>
      <c r="C2545" s="7" t="s">
        <v>306</v>
      </c>
      <c r="D2545" s="7" t="s">
        <v>59</v>
      </c>
      <c r="E2545" s="7" t="s">
        <v>60</v>
      </c>
      <c r="F2545" s="7" t="s">
        <v>50</v>
      </c>
      <c r="G2545" s="7" t="s">
        <v>19</v>
      </c>
      <c r="H2545" s="9" t="n">
        <v>46213</v>
      </c>
      <c r="I2545" s="9" t="n">
        <v>46232</v>
      </c>
      <c r="J2545" s="7" t="n">
        <v>7.8</v>
      </c>
      <c r="K2545" s="7" t="s">
        <v>2984</v>
      </c>
      <c r="L2545" s="7" t="s">
        <v>19</v>
      </c>
      <c r="M2545" s="7" t="s">
        <v>3021</v>
      </c>
      <c r="N2545" s="7" t="s">
        <v>58</v>
      </c>
      <c r="O2545" s="10" t="n">
        <f aca="false">'Exec Summary'!$E$2-H2545</f>
        <v>21</v>
      </c>
      <c r="P2545" s="10" t="n">
        <f aca="false">IF(I2545="","",I2545-H2545)</f>
        <v>19</v>
      </c>
      <c r="Q2545" s="10" t="n">
        <f aca="false">VLOOKUP(G2545,$AA$2:$AB$5,2,FALSE())</f>
        <v>15</v>
      </c>
      <c r="R2545" s="7" t="n">
        <f aca="false">IF(OR(F2545="Open",F2545="Reopened"),1,0)</f>
        <v>0</v>
      </c>
      <c r="S2545" s="7" t="n">
        <f aca="false">IF(AND(H2545&gt;='Exec Summary'!$E$1,H2545&lt;='Exec Summary'!$E$2),1,0)</f>
        <v>1</v>
      </c>
      <c r="T2545" s="7" t="n">
        <f aca="false">IF(AND(F2545="Closed",I2545&lt;&gt;"",I2545&gt;='Exec Summary'!$E$1,I2545&lt;='Exec Summary'!$E$2),1,0)</f>
        <v>1</v>
      </c>
      <c r="U2545" s="7" t="n">
        <f aca="false">IF(F2545="Reopened",1,0)</f>
        <v>0</v>
      </c>
      <c r="V2545" s="7" t="n">
        <f aca="false">IF(AND(R2545=1,O2545&gt;Q2545),1,0)</f>
        <v>0</v>
      </c>
      <c r="W2545" s="7" t="n">
        <f aca="false">IF(AND(T2545=1,P2545&lt;&gt;"",P2545&lt;=Q2545),1,0)</f>
        <v>0</v>
      </c>
    </row>
    <row r="2546" customFormat="false" ht="15" hidden="false" customHeight="false" outlineLevel="0" collapsed="false">
      <c r="A2546" s="7" t="s">
        <v>3012</v>
      </c>
      <c r="B2546" s="7" t="s">
        <v>135</v>
      </c>
      <c r="C2546" s="7" t="s">
        <v>306</v>
      </c>
      <c r="D2546" s="7" t="s">
        <v>91</v>
      </c>
      <c r="E2546" s="7" t="s">
        <v>92</v>
      </c>
      <c r="F2546" s="7" t="s">
        <v>123</v>
      </c>
      <c r="G2546" s="7" t="s">
        <v>20</v>
      </c>
      <c r="H2546" s="9" t="n">
        <v>46139</v>
      </c>
      <c r="I2546" s="9" t="n">
        <v>46155</v>
      </c>
      <c r="J2546" s="7" t="n">
        <v>8.1</v>
      </c>
      <c r="K2546" s="7" t="s">
        <v>2984</v>
      </c>
      <c r="L2546" s="7" t="s">
        <v>19</v>
      </c>
      <c r="M2546" s="7" t="s">
        <v>3022</v>
      </c>
      <c r="N2546" s="7" t="s">
        <v>53</v>
      </c>
      <c r="O2546" s="10" t="n">
        <f aca="false">'Exec Summary'!$E$2-H2546</f>
        <v>95</v>
      </c>
      <c r="P2546" s="10" t="n">
        <f aca="false">IF(I2546="","",I2546-H2546)</f>
        <v>16</v>
      </c>
      <c r="Q2546" s="10" t="n">
        <f aca="false">VLOOKUP(G2546,$AA$2:$AB$5,2,FALSE())</f>
        <v>30</v>
      </c>
      <c r="R2546" s="7" t="n">
        <f aca="false">IF(OR(F2546="Open",F2546="Reopened"),1,0)</f>
        <v>1</v>
      </c>
      <c r="S2546" s="7" t="n">
        <f aca="false">IF(AND(H2546&gt;='Exec Summary'!$E$1,H2546&lt;='Exec Summary'!$E$2),1,0)</f>
        <v>0</v>
      </c>
      <c r="T2546" s="7" t="n">
        <f aca="false">IF(AND(F2546="Closed",I2546&lt;&gt;"",I2546&gt;='Exec Summary'!$E$1,I2546&lt;='Exec Summary'!$E$2),1,0)</f>
        <v>0</v>
      </c>
      <c r="U2546" s="7" t="n">
        <f aca="false">IF(F2546="Reopened",1,0)</f>
        <v>1</v>
      </c>
      <c r="V2546" s="7" t="n">
        <f aca="false">IF(AND(R2546=1,O2546&gt;Q2546),1,0)</f>
        <v>1</v>
      </c>
      <c r="W2546" s="7" t="n">
        <f aca="false">IF(AND(T2546=1,P2546&lt;&gt;"",P2546&lt;=Q2546),1,0)</f>
        <v>0</v>
      </c>
    </row>
    <row r="2547" customFormat="false" ht="15" hidden="false" customHeight="false" outlineLevel="0" collapsed="false">
      <c r="A2547" s="7" t="s">
        <v>3012</v>
      </c>
      <c r="B2547" s="7" t="s">
        <v>135</v>
      </c>
      <c r="C2547" s="7" t="s">
        <v>306</v>
      </c>
      <c r="D2547" s="7" t="s">
        <v>108</v>
      </c>
      <c r="E2547" s="7" t="s">
        <v>109</v>
      </c>
      <c r="F2547" s="7" t="s">
        <v>50</v>
      </c>
      <c r="G2547" s="7" t="s">
        <v>20</v>
      </c>
      <c r="H2547" s="9" t="n">
        <v>46145</v>
      </c>
      <c r="I2547" s="9" t="n">
        <v>46165</v>
      </c>
      <c r="J2547" s="7" t="n">
        <v>8.6</v>
      </c>
      <c r="K2547" s="7" t="s">
        <v>2984</v>
      </c>
      <c r="L2547" s="7" t="s">
        <v>19</v>
      </c>
      <c r="M2547" s="7" t="s">
        <v>3023</v>
      </c>
      <c r="N2547" s="7" t="s">
        <v>53</v>
      </c>
      <c r="O2547" s="10" t="n">
        <f aca="false">'Exec Summary'!$E$2-H2547</f>
        <v>89</v>
      </c>
      <c r="P2547" s="10" t="n">
        <f aca="false">IF(I2547="","",I2547-H2547)</f>
        <v>20</v>
      </c>
      <c r="Q2547" s="10" t="n">
        <f aca="false">VLOOKUP(G2547,$AA$2:$AB$5,2,FALSE())</f>
        <v>30</v>
      </c>
      <c r="R2547" s="7" t="n">
        <f aca="false">IF(OR(F2547="Open",F2547="Reopened"),1,0)</f>
        <v>0</v>
      </c>
      <c r="S2547" s="7" t="n">
        <f aca="false">IF(AND(H2547&gt;='Exec Summary'!$E$1,H2547&lt;='Exec Summary'!$E$2),1,0)</f>
        <v>0</v>
      </c>
      <c r="T2547" s="7" t="n">
        <f aca="false">IF(AND(F2547="Closed",I2547&lt;&gt;"",I2547&gt;='Exec Summary'!$E$1,I2547&lt;='Exec Summary'!$E$2),1,0)</f>
        <v>0</v>
      </c>
      <c r="U2547" s="7" t="n">
        <f aca="false">IF(F2547="Reopened",1,0)</f>
        <v>0</v>
      </c>
      <c r="V2547" s="7" t="n">
        <f aca="false">IF(AND(R2547=1,O2547&gt;Q2547),1,0)</f>
        <v>0</v>
      </c>
      <c r="W2547" s="7" t="n">
        <f aca="false">IF(AND(T2547=1,P2547&lt;&gt;"",P2547&lt;=Q2547),1,0)</f>
        <v>0</v>
      </c>
    </row>
    <row r="2548" customFormat="false" ht="15" hidden="false" customHeight="false" outlineLevel="0" collapsed="false">
      <c r="A2548" s="7" t="s">
        <v>3012</v>
      </c>
      <c r="B2548" s="7" t="s">
        <v>135</v>
      </c>
      <c r="C2548" s="7" t="s">
        <v>306</v>
      </c>
      <c r="D2548" s="7" t="s">
        <v>131</v>
      </c>
      <c r="E2548" s="7" t="s">
        <v>132</v>
      </c>
      <c r="F2548" s="7" t="s">
        <v>56</v>
      </c>
      <c r="G2548" s="7" t="s">
        <v>19</v>
      </c>
      <c r="H2548" s="9" t="n">
        <v>46101</v>
      </c>
      <c r="I2548" s="9"/>
      <c r="J2548" s="7" t="n">
        <v>9.8</v>
      </c>
      <c r="K2548" s="7" t="s">
        <v>2984</v>
      </c>
      <c r="L2548" s="7" t="s">
        <v>19</v>
      </c>
      <c r="M2548" s="7" t="s">
        <v>3024</v>
      </c>
      <c r="N2548" s="7" t="s">
        <v>58</v>
      </c>
      <c r="O2548" s="10" t="n">
        <f aca="false">'Exec Summary'!$E$2-H2548</f>
        <v>133</v>
      </c>
      <c r="P2548" s="10" t="str">
        <f aca="false">IF(I2548="","",I2548-H2548)</f>
        <v/>
      </c>
      <c r="Q2548" s="10" t="n">
        <f aca="false">VLOOKUP(G2548,$AA$2:$AB$5,2,FALSE())</f>
        <v>15</v>
      </c>
      <c r="R2548" s="7" t="n">
        <f aca="false">IF(OR(F2548="Open",F2548="Reopened"),1,0)</f>
        <v>1</v>
      </c>
      <c r="S2548" s="7" t="n">
        <f aca="false">IF(AND(H2548&gt;='Exec Summary'!$E$1,H2548&lt;='Exec Summary'!$E$2),1,0)</f>
        <v>0</v>
      </c>
      <c r="T2548" s="7" t="n">
        <f aca="false">IF(AND(F2548="Closed",I2548&lt;&gt;"",I2548&gt;='Exec Summary'!$E$1,I2548&lt;='Exec Summary'!$E$2),1,0)</f>
        <v>0</v>
      </c>
      <c r="U2548" s="7" t="n">
        <f aca="false">IF(F2548="Reopened",1,0)</f>
        <v>0</v>
      </c>
      <c r="V2548" s="7" t="n">
        <f aca="false">IF(AND(R2548=1,O2548&gt;Q2548),1,0)</f>
        <v>1</v>
      </c>
      <c r="W2548" s="7" t="n">
        <f aca="false">IF(AND(T2548=1,P2548&lt;&gt;"",P2548&lt;=Q2548),1,0)</f>
        <v>0</v>
      </c>
    </row>
    <row r="2549" customFormat="false" ht="15" hidden="false" customHeight="false" outlineLevel="0" collapsed="false">
      <c r="A2549" s="7" t="s">
        <v>3025</v>
      </c>
      <c r="B2549" s="7" t="s">
        <v>46</v>
      </c>
      <c r="C2549" s="7" t="s">
        <v>47</v>
      </c>
      <c r="D2549" s="7" t="s">
        <v>145</v>
      </c>
      <c r="E2549" s="7" t="s">
        <v>146</v>
      </c>
      <c r="F2549" s="7" t="s">
        <v>50</v>
      </c>
      <c r="G2549" s="7" t="s">
        <v>19</v>
      </c>
      <c r="H2549" s="9" t="n">
        <v>45980</v>
      </c>
      <c r="I2549" s="9" t="n">
        <v>45981</v>
      </c>
      <c r="J2549" s="7" t="n">
        <v>9.8</v>
      </c>
      <c r="K2549" s="7" t="s">
        <v>2984</v>
      </c>
      <c r="L2549" s="7" t="s">
        <v>21</v>
      </c>
      <c r="M2549" s="7" t="s">
        <v>3026</v>
      </c>
      <c r="N2549" s="7" t="s">
        <v>58</v>
      </c>
      <c r="O2549" s="10" t="n">
        <f aca="false">'Exec Summary'!$E$2-H2549</f>
        <v>254</v>
      </c>
      <c r="P2549" s="10" t="n">
        <f aca="false">IF(I2549="","",I2549-H2549)</f>
        <v>1</v>
      </c>
      <c r="Q2549" s="10" t="n">
        <f aca="false">VLOOKUP(G2549,$AA$2:$AB$5,2,FALSE())</f>
        <v>15</v>
      </c>
      <c r="R2549" s="7" t="n">
        <f aca="false">IF(OR(F2549="Open",F2549="Reopened"),1,0)</f>
        <v>0</v>
      </c>
      <c r="S2549" s="7" t="n">
        <f aca="false">IF(AND(H2549&gt;='Exec Summary'!$E$1,H2549&lt;='Exec Summary'!$E$2),1,0)</f>
        <v>0</v>
      </c>
      <c r="T2549" s="7" t="n">
        <f aca="false">IF(AND(F2549="Closed",I2549&lt;&gt;"",I2549&gt;='Exec Summary'!$E$1,I2549&lt;='Exec Summary'!$E$2),1,0)</f>
        <v>0</v>
      </c>
      <c r="U2549" s="7" t="n">
        <f aca="false">IF(F2549="Reopened",1,0)</f>
        <v>0</v>
      </c>
      <c r="V2549" s="7" t="n">
        <f aca="false">IF(AND(R2549=1,O2549&gt;Q2549),1,0)</f>
        <v>0</v>
      </c>
      <c r="W2549" s="7" t="n">
        <f aca="false">IF(AND(T2549=1,P2549&lt;&gt;"",P2549&lt;=Q2549),1,0)</f>
        <v>0</v>
      </c>
    </row>
    <row r="2550" customFormat="false" ht="15" hidden="false" customHeight="false" outlineLevel="0" collapsed="false">
      <c r="A2550" s="7" t="s">
        <v>3025</v>
      </c>
      <c r="B2550" s="7" t="s">
        <v>46</v>
      </c>
      <c r="C2550" s="7" t="s">
        <v>47</v>
      </c>
      <c r="D2550" s="7" t="s">
        <v>173</v>
      </c>
      <c r="E2550" s="7" t="s">
        <v>174</v>
      </c>
      <c r="F2550" s="7" t="s">
        <v>50</v>
      </c>
      <c r="G2550" s="7" t="s">
        <v>19</v>
      </c>
      <c r="H2550" s="9" t="n">
        <v>45990</v>
      </c>
      <c r="I2550" s="9" t="n">
        <v>45991</v>
      </c>
      <c r="J2550" s="7" t="n">
        <v>9.8</v>
      </c>
      <c r="K2550" s="7" t="s">
        <v>2984</v>
      </c>
      <c r="L2550" s="7" t="s">
        <v>21</v>
      </c>
      <c r="M2550" s="7" t="s">
        <v>3027</v>
      </c>
      <c r="N2550" s="7" t="s">
        <v>58</v>
      </c>
      <c r="O2550" s="10" t="n">
        <f aca="false">'Exec Summary'!$E$2-H2550</f>
        <v>244</v>
      </c>
      <c r="P2550" s="10" t="n">
        <f aca="false">IF(I2550="","",I2550-H2550)</f>
        <v>1</v>
      </c>
      <c r="Q2550" s="10" t="n">
        <f aca="false">VLOOKUP(G2550,$AA$2:$AB$5,2,FALSE())</f>
        <v>15</v>
      </c>
      <c r="R2550" s="7" t="n">
        <f aca="false">IF(OR(F2550="Open",F2550="Reopened"),1,0)</f>
        <v>0</v>
      </c>
      <c r="S2550" s="7" t="n">
        <f aca="false">IF(AND(H2550&gt;='Exec Summary'!$E$1,H2550&lt;='Exec Summary'!$E$2),1,0)</f>
        <v>0</v>
      </c>
      <c r="T2550" s="7" t="n">
        <f aca="false">IF(AND(F2550="Closed",I2550&lt;&gt;"",I2550&gt;='Exec Summary'!$E$1,I2550&lt;='Exec Summary'!$E$2),1,0)</f>
        <v>0</v>
      </c>
      <c r="U2550" s="7" t="n">
        <f aca="false">IF(F2550="Reopened",1,0)</f>
        <v>0</v>
      </c>
      <c r="V2550" s="7" t="n">
        <f aca="false">IF(AND(R2550=1,O2550&gt;Q2550),1,0)</f>
        <v>0</v>
      </c>
      <c r="W2550" s="7" t="n">
        <f aca="false">IF(AND(T2550=1,P2550&lt;&gt;"",P2550&lt;=Q2550),1,0)</f>
        <v>0</v>
      </c>
    </row>
    <row r="2551" customFormat="false" ht="15" hidden="false" customHeight="false" outlineLevel="0" collapsed="false">
      <c r="A2551" s="7" t="s">
        <v>3025</v>
      </c>
      <c r="B2551" s="7" t="s">
        <v>46</v>
      </c>
      <c r="C2551" s="7" t="s">
        <v>47</v>
      </c>
      <c r="D2551" s="7" t="s">
        <v>65</v>
      </c>
      <c r="E2551" s="7" t="s">
        <v>66</v>
      </c>
      <c r="F2551" s="7" t="s">
        <v>56</v>
      </c>
      <c r="G2551" s="7" t="s">
        <v>19</v>
      </c>
      <c r="H2551" s="9" t="n">
        <v>45963</v>
      </c>
      <c r="I2551" s="9"/>
      <c r="J2551" s="7" t="n">
        <v>9.8</v>
      </c>
      <c r="K2551" s="7" t="s">
        <v>2984</v>
      </c>
      <c r="L2551" s="7" t="s">
        <v>21</v>
      </c>
      <c r="M2551" s="7" t="s">
        <v>3028</v>
      </c>
      <c r="N2551" s="7" t="s">
        <v>58</v>
      </c>
      <c r="O2551" s="10" t="n">
        <f aca="false">'Exec Summary'!$E$2-H2551</f>
        <v>271</v>
      </c>
      <c r="P2551" s="10" t="str">
        <f aca="false">IF(I2551="","",I2551-H2551)</f>
        <v/>
      </c>
      <c r="Q2551" s="10" t="n">
        <f aca="false">VLOOKUP(G2551,$AA$2:$AB$5,2,FALSE())</f>
        <v>15</v>
      </c>
      <c r="R2551" s="7" t="n">
        <f aca="false">IF(OR(F2551="Open",F2551="Reopened"),1,0)</f>
        <v>1</v>
      </c>
      <c r="S2551" s="7" t="n">
        <f aca="false">IF(AND(H2551&gt;='Exec Summary'!$E$1,H2551&lt;='Exec Summary'!$E$2),1,0)</f>
        <v>0</v>
      </c>
      <c r="T2551" s="7" t="n">
        <f aca="false">IF(AND(F2551="Closed",I2551&lt;&gt;"",I2551&gt;='Exec Summary'!$E$1,I2551&lt;='Exec Summary'!$E$2),1,0)</f>
        <v>0</v>
      </c>
      <c r="U2551" s="7" t="n">
        <f aca="false">IF(F2551="Reopened",1,0)</f>
        <v>0</v>
      </c>
      <c r="V2551" s="7" t="n">
        <f aca="false">IF(AND(R2551=1,O2551&gt;Q2551),1,0)</f>
        <v>1</v>
      </c>
      <c r="W2551" s="7" t="n">
        <f aca="false">IF(AND(T2551=1,P2551&lt;&gt;"",P2551&lt;=Q2551),1,0)</f>
        <v>0</v>
      </c>
    </row>
    <row r="2552" customFormat="false" ht="15" hidden="false" customHeight="false" outlineLevel="0" collapsed="false">
      <c r="A2552" s="7" t="s">
        <v>3025</v>
      </c>
      <c r="B2552" s="7" t="s">
        <v>46</v>
      </c>
      <c r="C2552" s="7" t="s">
        <v>47</v>
      </c>
      <c r="D2552" s="7" t="s">
        <v>91</v>
      </c>
      <c r="E2552" s="7" t="s">
        <v>92</v>
      </c>
      <c r="F2552" s="7" t="s">
        <v>123</v>
      </c>
      <c r="G2552" s="7" t="s">
        <v>20</v>
      </c>
      <c r="H2552" s="9" t="n">
        <v>46118</v>
      </c>
      <c r="I2552" s="9" t="n">
        <v>46166</v>
      </c>
      <c r="J2552" s="7" t="n">
        <v>8.1</v>
      </c>
      <c r="K2552" s="7" t="s">
        <v>2984</v>
      </c>
      <c r="L2552" s="7" t="s">
        <v>21</v>
      </c>
      <c r="M2552" s="7" t="s">
        <v>3029</v>
      </c>
      <c r="N2552" s="7" t="s">
        <v>53</v>
      </c>
      <c r="O2552" s="10" t="n">
        <f aca="false">'Exec Summary'!$E$2-H2552</f>
        <v>116</v>
      </c>
      <c r="P2552" s="10" t="n">
        <f aca="false">IF(I2552="","",I2552-H2552)</f>
        <v>48</v>
      </c>
      <c r="Q2552" s="10" t="n">
        <f aca="false">VLOOKUP(G2552,$AA$2:$AB$5,2,FALSE())</f>
        <v>30</v>
      </c>
      <c r="R2552" s="7" t="n">
        <f aca="false">IF(OR(F2552="Open",F2552="Reopened"),1,0)</f>
        <v>1</v>
      </c>
      <c r="S2552" s="7" t="n">
        <f aca="false">IF(AND(H2552&gt;='Exec Summary'!$E$1,H2552&lt;='Exec Summary'!$E$2),1,0)</f>
        <v>0</v>
      </c>
      <c r="T2552" s="7" t="n">
        <f aca="false">IF(AND(F2552="Closed",I2552&lt;&gt;"",I2552&gt;='Exec Summary'!$E$1,I2552&lt;='Exec Summary'!$E$2),1,0)</f>
        <v>0</v>
      </c>
      <c r="U2552" s="7" t="n">
        <f aca="false">IF(F2552="Reopened",1,0)</f>
        <v>1</v>
      </c>
      <c r="V2552" s="7" t="n">
        <f aca="false">IF(AND(R2552=1,O2552&gt;Q2552),1,0)</f>
        <v>1</v>
      </c>
      <c r="W2552" s="7" t="n">
        <f aca="false">IF(AND(T2552=1,P2552&lt;&gt;"",P2552&lt;=Q2552),1,0)</f>
        <v>0</v>
      </c>
    </row>
    <row r="2553" customFormat="false" ht="15" hidden="false" customHeight="false" outlineLevel="0" collapsed="false">
      <c r="A2553" s="7" t="s">
        <v>3025</v>
      </c>
      <c r="B2553" s="7" t="s">
        <v>46</v>
      </c>
      <c r="C2553" s="7" t="s">
        <v>47</v>
      </c>
      <c r="D2553" s="7" t="s">
        <v>112</v>
      </c>
      <c r="E2553" s="7" t="s">
        <v>113</v>
      </c>
      <c r="F2553" s="7" t="s">
        <v>50</v>
      </c>
      <c r="G2553" s="7" t="s">
        <v>20</v>
      </c>
      <c r="H2553" s="9" t="n">
        <v>45970</v>
      </c>
      <c r="I2553" s="9" t="n">
        <v>45980</v>
      </c>
      <c r="J2553" s="7" t="n">
        <v>7.8</v>
      </c>
      <c r="K2553" s="7" t="s">
        <v>2984</v>
      </c>
      <c r="L2553" s="7" t="s">
        <v>21</v>
      </c>
      <c r="M2553" s="7" t="s">
        <v>3030</v>
      </c>
      <c r="N2553" s="7" t="s">
        <v>53</v>
      </c>
      <c r="O2553" s="10" t="n">
        <f aca="false">'Exec Summary'!$E$2-H2553</f>
        <v>264</v>
      </c>
      <c r="P2553" s="10" t="n">
        <f aca="false">IF(I2553="","",I2553-H2553)</f>
        <v>10</v>
      </c>
      <c r="Q2553" s="10" t="n">
        <f aca="false">VLOOKUP(G2553,$AA$2:$AB$5,2,FALSE())</f>
        <v>30</v>
      </c>
      <c r="R2553" s="7" t="n">
        <f aca="false">IF(OR(F2553="Open",F2553="Reopened"),1,0)</f>
        <v>0</v>
      </c>
      <c r="S2553" s="7" t="n">
        <f aca="false">IF(AND(H2553&gt;='Exec Summary'!$E$1,H2553&lt;='Exec Summary'!$E$2),1,0)</f>
        <v>0</v>
      </c>
      <c r="T2553" s="7" t="n">
        <f aca="false">IF(AND(F2553="Closed",I2553&lt;&gt;"",I2553&gt;='Exec Summary'!$E$1,I2553&lt;='Exec Summary'!$E$2),1,0)</f>
        <v>0</v>
      </c>
      <c r="U2553" s="7" t="n">
        <f aca="false">IF(F2553="Reopened",1,0)</f>
        <v>0</v>
      </c>
      <c r="V2553" s="7" t="n">
        <f aca="false">IF(AND(R2553=1,O2553&gt;Q2553),1,0)</f>
        <v>0</v>
      </c>
      <c r="W2553" s="7" t="n">
        <f aca="false">IF(AND(T2553=1,P2553&lt;&gt;"",P2553&lt;=Q2553),1,0)</f>
        <v>0</v>
      </c>
    </row>
    <row r="2554" customFormat="false" ht="15" hidden="false" customHeight="false" outlineLevel="0" collapsed="false">
      <c r="A2554" s="7" t="s">
        <v>3025</v>
      </c>
      <c r="B2554" s="7" t="s">
        <v>46</v>
      </c>
      <c r="C2554" s="7" t="s">
        <v>47</v>
      </c>
      <c r="D2554" s="7" t="s">
        <v>87</v>
      </c>
      <c r="E2554" s="7" t="s">
        <v>88</v>
      </c>
      <c r="F2554" s="7" t="s">
        <v>56</v>
      </c>
      <c r="G2554" s="7" t="s">
        <v>19</v>
      </c>
      <c r="H2554" s="9" t="n">
        <v>46050</v>
      </c>
      <c r="I2554" s="9"/>
      <c r="J2554" s="7" t="n">
        <v>10</v>
      </c>
      <c r="K2554" s="7" t="s">
        <v>2984</v>
      </c>
      <c r="L2554" s="7" t="s">
        <v>21</v>
      </c>
      <c r="M2554" s="7" t="s">
        <v>3031</v>
      </c>
      <c r="N2554" s="7" t="s">
        <v>58</v>
      </c>
      <c r="O2554" s="10" t="n">
        <f aca="false">'Exec Summary'!$E$2-H2554</f>
        <v>184</v>
      </c>
      <c r="P2554" s="10" t="str">
        <f aca="false">IF(I2554="","",I2554-H2554)</f>
        <v/>
      </c>
      <c r="Q2554" s="10" t="n">
        <f aca="false">VLOOKUP(G2554,$AA$2:$AB$5,2,FALSE())</f>
        <v>15</v>
      </c>
      <c r="R2554" s="7" t="n">
        <f aca="false">IF(OR(F2554="Open",F2554="Reopened"),1,0)</f>
        <v>1</v>
      </c>
      <c r="S2554" s="7" t="n">
        <f aca="false">IF(AND(H2554&gt;='Exec Summary'!$E$1,H2554&lt;='Exec Summary'!$E$2),1,0)</f>
        <v>0</v>
      </c>
      <c r="T2554" s="7" t="n">
        <f aca="false">IF(AND(F2554="Closed",I2554&lt;&gt;"",I2554&gt;='Exec Summary'!$E$1,I2554&lt;='Exec Summary'!$E$2),1,0)</f>
        <v>0</v>
      </c>
      <c r="U2554" s="7" t="n">
        <f aca="false">IF(F2554="Reopened",1,0)</f>
        <v>0</v>
      </c>
      <c r="V2554" s="7" t="n">
        <f aca="false">IF(AND(R2554=1,O2554&gt;Q2554),1,0)</f>
        <v>1</v>
      </c>
      <c r="W2554" s="7" t="n">
        <f aca="false">IF(AND(T2554=1,P2554&lt;&gt;"",P2554&lt;=Q2554),1,0)</f>
        <v>0</v>
      </c>
    </row>
    <row r="2555" customFormat="false" ht="15" hidden="false" customHeight="false" outlineLevel="0" collapsed="false">
      <c r="A2555" s="7" t="s">
        <v>3025</v>
      </c>
      <c r="B2555" s="7" t="s">
        <v>46</v>
      </c>
      <c r="C2555" s="7" t="s">
        <v>47</v>
      </c>
      <c r="D2555" s="7" t="s">
        <v>108</v>
      </c>
      <c r="E2555" s="7" t="s">
        <v>109</v>
      </c>
      <c r="F2555" s="7" t="s">
        <v>50</v>
      </c>
      <c r="G2555" s="7" t="s">
        <v>20</v>
      </c>
      <c r="H2555" s="9" t="n">
        <v>46040</v>
      </c>
      <c r="I2555" s="9" t="n">
        <v>46062</v>
      </c>
      <c r="J2555" s="7" t="n">
        <v>8.6</v>
      </c>
      <c r="K2555" s="7" t="s">
        <v>2984</v>
      </c>
      <c r="L2555" s="7" t="s">
        <v>21</v>
      </c>
      <c r="M2555" s="7" t="s">
        <v>3032</v>
      </c>
      <c r="N2555" s="7" t="s">
        <v>53</v>
      </c>
      <c r="O2555" s="10" t="n">
        <f aca="false">'Exec Summary'!$E$2-H2555</f>
        <v>194</v>
      </c>
      <c r="P2555" s="10" t="n">
        <f aca="false">IF(I2555="","",I2555-H2555)</f>
        <v>22</v>
      </c>
      <c r="Q2555" s="10" t="n">
        <f aca="false">VLOOKUP(G2555,$AA$2:$AB$5,2,FALSE())</f>
        <v>30</v>
      </c>
      <c r="R2555" s="7" t="n">
        <f aca="false">IF(OR(F2555="Open",F2555="Reopened"),1,0)</f>
        <v>0</v>
      </c>
      <c r="S2555" s="7" t="n">
        <f aca="false">IF(AND(H2555&gt;='Exec Summary'!$E$1,H2555&lt;='Exec Summary'!$E$2),1,0)</f>
        <v>0</v>
      </c>
      <c r="T2555" s="7" t="n">
        <f aca="false">IF(AND(F2555="Closed",I2555&lt;&gt;"",I2555&gt;='Exec Summary'!$E$1,I2555&lt;='Exec Summary'!$E$2),1,0)</f>
        <v>0</v>
      </c>
      <c r="U2555" s="7" t="n">
        <f aca="false">IF(F2555="Reopened",1,0)</f>
        <v>0</v>
      </c>
      <c r="V2555" s="7" t="n">
        <f aca="false">IF(AND(R2555=1,O2555&gt;Q2555),1,0)</f>
        <v>0</v>
      </c>
      <c r="W2555" s="7" t="n">
        <f aca="false">IF(AND(T2555=1,P2555&lt;&gt;"",P2555&lt;=Q2555),1,0)</f>
        <v>0</v>
      </c>
    </row>
    <row r="2556" customFormat="false" ht="15" hidden="false" customHeight="false" outlineLevel="0" collapsed="false">
      <c r="A2556" s="7" t="s">
        <v>3025</v>
      </c>
      <c r="B2556" s="7" t="s">
        <v>46</v>
      </c>
      <c r="C2556" s="7" t="s">
        <v>47</v>
      </c>
      <c r="D2556" s="7" t="s">
        <v>74</v>
      </c>
      <c r="E2556" s="7" t="s">
        <v>75</v>
      </c>
      <c r="F2556" s="7" t="s">
        <v>50</v>
      </c>
      <c r="G2556" s="7" t="s">
        <v>21</v>
      </c>
      <c r="H2556" s="9" t="n">
        <v>46197</v>
      </c>
      <c r="I2556" s="9" t="n">
        <v>46234</v>
      </c>
      <c r="J2556" s="7" t="n">
        <v>6.5</v>
      </c>
      <c r="K2556" s="7" t="s">
        <v>2984</v>
      </c>
      <c r="L2556" s="7" t="s">
        <v>21</v>
      </c>
      <c r="M2556" s="7" t="s">
        <v>3033</v>
      </c>
      <c r="N2556" s="7" t="s">
        <v>77</v>
      </c>
      <c r="O2556" s="10" t="n">
        <f aca="false">'Exec Summary'!$E$2-H2556</f>
        <v>37</v>
      </c>
      <c r="P2556" s="10" t="n">
        <f aca="false">IF(I2556="","",I2556-H2556)</f>
        <v>37</v>
      </c>
      <c r="Q2556" s="10" t="n">
        <f aca="false">VLOOKUP(G2556,$AA$2:$AB$5,2,FALSE())</f>
        <v>90</v>
      </c>
      <c r="R2556" s="7" t="n">
        <f aca="false">IF(OR(F2556="Open",F2556="Reopened"),1,0)</f>
        <v>0</v>
      </c>
      <c r="S2556" s="7" t="n">
        <f aca="false">IF(AND(H2556&gt;='Exec Summary'!$E$1,H2556&lt;='Exec Summary'!$E$2),1,0)</f>
        <v>0</v>
      </c>
      <c r="T2556" s="7" t="n">
        <f aca="false">IF(AND(F2556="Closed",I2556&lt;&gt;"",I2556&gt;='Exec Summary'!$E$1,I2556&lt;='Exec Summary'!$E$2),1,0)</f>
        <v>1</v>
      </c>
      <c r="U2556" s="7" t="n">
        <f aca="false">IF(F2556="Reopened",1,0)</f>
        <v>0</v>
      </c>
      <c r="V2556" s="7" t="n">
        <f aca="false">IF(AND(R2556=1,O2556&gt;Q2556),1,0)</f>
        <v>0</v>
      </c>
      <c r="W2556" s="7" t="n">
        <f aca="false">IF(AND(T2556=1,P2556&lt;&gt;"",P2556&lt;=Q2556),1,0)</f>
        <v>1</v>
      </c>
    </row>
    <row r="2557" customFormat="false" ht="15" hidden="false" customHeight="false" outlineLevel="0" collapsed="false">
      <c r="A2557" s="7" t="s">
        <v>3025</v>
      </c>
      <c r="B2557" s="7" t="s">
        <v>46</v>
      </c>
      <c r="C2557" s="7" t="s">
        <v>47</v>
      </c>
      <c r="D2557" s="7" t="s">
        <v>71</v>
      </c>
      <c r="E2557" s="7" t="s">
        <v>72</v>
      </c>
      <c r="F2557" s="7" t="s">
        <v>50</v>
      </c>
      <c r="G2557" s="7" t="s">
        <v>19</v>
      </c>
      <c r="H2557" s="9" t="n">
        <v>46128</v>
      </c>
      <c r="I2557" s="9" t="n">
        <v>46147</v>
      </c>
      <c r="J2557" s="7" t="n">
        <v>9.8</v>
      </c>
      <c r="K2557" s="7" t="s">
        <v>2984</v>
      </c>
      <c r="L2557" s="7" t="s">
        <v>21</v>
      </c>
      <c r="M2557" s="7" t="s">
        <v>3034</v>
      </c>
      <c r="N2557" s="7" t="s">
        <v>58</v>
      </c>
      <c r="O2557" s="10" t="n">
        <f aca="false">'Exec Summary'!$E$2-H2557</f>
        <v>106</v>
      </c>
      <c r="P2557" s="10" t="n">
        <f aca="false">IF(I2557="","",I2557-H2557)</f>
        <v>19</v>
      </c>
      <c r="Q2557" s="10" t="n">
        <f aca="false">VLOOKUP(G2557,$AA$2:$AB$5,2,FALSE())</f>
        <v>15</v>
      </c>
      <c r="R2557" s="7" t="n">
        <f aca="false">IF(OR(F2557="Open",F2557="Reopened"),1,0)</f>
        <v>0</v>
      </c>
      <c r="S2557" s="7" t="n">
        <f aca="false">IF(AND(H2557&gt;='Exec Summary'!$E$1,H2557&lt;='Exec Summary'!$E$2),1,0)</f>
        <v>0</v>
      </c>
      <c r="T2557" s="7" t="n">
        <f aca="false">IF(AND(F2557="Closed",I2557&lt;&gt;"",I2557&gt;='Exec Summary'!$E$1,I2557&lt;='Exec Summary'!$E$2),1,0)</f>
        <v>0</v>
      </c>
      <c r="U2557" s="7" t="n">
        <f aca="false">IF(F2557="Reopened",1,0)</f>
        <v>0</v>
      </c>
      <c r="V2557" s="7" t="n">
        <f aca="false">IF(AND(R2557=1,O2557&gt;Q2557),1,0)</f>
        <v>0</v>
      </c>
      <c r="W2557" s="7" t="n">
        <f aca="false">IF(AND(T2557=1,P2557&lt;&gt;"",P2557&lt;=Q2557),1,0)</f>
        <v>0</v>
      </c>
    </row>
    <row r="2558" customFormat="false" ht="15" hidden="false" customHeight="false" outlineLevel="0" collapsed="false">
      <c r="A2558" s="7" t="s">
        <v>3025</v>
      </c>
      <c r="B2558" s="7" t="s">
        <v>46</v>
      </c>
      <c r="C2558" s="7" t="s">
        <v>47</v>
      </c>
      <c r="D2558" s="7" t="s">
        <v>152</v>
      </c>
      <c r="E2558" s="7" t="s">
        <v>153</v>
      </c>
      <c r="F2558" s="7" t="s">
        <v>50</v>
      </c>
      <c r="G2558" s="7" t="s">
        <v>20</v>
      </c>
      <c r="H2558" s="9" t="n">
        <v>46003</v>
      </c>
      <c r="I2558" s="9" t="n">
        <v>46031</v>
      </c>
      <c r="J2558" s="7" t="n">
        <v>7.5</v>
      </c>
      <c r="K2558" s="7" t="s">
        <v>2984</v>
      </c>
      <c r="L2558" s="7" t="s">
        <v>21</v>
      </c>
      <c r="M2558" s="7" t="s">
        <v>3035</v>
      </c>
      <c r="N2558" s="7" t="s">
        <v>53</v>
      </c>
      <c r="O2558" s="10" t="n">
        <f aca="false">'Exec Summary'!$E$2-H2558</f>
        <v>231</v>
      </c>
      <c r="P2558" s="10" t="n">
        <f aca="false">IF(I2558="","",I2558-H2558)</f>
        <v>28</v>
      </c>
      <c r="Q2558" s="10" t="n">
        <f aca="false">VLOOKUP(G2558,$AA$2:$AB$5,2,FALSE())</f>
        <v>30</v>
      </c>
      <c r="R2558" s="7" t="n">
        <f aca="false">IF(OR(F2558="Open",F2558="Reopened"),1,0)</f>
        <v>0</v>
      </c>
      <c r="S2558" s="7" t="n">
        <f aca="false">IF(AND(H2558&gt;='Exec Summary'!$E$1,H2558&lt;='Exec Summary'!$E$2),1,0)</f>
        <v>0</v>
      </c>
      <c r="T2558" s="7" t="n">
        <f aca="false">IF(AND(F2558="Closed",I2558&lt;&gt;"",I2558&gt;='Exec Summary'!$E$1,I2558&lt;='Exec Summary'!$E$2),1,0)</f>
        <v>0</v>
      </c>
      <c r="U2558" s="7" t="n">
        <f aca="false">IF(F2558="Reopened",1,0)</f>
        <v>0</v>
      </c>
      <c r="V2558" s="7" t="n">
        <f aca="false">IF(AND(R2558=1,O2558&gt;Q2558),1,0)</f>
        <v>0</v>
      </c>
      <c r="W2558" s="7" t="n">
        <f aca="false">IF(AND(T2558=1,P2558&lt;&gt;"",P2558&lt;=Q2558),1,0)</f>
        <v>0</v>
      </c>
    </row>
    <row r="2559" customFormat="false" ht="15" hidden="false" customHeight="false" outlineLevel="0" collapsed="false">
      <c r="A2559" s="7" t="s">
        <v>3036</v>
      </c>
      <c r="B2559" s="7" t="s">
        <v>46</v>
      </c>
      <c r="C2559" s="7" t="s">
        <v>47</v>
      </c>
      <c r="D2559" s="7" t="s">
        <v>81</v>
      </c>
      <c r="E2559" s="7" t="s">
        <v>82</v>
      </c>
      <c r="F2559" s="7" t="s">
        <v>56</v>
      </c>
      <c r="G2559" s="7" t="s">
        <v>20</v>
      </c>
      <c r="H2559" s="9" t="n">
        <v>45941</v>
      </c>
      <c r="I2559" s="9"/>
      <c r="J2559" s="7" t="n">
        <v>7.8</v>
      </c>
      <c r="K2559" s="7" t="s">
        <v>2984</v>
      </c>
      <c r="L2559" s="7" t="s">
        <v>22</v>
      </c>
      <c r="M2559" s="7" t="s">
        <v>3037</v>
      </c>
      <c r="N2559" s="7" t="s">
        <v>53</v>
      </c>
      <c r="O2559" s="10" t="n">
        <f aca="false">'Exec Summary'!$E$2-H2559</f>
        <v>293</v>
      </c>
      <c r="P2559" s="10" t="str">
        <f aca="false">IF(I2559="","",I2559-H2559)</f>
        <v/>
      </c>
      <c r="Q2559" s="10" t="n">
        <f aca="false">VLOOKUP(G2559,$AA$2:$AB$5,2,FALSE())</f>
        <v>30</v>
      </c>
      <c r="R2559" s="7" t="n">
        <f aca="false">IF(OR(F2559="Open",F2559="Reopened"),1,0)</f>
        <v>1</v>
      </c>
      <c r="S2559" s="7" t="n">
        <f aca="false">IF(AND(H2559&gt;='Exec Summary'!$E$1,H2559&lt;='Exec Summary'!$E$2),1,0)</f>
        <v>0</v>
      </c>
      <c r="T2559" s="7" t="n">
        <f aca="false">IF(AND(F2559="Closed",I2559&lt;&gt;"",I2559&gt;='Exec Summary'!$E$1,I2559&lt;='Exec Summary'!$E$2),1,0)</f>
        <v>0</v>
      </c>
      <c r="U2559" s="7" t="n">
        <f aca="false">IF(F2559="Reopened",1,0)</f>
        <v>0</v>
      </c>
      <c r="V2559" s="7" t="n">
        <f aca="false">IF(AND(R2559=1,O2559&gt;Q2559),1,0)</f>
        <v>1</v>
      </c>
      <c r="W2559" s="7" t="n">
        <f aca="false">IF(AND(T2559=1,P2559&lt;&gt;"",P2559&lt;=Q2559),1,0)</f>
        <v>0</v>
      </c>
    </row>
    <row r="2560" customFormat="false" ht="15" hidden="false" customHeight="false" outlineLevel="0" collapsed="false">
      <c r="A2560" s="7" t="s">
        <v>3036</v>
      </c>
      <c r="B2560" s="7" t="s">
        <v>46</v>
      </c>
      <c r="C2560" s="7" t="s">
        <v>47</v>
      </c>
      <c r="D2560" s="7" t="s">
        <v>91</v>
      </c>
      <c r="E2560" s="7" t="s">
        <v>92</v>
      </c>
      <c r="F2560" s="7" t="s">
        <v>50</v>
      </c>
      <c r="G2560" s="7" t="s">
        <v>20</v>
      </c>
      <c r="H2560" s="9" t="n">
        <v>46095</v>
      </c>
      <c r="I2560" s="9" t="n">
        <v>46102</v>
      </c>
      <c r="J2560" s="7" t="n">
        <v>8.1</v>
      </c>
      <c r="K2560" s="7" t="s">
        <v>2984</v>
      </c>
      <c r="L2560" s="7" t="s">
        <v>22</v>
      </c>
      <c r="M2560" s="7" t="s">
        <v>3038</v>
      </c>
      <c r="N2560" s="7" t="s">
        <v>53</v>
      </c>
      <c r="O2560" s="10" t="n">
        <f aca="false">'Exec Summary'!$E$2-H2560</f>
        <v>139</v>
      </c>
      <c r="P2560" s="10" t="n">
        <f aca="false">IF(I2560="","",I2560-H2560)</f>
        <v>7</v>
      </c>
      <c r="Q2560" s="10" t="n">
        <f aca="false">VLOOKUP(G2560,$AA$2:$AB$5,2,FALSE())</f>
        <v>30</v>
      </c>
      <c r="R2560" s="7" t="n">
        <f aca="false">IF(OR(F2560="Open",F2560="Reopened"),1,0)</f>
        <v>0</v>
      </c>
      <c r="S2560" s="7" t="n">
        <f aca="false">IF(AND(H2560&gt;='Exec Summary'!$E$1,H2560&lt;='Exec Summary'!$E$2),1,0)</f>
        <v>0</v>
      </c>
      <c r="T2560" s="7" t="n">
        <f aca="false">IF(AND(F2560="Closed",I2560&lt;&gt;"",I2560&gt;='Exec Summary'!$E$1,I2560&lt;='Exec Summary'!$E$2),1,0)</f>
        <v>0</v>
      </c>
      <c r="U2560" s="7" t="n">
        <f aca="false">IF(F2560="Reopened",1,0)</f>
        <v>0</v>
      </c>
      <c r="V2560" s="7" t="n">
        <f aca="false">IF(AND(R2560=1,O2560&gt;Q2560),1,0)</f>
        <v>0</v>
      </c>
      <c r="W2560" s="7" t="n">
        <f aca="false">IF(AND(T2560=1,P2560&lt;&gt;"",P2560&lt;=Q2560),1,0)</f>
        <v>0</v>
      </c>
    </row>
    <row r="2561" customFormat="false" ht="15" hidden="false" customHeight="false" outlineLevel="0" collapsed="false">
      <c r="A2561" s="7" t="s">
        <v>3036</v>
      </c>
      <c r="B2561" s="7" t="s">
        <v>46</v>
      </c>
      <c r="C2561" s="7" t="s">
        <v>47</v>
      </c>
      <c r="D2561" s="7" t="s">
        <v>65</v>
      </c>
      <c r="E2561" s="7" t="s">
        <v>66</v>
      </c>
      <c r="F2561" s="7" t="s">
        <v>56</v>
      </c>
      <c r="G2561" s="7" t="s">
        <v>19</v>
      </c>
      <c r="H2561" s="9" t="n">
        <v>46164</v>
      </c>
      <c r="I2561" s="9"/>
      <c r="J2561" s="7" t="n">
        <v>9.8</v>
      </c>
      <c r="K2561" s="7" t="s">
        <v>2984</v>
      </c>
      <c r="L2561" s="7" t="s">
        <v>22</v>
      </c>
      <c r="M2561" s="7" t="s">
        <v>3039</v>
      </c>
      <c r="N2561" s="7" t="s">
        <v>58</v>
      </c>
      <c r="O2561" s="10" t="n">
        <f aca="false">'Exec Summary'!$E$2-H2561</f>
        <v>70</v>
      </c>
      <c r="P2561" s="10" t="str">
        <f aca="false">IF(I2561="","",I2561-H2561)</f>
        <v/>
      </c>
      <c r="Q2561" s="10" t="n">
        <f aca="false">VLOOKUP(G2561,$AA$2:$AB$5,2,FALSE())</f>
        <v>15</v>
      </c>
      <c r="R2561" s="7" t="n">
        <f aca="false">IF(OR(F2561="Open",F2561="Reopened"),1,0)</f>
        <v>1</v>
      </c>
      <c r="S2561" s="7" t="n">
        <f aca="false">IF(AND(H2561&gt;='Exec Summary'!$E$1,H2561&lt;='Exec Summary'!$E$2),1,0)</f>
        <v>0</v>
      </c>
      <c r="T2561" s="7" t="n">
        <f aca="false">IF(AND(F2561="Closed",I2561&lt;&gt;"",I2561&gt;='Exec Summary'!$E$1,I2561&lt;='Exec Summary'!$E$2),1,0)</f>
        <v>0</v>
      </c>
      <c r="U2561" s="7" t="n">
        <f aca="false">IF(F2561="Reopened",1,0)</f>
        <v>0</v>
      </c>
      <c r="V2561" s="7" t="n">
        <f aca="false">IF(AND(R2561=1,O2561&gt;Q2561),1,0)</f>
        <v>1</v>
      </c>
      <c r="W2561" s="7" t="n">
        <f aca="false">IF(AND(T2561=1,P2561&lt;&gt;"",P2561&lt;=Q2561),1,0)</f>
        <v>0</v>
      </c>
    </row>
    <row r="2562" customFormat="false" ht="15" hidden="false" customHeight="false" outlineLevel="0" collapsed="false">
      <c r="A2562" s="7" t="s">
        <v>3036</v>
      </c>
      <c r="B2562" s="7" t="s">
        <v>46</v>
      </c>
      <c r="C2562" s="7" t="s">
        <v>47</v>
      </c>
      <c r="D2562" s="7" t="s">
        <v>62</v>
      </c>
      <c r="E2562" s="7" t="s">
        <v>63</v>
      </c>
      <c r="F2562" s="7" t="s">
        <v>56</v>
      </c>
      <c r="G2562" s="7" t="s">
        <v>20</v>
      </c>
      <c r="H2562" s="9" t="n">
        <v>46097</v>
      </c>
      <c r="I2562" s="9"/>
      <c r="J2562" s="7" t="n">
        <v>8.1</v>
      </c>
      <c r="K2562" s="7" t="s">
        <v>2984</v>
      </c>
      <c r="L2562" s="7" t="s">
        <v>22</v>
      </c>
      <c r="M2562" s="7" t="s">
        <v>3040</v>
      </c>
      <c r="N2562" s="7" t="s">
        <v>53</v>
      </c>
      <c r="O2562" s="10" t="n">
        <f aca="false">'Exec Summary'!$E$2-H2562</f>
        <v>137</v>
      </c>
      <c r="P2562" s="10" t="str">
        <f aca="false">IF(I2562="","",I2562-H2562)</f>
        <v/>
      </c>
      <c r="Q2562" s="10" t="n">
        <f aca="false">VLOOKUP(G2562,$AA$2:$AB$5,2,FALSE())</f>
        <v>30</v>
      </c>
      <c r="R2562" s="7" t="n">
        <f aca="false">IF(OR(F2562="Open",F2562="Reopened"),1,0)</f>
        <v>1</v>
      </c>
      <c r="S2562" s="7" t="n">
        <f aca="false">IF(AND(H2562&gt;='Exec Summary'!$E$1,H2562&lt;='Exec Summary'!$E$2),1,0)</f>
        <v>0</v>
      </c>
      <c r="T2562" s="7" t="n">
        <f aca="false">IF(AND(F2562="Closed",I2562&lt;&gt;"",I2562&gt;='Exec Summary'!$E$1,I2562&lt;='Exec Summary'!$E$2),1,0)</f>
        <v>0</v>
      </c>
      <c r="U2562" s="7" t="n">
        <f aca="false">IF(F2562="Reopened",1,0)</f>
        <v>0</v>
      </c>
      <c r="V2562" s="7" t="n">
        <f aca="false">IF(AND(R2562=1,O2562&gt;Q2562),1,0)</f>
        <v>1</v>
      </c>
      <c r="W2562" s="7" t="n">
        <f aca="false">IF(AND(T2562=1,P2562&lt;&gt;"",P2562&lt;=Q2562),1,0)</f>
        <v>0</v>
      </c>
    </row>
    <row r="2563" customFormat="false" ht="15" hidden="false" customHeight="false" outlineLevel="0" collapsed="false">
      <c r="A2563" s="7" t="s">
        <v>3036</v>
      </c>
      <c r="B2563" s="7" t="s">
        <v>46</v>
      </c>
      <c r="C2563" s="7" t="s">
        <v>47</v>
      </c>
      <c r="D2563" s="7" t="s">
        <v>59</v>
      </c>
      <c r="E2563" s="7" t="s">
        <v>60</v>
      </c>
      <c r="F2563" s="7" t="s">
        <v>56</v>
      </c>
      <c r="G2563" s="7" t="s">
        <v>19</v>
      </c>
      <c r="H2563" s="9" t="n">
        <v>46193</v>
      </c>
      <c r="I2563" s="9"/>
      <c r="J2563" s="7" t="n">
        <v>7.8</v>
      </c>
      <c r="K2563" s="7" t="s">
        <v>2984</v>
      </c>
      <c r="L2563" s="7" t="s">
        <v>22</v>
      </c>
      <c r="M2563" s="7" t="s">
        <v>3041</v>
      </c>
      <c r="N2563" s="7" t="s">
        <v>58</v>
      </c>
      <c r="O2563" s="10" t="n">
        <f aca="false">'Exec Summary'!$E$2-H2563</f>
        <v>41</v>
      </c>
      <c r="P2563" s="10" t="str">
        <f aca="false">IF(I2563="","",I2563-H2563)</f>
        <v/>
      </c>
      <c r="Q2563" s="10" t="n">
        <f aca="false">VLOOKUP(G2563,$AA$2:$AB$5,2,FALSE())</f>
        <v>15</v>
      </c>
      <c r="R2563" s="7" t="n">
        <f aca="false">IF(OR(F2563="Open",F2563="Reopened"),1,0)</f>
        <v>1</v>
      </c>
      <c r="S2563" s="7" t="n">
        <f aca="false">IF(AND(H2563&gt;='Exec Summary'!$E$1,H2563&lt;='Exec Summary'!$E$2),1,0)</f>
        <v>0</v>
      </c>
      <c r="T2563" s="7" t="n">
        <f aca="false">IF(AND(F2563="Closed",I2563&lt;&gt;"",I2563&gt;='Exec Summary'!$E$1,I2563&lt;='Exec Summary'!$E$2),1,0)</f>
        <v>0</v>
      </c>
      <c r="U2563" s="7" t="n">
        <f aca="false">IF(F2563="Reopened",1,0)</f>
        <v>0</v>
      </c>
      <c r="V2563" s="7" t="n">
        <f aca="false">IF(AND(R2563=1,O2563&gt;Q2563),1,0)</f>
        <v>1</v>
      </c>
      <c r="W2563" s="7" t="n">
        <f aca="false">IF(AND(T2563=1,P2563&lt;&gt;"",P2563&lt;=Q2563),1,0)</f>
        <v>0</v>
      </c>
    </row>
    <row r="2564" customFormat="false" ht="15" hidden="false" customHeight="false" outlineLevel="0" collapsed="false">
      <c r="A2564" s="7" t="s">
        <v>3036</v>
      </c>
      <c r="B2564" s="7" t="s">
        <v>46</v>
      </c>
      <c r="C2564" s="7" t="s">
        <v>47</v>
      </c>
      <c r="D2564" s="7" t="s">
        <v>139</v>
      </c>
      <c r="E2564" s="7" t="s">
        <v>140</v>
      </c>
      <c r="F2564" s="7" t="s">
        <v>50</v>
      </c>
      <c r="G2564" s="7" t="s">
        <v>19</v>
      </c>
      <c r="H2564" s="9" t="n">
        <v>46151</v>
      </c>
      <c r="I2564" s="9" t="n">
        <v>46170</v>
      </c>
      <c r="J2564" s="7" t="n">
        <v>9.8</v>
      </c>
      <c r="K2564" s="7" t="s">
        <v>2984</v>
      </c>
      <c r="L2564" s="7" t="s">
        <v>22</v>
      </c>
      <c r="M2564" s="7" t="s">
        <v>3042</v>
      </c>
      <c r="N2564" s="7" t="s">
        <v>58</v>
      </c>
      <c r="O2564" s="10" t="n">
        <f aca="false">'Exec Summary'!$E$2-H2564</f>
        <v>83</v>
      </c>
      <c r="P2564" s="10" t="n">
        <f aca="false">IF(I2564="","",I2564-H2564)</f>
        <v>19</v>
      </c>
      <c r="Q2564" s="10" t="n">
        <f aca="false">VLOOKUP(G2564,$AA$2:$AB$5,2,FALSE())</f>
        <v>15</v>
      </c>
      <c r="R2564" s="7" t="n">
        <f aca="false">IF(OR(F2564="Open",F2564="Reopened"),1,0)</f>
        <v>0</v>
      </c>
      <c r="S2564" s="7" t="n">
        <f aca="false">IF(AND(H2564&gt;='Exec Summary'!$E$1,H2564&lt;='Exec Summary'!$E$2),1,0)</f>
        <v>0</v>
      </c>
      <c r="T2564" s="7" t="n">
        <f aca="false">IF(AND(F2564="Closed",I2564&lt;&gt;"",I2564&gt;='Exec Summary'!$E$1,I2564&lt;='Exec Summary'!$E$2),1,0)</f>
        <v>0</v>
      </c>
      <c r="U2564" s="7" t="n">
        <f aca="false">IF(F2564="Reopened",1,0)</f>
        <v>0</v>
      </c>
      <c r="V2564" s="7" t="n">
        <f aca="false">IF(AND(R2564=1,O2564&gt;Q2564),1,0)</f>
        <v>0</v>
      </c>
      <c r="W2564" s="7" t="n">
        <f aca="false">IF(AND(T2564=1,P2564&lt;&gt;"",P2564&lt;=Q2564),1,0)</f>
        <v>0</v>
      </c>
    </row>
    <row r="2565" customFormat="false" ht="15" hidden="false" customHeight="false" outlineLevel="0" collapsed="false">
      <c r="A2565" s="7" t="s">
        <v>3036</v>
      </c>
      <c r="B2565" s="7" t="s">
        <v>46</v>
      </c>
      <c r="C2565" s="7" t="s">
        <v>47</v>
      </c>
      <c r="D2565" s="7" t="s">
        <v>120</v>
      </c>
      <c r="E2565" s="7" t="s">
        <v>121</v>
      </c>
      <c r="F2565" s="7" t="s">
        <v>56</v>
      </c>
      <c r="G2565" s="7" t="s">
        <v>19</v>
      </c>
      <c r="H2565" s="9" t="n">
        <v>46066</v>
      </c>
      <c r="I2565" s="9"/>
      <c r="J2565" s="7" t="n">
        <v>8.8</v>
      </c>
      <c r="K2565" s="7" t="s">
        <v>2984</v>
      </c>
      <c r="L2565" s="7" t="s">
        <v>22</v>
      </c>
      <c r="M2565" s="7" t="s">
        <v>3043</v>
      </c>
      <c r="N2565" s="7" t="s">
        <v>58</v>
      </c>
      <c r="O2565" s="10" t="n">
        <f aca="false">'Exec Summary'!$E$2-H2565</f>
        <v>168</v>
      </c>
      <c r="P2565" s="10" t="str">
        <f aca="false">IF(I2565="","",I2565-H2565)</f>
        <v/>
      </c>
      <c r="Q2565" s="10" t="n">
        <f aca="false">VLOOKUP(G2565,$AA$2:$AB$5,2,FALSE())</f>
        <v>15</v>
      </c>
      <c r="R2565" s="7" t="n">
        <f aca="false">IF(OR(F2565="Open",F2565="Reopened"),1,0)</f>
        <v>1</v>
      </c>
      <c r="S2565" s="7" t="n">
        <f aca="false">IF(AND(H2565&gt;='Exec Summary'!$E$1,H2565&lt;='Exec Summary'!$E$2),1,0)</f>
        <v>0</v>
      </c>
      <c r="T2565" s="7" t="n">
        <f aca="false">IF(AND(F2565="Closed",I2565&lt;&gt;"",I2565&gt;='Exec Summary'!$E$1,I2565&lt;='Exec Summary'!$E$2),1,0)</f>
        <v>0</v>
      </c>
      <c r="U2565" s="7" t="n">
        <f aca="false">IF(F2565="Reopened",1,0)</f>
        <v>0</v>
      </c>
      <c r="V2565" s="7" t="n">
        <f aca="false">IF(AND(R2565=1,O2565&gt;Q2565),1,0)</f>
        <v>1</v>
      </c>
      <c r="W2565" s="7" t="n">
        <f aca="false">IF(AND(T2565=1,P2565&lt;&gt;"",P2565&lt;=Q2565),1,0)</f>
        <v>0</v>
      </c>
    </row>
    <row r="2566" customFormat="false" ht="15" hidden="false" customHeight="false" outlineLevel="0" collapsed="false">
      <c r="A2566" s="7" t="s">
        <v>3036</v>
      </c>
      <c r="B2566" s="7" t="s">
        <v>46</v>
      </c>
      <c r="C2566" s="7" t="s">
        <v>47</v>
      </c>
      <c r="D2566" s="7" t="s">
        <v>192</v>
      </c>
      <c r="E2566" s="7" t="s">
        <v>193</v>
      </c>
      <c r="F2566" s="7" t="s">
        <v>56</v>
      </c>
      <c r="G2566" s="7" t="s">
        <v>19</v>
      </c>
      <c r="H2566" s="9" t="n">
        <v>46000</v>
      </c>
      <c r="I2566" s="9"/>
      <c r="J2566" s="7" t="n">
        <v>9.8</v>
      </c>
      <c r="K2566" s="7" t="s">
        <v>2984</v>
      </c>
      <c r="L2566" s="7" t="s">
        <v>22</v>
      </c>
      <c r="M2566" s="7" t="s">
        <v>3044</v>
      </c>
      <c r="N2566" s="7" t="s">
        <v>58</v>
      </c>
      <c r="O2566" s="10" t="n">
        <f aca="false">'Exec Summary'!$E$2-H2566</f>
        <v>234</v>
      </c>
      <c r="P2566" s="10" t="str">
        <f aca="false">IF(I2566="","",I2566-H2566)</f>
        <v/>
      </c>
      <c r="Q2566" s="10" t="n">
        <f aca="false">VLOOKUP(G2566,$AA$2:$AB$5,2,FALSE())</f>
        <v>15</v>
      </c>
      <c r="R2566" s="7" t="n">
        <f aca="false">IF(OR(F2566="Open",F2566="Reopened"),1,0)</f>
        <v>1</v>
      </c>
      <c r="S2566" s="7" t="n">
        <f aca="false">IF(AND(H2566&gt;='Exec Summary'!$E$1,H2566&lt;='Exec Summary'!$E$2),1,0)</f>
        <v>0</v>
      </c>
      <c r="T2566" s="7" t="n">
        <f aca="false">IF(AND(F2566="Closed",I2566&lt;&gt;"",I2566&gt;='Exec Summary'!$E$1,I2566&lt;='Exec Summary'!$E$2),1,0)</f>
        <v>0</v>
      </c>
      <c r="U2566" s="7" t="n">
        <f aca="false">IF(F2566="Reopened",1,0)</f>
        <v>0</v>
      </c>
      <c r="V2566" s="7" t="n">
        <f aca="false">IF(AND(R2566=1,O2566&gt;Q2566),1,0)</f>
        <v>1</v>
      </c>
      <c r="W2566" s="7" t="n">
        <f aca="false">IF(AND(T2566=1,P2566&lt;&gt;"",P2566&lt;=Q2566),1,0)</f>
        <v>0</v>
      </c>
    </row>
    <row r="2567" customFormat="false" ht="15" hidden="false" customHeight="false" outlineLevel="0" collapsed="false">
      <c r="A2567" s="7" t="s">
        <v>3036</v>
      </c>
      <c r="B2567" s="7" t="s">
        <v>46</v>
      </c>
      <c r="C2567" s="7" t="s">
        <v>47</v>
      </c>
      <c r="D2567" s="7" t="s">
        <v>163</v>
      </c>
      <c r="E2567" s="7" t="s">
        <v>164</v>
      </c>
      <c r="F2567" s="7" t="s">
        <v>50</v>
      </c>
      <c r="G2567" s="7" t="s">
        <v>19</v>
      </c>
      <c r="H2567" s="9" t="n">
        <v>46148</v>
      </c>
      <c r="I2567" s="9" t="n">
        <v>46158</v>
      </c>
      <c r="J2567" s="7" t="n">
        <v>9.1</v>
      </c>
      <c r="K2567" s="7" t="s">
        <v>2984</v>
      </c>
      <c r="L2567" s="7" t="s">
        <v>22</v>
      </c>
      <c r="M2567" s="7" t="s">
        <v>3045</v>
      </c>
      <c r="N2567" s="7" t="s">
        <v>58</v>
      </c>
      <c r="O2567" s="10" t="n">
        <f aca="false">'Exec Summary'!$E$2-H2567</f>
        <v>86</v>
      </c>
      <c r="P2567" s="10" t="n">
        <f aca="false">IF(I2567="","",I2567-H2567)</f>
        <v>10</v>
      </c>
      <c r="Q2567" s="10" t="n">
        <f aca="false">VLOOKUP(G2567,$AA$2:$AB$5,2,FALSE())</f>
        <v>15</v>
      </c>
      <c r="R2567" s="7" t="n">
        <f aca="false">IF(OR(F2567="Open",F2567="Reopened"),1,0)</f>
        <v>0</v>
      </c>
      <c r="S2567" s="7" t="n">
        <f aca="false">IF(AND(H2567&gt;='Exec Summary'!$E$1,H2567&lt;='Exec Summary'!$E$2),1,0)</f>
        <v>0</v>
      </c>
      <c r="T2567" s="7" t="n">
        <f aca="false">IF(AND(F2567="Closed",I2567&lt;&gt;"",I2567&gt;='Exec Summary'!$E$1,I2567&lt;='Exec Summary'!$E$2),1,0)</f>
        <v>0</v>
      </c>
      <c r="U2567" s="7" t="n">
        <f aca="false">IF(F2567="Reopened",1,0)</f>
        <v>0</v>
      </c>
      <c r="V2567" s="7" t="n">
        <f aca="false">IF(AND(R2567=1,O2567&gt;Q2567),1,0)</f>
        <v>0</v>
      </c>
      <c r="W2567" s="7" t="n">
        <f aca="false">IF(AND(T2567=1,P2567&lt;&gt;"",P2567&lt;=Q2567),1,0)</f>
        <v>0</v>
      </c>
    </row>
    <row r="2568" customFormat="false" ht="15" hidden="false" customHeight="false" outlineLevel="0" collapsed="false">
      <c r="A2568" s="7" t="s">
        <v>3036</v>
      </c>
      <c r="B2568" s="7" t="s">
        <v>46</v>
      </c>
      <c r="C2568" s="7" t="s">
        <v>47</v>
      </c>
      <c r="D2568" s="7" t="s">
        <v>206</v>
      </c>
      <c r="E2568" s="7" t="s">
        <v>207</v>
      </c>
      <c r="F2568" s="7" t="s">
        <v>56</v>
      </c>
      <c r="G2568" s="7" t="s">
        <v>20</v>
      </c>
      <c r="H2568" s="9" t="n">
        <v>46051</v>
      </c>
      <c r="I2568" s="9"/>
      <c r="J2568" s="7" t="n">
        <v>8.8</v>
      </c>
      <c r="K2568" s="7" t="s">
        <v>2984</v>
      </c>
      <c r="L2568" s="7" t="s">
        <v>22</v>
      </c>
      <c r="M2568" s="7" t="s">
        <v>3046</v>
      </c>
      <c r="N2568" s="7" t="s">
        <v>53</v>
      </c>
      <c r="O2568" s="10" t="n">
        <f aca="false">'Exec Summary'!$E$2-H2568</f>
        <v>183</v>
      </c>
      <c r="P2568" s="10" t="str">
        <f aca="false">IF(I2568="","",I2568-H2568)</f>
        <v/>
      </c>
      <c r="Q2568" s="10" t="n">
        <f aca="false">VLOOKUP(G2568,$AA$2:$AB$5,2,FALSE())</f>
        <v>30</v>
      </c>
      <c r="R2568" s="7" t="n">
        <f aca="false">IF(OR(F2568="Open",F2568="Reopened"),1,0)</f>
        <v>1</v>
      </c>
      <c r="S2568" s="7" t="n">
        <f aca="false">IF(AND(H2568&gt;='Exec Summary'!$E$1,H2568&lt;='Exec Summary'!$E$2),1,0)</f>
        <v>0</v>
      </c>
      <c r="T2568" s="7" t="n">
        <f aca="false">IF(AND(F2568="Closed",I2568&lt;&gt;"",I2568&gt;='Exec Summary'!$E$1,I2568&lt;='Exec Summary'!$E$2),1,0)</f>
        <v>0</v>
      </c>
      <c r="U2568" s="7" t="n">
        <f aca="false">IF(F2568="Reopened",1,0)</f>
        <v>0</v>
      </c>
      <c r="V2568" s="7" t="n">
        <f aca="false">IF(AND(R2568=1,O2568&gt;Q2568),1,0)</f>
        <v>1</v>
      </c>
      <c r="W2568" s="7" t="n">
        <f aca="false">IF(AND(T2568=1,P2568&lt;&gt;"",P2568&lt;=Q2568),1,0)</f>
        <v>0</v>
      </c>
    </row>
    <row r="2569" customFormat="false" ht="15" hidden="false" customHeight="false" outlineLevel="0" collapsed="false">
      <c r="A2569" s="7" t="s">
        <v>3036</v>
      </c>
      <c r="B2569" s="7" t="s">
        <v>46</v>
      </c>
      <c r="C2569" s="7" t="s">
        <v>47</v>
      </c>
      <c r="D2569" s="7" t="s">
        <v>95</v>
      </c>
      <c r="E2569" s="7" t="s">
        <v>96</v>
      </c>
      <c r="F2569" s="7" t="s">
        <v>50</v>
      </c>
      <c r="G2569" s="7" t="s">
        <v>20</v>
      </c>
      <c r="H2569" s="9" t="n">
        <v>46151</v>
      </c>
      <c r="I2569" s="9" t="n">
        <v>46179</v>
      </c>
      <c r="J2569" s="7" t="n">
        <v>8.8</v>
      </c>
      <c r="K2569" s="7" t="s">
        <v>2984</v>
      </c>
      <c r="L2569" s="7" t="s">
        <v>22</v>
      </c>
      <c r="M2569" s="7" t="s">
        <v>3047</v>
      </c>
      <c r="N2569" s="7" t="s">
        <v>53</v>
      </c>
      <c r="O2569" s="10" t="n">
        <f aca="false">'Exec Summary'!$E$2-H2569</f>
        <v>83</v>
      </c>
      <c r="P2569" s="10" t="n">
        <f aca="false">IF(I2569="","",I2569-H2569)</f>
        <v>28</v>
      </c>
      <c r="Q2569" s="10" t="n">
        <f aca="false">VLOOKUP(G2569,$AA$2:$AB$5,2,FALSE())</f>
        <v>30</v>
      </c>
      <c r="R2569" s="7" t="n">
        <f aca="false">IF(OR(F2569="Open",F2569="Reopened"),1,0)</f>
        <v>0</v>
      </c>
      <c r="S2569" s="7" t="n">
        <f aca="false">IF(AND(H2569&gt;='Exec Summary'!$E$1,H2569&lt;='Exec Summary'!$E$2),1,0)</f>
        <v>0</v>
      </c>
      <c r="T2569" s="7" t="n">
        <f aca="false">IF(AND(F2569="Closed",I2569&lt;&gt;"",I2569&gt;='Exec Summary'!$E$1,I2569&lt;='Exec Summary'!$E$2),1,0)</f>
        <v>0</v>
      </c>
      <c r="U2569" s="7" t="n">
        <f aca="false">IF(F2569="Reopened",1,0)</f>
        <v>0</v>
      </c>
      <c r="V2569" s="7" t="n">
        <f aca="false">IF(AND(R2569=1,O2569&gt;Q2569),1,0)</f>
        <v>0</v>
      </c>
      <c r="W2569" s="7" t="n">
        <f aca="false">IF(AND(T2569=1,P2569&lt;&gt;"",P2569&lt;=Q2569),1,0)</f>
        <v>0</v>
      </c>
    </row>
    <row r="2570" customFormat="false" ht="15" hidden="false" customHeight="false" outlineLevel="0" collapsed="false">
      <c r="A2570" s="7" t="s">
        <v>3036</v>
      </c>
      <c r="B2570" s="7" t="s">
        <v>46</v>
      </c>
      <c r="C2570" s="7" t="s">
        <v>47</v>
      </c>
      <c r="D2570" s="7" t="s">
        <v>48</v>
      </c>
      <c r="E2570" s="7" t="s">
        <v>49</v>
      </c>
      <c r="F2570" s="7" t="s">
        <v>50</v>
      </c>
      <c r="G2570" s="7" t="s">
        <v>20</v>
      </c>
      <c r="H2570" s="9" t="n">
        <v>46011</v>
      </c>
      <c r="I2570" s="9" t="n">
        <v>46057</v>
      </c>
      <c r="J2570" s="7" t="n">
        <v>7.5</v>
      </c>
      <c r="K2570" s="7" t="s">
        <v>2984</v>
      </c>
      <c r="L2570" s="7" t="s">
        <v>22</v>
      </c>
      <c r="M2570" s="7" t="s">
        <v>3048</v>
      </c>
      <c r="N2570" s="7" t="s">
        <v>53</v>
      </c>
      <c r="O2570" s="10" t="n">
        <f aca="false">'Exec Summary'!$E$2-H2570</f>
        <v>223</v>
      </c>
      <c r="P2570" s="10" t="n">
        <f aca="false">IF(I2570="","",I2570-H2570)</f>
        <v>46</v>
      </c>
      <c r="Q2570" s="10" t="n">
        <f aca="false">VLOOKUP(G2570,$AA$2:$AB$5,2,FALSE())</f>
        <v>30</v>
      </c>
      <c r="R2570" s="7" t="n">
        <f aca="false">IF(OR(F2570="Open",F2570="Reopened"),1,0)</f>
        <v>0</v>
      </c>
      <c r="S2570" s="7" t="n">
        <f aca="false">IF(AND(H2570&gt;='Exec Summary'!$E$1,H2570&lt;='Exec Summary'!$E$2),1,0)</f>
        <v>0</v>
      </c>
      <c r="T2570" s="7" t="n">
        <f aca="false">IF(AND(F2570="Closed",I2570&lt;&gt;"",I2570&gt;='Exec Summary'!$E$1,I2570&lt;='Exec Summary'!$E$2),1,0)</f>
        <v>0</v>
      </c>
      <c r="U2570" s="7" t="n">
        <f aca="false">IF(F2570="Reopened",1,0)</f>
        <v>0</v>
      </c>
      <c r="V2570" s="7" t="n">
        <f aca="false">IF(AND(R2570=1,O2570&gt;Q2570),1,0)</f>
        <v>0</v>
      </c>
      <c r="W2570" s="7" t="n">
        <f aca="false">IF(AND(T2570=1,P2570&lt;&gt;"",P2570&lt;=Q2570),1,0)</f>
        <v>0</v>
      </c>
    </row>
    <row r="2571" customFormat="false" ht="15" hidden="false" customHeight="false" outlineLevel="0" collapsed="false">
      <c r="A2571" s="7" t="s">
        <v>3049</v>
      </c>
      <c r="B2571" s="7" t="s">
        <v>46</v>
      </c>
      <c r="C2571" s="7" t="s">
        <v>177</v>
      </c>
      <c r="D2571" s="7" t="s">
        <v>145</v>
      </c>
      <c r="E2571" s="7" t="s">
        <v>146</v>
      </c>
      <c r="F2571" s="7" t="s">
        <v>50</v>
      </c>
      <c r="G2571" s="7" t="s">
        <v>19</v>
      </c>
      <c r="H2571" s="9" t="n">
        <v>45987</v>
      </c>
      <c r="I2571" s="9" t="n">
        <v>45995</v>
      </c>
      <c r="J2571" s="7" t="n">
        <v>9.8</v>
      </c>
      <c r="K2571" s="7" t="s">
        <v>2984</v>
      </c>
      <c r="L2571" s="7" t="s">
        <v>21</v>
      </c>
      <c r="M2571" s="7" t="s">
        <v>3050</v>
      </c>
      <c r="N2571" s="7" t="s">
        <v>58</v>
      </c>
      <c r="O2571" s="10" t="n">
        <f aca="false">'Exec Summary'!$E$2-H2571</f>
        <v>247</v>
      </c>
      <c r="P2571" s="10" t="n">
        <f aca="false">IF(I2571="","",I2571-H2571)</f>
        <v>8</v>
      </c>
      <c r="Q2571" s="10" t="n">
        <f aca="false">VLOOKUP(G2571,$AA$2:$AB$5,2,FALSE())</f>
        <v>15</v>
      </c>
      <c r="R2571" s="7" t="n">
        <f aca="false">IF(OR(F2571="Open",F2571="Reopened"),1,0)</f>
        <v>0</v>
      </c>
      <c r="S2571" s="7" t="n">
        <f aca="false">IF(AND(H2571&gt;='Exec Summary'!$E$1,H2571&lt;='Exec Summary'!$E$2),1,0)</f>
        <v>0</v>
      </c>
      <c r="T2571" s="7" t="n">
        <f aca="false">IF(AND(F2571="Closed",I2571&lt;&gt;"",I2571&gt;='Exec Summary'!$E$1,I2571&lt;='Exec Summary'!$E$2),1,0)</f>
        <v>0</v>
      </c>
      <c r="U2571" s="7" t="n">
        <f aca="false">IF(F2571="Reopened",1,0)</f>
        <v>0</v>
      </c>
      <c r="V2571" s="7" t="n">
        <f aca="false">IF(AND(R2571=1,O2571&gt;Q2571),1,0)</f>
        <v>0</v>
      </c>
      <c r="W2571" s="7" t="n">
        <f aca="false">IF(AND(T2571=1,P2571&lt;&gt;"",P2571&lt;=Q2571),1,0)</f>
        <v>0</v>
      </c>
    </row>
    <row r="2572" customFormat="false" ht="15" hidden="false" customHeight="false" outlineLevel="0" collapsed="false">
      <c r="A2572" s="7" t="s">
        <v>3049</v>
      </c>
      <c r="B2572" s="7" t="s">
        <v>46</v>
      </c>
      <c r="C2572" s="7" t="s">
        <v>177</v>
      </c>
      <c r="D2572" s="7" t="s">
        <v>101</v>
      </c>
      <c r="E2572" s="7" t="s">
        <v>102</v>
      </c>
      <c r="F2572" s="7" t="s">
        <v>50</v>
      </c>
      <c r="G2572" s="7" t="s">
        <v>19</v>
      </c>
      <c r="H2572" s="9" t="n">
        <v>45981</v>
      </c>
      <c r="I2572" s="9" t="n">
        <v>46000</v>
      </c>
      <c r="J2572" s="7" t="n">
        <v>10</v>
      </c>
      <c r="K2572" s="7" t="s">
        <v>2984</v>
      </c>
      <c r="L2572" s="7" t="s">
        <v>21</v>
      </c>
      <c r="M2572" s="7" t="s">
        <v>3051</v>
      </c>
      <c r="N2572" s="7" t="s">
        <v>58</v>
      </c>
      <c r="O2572" s="10" t="n">
        <f aca="false">'Exec Summary'!$E$2-H2572</f>
        <v>253</v>
      </c>
      <c r="P2572" s="10" t="n">
        <f aca="false">IF(I2572="","",I2572-H2572)</f>
        <v>19</v>
      </c>
      <c r="Q2572" s="10" t="n">
        <f aca="false">VLOOKUP(G2572,$AA$2:$AB$5,2,FALSE())</f>
        <v>15</v>
      </c>
      <c r="R2572" s="7" t="n">
        <f aca="false">IF(OR(F2572="Open",F2572="Reopened"),1,0)</f>
        <v>0</v>
      </c>
      <c r="S2572" s="7" t="n">
        <f aca="false">IF(AND(H2572&gt;='Exec Summary'!$E$1,H2572&lt;='Exec Summary'!$E$2),1,0)</f>
        <v>0</v>
      </c>
      <c r="T2572" s="7" t="n">
        <f aca="false">IF(AND(F2572="Closed",I2572&lt;&gt;"",I2572&gt;='Exec Summary'!$E$1,I2572&lt;='Exec Summary'!$E$2),1,0)</f>
        <v>0</v>
      </c>
      <c r="U2572" s="7" t="n">
        <f aca="false">IF(F2572="Reopened",1,0)</f>
        <v>0</v>
      </c>
      <c r="V2572" s="7" t="n">
        <f aca="false">IF(AND(R2572=1,O2572&gt;Q2572),1,0)</f>
        <v>0</v>
      </c>
      <c r="W2572" s="7" t="n">
        <f aca="false">IF(AND(T2572=1,P2572&lt;&gt;"",P2572&lt;=Q2572),1,0)</f>
        <v>0</v>
      </c>
    </row>
    <row r="2573" customFormat="false" ht="15" hidden="false" customHeight="false" outlineLevel="0" collapsed="false">
      <c r="A2573" s="7" t="s">
        <v>3052</v>
      </c>
      <c r="B2573" s="7" t="s">
        <v>135</v>
      </c>
      <c r="C2573" s="7" t="s">
        <v>247</v>
      </c>
      <c r="D2573" s="7" t="s">
        <v>101</v>
      </c>
      <c r="E2573" s="7" t="s">
        <v>102</v>
      </c>
      <c r="F2573" s="7" t="s">
        <v>50</v>
      </c>
      <c r="G2573" s="7" t="s">
        <v>19</v>
      </c>
      <c r="H2573" s="9" t="n">
        <v>46220</v>
      </c>
      <c r="I2573" s="9" t="n">
        <v>46229</v>
      </c>
      <c r="J2573" s="7" t="n">
        <v>10</v>
      </c>
      <c r="K2573" s="7" t="s">
        <v>2984</v>
      </c>
      <c r="L2573" s="7" t="s">
        <v>21</v>
      </c>
      <c r="M2573" s="7" t="s">
        <v>3053</v>
      </c>
      <c r="N2573" s="7" t="s">
        <v>58</v>
      </c>
      <c r="O2573" s="10" t="n">
        <f aca="false">'Exec Summary'!$E$2-H2573</f>
        <v>14</v>
      </c>
      <c r="P2573" s="10" t="n">
        <f aca="false">IF(I2573="","",I2573-H2573)</f>
        <v>9</v>
      </c>
      <c r="Q2573" s="10" t="n">
        <f aca="false">VLOOKUP(G2573,$AA$2:$AB$5,2,FALSE())</f>
        <v>15</v>
      </c>
      <c r="R2573" s="7" t="n">
        <f aca="false">IF(OR(F2573="Open",F2573="Reopened"),1,0)</f>
        <v>0</v>
      </c>
      <c r="S2573" s="7" t="n">
        <f aca="false">IF(AND(H2573&gt;='Exec Summary'!$E$1,H2573&lt;='Exec Summary'!$E$2),1,0)</f>
        <v>1</v>
      </c>
      <c r="T2573" s="7" t="n">
        <f aca="false">IF(AND(F2573="Closed",I2573&lt;&gt;"",I2573&gt;='Exec Summary'!$E$1,I2573&lt;='Exec Summary'!$E$2),1,0)</f>
        <v>1</v>
      </c>
      <c r="U2573" s="7" t="n">
        <f aca="false">IF(F2573="Reopened",1,0)</f>
        <v>0</v>
      </c>
      <c r="V2573" s="7" t="n">
        <f aca="false">IF(AND(R2573=1,O2573&gt;Q2573),1,0)</f>
        <v>0</v>
      </c>
      <c r="W2573" s="7" t="n">
        <f aca="false">IF(AND(T2573=1,P2573&lt;&gt;"",P2573&lt;=Q2573),1,0)</f>
        <v>1</v>
      </c>
    </row>
    <row r="2574" customFormat="false" ht="15" hidden="false" customHeight="false" outlineLevel="0" collapsed="false">
      <c r="A2574" s="7" t="s">
        <v>3052</v>
      </c>
      <c r="B2574" s="7" t="s">
        <v>135</v>
      </c>
      <c r="C2574" s="7" t="s">
        <v>247</v>
      </c>
      <c r="D2574" s="7" t="s">
        <v>131</v>
      </c>
      <c r="E2574" s="7" t="s">
        <v>132</v>
      </c>
      <c r="F2574" s="7" t="s">
        <v>50</v>
      </c>
      <c r="G2574" s="7" t="s">
        <v>19</v>
      </c>
      <c r="H2574" s="9" t="n">
        <v>46117</v>
      </c>
      <c r="I2574" s="9" t="n">
        <v>46128</v>
      </c>
      <c r="J2574" s="7" t="n">
        <v>9.8</v>
      </c>
      <c r="K2574" s="7" t="s">
        <v>2984</v>
      </c>
      <c r="L2574" s="7" t="s">
        <v>21</v>
      </c>
      <c r="M2574" s="7" t="s">
        <v>3054</v>
      </c>
      <c r="N2574" s="7" t="s">
        <v>58</v>
      </c>
      <c r="O2574" s="10" t="n">
        <f aca="false">'Exec Summary'!$E$2-H2574</f>
        <v>117</v>
      </c>
      <c r="P2574" s="10" t="n">
        <f aca="false">IF(I2574="","",I2574-H2574)</f>
        <v>11</v>
      </c>
      <c r="Q2574" s="10" t="n">
        <f aca="false">VLOOKUP(G2574,$AA$2:$AB$5,2,FALSE())</f>
        <v>15</v>
      </c>
      <c r="R2574" s="7" t="n">
        <f aca="false">IF(OR(F2574="Open",F2574="Reopened"),1,0)</f>
        <v>0</v>
      </c>
      <c r="S2574" s="7" t="n">
        <f aca="false">IF(AND(H2574&gt;='Exec Summary'!$E$1,H2574&lt;='Exec Summary'!$E$2),1,0)</f>
        <v>0</v>
      </c>
      <c r="T2574" s="7" t="n">
        <f aca="false">IF(AND(F2574="Closed",I2574&lt;&gt;"",I2574&gt;='Exec Summary'!$E$1,I2574&lt;='Exec Summary'!$E$2),1,0)</f>
        <v>0</v>
      </c>
      <c r="U2574" s="7" t="n">
        <f aca="false">IF(F2574="Reopened",1,0)</f>
        <v>0</v>
      </c>
      <c r="V2574" s="7" t="n">
        <f aca="false">IF(AND(R2574=1,O2574&gt;Q2574),1,0)</f>
        <v>0</v>
      </c>
      <c r="W2574" s="7" t="n">
        <f aca="false">IF(AND(T2574=1,P2574&lt;&gt;"",P2574&lt;=Q2574),1,0)</f>
        <v>0</v>
      </c>
    </row>
    <row r="2575" customFormat="false" ht="15" hidden="false" customHeight="false" outlineLevel="0" collapsed="false">
      <c r="A2575" s="7" t="s">
        <v>3052</v>
      </c>
      <c r="B2575" s="7" t="s">
        <v>135</v>
      </c>
      <c r="C2575" s="7" t="s">
        <v>247</v>
      </c>
      <c r="D2575" s="7" t="s">
        <v>139</v>
      </c>
      <c r="E2575" s="7" t="s">
        <v>140</v>
      </c>
      <c r="F2575" s="7" t="s">
        <v>56</v>
      </c>
      <c r="G2575" s="7" t="s">
        <v>19</v>
      </c>
      <c r="H2575" s="9" t="n">
        <v>46003</v>
      </c>
      <c r="I2575" s="9"/>
      <c r="J2575" s="7" t="n">
        <v>9.8</v>
      </c>
      <c r="K2575" s="7" t="s">
        <v>2984</v>
      </c>
      <c r="L2575" s="7" t="s">
        <v>21</v>
      </c>
      <c r="M2575" s="7" t="s">
        <v>3055</v>
      </c>
      <c r="N2575" s="7" t="s">
        <v>58</v>
      </c>
      <c r="O2575" s="10" t="n">
        <f aca="false">'Exec Summary'!$E$2-H2575</f>
        <v>231</v>
      </c>
      <c r="P2575" s="10" t="str">
        <f aca="false">IF(I2575="","",I2575-H2575)</f>
        <v/>
      </c>
      <c r="Q2575" s="10" t="n">
        <f aca="false">VLOOKUP(G2575,$AA$2:$AB$5,2,FALSE())</f>
        <v>15</v>
      </c>
      <c r="R2575" s="7" t="n">
        <f aca="false">IF(OR(F2575="Open",F2575="Reopened"),1,0)</f>
        <v>1</v>
      </c>
      <c r="S2575" s="7" t="n">
        <f aca="false">IF(AND(H2575&gt;='Exec Summary'!$E$1,H2575&lt;='Exec Summary'!$E$2),1,0)</f>
        <v>0</v>
      </c>
      <c r="T2575" s="7" t="n">
        <f aca="false">IF(AND(F2575="Closed",I2575&lt;&gt;"",I2575&gt;='Exec Summary'!$E$1,I2575&lt;='Exec Summary'!$E$2),1,0)</f>
        <v>0</v>
      </c>
      <c r="U2575" s="7" t="n">
        <f aca="false">IF(F2575="Reopened",1,0)</f>
        <v>0</v>
      </c>
      <c r="V2575" s="7" t="n">
        <f aca="false">IF(AND(R2575=1,O2575&gt;Q2575),1,0)</f>
        <v>1</v>
      </c>
      <c r="W2575" s="7" t="n">
        <f aca="false">IF(AND(T2575=1,P2575&lt;&gt;"",P2575&lt;=Q2575),1,0)</f>
        <v>0</v>
      </c>
    </row>
    <row r="2576" customFormat="false" ht="15" hidden="false" customHeight="false" outlineLevel="0" collapsed="false">
      <c r="A2576" s="7" t="s">
        <v>3052</v>
      </c>
      <c r="B2576" s="7" t="s">
        <v>135</v>
      </c>
      <c r="C2576" s="7" t="s">
        <v>247</v>
      </c>
      <c r="D2576" s="7" t="s">
        <v>71</v>
      </c>
      <c r="E2576" s="7" t="s">
        <v>72</v>
      </c>
      <c r="F2576" s="7" t="s">
        <v>56</v>
      </c>
      <c r="G2576" s="7" t="s">
        <v>19</v>
      </c>
      <c r="H2576" s="9" t="n">
        <v>46068</v>
      </c>
      <c r="I2576" s="9"/>
      <c r="J2576" s="7" t="n">
        <v>9.8</v>
      </c>
      <c r="K2576" s="7" t="s">
        <v>2984</v>
      </c>
      <c r="L2576" s="7" t="s">
        <v>21</v>
      </c>
      <c r="M2576" s="7" t="s">
        <v>3056</v>
      </c>
      <c r="N2576" s="7" t="s">
        <v>58</v>
      </c>
      <c r="O2576" s="10" t="n">
        <f aca="false">'Exec Summary'!$E$2-H2576</f>
        <v>166</v>
      </c>
      <c r="P2576" s="10" t="str">
        <f aca="false">IF(I2576="","",I2576-H2576)</f>
        <v/>
      </c>
      <c r="Q2576" s="10" t="n">
        <f aca="false">VLOOKUP(G2576,$AA$2:$AB$5,2,FALSE())</f>
        <v>15</v>
      </c>
      <c r="R2576" s="7" t="n">
        <f aca="false">IF(OR(F2576="Open",F2576="Reopened"),1,0)</f>
        <v>1</v>
      </c>
      <c r="S2576" s="7" t="n">
        <f aca="false">IF(AND(H2576&gt;='Exec Summary'!$E$1,H2576&lt;='Exec Summary'!$E$2),1,0)</f>
        <v>0</v>
      </c>
      <c r="T2576" s="7" t="n">
        <f aca="false">IF(AND(F2576="Closed",I2576&lt;&gt;"",I2576&gt;='Exec Summary'!$E$1,I2576&lt;='Exec Summary'!$E$2),1,0)</f>
        <v>0</v>
      </c>
      <c r="U2576" s="7" t="n">
        <f aca="false">IF(F2576="Reopened",1,0)</f>
        <v>0</v>
      </c>
      <c r="V2576" s="7" t="n">
        <f aca="false">IF(AND(R2576=1,O2576&gt;Q2576),1,0)</f>
        <v>1</v>
      </c>
      <c r="W2576" s="7" t="n">
        <f aca="false">IF(AND(T2576=1,P2576&lt;&gt;"",P2576&lt;=Q2576),1,0)</f>
        <v>0</v>
      </c>
    </row>
    <row r="2577" customFormat="false" ht="15" hidden="false" customHeight="false" outlineLevel="0" collapsed="false">
      <c r="A2577" s="7" t="s">
        <v>3052</v>
      </c>
      <c r="B2577" s="7" t="s">
        <v>135</v>
      </c>
      <c r="C2577" s="7" t="s">
        <v>247</v>
      </c>
      <c r="D2577" s="7" t="s">
        <v>108</v>
      </c>
      <c r="E2577" s="7" t="s">
        <v>109</v>
      </c>
      <c r="F2577" s="7" t="s">
        <v>50</v>
      </c>
      <c r="G2577" s="7" t="s">
        <v>20</v>
      </c>
      <c r="H2577" s="9" t="n">
        <v>45972</v>
      </c>
      <c r="I2577" s="9" t="n">
        <v>45992</v>
      </c>
      <c r="J2577" s="7" t="n">
        <v>8.6</v>
      </c>
      <c r="K2577" s="7" t="s">
        <v>2984</v>
      </c>
      <c r="L2577" s="7" t="s">
        <v>21</v>
      </c>
      <c r="M2577" s="7" t="s">
        <v>3057</v>
      </c>
      <c r="N2577" s="7" t="s">
        <v>53</v>
      </c>
      <c r="O2577" s="10" t="n">
        <f aca="false">'Exec Summary'!$E$2-H2577</f>
        <v>262</v>
      </c>
      <c r="P2577" s="10" t="n">
        <f aca="false">IF(I2577="","",I2577-H2577)</f>
        <v>20</v>
      </c>
      <c r="Q2577" s="10" t="n">
        <f aca="false">VLOOKUP(G2577,$AA$2:$AB$5,2,FALSE())</f>
        <v>30</v>
      </c>
      <c r="R2577" s="7" t="n">
        <f aca="false">IF(OR(F2577="Open",F2577="Reopened"),1,0)</f>
        <v>0</v>
      </c>
      <c r="S2577" s="7" t="n">
        <f aca="false">IF(AND(H2577&gt;='Exec Summary'!$E$1,H2577&lt;='Exec Summary'!$E$2),1,0)</f>
        <v>0</v>
      </c>
      <c r="T2577" s="7" t="n">
        <f aca="false">IF(AND(F2577="Closed",I2577&lt;&gt;"",I2577&gt;='Exec Summary'!$E$1,I2577&lt;='Exec Summary'!$E$2),1,0)</f>
        <v>0</v>
      </c>
      <c r="U2577" s="7" t="n">
        <f aca="false">IF(F2577="Reopened",1,0)</f>
        <v>0</v>
      </c>
      <c r="V2577" s="7" t="n">
        <f aca="false">IF(AND(R2577=1,O2577&gt;Q2577),1,0)</f>
        <v>0</v>
      </c>
      <c r="W2577" s="7" t="n">
        <f aca="false">IF(AND(T2577=1,P2577&lt;&gt;"",P2577&lt;=Q2577),1,0)</f>
        <v>0</v>
      </c>
    </row>
    <row r="2578" customFormat="false" ht="15" hidden="false" customHeight="false" outlineLevel="0" collapsed="false">
      <c r="A2578" s="7" t="s">
        <v>3052</v>
      </c>
      <c r="B2578" s="7" t="s">
        <v>135</v>
      </c>
      <c r="C2578" s="7" t="s">
        <v>247</v>
      </c>
      <c r="D2578" s="7" t="s">
        <v>145</v>
      </c>
      <c r="E2578" s="7" t="s">
        <v>146</v>
      </c>
      <c r="F2578" s="7" t="s">
        <v>50</v>
      </c>
      <c r="G2578" s="7" t="s">
        <v>19</v>
      </c>
      <c r="H2578" s="9" t="n">
        <v>45961</v>
      </c>
      <c r="I2578" s="9" t="n">
        <v>45972</v>
      </c>
      <c r="J2578" s="7" t="n">
        <v>9.8</v>
      </c>
      <c r="K2578" s="7" t="s">
        <v>2984</v>
      </c>
      <c r="L2578" s="7" t="s">
        <v>21</v>
      </c>
      <c r="M2578" s="7" t="s">
        <v>3058</v>
      </c>
      <c r="N2578" s="7" t="s">
        <v>58</v>
      </c>
      <c r="O2578" s="10" t="n">
        <f aca="false">'Exec Summary'!$E$2-H2578</f>
        <v>273</v>
      </c>
      <c r="P2578" s="10" t="n">
        <f aca="false">IF(I2578="","",I2578-H2578)</f>
        <v>11</v>
      </c>
      <c r="Q2578" s="10" t="n">
        <f aca="false">VLOOKUP(G2578,$AA$2:$AB$5,2,FALSE())</f>
        <v>15</v>
      </c>
      <c r="R2578" s="7" t="n">
        <f aca="false">IF(OR(F2578="Open",F2578="Reopened"),1,0)</f>
        <v>0</v>
      </c>
      <c r="S2578" s="7" t="n">
        <f aca="false">IF(AND(H2578&gt;='Exec Summary'!$E$1,H2578&lt;='Exec Summary'!$E$2),1,0)</f>
        <v>0</v>
      </c>
      <c r="T2578" s="7" t="n">
        <f aca="false">IF(AND(F2578="Closed",I2578&lt;&gt;"",I2578&gt;='Exec Summary'!$E$1,I2578&lt;='Exec Summary'!$E$2),1,0)</f>
        <v>0</v>
      </c>
      <c r="U2578" s="7" t="n">
        <f aca="false">IF(F2578="Reopened",1,0)</f>
        <v>0</v>
      </c>
      <c r="V2578" s="7" t="n">
        <f aca="false">IF(AND(R2578=1,O2578&gt;Q2578),1,0)</f>
        <v>0</v>
      </c>
      <c r="W2578" s="7" t="n">
        <f aca="false">IF(AND(T2578=1,P2578&lt;&gt;"",P2578&lt;=Q2578),1,0)</f>
        <v>0</v>
      </c>
    </row>
    <row r="2579" customFormat="false" ht="15" hidden="false" customHeight="false" outlineLevel="0" collapsed="false">
      <c r="A2579" s="7" t="s">
        <v>3052</v>
      </c>
      <c r="B2579" s="7" t="s">
        <v>135</v>
      </c>
      <c r="C2579" s="7" t="s">
        <v>247</v>
      </c>
      <c r="D2579" s="7" t="s">
        <v>81</v>
      </c>
      <c r="E2579" s="7" t="s">
        <v>82</v>
      </c>
      <c r="F2579" s="7" t="s">
        <v>50</v>
      </c>
      <c r="G2579" s="7" t="s">
        <v>20</v>
      </c>
      <c r="H2579" s="9" t="n">
        <v>46050</v>
      </c>
      <c r="I2579" s="9" t="n">
        <v>46094</v>
      </c>
      <c r="J2579" s="7" t="n">
        <v>7.8</v>
      </c>
      <c r="K2579" s="7" t="s">
        <v>2984</v>
      </c>
      <c r="L2579" s="7" t="s">
        <v>21</v>
      </c>
      <c r="M2579" s="7" t="s">
        <v>3059</v>
      </c>
      <c r="N2579" s="7" t="s">
        <v>53</v>
      </c>
      <c r="O2579" s="10" t="n">
        <f aca="false">'Exec Summary'!$E$2-H2579</f>
        <v>184</v>
      </c>
      <c r="P2579" s="10" t="n">
        <f aca="false">IF(I2579="","",I2579-H2579)</f>
        <v>44</v>
      </c>
      <c r="Q2579" s="10" t="n">
        <f aca="false">VLOOKUP(G2579,$AA$2:$AB$5,2,FALSE())</f>
        <v>30</v>
      </c>
      <c r="R2579" s="7" t="n">
        <f aca="false">IF(OR(F2579="Open",F2579="Reopened"),1,0)</f>
        <v>0</v>
      </c>
      <c r="S2579" s="7" t="n">
        <f aca="false">IF(AND(H2579&gt;='Exec Summary'!$E$1,H2579&lt;='Exec Summary'!$E$2),1,0)</f>
        <v>0</v>
      </c>
      <c r="T2579" s="7" t="n">
        <f aca="false">IF(AND(F2579="Closed",I2579&lt;&gt;"",I2579&gt;='Exec Summary'!$E$1,I2579&lt;='Exec Summary'!$E$2),1,0)</f>
        <v>0</v>
      </c>
      <c r="U2579" s="7" t="n">
        <f aca="false">IF(F2579="Reopened",1,0)</f>
        <v>0</v>
      </c>
      <c r="V2579" s="7" t="n">
        <f aca="false">IF(AND(R2579=1,O2579&gt;Q2579),1,0)</f>
        <v>0</v>
      </c>
      <c r="W2579" s="7" t="n">
        <f aca="false">IF(AND(T2579=1,P2579&lt;&gt;"",P2579&lt;=Q2579),1,0)</f>
        <v>0</v>
      </c>
    </row>
    <row r="2580" customFormat="false" ht="15" hidden="false" customHeight="false" outlineLevel="0" collapsed="false">
      <c r="A2580" s="7" t="s">
        <v>3052</v>
      </c>
      <c r="B2580" s="7" t="s">
        <v>135</v>
      </c>
      <c r="C2580" s="7" t="s">
        <v>247</v>
      </c>
      <c r="D2580" s="7" t="s">
        <v>173</v>
      </c>
      <c r="E2580" s="7" t="s">
        <v>174</v>
      </c>
      <c r="F2580" s="7" t="s">
        <v>50</v>
      </c>
      <c r="G2580" s="7" t="s">
        <v>19</v>
      </c>
      <c r="H2580" s="9" t="n">
        <v>46206</v>
      </c>
      <c r="I2580" s="9" t="n">
        <v>46207</v>
      </c>
      <c r="J2580" s="7" t="n">
        <v>9.8</v>
      </c>
      <c r="K2580" s="7" t="s">
        <v>2984</v>
      </c>
      <c r="L2580" s="7" t="s">
        <v>21</v>
      </c>
      <c r="M2580" s="7" t="s">
        <v>3060</v>
      </c>
      <c r="N2580" s="7" t="s">
        <v>58</v>
      </c>
      <c r="O2580" s="10" t="n">
        <f aca="false">'Exec Summary'!$E$2-H2580</f>
        <v>28</v>
      </c>
      <c r="P2580" s="10" t="n">
        <f aca="false">IF(I2580="","",I2580-H2580)</f>
        <v>1</v>
      </c>
      <c r="Q2580" s="10" t="n">
        <f aca="false">VLOOKUP(G2580,$AA$2:$AB$5,2,FALSE())</f>
        <v>15</v>
      </c>
      <c r="R2580" s="7" t="n">
        <f aca="false">IF(OR(F2580="Open",F2580="Reopened"),1,0)</f>
        <v>0</v>
      </c>
      <c r="S2580" s="7" t="n">
        <f aca="false">IF(AND(H2580&gt;='Exec Summary'!$E$1,H2580&lt;='Exec Summary'!$E$2),1,0)</f>
        <v>1</v>
      </c>
      <c r="T2580" s="7" t="n">
        <f aca="false">IF(AND(F2580="Closed",I2580&lt;&gt;"",I2580&gt;='Exec Summary'!$E$1,I2580&lt;='Exec Summary'!$E$2),1,0)</f>
        <v>1</v>
      </c>
      <c r="U2580" s="7" t="n">
        <f aca="false">IF(F2580="Reopened",1,0)</f>
        <v>0</v>
      </c>
      <c r="V2580" s="7" t="n">
        <f aca="false">IF(AND(R2580=1,O2580&gt;Q2580),1,0)</f>
        <v>0</v>
      </c>
      <c r="W2580" s="7" t="n">
        <f aca="false">IF(AND(T2580=1,P2580&lt;&gt;"",P2580&lt;=Q2580),1,0)</f>
        <v>1</v>
      </c>
    </row>
    <row r="2581" customFormat="false" ht="15" hidden="false" customHeight="false" outlineLevel="0" collapsed="false">
      <c r="A2581" s="7" t="s">
        <v>3052</v>
      </c>
      <c r="B2581" s="7" t="s">
        <v>135</v>
      </c>
      <c r="C2581" s="7" t="s">
        <v>247</v>
      </c>
      <c r="D2581" s="7" t="s">
        <v>206</v>
      </c>
      <c r="E2581" s="7" t="s">
        <v>207</v>
      </c>
      <c r="F2581" s="7" t="s">
        <v>56</v>
      </c>
      <c r="G2581" s="7" t="s">
        <v>20</v>
      </c>
      <c r="H2581" s="9" t="n">
        <v>46069</v>
      </c>
      <c r="I2581" s="9"/>
      <c r="J2581" s="7" t="n">
        <v>8.8</v>
      </c>
      <c r="K2581" s="7" t="s">
        <v>2984</v>
      </c>
      <c r="L2581" s="7" t="s">
        <v>21</v>
      </c>
      <c r="M2581" s="7" t="s">
        <v>3061</v>
      </c>
      <c r="N2581" s="7" t="s">
        <v>53</v>
      </c>
      <c r="O2581" s="10" t="n">
        <f aca="false">'Exec Summary'!$E$2-H2581</f>
        <v>165</v>
      </c>
      <c r="P2581" s="10" t="str">
        <f aca="false">IF(I2581="","",I2581-H2581)</f>
        <v/>
      </c>
      <c r="Q2581" s="10" t="n">
        <f aca="false">VLOOKUP(G2581,$AA$2:$AB$5,2,FALSE())</f>
        <v>30</v>
      </c>
      <c r="R2581" s="7" t="n">
        <f aca="false">IF(OR(F2581="Open",F2581="Reopened"),1,0)</f>
        <v>1</v>
      </c>
      <c r="S2581" s="7" t="n">
        <f aca="false">IF(AND(H2581&gt;='Exec Summary'!$E$1,H2581&lt;='Exec Summary'!$E$2),1,0)</f>
        <v>0</v>
      </c>
      <c r="T2581" s="7" t="n">
        <f aca="false">IF(AND(F2581="Closed",I2581&lt;&gt;"",I2581&gt;='Exec Summary'!$E$1,I2581&lt;='Exec Summary'!$E$2),1,0)</f>
        <v>0</v>
      </c>
      <c r="U2581" s="7" t="n">
        <f aca="false">IF(F2581="Reopened",1,0)</f>
        <v>0</v>
      </c>
      <c r="V2581" s="7" t="n">
        <f aca="false">IF(AND(R2581=1,O2581&gt;Q2581),1,0)</f>
        <v>1</v>
      </c>
      <c r="W2581" s="7" t="n">
        <f aca="false">IF(AND(T2581=1,P2581&lt;&gt;"",P2581&lt;=Q2581),1,0)</f>
        <v>0</v>
      </c>
    </row>
    <row r="2582" customFormat="false" ht="15" hidden="false" customHeight="false" outlineLevel="0" collapsed="false">
      <c r="A2582" s="7" t="s">
        <v>3062</v>
      </c>
      <c r="B2582" s="7" t="s">
        <v>46</v>
      </c>
      <c r="C2582" s="7" t="s">
        <v>158</v>
      </c>
      <c r="D2582" s="7" t="s">
        <v>166</v>
      </c>
      <c r="E2582" s="7" t="s">
        <v>167</v>
      </c>
      <c r="F2582" s="7" t="s">
        <v>56</v>
      </c>
      <c r="G2582" s="7" t="s">
        <v>19</v>
      </c>
      <c r="H2582" s="9" t="n">
        <v>45950</v>
      </c>
      <c r="I2582" s="9"/>
      <c r="J2582" s="7" t="n">
        <v>9.8</v>
      </c>
      <c r="K2582" s="7" t="s">
        <v>2984</v>
      </c>
      <c r="L2582" s="7" t="s">
        <v>20</v>
      </c>
      <c r="M2582" s="7" t="s">
        <v>3063</v>
      </c>
      <c r="N2582" s="7" t="s">
        <v>58</v>
      </c>
      <c r="O2582" s="10" t="n">
        <f aca="false">'Exec Summary'!$E$2-H2582</f>
        <v>284</v>
      </c>
      <c r="P2582" s="10" t="str">
        <f aca="false">IF(I2582="","",I2582-H2582)</f>
        <v/>
      </c>
      <c r="Q2582" s="10" t="n">
        <f aca="false">VLOOKUP(G2582,$AA$2:$AB$5,2,FALSE())</f>
        <v>15</v>
      </c>
      <c r="R2582" s="7" t="n">
        <f aca="false">IF(OR(F2582="Open",F2582="Reopened"),1,0)</f>
        <v>1</v>
      </c>
      <c r="S2582" s="7" t="n">
        <f aca="false">IF(AND(H2582&gt;='Exec Summary'!$E$1,H2582&lt;='Exec Summary'!$E$2),1,0)</f>
        <v>0</v>
      </c>
      <c r="T2582" s="7" t="n">
        <f aca="false">IF(AND(F2582="Closed",I2582&lt;&gt;"",I2582&gt;='Exec Summary'!$E$1,I2582&lt;='Exec Summary'!$E$2),1,0)</f>
        <v>0</v>
      </c>
      <c r="U2582" s="7" t="n">
        <f aca="false">IF(F2582="Reopened",1,0)</f>
        <v>0</v>
      </c>
      <c r="V2582" s="7" t="n">
        <f aca="false">IF(AND(R2582=1,O2582&gt;Q2582),1,0)</f>
        <v>1</v>
      </c>
      <c r="W2582" s="7" t="n">
        <f aca="false">IF(AND(T2582=1,P2582&lt;&gt;"",P2582&lt;=Q2582),1,0)</f>
        <v>0</v>
      </c>
    </row>
    <row r="2583" customFormat="false" ht="15" hidden="false" customHeight="false" outlineLevel="0" collapsed="false">
      <c r="A2583" s="7" t="s">
        <v>3062</v>
      </c>
      <c r="B2583" s="7" t="s">
        <v>46</v>
      </c>
      <c r="C2583" s="7" t="s">
        <v>158</v>
      </c>
      <c r="D2583" s="7" t="s">
        <v>120</v>
      </c>
      <c r="E2583" s="7" t="s">
        <v>121</v>
      </c>
      <c r="F2583" s="7" t="s">
        <v>50</v>
      </c>
      <c r="G2583" s="7" t="s">
        <v>19</v>
      </c>
      <c r="H2583" s="9" t="n">
        <v>46064</v>
      </c>
      <c r="I2583" s="9" t="n">
        <v>46069</v>
      </c>
      <c r="J2583" s="7" t="n">
        <v>8.8</v>
      </c>
      <c r="K2583" s="7" t="s">
        <v>2984</v>
      </c>
      <c r="L2583" s="7" t="s">
        <v>20</v>
      </c>
      <c r="M2583" s="7" t="s">
        <v>3064</v>
      </c>
      <c r="N2583" s="7" t="s">
        <v>58</v>
      </c>
      <c r="O2583" s="10" t="n">
        <f aca="false">'Exec Summary'!$E$2-H2583</f>
        <v>170</v>
      </c>
      <c r="P2583" s="10" t="n">
        <f aca="false">IF(I2583="","",I2583-H2583)</f>
        <v>5</v>
      </c>
      <c r="Q2583" s="10" t="n">
        <f aca="false">VLOOKUP(G2583,$AA$2:$AB$5,2,FALSE())</f>
        <v>15</v>
      </c>
      <c r="R2583" s="7" t="n">
        <f aca="false">IF(OR(F2583="Open",F2583="Reopened"),1,0)</f>
        <v>0</v>
      </c>
      <c r="S2583" s="7" t="n">
        <f aca="false">IF(AND(H2583&gt;='Exec Summary'!$E$1,H2583&lt;='Exec Summary'!$E$2),1,0)</f>
        <v>0</v>
      </c>
      <c r="T2583" s="7" t="n">
        <f aca="false">IF(AND(F2583="Closed",I2583&lt;&gt;"",I2583&gt;='Exec Summary'!$E$1,I2583&lt;='Exec Summary'!$E$2),1,0)</f>
        <v>0</v>
      </c>
      <c r="U2583" s="7" t="n">
        <f aca="false">IF(F2583="Reopened",1,0)</f>
        <v>0</v>
      </c>
      <c r="V2583" s="7" t="n">
        <f aca="false">IF(AND(R2583=1,O2583&gt;Q2583),1,0)</f>
        <v>0</v>
      </c>
      <c r="W2583" s="7" t="n">
        <f aca="false">IF(AND(T2583=1,P2583&lt;&gt;"",P2583&lt;=Q2583),1,0)</f>
        <v>0</v>
      </c>
    </row>
    <row r="2584" customFormat="false" ht="15" hidden="false" customHeight="false" outlineLevel="0" collapsed="false">
      <c r="A2584" s="7" t="s">
        <v>3062</v>
      </c>
      <c r="B2584" s="7" t="s">
        <v>46</v>
      </c>
      <c r="C2584" s="7" t="s">
        <v>158</v>
      </c>
      <c r="D2584" s="7" t="s">
        <v>152</v>
      </c>
      <c r="E2584" s="7" t="s">
        <v>153</v>
      </c>
      <c r="F2584" s="7" t="s">
        <v>56</v>
      </c>
      <c r="G2584" s="7" t="s">
        <v>20</v>
      </c>
      <c r="H2584" s="9" t="n">
        <v>46107</v>
      </c>
      <c r="I2584" s="9"/>
      <c r="J2584" s="7" t="n">
        <v>7.5</v>
      </c>
      <c r="K2584" s="7" t="s">
        <v>2984</v>
      </c>
      <c r="L2584" s="7" t="s">
        <v>20</v>
      </c>
      <c r="M2584" s="7" t="s">
        <v>3065</v>
      </c>
      <c r="N2584" s="7" t="s">
        <v>53</v>
      </c>
      <c r="O2584" s="10" t="n">
        <f aca="false">'Exec Summary'!$E$2-H2584</f>
        <v>127</v>
      </c>
      <c r="P2584" s="10" t="str">
        <f aca="false">IF(I2584="","",I2584-H2584)</f>
        <v/>
      </c>
      <c r="Q2584" s="10" t="n">
        <f aca="false">VLOOKUP(G2584,$AA$2:$AB$5,2,FALSE())</f>
        <v>30</v>
      </c>
      <c r="R2584" s="7" t="n">
        <f aca="false">IF(OR(F2584="Open",F2584="Reopened"),1,0)</f>
        <v>1</v>
      </c>
      <c r="S2584" s="7" t="n">
        <f aca="false">IF(AND(H2584&gt;='Exec Summary'!$E$1,H2584&lt;='Exec Summary'!$E$2),1,0)</f>
        <v>0</v>
      </c>
      <c r="T2584" s="7" t="n">
        <f aca="false">IF(AND(F2584="Closed",I2584&lt;&gt;"",I2584&gt;='Exec Summary'!$E$1,I2584&lt;='Exec Summary'!$E$2),1,0)</f>
        <v>0</v>
      </c>
      <c r="U2584" s="7" t="n">
        <f aca="false">IF(F2584="Reopened",1,0)</f>
        <v>0</v>
      </c>
      <c r="V2584" s="7" t="n">
        <f aca="false">IF(AND(R2584=1,O2584&gt;Q2584),1,0)</f>
        <v>1</v>
      </c>
      <c r="W2584" s="7" t="n">
        <f aca="false">IF(AND(T2584=1,P2584&lt;&gt;"",P2584&lt;=Q2584),1,0)</f>
        <v>0</v>
      </c>
    </row>
    <row r="2585" customFormat="false" ht="15" hidden="false" customHeight="false" outlineLevel="0" collapsed="false">
      <c r="A2585" s="7" t="s">
        <v>3062</v>
      </c>
      <c r="B2585" s="7" t="s">
        <v>46</v>
      </c>
      <c r="C2585" s="7" t="s">
        <v>158</v>
      </c>
      <c r="D2585" s="7" t="s">
        <v>95</v>
      </c>
      <c r="E2585" s="7" t="s">
        <v>96</v>
      </c>
      <c r="F2585" s="7" t="s">
        <v>50</v>
      </c>
      <c r="G2585" s="7" t="s">
        <v>20</v>
      </c>
      <c r="H2585" s="9" t="n">
        <v>45973</v>
      </c>
      <c r="I2585" s="9" t="n">
        <v>46002</v>
      </c>
      <c r="J2585" s="7" t="n">
        <v>8.8</v>
      </c>
      <c r="K2585" s="7" t="s">
        <v>2984</v>
      </c>
      <c r="L2585" s="7" t="s">
        <v>20</v>
      </c>
      <c r="M2585" s="7" t="s">
        <v>3066</v>
      </c>
      <c r="N2585" s="7" t="s">
        <v>53</v>
      </c>
      <c r="O2585" s="10" t="n">
        <f aca="false">'Exec Summary'!$E$2-H2585</f>
        <v>261</v>
      </c>
      <c r="P2585" s="10" t="n">
        <f aca="false">IF(I2585="","",I2585-H2585)</f>
        <v>29</v>
      </c>
      <c r="Q2585" s="10" t="n">
        <f aca="false">VLOOKUP(G2585,$AA$2:$AB$5,2,FALSE())</f>
        <v>30</v>
      </c>
      <c r="R2585" s="7" t="n">
        <f aca="false">IF(OR(F2585="Open",F2585="Reopened"),1,0)</f>
        <v>0</v>
      </c>
      <c r="S2585" s="7" t="n">
        <f aca="false">IF(AND(H2585&gt;='Exec Summary'!$E$1,H2585&lt;='Exec Summary'!$E$2),1,0)</f>
        <v>0</v>
      </c>
      <c r="T2585" s="7" t="n">
        <f aca="false">IF(AND(F2585="Closed",I2585&lt;&gt;"",I2585&gt;='Exec Summary'!$E$1,I2585&lt;='Exec Summary'!$E$2),1,0)</f>
        <v>0</v>
      </c>
      <c r="U2585" s="7" t="n">
        <f aca="false">IF(F2585="Reopened",1,0)</f>
        <v>0</v>
      </c>
      <c r="V2585" s="7" t="n">
        <f aca="false">IF(AND(R2585=1,O2585&gt;Q2585),1,0)</f>
        <v>0</v>
      </c>
      <c r="W2585" s="7" t="n">
        <f aca="false">IF(AND(T2585=1,P2585&lt;&gt;"",P2585&lt;=Q2585),1,0)</f>
        <v>0</v>
      </c>
    </row>
    <row r="2586" customFormat="false" ht="15" hidden="false" customHeight="false" outlineLevel="0" collapsed="false">
      <c r="A2586" s="7" t="s">
        <v>3062</v>
      </c>
      <c r="B2586" s="7" t="s">
        <v>46</v>
      </c>
      <c r="C2586" s="7" t="s">
        <v>158</v>
      </c>
      <c r="D2586" s="7" t="s">
        <v>192</v>
      </c>
      <c r="E2586" s="7" t="s">
        <v>193</v>
      </c>
      <c r="F2586" s="7" t="s">
        <v>56</v>
      </c>
      <c r="G2586" s="7" t="s">
        <v>19</v>
      </c>
      <c r="H2586" s="9" t="n">
        <v>46080</v>
      </c>
      <c r="I2586" s="9"/>
      <c r="J2586" s="7" t="n">
        <v>9.8</v>
      </c>
      <c r="K2586" s="7" t="s">
        <v>2984</v>
      </c>
      <c r="L2586" s="7" t="s">
        <v>20</v>
      </c>
      <c r="M2586" s="7" t="s">
        <v>3067</v>
      </c>
      <c r="N2586" s="7" t="s">
        <v>58</v>
      </c>
      <c r="O2586" s="10" t="n">
        <f aca="false">'Exec Summary'!$E$2-H2586</f>
        <v>154</v>
      </c>
      <c r="P2586" s="10" t="str">
        <f aca="false">IF(I2586="","",I2586-H2586)</f>
        <v/>
      </c>
      <c r="Q2586" s="10" t="n">
        <f aca="false">VLOOKUP(G2586,$AA$2:$AB$5,2,FALSE())</f>
        <v>15</v>
      </c>
      <c r="R2586" s="7" t="n">
        <f aca="false">IF(OR(F2586="Open",F2586="Reopened"),1,0)</f>
        <v>1</v>
      </c>
      <c r="S2586" s="7" t="n">
        <f aca="false">IF(AND(H2586&gt;='Exec Summary'!$E$1,H2586&lt;='Exec Summary'!$E$2),1,0)</f>
        <v>0</v>
      </c>
      <c r="T2586" s="7" t="n">
        <f aca="false">IF(AND(F2586="Closed",I2586&lt;&gt;"",I2586&gt;='Exec Summary'!$E$1,I2586&lt;='Exec Summary'!$E$2),1,0)</f>
        <v>0</v>
      </c>
      <c r="U2586" s="7" t="n">
        <f aca="false">IF(F2586="Reopened",1,0)</f>
        <v>0</v>
      </c>
      <c r="V2586" s="7" t="n">
        <f aca="false">IF(AND(R2586=1,O2586&gt;Q2586),1,0)</f>
        <v>1</v>
      </c>
      <c r="W2586" s="7" t="n">
        <f aca="false">IF(AND(T2586=1,P2586&lt;&gt;"",P2586&lt;=Q2586),1,0)</f>
        <v>0</v>
      </c>
    </row>
    <row r="2587" customFormat="false" ht="15" hidden="false" customHeight="false" outlineLevel="0" collapsed="false">
      <c r="A2587" s="7" t="s">
        <v>3068</v>
      </c>
      <c r="B2587" s="7" t="s">
        <v>46</v>
      </c>
      <c r="C2587" s="7" t="s">
        <v>79</v>
      </c>
      <c r="D2587" s="7" t="s">
        <v>145</v>
      </c>
      <c r="E2587" s="7" t="s">
        <v>146</v>
      </c>
      <c r="F2587" s="7" t="s">
        <v>56</v>
      </c>
      <c r="G2587" s="7" t="s">
        <v>19</v>
      </c>
      <c r="H2587" s="9" t="n">
        <v>46032</v>
      </c>
      <c r="I2587" s="9"/>
      <c r="J2587" s="7" t="n">
        <v>9.8</v>
      </c>
      <c r="K2587" s="7" t="s">
        <v>2984</v>
      </c>
      <c r="L2587" s="7" t="s">
        <v>19</v>
      </c>
      <c r="M2587" s="7" t="s">
        <v>3069</v>
      </c>
      <c r="N2587" s="7" t="s">
        <v>58</v>
      </c>
      <c r="O2587" s="10" t="n">
        <f aca="false">'Exec Summary'!$E$2-H2587</f>
        <v>202</v>
      </c>
      <c r="P2587" s="10" t="str">
        <f aca="false">IF(I2587="","",I2587-H2587)</f>
        <v/>
      </c>
      <c r="Q2587" s="10" t="n">
        <f aca="false">VLOOKUP(G2587,$AA$2:$AB$5,2,FALSE())</f>
        <v>15</v>
      </c>
      <c r="R2587" s="7" t="n">
        <f aca="false">IF(OR(F2587="Open",F2587="Reopened"),1,0)</f>
        <v>1</v>
      </c>
      <c r="S2587" s="7" t="n">
        <f aca="false">IF(AND(H2587&gt;='Exec Summary'!$E$1,H2587&lt;='Exec Summary'!$E$2),1,0)</f>
        <v>0</v>
      </c>
      <c r="T2587" s="7" t="n">
        <f aca="false">IF(AND(F2587="Closed",I2587&lt;&gt;"",I2587&gt;='Exec Summary'!$E$1,I2587&lt;='Exec Summary'!$E$2),1,0)</f>
        <v>0</v>
      </c>
      <c r="U2587" s="7" t="n">
        <f aca="false">IF(F2587="Reopened",1,0)</f>
        <v>0</v>
      </c>
      <c r="V2587" s="7" t="n">
        <f aca="false">IF(AND(R2587=1,O2587&gt;Q2587),1,0)</f>
        <v>1</v>
      </c>
      <c r="W2587" s="7" t="n">
        <f aca="false">IF(AND(T2587=1,P2587&lt;&gt;"",P2587&lt;=Q2587),1,0)</f>
        <v>0</v>
      </c>
    </row>
    <row r="2588" customFormat="false" ht="15" hidden="false" customHeight="false" outlineLevel="0" collapsed="false">
      <c r="A2588" s="7" t="s">
        <v>3068</v>
      </c>
      <c r="B2588" s="7" t="s">
        <v>46</v>
      </c>
      <c r="C2588" s="7" t="s">
        <v>79</v>
      </c>
      <c r="D2588" s="7" t="s">
        <v>152</v>
      </c>
      <c r="E2588" s="7" t="s">
        <v>153</v>
      </c>
      <c r="F2588" s="7" t="s">
        <v>56</v>
      </c>
      <c r="G2588" s="7" t="s">
        <v>20</v>
      </c>
      <c r="H2588" s="9" t="n">
        <v>46020</v>
      </c>
      <c r="I2588" s="9"/>
      <c r="J2588" s="7" t="n">
        <v>7.5</v>
      </c>
      <c r="K2588" s="7" t="s">
        <v>2984</v>
      </c>
      <c r="L2588" s="7" t="s">
        <v>19</v>
      </c>
      <c r="M2588" s="7" t="s">
        <v>3070</v>
      </c>
      <c r="N2588" s="7" t="s">
        <v>53</v>
      </c>
      <c r="O2588" s="10" t="n">
        <f aca="false">'Exec Summary'!$E$2-H2588</f>
        <v>214</v>
      </c>
      <c r="P2588" s="10" t="str">
        <f aca="false">IF(I2588="","",I2588-H2588)</f>
        <v/>
      </c>
      <c r="Q2588" s="10" t="n">
        <f aca="false">VLOOKUP(G2588,$AA$2:$AB$5,2,FALSE())</f>
        <v>30</v>
      </c>
      <c r="R2588" s="7" t="n">
        <f aca="false">IF(OR(F2588="Open",F2588="Reopened"),1,0)</f>
        <v>1</v>
      </c>
      <c r="S2588" s="7" t="n">
        <f aca="false">IF(AND(H2588&gt;='Exec Summary'!$E$1,H2588&lt;='Exec Summary'!$E$2),1,0)</f>
        <v>0</v>
      </c>
      <c r="T2588" s="7" t="n">
        <f aca="false">IF(AND(F2588="Closed",I2588&lt;&gt;"",I2588&gt;='Exec Summary'!$E$1,I2588&lt;='Exec Summary'!$E$2),1,0)</f>
        <v>0</v>
      </c>
      <c r="U2588" s="7" t="n">
        <f aca="false">IF(F2588="Reopened",1,0)</f>
        <v>0</v>
      </c>
      <c r="V2588" s="7" t="n">
        <f aca="false">IF(AND(R2588=1,O2588&gt;Q2588),1,0)</f>
        <v>1</v>
      </c>
      <c r="W2588" s="7" t="n">
        <f aca="false">IF(AND(T2588=1,P2588&lt;&gt;"",P2588&lt;=Q2588),1,0)</f>
        <v>0</v>
      </c>
    </row>
    <row r="2589" customFormat="false" ht="15" hidden="false" customHeight="false" outlineLevel="0" collapsed="false">
      <c r="A2589" s="7" t="s">
        <v>3068</v>
      </c>
      <c r="B2589" s="7" t="s">
        <v>46</v>
      </c>
      <c r="C2589" s="7" t="s">
        <v>79</v>
      </c>
      <c r="D2589" s="7" t="s">
        <v>98</v>
      </c>
      <c r="E2589" s="7" t="s">
        <v>99</v>
      </c>
      <c r="F2589" s="7" t="s">
        <v>56</v>
      </c>
      <c r="G2589" s="7" t="s">
        <v>19</v>
      </c>
      <c r="H2589" s="9" t="n">
        <v>46115</v>
      </c>
      <c r="I2589" s="9"/>
      <c r="J2589" s="7" t="n">
        <v>10</v>
      </c>
      <c r="K2589" s="7" t="s">
        <v>2984</v>
      </c>
      <c r="L2589" s="7" t="s">
        <v>19</v>
      </c>
      <c r="M2589" s="7" t="s">
        <v>3071</v>
      </c>
      <c r="N2589" s="7" t="s">
        <v>58</v>
      </c>
      <c r="O2589" s="10" t="n">
        <f aca="false">'Exec Summary'!$E$2-H2589</f>
        <v>119</v>
      </c>
      <c r="P2589" s="10" t="str">
        <f aca="false">IF(I2589="","",I2589-H2589)</f>
        <v/>
      </c>
      <c r="Q2589" s="10" t="n">
        <f aca="false">VLOOKUP(G2589,$AA$2:$AB$5,2,FALSE())</f>
        <v>15</v>
      </c>
      <c r="R2589" s="7" t="n">
        <f aca="false">IF(OR(F2589="Open",F2589="Reopened"),1,0)</f>
        <v>1</v>
      </c>
      <c r="S2589" s="7" t="n">
        <f aca="false">IF(AND(H2589&gt;='Exec Summary'!$E$1,H2589&lt;='Exec Summary'!$E$2),1,0)</f>
        <v>0</v>
      </c>
      <c r="T2589" s="7" t="n">
        <f aca="false">IF(AND(F2589="Closed",I2589&lt;&gt;"",I2589&gt;='Exec Summary'!$E$1,I2589&lt;='Exec Summary'!$E$2),1,0)</f>
        <v>0</v>
      </c>
      <c r="U2589" s="7" t="n">
        <f aca="false">IF(F2589="Reopened",1,0)</f>
        <v>0</v>
      </c>
      <c r="V2589" s="7" t="n">
        <f aca="false">IF(AND(R2589=1,O2589&gt;Q2589),1,0)</f>
        <v>1</v>
      </c>
      <c r="W2589" s="7" t="n">
        <f aca="false">IF(AND(T2589=1,P2589&lt;&gt;"",P2589&lt;=Q2589),1,0)</f>
        <v>0</v>
      </c>
    </row>
    <row r="2590" customFormat="false" ht="15" hidden="false" customHeight="false" outlineLevel="0" collapsed="false">
      <c r="A2590" s="7" t="s">
        <v>3068</v>
      </c>
      <c r="B2590" s="7" t="s">
        <v>46</v>
      </c>
      <c r="C2590" s="7" t="s">
        <v>79</v>
      </c>
      <c r="D2590" s="7" t="s">
        <v>54</v>
      </c>
      <c r="E2590" s="7" t="s">
        <v>55</v>
      </c>
      <c r="F2590" s="7" t="s">
        <v>56</v>
      </c>
      <c r="G2590" s="7" t="s">
        <v>19</v>
      </c>
      <c r="H2590" s="9" t="n">
        <v>45968</v>
      </c>
      <c r="I2590" s="9"/>
      <c r="J2590" s="7" t="n">
        <v>9.8</v>
      </c>
      <c r="K2590" s="7" t="s">
        <v>2984</v>
      </c>
      <c r="L2590" s="7" t="s">
        <v>19</v>
      </c>
      <c r="M2590" s="7" t="s">
        <v>3072</v>
      </c>
      <c r="N2590" s="7" t="s">
        <v>58</v>
      </c>
      <c r="O2590" s="10" t="n">
        <f aca="false">'Exec Summary'!$E$2-H2590</f>
        <v>266</v>
      </c>
      <c r="P2590" s="10" t="str">
        <f aca="false">IF(I2590="","",I2590-H2590)</f>
        <v/>
      </c>
      <c r="Q2590" s="10" t="n">
        <f aca="false">VLOOKUP(G2590,$AA$2:$AB$5,2,FALSE())</f>
        <v>15</v>
      </c>
      <c r="R2590" s="7" t="n">
        <f aca="false">IF(OR(F2590="Open",F2590="Reopened"),1,0)</f>
        <v>1</v>
      </c>
      <c r="S2590" s="7" t="n">
        <f aca="false">IF(AND(H2590&gt;='Exec Summary'!$E$1,H2590&lt;='Exec Summary'!$E$2),1,0)</f>
        <v>0</v>
      </c>
      <c r="T2590" s="7" t="n">
        <f aca="false">IF(AND(F2590="Closed",I2590&lt;&gt;"",I2590&gt;='Exec Summary'!$E$1,I2590&lt;='Exec Summary'!$E$2),1,0)</f>
        <v>0</v>
      </c>
      <c r="U2590" s="7" t="n">
        <f aca="false">IF(F2590="Reopened",1,0)</f>
        <v>0</v>
      </c>
      <c r="V2590" s="7" t="n">
        <f aca="false">IF(AND(R2590=1,O2590&gt;Q2590),1,0)</f>
        <v>1</v>
      </c>
      <c r="W2590" s="7" t="n">
        <f aca="false">IF(AND(T2590=1,P2590&lt;&gt;"",P2590&lt;=Q2590),1,0)</f>
        <v>0</v>
      </c>
    </row>
    <row r="2591" customFormat="false" ht="15" hidden="false" customHeight="false" outlineLevel="0" collapsed="false">
      <c r="A2591" s="7" t="s">
        <v>3068</v>
      </c>
      <c r="B2591" s="7" t="s">
        <v>46</v>
      </c>
      <c r="C2591" s="7" t="s">
        <v>79</v>
      </c>
      <c r="D2591" s="7" t="s">
        <v>117</v>
      </c>
      <c r="E2591" s="7" t="s">
        <v>118</v>
      </c>
      <c r="F2591" s="7" t="s">
        <v>56</v>
      </c>
      <c r="G2591" s="7" t="s">
        <v>19</v>
      </c>
      <c r="H2591" s="9" t="n">
        <v>46060</v>
      </c>
      <c r="I2591" s="9"/>
      <c r="J2591" s="7" t="n">
        <v>10</v>
      </c>
      <c r="K2591" s="7" t="s">
        <v>2984</v>
      </c>
      <c r="L2591" s="7" t="s">
        <v>19</v>
      </c>
      <c r="M2591" s="7" t="s">
        <v>3073</v>
      </c>
      <c r="N2591" s="7" t="s">
        <v>58</v>
      </c>
      <c r="O2591" s="10" t="n">
        <f aca="false">'Exec Summary'!$E$2-H2591</f>
        <v>174</v>
      </c>
      <c r="P2591" s="10" t="str">
        <f aca="false">IF(I2591="","",I2591-H2591)</f>
        <v/>
      </c>
      <c r="Q2591" s="10" t="n">
        <f aca="false">VLOOKUP(G2591,$AA$2:$AB$5,2,FALSE())</f>
        <v>15</v>
      </c>
      <c r="R2591" s="7" t="n">
        <f aca="false">IF(OR(F2591="Open",F2591="Reopened"),1,0)</f>
        <v>1</v>
      </c>
      <c r="S2591" s="7" t="n">
        <f aca="false">IF(AND(H2591&gt;='Exec Summary'!$E$1,H2591&lt;='Exec Summary'!$E$2),1,0)</f>
        <v>0</v>
      </c>
      <c r="T2591" s="7" t="n">
        <f aca="false">IF(AND(F2591="Closed",I2591&lt;&gt;"",I2591&gt;='Exec Summary'!$E$1,I2591&lt;='Exec Summary'!$E$2),1,0)</f>
        <v>0</v>
      </c>
      <c r="U2591" s="7" t="n">
        <f aca="false">IF(F2591="Reopened",1,0)</f>
        <v>0</v>
      </c>
      <c r="V2591" s="7" t="n">
        <f aca="false">IF(AND(R2591=1,O2591&gt;Q2591),1,0)</f>
        <v>1</v>
      </c>
      <c r="W2591" s="7" t="n">
        <f aca="false">IF(AND(T2591=1,P2591&lt;&gt;"",P2591&lt;=Q2591),1,0)</f>
        <v>0</v>
      </c>
    </row>
    <row r="2592" customFormat="false" ht="15" hidden="false" customHeight="false" outlineLevel="0" collapsed="false">
      <c r="A2592" s="7" t="s">
        <v>3068</v>
      </c>
      <c r="B2592" s="7" t="s">
        <v>46</v>
      </c>
      <c r="C2592" s="7" t="s">
        <v>79</v>
      </c>
      <c r="D2592" s="7" t="s">
        <v>87</v>
      </c>
      <c r="E2592" s="7" t="s">
        <v>88</v>
      </c>
      <c r="F2592" s="7" t="s">
        <v>56</v>
      </c>
      <c r="G2592" s="7" t="s">
        <v>19</v>
      </c>
      <c r="H2592" s="9" t="n">
        <v>46102</v>
      </c>
      <c r="I2592" s="9"/>
      <c r="J2592" s="7" t="n">
        <v>10</v>
      </c>
      <c r="K2592" s="7" t="s">
        <v>2984</v>
      </c>
      <c r="L2592" s="7" t="s">
        <v>19</v>
      </c>
      <c r="M2592" s="7" t="s">
        <v>3074</v>
      </c>
      <c r="N2592" s="7" t="s">
        <v>58</v>
      </c>
      <c r="O2592" s="10" t="n">
        <f aca="false">'Exec Summary'!$E$2-H2592</f>
        <v>132</v>
      </c>
      <c r="P2592" s="10" t="str">
        <f aca="false">IF(I2592="","",I2592-H2592)</f>
        <v/>
      </c>
      <c r="Q2592" s="10" t="n">
        <f aca="false">VLOOKUP(G2592,$AA$2:$AB$5,2,FALSE())</f>
        <v>15</v>
      </c>
      <c r="R2592" s="7" t="n">
        <f aca="false">IF(OR(F2592="Open",F2592="Reopened"),1,0)</f>
        <v>1</v>
      </c>
      <c r="S2592" s="7" t="n">
        <f aca="false">IF(AND(H2592&gt;='Exec Summary'!$E$1,H2592&lt;='Exec Summary'!$E$2),1,0)</f>
        <v>0</v>
      </c>
      <c r="T2592" s="7" t="n">
        <f aca="false">IF(AND(F2592="Closed",I2592&lt;&gt;"",I2592&gt;='Exec Summary'!$E$1,I2592&lt;='Exec Summary'!$E$2),1,0)</f>
        <v>0</v>
      </c>
      <c r="U2592" s="7" t="n">
        <f aca="false">IF(F2592="Reopened",1,0)</f>
        <v>0</v>
      </c>
      <c r="V2592" s="7" t="n">
        <f aca="false">IF(AND(R2592=1,O2592&gt;Q2592),1,0)</f>
        <v>1</v>
      </c>
      <c r="W2592" s="7" t="n">
        <f aca="false">IF(AND(T2592=1,P2592&lt;&gt;"",P2592&lt;=Q2592),1,0)</f>
        <v>0</v>
      </c>
    </row>
    <row r="2593" customFormat="false" ht="15" hidden="false" customHeight="false" outlineLevel="0" collapsed="false">
      <c r="A2593" s="7" t="s">
        <v>3068</v>
      </c>
      <c r="B2593" s="7" t="s">
        <v>46</v>
      </c>
      <c r="C2593" s="7" t="s">
        <v>79</v>
      </c>
      <c r="D2593" s="7" t="s">
        <v>104</v>
      </c>
      <c r="E2593" s="7" t="s">
        <v>105</v>
      </c>
      <c r="F2593" s="7" t="s">
        <v>50</v>
      </c>
      <c r="G2593" s="7" t="s">
        <v>19</v>
      </c>
      <c r="H2593" s="9" t="n">
        <v>45950</v>
      </c>
      <c r="I2593" s="9" t="n">
        <v>45959</v>
      </c>
      <c r="J2593" s="7" t="n">
        <v>9.8</v>
      </c>
      <c r="K2593" s="7" t="s">
        <v>2984</v>
      </c>
      <c r="L2593" s="7" t="s">
        <v>19</v>
      </c>
      <c r="M2593" s="7" t="s">
        <v>3075</v>
      </c>
      <c r="N2593" s="7" t="s">
        <v>58</v>
      </c>
      <c r="O2593" s="10" t="n">
        <f aca="false">'Exec Summary'!$E$2-H2593</f>
        <v>284</v>
      </c>
      <c r="P2593" s="10" t="n">
        <f aca="false">IF(I2593="","",I2593-H2593)</f>
        <v>9</v>
      </c>
      <c r="Q2593" s="10" t="n">
        <f aca="false">VLOOKUP(G2593,$AA$2:$AB$5,2,FALSE())</f>
        <v>15</v>
      </c>
      <c r="R2593" s="7" t="n">
        <f aca="false">IF(OR(F2593="Open",F2593="Reopened"),1,0)</f>
        <v>0</v>
      </c>
      <c r="S2593" s="7" t="n">
        <f aca="false">IF(AND(H2593&gt;='Exec Summary'!$E$1,H2593&lt;='Exec Summary'!$E$2),1,0)</f>
        <v>0</v>
      </c>
      <c r="T2593" s="7" t="n">
        <f aca="false">IF(AND(F2593="Closed",I2593&lt;&gt;"",I2593&gt;='Exec Summary'!$E$1,I2593&lt;='Exec Summary'!$E$2),1,0)</f>
        <v>0</v>
      </c>
      <c r="U2593" s="7" t="n">
        <f aca="false">IF(F2593="Reopened",1,0)</f>
        <v>0</v>
      </c>
      <c r="V2593" s="7" t="n">
        <f aca="false">IF(AND(R2593=1,O2593&gt;Q2593),1,0)</f>
        <v>0</v>
      </c>
      <c r="W2593" s="7" t="n">
        <f aca="false">IF(AND(T2593=1,P2593&lt;&gt;"",P2593&lt;=Q2593),1,0)</f>
        <v>0</v>
      </c>
    </row>
    <row r="2594" customFormat="false" ht="15" hidden="false" customHeight="false" outlineLevel="0" collapsed="false">
      <c r="A2594" s="7" t="s">
        <v>3068</v>
      </c>
      <c r="B2594" s="7" t="s">
        <v>46</v>
      </c>
      <c r="C2594" s="7" t="s">
        <v>79</v>
      </c>
      <c r="D2594" s="7" t="s">
        <v>206</v>
      </c>
      <c r="E2594" s="7" t="s">
        <v>207</v>
      </c>
      <c r="F2594" s="7" t="s">
        <v>56</v>
      </c>
      <c r="G2594" s="7" t="s">
        <v>20</v>
      </c>
      <c r="H2594" s="9" t="n">
        <v>46100</v>
      </c>
      <c r="I2594" s="9"/>
      <c r="J2594" s="7" t="n">
        <v>8.8</v>
      </c>
      <c r="K2594" s="7" t="s">
        <v>2984</v>
      </c>
      <c r="L2594" s="7" t="s">
        <v>19</v>
      </c>
      <c r="M2594" s="7" t="s">
        <v>3076</v>
      </c>
      <c r="N2594" s="7" t="s">
        <v>53</v>
      </c>
      <c r="O2594" s="10" t="n">
        <f aca="false">'Exec Summary'!$E$2-H2594</f>
        <v>134</v>
      </c>
      <c r="P2594" s="10" t="str">
        <f aca="false">IF(I2594="","",I2594-H2594)</f>
        <v/>
      </c>
      <c r="Q2594" s="10" t="n">
        <f aca="false">VLOOKUP(G2594,$AA$2:$AB$5,2,FALSE())</f>
        <v>30</v>
      </c>
      <c r="R2594" s="7" t="n">
        <f aca="false">IF(OR(F2594="Open",F2594="Reopened"),1,0)</f>
        <v>1</v>
      </c>
      <c r="S2594" s="7" t="n">
        <f aca="false">IF(AND(H2594&gt;='Exec Summary'!$E$1,H2594&lt;='Exec Summary'!$E$2),1,0)</f>
        <v>0</v>
      </c>
      <c r="T2594" s="7" t="n">
        <f aca="false">IF(AND(F2594="Closed",I2594&lt;&gt;"",I2594&gt;='Exec Summary'!$E$1,I2594&lt;='Exec Summary'!$E$2),1,0)</f>
        <v>0</v>
      </c>
      <c r="U2594" s="7" t="n">
        <f aca="false">IF(F2594="Reopened",1,0)</f>
        <v>0</v>
      </c>
      <c r="V2594" s="7" t="n">
        <f aca="false">IF(AND(R2594=1,O2594&gt;Q2594),1,0)</f>
        <v>1</v>
      </c>
      <c r="W2594" s="7" t="n">
        <f aca="false">IF(AND(T2594=1,P2594&lt;&gt;"",P2594&lt;=Q2594),1,0)</f>
        <v>0</v>
      </c>
    </row>
    <row r="2595" customFormat="false" ht="15" hidden="false" customHeight="false" outlineLevel="0" collapsed="false">
      <c r="A2595" s="7" t="s">
        <v>3068</v>
      </c>
      <c r="B2595" s="7" t="s">
        <v>46</v>
      </c>
      <c r="C2595" s="7" t="s">
        <v>79</v>
      </c>
      <c r="D2595" s="7" t="s">
        <v>120</v>
      </c>
      <c r="E2595" s="7" t="s">
        <v>121</v>
      </c>
      <c r="F2595" s="7" t="s">
        <v>50</v>
      </c>
      <c r="G2595" s="7" t="s">
        <v>19</v>
      </c>
      <c r="H2595" s="9" t="n">
        <v>46008</v>
      </c>
      <c r="I2595" s="9" t="n">
        <v>46024</v>
      </c>
      <c r="J2595" s="7" t="n">
        <v>8.8</v>
      </c>
      <c r="K2595" s="7" t="s">
        <v>2984</v>
      </c>
      <c r="L2595" s="7" t="s">
        <v>19</v>
      </c>
      <c r="M2595" s="7" t="s">
        <v>3077</v>
      </c>
      <c r="N2595" s="7" t="s">
        <v>58</v>
      </c>
      <c r="O2595" s="10" t="n">
        <f aca="false">'Exec Summary'!$E$2-H2595</f>
        <v>226</v>
      </c>
      <c r="P2595" s="10" t="n">
        <f aca="false">IF(I2595="","",I2595-H2595)</f>
        <v>16</v>
      </c>
      <c r="Q2595" s="10" t="n">
        <f aca="false">VLOOKUP(G2595,$AA$2:$AB$5,2,FALSE())</f>
        <v>15</v>
      </c>
      <c r="R2595" s="7" t="n">
        <f aca="false">IF(OR(F2595="Open",F2595="Reopened"),1,0)</f>
        <v>0</v>
      </c>
      <c r="S2595" s="7" t="n">
        <f aca="false">IF(AND(H2595&gt;='Exec Summary'!$E$1,H2595&lt;='Exec Summary'!$E$2),1,0)</f>
        <v>0</v>
      </c>
      <c r="T2595" s="7" t="n">
        <f aca="false">IF(AND(F2595="Closed",I2595&lt;&gt;"",I2595&gt;='Exec Summary'!$E$1,I2595&lt;='Exec Summary'!$E$2),1,0)</f>
        <v>0</v>
      </c>
      <c r="U2595" s="7" t="n">
        <f aca="false">IF(F2595="Reopened",1,0)</f>
        <v>0</v>
      </c>
      <c r="V2595" s="7" t="n">
        <f aca="false">IF(AND(R2595=1,O2595&gt;Q2595),1,0)</f>
        <v>0</v>
      </c>
      <c r="W2595" s="7" t="n">
        <f aca="false">IF(AND(T2595=1,P2595&lt;&gt;"",P2595&lt;=Q2595),1,0)</f>
        <v>0</v>
      </c>
    </row>
    <row r="2596" customFormat="false" ht="15" hidden="false" customHeight="false" outlineLevel="0" collapsed="false">
      <c r="A2596" s="7" t="s">
        <v>3068</v>
      </c>
      <c r="B2596" s="7" t="s">
        <v>46</v>
      </c>
      <c r="C2596" s="7" t="s">
        <v>79</v>
      </c>
      <c r="D2596" s="7" t="s">
        <v>48</v>
      </c>
      <c r="E2596" s="7" t="s">
        <v>49</v>
      </c>
      <c r="F2596" s="7" t="s">
        <v>50</v>
      </c>
      <c r="G2596" s="7" t="s">
        <v>20</v>
      </c>
      <c r="H2596" s="9" t="n">
        <v>45940</v>
      </c>
      <c r="I2596" s="9" t="n">
        <v>45955</v>
      </c>
      <c r="J2596" s="7" t="n">
        <v>7.5</v>
      </c>
      <c r="K2596" s="7" t="s">
        <v>2984</v>
      </c>
      <c r="L2596" s="7" t="s">
        <v>19</v>
      </c>
      <c r="M2596" s="7" t="s">
        <v>3078</v>
      </c>
      <c r="N2596" s="7" t="s">
        <v>53</v>
      </c>
      <c r="O2596" s="10" t="n">
        <f aca="false">'Exec Summary'!$E$2-H2596</f>
        <v>294</v>
      </c>
      <c r="P2596" s="10" t="n">
        <f aca="false">IF(I2596="","",I2596-H2596)</f>
        <v>15</v>
      </c>
      <c r="Q2596" s="10" t="n">
        <f aca="false">VLOOKUP(G2596,$AA$2:$AB$5,2,FALSE())</f>
        <v>30</v>
      </c>
      <c r="R2596" s="7" t="n">
        <f aca="false">IF(OR(F2596="Open",F2596="Reopened"),1,0)</f>
        <v>0</v>
      </c>
      <c r="S2596" s="7" t="n">
        <f aca="false">IF(AND(H2596&gt;='Exec Summary'!$E$1,H2596&lt;='Exec Summary'!$E$2),1,0)</f>
        <v>0</v>
      </c>
      <c r="T2596" s="7" t="n">
        <f aca="false">IF(AND(F2596="Closed",I2596&lt;&gt;"",I2596&gt;='Exec Summary'!$E$1,I2596&lt;='Exec Summary'!$E$2),1,0)</f>
        <v>0</v>
      </c>
      <c r="U2596" s="7" t="n">
        <f aca="false">IF(F2596="Reopened",1,0)</f>
        <v>0</v>
      </c>
      <c r="V2596" s="7" t="n">
        <f aca="false">IF(AND(R2596=1,O2596&gt;Q2596),1,0)</f>
        <v>0</v>
      </c>
      <c r="W2596" s="7" t="n">
        <f aca="false">IF(AND(T2596=1,P2596&lt;&gt;"",P2596&lt;=Q2596),1,0)</f>
        <v>0</v>
      </c>
    </row>
    <row r="2597" customFormat="false" ht="15" hidden="false" customHeight="false" outlineLevel="0" collapsed="false">
      <c r="A2597" s="7" t="s">
        <v>3068</v>
      </c>
      <c r="B2597" s="7" t="s">
        <v>46</v>
      </c>
      <c r="C2597" s="7" t="s">
        <v>79</v>
      </c>
      <c r="D2597" s="7" t="s">
        <v>139</v>
      </c>
      <c r="E2597" s="7" t="s">
        <v>140</v>
      </c>
      <c r="F2597" s="7" t="s">
        <v>50</v>
      </c>
      <c r="G2597" s="7" t="s">
        <v>19</v>
      </c>
      <c r="H2597" s="9" t="n">
        <v>46197</v>
      </c>
      <c r="I2597" s="9" t="n">
        <v>46213</v>
      </c>
      <c r="J2597" s="7" t="n">
        <v>9.8</v>
      </c>
      <c r="K2597" s="7" t="s">
        <v>2984</v>
      </c>
      <c r="L2597" s="7" t="s">
        <v>19</v>
      </c>
      <c r="M2597" s="7" t="s">
        <v>3079</v>
      </c>
      <c r="N2597" s="7" t="s">
        <v>58</v>
      </c>
      <c r="O2597" s="10" t="n">
        <f aca="false">'Exec Summary'!$E$2-H2597</f>
        <v>37</v>
      </c>
      <c r="P2597" s="10" t="n">
        <f aca="false">IF(I2597="","",I2597-H2597)</f>
        <v>16</v>
      </c>
      <c r="Q2597" s="10" t="n">
        <f aca="false">VLOOKUP(G2597,$AA$2:$AB$5,2,FALSE())</f>
        <v>15</v>
      </c>
      <c r="R2597" s="7" t="n">
        <f aca="false">IF(OR(F2597="Open",F2597="Reopened"),1,0)</f>
        <v>0</v>
      </c>
      <c r="S2597" s="7" t="n">
        <f aca="false">IF(AND(H2597&gt;='Exec Summary'!$E$1,H2597&lt;='Exec Summary'!$E$2),1,0)</f>
        <v>0</v>
      </c>
      <c r="T2597" s="7" t="n">
        <f aca="false">IF(AND(F2597="Closed",I2597&lt;&gt;"",I2597&gt;='Exec Summary'!$E$1,I2597&lt;='Exec Summary'!$E$2),1,0)</f>
        <v>1</v>
      </c>
      <c r="U2597" s="7" t="n">
        <f aca="false">IF(F2597="Reopened",1,0)</f>
        <v>0</v>
      </c>
      <c r="V2597" s="7" t="n">
        <f aca="false">IF(AND(R2597=1,O2597&gt;Q2597),1,0)</f>
        <v>0</v>
      </c>
      <c r="W2597" s="7" t="n">
        <f aca="false">IF(AND(T2597=1,P2597&lt;&gt;"",P2597&lt;=Q2597),1,0)</f>
        <v>0</v>
      </c>
    </row>
    <row r="2598" customFormat="false" ht="15" hidden="false" customHeight="false" outlineLevel="0" collapsed="false">
      <c r="A2598" s="7" t="s">
        <v>3068</v>
      </c>
      <c r="B2598" s="7" t="s">
        <v>46</v>
      </c>
      <c r="C2598" s="7" t="s">
        <v>79</v>
      </c>
      <c r="D2598" s="7" t="s">
        <v>173</v>
      </c>
      <c r="E2598" s="7" t="s">
        <v>174</v>
      </c>
      <c r="F2598" s="7" t="s">
        <v>56</v>
      </c>
      <c r="G2598" s="7" t="s">
        <v>19</v>
      </c>
      <c r="H2598" s="9" t="n">
        <v>45968</v>
      </c>
      <c r="I2598" s="9"/>
      <c r="J2598" s="7" t="n">
        <v>9.8</v>
      </c>
      <c r="K2598" s="7" t="s">
        <v>2984</v>
      </c>
      <c r="L2598" s="7" t="s">
        <v>19</v>
      </c>
      <c r="M2598" s="7" t="s">
        <v>3080</v>
      </c>
      <c r="N2598" s="7" t="s">
        <v>58</v>
      </c>
      <c r="O2598" s="10" t="n">
        <f aca="false">'Exec Summary'!$E$2-H2598</f>
        <v>266</v>
      </c>
      <c r="P2598" s="10" t="str">
        <f aca="false">IF(I2598="","",I2598-H2598)</f>
        <v/>
      </c>
      <c r="Q2598" s="10" t="n">
        <f aca="false">VLOOKUP(G2598,$AA$2:$AB$5,2,FALSE())</f>
        <v>15</v>
      </c>
      <c r="R2598" s="7" t="n">
        <f aca="false">IF(OR(F2598="Open",F2598="Reopened"),1,0)</f>
        <v>1</v>
      </c>
      <c r="S2598" s="7" t="n">
        <f aca="false">IF(AND(H2598&gt;='Exec Summary'!$E$1,H2598&lt;='Exec Summary'!$E$2),1,0)</f>
        <v>0</v>
      </c>
      <c r="T2598" s="7" t="n">
        <f aca="false">IF(AND(F2598="Closed",I2598&lt;&gt;"",I2598&gt;='Exec Summary'!$E$1,I2598&lt;='Exec Summary'!$E$2),1,0)</f>
        <v>0</v>
      </c>
      <c r="U2598" s="7" t="n">
        <f aca="false">IF(F2598="Reopened",1,0)</f>
        <v>0</v>
      </c>
      <c r="V2598" s="7" t="n">
        <f aca="false">IF(AND(R2598=1,O2598&gt;Q2598),1,0)</f>
        <v>1</v>
      </c>
      <c r="W2598" s="7" t="n">
        <f aca="false">IF(AND(T2598=1,P2598&lt;&gt;"",P2598&lt;=Q2598),1,0)</f>
        <v>0</v>
      </c>
    </row>
    <row r="2599" customFormat="false" ht="15" hidden="false" customHeight="false" outlineLevel="0" collapsed="false">
      <c r="A2599" s="7" t="s">
        <v>3068</v>
      </c>
      <c r="B2599" s="7" t="s">
        <v>46</v>
      </c>
      <c r="C2599" s="7" t="s">
        <v>79</v>
      </c>
      <c r="D2599" s="7" t="s">
        <v>101</v>
      </c>
      <c r="E2599" s="7" t="s">
        <v>102</v>
      </c>
      <c r="F2599" s="7" t="s">
        <v>50</v>
      </c>
      <c r="G2599" s="7" t="s">
        <v>19</v>
      </c>
      <c r="H2599" s="9" t="n">
        <v>46022</v>
      </c>
      <c r="I2599" s="9" t="n">
        <v>46028</v>
      </c>
      <c r="J2599" s="7" t="n">
        <v>10</v>
      </c>
      <c r="K2599" s="7" t="s">
        <v>2984</v>
      </c>
      <c r="L2599" s="7" t="s">
        <v>19</v>
      </c>
      <c r="M2599" s="7" t="s">
        <v>3081</v>
      </c>
      <c r="N2599" s="7" t="s">
        <v>58</v>
      </c>
      <c r="O2599" s="10" t="n">
        <f aca="false">'Exec Summary'!$E$2-H2599</f>
        <v>212</v>
      </c>
      <c r="P2599" s="10" t="n">
        <f aca="false">IF(I2599="","",I2599-H2599)</f>
        <v>6</v>
      </c>
      <c r="Q2599" s="10" t="n">
        <f aca="false">VLOOKUP(G2599,$AA$2:$AB$5,2,FALSE())</f>
        <v>15</v>
      </c>
      <c r="R2599" s="7" t="n">
        <f aca="false">IF(OR(F2599="Open",F2599="Reopened"),1,0)</f>
        <v>0</v>
      </c>
      <c r="S2599" s="7" t="n">
        <f aca="false">IF(AND(H2599&gt;='Exec Summary'!$E$1,H2599&lt;='Exec Summary'!$E$2),1,0)</f>
        <v>0</v>
      </c>
      <c r="T2599" s="7" t="n">
        <f aca="false">IF(AND(F2599="Closed",I2599&lt;&gt;"",I2599&gt;='Exec Summary'!$E$1,I2599&lt;='Exec Summary'!$E$2),1,0)</f>
        <v>0</v>
      </c>
      <c r="U2599" s="7" t="n">
        <f aca="false">IF(F2599="Reopened",1,0)</f>
        <v>0</v>
      </c>
      <c r="V2599" s="7" t="n">
        <f aca="false">IF(AND(R2599=1,O2599&gt;Q2599),1,0)</f>
        <v>0</v>
      </c>
      <c r="W2599" s="7" t="n">
        <f aca="false">IF(AND(T2599=1,P2599&lt;&gt;"",P2599&lt;=Q2599),1,0)</f>
        <v>0</v>
      </c>
    </row>
    <row r="2600" customFormat="false" ht="15" hidden="false" customHeight="false" outlineLevel="0" collapsed="false">
      <c r="A2600" s="7" t="s">
        <v>3082</v>
      </c>
      <c r="B2600" s="7" t="s">
        <v>46</v>
      </c>
      <c r="C2600" s="7" t="s">
        <v>177</v>
      </c>
      <c r="D2600" s="7" t="s">
        <v>210</v>
      </c>
      <c r="E2600" s="7" t="s">
        <v>211</v>
      </c>
      <c r="F2600" s="7" t="s">
        <v>50</v>
      </c>
      <c r="G2600" s="7" t="s">
        <v>19</v>
      </c>
      <c r="H2600" s="9" t="n">
        <v>46216</v>
      </c>
      <c r="I2600" s="9" t="n">
        <v>46221</v>
      </c>
      <c r="J2600" s="7" t="n">
        <v>9.8</v>
      </c>
      <c r="K2600" s="7" t="s">
        <v>2984</v>
      </c>
      <c r="L2600" s="7" t="s">
        <v>21</v>
      </c>
      <c r="M2600" s="7" t="s">
        <v>3083</v>
      </c>
      <c r="N2600" s="7" t="s">
        <v>58</v>
      </c>
      <c r="O2600" s="10" t="n">
        <f aca="false">'Exec Summary'!$E$2-H2600</f>
        <v>18</v>
      </c>
      <c r="P2600" s="10" t="n">
        <f aca="false">IF(I2600="","",I2600-H2600)</f>
        <v>5</v>
      </c>
      <c r="Q2600" s="10" t="n">
        <f aca="false">VLOOKUP(G2600,$AA$2:$AB$5,2,FALSE())</f>
        <v>15</v>
      </c>
      <c r="R2600" s="7" t="n">
        <f aca="false">IF(OR(F2600="Open",F2600="Reopened"),1,0)</f>
        <v>0</v>
      </c>
      <c r="S2600" s="7" t="n">
        <f aca="false">IF(AND(H2600&gt;='Exec Summary'!$E$1,H2600&lt;='Exec Summary'!$E$2),1,0)</f>
        <v>1</v>
      </c>
      <c r="T2600" s="7" t="n">
        <f aca="false">IF(AND(F2600="Closed",I2600&lt;&gt;"",I2600&gt;='Exec Summary'!$E$1,I2600&lt;='Exec Summary'!$E$2),1,0)</f>
        <v>1</v>
      </c>
      <c r="U2600" s="7" t="n">
        <f aca="false">IF(F2600="Reopened",1,0)</f>
        <v>0</v>
      </c>
      <c r="V2600" s="7" t="n">
        <f aca="false">IF(AND(R2600=1,O2600&gt;Q2600),1,0)</f>
        <v>0</v>
      </c>
      <c r="W2600" s="7" t="n">
        <f aca="false">IF(AND(T2600=1,P2600&lt;&gt;"",P2600&lt;=Q2600),1,0)</f>
        <v>1</v>
      </c>
    </row>
    <row r="2601" customFormat="false" ht="15" hidden="false" customHeight="false" outlineLevel="0" collapsed="false">
      <c r="A2601" s="7" t="s">
        <v>3082</v>
      </c>
      <c r="B2601" s="7" t="s">
        <v>46</v>
      </c>
      <c r="C2601" s="7" t="s">
        <v>177</v>
      </c>
      <c r="D2601" s="7" t="s">
        <v>166</v>
      </c>
      <c r="E2601" s="7" t="s">
        <v>167</v>
      </c>
      <c r="F2601" s="7" t="s">
        <v>56</v>
      </c>
      <c r="G2601" s="7" t="s">
        <v>19</v>
      </c>
      <c r="H2601" s="9" t="n">
        <v>46057</v>
      </c>
      <c r="I2601" s="9"/>
      <c r="J2601" s="7" t="n">
        <v>9.8</v>
      </c>
      <c r="K2601" s="7" t="s">
        <v>2984</v>
      </c>
      <c r="L2601" s="7" t="s">
        <v>21</v>
      </c>
      <c r="M2601" s="7" t="s">
        <v>3084</v>
      </c>
      <c r="N2601" s="7" t="s">
        <v>58</v>
      </c>
      <c r="O2601" s="10" t="n">
        <f aca="false">'Exec Summary'!$E$2-H2601</f>
        <v>177</v>
      </c>
      <c r="P2601" s="10" t="str">
        <f aca="false">IF(I2601="","",I2601-H2601)</f>
        <v/>
      </c>
      <c r="Q2601" s="10" t="n">
        <f aca="false">VLOOKUP(G2601,$AA$2:$AB$5,2,FALSE())</f>
        <v>15</v>
      </c>
      <c r="R2601" s="7" t="n">
        <f aca="false">IF(OR(F2601="Open",F2601="Reopened"),1,0)</f>
        <v>1</v>
      </c>
      <c r="S2601" s="7" t="n">
        <f aca="false">IF(AND(H2601&gt;='Exec Summary'!$E$1,H2601&lt;='Exec Summary'!$E$2),1,0)</f>
        <v>0</v>
      </c>
      <c r="T2601" s="7" t="n">
        <f aca="false">IF(AND(F2601="Closed",I2601&lt;&gt;"",I2601&gt;='Exec Summary'!$E$1,I2601&lt;='Exec Summary'!$E$2),1,0)</f>
        <v>0</v>
      </c>
      <c r="U2601" s="7" t="n">
        <f aca="false">IF(F2601="Reopened",1,0)</f>
        <v>0</v>
      </c>
      <c r="V2601" s="7" t="n">
        <f aca="false">IF(AND(R2601=1,O2601&gt;Q2601),1,0)</f>
        <v>1</v>
      </c>
      <c r="W2601" s="7" t="n">
        <f aca="false">IF(AND(T2601=1,P2601&lt;&gt;"",P2601&lt;=Q2601),1,0)</f>
        <v>0</v>
      </c>
    </row>
    <row r="2602" customFormat="false" ht="15" hidden="false" customHeight="false" outlineLevel="0" collapsed="false">
      <c r="A2602" s="7" t="s">
        <v>3082</v>
      </c>
      <c r="B2602" s="7" t="s">
        <v>46</v>
      </c>
      <c r="C2602" s="7" t="s">
        <v>177</v>
      </c>
      <c r="D2602" s="7" t="s">
        <v>173</v>
      </c>
      <c r="E2602" s="7" t="s">
        <v>174</v>
      </c>
      <c r="F2602" s="7" t="s">
        <v>50</v>
      </c>
      <c r="G2602" s="7" t="s">
        <v>19</v>
      </c>
      <c r="H2602" s="9" t="n">
        <v>46009</v>
      </c>
      <c r="I2602" s="9" t="n">
        <v>46012</v>
      </c>
      <c r="J2602" s="7" t="n">
        <v>9.8</v>
      </c>
      <c r="K2602" s="7" t="s">
        <v>2984</v>
      </c>
      <c r="L2602" s="7" t="s">
        <v>21</v>
      </c>
      <c r="M2602" s="7" t="s">
        <v>3085</v>
      </c>
      <c r="N2602" s="7" t="s">
        <v>58</v>
      </c>
      <c r="O2602" s="10" t="n">
        <f aca="false">'Exec Summary'!$E$2-H2602</f>
        <v>225</v>
      </c>
      <c r="P2602" s="10" t="n">
        <f aca="false">IF(I2602="","",I2602-H2602)</f>
        <v>3</v>
      </c>
      <c r="Q2602" s="10" t="n">
        <f aca="false">VLOOKUP(G2602,$AA$2:$AB$5,2,FALSE())</f>
        <v>15</v>
      </c>
      <c r="R2602" s="7" t="n">
        <f aca="false">IF(OR(F2602="Open",F2602="Reopened"),1,0)</f>
        <v>0</v>
      </c>
      <c r="S2602" s="7" t="n">
        <f aca="false">IF(AND(H2602&gt;='Exec Summary'!$E$1,H2602&lt;='Exec Summary'!$E$2),1,0)</f>
        <v>0</v>
      </c>
      <c r="T2602" s="7" t="n">
        <f aca="false">IF(AND(F2602="Closed",I2602&lt;&gt;"",I2602&gt;='Exec Summary'!$E$1,I2602&lt;='Exec Summary'!$E$2),1,0)</f>
        <v>0</v>
      </c>
      <c r="U2602" s="7" t="n">
        <f aca="false">IF(F2602="Reopened",1,0)</f>
        <v>0</v>
      </c>
      <c r="V2602" s="7" t="n">
        <f aca="false">IF(AND(R2602=1,O2602&gt;Q2602),1,0)</f>
        <v>0</v>
      </c>
      <c r="W2602" s="7" t="n">
        <f aca="false">IF(AND(T2602=1,P2602&lt;&gt;"",P2602&lt;=Q2602),1,0)</f>
        <v>0</v>
      </c>
    </row>
    <row r="2603" customFormat="false" ht="15" hidden="false" customHeight="false" outlineLevel="0" collapsed="false">
      <c r="A2603" s="7" t="s">
        <v>3082</v>
      </c>
      <c r="B2603" s="7" t="s">
        <v>46</v>
      </c>
      <c r="C2603" s="7" t="s">
        <v>177</v>
      </c>
      <c r="D2603" s="7" t="s">
        <v>84</v>
      </c>
      <c r="E2603" s="7" t="s">
        <v>85</v>
      </c>
      <c r="F2603" s="7" t="s">
        <v>56</v>
      </c>
      <c r="G2603" s="7" t="s">
        <v>20</v>
      </c>
      <c r="H2603" s="9" t="n">
        <v>46064</v>
      </c>
      <c r="I2603" s="9"/>
      <c r="J2603" s="7" t="n">
        <v>7.5</v>
      </c>
      <c r="K2603" s="7" t="s">
        <v>2984</v>
      </c>
      <c r="L2603" s="7" t="s">
        <v>21</v>
      </c>
      <c r="M2603" s="7" t="s">
        <v>3086</v>
      </c>
      <c r="N2603" s="7" t="s">
        <v>53</v>
      </c>
      <c r="O2603" s="10" t="n">
        <f aca="false">'Exec Summary'!$E$2-H2603</f>
        <v>170</v>
      </c>
      <c r="P2603" s="10" t="str">
        <f aca="false">IF(I2603="","",I2603-H2603)</f>
        <v/>
      </c>
      <c r="Q2603" s="10" t="n">
        <f aca="false">VLOOKUP(G2603,$AA$2:$AB$5,2,FALSE())</f>
        <v>30</v>
      </c>
      <c r="R2603" s="7" t="n">
        <f aca="false">IF(OR(F2603="Open",F2603="Reopened"),1,0)</f>
        <v>1</v>
      </c>
      <c r="S2603" s="7" t="n">
        <f aca="false">IF(AND(H2603&gt;='Exec Summary'!$E$1,H2603&lt;='Exec Summary'!$E$2),1,0)</f>
        <v>0</v>
      </c>
      <c r="T2603" s="7" t="n">
        <f aca="false">IF(AND(F2603="Closed",I2603&lt;&gt;"",I2603&gt;='Exec Summary'!$E$1,I2603&lt;='Exec Summary'!$E$2),1,0)</f>
        <v>0</v>
      </c>
      <c r="U2603" s="7" t="n">
        <f aca="false">IF(F2603="Reopened",1,0)</f>
        <v>0</v>
      </c>
      <c r="V2603" s="7" t="n">
        <f aca="false">IF(AND(R2603=1,O2603&gt;Q2603),1,0)</f>
        <v>1</v>
      </c>
      <c r="W2603" s="7" t="n">
        <f aca="false">IF(AND(T2603=1,P2603&lt;&gt;"",P2603&lt;=Q2603),1,0)</f>
        <v>0</v>
      </c>
    </row>
    <row r="2604" customFormat="false" ht="15" hidden="false" customHeight="false" outlineLevel="0" collapsed="false">
      <c r="A2604" s="7" t="s">
        <v>3082</v>
      </c>
      <c r="B2604" s="7" t="s">
        <v>46</v>
      </c>
      <c r="C2604" s="7" t="s">
        <v>177</v>
      </c>
      <c r="D2604" s="7" t="s">
        <v>139</v>
      </c>
      <c r="E2604" s="7" t="s">
        <v>140</v>
      </c>
      <c r="F2604" s="7" t="s">
        <v>50</v>
      </c>
      <c r="G2604" s="7" t="s">
        <v>19</v>
      </c>
      <c r="H2604" s="9" t="n">
        <v>46224</v>
      </c>
      <c r="I2604" s="9" t="n">
        <v>46234</v>
      </c>
      <c r="J2604" s="7" t="n">
        <v>9.8</v>
      </c>
      <c r="K2604" s="7" t="s">
        <v>2984</v>
      </c>
      <c r="L2604" s="7" t="s">
        <v>21</v>
      </c>
      <c r="M2604" s="7" t="s">
        <v>3087</v>
      </c>
      <c r="N2604" s="7" t="s">
        <v>58</v>
      </c>
      <c r="O2604" s="10" t="n">
        <f aca="false">'Exec Summary'!$E$2-H2604</f>
        <v>10</v>
      </c>
      <c r="P2604" s="10" t="n">
        <f aca="false">IF(I2604="","",I2604-H2604)</f>
        <v>10</v>
      </c>
      <c r="Q2604" s="10" t="n">
        <f aca="false">VLOOKUP(G2604,$AA$2:$AB$5,2,FALSE())</f>
        <v>15</v>
      </c>
      <c r="R2604" s="7" t="n">
        <f aca="false">IF(OR(F2604="Open",F2604="Reopened"),1,0)</f>
        <v>0</v>
      </c>
      <c r="S2604" s="7" t="n">
        <f aca="false">IF(AND(H2604&gt;='Exec Summary'!$E$1,H2604&lt;='Exec Summary'!$E$2),1,0)</f>
        <v>1</v>
      </c>
      <c r="T2604" s="7" t="n">
        <f aca="false">IF(AND(F2604="Closed",I2604&lt;&gt;"",I2604&gt;='Exec Summary'!$E$1,I2604&lt;='Exec Summary'!$E$2),1,0)</f>
        <v>1</v>
      </c>
      <c r="U2604" s="7" t="n">
        <f aca="false">IF(F2604="Reopened",1,0)</f>
        <v>0</v>
      </c>
      <c r="V2604" s="7" t="n">
        <f aca="false">IF(AND(R2604=1,O2604&gt;Q2604),1,0)</f>
        <v>0</v>
      </c>
      <c r="W2604" s="7" t="n">
        <f aca="false">IF(AND(T2604=1,P2604&lt;&gt;"",P2604&lt;=Q2604),1,0)</f>
        <v>1</v>
      </c>
    </row>
    <row r="2605" customFormat="false" ht="15" hidden="false" customHeight="false" outlineLevel="0" collapsed="false">
      <c r="A2605" s="7" t="s">
        <v>3082</v>
      </c>
      <c r="B2605" s="7" t="s">
        <v>46</v>
      </c>
      <c r="C2605" s="7" t="s">
        <v>177</v>
      </c>
      <c r="D2605" s="7" t="s">
        <v>65</v>
      </c>
      <c r="E2605" s="7" t="s">
        <v>66</v>
      </c>
      <c r="F2605" s="7" t="s">
        <v>56</v>
      </c>
      <c r="G2605" s="7" t="s">
        <v>19</v>
      </c>
      <c r="H2605" s="9" t="n">
        <v>46090</v>
      </c>
      <c r="I2605" s="9"/>
      <c r="J2605" s="7" t="n">
        <v>9.8</v>
      </c>
      <c r="K2605" s="7" t="s">
        <v>2984</v>
      </c>
      <c r="L2605" s="7" t="s">
        <v>21</v>
      </c>
      <c r="M2605" s="7" t="s">
        <v>3088</v>
      </c>
      <c r="N2605" s="7" t="s">
        <v>58</v>
      </c>
      <c r="O2605" s="10" t="n">
        <f aca="false">'Exec Summary'!$E$2-H2605</f>
        <v>144</v>
      </c>
      <c r="P2605" s="10" t="str">
        <f aca="false">IF(I2605="","",I2605-H2605)</f>
        <v/>
      </c>
      <c r="Q2605" s="10" t="n">
        <f aca="false">VLOOKUP(G2605,$AA$2:$AB$5,2,FALSE())</f>
        <v>15</v>
      </c>
      <c r="R2605" s="7" t="n">
        <f aca="false">IF(OR(F2605="Open",F2605="Reopened"),1,0)</f>
        <v>1</v>
      </c>
      <c r="S2605" s="7" t="n">
        <f aca="false">IF(AND(H2605&gt;='Exec Summary'!$E$1,H2605&lt;='Exec Summary'!$E$2),1,0)</f>
        <v>0</v>
      </c>
      <c r="T2605" s="7" t="n">
        <f aca="false">IF(AND(F2605="Closed",I2605&lt;&gt;"",I2605&gt;='Exec Summary'!$E$1,I2605&lt;='Exec Summary'!$E$2),1,0)</f>
        <v>0</v>
      </c>
      <c r="U2605" s="7" t="n">
        <f aca="false">IF(F2605="Reopened",1,0)</f>
        <v>0</v>
      </c>
      <c r="V2605" s="7" t="n">
        <f aca="false">IF(AND(R2605=1,O2605&gt;Q2605),1,0)</f>
        <v>1</v>
      </c>
      <c r="W2605" s="7" t="n">
        <f aca="false">IF(AND(T2605=1,P2605&lt;&gt;"",P2605&lt;=Q2605),1,0)</f>
        <v>0</v>
      </c>
    </row>
    <row r="2606" customFormat="false" ht="15" hidden="false" customHeight="false" outlineLevel="0" collapsed="false">
      <c r="A2606" s="7" t="s">
        <v>3082</v>
      </c>
      <c r="B2606" s="7" t="s">
        <v>46</v>
      </c>
      <c r="C2606" s="7" t="s">
        <v>177</v>
      </c>
      <c r="D2606" s="7" t="s">
        <v>152</v>
      </c>
      <c r="E2606" s="7" t="s">
        <v>153</v>
      </c>
      <c r="F2606" s="7" t="s">
        <v>50</v>
      </c>
      <c r="G2606" s="7" t="s">
        <v>20</v>
      </c>
      <c r="H2606" s="9" t="n">
        <v>46180</v>
      </c>
      <c r="I2606" s="9" t="n">
        <v>46201</v>
      </c>
      <c r="J2606" s="7" t="n">
        <v>7.5</v>
      </c>
      <c r="K2606" s="7" t="s">
        <v>2984</v>
      </c>
      <c r="L2606" s="7" t="s">
        <v>21</v>
      </c>
      <c r="M2606" s="7" t="s">
        <v>3089</v>
      </c>
      <c r="N2606" s="7" t="s">
        <v>53</v>
      </c>
      <c r="O2606" s="10" t="n">
        <f aca="false">'Exec Summary'!$E$2-H2606</f>
        <v>54</v>
      </c>
      <c r="P2606" s="10" t="n">
        <f aca="false">IF(I2606="","",I2606-H2606)</f>
        <v>21</v>
      </c>
      <c r="Q2606" s="10" t="n">
        <f aca="false">VLOOKUP(G2606,$AA$2:$AB$5,2,FALSE())</f>
        <v>30</v>
      </c>
      <c r="R2606" s="7" t="n">
        <f aca="false">IF(OR(F2606="Open",F2606="Reopened"),1,0)</f>
        <v>0</v>
      </c>
      <c r="S2606" s="7" t="n">
        <f aca="false">IF(AND(H2606&gt;='Exec Summary'!$E$1,H2606&lt;='Exec Summary'!$E$2),1,0)</f>
        <v>0</v>
      </c>
      <c r="T2606" s="7" t="n">
        <f aca="false">IF(AND(F2606="Closed",I2606&lt;&gt;"",I2606&gt;='Exec Summary'!$E$1,I2606&lt;='Exec Summary'!$E$2),1,0)</f>
        <v>0</v>
      </c>
      <c r="U2606" s="7" t="n">
        <f aca="false">IF(F2606="Reopened",1,0)</f>
        <v>0</v>
      </c>
      <c r="V2606" s="7" t="n">
        <f aca="false">IF(AND(R2606=1,O2606&gt;Q2606),1,0)</f>
        <v>0</v>
      </c>
      <c r="W2606" s="7" t="n">
        <f aca="false">IF(AND(T2606=1,P2606&lt;&gt;"",P2606&lt;=Q2606),1,0)</f>
        <v>0</v>
      </c>
    </row>
    <row r="2607" customFormat="false" ht="15" hidden="false" customHeight="false" outlineLevel="0" collapsed="false">
      <c r="A2607" s="7" t="s">
        <v>3082</v>
      </c>
      <c r="B2607" s="7" t="s">
        <v>46</v>
      </c>
      <c r="C2607" s="7" t="s">
        <v>177</v>
      </c>
      <c r="D2607" s="7" t="s">
        <v>98</v>
      </c>
      <c r="E2607" s="7" t="s">
        <v>99</v>
      </c>
      <c r="F2607" s="7" t="s">
        <v>50</v>
      </c>
      <c r="G2607" s="7" t="s">
        <v>19</v>
      </c>
      <c r="H2607" s="9" t="n">
        <v>45987</v>
      </c>
      <c r="I2607" s="9" t="n">
        <v>45994</v>
      </c>
      <c r="J2607" s="7" t="n">
        <v>10</v>
      </c>
      <c r="K2607" s="7" t="s">
        <v>2984</v>
      </c>
      <c r="L2607" s="7" t="s">
        <v>21</v>
      </c>
      <c r="M2607" s="7" t="s">
        <v>3090</v>
      </c>
      <c r="N2607" s="7" t="s">
        <v>58</v>
      </c>
      <c r="O2607" s="10" t="n">
        <f aca="false">'Exec Summary'!$E$2-H2607</f>
        <v>247</v>
      </c>
      <c r="P2607" s="10" t="n">
        <f aca="false">IF(I2607="","",I2607-H2607)</f>
        <v>7</v>
      </c>
      <c r="Q2607" s="10" t="n">
        <f aca="false">VLOOKUP(G2607,$AA$2:$AB$5,2,FALSE())</f>
        <v>15</v>
      </c>
      <c r="R2607" s="7" t="n">
        <f aca="false">IF(OR(F2607="Open",F2607="Reopened"),1,0)</f>
        <v>0</v>
      </c>
      <c r="S2607" s="7" t="n">
        <f aca="false">IF(AND(H2607&gt;='Exec Summary'!$E$1,H2607&lt;='Exec Summary'!$E$2),1,0)</f>
        <v>0</v>
      </c>
      <c r="T2607" s="7" t="n">
        <f aca="false">IF(AND(F2607="Closed",I2607&lt;&gt;"",I2607&gt;='Exec Summary'!$E$1,I2607&lt;='Exec Summary'!$E$2),1,0)</f>
        <v>0</v>
      </c>
      <c r="U2607" s="7" t="n">
        <f aca="false">IF(F2607="Reopened",1,0)</f>
        <v>0</v>
      </c>
      <c r="V2607" s="7" t="n">
        <f aca="false">IF(AND(R2607=1,O2607&gt;Q2607),1,0)</f>
        <v>0</v>
      </c>
      <c r="W2607" s="7" t="n">
        <f aca="false">IF(AND(T2607=1,P2607&lt;&gt;"",P2607&lt;=Q2607),1,0)</f>
        <v>0</v>
      </c>
    </row>
    <row r="2608" customFormat="false" ht="15" hidden="false" customHeight="false" outlineLevel="0" collapsed="false">
      <c r="A2608" s="7" t="s">
        <v>3082</v>
      </c>
      <c r="B2608" s="7" t="s">
        <v>46</v>
      </c>
      <c r="C2608" s="7" t="s">
        <v>177</v>
      </c>
      <c r="D2608" s="7" t="s">
        <v>112</v>
      </c>
      <c r="E2608" s="7" t="s">
        <v>113</v>
      </c>
      <c r="F2608" s="7" t="s">
        <v>56</v>
      </c>
      <c r="G2608" s="7" t="s">
        <v>20</v>
      </c>
      <c r="H2608" s="9" t="n">
        <v>45979</v>
      </c>
      <c r="I2608" s="9"/>
      <c r="J2608" s="7" t="n">
        <v>7.8</v>
      </c>
      <c r="K2608" s="7" t="s">
        <v>2984</v>
      </c>
      <c r="L2608" s="7" t="s">
        <v>21</v>
      </c>
      <c r="M2608" s="7" t="s">
        <v>3091</v>
      </c>
      <c r="N2608" s="7" t="s">
        <v>53</v>
      </c>
      <c r="O2608" s="10" t="n">
        <f aca="false">'Exec Summary'!$E$2-H2608</f>
        <v>255</v>
      </c>
      <c r="P2608" s="10" t="str">
        <f aca="false">IF(I2608="","",I2608-H2608)</f>
        <v/>
      </c>
      <c r="Q2608" s="10" t="n">
        <f aca="false">VLOOKUP(G2608,$AA$2:$AB$5,2,FALSE())</f>
        <v>30</v>
      </c>
      <c r="R2608" s="7" t="n">
        <f aca="false">IF(OR(F2608="Open",F2608="Reopened"),1,0)</f>
        <v>1</v>
      </c>
      <c r="S2608" s="7" t="n">
        <f aca="false">IF(AND(H2608&gt;='Exec Summary'!$E$1,H2608&lt;='Exec Summary'!$E$2),1,0)</f>
        <v>0</v>
      </c>
      <c r="T2608" s="7" t="n">
        <f aca="false">IF(AND(F2608="Closed",I2608&lt;&gt;"",I2608&gt;='Exec Summary'!$E$1,I2608&lt;='Exec Summary'!$E$2),1,0)</f>
        <v>0</v>
      </c>
      <c r="U2608" s="7" t="n">
        <f aca="false">IF(F2608="Reopened",1,0)</f>
        <v>0</v>
      </c>
      <c r="V2608" s="7" t="n">
        <f aca="false">IF(AND(R2608=1,O2608&gt;Q2608),1,0)</f>
        <v>1</v>
      </c>
      <c r="W2608" s="7" t="n">
        <f aca="false">IF(AND(T2608=1,P2608&lt;&gt;"",P2608&lt;=Q2608),1,0)</f>
        <v>0</v>
      </c>
    </row>
    <row r="2609" customFormat="false" ht="15" hidden="false" customHeight="false" outlineLevel="0" collapsed="false">
      <c r="A2609" s="7" t="s">
        <v>3092</v>
      </c>
      <c r="B2609" s="7" t="s">
        <v>46</v>
      </c>
      <c r="C2609" s="7" t="s">
        <v>128</v>
      </c>
      <c r="D2609" s="7" t="s">
        <v>104</v>
      </c>
      <c r="E2609" s="7" t="s">
        <v>105</v>
      </c>
      <c r="F2609" s="7" t="s">
        <v>50</v>
      </c>
      <c r="G2609" s="7" t="s">
        <v>19</v>
      </c>
      <c r="H2609" s="9" t="n">
        <v>45986</v>
      </c>
      <c r="I2609" s="9" t="n">
        <v>45998</v>
      </c>
      <c r="J2609" s="7" t="n">
        <v>9.8</v>
      </c>
      <c r="K2609" s="7" t="s">
        <v>2984</v>
      </c>
      <c r="L2609" s="7" t="s">
        <v>21</v>
      </c>
      <c r="M2609" s="7" t="s">
        <v>3093</v>
      </c>
      <c r="N2609" s="7" t="s">
        <v>58</v>
      </c>
      <c r="O2609" s="10" t="n">
        <f aca="false">'Exec Summary'!$E$2-H2609</f>
        <v>248</v>
      </c>
      <c r="P2609" s="10" t="n">
        <f aca="false">IF(I2609="","",I2609-H2609)</f>
        <v>12</v>
      </c>
      <c r="Q2609" s="10" t="n">
        <f aca="false">VLOOKUP(G2609,$AA$2:$AB$5,2,FALSE())</f>
        <v>15</v>
      </c>
      <c r="R2609" s="7" t="n">
        <f aca="false">IF(OR(F2609="Open",F2609="Reopened"),1,0)</f>
        <v>0</v>
      </c>
      <c r="S2609" s="7" t="n">
        <f aca="false">IF(AND(H2609&gt;='Exec Summary'!$E$1,H2609&lt;='Exec Summary'!$E$2),1,0)</f>
        <v>0</v>
      </c>
      <c r="T2609" s="7" t="n">
        <f aca="false">IF(AND(F2609="Closed",I2609&lt;&gt;"",I2609&gt;='Exec Summary'!$E$1,I2609&lt;='Exec Summary'!$E$2),1,0)</f>
        <v>0</v>
      </c>
      <c r="U2609" s="7" t="n">
        <f aca="false">IF(F2609="Reopened",1,0)</f>
        <v>0</v>
      </c>
      <c r="V2609" s="7" t="n">
        <f aca="false">IF(AND(R2609=1,O2609&gt;Q2609),1,0)</f>
        <v>0</v>
      </c>
      <c r="W2609" s="7" t="n">
        <f aca="false">IF(AND(T2609=1,P2609&lt;&gt;"",P2609&lt;=Q2609),1,0)</f>
        <v>0</v>
      </c>
    </row>
    <row r="2610" customFormat="false" ht="15" hidden="false" customHeight="false" outlineLevel="0" collapsed="false">
      <c r="A2610" s="7" t="s">
        <v>3092</v>
      </c>
      <c r="B2610" s="7" t="s">
        <v>46</v>
      </c>
      <c r="C2610" s="7" t="s">
        <v>128</v>
      </c>
      <c r="D2610" s="7" t="s">
        <v>54</v>
      </c>
      <c r="E2610" s="7" t="s">
        <v>55</v>
      </c>
      <c r="F2610" s="7" t="s">
        <v>50</v>
      </c>
      <c r="G2610" s="7" t="s">
        <v>19</v>
      </c>
      <c r="H2610" s="9" t="n">
        <v>45949</v>
      </c>
      <c r="I2610" s="9" t="n">
        <v>45966</v>
      </c>
      <c r="J2610" s="7" t="n">
        <v>9.8</v>
      </c>
      <c r="K2610" s="7" t="s">
        <v>2984</v>
      </c>
      <c r="L2610" s="7" t="s">
        <v>21</v>
      </c>
      <c r="M2610" s="7" t="s">
        <v>3094</v>
      </c>
      <c r="N2610" s="7" t="s">
        <v>58</v>
      </c>
      <c r="O2610" s="10" t="n">
        <f aca="false">'Exec Summary'!$E$2-H2610</f>
        <v>285</v>
      </c>
      <c r="P2610" s="10" t="n">
        <f aca="false">IF(I2610="","",I2610-H2610)</f>
        <v>17</v>
      </c>
      <c r="Q2610" s="10" t="n">
        <f aca="false">VLOOKUP(G2610,$AA$2:$AB$5,2,FALSE())</f>
        <v>15</v>
      </c>
      <c r="R2610" s="7" t="n">
        <f aca="false">IF(OR(F2610="Open",F2610="Reopened"),1,0)</f>
        <v>0</v>
      </c>
      <c r="S2610" s="7" t="n">
        <f aca="false">IF(AND(H2610&gt;='Exec Summary'!$E$1,H2610&lt;='Exec Summary'!$E$2),1,0)</f>
        <v>0</v>
      </c>
      <c r="T2610" s="7" t="n">
        <f aca="false">IF(AND(F2610="Closed",I2610&lt;&gt;"",I2610&gt;='Exec Summary'!$E$1,I2610&lt;='Exec Summary'!$E$2),1,0)</f>
        <v>0</v>
      </c>
      <c r="U2610" s="7" t="n">
        <f aca="false">IF(F2610="Reopened",1,0)</f>
        <v>0</v>
      </c>
      <c r="V2610" s="7" t="n">
        <f aca="false">IF(AND(R2610=1,O2610&gt;Q2610),1,0)</f>
        <v>0</v>
      </c>
      <c r="W2610" s="7" t="n">
        <f aca="false">IF(AND(T2610=1,P2610&lt;&gt;"",P2610&lt;=Q2610),1,0)</f>
        <v>0</v>
      </c>
    </row>
    <row r="2611" customFormat="false" ht="15" hidden="false" customHeight="false" outlineLevel="0" collapsed="false">
      <c r="A2611" s="7" t="s">
        <v>3092</v>
      </c>
      <c r="B2611" s="7" t="s">
        <v>46</v>
      </c>
      <c r="C2611" s="7" t="s">
        <v>128</v>
      </c>
      <c r="D2611" s="7" t="s">
        <v>71</v>
      </c>
      <c r="E2611" s="7" t="s">
        <v>72</v>
      </c>
      <c r="F2611" s="7" t="s">
        <v>56</v>
      </c>
      <c r="G2611" s="7" t="s">
        <v>19</v>
      </c>
      <c r="H2611" s="9" t="n">
        <v>46198</v>
      </c>
      <c r="I2611" s="9"/>
      <c r="J2611" s="7" t="n">
        <v>9.8</v>
      </c>
      <c r="K2611" s="7" t="s">
        <v>2984</v>
      </c>
      <c r="L2611" s="7" t="s">
        <v>21</v>
      </c>
      <c r="M2611" s="7" t="s">
        <v>3095</v>
      </c>
      <c r="N2611" s="7" t="s">
        <v>58</v>
      </c>
      <c r="O2611" s="10" t="n">
        <f aca="false">'Exec Summary'!$E$2-H2611</f>
        <v>36</v>
      </c>
      <c r="P2611" s="10" t="str">
        <f aca="false">IF(I2611="","",I2611-H2611)</f>
        <v/>
      </c>
      <c r="Q2611" s="10" t="n">
        <f aca="false">VLOOKUP(G2611,$AA$2:$AB$5,2,FALSE())</f>
        <v>15</v>
      </c>
      <c r="R2611" s="7" t="n">
        <f aca="false">IF(OR(F2611="Open",F2611="Reopened"),1,0)</f>
        <v>1</v>
      </c>
      <c r="S2611" s="7" t="n">
        <f aca="false">IF(AND(H2611&gt;='Exec Summary'!$E$1,H2611&lt;='Exec Summary'!$E$2),1,0)</f>
        <v>0</v>
      </c>
      <c r="T2611" s="7" t="n">
        <f aca="false">IF(AND(F2611="Closed",I2611&lt;&gt;"",I2611&gt;='Exec Summary'!$E$1,I2611&lt;='Exec Summary'!$E$2),1,0)</f>
        <v>0</v>
      </c>
      <c r="U2611" s="7" t="n">
        <f aca="false">IF(F2611="Reopened",1,0)</f>
        <v>0</v>
      </c>
      <c r="V2611" s="7" t="n">
        <f aca="false">IF(AND(R2611=1,O2611&gt;Q2611),1,0)</f>
        <v>1</v>
      </c>
      <c r="W2611" s="7" t="n">
        <f aca="false">IF(AND(T2611=1,P2611&lt;&gt;"",P2611&lt;=Q2611),1,0)</f>
        <v>0</v>
      </c>
    </row>
    <row r="2612" customFormat="false" ht="15" hidden="false" customHeight="false" outlineLevel="0" collapsed="false">
      <c r="A2612" s="7" t="s">
        <v>3092</v>
      </c>
      <c r="B2612" s="7" t="s">
        <v>46</v>
      </c>
      <c r="C2612" s="7" t="s">
        <v>128</v>
      </c>
      <c r="D2612" s="7" t="s">
        <v>112</v>
      </c>
      <c r="E2612" s="7" t="s">
        <v>113</v>
      </c>
      <c r="F2612" s="7" t="s">
        <v>56</v>
      </c>
      <c r="G2612" s="7" t="s">
        <v>20</v>
      </c>
      <c r="H2612" s="9" t="n">
        <v>46219</v>
      </c>
      <c r="I2612" s="9"/>
      <c r="J2612" s="7" t="n">
        <v>7.8</v>
      </c>
      <c r="K2612" s="7" t="s">
        <v>2984</v>
      </c>
      <c r="L2612" s="7" t="s">
        <v>21</v>
      </c>
      <c r="M2612" s="7" t="s">
        <v>3096</v>
      </c>
      <c r="N2612" s="7" t="s">
        <v>53</v>
      </c>
      <c r="O2612" s="10" t="n">
        <f aca="false">'Exec Summary'!$E$2-H2612</f>
        <v>15</v>
      </c>
      <c r="P2612" s="10" t="str">
        <f aca="false">IF(I2612="","",I2612-H2612)</f>
        <v/>
      </c>
      <c r="Q2612" s="10" t="n">
        <f aca="false">VLOOKUP(G2612,$AA$2:$AB$5,2,FALSE())</f>
        <v>30</v>
      </c>
      <c r="R2612" s="7" t="n">
        <f aca="false">IF(OR(F2612="Open",F2612="Reopened"),1,0)</f>
        <v>1</v>
      </c>
      <c r="S2612" s="7" t="n">
        <f aca="false">IF(AND(H2612&gt;='Exec Summary'!$E$1,H2612&lt;='Exec Summary'!$E$2),1,0)</f>
        <v>1</v>
      </c>
      <c r="T2612" s="7" t="n">
        <f aca="false">IF(AND(F2612="Closed",I2612&lt;&gt;"",I2612&gt;='Exec Summary'!$E$1,I2612&lt;='Exec Summary'!$E$2),1,0)</f>
        <v>0</v>
      </c>
      <c r="U2612" s="7" t="n">
        <f aca="false">IF(F2612="Reopened",1,0)</f>
        <v>0</v>
      </c>
      <c r="V2612" s="7" t="n">
        <f aca="false">IF(AND(R2612=1,O2612&gt;Q2612),1,0)</f>
        <v>0</v>
      </c>
      <c r="W2612" s="7" t="n">
        <f aca="false">IF(AND(T2612=1,P2612&lt;&gt;"",P2612&lt;=Q2612),1,0)</f>
        <v>0</v>
      </c>
    </row>
    <row r="2613" customFormat="false" ht="15" hidden="false" customHeight="false" outlineLevel="0" collapsed="false">
      <c r="A2613" s="7" t="s">
        <v>3092</v>
      </c>
      <c r="B2613" s="7" t="s">
        <v>46</v>
      </c>
      <c r="C2613" s="7" t="s">
        <v>128</v>
      </c>
      <c r="D2613" s="7" t="s">
        <v>48</v>
      </c>
      <c r="E2613" s="7" t="s">
        <v>49</v>
      </c>
      <c r="F2613" s="7" t="s">
        <v>50</v>
      </c>
      <c r="G2613" s="7" t="s">
        <v>20</v>
      </c>
      <c r="H2613" s="9" t="n">
        <v>46008</v>
      </c>
      <c r="I2613" s="9" t="n">
        <v>46009</v>
      </c>
      <c r="J2613" s="7" t="n">
        <v>7.5</v>
      </c>
      <c r="K2613" s="7" t="s">
        <v>2984</v>
      </c>
      <c r="L2613" s="7" t="s">
        <v>21</v>
      </c>
      <c r="M2613" s="7" t="s">
        <v>3097</v>
      </c>
      <c r="N2613" s="7" t="s">
        <v>53</v>
      </c>
      <c r="O2613" s="10" t="n">
        <f aca="false">'Exec Summary'!$E$2-H2613</f>
        <v>226</v>
      </c>
      <c r="P2613" s="10" t="n">
        <f aca="false">IF(I2613="","",I2613-H2613)</f>
        <v>1</v>
      </c>
      <c r="Q2613" s="10" t="n">
        <f aca="false">VLOOKUP(G2613,$AA$2:$AB$5,2,FALSE())</f>
        <v>30</v>
      </c>
      <c r="R2613" s="7" t="n">
        <f aca="false">IF(OR(F2613="Open",F2613="Reopened"),1,0)</f>
        <v>0</v>
      </c>
      <c r="S2613" s="7" t="n">
        <f aca="false">IF(AND(H2613&gt;='Exec Summary'!$E$1,H2613&lt;='Exec Summary'!$E$2),1,0)</f>
        <v>0</v>
      </c>
      <c r="T2613" s="7" t="n">
        <f aca="false">IF(AND(F2613="Closed",I2613&lt;&gt;"",I2613&gt;='Exec Summary'!$E$1,I2613&lt;='Exec Summary'!$E$2),1,0)</f>
        <v>0</v>
      </c>
      <c r="U2613" s="7" t="n">
        <f aca="false">IF(F2613="Reopened",1,0)</f>
        <v>0</v>
      </c>
      <c r="V2613" s="7" t="n">
        <f aca="false">IF(AND(R2613=1,O2613&gt;Q2613),1,0)</f>
        <v>0</v>
      </c>
      <c r="W2613" s="7" t="n">
        <f aca="false">IF(AND(T2613=1,P2613&lt;&gt;"",P2613&lt;=Q2613),1,0)</f>
        <v>0</v>
      </c>
    </row>
    <row r="2614" customFormat="false" ht="15" hidden="false" customHeight="false" outlineLevel="0" collapsed="false">
      <c r="A2614" s="7" t="s">
        <v>3092</v>
      </c>
      <c r="B2614" s="7" t="s">
        <v>46</v>
      </c>
      <c r="C2614" s="7" t="s">
        <v>128</v>
      </c>
      <c r="D2614" s="7" t="s">
        <v>108</v>
      </c>
      <c r="E2614" s="7" t="s">
        <v>109</v>
      </c>
      <c r="F2614" s="7" t="s">
        <v>50</v>
      </c>
      <c r="G2614" s="7" t="s">
        <v>20</v>
      </c>
      <c r="H2614" s="9" t="n">
        <v>46028</v>
      </c>
      <c r="I2614" s="9" t="n">
        <v>46052</v>
      </c>
      <c r="J2614" s="7" t="n">
        <v>8.6</v>
      </c>
      <c r="K2614" s="7" t="s">
        <v>2984</v>
      </c>
      <c r="L2614" s="7" t="s">
        <v>21</v>
      </c>
      <c r="M2614" s="7" t="s">
        <v>3098</v>
      </c>
      <c r="N2614" s="7" t="s">
        <v>53</v>
      </c>
      <c r="O2614" s="10" t="n">
        <f aca="false">'Exec Summary'!$E$2-H2614</f>
        <v>206</v>
      </c>
      <c r="P2614" s="10" t="n">
        <f aca="false">IF(I2614="","",I2614-H2614)</f>
        <v>24</v>
      </c>
      <c r="Q2614" s="10" t="n">
        <f aca="false">VLOOKUP(G2614,$AA$2:$AB$5,2,FALSE())</f>
        <v>30</v>
      </c>
      <c r="R2614" s="7" t="n">
        <f aca="false">IF(OR(F2614="Open",F2614="Reopened"),1,0)</f>
        <v>0</v>
      </c>
      <c r="S2614" s="7" t="n">
        <f aca="false">IF(AND(H2614&gt;='Exec Summary'!$E$1,H2614&lt;='Exec Summary'!$E$2),1,0)</f>
        <v>0</v>
      </c>
      <c r="T2614" s="7" t="n">
        <f aca="false">IF(AND(F2614="Closed",I2614&lt;&gt;"",I2614&gt;='Exec Summary'!$E$1,I2614&lt;='Exec Summary'!$E$2),1,0)</f>
        <v>0</v>
      </c>
      <c r="U2614" s="7" t="n">
        <f aca="false">IF(F2614="Reopened",1,0)</f>
        <v>0</v>
      </c>
      <c r="V2614" s="7" t="n">
        <f aca="false">IF(AND(R2614=1,O2614&gt;Q2614),1,0)</f>
        <v>0</v>
      </c>
      <c r="W2614" s="7" t="n">
        <f aca="false">IF(AND(T2614=1,P2614&lt;&gt;"",P2614&lt;=Q2614),1,0)</f>
        <v>0</v>
      </c>
    </row>
    <row r="2615" customFormat="false" ht="15" hidden="false" customHeight="false" outlineLevel="0" collapsed="false">
      <c r="A2615" s="7" t="s">
        <v>3092</v>
      </c>
      <c r="B2615" s="7" t="s">
        <v>46</v>
      </c>
      <c r="C2615" s="7" t="s">
        <v>128</v>
      </c>
      <c r="D2615" s="7" t="s">
        <v>210</v>
      </c>
      <c r="E2615" s="7" t="s">
        <v>211</v>
      </c>
      <c r="F2615" s="7" t="s">
        <v>50</v>
      </c>
      <c r="G2615" s="7" t="s">
        <v>19</v>
      </c>
      <c r="H2615" s="9" t="n">
        <v>46170</v>
      </c>
      <c r="I2615" s="9" t="n">
        <v>46180</v>
      </c>
      <c r="J2615" s="7" t="n">
        <v>9.8</v>
      </c>
      <c r="K2615" s="7" t="s">
        <v>2984</v>
      </c>
      <c r="L2615" s="7" t="s">
        <v>21</v>
      </c>
      <c r="M2615" s="7" t="s">
        <v>3099</v>
      </c>
      <c r="N2615" s="7" t="s">
        <v>58</v>
      </c>
      <c r="O2615" s="10" t="n">
        <f aca="false">'Exec Summary'!$E$2-H2615</f>
        <v>64</v>
      </c>
      <c r="P2615" s="10" t="n">
        <f aca="false">IF(I2615="","",I2615-H2615)</f>
        <v>10</v>
      </c>
      <c r="Q2615" s="10" t="n">
        <f aca="false">VLOOKUP(G2615,$AA$2:$AB$5,2,FALSE())</f>
        <v>15</v>
      </c>
      <c r="R2615" s="7" t="n">
        <f aca="false">IF(OR(F2615="Open",F2615="Reopened"),1,0)</f>
        <v>0</v>
      </c>
      <c r="S2615" s="7" t="n">
        <f aca="false">IF(AND(H2615&gt;='Exec Summary'!$E$1,H2615&lt;='Exec Summary'!$E$2),1,0)</f>
        <v>0</v>
      </c>
      <c r="T2615" s="7" t="n">
        <f aca="false">IF(AND(F2615="Closed",I2615&lt;&gt;"",I2615&gt;='Exec Summary'!$E$1,I2615&lt;='Exec Summary'!$E$2),1,0)</f>
        <v>0</v>
      </c>
      <c r="U2615" s="7" t="n">
        <f aca="false">IF(F2615="Reopened",1,0)</f>
        <v>0</v>
      </c>
      <c r="V2615" s="7" t="n">
        <f aca="false">IF(AND(R2615=1,O2615&gt;Q2615),1,0)</f>
        <v>0</v>
      </c>
      <c r="W2615" s="7" t="n">
        <f aca="false">IF(AND(T2615=1,P2615&lt;&gt;"",P2615&lt;=Q2615),1,0)</f>
        <v>0</v>
      </c>
    </row>
    <row r="2616" customFormat="false" ht="15" hidden="false" customHeight="false" outlineLevel="0" collapsed="false">
      <c r="A2616" s="7" t="s">
        <v>3092</v>
      </c>
      <c r="B2616" s="7" t="s">
        <v>46</v>
      </c>
      <c r="C2616" s="7" t="s">
        <v>128</v>
      </c>
      <c r="D2616" s="7" t="s">
        <v>206</v>
      </c>
      <c r="E2616" s="7" t="s">
        <v>207</v>
      </c>
      <c r="F2616" s="7" t="s">
        <v>56</v>
      </c>
      <c r="G2616" s="7" t="s">
        <v>20</v>
      </c>
      <c r="H2616" s="9" t="n">
        <v>46194</v>
      </c>
      <c r="I2616" s="9"/>
      <c r="J2616" s="7" t="n">
        <v>8.8</v>
      </c>
      <c r="K2616" s="7" t="s">
        <v>2984</v>
      </c>
      <c r="L2616" s="7" t="s">
        <v>21</v>
      </c>
      <c r="M2616" s="7" t="s">
        <v>3100</v>
      </c>
      <c r="N2616" s="7" t="s">
        <v>53</v>
      </c>
      <c r="O2616" s="10" t="n">
        <f aca="false">'Exec Summary'!$E$2-H2616</f>
        <v>40</v>
      </c>
      <c r="P2616" s="10" t="str">
        <f aca="false">IF(I2616="","",I2616-H2616)</f>
        <v/>
      </c>
      <c r="Q2616" s="10" t="n">
        <f aca="false">VLOOKUP(G2616,$AA$2:$AB$5,2,FALSE())</f>
        <v>30</v>
      </c>
      <c r="R2616" s="7" t="n">
        <f aca="false">IF(OR(F2616="Open",F2616="Reopened"),1,0)</f>
        <v>1</v>
      </c>
      <c r="S2616" s="7" t="n">
        <f aca="false">IF(AND(H2616&gt;='Exec Summary'!$E$1,H2616&lt;='Exec Summary'!$E$2),1,0)</f>
        <v>0</v>
      </c>
      <c r="T2616" s="7" t="n">
        <f aca="false">IF(AND(F2616="Closed",I2616&lt;&gt;"",I2616&gt;='Exec Summary'!$E$1,I2616&lt;='Exec Summary'!$E$2),1,0)</f>
        <v>0</v>
      </c>
      <c r="U2616" s="7" t="n">
        <f aca="false">IF(F2616="Reopened",1,0)</f>
        <v>0</v>
      </c>
      <c r="V2616" s="7" t="n">
        <f aca="false">IF(AND(R2616=1,O2616&gt;Q2616),1,0)</f>
        <v>1</v>
      </c>
      <c r="W2616" s="7" t="n">
        <f aca="false">IF(AND(T2616=1,P2616&lt;&gt;"",P2616&lt;=Q2616),1,0)</f>
        <v>0</v>
      </c>
    </row>
    <row r="2617" customFormat="false" ht="15" hidden="false" customHeight="false" outlineLevel="0" collapsed="false">
      <c r="A2617" s="7" t="s">
        <v>3092</v>
      </c>
      <c r="B2617" s="7" t="s">
        <v>46</v>
      </c>
      <c r="C2617" s="7" t="s">
        <v>128</v>
      </c>
      <c r="D2617" s="7" t="s">
        <v>81</v>
      </c>
      <c r="E2617" s="7" t="s">
        <v>82</v>
      </c>
      <c r="F2617" s="7" t="s">
        <v>50</v>
      </c>
      <c r="G2617" s="7" t="s">
        <v>20</v>
      </c>
      <c r="H2617" s="9" t="n">
        <v>46131</v>
      </c>
      <c r="I2617" s="9" t="n">
        <v>46132</v>
      </c>
      <c r="J2617" s="7" t="n">
        <v>7.8</v>
      </c>
      <c r="K2617" s="7" t="s">
        <v>2984</v>
      </c>
      <c r="L2617" s="7" t="s">
        <v>21</v>
      </c>
      <c r="M2617" s="7" t="s">
        <v>3101</v>
      </c>
      <c r="N2617" s="7" t="s">
        <v>53</v>
      </c>
      <c r="O2617" s="10" t="n">
        <f aca="false">'Exec Summary'!$E$2-H2617</f>
        <v>103</v>
      </c>
      <c r="P2617" s="10" t="n">
        <f aca="false">IF(I2617="","",I2617-H2617)</f>
        <v>1</v>
      </c>
      <c r="Q2617" s="10" t="n">
        <f aca="false">VLOOKUP(G2617,$AA$2:$AB$5,2,FALSE())</f>
        <v>30</v>
      </c>
      <c r="R2617" s="7" t="n">
        <f aca="false">IF(OR(F2617="Open",F2617="Reopened"),1,0)</f>
        <v>0</v>
      </c>
      <c r="S2617" s="7" t="n">
        <f aca="false">IF(AND(H2617&gt;='Exec Summary'!$E$1,H2617&lt;='Exec Summary'!$E$2),1,0)</f>
        <v>0</v>
      </c>
      <c r="T2617" s="7" t="n">
        <f aca="false">IF(AND(F2617="Closed",I2617&lt;&gt;"",I2617&gt;='Exec Summary'!$E$1,I2617&lt;='Exec Summary'!$E$2),1,0)</f>
        <v>0</v>
      </c>
      <c r="U2617" s="7" t="n">
        <f aca="false">IF(F2617="Reopened",1,0)</f>
        <v>0</v>
      </c>
      <c r="V2617" s="7" t="n">
        <f aca="false">IF(AND(R2617=1,O2617&gt;Q2617),1,0)</f>
        <v>0</v>
      </c>
      <c r="W2617" s="7" t="n">
        <f aca="false">IF(AND(T2617=1,P2617&lt;&gt;"",P2617&lt;=Q2617),1,0)</f>
        <v>0</v>
      </c>
    </row>
    <row r="2618" customFormat="false" ht="15" hidden="false" customHeight="false" outlineLevel="0" collapsed="false">
      <c r="A2618" s="7" t="s">
        <v>3102</v>
      </c>
      <c r="B2618" s="7" t="s">
        <v>135</v>
      </c>
      <c r="C2618" s="7" t="s">
        <v>136</v>
      </c>
      <c r="D2618" s="7" t="s">
        <v>87</v>
      </c>
      <c r="E2618" s="7" t="s">
        <v>88</v>
      </c>
      <c r="F2618" s="7" t="s">
        <v>50</v>
      </c>
      <c r="G2618" s="7" t="s">
        <v>19</v>
      </c>
      <c r="H2618" s="9" t="n">
        <v>46181</v>
      </c>
      <c r="I2618" s="9" t="n">
        <v>46188</v>
      </c>
      <c r="J2618" s="7" t="n">
        <v>10</v>
      </c>
      <c r="K2618" s="7" t="s">
        <v>2984</v>
      </c>
      <c r="L2618" s="7" t="s">
        <v>21</v>
      </c>
      <c r="M2618" s="7" t="s">
        <v>3103</v>
      </c>
      <c r="N2618" s="7" t="s">
        <v>58</v>
      </c>
      <c r="O2618" s="10" t="n">
        <f aca="false">'Exec Summary'!$E$2-H2618</f>
        <v>53</v>
      </c>
      <c r="P2618" s="10" t="n">
        <f aca="false">IF(I2618="","",I2618-H2618)</f>
        <v>7</v>
      </c>
      <c r="Q2618" s="10" t="n">
        <f aca="false">VLOOKUP(G2618,$AA$2:$AB$5,2,FALSE())</f>
        <v>15</v>
      </c>
      <c r="R2618" s="7" t="n">
        <f aca="false">IF(OR(F2618="Open",F2618="Reopened"),1,0)</f>
        <v>0</v>
      </c>
      <c r="S2618" s="7" t="n">
        <f aca="false">IF(AND(H2618&gt;='Exec Summary'!$E$1,H2618&lt;='Exec Summary'!$E$2),1,0)</f>
        <v>0</v>
      </c>
      <c r="T2618" s="7" t="n">
        <f aca="false">IF(AND(F2618="Closed",I2618&lt;&gt;"",I2618&gt;='Exec Summary'!$E$1,I2618&lt;='Exec Summary'!$E$2),1,0)</f>
        <v>0</v>
      </c>
      <c r="U2618" s="7" t="n">
        <f aca="false">IF(F2618="Reopened",1,0)</f>
        <v>0</v>
      </c>
      <c r="V2618" s="7" t="n">
        <f aca="false">IF(AND(R2618=1,O2618&gt;Q2618),1,0)</f>
        <v>0</v>
      </c>
      <c r="W2618" s="7" t="n">
        <f aca="false">IF(AND(T2618=1,P2618&lt;&gt;"",P2618&lt;=Q2618),1,0)</f>
        <v>0</v>
      </c>
    </row>
    <row r="2619" customFormat="false" ht="15" hidden="false" customHeight="false" outlineLevel="0" collapsed="false">
      <c r="A2619" s="7" t="s">
        <v>3102</v>
      </c>
      <c r="B2619" s="7" t="s">
        <v>135</v>
      </c>
      <c r="C2619" s="7" t="s">
        <v>136</v>
      </c>
      <c r="D2619" s="7" t="s">
        <v>163</v>
      </c>
      <c r="E2619" s="7" t="s">
        <v>164</v>
      </c>
      <c r="F2619" s="7" t="s">
        <v>50</v>
      </c>
      <c r="G2619" s="7" t="s">
        <v>19</v>
      </c>
      <c r="H2619" s="9" t="n">
        <v>46033</v>
      </c>
      <c r="I2619" s="9" t="n">
        <v>46034</v>
      </c>
      <c r="J2619" s="7" t="n">
        <v>9.1</v>
      </c>
      <c r="K2619" s="7" t="s">
        <v>2984</v>
      </c>
      <c r="L2619" s="7" t="s">
        <v>21</v>
      </c>
      <c r="M2619" s="7" t="s">
        <v>3104</v>
      </c>
      <c r="N2619" s="7" t="s">
        <v>58</v>
      </c>
      <c r="O2619" s="10" t="n">
        <f aca="false">'Exec Summary'!$E$2-H2619</f>
        <v>201</v>
      </c>
      <c r="P2619" s="10" t="n">
        <f aca="false">IF(I2619="","",I2619-H2619)</f>
        <v>1</v>
      </c>
      <c r="Q2619" s="10" t="n">
        <f aca="false">VLOOKUP(G2619,$AA$2:$AB$5,2,FALSE())</f>
        <v>15</v>
      </c>
      <c r="R2619" s="7" t="n">
        <f aca="false">IF(OR(F2619="Open",F2619="Reopened"),1,0)</f>
        <v>0</v>
      </c>
      <c r="S2619" s="7" t="n">
        <f aca="false">IF(AND(H2619&gt;='Exec Summary'!$E$1,H2619&lt;='Exec Summary'!$E$2),1,0)</f>
        <v>0</v>
      </c>
      <c r="T2619" s="7" t="n">
        <f aca="false">IF(AND(F2619="Closed",I2619&lt;&gt;"",I2619&gt;='Exec Summary'!$E$1,I2619&lt;='Exec Summary'!$E$2),1,0)</f>
        <v>0</v>
      </c>
      <c r="U2619" s="7" t="n">
        <f aca="false">IF(F2619="Reopened",1,0)</f>
        <v>0</v>
      </c>
      <c r="V2619" s="7" t="n">
        <f aca="false">IF(AND(R2619=1,O2619&gt;Q2619),1,0)</f>
        <v>0</v>
      </c>
      <c r="W2619" s="7" t="n">
        <f aca="false">IF(AND(T2619=1,P2619&lt;&gt;"",P2619&lt;=Q2619),1,0)</f>
        <v>0</v>
      </c>
    </row>
    <row r="2620" customFormat="false" ht="15" hidden="false" customHeight="false" outlineLevel="0" collapsed="false">
      <c r="A2620" s="7" t="s">
        <v>3102</v>
      </c>
      <c r="B2620" s="7" t="s">
        <v>135</v>
      </c>
      <c r="C2620" s="7" t="s">
        <v>136</v>
      </c>
      <c r="D2620" s="7" t="s">
        <v>104</v>
      </c>
      <c r="E2620" s="7" t="s">
        <v>105</v>
      </c>
      <c r="F2620" s="7" t="s">
        <v>50</v>
      </c>
      <c r="G2620" s="7" t="s">
        <v>19</v>
      </c>
      <c r="H2620" s="9" t="n">
        <v>45951</v>
      </c>
      <c r="I2620" s="9" t="n">
        <v>45972</v>
      </c>
      <c r="J2620" s="7" t="n">
        <v>9.8</v>
      </c>
      <c r="K2620" s="7" t="s">
        <v>2984</v>
      </c>
      <c r="L2620" s="7" t="s">
        <v>21</v>
      </c>
      <c r="M2620" s="7" t="s">
        <v>3105</v>
      </c>
      <c r="N2620" s="7" t="s">
        <v>58</v>
      </c>
      <c r="O2620" s="10" t="n">
        <f aca="false">'Exec Summary'!$E$2-H2620</f>
        <v>283</v>
      </c>
      <c r="P2620" s="10" t="n">
        <f aca="false">IF(I2620="","",I2620-H2620)</f>
        <v>21</v>
      </c>
      <c r="Q2620" s="10" t="n">
        <f aca="false">VLOOKUP(G2620,$AA$2:$AB$5,2,FALSE())</f>
        <v>15</v>
      </c>
      <c r="R2620" s="7" t="n">
        <f aca="false">IF(OR(F2620="Open",F2620="Reopened"),1,0)</f>
        <v>0</v>
      </c>
      <c r="S2620" s="7" t="n">
        <f aca="false">IF(AND(H2620&gt;='Exec Summary'!$E$1,H2620&lt;='Exec Summary'!$E$2),1,0)</f>
        <v>0</v>
      </c>
      <c r="T2620" s="7" t="n">
        <f aca="false">IF(AND(F2620="Closed",I2620&lt;&gt;"",I2620&gt;='Exec Summary'!$E$1,I2620&lt;='Exec Summary'!$E$2),1,0)</f>
        <v>0</v>
      </c>
      <c r="U2620" s="7" t="n">
        <f aca="false">IF(F2620="Reopened",1,0)</f>
        <v>0</v>
      </c>
      <c r="V2620" s="7" t="n">
        <f aca="false">IF(AND(R2620=1,O2620&gt;Q2620),1,0)</f>
        <v>0</v>
      </c>
      <c r="W2620" s="7" t="n">
        <f aca="false">IF(AND(T2620=1,P2620&lt;&gt;"",P2620&lt;=Q2620),1,0)</f>
        <v>0</v>
      </c>
    </row>
    <row r="2621" customFormat="false" ht="15" hidden="false" customHeight="false" outlineLevel="0" collapsed="false">
      <c r="A2621" s="7" t="s">
        <v>3102</v>
      </c>
      <c r="B2621" s="7" t="s">
        <v>135</v>
      </c>
      <c r="C2621" s="7" t="s">
        <v>136</v>
      </c>
      <c r="D2621" s="7" t="s">
        <v>54</v>
      </c>
      <c r="E2621" s="7" t="s">
        <v>55</v>
      </c>
      <c r="F2621" s="7" t="s">
        <v>56</v>
      </c>
      <c r="G2621" s="7" t="s">
        <v>19</v>
      </c>
      <c r="H2621" s="9" t="n">
        <v>46168</v>
      </c>
      <c r="I2621" s="9"/>
      <c r="J2621" s="7" t="n">
        <v>9.8</v>
      </c>
      <c r="K2621" s="7" t="s">
        <v>2984</v>
      </c>
      <c r="L2621" s="7" t="s">
        <v>21</v>
      </c>
      <c r="M2621" s="7" t="s">
        <v>3106</v>
      </c>
      <c r="N2621" s="7" t="s">
        <v>58</v>
      </c>
      <c r="O2621" s="10" t="n">
        <f aca="false">'Exec Summary'!$E$2-H2621</f>
        <v>66</v>
      </c>
      <c r="P2621" s="10" t="str">
        <f aca="false">IF(I2621="","",I2621-H2621)</f>
        <v/>
      </c>
      <c r="Q2621" s="10" t="n">
        <f aca="false">VLOOKUP(G2621,$AA$2:$AB$5,2,FALSE())</f>
        <v>15</v>
      </c>
      <c r="R2621" s="7" t="n">
        <f aca="false">IF(OR(F2621="Open",F2621="Reopened"),1,0)</f>
        <v>1</v>
      </c>
      <c r="S2621" s="7" t="n">
        <f aca="false">IF(AND(H2621&gt;='Exec Summary'!$E$1,H2621&lt;='Exec Summary'!$E$2),1,0)</f>
        <v>0</v>
      </c>
      <c r="T2621" s="7" t="n">
        <f aca="false">IF(AND(F2621="Closed",I2621&lt;&gt;"",I2621&gt;='Exec Summary'!$E$1,I2621&lt;='Exec Summary'!$E$2),1,0)</f>
        <v>0</v>
      </c>
      <c r="U2621" s="7" t="n">
        <f aca="false">IF(F2621="Reopened",1,0)</f>
        <v>0</v>
      </c>
      <c r="V2621" s="7" t="n">
        <f aca="false">IF(AND(R2621=1,O2621&gt;Q2621),1,0)</f>
        <v>1</v>
      </c>
      <c r="W2621" s="7" t="n">
        <f aca="false">IF(AND(T2621=1,P2621&lt;&gt;"",P2621&lt;=Q2621),1,0)</f>
        <v>0</v>
      </c>
    </row>
    <row r="2622" customFormat="false" ht="15" hidden="false" customHeight="false" outlineLevel="0" collapsed="false">
      <c r="A2622" s="7" t="s">
        <v>3102</v>
      </c>
      <c r="B2622" s="7" t="s">
        <v>135</v>
      </c>
      <c r="C2622" s="7" t="s">
        <v>136</v>
      </c>
      <c r="D2622" s="7" t="s">
        <v>81</v>
      </c>
      <c r="E2622" s="7" t="s">
        <v>82</v>
      </c>
      <c r="F2622" s="7" t="s">
        <v>50</v>
      </c>
      <c r="G2622" s="7" t="s">
        <v>20</v>
      </c>
      <c r="H2622" s="9" t="n">
        <v>46027</v>
      </c>
      <c r="I2622" s="9" t="n">
        <v>46053</v>
      </c>
      <c r="J2622" s="7" t="n">
        <v>7.8</v>
      </c>
      <c r="K2622" s="7" t="s">
        <v>2984</v>
      </c>
      <c r="L2622" s="7" t="s">
        <v>21</v>
      </c>
      <c r="M2622" s="7" t="s">
        <v>3107</v>
      </c>
      <c r="N2622" s="7" t="s">
        <v>53</v>
      </c>
      <c r="O2622" s="10" t="n">
        <f aca="false">'Exec Summary'!$E$2-H2622</f>
        <v>207</v>
      </c>
      <c r="P2622" s="10" t="n">
        <f aca="false">IF(I2622="","",I2622-H2622)</f>
        <v>26</v>
      </c>
      <c r="Q2622" s="10" t="n">
        <f aca="false">VLOOKUP(G2622,$AA$2:$AB$5,2,FALSE())</f>
        <v>30</v>
      </c>
      <c r="R2622" s="7" t="n">
        <f aca="false">IF(OR(F2622="Open",F2622="Reopened"),1,0)</f>
        <v>0</v>
      </c>
      <c r="S2622" s="7" t="n">
        <f aca="false">IF(AND(H2622&gt;='Exec Summary'!$E$1,H2622&lt;='Exec Summary'!$E$2),1,0)</f>
        <v>0</v>
      </c>
      <c r="T2622" s="7" t="n">
        <f aca="false">IF(AND(F2622="Closed",I2622&lt;&gt;"",I2622&gt;='Exec Summary'!$E$1,I2622&lt;='Exec Summary'!$E$2),1,0)</f>
        <v>0</v>
      </c>
      <c r="U2622" s="7" t="n">
        <f aca="false">IF(F2622="Reopened",1,0)</f>
        <v>0</v>
      </c>
      <c r="V2622" s="7" t="n">
        <f aca="false">IF(AND(R2622=1,O2622&gt;Q2622),1,0)</f>
        <v>0</v>
      </c>
      <c r="W2622" s="7" t="n">
        <f aca="false">IF(AND(T2622=1,P2622&lt;&gt;"",P2622&lt;=Q2622),1,0)</f>
        <v>0</v>
      </c>
    </row>
    <row r="2623" customFormat="false" ht="15" hidden="false" customHeight="false" outlineLevel="0" collapsed="false">
      <c r="A2623" s="7" t="s">
        <v>3102</v>
      </c>
      <c r="B2623" s="7" t="s">
        <v>135</v>
      </c>
      <c r="C2623" s="7" t="s">
        <v>136</v>
      </c>
      <c r="D2623" s="7" t="s">
        <v>84</v>
      </c>
      <c r="E2623" s="7" t="s">
        <v>85</v>
      </c>
      <c r="F2623" s="7" t="s">
        <v>56</v>
      </c>
      <c r="G2623" s="7" t="s">
        <v>20</v>
      </c>
      <c r="H2623" s="9" t="n">
        <v>46158</v>
      </c>
      <c r="I2623" s="9"/>
      <c r="J2623" s="7" t="n">
        <v>7.5</v>
      </c>
      <c r="K2623" s="7" t="s">
        <v>2984</v>
      </c>
      <c r="L2623" s="7" t="s">
        <v>21</v>
      </c>
      <c r="M2623" s="7" t="s">
        <v>3108</v>
      </c>
      <c r="N2623" s="7" t="s">
        <v>53</v>
      </c>
      <c r="O2623" s="10" t="n">
        <f aca="false">'Exec Summary'!$E$2-H2623</f>
        <v>76</v>
      </c>
      <c r="P2623" s="10" t="str">
        <f aca="false">IF(I2623="","",I2623-H2623)</f>
        <v/>
      </c>
      <c r="Q2623" s="10" t="n">
        <f aca="false">VLOOKUP(G2623,$AA$2:$AB$5,2,FALSE())</f>
        <v>30</v>
      </c>
      <c r="R2623" s="7" t="n">
        <f aca="false">IF(OR(F2623="Open",F2623="Reopened"),1,0)</f>
        <v>1</v>
      </c>
      <c r="S2623" s="7" t="n">
        <f aca="false">IF(AND(H2623&gt;='Exec Summary'!$E$1,H2623&lt;='Exec Summary'!$E$2),1,0)</f>
        <v>0</v>
      </c>
      <c r="T2623" s="7" t="n">
        <f aca="false">IF(AND(F2623="Closed",I2623&lt;&gt;"",I2623&gt;='Exec Summary'!$E$1,I2623&lt;='Exec Summary'!$E$2),1,0)</f>
        <v>0</v>
      </c>
      <c r="U2623" s="7" t="n">
        <f aca="false">IF(F2623="Reopened",1,0)</f>
        <v>0</v>
      </c>
      <c r="V2623" s="7" t="n">
        <f aca="false">IF(AND(R2623=1,O2623&gt;Q2623),1,0)</f>
        <v>1</v>
      </c>
      <c r="W2623" s="7" t="n">
        <f aca="false">IF(AND(T2623=1,P2623&lt;&gt;"",P2623&lt;=Q2623),1,0)</f>
        <v>0</v>
      </c>
    </row>
    <row r="2624" customFormat="false" ht="15" hidden="false" customHeight="false" outlineLevel="0" collapsed="false">
      <c r="A2624" s="7" t="s">
        <v>3102</v>
      </c>
      <c r="B2624" s="7" t="s">
        <v>135</v>
      </c>
      <c r="C2624" s="7" t="s">
        <v>136</v>
      </c>
      <c r="D2624" s="7" t="s">
        <v>71</v>
      </c>
      <c r="E2624" s="7" t="s">
        <v>72</v>
      </c>
      <c r="F2624" s="7" t="s">
        <v>56</v>
      </c>
      <c r="G2624" s="7" t="s">
        <v>19</v>
      </c>
      <c r="H2624" s="9" t="n">
        <v>45944</v>
      </c>
      <c r="I2624" s="9"/>
      <c r="J2624" s="7" t="n">
        <v>9.8</v>
      </c>
      <c r="K2624" s="7" t="s">
        <v>2984</v>
      </c>
      <c r="L2624" s="7" t="s">
        <v>21</v>
      </c>
      <c r="M2624" s="7" t="s">
        <v>3109</v>
      </c>
      <c r="N2624" s="7" t="s">
        <v>58</v>
      </c>
      <c r="O2624" s="10" t="n">
        <f aca="false">'Exec Summary'!$E$2-H2624</f>
        <v>290</v>
      </c>
      <c r="P2624" s="10" t="str">
        <f aca="false">IF(I2624="","",I2624-H2624)</f>
        <v/>
      </c>
      <c r="Q2624" s="10" t="n">
        <f aca="false">VLOOKUP(G2624,$AA$2:$AB$5,2,FALSE())</f>
        <v>15</v>
      </c>
      <c r="R2624" s="7" t="n">
        <f aca="false">IF(OR(F2624="Open",F2624="Reopened"),1,0)</f>
        <v>1</v>
      </c>
      <c r="S2624" s="7" t="n">
        <f aca="false">IF(AND(H2624&gt;='Exec Summary'!$E$1,H2624&lt;='Exec Summary'!$E$2),1,0)</f>
        <v>0</v>
      </c>
      <c r="T2624" s="7" t="n">
        <f aca="false">IF(AND(F2624="Closed",I2624&lt;&gt;"",I2624&gt;='Exec Summary'!$E$1,I2624&lt;='Exec Summary'!$E$2),1,0)</f>
        <v>0</v>
      </c>
      <c r="U2624" s="7" t="n">
        <f aca="false">IF(F2624="Reopened",1,0)</f>
        <v>0</v>
      </c>
      <c r="V2624" s="7" t="n">
        <f aca="false">IF(AND(R2624=1,O2624&gt;Q2624),1,0)</f>
        <v>1</v>
      </c>
      <c r="W2624" s="7" t="n">
        <f aca="false">IF(AND(T2624=1,P2624&lt;&gt;"",P2624&lt;=Q2624),1,0)</f>
        <v>0</v>
      </c>
    </row>
    <row r="2625" customFormat="false" ht="15" hidden="false" customHeight="false" outlineLevel="0" collapsed="false">
      <c r="A2625" s="7" t="s">
        <v>3102</v>
      </c>
      <c r="B2625" s="7" t="s">
        <v>135</v>
      </c>
      <c r="C2625" s="7" t="s">
        <v>136</v>
      </c>
      <c r="D2625" s="7" t="s">
        <v>108</v>
      </c>
      <c r="E2625" s="7" t="s">
        <v>109</v>
      </c>
      <c r="F2625" s="7" t="s">
        <v>50</v>
      </c>
      <c r="G2625" s="7" t="s">
        <v>20</v>
      </c>
      <c r="H2625" s="9" t="n">
        <v>46157</v>
      </c>
      <c r="I2625" s="9" t="n">
        <v>46169</v>
      </c>
      <c r="J2625" s="7" t="n">
        <v>8.6</v>
      </c>
      <c r="K2625" s="7" t="s">
        <v>2984</v>
      </c>
      <c r="L2625" s="7" t="s">
        <v>21</v>
      </c>
      <c r="M2625" s="7" t="s">
        <v>3110</v>
      </c>
      <c r="N2625" s="7" t="s">
        <v>53</v>
      </c>
      <c r="O2625" s="10" t="n">
        <f aca="false">'Exec Summary'!$E$2-H2625</f>
        <v>77</v>
      </c>
      <c r="P2625" s="10" t="n">
        <f aca="false">IF(I2625="","",I2625-H2625)</f>
        <v>12</v>
      </c>
      <c r="Q2625" s="10" t="n">
        <f aca="false">VLOOKUP(G2625,$AA$2:$AB$5,2,FALSE())</f>
        <v>30</v>
      </c>
      <c r="R2625" s="7" t="n">
        <f aca="false">IF(OR(F2625="Open",F2625="Reopened"),1,0)</f>
        <v>0</v>
      </c>
      <c r="S2625" s="7" t="n">
        <f aca="false">IF(AND(H2625&gt;='Exec Summary'!$E$1,H2625&lt;='Exec Summary'!$E$2),1,0)</f>
        <v>0</v>
      </c>
      <c r="T2625" s="7" t="n">
        <f aca="false">IF(AND(F2625="Closed",I2625&lt;&gt;"",I2625&gt;='Exec Summary'!$E$1,I2625&lt;='Exec Summary'!$E$2),1,0)</f>
        <v>0</v>
      </c>
      <c r="U2625" s="7" t="n">
        <f aca="false">IF(F2625="Reopened",1,0)</f>
        <v>0</v>
      </c>
      <c r="V2625" s="7" t="n">
        <f aca="false">IF(AND(R2625=1,O2625&gt;Q2625),1,0)</f>
        <v>0</v>
      </c>
      <c r="W2625" s="7" t="n">
        <f aca="false">IF(AND(T2625=1,P2625&lt;&gt;"",P2625&lt;=Q2625),1,0)</f>
        <v>0</v>
      </c>
    </row>
    <row r="2626" customFormat="false" ht="15" hidden="false" customHeight="false" outlineLevel="0" collapsed="false">
      <c r="A2626" s="7" t="s">
        <v>3102</v>
      </c>
      <c r="B2626" s="7" t="s">
        <v>135</v>
      </c>
      <c r="C2626" s="7" t="s">
        <v>136</v>
      </c>
      <c r="D2626" s="7" t="s">
        <v>192</v>
      </c>
      <c r="E2626" s="7" t="s">
        <v>193</v>
      </c>
      <c r="F2626" s="7" t="s">
        <v>50</v>
      </c>
      <c r="G2626" s="7" t="s">
        <v>19</v>
      </c>
      <c r="H2626" s="9" t="n">
        <v>46150</v>
      </c>
      <c r="I2626" s="9" t="n">
        <v>46174</v>
      </c>
      <c r="J2626" s="7" t="n">
        <v>9.8</v>
      </c>
      <c r="K2626" s="7" t="s">
        <v>2984</v>
      </c>
      <c r="L2626" s="7" t="s">
        <v>21</v>
      </c>
      <c r="M2626" s="7" t="s">
        <v>3111</v>
      </c>
      <c r="N2626" s="7" t="s">
        <v>58</v>
      </c>
      <c r="O2626" s="10" t="n">
        <f aca="false">'Exec Summary'!$E$2-H2626</f>
        <v>84</v>
      </c>
      <c r="P2626" s="10" t="n">
        <f aca="false">IF(I2626="","",I2626-H2626)</f>
        <v>24</v>
      </c>
      <c r="Q2626" s="10" t="n">
        <f aca="false">VLOOKUP(G2626,$AA$2:$AB$5,2,FALSE())</f>
        <v>15</v>
      </c>
      <c r="R2626" s="7" t="n">
        <f aca="false">IF(OR(F2626="Open",F2626="Reopened"),1,0)</f>
        <v>0</v>
      </c>
      <c r="S2626" s="7" t="n">
        <f aca="false">IF(AND(H2626&gt;='Exec Summary'!$E$1,H2626&lt;='Exec Summary'!$E$2),1,0)</f>
        <v>0</v>
      </c>
      <c r="T2626" s="7" t="n">
        <f aca="false">IF(AND(F2626="Closed",I2626&lt;&gt;"",I2626&gt;='Exec Summary'!$E$1,I2626&lt;='Exec Summary'!$E$2),1,0)</f>
        <v>0</v>
      </c>
      <c r="U2626" s="7" t="n">
        <f aca="false">IF(F2626="Reopened",1,0)</f>
        <v>0</v>
      </c>
      <c r="V2626" s="7" t="n">
        <f aca="false">IF(AND(R2626=1,O2626&gt;Q2626),1,0)</f>
        <v>0</v>
      </c>
      <c r="W2626" s="7" t="n">
        <f aca="false">IF(AND(T2626=1,P2626&lt;&gt;"",P2626&lt;=Q2626),1,0)</f>
        <v>0</v>
      </c>
    </row>
    <row r="2627" customFormat="false" ht="15" hidden="false" customHeight="false" outlineLevel="0" collapsed="false">
      <c r="A2627" s="7" t="s">
        <v>3112</v>
      </c>
      <c r="B2627" s="7" t="s">
        <v>46</v>
      </c>
      <c r="C2627" s="7" t="s">
        <v>158</v>
      </c>
      <c r="D2627" s="7" t="s">
        <v>91</v>
      </c>
      <c r="E2627" s="7" t="s">
        <v>92</v>
      </c>
      <c r="F2627" s="7" t="s">
        <v>50</v>
      </c>
      <c r="G2627" s="7" t="s">
        <v>20</v>
      </c>
      <c r="H2627" s="9" t="n">
        <v>46174</v>
      </c>
      <c r="I2627" s="9" t="n">
        <v>46209</v>
      </c>
      <c r="J2627" s="7" t="n">
        <v>8.1</v>
      </c>
      <c r="K2627" s="7" t="s">
        <v>2984</v>
      </c>
      <c r="L2627" s="7" t="s">
        <v>20</v>
      </c>
      <c r="M2627" s="7" t="s">
        <v>3113</v>
      </c>
      <c r="N2627" s="7" t="s">
        <v>53</v>
      </c>
      <c r="O2627" s="10" t="n">
        <f aca="false">'Exec Summary'!$E$2-H2627</f>
        <v>60</v>
      </c>
      <c r="P2627" s="10" t="n">
        <f aca="false">IF(I2627="","",I2627-H2627)</f>
        <v>35</v>
      </c>
      <c r="Q2627" s="10" t="n">
        <f aca="false">VLOOKUP(G2627,$AA$2:$AB$5,2,FALSE())</f>
        <v>30</v>
      </c>
      <c r="R2627" s="7" t="n">
        <f aca="false">IF(OR(F2627="Open",F2627="Reopened"),1,0)</f>
        <v>0</v>
      </c>
      <c r="S2627" s="7" t="n">
        <f aca="false">IF(AND(H2627&gt;='Exec Summary'!$E$1,H2627&lt;='Exec Summary'!$E$2),1,0)</f>
        <v>0</v>
      </c>
      <c r="T2627" s="7" t="n">
        <f aca="false">IF(AND(F2627="Closed",I2627&lt;&gt;"",I2627&gt;='Exec Summary'!$E$1,I2627&lt;='Exec Summary'!$E$2),1,0)</f>
        <v>1</v>
      </c>
      <c r="U2627" s="7" t="n">
        <f aca="false">IF(F2627="Reopened",1,0)</f>
        <v>0</v>
      </c>
      <c r="V2627" s="7" t="n">
        <f aca="false">IF(AND(R2627=1,O2627&gt;Q2627),1,0)</f>
        <v>0</v>
      </c>
      <c r="W2627" s="7" t="n">
        <f aca="false">IF(AND(T2627=1,P2627&lt;&gt;"",P2627&lt;=Q2627),1,0)</f>
        <v>0</v>
      </c>
    </row>
    <row r="2628" customFormat="false" ht="15" hidden="false" customHeight="false" outlineLevel="0" collapsed="false">
      <c r="A2628" s="7" t="s">
        <v>3112</v>
      </c>
      <c r="B2628" s="7" t="s">
        <v>46</v>
      </c>
      <c r="C2628" s="7" t="s">
        <v>158</v>
      </c>
      <c r="D2628" s="7" t="s">
        <v>163</v>
      </c>
      <c r="E2628" s="7" t="s">
        <v>164</v>
      </c>
      <c r="F2628" s="7" t="s">
        <v>56</v>
      </c>
      <c r="G2628" s="7" t="s">
        <v>19</v>
      </c>
      <c r="H2628" s="9" t="n">
        <v>46221</v>
      </c>
      <c r="I2628" s="9"/>
      <c r="J2628" s="7" t="n">
        <v>9.1</v>
      </c>
      <c r="K2628" s="7" t="s">
        <v>2984</v>
      </c>
      <c r="L2628" s="7" t="s">
        <v>20</v>
      </c>
      <c r="M2628" s="7" t="s">
        <v>3114</v>
      </c>
      <c r="N2628" s="7" t="s">
        <v>58</v>
      </c>
      <c r="O2628" s="10" t="n">
        <f aca="false">'Exec Summary'!$E$2-H2628</f>
        <v>13</v>
      </c>
      <c r="P2628" s="10" t="str">
        <f aca="false">IF(I2628="","",I2628-H2628)</f>
        <v/>
      </c>
      <c r="Q2628" s="10" t="n">
        <f aca="false">VLOOKUP(G2628,$AA$2:$AB$5,2,FALSE())</f>
        <v>15</v>
      </c>
      <c r="R2628" s="7" t="n">
        <f aca="false">IF(OR(F2628="Open",F2628="Reopened"),1,0)</f>
        <v>1</v>
      </c>
      <c r="S2628" s="7" t="n">
        <f aca="false">IF(AND(H2628&gt;='Exec Summary'!$E$1,H2628&lt;='Exec Summary'!$E$2),1,0)</f>
        <v>1</v>
      </c>
      <c r="T2628" s="7" t="n">
        <f aca="false">IF(AND(F2628="Closed",I2628&lt;&gt;"",I2628&gt;='Exec Summary'!$E$1,I2628&lt;='Exec Summary'!$E$2),1,0)</f>
        <v>0</v>
      </c>
      <c r="U2628" s="7" t="n">
        <f aca="false">IF(F2628="Reopened",1,0)</f>
        <v>0</v>
      </c>
      <c r="V2628" s="7" t="n">
        <f aca="false">IF(AND(R2628=1,O2628&gt;Q2628),1,0)</f>
        <v>0</v>
      </c>
      <c r="W2628" s="7" t="n">
        <f aca="false">IF(AND(T2628=1,P2628&lt;&gt;"",P2628&lt;=Q2628),1,0)</f>
        <v>0</v>
      </c>
    </row>
    <row r="2629" customFormat="false" ht="15" hidden="false" customHeight="false" outlineLevel="0" collapsed="false">
      <c r="A2629" s="7" t="s">
        <v>3112</v>
      </c>
      <c r="B2629" s="7" t="s">
        <v>46</v>
      </c>
      <c r="C2629" s="7" t="s">
        <v>158</v>
      </c>
      <c r="D2629" s="7" t="s">
        <v>131</v>
      </c>
      <c r="E2629" s="7" t="s">
        <v>132</v>
      </c>
      <c r="F2629" s="7" t="s">
        <v>50</v>
      </c>
      <c r="G2629" s="7" t="s">
        <v>19</v>
      </c>
      <c r="H2629" s="9" t="n">
        <v>46148</v>
      </c>
      <c r="I2629" s="9" t="n">
        <v>46158</v>
      </c>
      <c r="J2629" s="7" t="n">
        <v>9.8</v>
      </c>
      <c r="K2629" s="7" t="s">
        <v>2984</v>
      </c>
      <c r="L2629" s="7" t="s">
        <v>20</v>
      </c>
      <c r="M2629" s="7" t="s">
        <v>3115</v>
      </c>
      <c r="N2629" s="7" t="s">
        <v>58</v>
      </c>
      <c r="O2629" s="10" t="n">
        <f aca="false">'Exec Summary'!$E$2-H2629</f>
        <v>86</v>
      </c>
      <c r="P2629" s="10" t="n">
        <f aca="false">IF(I2629="","",I2629-H2629)</f>
        <v>10</v>
      </c>
      <c r="Q2629" s="10" t="n">
        <f aca="false">VLOOKUP(G2629,$AA$2:$AB$5,2,FALSE())</f>
        <v>15</v>
      </c>
      <c r="R2629" s="7" t="n">
        <f aca="false">IF(OR(F2629="Open",F2629="Reopened"),1,0)</f>
        <v>0</v>
      </c>
      <c r="S2629" s="7" t="n">
        <f aca="false">IF(AND(H2629&gt;='Exec Summary'!$E$1,H2629&lt;='Exec Summary'!$E$2),1,0)</f>
        <v>0</v>
      </c>
      <c r="T2629" s="7" t="n">
        <f aca="false">IF(AND(F2629="Closed",I2629&lt;&gt;"",I2629&gt;='Exec Summary'!$E$1,I2629&lt;='Exec Summary'!$E$2),1,0)</f>
        <v>0</v>
      </c>
      <c r="U2629" s="7" t="n">
        <f aca="false">IF(F2629="Reopened",1,0)</f>
        <v>0</v>
      </c>
      <c r="V2629" s="7" t="n">
        <f aca="false">IF(AND(R2629=1,O2629&gt;Q2629),1,0)</f>
        <v>0</v>
      </c>
      <c r="W2629" s="7" t="n">
        <f aca="false">IF(AND(T2629=1,P2629&lt;&gt;"",P2629&lt;=Q2629),1,0)</f>
        <v>0</v>
      </c>
    </row>
    <row r="2630" customFormat="false" ht="15" hidden="false" customHeight="false" outlineLevel="0" collapsed="false">
      <c r="A2630" s="7" t="s">
        <v>3112</v>
      </c>
      <c r="B2630" s="7" t="s">
        <v>46</v>
      </c>
      <c r="C2630" s="7" t="s">
        <v>158</v>
      </c>
      <c r="D2630" s="7" t="s">
        <v>145</v>
      </c>
      <c r="E2630" s="7" t="s">
        <v>146</v>
      </c>
      <c r="F2630" s="7" t="s">
        <v>50</v>
      </c>
      <c r="G2630" s="7" t="s">
        <v>19</v>
      </c>
      <c r="H2630" s="9" t="n">
        <v>46015</v>
      </c>
      <c r="I2630" s="9" t="n">
        <v>46029</v>
      </c>
      <c r="J2630" s="7" t="n">
        <v>9.8</v>
      </c>
      <c r="K2630" s="7" t="s">
        <v>2984</v>
      </c>
      <c r="L2630" s="7" t="s">
        <v>20</v>
      </c>
      <c r="M2630" s="7" t="s">
        <v>3116</v>
      </c>
      <c r="N2630" s="7" t="s">
        <v>58</v>
      </c>
      <c r="O2630" s="10" t="n">
        <f aca="false">'Exec Summary'!$E$2-H2630</f>
        <v>219</v>
      </c>
      <c r="P2630" s="10" t="n">
        <f aca="false">IF(I2630="","",I2630-H2630)</f>
        <v>14</v>
      </c>
      <c r="Q2630" s="10" t="n">
        <f aca="false">VLOOKUP(G2630,$AA$2:$AB$5,2,FALSE())</f>
        <v>15</v>
      </c>
      <c r="R2630" s="7" t="n">
        <f aca="false">IF(OR(F2630="Open",F2630="Reopened"),1,0)</f>
        <v>0</v>
      </c>
      <c r="S2630" s="7" t="n">
        <f aca="false">IF(AND(H2630&gt;='Exec Summary'!$E$1,H2630&lt;='Exec Summary'!$E$2),1,0)</f>
        <v>0</v>
      </c>
      <c r="T2630" s="7" t="n">
        <f aca="false">IF(AND(F2630="Closed",I2630&lt;&gt;"",I2630&gt;='Exec Summary'!$E$1,I2630&lt;='Exec Summary'!$E$2),1,0)</f>
        <v>0</v>
      </c>
      <c r="U2630" s="7" t="n">
        <f aca="false">IF(F2630="Reopened",1,0)</f>
        <v>0</v>
      </c>
      <c r="V2630" s="7" t="n">
        <f aca="false">IF(AND(R2630=1,O2630&gt;Q2630),1,0)</f>
        <v>0</v>
      </c>
      <c r="W2630" s="7" t="n">
        <f aca="false">IF(AND(T2630=1,P2630&lt;&gt;"",P2630&lt;=Q2630),1,0)</f>
        <v>0</v>
      </c>
    </row>
    <row r="2631" customFormat="false" ht="15" hidden="false" customHeight="false" outlineLevel="0" collapsed="false">
      <c r="A2631" s="7" t="s">
        <v>3112</v>
      </c>
      <c r="B2631" s="7" t="s">
        <v>46</v>
      </c>
      <c r="C2631" s="7" t="s">
        <v>158</v>
      </c>
      <c r="D2631" s="7" t="s">
        <v>65</v>
      </c>
      <c r="E2631" s="7" t="s">
        <v>66</v>
      </c>
      <c r="F2631" s="7" t="s">
        <v>50</v>
      </c>
      <c r="G2631" s="7" t="s">
        <v>19</v>
      </c>
      <c r="H2631" s="9" t="n">
        <v>46204</v>
      </c>
      <c r="I2631" s="9" t="n">
        <v>46207</v>
      </c>
      <c r="J2631" s="7" t="n">
        <v>9.8</v>
      </c>
      <c r="K2631" s="7" t="s">
        <v>2984</v>
      </c>
      <c r="L2631" s="7" t="s">
        <v>20</v>
      </c>
      <c r="M2631" s="7" t="s">
        <v>3117</v>
      </c>
      <c r="N2631" s="7" t="s">
        <v>58</v>
      </c>
      <c r="O2631" s="10" t="n">
        <f aca="false">'Exec Summary'!$E$2-H2631</f>
        <v>30</v>
      </c>
      <c r="P2631" s="10" t="n">
        <f aca="false">IF(I2631="","",I2631-H2631)</f>
        <v>3</v>
      </c>
      <c r="Q2631" s="10" t="n">
        <f aca="false">VLOOKUP(G2631,$AA$2:$AB$5,2,FALSE())</f>
        <v>15</v>
      </c>
      <c r="R2631" s="7" t="n">
        <f aca="false">IF(OR(F2631="Open",F2631="Reopened"),1,0)</f>
        <v>0</v>
      </c>
      <c r="S2631" s="7" t="n">
        <f aca="false">IF(AND(H2631&gt;='Exec Summary'!$E$1,H2631&lt;='Exec Summary'!$E$2),1,0)</f>
        <v>1</v>
      </c>
      <c r="T2631" s="7" t="n">
        <f aca="false">IF(AND(F2631="Closed",I2631&lt;&gt;"",I2631&gt;='Exec Summary'!$E$1,I2631&lt;='Exec Summary'!$E$2),1,0)</f>
        <v>1</v>
      </c>
      <c r="U2631" s="7" t="n">
        <f aca="false">IF(F2631="Reopened",1,0)</f>
        <v>0</v>
      </c>
      <c r="V2631" s="7" t="n">
        <f aca="false">IF(AND(R2631=1,O2631&gt;Q2631),1,0)</f>
        <v>0</v>
      </c>
      <c r="W2631" s="7" t="n">
        <f aca="false">IF(AND(T2631=1,P2631&lt;&gt;"",P2631&lt;=Q2631),1,0)</f>
        <v>1</v>
      </c>
    </row>
    <row r="2632" customFormat="false" ht="15" hidden="false" customHeight="false" outlineLevel="0" collapsed="false">
      <c r="A2632" s="7" t="s">
        <v>3112</v>
      </c>
      <c r="B2632" s="7" t="s">
        <v>46</v>
      </c>
      <c r="C2632" s="7" t="s">
        <v>158</v>
      </c>
      <c r="D2632" s="7" t="s">
        <v>71</v>
      </c>
      <c r="E2632" s="7" t="s">
        <v>72</v>
      </c>
      <c r="F2632" s="7" t="s">
        <v>50</v>
      </c>
      <c r="G2632" s="7" t="s">
        <v>19</v>
      </c>
      <c r="H2632" s="9" t="n">
        <v>46175</v>
      </c>
      <c r="I2632" s="9" t="n">
        <v>46189</v>
      </c>
      <c r="J2632" s="7" t="n">
        <v>9.8</v>
      </c>
      <c r="K2632" s="7" t="s">
        <v>2984</v>
      </c>
      <c r="L2632" s="7" t="s">
        <v>20</v>
      </c>
      <c r="M2632" s="7" t="s">
        <v>3118</v>
      </c>
      <c r="N2632" s="7" t="s">
        <v>58</v>
      </c>
      <c r="O2632" s="10" t="n">
        <f aca="false">'Exec Summary'!$E$2-H2632</f>
        <v>59</v>
      </c>
      <c r="P2632" s="10" t="n">
        <f aca="false">IF(I2632="","",I2632-H2632)</f>
        <v>14</v>
      </c>
      <c r="Q2632" s="10" t="n">
        <f aca="false">VLOOKUP(G2632,$AA$2:$AB$5,2,FALSE())</f>
        <v>15</v>
      </c>
      <c r="R2632" s="7" t="n">
        <f aca="false">IF(OR(F2632="Open",F2632="Reopened"),1,0)</f>
        <v>0</v>
      </c>
      <c r="S2632" s="7" t="n">
        <f aca="false">IF(AND(H2632&gt;='Exec Summary'!$E$1,H2632&lt;='Exec Summary'!$E$2),1,0)</f>
        <v>0</v>
      </c>
      <c r="T2632" s="7" t="n">
        <f aca="false">IF(AND(F2632="Closed",I2632&lt;&gt;"",I2632&gt;='Exec Summary'!$E$1,I2632&lt;='Exec Summary'!$E$2),1,0)</f>
        <v>0</v>
      </c>
      <c r="U2632" s="7" t="n">
        <f aca="false">IF(F2632="Reopened",1,0)</f>
        <v>0</v>
      </c>
      <c r="V2632" s="7" t="n">
        <f aca="false">IF(AND(R2632=1,O2632&gt;Q2632),1,0)</f>
        <v>0</v>
      </c>
      <c r="W2632" s="7" t="n">
        <f aca="false">IF(AND(T2632=1,P2632&lt;&gt;"",P2632&lt;=Q2632),1,0)</f>
        <v>0</v>
      </c>
    </row>
    <row r="2633" customFormat="false" ht="15" hidden="false" customHeight="false" outlineLevel="0" collapsed="false">
      <c r="A2633" s="7" t="s">
        <v>3112</v>
      </c>
      <c r="B2633" s="7" t="s">
        <v>46</v>
      </c>
      <c r="C2633" s="7" t="s">
        <v>158</v>
      </c>
      <c r="D2633" s="7" t="s">
        <v>95</v>
      </c>
      <c r="E2633" s="7" t="s">
        <v>96</v>
      </c>
      <c r="F2633" s="7" t="s">
        <v>50</v>
      </c>
      <c r="G2633" s="7" t="s">
        <v>20</v>
      </c>
      <c r="H2633" s="9" t="n">
        <v>45971</v>
      </c>
      <c r="I2633" s="9" t="n">
        <v>45981</v>
      </c>
      <c r="J2633" s="7" t="n">
        <v>8.8</v>
      </c>
      <c r="K2633" s="7" t="s">
        <v>2984</v>
      </c>
      <c r="L2633" s="7" t="s">
        <v>20</v>
      </c>
      <c r="M2633" s="7" t="s">
        <v>3119</v>
      </c>
      <c r="N2633" s="7" t="s">
        <v>53</v>
      </c>
      <c r="O2633" s="10" t="n">
        <f aca="false">'Exec Summary'!$E$2-H2633</f>
        <v>263</v>
      </c>
      <c r="P2633" s="10" t="n">
        <f aca="false">IF(I2633="","",I2633-H2633)</f>
        <v>10</v>
      </c>
      <c r="Q2633" s="10" t="n">
        <f aca="false">VLOOKUP(G2633,$AA$2:$AB$5,2,FALSE())</f>
        <v>30</v>
      </c>
      <c r="R2633" s="7" t="n">
        <f aca="false">IF(OR(F2633="Open",F2633="Reopened"),1,0)</f>
        <v>0</v>
      </c>
      <c r="S2633" s="7" t="n">
        <f aca="false">IF(AND(H2633&gt;='Exec Summary'!$E$1,H2633&lt;='Exec Summary'!$E$2),1,0)</f>
        <v>0</v>
      </c>
      <c r="T2633" s="7" t="n">
        <f aca="false">IF(AND(F2633="Closed",I2633&lt;&gt;"",I2633&gt;='Exec Summary'!$E$1,I2633&lt;='Exec Summary'!$E$2),1,0)</f>
        <v>0</v>
      </c>
      <c r="U2633" s="7" t="n">
        <f aca="false">IF(F2633="Reopened",1,0)</f>
        <v>0</v>
      </c>
      <c r="V2633" s="7" t="n">
        <f aca="false">IF(AND(R2633=1,O2633&gt;Q2633),1,0)</f>
        <v>0</v>
      </c>
      <c r="W2633" s="7" t="n">
        <f aca="false">IF(AND(T2633=1,P2633&lt;&gt;"",P2633&lt;=Q2633),1,0)</f>
        <v>0</v>
      </c>
    </row>
    <row r="2634" customFormat="false" ht="15" hidden="false" customHeight="false" outlineLevel="0" collapsed="false">
      <c r="A2634" s="7" t="s">
        <v>3112</v>
      </c>
      <c r="B2634" s="7" t="s">
        <v>46</v>
      </c>
      <c r="C2634" s="7" t="s">
        <v>158</v>
      </c>
      <c r="D2634" s="7" t="s">
        <v>120</v>
      </c>
      <c r="E2634" s="7" t="s">
        <v>121</v>
      </c>
      <c r="F2634" s="7" t="s">
        <v>50</v>
      </c>
      <c r="G2634" s="7" t="s">
        <v>19</v>
      </c>
      <c r="H2634" s="9" t="n">
        <v>45973</v>
      </c>
      <c r="I2634" s="9" t="n">
        <v>45990</v>
      </c>
      <c r="J2634" s="7" t="n">
        <v>8.8</v>
      </c>
      <c r="K2634" s="7" t="s">
        <v>2984</v>
      </c>
      <c r="L2634" s="7" t="s">
        <v>20</v>
      </c>
      <c r="M2634" s="7" t="s">
        <v>3120</v>
      </c>
      <c r="N2634" s="7" t="s">
        <v>58</v>
      </c>
      <c r="O2634" s="10" t="n">
        <f aca="false">'Exec Summary'!$E$2-H2634</f>
        <v>261</v>
      </c>
      <c r="P2634" s="10" t="n">
        <f aca="false">IF(I2634="","",I2634-H2634)</f>
        <v>17</v>
      </c>
      <c r="Q2634" s="10" t="n">
        <f aca="false">VLOOKUP(G2634,$AA$2:$AB$5,2,FALSE())</f>
        <v>15</v>
      </c>
      <c r="R2634" s="7" t="n">
        <f aca="false">IF(OR(F2634="Open",F2634="Reopened"),1,0)</f>
        <v>0</v>
      </c>
      <c r="S2634" s="7" t="n">
        <f aca="false">IF(AND(H2634&gt;='Exec Summary'!$E$1,H2634&lt;='Exec Summary'!$E$2),1,0)</f>
        <v>0</v>
      </c>
      <c r="T2634" s="7" t="n">
        <f aca="false">IF(AND(F2634="Closed",I2634&lt;&gt;"",I2634&gt;='Exec Summary'!$E$1,I2634&lt;='Exec Summary'!$E$2),1,0)</f>
        <v>0</v>
      </c>
      <c r="U2634" s="7" t="n">
        <f aca="false">IF(F2634="Reopened",1,0)</f>
        <v>0</v>
      </c>
      <c r="V2634" s="7" t="n">
        <f aca="false">IF(AND(R2634=1,O2634&gt;Q2634),1,0)</f>
        <v>0</v>
      </c>
      <c r="W2634" s="7" t="n">
        <f aca="false">IF(AND(T2634=1,P2634&lt;&gt;"",P2634&lt;=Q2634),1,0)</f>
        <v>0</v>
      </c>
    </row>
    <row r="2635" customFormat="false" ht="15" hidden="false" customHeight="false" outlineLevel="0" collapsed="false">
      <c r="A2635" s="7" t="s">
        <v>3121</v>
      </c>
      <c r="B2635" s="7" t="s">
        <v>46</v>
      </c>
      <c r="C2635" s="7" t="s">
        <v>128</v>
      </c>
      <c r="D2635" s="7" t="s">
        <v>210</v>
      </c>
      <c r="E2635" s="7" t="s">
        <v>211</v>
      </c>
      <c r="F2635" s="7" t="s">
        <v>56</v>
      </c>
      <c r="G2635" s="7" t="s">
        <v>19</v>
      </c>
      <c r="H2635" s="9" t="n">
        <v>46220</v>
      </c>
      <c r="I2635" s="9"/>
      <c r="J2635" s="7" t="n">
        <v>9.8</v>
      </c>
      <c r="K2635" s="7" t="s">
        <v>2984</v>
      </c>
      <c r="L2635" s="7" t="s">
        <v>21</v>
      </c>
      <c r="M2635" s="7" t="s">
        <v>3122</v>
      </c>
      <c r="N2635" s="7" t="s">
        <v>58</v>
      </c>
      <c r="O2635" s="10" t="n">
        <f aca="false">'Exec Summary'!$E$2-H2635</f>
        <v>14</v>
      </c>
      <c r="P2635" s="10" t="str">
        <f aca="false">IF(I2635="","",I2635-H2635)</f>
        <v/>
      </c>
      <c r="Q2635" s="10" t="n">
        <f aca="false">VLOOKUP(G2635,$AA$2:$AB$5,2,FALSE())</f>
        <v>15</v>
      </c>
      <c r="R2635" s="7" t="n">
        <f aca="false">IF(OR(F2635="Open",F2635="Reopened"),1,0)</f>
        <v>1</v>
      </c>
      <c r="S2635" s="7" t="n">
        <f aca="false">IF(AND(H2635&gt;='Exec Summary'!$E$1,H2635&lt;='Exec Summary'!$E$2),1,0)</f>
        <v>1</v>
      </c>
      <c r="T2635" s="7" t="n">
        <f aca="false">IF(AND(F2635="Closed",I2635&lt;&gt;"",I2635&gt;='Exec Summary'!$E$1,I2635&lt;='Exec Summary'!$E$2),1,0)</f>
        <v>0</v>
      </c>
      <c r="U2635" s="7" t="n">
        <f aca="false">IF(F2635="Reopened",1,0)</f>
        <v>0</v>
      </c>
      <c r="V2635" s="7" t="n">
        <f aca="false">IF(AND(R2635=1,O2635&gt;Q2635),1,0)</f>
        <v>0</v>
      </c>
      <c r="W2635" s="7" t="n">
        <f aca="false">IF(AND(T2635=1,P2635&lt;&gt;"",P2635&lt;=Q2635),1,0)</f>
        <v>0</v>
      </c>
    </row>
    <row r="2636" customFormat="false" ht="15" hidden="false" customHeight="false" outlineLevel="0" collapsed="false">
      <c r="A2636" s="7" t="s">
        <v>3121</v>
      </c>
      <c r="B2636" s="7" t="s">
        <v>46</v>
      </c>
      <c r="C2636" s="7" t="s">
        <v>128</v>
      </c>
      <c r="D2636" s="7" t="s">
        <v>173</v>
      </c>
      <c r="E2636" s="7" t="s">
        <v>174</v>
      </c>
      <c r="F2636" s="7" t="s">
        <v>123</v>
      </c>
      <c r="G2636" s="7" t="s">
        <v>19</v>
      </c>
      <c r="H2636" s="9" t="n">
        <v>46128</v>
      </c>
      <c r="I2636" s="9" t="n">
        <v>46147</v>
      </c>
      <c r="J2636" s="7" t="n">
        <v>9.8</v>
      </c>
      <c r="K2636" s="7" t="s">
        <v>2984</v>
      </c>
      <c r="L2636" s="7" t="s">
        <v>21</v>
      </c>
      <c r="M2636" s="7" t="s">
        <v>3123</v>
      </c>
      <c r="N2636" s="7" t="s">
        <v>58</v>
      </c>
      <c r="O2636" s="10" t="n">
        <f aca="false">'Exec Summary'!$E$2-H2636</f>
        <v>106</v>
      </c>
      <c r="P2636" s="10" t="n">
        <f aca="false">IF(I2636="","",I2636-H2636)</f>
        <v>19</v>
      </c>
      <c r="Q2636" s="10" t="n">
        <f aca="false">VLOOKUP(G2636,$AA$2:$AB$5,2,FALSE())</f>
        <v>15</v>
      </c>
      <c r="R2636" s="7" t="n">
        <f aca="false">IF(OR(F2636="Open",F2636="Reopened"),1,0)</f>
        <v>1</v>
      </c>
      <c r="S2636" s="7" t="n">
        <f aca="false">IF(AND(H2636&gt;='Exec Summary'!$E$1,H2636&lt;='Exec Summary'!$E$2),1,0)</f>
        <v>0</v>
      </c>
      <c r="T2636" s="7" t="n">
        <f aca="false">IF(AND(F2636="Closed",I2636&lt;&gt;"",I2636&gt;='Exec Summary'!$E$1,I2636&lt;='Exec Summary'!$E$2),1,0)</f>
        <v>0</v>
      </c>
      <c r="U2636" s="7" t="n">
        <f aca="false">IF(F2636="Reopened",1,0)</f>
        <v>1</v>
      </c>
      <c r="V2636" s="7" t="n">
        <f aca="false">IF(AND(R2636=1,O2636&gt;Q2636),1,0)</f>
        <v>1</v>
      </c>
      <c r="W2636" s="7" t="n">
        <f aca="false">IF(AND(T2636=1,P2636&lt;&gt;"",P2636&lt;=Q2636),1,0)</f>
        <v>0</v>
      </c>
    </row>
    <row r="2637" customFormat="false" ht="15" hidden="false" customHeight="false" outlineLevel="0" collapsed="false">
      <c r="A2637" s="7" t="s">
        <v>3121</v>
      </c>
      <c r="B2637" s="7" t="s">
        <v>46</v>
      </c>
      <c r="C2637" s="7" t="s">
        <v>128</v>
      </c>
      <c r="D2637" s="7" t="s">
        <v>152</v>
      </c>
      <c r="E2637" s="7" t="s">
        <v>153</v>
      </c>
      <c r="F2637" s="7" t="s">
        <v>56</v>
      </c>
      <c r="G2637" s="7" t="s">
        <v>20</v>
      </c>
      <c r="H2637" s="9" t="n">
        <v>46005</v>
      </c>
      <c r="I2637" s="9"/>
      <c r="J2637" s="7" t="n">
        <v>7.5</v>
      </c>
      <c r="K2637" s="7" t="s">
        <v>2984</v>
      </c>
      <c r="L2637" s="7" t="s">
        <v>21</v>
      </c>
      <c r="M2637" s="7" t="s">
        <v>3124</v>
      </c>
      <c r="N2637" s="7" t="s">
        <v>53</v>
      </c>
      <c r="O2637" s="10" t="n">
        <f aca="false">'Exec Summary'!$E$2-H2637</f>
        <v>229</v>
      </c>
      <c r="P2637" s="10" t="str">
        <f aca="false">IF(I2637="","",I2637-H2637)</f>
        <v/>
      </c>
      <c r="Q2637" s="10" t="n">
        <f aca="false">VLOOKUP(G2637,$AA$2:$AB$5,2,FALSE())</f>
        <v>30</v>
      </c>
      <c r="R2637" s="7" t="n">
        <f aca="false">IF(OR(F2637="Open",F2637="Reopened"),1,0)</f>
        <v>1</v>
      </c>
      <c r="S2637" s="7" t="n">
        <f aca="false">IF(AND(H2637&gt;='Exec Summary'!$E$1,H2637&lt;='Exec Summary'!$E$2),1,0)</f>
        <v>0</v>
      </c>
      <c r="T2637" s="7" t="n">
        <f aca="false">IF(AND(F2637="Closed",I2637&lt;&gt;"",I2637&gt;='Exec Summary'!$E$1,I2637&lt;='Exec Summary'!$E$2),1,0)</f>
        <v>0</v>
      </c>
      <c r="U2637" s="7" t="n">
        <f aca="false">IF(F2637="Reopened",1,0)</f>
        <v>0</v>
      </c>
      <c r="V2637" s="7" t="n">
        <f aca="false">IF(AND(R2637=1,O2637&gt;Q2637),1,0)</f>
        <v>1</v>
      </c>
      <c r="W2637" s="7" t="n">
        <f aca="false">IF(AND(T2637=1,P2637&lt;&gt;"",P2637&lt;=Q2637),1,0)</f>
        <v>0</v>
      </c>
    </row>
    <row r="2638" customFormat="false" ht="15" hidden="false" customHeight="false" outlineLevel="0" collapsed="false">
      <c r="A2638" s="7" t="s">
        <v>3121</v>
      </c>
      <c r="B2638" s="7" t="s">
        <v>46</v>
      </c>
      <c r="C2638" s="7" t="s">
        <v>128</v>
      </c>
      <c r="D2638" s="7" t="s">
        <v>166</v>
      </c>
      <c r="E2638" s="7" t="s">
        <v>167</v>
      </c>
      <c r="F2638" s="7" t="s">
        <v>50</v>
      </c>
      <c r="G2638" s="7" t="s">
        <v>19</v>
      </c>
      <c r="H2638" s="9" t="n">
        <v>46118</v>
      </c>
      <c r="I2638" s="9" t="n">
        <v>46128</v>
      </c>
      <c r="J2638" s="7" t="n">
        <v>9.8</v>
      </c>
      <c r="K2638" s="7" t="s">
        <v>2984</v>
      </c>
      <c r="L2638" s="7" t="s">
        <v>21</v>
      </c>
      <c r="M2638" s="7" t="s">
        <v>3125</v>
      </c>
      <c r="N2638" s="7" t="s">
        <v>58</v>
      </c>
      <c r="O2638" s="10" t="n">
        <f aca="false">'Exec Summary'!$E$2-H2638</f>
        <v>116</v>
      </c>
      <c r="P2638" s="10" t="n">
        <f aca="false">IF(I2638="","",I2638-H2638)</f>
        <v>10</v>
      </c>
      <c r="Q2638" s="10" t="n">
        <f aca="false">VLOOKUP(G2638,$AA$2:$AB$5,2,FALSE())</f>
        <v>15</v>
      </c>
      <c r="R2638" s="7" t="n">
        <f aca="false">IF(OR(F2638="Open",F2638="Reopened"),1,0)</f>
        <v>0</v>
      </c>
      <c r="S2638" s="7" t="n">
        <f aca="false">IF(AND(H2638&gt;='Exec Summary'!$E$1,H2638&lt;='Exec Summary'!$E$2),1,0)</f>
        <v>0</v>
      </c>
      <c r="T2638" s="7" t="n">
        <f aca="false">IF(AND(F2638="Closed",I2638&lt;&gt;"",I2638&gt;='Exec Summary'!$E$1,I2638&lt;='Exec Summary'!$E$2),1,0)</f>
        <v>0</v>
      </c>
      <c r="U2638" s="7" t="n">
        <f aca="false">IF(F2638="Reopened",1,0)</f>
        <v>0</v>
      </c>
      <c r="V2638" s="7" t="n">
        <f aca="false">IF(AND(R2638=1,O2638&gt;Q2638),1,0)</f>
        <v>0</v>
      </c>
      <c r="W2638" s="7" t="n">
        <f aca="false">IF(AND(T2638=1,P2638&lt;&gt;"",P2638&lt;=Q2638),1,0)</f>
        <v>0</v>
      </c>
    </row>
    <row r="2639" customFormat="false" ht="15" hidden="false" customHeight="false" outlineLevel="0" collapsed="false">
      <c r="A2639" s="7" t="s">
        <v>3121</v>
      </c>
      <c r="B2639" s="7" t="s">
        <v>46</v>
      </c>
      <c r="C2639" s="7" t="s">
        <v>128</v>
      </c>
      <c r="D2639" s="7" t="s">
        <v>112</v>
      </c>
      <c r="E2639" s="7" t="s">
        <v>113</v>
      </c>
      <c r="F2639" s="7" t="s">
        <v>50</v>
      </c>
      <c r="G2639" s="7" t="s">
        <v>20</v>
      </c>
      <c r="H2639" s="9" t="n">
        <v>46169</v>
      </c>
      <c r="I2639" s="9" t="n">
        <v>46190</v>
      </c>
      <c r="J2639" s="7" t="n">
        <v>7.8</v>
      </c>
      <c r="K2639" s="7" t="s">
        <v>2984</v>
      </c>
      <c r="L2639" s="7" t="s">
        <v>21</v>
      </c>
      <c r="M2639" s="7" t="s">
        <v>3126</v>
      </c>
      <c r="N2639" s="7" t="s">
        <v>53</v>
      </c>
      <c r="O2639" s="10" t="n">
        <f aca="false">'Exec Summary'!$E$2-H2639</f>
        <v>65</v>
      </c>
      <c r="P2639" s="10" t="n">
        <f aca="false">IF(I2639="","",I2639-H2639)</f>
        <v>21</v>
      </c>
      <c r="Q2639" s="10" t="n">
        <f aca="false">VLOOKUP(G2639,$AA$2:$AB$5,2,FALSE())</f>
        <v>30</v>
      </c>
      <c r="R2639" s="7" t="n">
        <f aca="false">IF(OR(F2639="Open",F2639="Reopened"),1,0)</f>
        <v>0</v>
      </c>
      <c r="S2639" s="7" t="n">
        <f aca="false">IF(AND(H2639&gt;='Exec Summary'!$E$1,H2639&lt;='Exec Summary'!$E$2),1,0)</f>
        <v>0</v>
      </c>
      <c r="T2639" s="7" t="n">
        <f aca="false">IF(AND(F2639="Closed",I2639&lt;&gt;"",I2639&gt;='Exec Summary'!$E$1,I2639&lt;='Exec Summary'!$E$2),1,0)</f>
        <v>0</v>
      </c>
      <c r="U2639" s="7" t="n">
        <f aca="false">IF(F2639="Reopened",1,0)</f>
        <v>0</v>
      </c>
      <c r="V2639" s="7" t="n">
        <f aca="false">IF(AND(R2639=1,O2639&gt;Q2639),1,0)</f>
        <v>0</v>
      </c>
      <c r="W2639" s="7" t="n">
        <f aca="false">IF(AND(T2639=1,P2639&lt;&gt;"",P2639&lt;=Q2639),1,0)</f>
        <v>0</v>
      </c>
    </row>
    <row r="2640" customFormat="false" ht="15" hidden="false" customHeight="false" outlineLevel="0" collapsed="false">
      <c r="A2640" s="7" t="s">
        <v>3121</v>
      </c>
      <c r="B2640" s="7" t="s">
        <v>46</v>
      </c>
      <c r="C2640" s="7" t="s">
        <v>128</v>
      </c>
      <c r="D2640" s="7" t="s">
        <v>104</v>
      </c>
      <c r="E2640" s="7" t="s">
        <v>105</v>
      </c>
      <c r="F2640" s="7" t="s">
        <v>50</v>
      </c>
      <c r="G2640" s="7" t="s">
        <v>19</v>
      </c>
      <c r="H2640" s="9" t="n">
        <v>46085</v>
      </c>
      <c r="I2640" s="9" t="n">
        <v>46099</v>
      </c>
      <c r="J2640" s="7" t="n">
        <v>9.8</v>
      </c>
      <c r="K2640" s="7" t="s">
        <v>2984</v>
      </c>
      <c r="L2640" s="7" t="s">
        <v>21</v>
      </c>
      <c r="M2640" s="7" t="s">
        <v>3127</v>
      </c>
      <c r="N2640" s="7" t="s">
        <v>58</v>
      </c>
      <c r="O2640" s="10" t="n">
        <f aca="false">'Exec Summary'!$E$2-H2640</f>
        <v>149</v>
      </c>
      <c r="P2640" s="10" t="n">
        <f aca="false">IF(I2640="","",I2640-H2640)</f>
        <v>14</v>
      </c>
      <c r="Q2640" s="10" t="n">
        <f aca="false">VLOOKUP(G2640,$AA$2:$AB$5,2,FALSE())</f>
        <v>15</v>
      </c>
      <c r="R2640" s="7" t="n">
        <f aca="false">IF(OR(F2640="Open",F2640="Reopened"),1,0)</f>
        <v>0</v>
      </c>
      <c r="S2640" s="7" t="n">
        <f aca="false">IF(AND(H2640&gt;='Exec Summary'!$E$1,H2640&lt;='Exec Summary'!$E$2),1,0)</f>
        <v>0</v>
      </c>
      <c r="T2640" s="7" t="n">
        <f aca="false">IF(AND(F2640="Closed",I2640&lt;&gt;"",I2640&gt;='Exec Summary'!$E$1,I2640&lt;='Exec Summary'!$E$2),1,0)</f>
        <v>0</v>
      </c>
      <c r="U2640" s="7" t="n">
        <f aca="false">IF(F2640="Reopened",1,0)</f>
        <v>0</v>
      </c>
      <c r="V2640" s="7" t="n">
        <f aca="false">IF(AND(R2640=1,O2640&gt;Q2640),1,0)</f>
        <v>0</v>
      </c>
      <c r="W2640" s="7" t="n">
        <f aca="false">IF(AND(T2640=1,P2640&lt;&gt;"",P2640&lt;=Q2640),1,0)</f>
        <v>0</v>
      </c>
    </row>
    <row r="2641" customFormat="false" ht="15" hidden="false" customHeight="false" outlineLevel="0" collapsed="false">
      <c r="A2641" s="7" t="s">
        <v>3121</v>
      </c>
      <c r="B2641" s="7" t="s">
        <v>46</v>
      </c>
      <c r="C2641" s="7" t="s">
        <v>128</v>
      </c>
      <c r="D2641" s="7" t="s">
        <v>108</v>
      </c>
      <c r="E2641" s="7" t="s">
        <v>109</v>
      </c>
      <c r="F2641" s="7" t="s">
        <v>50</v>
      </c>
      <c r="G2641" s="7" t="s">
        <v>20</v>
      </c>
      <c r="H2641" s="9" t="n">
        <v>45983</v>
      </c>
      <c r="I2641" s="9" t="n">
        <v>46011</v>
      </c>
      <c r="J2641" s="7" t="n">
        <v>8.6</v>
      </c>
      <c r="K2641" s="7" t="s">
        <v>2984</v>
      </c>
      <c r="L2641" s="7" t="s">
        <v>21</v>
      </c>
      <c r="M2641" s="7" t="s">
        <v>3128</v>
      </c>
      <c r="N2641" s="7" t="s">
        <v>53</v>
      </c>
      <c r="O2641" s="10" t="n">
        <f aca="false">'Exec Summary'!$E$2-H2641</f>
        <v>251</v>
      </c>
      <c r="P2641" s="10" t="n">
        <f aca="false">IF(I2641="","",I2641-H2641)</f>
        <v>28</v>
      </c>
      <c r="Q2641" s="10" t="n">
        <f aca="false">VLOOKUP(G2641,$AA$2:$AB$5,2,FALSE())</f>
        <v>30</v>
      </c>
      <c r="R2641" s="7" t="n">
        <f aca="false">IF(OR(F2641="Open",F2641="Reopened"),1,0)</f>
        <v>0</v>
      </c>
      <c r="S2641" s="7" t="n">
        <f aca="false">IF(AND(H2641&gt;='Exec Summary'!$E$1,H2641&lt;='Exec Summary'!$E$2),1,0)</f>
        <v>0</v>
      </c>
      <c r="T2641" s="7" t="n">
        <f aca="false">IF(AND(F2641="Closed",I2641&lt;&gt;"",I2641&gt;='Exec Summary'!$E$1,I2641&lt;='Exec Summary'!$E$2),1,0)</f>
        <v>0</v>
      </c>
      <c r="U2641" s="7" t="n">
        <f aca="false">IF(F2641="Reopened",1,0)</f>
        <v>0</v>
      </c>
      <c r="V2641" s="7" t="n">
        <f aca="false">IF(AND(R2641=1,O2641&gt;Q2641),1,0)</f>
        <v>0</v>
      </c>
      <c r="W2641" s="7" t="n">
        <f aca="false">IF(AND(T2641=1,P2641&lt;&gt;"",P2641&lt;=Q2641),1,0)</f>
        <v>0</v>
      </c>
    </row>
    <row r="2642" customFormat="false" ht="15" hidden="false" customHeight="false" outlineLevel="0" collapsed="false">
      <c r="A2642" s="7" t="s">
        <v>3129</v>
      </c>
      <c r="B2642" s="7" t="s">
        <v>46</v>
      </c>
      <c r="C2642" s="7" t="s">
        <v>79</v>
      </c>
      <c r="D2642" s="7" t="s">
        <v>48</v>
      </c>
      <c r="E2642" s="7" t="s">
        <v>49</v>
      </c>
      <c r="F2642" s="7" t="s">
        <v>50</v>
      </c>
      <c r="G2642" s="7" t="s">
        <v>20</v>
      </c>
      <c r="H2642" s="9" t="n">
        <v>46178</v>
      </c>
      <c r="I2642" s="9" t="n">
        <v>46181</v>
      </c>
      <c r="J2642" s="7" t="n">
        <v>7.5</v>
      </c>
      <c r="K2642" s="7" t="s">
        <v>2984</v>
      </c>
      <c r="L2642" s="7" t="s">
        <v>21</v>
      </c>
      <c r="M2642" s="7" t="s">
        <v>3130</v>
      </c>
      <c r="N2642" s="7" t="s">
        <v>53</v>
      </c>
      <c r="O2642" s="10" t="n">
        <f aca="false">'Exec Summary'!$E$2-H2642</f>
        <v>56</v>
      </c>
      <c r="P2642" s="10" t="n">
        <f aca="false">IF(I2642="","",I2642-H2642)</f>
        <v>3</v>
      </c>
      <c r="Q2642" s="10" t="n">
        <f aca="false">VLOOKUP(G2642,$AA$2:$AB$5,2,FALSE())</f>
        <v>30</v>
      </c>
      <c r="R2642" s="7" t="n">
        <f aca="false">IF(OR(F2642="Open",F2642="Reopened"),1,0)</f>
        <v>0</v>
      </c>
      <c r="S2642" s="7" t="n">
        <f aca="false">IF(AND(H2642&gt;='Exec Summary'!$E$1,H2642&lt;='Exec Summary'!$E$2),1,0)</f>
        <v>0</v>
      </c>
      <c r="T2642" s="7" t="n">
        <f aca="false">IF(AND(F2642="Closed",I2642&lt;&gt;"",I2642&gt;='Exec Summary'!$E$1,I2642&lt;='Exec Summary'!$E$2),1,0)</f>
        <v>0</v>
      </c>
      <c r="U2642" s="7" t="n">
        <f aca="false">IF(F2642="Reopened",1,0)</f>
        <v>0</v>
      </c>
      <c r="V2642" s="7" t="n">
        <f aca="false">IF(AND(R2642=1,O2642&gt;Q2642),1,0)</f>
        <v>0</v>
      </c>
      <c r="W2642" s="7" t="n">
        <f aca="false">IF(AND(T2642=1,P2642&lt;&gt;"",P2642&lt;=Q2642),1,0)</f>
        <v>0</v>
      </c>
    </row>
    <row r="2643" customFormat="false" ht="15" hidden="false" customHeight="false" outlineLevel="0" collapsed="false">
      <c r="A2643" s="7" t="s">
        <v>3129</v>
      </c>
      <c r="B2643" s="7" t="s">
        <v>46</v>
      </c>
      <c r="C2643" s="7" t="s">
        <v>79</v>
      </c>
      <c r="D2643" s="7" t="s">
        <v>68</v>
      </c>
      <c r="E2643" s="7" t="s">
        <v>69</v>
      </c>
      <c r="F2643" s="7" t="s">
        <v>56</v>
      </c>
      <c r="G2643" s="7" t="s">
        <v>19</v>
      </c>
      <c r="H2643" s="9" t="n">
        <v>45961</v>
      </c>
      <c r="I2643" s="9"/>
      <c r="J2643" s="7" t="n">
        <v>9.8</v>
      </c>
      <c r="K2643" s="7" t="s">
        <v>2984</v>
      </c>
      <c r="L2643" s="7" t="s">
        <v>21</v>
      </c>
      <c r="M2643" s="7" t="s">
        <v>3131</v>
      </c>
      <c r="N2643" s="7" t="s">
        <v>58</v>
      </c>
      <c r="O2643" s="10" t="n">
        <f aca="false">'Exec Summary'!$E$2-H2643</f>
        <v>273</v>
      </c>
      <c r="P2643" s="10" t="str">
        <f aca="false">IF(I2643="","",I2643-H2643)</f>
        <v/>
      </c>
      <c r="Q2643" s="10" t="n">
        <f aca="false">VLOOKUP(G2643,$AA$2:$AB$5,2,FALSE())</f>
        <v>15</v>
      </c>
      <c r="R2643" s="7" t="n">
        <f aca="false">IF(OR(F2643="Open",F2643="Reopened"),1,0)</f>
        <v>1</v>
      </c>
      <c r="S2643" s="7" t="n">
        <f aca="false">IF(AND(H2643&gt;='Exec Summary'!$E$1,H2643&lt;='Exec Summary'!$E$2),1,0)</f>
        <v>0</v>
      </c>
      <c r="T2643" s="7" t="n">
        <f aca="false">IF(AND(F2643="Closed",I2643&lt;&gt;"",I2643&gt;='Exec Summary'!$E$1,I2643&lt;='Exec Summary'!$E$2),1,0)</f>
        <v>0</v>
      </c>
      <c r="U2643" s="7" t="n">
        <f aca="false">IF(F2643="Reopened",1,0)</f>
        <v>0</v>
      </c>
      <c r="V2643" s="7" t="n">
        <f aca="false">IF(AND(R2643=1,O2643&gt;Q2643),1,0)</f>
        <v>1</v>
      </c>
      <c r="W2643" s="7" t="n">
        <f aca="false">IF(AND(T2643=1,P2643&lt;&gt;"",P2643&lt;=Q2643),1,0)</f>
        <v>0</v>
      </c>
    </row>
    <row r="2644" customFormat="false" ht="15" hidden="false" customHeight="false" outlineLevel="0" collapsed="false">
      <c r="A2644" s="7" t="s">
        <v>3129</v>
      </c>
      <c r="B2644" s="7" t="s">
        <v>46</v>
      </c>
      <c r="C2644" s="7" t="s">
        <v>79</v>
      </c>
      <c r="D2644" s="7" t="s">
        <v>65</v>
      </c>
      <c r="E2644" s="7" t="s">
        <v>66</v>
      </c>
      <c r="F2644" s="7" t="s">
        <v>50</v>
      </c>
      <c r="G2644" s="7" t="s">
        <v>19</v>
      </c>
      <c r="H2644" s="9" t="n">
        <v>46121</v>
      </c>
      <c r="I2644" s="9" t="n">
        <v>46140</v>
      </c>
      <c r="J2644" s="7" t="n">
        <v>9.8</v>
      </c>
      <c r="K2644" s="7" t="s">
        <v>2984</v>
      </c>
      <c r="L2644" s="7" t="s">
        <v>21</v>
      </c>
      <c r="M2644" s="7" t="s">
        <v>3132</v>
      </c>
      <c r="N2644" s="7" t="s">
        <v>58</v>
      </c>
      <c r="O2644" s="10" t="n">
        <f aca="false">'Exec Summary'!$E$2-H2644</f>
        <v>113</v>
      </c>
      <c r="P2644" s="10" t="n">
        <f aca="false">IF(I2644="","",I2644-H2644)</f>
        <v>19</v>
      </c>
      <c r="Q2644" s="10" t="n">
        <f aca="false">VLOOKUP(G2644,$AA$2:$AB$5,2,FALSE())</f>
        <v>15</v>
      </c>
      <c r="R2644" s="7" t="n">
        <f aca="false">IF(OR(F2644="Open",F2644="Reopened"),1,0)</f>
        <v>0</v>
      </c>
      <c r="S2644" s="7" t="n">
        <f aca="false">IF(AND(H2644&gt;='Exec Summary'!$E$1,H2644&lt;='Exec Summary'!$E$2),1,0)</f>
        <v>0</v>
      </c>
      <c r="T2644" s="7" t="n">
        <f aca="false">IF(AND(F2644="Closed",I2644&lt;&gt;"",I2644&gt;='Exec Summary'!$E$1,I2644&lt;='Exec Summary'!$E$2),1,0)</f>
        <v>0</v>
      </c>
      <c r="U2644" s="7" t="n">
        <f aca="false">IF(F2644="Reopened",1,0)</f>
        <v>0</v>
      </c>
      <c r="V2644" s="7" t="n">
        <f aca="false">IF(AND(R2644=1,O2644&gt;Q2644),1,0)</f>
        <v>0</v>
      </c>
      <c r="W2644" s="7" t="n">
        <f aca="false">IF(AND(T2644=1,P2644&lt;&gt;"",P2644&lt;=Q2644),1,0)</f>
        <v>0</v>
      </c>
    </row>
    <row r="2645" customFormat="false" ht="15" hidden="false" customHeight="false" outlineLevel="0" collapsed="false">
      <c r="A2645" s="7" t="s">
        <v>3133</v>
      </c>
      <c r="B2645" s="7" t="s">
        <v>46</v>
      </c>
      <c r="C2645" s="7" t="s">
        <v>158</v>
      </c>
      <c r="D2645" s="7" t="s">
        <v>71</v>
      </c>
      <c r="E2645" s="7" t="s">
        <v>72</v>
      </c>
      <c r="F2645" s="7" t="s">
        <v>123</v>
      </c>
      <c r="G2645" s="7" t="s">
        <v>19</v>
      </c>
      <c r="H2645" s="9" t="n">
        <v>46143</v>
      </c>
      <c r="I2645" s="9" t="n">
        <v>46163</v>
      </c>
      <c r="J2645" s="7" t="n">
        <v>9.8</v>
      </c>
      <c r="K2645" s="7" t="s">
        <v>2984</v>
      </c>
      <c r="L2645" s="7" t="s">
        <v>21</v>
      </c>
      <c r="M2645" s="7" t="s">
        <v>3134</v>
      </c>
      <c r="N2645" s="7" t="s">
        <v>58</v>
      </c>
      <c r="O2645" s="10" t="n">
        <f aca="false">'Exec Summary'!$E$2-H2645</f>
        <v>91</v>
      </c>
      <c r="P2645" s="10" t="n">
        <f aca="false">IF(I2645="","",I2645-H2645)</f>
        <v>20</v>
      </c>
      <c r="Q2645" s="10" t="n">
        <f aca="false">VLOOKUP(G2645,$AA$2:$AB$5,2,FALSE())</f>
        <v>15</v>
      </c>
      <c r="R2645" s="7" t="n">
        <f aca="false">IF(OR(F2645="Open",F2645="Reopened"),1,0)</f>
        <v>1</v>
      </c>
      <c r="S2645" s="7" t="n">
        <f aca="false">IF(AND(H2645&gt;='Exec Summary'!$E$1,H2645&lt;='Exec Summary'!$E$2),1,0)</f>
        <v>0</v>
      </c>
      <c r="T2645" s="7" t="n">
        <f aca="false">IF(AND(F2645="Closed",I2645&lt;&gt;"",I2645&gt;='Exec Summary'!$E$1,I2645&lt;='Exec Summary'!$E$2),1,0)</f>
        <v>0</v>
      </c>
      <c r="U2645" s="7" t="n">
        <f aca="false">IF(F2645="Reopened",1,0)</f>
        <v>1</v>
      </c>
      <c r="V2645" s="7" t="n">
        <f aca="false">IF(AND(R2645=1,O2645&gt;Q2645),1,0)</f>
        <v>1</v>
      </c>
      <c r="W2645" s="7" t="n">
        <f aca="false">IF(AND(T2645=1,P2645&lt;&gt;"",P2645&lt;=Q2645),1,0)</f>
        <v>0</v>
      </c>
    </row>
    <row r="2646" customFormat="false" ht="15" hidden="false" customHeight="false" outlineLevel="0" collapsed="false">
      <c r="A2646" s="7" t="s">
        <v>3133</v>
      </c>
      <c r="B2646" s="7" t="s">
        <v>46</v>
      </c>
      <c r="C2646" s="7" t="s">
        <v>158</v>
      </c>
      <c r="D2646" s="7" t="s">
        <v>68</v>
      </c>
      <c r="E2646" s="7" t="s">
        <v>69</v>
      </c>
      <c r="F2646" s="7" t="s">
        <v>56</v>
      </c>
      <c r="G2646" s="7" t="s">
        <v>19</v>
      </c>
      <c r="H2646" s="9" t="n">
        <v>46042</v>
      </c>
      <c r="I2646" s="9"/>
      <c r="J2646" s="7" t="n">
        <v>9.8</v>
      </c>
      <c r="K2646" s="7" t="s">
        <v>2984</v>
      </c>
      <c r="L2646" s="7" t="s">
        <v>21</v>
      </c>
      <c r="M2646" s="7" t="s">
        <v>3135</v>
      </c>
      <c r="N2646" s="7" t="s">
        <v>58</v>
      </c>
      <c r="O2646" s="10" t="n">
        <f aca="false">'Exec Summary'!$E$2-H2646</f>
        <v>192</v>
      </c>
      <c r="P2646" s="10" t="str">
        <f aca="false">IF(I2646="","",I2646-H2646)</f>
        <v/>
      </c>
      <c r="Q2646" s="10" t="n">
        <f aca="false">VLOOKUP(G2646,$AA$2:$AB$5,2,FALSE())</f>
        <v>15</v>
      </c>
      <c r="R2646" s="7" t="n">
        <f aca="false">IF(OR(F2646="Open",F2646="Reopened"),1,0)</f>
        <v>1</v>
      </c>
      <c r="S2646" s="7" t="n">
        <f aca="false">IF(AND(H2646&gt;='Exec Summary'!$E$1,H2646&lt;='Exec Summary'!$E$2),1,0)</f>
        <v>0</v>
      </c>
      <c r="T2646" s="7" t="n">
        <f aca="false">IF(AND(F2646="Closed",I2646&lt;&gt;"",I2646&gt;='Exec Summary'!$E$1,I2646&lt;='Exec Summary'!$E$2),1,0)</f>
        <v>0</v>
      </c>
      <c r="U2646" s="7" t="n">
        <f aca="false">IF(F2646="Reopened",1,0)</f>
        <v>0</v>
      </c>
      <c r="V2646" s="7" t="n">
        <f aca="false">IF(AND(R2646=1,O2646&gt;Q2646),1,0)</f>
        <v>1</v>
      </c>
      <c r="W2646" s="7" t="n">
        <f aca="false">IF(AND(T2646=1,P2646&lt;&gt;"",P2646&lt;=Q2646),1,0)</f>
        <v>0</v>
      </c>
    </row>
    <row r="2647" customFormat="false" ht="15" hidden="false" customHeight="false" outlineLevel="0" collapsed="false">
      <c r="A2647" s="7" t="s">
        <v>3133</v>
      </c>
      <c r="B2647" s="7" t="s">
        <v>46</v>
      </c>
      <c r="C2647" s="7" t="s">
        <v>158</v>
      </c>
      <c r="D2647" s="7" t="s">
        <v>210</v>
      </c>
      <c r="E2647" s="7" t="s">
        <v>211</v>
      </c>
      <c r="F2647" s="7" t="s">
        <v>56</v>
      </c>
      <c r="G2647" s="7" t="s">
        <v>19</v>
      </c>
      <c r="H2647" s="9" t="n">
        <v>46174</v>
      </c>
      <c r="I2647" s="9"/>
      <c r="J2647" s="7" t="n">
        <v>9.8</v>
      </c>
      <c r="K2647" s="7" t="s">
        <v>2984</v>
      </c>
      <c r="L2647" s="7" t="s">
        <v>21</v>
      </c>
      <c r="M2647" s="7" t="s">
        <v>3136</v>
      </c>
      <c r="N2647" s="7" t="s">
        <v>58</v>
      </c>
      <c r="O2647" s="10" t="n">
        <f aca="false">'Exec Summary'!$E$2-H2647</f>
        <v>60</v>
      </c>
      <c r="P2647" s="10" t="str">
        <f aca="false">IF(I2647="","",I2647-H2647)</f>
        <v/>
      </c>
      <c r="Q2647" s="10" t="n">
        <f aca="false">VLOOKUP(G2647,$AA$2:$AB$5,2,FALSE())</f>
        <v>15</v>
      </c>
      <c r="R2647" s="7" t="n">
        <f aca="false">IF(OR(F2647="Open",F2647="Reopened"),1,0)</f>
        <v>1</v>
      </c>
      <c r="S2647" s="7" t="n">
        <f aca="false">IF(AND(H2647&gt;='Exec Summary'!$E$1,H2647&lt;='Exec Summary'!$E$2),1,0)</f>
        <v>0</v>
      </c>
      <c r="T2647" s="7" t="n">
        <f aca="false">IF(AND(F2647="Closed",I2647&lt;&gt;"",I2647&gt;='Exec Summary'!$E$1,I2647&lt;='Exec Summary'!$E$2),1,0)</f>
        <v>0</v>
      </c>
      <c r="U2647" s="7" t="n">
        <f aca="false">IF(F2647="Reopened",1,0)</f>
        <v>0</v>
      </c>
      <c r="V2647" s="7" t="n">
        <f aca="false">IF(AND(R2647=1,O2647&gt;Q2647),1,0)</f>
        <v>1</v>
      </c>
      <c r="W2647" s="7" t="n">
        <f aca="false">IF(AND(T2647=1,P2647&lt;&gt;"",P2647&lt;=Q2647),1,0)</f>
        <v>0</v>
      </c>
    </row>
    <row r="2648" customFormat="false" ht="15" hidden="false" customHeight="false" outlineLevel="0" collapsed="false">
      <c r="A2648" s="7" t="s">
        <v>3133</v>
      </c>
      <c r="B2648" s="7" t="s">
        <v>46</v>
      </c>
      <c r="C2648" s="7" t="s">
        <v>158</v>
      </c>
      <c r="D2648" s="7" t="s">
        <v>166</v>
      </c>
      <c r="E2648" s="7" t="s">
        <v>167</v>
      </c>
      <c r="F2648" s="7" t="s">
        <v>56</v>
      </c>
      <c r="G2648" s="7" t="s">
        <v>19</v>
      </c>
      <c r="H2648" s="9" t="n">
        <v>46017</v>
      </c>
      <c r="I2648" s="9"/>
      <c r="J2648" s="7" t="n">
        <v>9.8</v>
      </c>
      <c r="K2648" s="7" t="s">
        <v>2984</v>
      </c>
      <c r="L2648" s="7" t="s">
        <v>21</v>
      </c>
      <c r="M2648" s="7" t="s">
        <v>3137</v>
      </c>
      <c r="N2648" s="7" t="s">
        <v>58</v>
      </c>
      <c r="O2648" s="10" t="n">
        <f aca="false">'Exec Summary'!$E$2-H2648</f>
        <v>217</v>
      </c>
      <c r="P2648" s="10" t="str">
        <f aca="false">IF(I2648="","",I2648-H2648)</f>
        <v/>
      </c>
      <c r="Q2648" s="10" t="n">
        <f aca="false">VLOOKUP(G2648,$AA$2:$AB$5,2,FALSE())</f>
        <v>15</v>
      </c>
      <c r="R2648" s="7" t="n">
        <f aca="false">IF(OR(F2648="Open",F2648="Reopened"),1,0)</f>
        <v>1</v>
      </c>
      <c r="S2648" s="7" t="n">
        <f aca="false">IF(AND(H2648&gt;='Exec Summary'!$E$1,H2648&lt;='Exec Summary'!$E$2),1,0)</f>
        <v>0</v>
      </c>
      <c r="T2648" s="7" t="n">
        <f aca="false">IF(AND(F2648="Closed",I2648&lt;&gt;"",I2648&gt;='Exec Summary'!$E$1,I2648&lt;='Exec Summary'!$E$2),1,0)</f>
        <v>0</v>
      </c>
      <c r="U2648" s="7" t="n">
        <f aca="false">IF(F2648="Reopened",1,0)</f>
        <v>0</v>
      </c>
      <c r="V2648" s="7" t="n">
        <f aca="false">IF(AND(R2648=1,O2648&gt;Q2648),1,0)</f>
        <v>1</v>
      </c>
      <c r="W2648" s="7" t="n">
        <f aca="false">IF(AND(T2648=1,P2648&lt;&gt;"",P2648&lt;=Q2648),1,0)</f>
        <v>0</v>
      </c>
    </row>
    <row r="2649" customFormat="false" ht="15" hidden="false" customHeight="false" outlineLevel="0" collapsed="false">
      <c r="A2649" s="7" t="s">
        <v>3133</v>
      </c>
      <c r="B2649" s="7" t="s">
        <v>46</v>
      </c>
      <c r="C2649" s="7" t="s">
        <v>158</v>
      </c>
      <c r="D2649" s="7" t="s">
        <v>139</v>
      </c>
      <c r="E2649" s="7" t="s">
        <v>140</v>
      </c>
      <c r="F2649" s="7" t="s">
        <v>50</v>
      </c>
      <c r="G2649" s="7" t="s">
        <v>19</v>
      </c>
      <c r="H2649" s="9" t="n">
        <v>46077</v>
      </c>
      <c r="I2649" s="9" t="n">
        <v>46095</v>
      </c>
      <c r="J2649" s="7" t="n">
        <v>9.8</v>
      </c>
      <c r="K2649" s="7" t="s">
        <v>2984</v>
      </c>
      <c r="L2649" s="7" t="s">
        <v>21</v>
      </c>
      <c r="M2649" s="7" t="s">
        <v>3138</v>
      </c>
      <c r="N2649" s="7" t="s">
        <v>58</v>
      </c>
      <c r="O2649" s="10" t="n">
        <f aca="false">'Exec Summary'!$E$2-H2649</f>
        <v>157</v>
      </c>
      <c r="P2649" s="10" t="n">
        <f aca="false">IF(I2649="","",I2649-H2649)</f>
        <v>18</v>
      </c>
      <c r="Q2649" s="10" t="n">
        <f aca="false">VLOOKUP(G2649,$AA$2:$AB$5,2,FALSE())</f>
        <v>15</v>
      </c>
      <c r="R2649" s="7" t="n">
        <f aca="false">IF(OR(F2649="Open",F2649="Reopened"),1,0)</f>
        <v>0</v>
      </c>
      <c r="S2649" s="7" t="n">
        <f aca="false">IF(AND(H2649&gt;='Exec Summary'!$E$1,H2649&lt;='Exec Summary'!$E$2),1,0)</f>
        <v>0</v>
      </c>
      <c r="T2649" s="7" t="n">
        <f aca="false">IF(AND(F2649="Closed",I2649&lt;&gt;"",I2649&gt;='Exec Summary'!$E$1,I2649&lt;='Exec Summary'!$E$2),1,0)</f>
        <v>0</v>
      </c>
      <c r="U2649" s="7" t="n">
        <f aca="false">IF(F2649="Reopened",1,0)</f>
        <v>0</v>
      </c>
      <c r="V2649" s="7" t="n">
        <f aca="false">IF(AND(R2649=1,O2649&gt;Q2649),1,0)</f>
        <v>0</v>
      </c>
      <c r="W2649" s="7" t="n">
        <f aca="false">IF(AND(T2649=1,P2649&lt;&gt;"",P2649&lt;=Q2649),1,0)</f>
        <v>0</v>
      </c>
    </row>
    <row r="2650" customFormat="false" ht="15" hidden="false" customHeight="false" outlineLevel="0" collapsed="false">
      <c r="A2650" s="7" t="s">
        <v>3133</v>
      </c>
      <c r="B2650" s="7" t="s">
        <v>46</v>
      </c>
      <c r="C2650" s="7" t="s">
        <v>158</v>
      </c>
      <c r="D2650" s="7" t="s">
        <v>101</v>
      </c>
      <c r="E2650" s="7" t="s">
        <v>102</v>
      </c>
      <c r="F2650" s="7" t="s">
        <v>50</v>
      </c>
      <c r="G2650" s="7" t="s">
        <v>19</v>
      </c>
      <c r="H2650" s="9" t="n">
        <v>46027</v>
      </c>
      <c r="I2650" s="9" t="n">
        <v>46042</v>
      </c>
      <c r="J2650" s="7" t="n">
        <v>10</v>
      </c>
      <c r="K2650" s="7" t="s">
        <v>2984</v>
      </c>
      <c r="L2650" s="7" t="s">
        <v>21</v>
      </c>
      <c r="M2650" s="7" t="s">
        <v>3139</v>
      </c>
      <c r="N2650" s="7" t="s">
        <v>58</v>
      </c>
      <c r="O2650" s="10" t="n">
        <f aca="false">'Exec Summary'!$E$2-H2650</f>
        <v>207</v>
      </c>
      <c r="P2650" s="10" t="n">
        <f aca="false">IF(I2650="","",I2650-H2650)</f>
        <v>15</v>
      </c>
      <c r="Q2650" s="10" t="n">
        <f aca="false">VLOOKUP(G2650,$AA$2:$AB$5,2,FALSE())</f>
        <v>15</v>
      </c>
      <c r="R2650" s="7" t="n">
        <f aca="false">IF(OR(F2650="Open",F2650="Reopened"),1,0)</f>
        <v>0</v>
      </c>
      <c r="S2650" s="7" t="n">
        <f aca="false">IF(AND(H2650&gt;='Exec Summary'!$E$1,H2650&lt;='Exec Summary'!$E$2),1,0)</f>
        <v>0</v>
      </c>
      <c r="T2650" s="7" t="n">
        <f aca="false">IF(AND(F2650="Closed",I2650&lt;&gt;"",I2650&gt;='Exec Summary'!$E$1,I2650&lt;='Exec Summary'!$E$2),1,0)</f>
        <v>0</v>
      </c>
      <c r="U2650" s="7" t="n">
        <f aca="false">IF(F2650="Reopened",1,0)</f>
        <v>0</v>
      </c>
      <c r="V2650" s="7" t="n">
        <f aca="false">IF(AND(R2650=1,O2650&gt;Q2650),1,0)</f>
        <v>0</v>
      </c>
      <c r="W2650" s="7" t="n">
        <f aca="false">IF(AND(T2650=1,P2650&lt;&gt;"",P2650&lt;=Q2650),1,0)</f>
        <v>0</v>
      </c>
    </row>
    <row r="2651" customFormat="false" ht="15" hidden="false" customHeight="false" outlineLevel="0" collapsed="false">
      <c r="A2651" s="7" t="s">
        <v>3133</v>
      </c>
      <c r="B2651" s="7" t="s">
        <v>46</v>
      </c>
      <c r="C2651" s="7" t="s">
        <v>158</v>
      </c>
      <c r="D2651" s="7" t="s">
        <v>173</v>
      </c>
      <c r="E2651" s="7" t="s">
        <v>174</v>
      </c>
      <c r="F2651" s="7" t="s">
        <v>50</v>
      </c>
      <c r="G2651" s="7" t="s">
        <v>19</v>
      </c>
      <c r="H2651" s="9" t="n">
        <v>46057</v>
      </c>
      <c r="I2651" s="9" t="n">
        <v>46070</v>
      </c>
      <c r="J2651" s="7" t="n">
        <v>9.8</v>
      </c>
      <c r="K2651" s="7" t="s">
        <v>2984</v>
      </c>
      <c r="L2651" s="7" t="s">
        <v>21</v>
      </c>
      <c r="M2651" s="7" t="s">
        <v>3140</v>
      </c>
      <c r="N2651" s="7" t="s">
        <v>58</v>
      </c>
      <c r="O2651" s="10" t="n">
        <f aca="false">'Exec Summary'!$E$2-H2651</f>
        <v>177</v>
      </c>
      <c r="P2651" s="10" t="n">
        <f aca="false">IF(I2651="","",I2651-H2651)</f>
        <v>13</v>
      </c>
      <c r="Q2651" s="10" t="n">
        <f aca="false">VLOOKUP(G2651,$AA$2:$AB$5,2,FALSE())</f>
        <v>15</v>
      </c>
      <c r="R2651" s="7" t="n">
        <f aca="false">IF(OR(F2651="Open",F2651="Reopened"),1,0)</f>
        <v>0</v>
      </c>
      <c r="S2651" s="7" t="n">
        <f aca="false">IF(AND(H2651&gt;='Exec Summary'!$E$1,H2651&lt;='Exec Summary'!$E$2),1,0)</f>
        <v>0</v>
      </c>
      <c r="T2651" s="7" t="n">
        <f aca="false">IF(AND(F2651="Closed",I2651&lt;&gt;"",I2651&gt;='Exec Summary'!$E$1,I2651&lt;='Exec Summary'!$E$2),1,0)</f>
        <v>0</v>
      </c>
      <c r="U2651" s="7" t="n">
        <f aca="false">IF(F2651="Reopened",1,0)</f>
        <v>0</v>
      </c>
      <c r="V2651" s="7" t="n">
        <f aca="false">IF(AND(R2651=1,O2651&gt;Q2651),1,0)</f>
        <v>0</v>
      </c>
      <c r="W2651" s="7" t="n">
        <f aca="false">IF(AND(T2651=1,P2651&lt;&gt;"",P2651&lt;=Q2651),1,0)</f>
        <v>0</v>
      </c>
    </row>
    <row r="2652" customFormat="false" ht="15" hidden="false" customHeight="false" outlineLevel="0" collapsed="false">
      <c r="A2652" s="7" t="s">
        <v>3133</v>
      </c>
      <c r="B2652" s="7" t="s">
        <v>46</v>
      </c>
      <c r="C2652" s="7" t="s">
        <v>158</v>
      </c>
      <c r="D2652" s="7" t="s">
        <v>74</v>
      </c>
      <c r="E2652" s="7" t="s">
        <v>75</v>
      </c>
      <c r="F2652" s="7" t="s">
        <v>123</v>
      </c>
      <c r="G2652" s="7" t="s">
        <v>21</v>
      </c>
      <c r="H2652" s="9" t="n">
        <v>45937</v>
      </c>
      <c r="I2652" s="9" t="n">
        <v>46003</v>
      </c>
      <c r="J2652" s="7" t="n">
        <v>6.5</v>
      </c>
      <c r="K2652" s="7" t="s">
        <v>2984</v>
      </c>
      <c r="L2652" s="7" t="s">
        <v>21</v>
      </c>
      <c r="M2652" s="7" t="s">
        <v>3141</v>
      </c>
      <c r="N2652" s="7" t="s">
        <v>77</v>
      </c>
      <c r="O2652" s="10" t="n">
        <f aca="false">'Exec Summary'!$E$2-H2652</f>
        <v>297</v>
      </c>
      <c r="P2652" s="10" t="n">
        <f aca="false">IF(I2652="","",I2652-H2652)</f>
        <v>66</v>
      </c>
      <c r="Q2652" s="10" t="n">
        <f aca="false">VLOOKUP(G2652,$AA$2:$AB$5,2,FALSE())</f>
        <v>90</v>
      </c>
      <c r="R2652" s="7" t="n">
        <f aca="false">IF(OR(F2652="Open",F2652="Reopened"),1,0)</f>
        <v>1</v>
      </c>
      <c r="S2652" s="7" t="n">
        <f aca="false">IF(AND(H2652&gt;='Exec Summary'!$E$1,H2652&lt;='Exec Summary'!$E$2),1,0)</f>
        <v>0</v>
      </c>
      <c r="T2652" s="7" t="n">
        <f aca="false">IF(AND(F2652="Closed",I2652&lt;&gt;"",I2652&gt;='Exec Summary'!$E$1,I2652&lt;='Exec Summary'!$E$2),1,0)</f>
        <v>0</v>
      </c>
      <c r="U2652" s="7" t="n">
        <f aca="false">IF(F2652="Reopened",1,0)</f>
        <v>1</v>
      </c>
      <c r="V2652" s="7" t="n">
        <f aca="false">IF(AND(R2652=1,O2652&gt;Q2652),1,0)</f>
        <v>1</v>
      </c>
      <c r="W2652" s="7" t="n">
        <f aca="false">IF(AND(T2652=1,P2652&lt;&gt;"",P2652&lt;=Q2652),1,0)</f>
        <v>0</v>
      </c>
    </row>
    <row r="2653" customFormat="false" ht="15" hidden="false" customHeight="false" outlineLevel="0" collapsed="false">
      <c r="A2653" s="7" t="s">
        <v>3133</v>
      </c>
      <c r="B2653" s="7" t="s">
        <v>46</v>
      </c>
      <c r="C2653" s="7" t="s">
        <v>158</v>
      </c>
      <c r="D2653" s="7" t="s">
        <v>152</v>
      </c>
      <c r="E2653" s="7" t="s">
        <v>153</v>
      </c>
      <c r="F2653" s="7" t="s">
        <v>56</v>
      </c>
      <c r="G2653" s="7" t="s">
        <v>20</v>
      </c>
      <c r="H2653" s="9" t="n">
        <v>46221</v>
      </c>
      <c r="I2653" s="9"/>
      <c r="J2653" s="7" t="n">
        <v>7.5</v>
      </c>
      <c r="K2653" s="7" t="s">
        <v>2984</v>
      </c>
      <c r="L2653" s="7" t="s">
        <v>21</v>
      </c>
      <c r="M2653" s="7" t="s">
        <v>3142</v>
      </c>
      <c r="N2653" s="7" t="s">
        <v>53</v>
      </c>
      <c r="O2653" s="10" t="n">
        <f aca="false">'Exec Summary'!$E$2-H2653</f>
        <v>13</v>
      </c>
      <c r="P2653" s="10" t="str">
        <f aca="false">IF(I2653="","",I2653-H2653)</f>
        <v/>
      </c>
      <c r="Q2653" s="10" t="n">
        <f aca="false">VLOOKUP(G2653,$AA$2:$AB$5,2,FALSE())</f>
        <v>30</v>
      </c>
      <c r="R2653" s="7" t="n">
        <f aca="false">IF(OR(F2653="Open",F2653="Reopened"),1,0)</f>
        <v>1</v>
      </c>
      <c r="S2653" s="7" t="n">
        <f aca="false">IF(AND(H2653&gt;='Exec Summary'!$E$1,H2653&lt;='Exec Summary'!$E$2),1,0)</f>
        <v>1</v>
      </c>
      <c r="T2653" s="7" t="n">
        <f aca="false">IF(AND(F2653="Closed",I2653&lt;&gt;"",I2653&gt;='Exec Summary'!$E$1,I2653&lt;='Exec Summary'!$E$2),1,0)</f>
        <v>0</v>
      </c>
      <c r="U2653" s="7" t="n">
        <f aca="false">IF(F2653="Reopened",1,0)</f>
        <v>0</v>
      </c>
      <c r="V2653" s="7" t="n">
        <f aca="false">IF(AND(R2653=1,O2653&gt;Q2653),1,0)</f>
        <v>0</v>
      </c>
      <c r="W2653" s="7" t="n">
        <f aca="false">IF(AND(T2653=1,P2653&lt;&gt;"",P2653&lt;=Q2653),1,0)</f>
        <v>0</v>
      </c>
    </row>
    <row r="2654" customFormat="false" ht="15" hidden="false" customHeight="false" outlineLevel="0" collapsed="false">
      <c r="A2654" s="7" t="s">
        <v>3133</v>
      </c>
      <c r="B2654" s="7" t="s">
        <v>46</v>
      </c>
      <c r="C2654" s="7" t="s">
        <v>158</v>
      </c>
      <c r="D2654" s="7" t="s">
        <v>192</v>
      </c>
      <c r="E2654" s="7" t="s">
        <v>193</v>
      </c>
      <c r="F2654" s="7" t="s">
        <v>50</v>
      </c>
      <c r="G2654" s="7" t="s">
        <v>19</v>
      </c>
      <c r="H2654" s="9" t="n">
        <v>45980</v>
      </c>
      <c r="I2654" s="9" t="n">
        <v>45991</v>
      </c>
      <c r="J2654" s="7" t="n">
        <v>9.8</v>
      </c>
      <c r="K2654" s="7" t="s">
        <v>2984</v>
      </c>
      <c r="L2654" s="7" t="s">
        <v>21</v>
      </c>
      <c r="M2654" s="7" t="s">
        <v>3143</v>
      </c>
      <c r="N2654" s="7" t="s">
        <v>58</v>
      </c>
      <c r="O2654" s="10" t="n">
        <f aca="false">'Exec Summary'!$E$2-H2654</f>
        <v>254</v>
      </c>
      <c r="P2654" s="10" t="n">
        <f aca="false">IF(I2654="","",I2654-H2654)</f>
        <v>11</v>
      </c>
      <c r="Q2654" s="10" t="n">
        <f aca="false">VLOOKUP(G2654,$AA$2:$AB$5,2,FALSE())</f>
        <v>15</v>
      </c>
      <c r="R2654" s="7" t="n">
        <f aca="false">IF(OR(F2654="Open",F2654="Reopened"),1,0)</f>
        <v>0</v>
      </c>
      <c r="S2654" s="7" t="n">
        <f aca="false">IF(AND(H2654&gt;='Exec Summary'!$E$1,H2654&lt;='Exec Summary'!$E$2),1,0)</f>
        <v>0</v>
      </c>
      <c r="T2654" s="7" t="n">
        <f aca="false">IF(AND(F2654="Closed",I2654&lt;&gt;"",I2654&gt;='Exec Summary'!$E$1,I2654&lt;='Exec Summary'!$E$2),1,0)</f>
        <v>0</v>
      </c>
      <c r="U2654" s="7" t="n">
        <f aca="false">IF(F2654="Reopened",1,0)</f>
        <v>0</v>
      </c>
      <c r="V2654" s="7" t="n">
        <f aca="false">IF(AND(R2654=1,O2654&gt;Q2654),1,0)</f>
        <v>0</v>
      </c>
      <c r="W2654" s="7" t="n">
        <f aca="false">IF(AND(T2654=1,P2654&lt;&gt;"",P2654&lt;=Q2654),1,0)</f>
        <v>0</v>
      </c>
    </row>
    <row r="2655" customFormat="false" ht="15" hidden="false" customHeight="false" outlineLevel="0" collapsed="false">
      <c r="A2655" s="7" t="s">
        <v>3133</v>
      </c>
      <c r="B2655" s="7" t="s">
        <v>46</v>
      </c>
      <c r="C2655" s="7" t="s">
        <v>158</v>
      </c>
      <c r="D2655" s="7" t="s">
        <v>84</v>
      </c>
      <c r="E2655" s="7" t="s">
        <v>85</v>
      </c>
      <c r="F2655" s="7" t="s">
        <v>56</v>
      </c>
      <c r="G2655" s="7" t="s">
        <v>20</v>
      </c>
      <c r="H2655" s="9" t="n">
        <v>45989</v>
      </c>
      <c r="I2655" s="9"/>
      <c r="J2655" s="7" t="n">
        <v>7.5</v>
      </c>
      <c r="K2655" s="7" t="s">
        <v>2984</v>
      </c>
      <c r="L2655" s="7" t="s">
        <v>21</v>
      </c>
      <c r="M2655" s="7" t="s">
        <v>3144</v>
      </c>
      <c r="N2655" s="7" t="s">
        <v>53</v>
      </c>
      <c r="O2655" s="10" t="n">
        <f aca="false">'Exec Summary'!$E$2-H2655</f>
        <v>245</v>
      </c>
      <c r="P2655" s="10" t="str">
        <f aca="false">IF(I2655="","",I2655-H2655)</f>
        <v/>
      </c>
      <c r="Q2655" s="10" t="n">
        <f aca="false">VLOOKUP(G2655,$AA$2:$AB$5,2,FALSE())</f>
        <v>30</v>
      </c>
      <c r="R2655" s="7" t="n">
        <f aca="false">IF(OR(F2655="Open",F2655="Reopened"),1,0)</f>
        <v>1</v>
      </c>
      <c r="S2655" s="7" t="n">
        <f aca="false">IF(AND(H2655&gt;='Exec Summary'!$E$1,H2655&lt;='Exec Summary'!$E$2),1,0)</f>
        <v>0</v>
      </c>
      <c r="T2655" s="7" t="n">
        <f aca="false">IF(AND(F2655="Closed",I2655&lt;&gt;"",I2655&gt;='Exec Summary'!$E$1,I2655&lt;='Exec Summary'!$E$2),1,0)</f>
        <v>0</v>
      </c>
      <c r="U2655" s="7" t="n">
        <f aca="false">IF(F2655="Reopened",1,0)</f>
        <v>0</v>
      </c>
      <c r="V2655" s="7" t="n">
        <f aca="false">IF(AND(R2655=1,O2655&gt;Q2655),1,0)</f>
        <v>1</v>
      </c>
      <c r="W2655" s="7" t="n">
        <f aca="false">IF(AND(T2655=1,P2655&lt;&gt;"",P2655&lt;=Q2655),1,0)</f>
        <v>0</v>
      </c>
    </row>
    <row r="2656" customFormat="false" ht="15" hidden="false" customHeight="false" outlineLevel="0" collapsed="false">
      <c r="A2656" s="7" t="s">
        <v>3133</v>
      </c>
      <c r="B2656" s="7" t="s">
        <v>46</v>
      </c>
      <c r="C2656" s="7" t="s">
        <v>158</v>
      </c>
      <c r="D2656" s="7" t="s">
        <v>145</v>
      </c>
      <c r="E2656" s="7" t="s">
        <v>146</v>
      </c>
      <c r="F2656" s="7" t="s">
        <v>123</v>
      </c>
      <c r="G2656" s="7" t="s">
        <v>19</v>
      </c>
      <c r="H2656" s="9" t="n">
        <v>46095</v>
      </c>
      <c r="I2656" s="9" t="n">
        <v>46106</v>
      </c>
      <c r="J2656" s="7" t="n">
        <v>9.8</v>
      </c>
      <c r="K2656" s="7" t="s">
        <v>2984</v>
      </c>
      <c r="L2656" s="7" t="s">
        <v>21</v>
      </c>
      <c r="M2656" s="7" t="s">
        <v>3145</v>
      </c>
      <c r="N2656" s="7" t="s">
        <v>58</v>
      </c>
      <c r="O2656" s="10" t="n">
        <f aca="false">'Exec Summary'!$E$2-H2656</f>
        <v>139</v>
      </c>
      <c r="P2656" s="10" t="n">
        <f aca="false">IF(I2656="","",I2656-H2656)</f>
        <v>11</v>
      </c>
      <c r="Q2656" s="10" t="n">
        <f aca="false">VLOOKUP(G2656,$AA$2:$AB$5,2,FALSE())</f>
        <v>15</v>
      </c>
      <c r="R2656" s="7" t="n">
        <f aca="false">IF(OR(F2656="Open",F2656="Reopened"),1,0)</f>
        <v>1</v>
      </c>
      <c r="S2656" s="7" t="n">
        <f aca="false">IF(AND(H2656&gt;='Exec Summary'!$E$1,H2656&lt;='Exec Summary'!$E$2),1,0)</f>
        <v>0</v>
      </c>
      <c r="T2656" s="7" t="n">
        <f aca="false">IF(AND(F2656="Closed",I2656&lt;&gt;"",I2656&gt;='Exec Summary'!$E$1,I2656&lt;='Exec Summary'!$E$2),1,0)</f>
        <v>0</v>
      </c>
      <c r="U2656" s="7" t="n">
        <f aca="false">IF(F2656="Reopened",1,0)</f>
        <v>1</v>
      </c>
      <c r="V2656" s="7" t="n">
        <f aca="false">IF(AND(R2656=1,O2656&gt;Q2656),1,0)</f>
        <v>1</v>
      </c>
      <c r="W2656" s="7" t="n">
        <f aca="false">IF(AND(T2656=1,P2656&lt;&gt;"",P2656&lt;=Q2656),1,0)</f>
        <v>0</v>
      </c>
    </row>
    <row r="2657" customFormat="false" ht="15" hidden="false" customHeight="false" outlineLevel="0" collapsed="false">
      <c r="A2657" s="7" t="s">
        <v>3133</v>
      </c>
      <c r="B2657" s="7" t="s">
        <v>46</v>
      </c>
      <c r="C2657" s="7" t="s">
        <v>158</v>
      </c>
      <c r="D2657" s="7" t="s">
        <v>54</v>
      </c>
      <c r="E2657" s="7" t="s">
        <v>55</v>
      </c>
      <c r="F2657" s="7" t="s">
        <v>123</v>
      </c>
      <c r="G2657" s="7" t="s">
        <v>19</v>
      </c>
      <c r="H2657" s="9" t="n">
        <v>46119</v>
      </c>
      <c r="I2657" s="9" t="n">
        <v>46135</v>
      </c>
      <c r="J2657" s="7" t="n">
        <v>9.8</v>
      </c>
      <c r="K2657" s="7" t="s">
        <v>2984</v>
      </c>
      <c r="L2657" s="7" t="s">
        <v>21</v>
      </c>
      <c r="M2657" s="7" t="s">
        <v>3146</v>
      </c>
      <c r="N2657" s="7" t="s">
        <v>58</v>
      </c>
      <c r="O2657" s="10" t="n">
        <f aca="false">'Exec Summary'!$E$2-H2657</f>
        <v>115</v>
      </c>
      <c r="P2657" s="10" t="n">
        <f aca="false">IF(I2657="","",I2657-H2657)</f>
        <v>16</v>
      </c>
      <c r="Q2657" s="10" t="n">
        <f aca="false">VLOOKUP(G2657,$AA$2:$AB$5,2,FALSE())</f>
        <v>15</v>
      </c>
      <c r="R2657" s="7" t="n">
        <f aca="false">IF(OR(F2657="Open",F2657="Reopened"),1,0)</f>
        <v>1</v>
      </c>
      <c r="S2657" s="7" t="n">
        <f aca="false">IF(AND(H2657&gt;='Exec Summary'!$E$1,H2657&lt;='Exec Summary'!$E$2),1,0)</f>
        <v>0</v>
      </c>
      <c r="T2657" s="7" t="n">
        <f aca="false">IF(AND(F2657="Closed",I2657&lt;&gt;"",I2657&gt;='Exec Summary'!$E$1,I2657&lt;='Exec Summary'!$E$2),1,0)</f>
        <v>0</v>
      </c>
      <c r="U2657" s="7" t="n">
        <f aca="false">IF(F2657="Reopened",1,0)</f>
        <v>1</v>
      </c>
      <c r="V2657" s="7" t="n">
        <f aca="false">IF(AND(R2657=1,O2657&gt;Q2657),1,0)</f>
        <v>1</v>
      </c>
      <c r="W2657" s="7" t="n">
        <f aca="false">IF(AND(T2657=1,P2657&lt;&gt;"",P2657&lt;=Q2657),1,0)</f>
        <v>0</v>
      </c>
    </row>
    <row r="2658" customFormat="false" ht="15" hidden="false" customHeight="false" outlineLevel="0" collapsed="false">
      <c r="A2658" s="7" t="s">
        <v>3133</v>
      </c>
      <c r="B2658" s="7" t="s">
        <v>46</v>
      </c>
      <c r="C2658" s="7" t="s">
        <v>158</v>
      </c>
      <c r="D2658" s="7" t="s">
        <v>163</v>
      </c>
      <c r="E2658" s="7" t="s">
        <v>164</v>
      </c>
      <c r="F2658" s="7" t="s">
        <v>50</v>
      </c>
      <c r="G2658" s="7" t="s">
        <v>19</v>
      </c>
      <c r="H2658" s="9" t="n">
        <v>46036</v>
      </c>
      <c r="I2658" s="9" t="n">
        <v>46037</v>
      </c>
      <c r="J2658" s="7" t="n">
        <v>9.1</v>
      </c>
      <c r="K2658" s="7" t="s">
        <v>2984</v>
      </c>
      <c r="L2658" s="7" t="s">
        <v>21</v>
      </c>
      <c r="M2658" s="7" t="s">
        <v>3147</v>
      </c>
      <c r="N2658" s="7" t="s">
        <v>58</v>
      </c>
      <c r="O2658" s="10" t="n">
        <f aca="false">'Exec Summary'!$E$2-H2658</f>
        <v>198</v>
      </c>
      <c r="P2658" s="10" t="n">
        <f aca="false">IF(I2658="","",I2658-H2658)</f>
        <v>1</v>
      </c>
      <c r="Q2658" s="10" t="n">
        <f aca="false">VLOOKUP(G2658,$AA$2:$AB$5,2,FALSE())</f>
        <v>15</v>
      </c>
      <c r="R2658" s="7" t="n">
        <f aca="false">IF(OR(F2658="Open",F2658="Reopened"),1,0)</f>
        <v>0</v>
      </c>
      <c r="S2658" s="7" t="n">
        <f aca="false">IF(AND(H2658&gt;='Exec Summary'!$E$1,H2658&lt;='Exec Summary'!$E$2),1,0)</f>
        <v>0</v>
      </c>
      <c r="T2658" s="7" t="n">
        <f aca="false">IF(AND(F2658="Closed",I2658&lt;&gt;"",I2658&gt;='Exec Summary'!$E$1,I2658&lt;='Exec Summary'!$E$2),1,0)</f>
        <v>0</v>
      </c>
      <c r="U2658" s="7" t="n">
        <f aca="false">IF(F2658="Reopened",1,0)</f>
        <v>0</v>
      </c>
      <c r="V2658" s="7" t="n">
        <f aca="false">IF(AND(R2658=1,O2658&gt;Q2658),1,0)</f>
        <v>0</v>
      </c>
      <c r="W2658" s="7" t="n">
        <f aca="false">IF(AND(T2658=1,P2658&lt;&gt;"",P2658&lt;=Q2658),1,0)</f>
        <v>0</v>
      </c>
    </row>
    <row r="2659" customFormat="false" ht="15" hidden="false" customHeight="false" outlineLevel="0" collapsed="false">
      <c r="A2659" s="7" t="s">
        <v>3148</v>
      </c>
      <c r="B2659" s="7" t="s">
        <v>46</v>
      </c>
      <c r="C2659" s="7" t="s">
        <v>158</v>
      </c>
      <c r="D2659" s="7" t="s">
        <v>59</v>
      </c>
      <c r="E2659" s="7" t="s">
        <v>60</v>
      </c>
      <c r="F2659" s="7" t="s">
        <v>50</v>
      </c>
      <c r="G2659" s="7" t="s">
        <v>19</v>
      </c>
      <c r="H2659" s="9" t="n">
        <v>46224</v>
      </c>
      <c r="I2659" s="9" t="n">
        <v>46227</v>
      </c>
      <c r="J2659" s="7" t="n">
        <v>7.8</v>
      </c>
      <c r="K2659" s="7" t="s">
        <v>2984</v>
      </c>
      <c r="L2659" s="7" t="s">
        <v>21</v>
      </c>
      <c r="M2659" s="7" t="s">
        <v>3149</v>
      </c>
      <c r="N2659" s="7" t="s">
        <v>58</v>
      </c>
      <c r="O2659" s="10" t="n">
        <f aca="false">'Exec Summary'!$E$2-H2659</f>
        <v>10</v>
      </c>
      <c r="P2659" s="10" t="n">
        <f aca="false">IF(I2659="","",I2659-H2659)</f>
        <v>3</v>
      </c>
      <c r="Q2659" s="10" t="n">
        <f aca="false">VLOOKUP(G2659,$AA$2:$AB$5,2,FALSE())</f>
        <v>15</v>
      </c>
      <c r="R2659" s="7" t="n">
        <f aca="false">IF(OR(F2659="Open",F2659="Reopened"),1,0)</f>
        <v>0</v>
      </c>
      <c r="S2659" s="7" t="n">
        <f aca="false">IF(AND(H2659&gt;='Exec Summary'!$E$1,H2659&lt;='Exec Summary'!$E$2),1,0)</f>
        <v>1</v>
      </c>
      <c r="T2659" s="7" t="n">
        <f aca="false">IF(AND(F2659="Closed",I2659&lt;&gt;"",I2659&gt;='Exec Summary'!$E$1,I2659&lt;='Exec Summary'!$E$2),1,0)</f>
        <v>1</v>
      </c>
      <c r="U2659" s="7" t="n">
        <f aca="false">IF(F2659="Reopened",1,0)</f>
        <v>0</v>
      </c>
      <c r="V2659" s="7" t="n">
        <f aca="false">IF(AND(R2659=1,O2659&gt;Q2659),1,0)</f>
        <v>0</v>
      </c>
      <c r="W2659" s="7" t="n">
        <f aca="false">IF(AND(T2659=1,P2659&lt;&gt;"",P2659&lt;=Q2659),1,0)</f>
        <v>1</v>
      </c>
    </row>
    <row r="2660" customFormat="false" ht="15" hidden="false" customHeight="false" outlineLevel="0" collapsed="false">
      <c r="A2660" s="7" t="s">
        <v>3148</v>
      </c>
      <c r="B2660" s="7" t="s">
        <v>46</v>
      </c>
      <c r="C2660" s="7" t="s">
        <v>158</v>
      </c>
      <c r="D2660" s="7" t="s">
        <v>104</v>
      </c>
      <c r="E2660" s="7" t="s">
        <v>105</v>
      </c>
      <c r="F2660" s="7" t="s">
        <v>50</v>
      </c>
      <c r="G2660" s="7" t="s">
        <v>19</v>
      </c>
      <c r="H2660" s="9" t="n">
        <v>46110</v>
      </c>
      <c r="I2660" s="9" t="n">
        <v>46125</v>
      </c>
      <c r="J2660" s="7" t="n">
        <v>9.8</v>
      </c>
      <c r="K2660" s="7" t="s">
        <v>2984</v>
      </c>
      <c r="L2660" s="7" t="s">
        <v>21</v>
      </c>
      <c r="M2660" s="7" t="s">
        <v>3150</v>
      </c>
      <c r="N2660" s="7" t="s">
        <v>58</v>
      </c>
      <c r="O2660" s="10" t="n">
        <f aca="false">'Exec Summary'!$E$2-H2660</f>
        <v>124</v>
      </c>
      <c r="P2660" s="10" t="n">
        <f aca="false">IF(I2660="","",I2660-H2660)</f>
        <v>15</v>
      </c>
      <c r="Q2660" s="10" t="n">
        <f aca="false">VLOOKUP(G2660,$AA$2:$AB$5,2,FALSE())</f>
        <v>15</v>
      </c>
      <c r="R2660" s="7" t="n">
        <f aca="false">IF(OR(F2660="Open",F2660="Reopened"),1,0)</f>
        <v>0</v>
      </c>
      <c r="S2660" s="7" t="n">
        <f aca="false">IF(AND(H2660&gt;='Exec Summary'!$E$1,H2660&lt;='Exec Summary'!$E$2),1,0)</f>
        <v>0</v>
      </c>
      <c r="T2660" s="7" t="n">
        <f aca="false">IF(AND(F2660="Closed",I2660&lt;&gt;"",I2660&gt;='Exec Summary'!$E$1,I2660&lt;='Exec Summary'!$E$2),1,0)</f>
        <v>0</v>
      </c>
      <c r="U2660" s="7" t="n">
        <f aca="false">IF(F2660="Reopened",1,0)</f>
        <v>0</v>
      </c>
      <c r="V2660" s="7" t="n">
        <f aca="false">IF(AND(R2660=1,O2660&gt;Q2660),1,0)</f>
        <v>0</v>
      </c>
      <c r="W2660" s="7" t="n">
        <f aca="false">IF(AND(T2660=1,P2660&lt;&gt;"",P2660&lt;=Q2660),1,0)</f>
        <v>0</v>
      </c>
    </row>
    <row r="2661" customFormat="false" ht="15" hidden="false" customHeight="false" outlineLevel="0" collapsed="false">
      <c r="A2661" s="7" t="s">
        <v>3148</v>
      </c>
      <c r="B2661" s="7" t="s">
        <v>46</v>
      </c>
      <c r="C2661" s="7" t="s">
        <v>158</v>
      </c>
      <c r="D2661" s="7" t="s">
        <v>84</v>
      </c>
      <c r="E2661" s="7" t="s">
        <v>85</v>
      </c>
      <c r="F2661" s="7" t="s">
        <v>50</v>
      </c>
      <c r="G2661" s="7" t="s">
        <v>20</v>
      </c>
      <c r="H2661" s="9" t="n">
        <v>45993</v>
      </c>
      <c r="I2661" s="9" t="n">
        <v>46011</v>
      </c>
      <c r="J2661" s="7" t="n">
        <v>7.5</v>
      </c>
      <c r="K2661" s="7" t="s">
        <v>2984</v>
      </c>
      <c r="L2661" s="7" t="s">
        <v>21</v>
      </c>
      <c r="M2661" s="7" t="s">
        <v>3151</v>
      </c>
      <c r="N2661" s="7" t="s">
        <v>53</v>
      </c>
      <c r="O2661" s="10" t="n">
        <f aca="false">'Exec Summary'!$E$2-H2661</f>
        <v>241</v>
      </c>
      <c r="P2661" s="10" t="n">
        <f aca="false">IF(I2661="","",I2661-H2661)</f>
        <v>18</v>
      </c>
      <c r="Q2661" s="10" t="n">
        <f aca="false">VLOOKUP(G2661,$AA$2:$AB$5,2,FALSE())</f>
        <v>30</v>
      </c>
      <c r="R2661" s="7" t="n">
        <f aca="false">IF(OR(F2661="Open",F2661="Reopened"),1,0)</f>
        <v>0</v>
      </c>
      <c r="S2661" s="7" t="n">
        <f aca="false">IF(AND(H2661&gt;='Exec Summary'!$E$1,H2661&lt;='Exec Summary'!$E$2),1,0)</f>
        <v>0</v>
      </c>
      <c r="T2661" s="7" t="n">
        <f aca="false">IF(AND(F2661="Closed",I2661&lt;&gt;"",I2661&gt;='Exec Summary'!$E$1,I2661&lt;='Exec Summary'!$E$2),1,0)</f>
        <v>0</v>
      </c>
      <c r="U2661" s="7" t="n">
        <f aca="false">IF(F2661="Reopened",1,0)</f>
        <v>0</v>
      </c>
      <c r="V2661" s="7" t="n">
        <f aca="false">IF(AND(R2661=1,O2661&gt;Q2661),1,0)</f>
        <v>0</v>
      </c>
      <c r="W2661" s="7" t="n">
        <f aca="false">IF(AND(T2661=1,P2661&lt;&gt;"",P2661&lt;=Q2661),1,0)</f>
        <v>0</v>
      </c>
    </row>
    <row r="2662" customFormat="false" ht="15" hidden="false" customHeight="false" outlineLevel="0" collapsed="false">
      <c r="A2662" s="7" t="s">
        <v>3148</v>
      </c>
      <c r="B2662" s="7" t="s">
        <v>46</v>
      </c>
      <c r="C2662" s="7" t="s">
        <v>158</v>
      </c>
      <c r="D2662" s="7" t="s">
        <v>108</v>
      </c>
      <c r="E2662" s="7" t="s">
        <v>109</v>
      </c>
      <c r="F2662" s="7" t="s">
        <v>56</v>
      </c>
      <c r="G2662" s="7" t="s">
        <v>20</v>
      </c>
      <c r="H2662" s="9" t="n">
        <v>46006</v>
      </c>
      <c r="I2662" s="9"/>
      <c r="J2662" s="7" t="n">
        <v>8.6</v>
      </c>
      <c r="K2662" s="7" t="s">
        <v>2984</v>
      </c>
      <c r="L2662" s="7" t="s">
        <v>21</v>
      </c>
      <c r="M2662" s="7" t="s">
        <v>3152</v>
      </c>
      <c r="N2662" s="7" t="s">
        <v>53</v>
      </c>
      <c r="O2662" s="10" t="n">
        <f aca="false">'Exec Summary'!$E$2-H2662</f>
        <v>228</v>
      </c>
      <c r="P2662" s="10" t="str">
        <f aca="false">IF(I2662="","",I2662-H2662)</f>
        <v/>
      </c>
      <c r="Q2662" s="10" t="n">
        <f aca="false">VLOOKUP(G2662,$AA$2:$AB$5,2,FALSE())</f>
        <v>30</v>
      </c>
      <c r="R2662" s="7" t="n">
        <f aca="false">IF(OR(F2662="Open",F2662="Reopened"),1,0)</f>
        <v>1</v>
      </c>
      <c r="S2662" s="7" t="n">
        <f aca="false">IF(AND(H2662&gt;='Exec Summary'!$E$1,H2662&lt;='Exec Summary'!$E$2),1,0)</f>
        <v>0</v>
      </c>
      <c r="T2662" s="7" t="n">
        <f aca="false">IF(AND(F2662="Closed",I2662&lt;&gt;"",I2662&gt;='Exec Summary'!$E$1,I2662&lt;='Exec Summary'!$E$2),1,0)</f>
        <v>0</v>
      </c>
      <c r="U2662" s="7" t="n">
        <f aca="false">IF(F2662="Reopened",1,0)</f>
        <v>0</v>
      </c>
      <c r="V2662" s="7" t="n">
        <f aca="false">IF(AND(R2662=1,O2662&gt;Q2662),1,0)</f>
        <v>1</v>
      </c>
      <c r="W2662" s="7" t="n">
        <f aca="false">IF(AND(T2662=1,P2662&lt;&gt;"",P2662&lt;=Q2662),1,0)</f>
        <v>0</v>
      </c>
    </row>
    <row r="2663" customFormat="false" ht="15" hidden="false" customHeight="false" outlineLevel="0" collapsed="false">
      <c r="A2663" s="7" t="s">
        <v>3148</v>
      </c>
      <c r="B2663" s="7" t="s">
        <v>46</v>
      </c>
      <c r="C2663" s="7" t="s">
        <v>158</v>
      </c>
      <c r="D2663" s="7" t="s">
        <v>71</v>
      </c>
      <c r="E2663" s="7" t="s">
        <v>72</v>
      </c>
      <c r="F2663" s="7" t="s">
        <v>56</v>
      </c>
      <c r="G2663" s="7" t="s">
        <v>19</v>
      </c>
      <c r="H2663" s="9" t="n">
        <v>46093</v>
      </c>
      <c r="I2663" s="9"/>
      <c r="J2663" s="7" t="n">
        <v>9.8</v>
      </c>
      <c r="K2663" s="7" t="s">
        <v>2984</v>
      </c>
      <c r="L2663" s="7" t="s">
        <v>21</v>
      </c>
      <c r="M2663" s="7" t="s">
        <v>3153</v>
      </c>
      <c r="N2663" s="7" t="s">
        <v>58</v>
      </c>
      <c r="O2663" s="10" t="n">
        <f aca="false">'Exec Summary'!$E$2-H2663</f>
        <v>141</v>
      </c>
      <c r="P2663" s="10" t="str">
        <f aca="false">IF(I2663="","",I2663-H2663)</f>
        <v/>
      </c>
      <c r="Q2663" s="10" t="n">
        <f aca="false">VLOOKUP(G2663,$AA$2:$AB$5,2,FALSE())</f>
        <v>15</v>
      </c>
      <c r="R2663" s="7" t="n">
        <f aca="false">IF(OR(F2663="Open",F2663="Reopened"),1,0)</f>
        <v>1</v>
      </c>
      <c r="S2663" s="7" t="n">
        <f aca="false">IF(AND(H2663&gt;='Exec Summary'!$E$1,H2663&lt;='Exec Summary'!$E$2),1,0)</f>
        <v>0</v>
      </c>
      <c r="T2663" s="7" t="n">
        <f aca="false">IF(AND(F2663="Closed",I2663&lt;&gt;"",I2663&gt;='Exec Summary'!$E$1,I2663&lt;='Exec Summary'!$E$2),1,0)</f>
        <v>0</v>
      </c>
      <c r="U2663" s="7" t="n">
        <f aca="false">IF(F2663="Reopened",1,0)</f>
        <v>0</v>
      </c>
      <c r="V2663" s="7" t="n">
        <f aca="false">IF(AND(R2663=1,O2663&gt;Q2663),1,0)</f>
        <v>1</v>
      </c>
      <c r="W2663" s="7" t="n">
        <f aca="false">IF(AND(T2663=1,P2663&lt;&gt;"",P2663&lt;=Q2663),1,0)</f>
        <v>0</v>
      </c>
    </row>
    <row r="2664" customFormat="false" ht="15" hidden="false" customHeight="false" outlineLevel="0" collapsed="false">
      <c r="A2664" s="7" t="s">
        <v>3148</v>
      </c>
      <c r="B2664" s="7" t="s">
        <v>46</v>
      </c>
      <c r="C2664" s="7" t="s">
        <v>158</v>
      </c>
      <c r="D2664" s="7" t="s">
        <v>87</v>
      </c>
      <c r="E2664" s="7" t="s">
        <v>88</v>
      </c>
      <c r="F2664" s="7" t="s">
        <v>56</v>
      </c>
      <c r="G2664" s="7" t="s">
        <v>19</v>
      </c>
      <c r="H2664" s="9" t="n">
        <v>46043</v>
      </c>
      <c r="I2664" s="9"/>
      <c r="J2664" s="7" t="n">
        <v>10</v>
      </c>
      <c r="K2664" s="7" t="s">
        <v>2984</v>
      </c>
      <c r="L2664" s="7" t="s">
        <v>21</v>
      </c>
      <c r="M2664" s="7" t="s">
        <v>3154</v>
      </c>
      <c r="N2664" s="7" t="s">
        <v>58</v>
      </c>
      <c r="O2664" s="10" t="n">
        <f aca="false">'Exec Summary'!$E$2-H2664</f>
        <v>191</v>
      </c>
      <c r="P2664" s="10" t="str">
        <f aca="false">IF(I2664="","",I2664-H2664)</f>
        <v/>
      </c>
      <c r="Q2664" s="10" t="n">
        <f aca="false">VLOOKUP(G2664,$AA$2:$AB$5,2,FALSE())</f>
        <v>15</v>
      </c>
      <c r="R2664" s="7" t="n">
        <f aca="false">IF(OR(F2664="Open",F2664="Reopened"),1,0)</f>
        <v>1</v>
      </c>
      <c r="S2664" s="7" t="n">
        <f aca="false">IF(AND(H2664&gt;='Exec Summary'!$E$1,H2664&lt;='Exec Summary'!$E$2),1,0)</f>
        <v>0</v>
      </c>
      <c r="T2664" s="7" t="n">
        <f aca="false">IF(AND(F2664="Closed",I2664&lt;&gt;"",I2664&gt;='Exec Summary'!$E$1,I2664&lt;='Exec Summary'!$E$2),1,0)</f>
        <v>0</v>
      </c>
      <c r="U2664" s="7" t="n">
        <f aca="false">IF(F2664="Reopened",1,0)</f>
        <v>0</v>
      </c>
      <c r="V2664" s="7" t="n">
        <f aca="false">IF(AND(R2664=1,O2664&gt;Q2664),1,0)</f>
        <v>1</v>
      </c>
      <c r="W2664" s="7" t="n">
        <f aca="false">IF(AND(T2664=1,P2664&lt;&gt;"",P2664&lt;=Q2664),1,0)</f>
        <v>0</v>
      </c>
    </row>
    <row r="2665" customFormat="false" ht="15" hidden="false" customHeight="false" outlineLevel="0" collapsed="false">
      <c r="A2665" s="7" t="s">
        <v>3148</v>
      </c>
      <c r="B2665" s="7" t="s">
        <v>46</v>
      </c>
      <c r="C2665" s="7" t="s">
        <v>158</v>
      </c>
      <c r="D2665" s="7" t="s">
        <v>91</v>
      </c>
      <c r="E2665" s="7" t="s">
        <v>92</v>
      </c>
      <c r="F2665" s="7" t="s">
        <v>123</v>
      </c>
      <c r="G2665" s="7" t="s">
        <v>20</v>
      </c>
      <c r="H2665" s="9" t="n">
        <v>45952</v>
      </c>
      <c r="I2665" s="9" t="n">
        <v>45953</v>
      </c>
      <c r="J2665" s="7" t="n">
        <v>8.1</v>
      </c>
      <c r="K2665" s="7" t="s">
        <v>2984</v>
      </c>
      <c r="L2665" s="7" t="s">
        <v>21</v>
      </c>
      <c r="M2665" s="7" t="s">
        <v>3155</v>
      </c>
      <c r="N2665" s="7" t="s">
        <v>53</v>
      </c>
      <c r="O2665" s="10" t="n">
        <f aca="false">'Exec Summary'!$E$2-H2665</f>
        <v>282</v>
      </c>
      <c r="P2665" s="10" t="n">
        <f aca="false">IF(I2665="","",I2665-H2665)</f>
        <v>1</v>
      </c>
      <c r="Q2665" s="10" t="n">
        <f aca="false">VLOOKUP(G2665,$AA$2:$AB$5,2,FALSE())</f>
        <v>30</v>
      </c>
      <c r="R2665" s="7" t="n">
        <f aca="false">IF(OR(F2665="Open",F2665="Reopened"),1,0)</f>
        <v>1</v>
      </c>
      <c r="S2665" s="7" t="n">
        <f aca="false">IF(AND(H2665&gt;='Exec Summary'!$E$1,H2665&lt;='Exec Summary'!$E$2),1,0)</f>
        <v>0</v>
      </c>
      <c r="T2665" s="7" t="n">
        <f aca="false">IF(AND(F2665="Closed",I2665&lt;&gt;"",I2665&gt;='Exec Summary'!$E$1,I2665&lt;='Exec Summary'!$E$2),1,0)</f>
        <v>0</v>
      </c>
      <c r="U2665" s="7" t="n">
        <f aca="false">IF(F2665="Reopened",1,0)</f>
        <v>1</v>
      </c>
      <c r="V2665" s="7" t="n">
        <f aca="false">IF(AND(R2665=1,O2665&gt;Q2665),1,0)</f>
        <v>1</v>
      </c>
      <c r="W2665" s="7" t="n">
        <f aca="false">IF(AND(T2665=1,P2665&lt;&gt;"",P2665&lt;=Q2665),1,0)</f>
        <v>0</v>
      </c>
    </row>
    <row r="2666" customFormat="false" ht="15" hidden="false" customHeight="false" outlineLevel="0" collapsed="false">
      <c r="A2666" s="7" t="s">
        <v>3148</v>
      </c>
      <c r="B2666" s="7" t="s">
        <v>46</v>
      </c>
      <c r="C2666" s="7" t="s">
        <v>158</v>
      </c>
      <c r="D2666" s="7" t="s">
        <v>173</v>
      </c>
      <c r="E2666" s="7" t="s">
        <v>174</v>
      </c>
      <c r="F2666" s="7" t="s">
        <v>56</v>
      </c>
      <c r="G2666" s="7" t="s">
        <v>19</v>
      </c>
      <c r="H2666" s="9" t="n">
        <v>46221</v>
      </c>
      <c r="I2666" s="9"/>
      <c r="J2666" s="7" t="n">
        <v>9.8</v>
      </c>
      <c r="K2666" s="7" t="s">
        <v>2984</v>
      </c>
      <c r="L2666" s="7" t="s">
        <v>21</v>
      </c>
      <c r="M2666" s="7" t="s">
        <v>3156</v>
      </c>
      <c r="N2666" s="7" t="s">
        <v>58</v>
      </c>
      <c r="O2666" s="10" t="n">
        <f aca="false">'Exec Summary'!$E$2-H2666</f>
        <v>13</v>
      </c>
      <c r="P2666" s="10" t="str">
        <f aca="false">IF(I2666="","",I2666-H2666)</f>
        <v/>
      </c>
      <c r="Q2666" s="10" t="n">
        <f aca="false">VLOOKUP(G2666,$AA$2:$AB$5,2,FALSE())</f>
        <v>15</v>
      </c>
      <c r="R2666" s="7" t="n">
        <f aca="false">IF(OR(F2666="Open",F2666="Reopened"),1,0)</f>
        <v>1</v>
      </c>
      <c r="S2666" s="7" t="n">
        <f aca="false">IF(AND(H2666&gt;='Exec Summary'!$E$1,H2666&lt;='Exec Summary'!$E$2),1,0)</f>
        <v>1</v>
      </c>
      <c r="T2666" s="7" t="n">
        <f aca="false">IF(AND(F2666="Closed",I2666&lt;&gt;"",I2666&gt;='Exec Summary'!$E$1,I2666&lt;='Exec Summary'!$E$2),1,0)</f>
        <v>0</v>
      </c>
      <c r="U2666" s="7" t="n">
        <f aca="false">IF(F2666="Reopened",1,0)</f>
        <v>0</v>
      </c>
      <c r="V2666" s="7" t="n">
        <f aca="false">IF(AND(R2666=1,O2666&gt;Q2666),1,0)</f>
        <v>0</v>
      </c>
      <c r="W2666" s="7" t="n">
        <f aca="false">IF(AND(T2666=1,P2666&lt;&gt;"",P2666&lt;=Q2666),1,0)</f>
        <v>0</v>
      </c>
    </row>
    <row r="2667" customFormat="false" ht="15" hidden="false" customHeight="false" outlineLevel="0" collapsed="false">
      <c r="A2667" s="7" t="s">
        <v>3148</v>
      </c>
      <c r="B2667" s="7" t="s">
        <v>46</v>
      </c>
      <c r="C2667" s="7" t="s">
        <v>158</v>
      </c>
      <c r="D2667" s="7" t="s">
        <v>163</v>
      </c>
      <c r="E2667" s="7" t="s">
        <v>164</v>
      </c>
      <c r="F2667" s="7" t="s">
        <v>56</v>
      </c>
      <c r="G2667" s="7" t="s">
        <v>19</v>
      </c>
      <c r="H2667" s="9" t="n">
        <v>46047</v>
      </c>
      <c r="I2667" s="9"/>
      <c r="J2667" s="7" t="n">
        <v>9.1</v>
      </c>
      <c r="K2667" s="7" t="s">
        <v>2984</v>
      </c>
      <c r="L2667" s="7" t="s">
        <v>21</v>
      </c>
      <c r="M2667" s="7" t="s">
        <v>3157</v>
      </c>
      <c r="N2667" s="7" t="s">
        <v>58</v>
      </c>
      <c r="O2667" s="10" t="n">
        <f aca="false">'Exec Summary'!$E$2-H2667</f>
        <v>187</v>
      </c>
      <c r="P2667" s="10" t="str">
        <f aca="false">IF(I2667="","",I2667-H2667)</f>
        <v/>
      </c>
      <c r="Q2667" s="10" t="n">
        <f aca="false">VLOOKUP(G2667,$AA$2:$AB$5,2,FALSE())</f>
        <v>15</v>
      </c>
      <c r="R2667" s="7" t="n">
        <f aca="false">IF(OR(F2667="Open",F2667="Reopened"),1,0)</f>
        <v>1</v>
      </c>
      <c r="S2667" s="7" t="n">
        <f aca="false">IF(AND(H2667&gt;='Exec Summary'!$E$1,H2667&lt;='Exec Summary'!$E$2),1,0)</f>
        <v>0</v>
      </c>
      <c r="T2667" s="7" t="n">
        <f aca="false">IF(AND(F2667="Closed",I2667&lt;&gt;"",I2667&gt;='Exec Summary'!$E$1,I2667&lt;='Exec Summary'!$E$2),1,0)</f>
        <v>0</v>
      </c>
      <c r="U2667" s="7" t="n">
        <f aca="false">IF(F2667="Reopened",1,0)</f>
        <v>0</v>
      </c>
      <c r="V2667" s="7" t="n">
        <f aca="false">IF(AND(R2667=1,O2667&gt;Q2667),1,0)</f>
        <v>1</v>
      </c>
      <c r="W2667" s="7" t="n">
        <f aca="false">IF(AND(T2667=1,P2667&lt;&gt;"",P2667&lt;=Q2667),1,0)</f>
        <v>0</v>
      </c>
    </row>
    <row r="2668" customFormat="false" ht="15" hidden="false" customHeight="false" outlineLevel="0" collapsed="false">
      <c r="A2668" s="7" t="s">
        <v>3148</v>
      </c>
      <c r="B2668" s="7" t="s">
        <v>46</v>
      </c>
      <c r="C2668" s="7" t="s">
        <v>158</v>
      </c>
      <c r="D2668" s="7" t="s">
        <v>152</v>
      </c>
      <c r="E2668" s="7" t="s">
        <v>153</v>
      </c>
      <c r="F2668" s="7" t="s">
        <v>56</v>
      </c>
      <c r="G2668" s="7" t="s">
        <v>20</v>
      </c>
      <c r="H2668" s="9" t="n">
        <v>46173</v>
      </c>
      <c r="I2668" s="9"/>
      <c r="J2668" s="7" t="n">
        <v>7.5</v>
      </c>
      <c r="K2668" s="7" t="s">
        <v>2984</v>
      </c>
      <c r="L2668" s="7" t="s">
        <v>21</v>
      </c>
      <c r="M2668" s="7" t="s">
        <v>3158</v>
      </c>
      <c r="N2668" s="7" t="s">
        <v>53</v>
      </c>
      <c r="O2668" s="10" t="n">
        <f aca="false">'Exec Summary'!$E$2-H2668</f>
        <v>61</v>
      </c>
      <c r="P2668" s="10" t="str">
        <f aca="false">IF(I2668="","",I2668-H2668)</f>
        <v/>
      </c>
      <c r="Q2668" s="10" t="n">
        <f aca="false">VLOOKUP(G2668,$AA$2:$AB$5,2,FALSE())</f>
        <v>30</v>
      </c>
      <c r="R2668" s="7" t="n">
        <f aca="false">IF(OR(F2668="Open",F2668="Reopened"),1,0)</f>
        <v>1</v>
      </c>
      <c r="S2668" s="7" t="n">
        <f aca="false">IF(AND(H2668&gt;='Exec Summary'!$E$1,H2668&lt;='Exec Summary'!$E$2),1,0)</f>
        <v>0</v>
      </c>
      <c r="T2668" s="7" t="n">
        <f aca="false">IF(AND(F2668="Closed",I2668&lt;&gt;"",I2668&gt;='Exec Summary'!$E$1,I2668&lt;='Exec Summary'!$E$2),1,0)</f>
        <v>0</v>
      </c>
      <c r="U2668" s="7" t="n">
        <f aca="false">IF(F2668="Reopened",1,0)</f>
        <v>0</v>
      </c>
      <c r="V2668" s="7" t="n">
        <f aca="false">IF(AND(R2668=1,O2668&gt;Q2668),1,0)</f>
        <v>1</v>
      </c>
      <c r="W2668" s="7" t="n">
        <f aca="false">IF(AND(T2668=1,P2668&lt;&gt;"",P2668&lt;=Q2668),1,0)</f>
        <v>0</v>
      </c>
    </row>
    <row r="2669" customFormat="false" ht="15" hidden="false" customHeight="false" outlineLevel="0" collapsed="false">
      <c r="A2669" s="7" t="s">
        <v>3148</v>
      </c>
      <c r="B2669" s="7" t="s">
        <v>46</v>
      </c>
      <c r="C2669" s="7" t="s">
        <v>158</v>
      </c>
      <c r="D2669" s="7" t="s">
        <v>54</v>
      </c>
      <c r="E2669" s="7" t="s">
        <v>55</v>
      </c>
      <c r="F2669" s="7" t="s">
        <v>50</v>
      </c>
      <c r="G2669" s="7" t="s">
        <v>19</v>
      </c>
      <c r="H2669" s="9" t="n">
        <v>46118</v>
      </c>
      <c r="I2669" s="9" t="n">
        <v>46119</v>
      </c>
      <c r="J2669" s="7" t="n">
        <v>9.8</v>
      </c>
      <c r="K2669" s="7" t="s">
        <v>2984</v>
      </c>
      <c r="L2669" s="7" t="s">
        <v>21</v>
      </c>
      <c r="M2669" s="7" t="s">
        <v>3159</v>
      </c>
      <c r="N2669" s="7" t="s">
        <v>58</v>
      </c>
      <c r="O2669" s="10" t="n">
        <f aca="false">'Exec Summary'!$E$2-H2669</f>
        <v>116</v>
      </c>
      <c r="P2669" s="10" t="n">
        <f aca="false">IF(I2669="","",I2669-H2669)</f>
        <v>1</v>
      </c>
      <c r="Q2669" s="10" t="n">
        <f aca="false">VLOOKUP(G2669,$AA$2:$AB$5,2,FALSE())</f>
        <v>15</v>
      </c>
      <c r="R2669" s="7" t="n">
        <f aca="false">IF(OR(F2669="Open",F2669="Reopened"),1,0)</f>
        <v>0</v>
      </c>
      <c r="S2669" s="7" t="n">
        <f aca="false">IF(AND(H2669&gt;='Exec Summary'!$E$1,H2669&lt;='Exec Summary'!$E$2),1,0)</f>
        <v>0</v>
      </c>
      <c r="T2669" s="7" t="n">
        <f aca="false">IF(AND(F2669="Closed",I2669&lt;&gt;"",I2669&gt;='Exec Summary'!$E$1,I2669&lt;='Exec Summary'!$E$2),1,0)</f>
        <v>0</v>
      </c>
      <c r="U2669" s="7" t="n">
        <f aca="false">IF(F2669="Reopened",1,0)</f>
        <v>0</v>
      </c>
      <c r="V2669" s="7" t="n">
        <f aca="false">IF(AND(R2669=1,O2669&gt;Q2669),1,0)</f>
        <v>0</v>
      </c>
      <c r="W2669" s="7" t="n">
        <f aca="false">IF(AND(T2669=1,P2669&lt;&gt;"",P2669&lt;=Q2669),1,0)</f>
        <v>0</v>
      </c>
    </row>
    <row r="2670" customFormat="false" ht="15" hidden="false" customHeight="false" outlineLevel="0" collapsed="false">
      <c r="A2670" s="7" t="s">
        <v>3148</v>
      </c>
      <c r="B2670" s="7" t="s">
        <v>46</v>
      </c>
      <c r="C2670" s="7" t="s">
        <v>158</v>
      </c>
      <c r="D2670" s="7" t="s">
        <v>68</v>
      </c>
      <c r="E2670" s="7" t="s">
        <v>69</v>
      </c>
      <c r="F2670" s="7" t="s">
        <v>50</v>
      </c>
      <c r="G2670" s="7" t="s">
        <v>19</v>
      </c>
      <c r="H2670" s="9" t="n">
        <v>46149</v>
      </c>
      <c r="I2670" s="9" t="n">
        <v>46158</v>
      </c>
      <c r="J2670" s="7" t="n">
        <v>9.8</v>
      </c>
      <c r="K2670" s="7" t="s">
        <v>2984</v>
      </c>
      <c r="L2670" s="7" t="s">
        <v>21</v>
      </c>
      <c r="M2670" s="7" t="s">
        <v>3160</v>
      </c>
      <c r="N2670" s="7" t="s">
        <v>58</v>
      </c>
      <c r="O2670" s="10" t="n">
        <f aca="false">'Exec Summary'!$E$2-H2670</f>
        <v>85</v>
      </c>
      <c r="P2670" s="10" t="n">
        <f aca="false">IF(I2670="","",I2670-H2670)</f>
        <v>9</v>
      </c>
      <c r="Q2670" s="10" t="n">
        <f aca="false">VLOOKUP(G2670,$AA$2:$AB$5,2,FALSE())</f>
        <v>15</v>
      </c>
      <c r="R2670" s="7" t="n">
        <f aca="false">IF(OR(F2670="Open",F2670="Reopened"),1,0)</f>
        <v>0</v>
      </c>
      <c r="S2670" s="7" t="n">
        <f aca="false">IF(AND(H2670&gt;='Exec Summary'!$E$1,H2670&lt;='Exec Summary'!$E$2),1,0)</f>
        <v>0</v>
      </c>
      <c r="T2670" s="7" t="n">
        <f aca="false">IF(AND(F2670="Closed",I2670&lt;&gt;"",I2670&gt;='Exec Summary'!$E$1,I2670&lt;='Exec Summary'!$E$2),1,0)</f>
        <v>0</v>
      </c>
      <c r="U2670" s="7" t="n">
        <f aca="false">IF(F2670="Reopened",1,0)</f>
        <v>0</v>
      </c>
      <c r="V2670" s="7" t="n">
        <f aca="false">IF(AND(R2670=1,O2670&gt;Q2670),1,0)</f>
        <v>0</v>
      </c>
      <c r="W2670" s="7" t="n">
        <f aca="false">IF(AND(T2670=1,P2670&lt;&gt;"",P2670&lt;=Q2670),1,0)</f>
        <v>0</v>
      </c>
    </row>
    <row r="2671" customFormat="false" ht="15" hidden="false" customHeight="false" outlineLevel="0" collapsed="false">
      <c r="A2671" s="7" t="s">
        <v>3161</v>
      </c>
      <c r="B2671" s="7" t="s">
        <v>135</v>
      </c>
      <c r="C2671" s="7" t="s">
        <v>136</v>
      </c>
      <c r="D2671" s="7" t="s">
        <v>91</v>
      </c>
      <c r="E2671" s="7" t="s">
        <v>92</v>
      </c>
      <c r="F2671" s="7" t="s">
        <v>50</v>
      </c>
      <c r="G2671" s="7" t="s">
        <v>20</v>
      </c>
      <c r="H2671" s="9" t="n">
        <v>46024</v>
      </c>
      <c r="I2671" s="9" t="n">
        <v>46050</v>
      </c>
      <c r="J2671" s="7" t="n">
        <v>8.1</v>
      </c>
      <c r="K2671" s="7" t="s">
        <v>2984</v>
      </c>
      <c r="L2671" s="7" t="s">
        <v>21</v>
      </c>
      <c r="M2671" s="7" t="s">
        <v>3162</v>
      </c>
      <c r="N2671" s="7" t="s">
        <v>53</v>
      </c>
      <c r="O2671" s="10" t="n">
        <f aca="false">'Exec Summary'!$E$2-H2671</f>
        <v>210</v>
      </c>
      <c r="P2671" s="10" t="n">
        <f aca="false">IF(I2671="","",I2671-H2671)</f>
        <v>26</v>
      </c>
      <c r="Q2671" s="10" t="n">
        <f aca="false">VLOOKUP(G2671,$AA$2:$AB$5,2,FALSE())</f>
        <v>30</v>
      </c>
      <c r="R2671" s="7" t="n">
        <f aca="false">IF(OR(F2671="Open",F2671="Reopened"),1,0)</f>
        <v>0</v>
      </c>
      <c r="S2671" s="7" t="n">
        <f aca="false">IF(AND(H2671&gt;='Exec Summary'!$E$1,H2671&lt;='Exec Summary'!$E$2),1,0)</f>
        <v>0</v>
      </c>
      <c r="T2671" s="7" t="n">
        <f aca="false">IF(AND(F2671="Closed",I2671&lt;&gt;"",I2671&gt;='Exec Summary'!$E$1,I2671&lt;='Exec Summary'!$E$2),1,0)</f>
        <v>0</v>
      </c>
      <c r="U2671" s="7" t="n">
        <f aca="false">IF(F2671="Reopened",1,0)</f>
        <v>0</v>
      </c>
      <c r="V2671" s="7" t="n">
        <f aca="false">IF(AND(R2671=1,O2671&gt;Q2671),1,0)</f>
        <v>0</v>
      </c>
      <c r="W2671" s="7" t="n">
        <f aca="false">IF(AND(T2671=1,P2671&lt;&gt;"",P2671&lt;=Q2671),1,0)</f>
        <v>0</v>
      </c>
    </row>
    <row r="2672" customFormat="false" ht="15" hidden="false" customHeight="false" outlineLevel="0" collapsed="false">
      <c r="A2672" s="7" t="s">
        <v>3161</v>
      </c>
      <c r="B2672" s="7" t="s">
        <v>135</v>
      </c>
      <c r="C2672" s="7" t="s">
        <v>136</v>
      </c>
      <c r="D2672" s="7" t="s">
        <v>54</v>
      </c>
      <c r="E2672" s="7" t="s">
        <v>55</v>
      </c>
      <c r="F2672" s="7" t="s">
        <v>56</v>
      </c>
      <c r="G2672" s="7" t="s">
        <v>19</v>
      </c>
      <c r="H2672" s="9" t="n">
        <v>46141</v>
      </c>
      <c r="I2672" s="9"/>
      <c r="J2672" s="7" t="n">
        <v>9.8</v>
      </c>
      <c r="K2672" s="7" t="s">
        <v>2984</v>
      </c>
      <c r="L2672" s="7" t="s">
        <v>21</v>
      </c>
      <c r="M2672" s="7" t="s">
        <v>3163</v>
      </c>
      <c r="N2672" s="7" t="s">
        <v>58</v>
      </c>
      <c r="O2672" s="10" t="n">
        <f aca="false">'Exec Summary'!$E$2-H2672</f>
        <v>93</v>
      </c>
      <c r="P2672" s="10" t="str">
        <f aca="false">IF(I2672="","",I2672-H2672)</f>
        <v/>
      </c>
      <c r="Q2672" s="10" t="n">
        <f aca="false">VLOOKUP(G2672,$AA$2:$AB$5,2,FALSE())</f>
        <v>15</v>
      </c>
      <c r="R2672" s="7" t="n">
        <f aca="false">IF(OR(F2672="Open",F2672="Reopened"),1,0)</f>
        <v>1</v>
      </c>
      <c r="S2672" s="7" t="n">
        <f aca="false">IF(AND(H2672&gt;='Exec Summary'!$E$1,H2672&lt;='Exec Summary'!$E$2),1,0)</f>
        <v>0</v>
      </c>
      <c r="T2672" s="7" t="n">
        <f aca="false">IF(AND(F2672="Closed",I2672&lt;&gt;"",I2672&gt;='Exec Summary'!$E$1,I2672&lt;='Exec Summary'!$E$2),1,0)</f>
        <v>0</v>
      </c>
      <c r="U2672" s="7" t="n">
        <f aca="false">IF(F2672="Reopened",1,0)</f>
        <v>0</v>
      </c>
      <c r="V2672" s="7" t="n">
        <f aca="false">IF(AND(R2672=1,O2672&gt;Q2672),1,0)</f>
        <v>1</v>
      </c>
      <c r="W2672" s="7" t="n">
        <f aca="false">IF(AND(T2672=1,P2672&lt;&gt;"",P2672&lt;=Q2672),1,0)</f>
        <v>0</v>
      </c>
    </row>
    <row r="2673" customFormat="false" ht="15" hidden="false" customHeight="false" outlineLevel="0" collapsed="false">
      <c r="A2673" s="7" t="s">
        <v>3161</v>
      </c>
      <c r="B2673" s="7" t="s">
        <v>135</v>
      </c>
      <c r="C2673" s="7" t="s">
        <v>136</v>
      </c>
      <c r="D2673" s="7" t="s">
        <v>173</v>
      </c>
      <c r="E2673" s="7" t="s">
        <v>174</v>
      </c>
      <c r="F2673" s="7" t="s">
        <v>50</v>
      </c>
      <c r="G2673" s="7" t="s">
        <v>19</v>
      </c>
      <c r="H2673" s="9" t="n">
        <v>46103</v>
      </c>
      <c r="I2673" s="9" t="n">
        <v>46129</v>
      </c>
      <c r="J2673" s="7" t="n">
        <v>9.8</v>
      </c>
      <c r="K2673" s="7" t="s">
        <v>2984</v>
      </c>
      <c r="L2673" s="7" t="s">
        <v>21</v>
      </c>
      <c r="M2673" s="7" t="s">
        <v>3164</v>
      </c>
      <c r="N2673" s="7" t="s">
        <v>58</v>
      </c>
      <c r="O2673" s="10" t="n">
        <f aca="false">'Exec Summary'!$E$2-H2673</f>
        <v>131</v>
      </c>
      <c r="P2673" s="10" t="n">
        <f aca="false">IF(I2673="","",I2673-H2673)</f>
        <v>26</v>
      </c>
      <c r="Q2673" s="10" t="n">
        <f aca="false">VLOOKUP(G2673,$AA$2:$AB$5,2,FALSE())</f>
        <v>15</v>
      </c>
      <c r="R2673" s="7" t="n">
        <f aca="false">IF(OR(F2673="Open",F2673="Reopened"),1,0)</f>
        <v>0</v>
      </c>
      <c r="S2673" s="7" t="n">
        <f aca="false">IF(AND(H2673&gt;='Exec Summary'!$E$1,H2673&lt;='Exec Summary'!$E$2),1,0)</f>
        <v>0</v>
      </c>
      <c r="T2673" s="7" t="n">
        <f aca="false">IF(AND(F2673="Closed",I2673&lt;&gt;"",I2673&gt;='Exec Summary'!$E$1,I2673&lt;='Exec Summary'!$E$2),1,0)</f>
        <v>0</v>
      </c>
      <c r="U2673" s="7" t="n">
        <f aca="false">IF(F2673="Reopened",1,0)</f>
        <v>0</v>
      </c>
      <c r="V2673" s="7" t="n">
        <f aca="false">IF(AND(R2673=1,O2673&gt;Q2673),1,0)</f>
        <v>0</v>
      </c>
      <c r="W2673" s="7" t="n">
        <f aca="false">IF(AND(T2673=1,P2673&lt;&gt;"",P2673&lt;=Q2673),1,0)</f>
        <v>0</v>
      </c>
    </row>
    <row r="2674" customFormat="false" ht="15" hidden="false" customHeight="false" outlineLevel="0" collapsed="false">
      <c r="A2674" s="7" t="s">
        <v>3161</v>
      </c>
      <c r="B2674" s="7" t="s">
        <v>135</v>
      </c>
      <c r="C2674" s="7" t="s">
        <v>136</v>
      </c>
      <c r="D2674" s="7" t="s">
        <v>95</v>
      </c>
      <c r="E2674" s="7" t="s">
        <v>96</v>
      </c>
      <c r="F2674" s="7" t="s">
        <v>56</v>
      </c>
      <c r="G2674" s="7" t="s">
        <v>20</v>
      </c>
      <c r="H2674" s="9" t="n">
        <v>46075</v>
      </c>
      <c r="I2674" s="9"/>
      <c r="J2674" s="7" t="n">
        <v>8.8</v>
      </c>
      <c r="K2674" s="7" t="s">
        <v>2984</v>
      </c>
      <c r="L2674" s="7" t="s">
        <v>21</v>
      </c>
      <c r="M2674" s="7" t="s">
        <v>3165</v>
      </c>
      <c r="N2674" s="7" t="s">
        <v>53</v>
      </c>
      <c r="O2674" s="10" t="n">
        <f aca="false">'Exec Summary'!$E$2-H2674</f>
        <v>159</v>
      </c>
      <c r="P2674" s="10" t="str">
        <f aca="false">IF(I2674="","",I2674-H2674)</f>
        <v/>
      </c>
      <c r="Q2674" s="10" t="n">
        <f aca="false">VLOOKUP(G2674,$AA$2:$AB$5,2,FALSE())</f>
        <v>30</v>
      </c>
      <c r="R2674" s="7" t="n">
        <f aca="false">IF(OR(F2674="Open",F2674="Reopened"),1,0)</f>
        <v>1</v>
      </c>
      <c r="S2674" s="7" t="n">
        <f aca="false">IF(AND(H2674&gt;='Exec Summary'!$E$1,H2674&lt;='Exec Summary'!$E$2),1,0)</f>
        <v>0</v>
      </c>
      <c r="T2674" s="7" t="n">
        <f aca="false">IF(AND(F2674="Closed",I2674&lt;&gt;"",I2674&gt;='Exec Summary'!$E$1,I2674&lt;='Exec Summary'!$E$2),1,0)</f>
        <v>0</v>
      </c>
      <c r="U2674" s="7" t="n">
        <f aca="false">IF(F2674="Reopened",1,0)</f>
        <v>0</v>
      </c>
      <c r="V2674" s="7" t="n">
        <f aca="false">IF(AND(R2674=1,O2674&gt;Q2674),1,0)</f>
        <v>1</v>
      </c>
      <c r="W2674" s="7" t="n">
        <f aca="false">IF(AND(T2674=1,P2674&lt;&gt;"",P2674&lt;=Q2674),1,0)</f>
        <v>0</v>
      </c>
    </row>
    <row r="2675" customFormat="false" ht="15" hidden="false" customHeight="false" outlineLevel="0" collapsed="false">
      <c r="A2675" s="7" t="s">
        <v>3161</v>
      </c>
      <c r="B2675" s="7" t="s">
        <v>135</v>
      </c>
      <c r="C2675" s="7" t="s">
        <v>136</v>
      </c>
      <c r="D2675" s="7" t="s">
        <v>87</v>
      </c>
      <c r="E2675" s="7" t="s">
        <v>88</v>
      </c>
      <c r="F2675" s="7" t="s">
        <v>50</v>
      </c>
      <c r="G2675" s="7" t="s">
        <v>19</v>
      </c>
      <c r="H2675" s="9" t="n">
        <v>46118</v>
      </c>
      <c r="I2675" s="9" t="n">
        <v>46127</v>
      </c>
      <c r="J2675" s="7" t="n">
        <v>10</v>
      </c>
      <c r="K2675" s="7" t="s">
        <v>2984</v>
      </c>
      <c r="L2675" s="7" t="s">
        <v>21</v>
      </c>
      <c r="M2675" s="7" t="s">
        <v>3166</v>
      </c>
      <c r="N2675" s="7" t="s">
        <v>58</v>
      </c>
      <c r="O2675" s="10" t="n">
        <f aca="false">'Exec Summary'!$E$2-H2675</f>
        <v>116</v>
      </c>
      <c r="P2675" s="10" t="n">
        <f aca="false">IF(I2675="","",I2675-H2675)</f>
        <v>9</v>
      </c>
      <c r="Q2675" s="10" t="n">
        <f aca="false">VLOOKUP(G2675,$AA$2:$AB$5,2,FALSE())</f>
        <v>15</v>
      </c>
      <c r="R2675" s="7" t="n">
        <f aca="false">IF(OR(F2675="Open",F2675="Reopened"),1,0)</f>
        <v>0</v>
      </c>
      <c r="S2675" s="7" t="n">
        <f aca="false">IF(AND(H2675&gt;='Exec Summary'!$E$1,H2675&lt;='Exec Summary'!$E$2),1,0)</f>
        <v>0</v>
      </c>
      <c r="T2675" s="7" t="n">
        <f aca="false">IF(AND(F2675="Closed",I2675&lt;&gt;"",I2675&gt;='Exec Summary'!$E$1,I2675&lt;='Exec Summary'!$E$2),1,0)</f>
        <v>0</v>
      </c>
      <c r="U2675" s="7" t="n">
        <f aca="false">IF(F2675="Reopened",1,0)</f>
        <v>0</v>
      </c>
      <c r="V2675" s="7" t="n">
        <f aca="false">IF(AND(R2675=1,O2675&gt;Q2675),1,0)</f>
        <v>0</v>
      </c>
      <c r="W2675" s="7" t="n">
        <f aca="false">IF(AND(T2675=1,P2675&lt;&gt;"",P2675&lt;=Q2675),1,0)</f>
        <v>0</v>
      </c>
    </row>
    <row r="2676" customFormat="false" ht="15" hidden="false" customHeight="false" outlineLevel="0" collapsed="false">
      <c r="A2676" s="7" t="s">
        <v>3161</v>
      </c>
      <c r="B2676" s="7" t="s">
        <v>135</v>
      </c>
      <c r="C2676" s="7" t="s">
        <v>136</v>
      </c>
      <c r="D2676" s="7" t="s">
        <v>74</v>
      </c>
      <c r="E2676" s="7" t="s">
        <v>75</v>
      </c>
      <c r="F2676" s="7" t="s">
        <v>50</v>
      </c>
      <c r="G2676" s="7" t="s">
        <v>21</v>
      </c>
      <c r="H2676" s="9" t="n">
        <v>46039</v>
      </c>
      <c r="I2676" s="9" t="n">
        <v>46120</v>
      </c>
      <c r="J2676" s="7" t="n">
        <v>6.5</v>
      </c>
      <c r="K2676" s="7" t="s">
        <v>2984</v>
      </c>
      <c r="L2676" s="7" t="s">
        <v>21</v>
      </c>
      <c r="M2676" s="7" t="s">
        <v>3167</v>
      </c>
      <c r="N2676" s="7" t="s">
        <v>77</v>
      </c>
      <c r="O2676" s="10" t="n">
        <f aca="false">'Exec Summary'!$E$2-H2676</f>
        <v>195</v>
      </c>
      <c r="P2676" s="10" t="n">
        <f aca="false">IF(I2676="","",I2676-H2676)</f>
        <v>81</v>
      </c>
      <c r="Q2676" s="10" t="n">
        <f aca="false">VLOOKUP(G2676,$AA$2:$AB$5,2,FALSE())</f>
        <v>90</v>
      </c>
      <c r="R2676" s="7" t="n">
        <f aca="false">IF(OR(F2676="Open",F2676="Reopened"),1,0)</f>
        <v>0</v>
      </c>
      <c r="S2676" s="7" t="n">
        <f aca="false">IF(AND(H2676&gt;='Exec Summary'!$E$1,H2676&lt;='Exec Summary'!$E$2),1,0)</f>
        <v>0</v>
      </c>
      <c r="T2676" s="7" t="n">
        <f aca="false">IF(AND(F2676="Closed",I2676&lt;&gt;"",I2676&gt;='Exec Summary'!$E$1,I2676&lt;='Exec Summary'!$E$2),1,0)</f>
        <v>0</v>
      </c>
      <c r="U2676" s="7" t="n">
        <f aca="false">IF(F2676="Reopened",1,0)</f>
        <v>0</v>
      </c>
      <c r="V2676" s="7" t="n">
        <f aca="false">IF(AND(R2676=1,O2676&gt;Q2676),1,0)</f>
        <v>0</v>
      </c>
      <c r="W2676" s="7" t="n">
        <f aca="false">IF(AND(T2676=1,P2676&lt;&gt;"",P2676&lt;=Q2676),1,0)</f>
        <v>0</v>
      </c>
    </row>
    <row r="2677" customFormat="false" ht="15" hidden="false" customHeight="false" outlineLevel="0" collapsed="false">
      <c r="A2677" s="7" t="s">
        <v>3161</v>
      </c>
      <c r="B2677" s="7" t="s">
        <v>135</v>
      </c>
      <c r="C2677" s="7" t="s">
        <v>136</v>
      </c>
      <c r="D2677" s="7" t="s">
        <v>108</v>
      </c>
      <c r="E2677" s="7" t="s">
        <v>109</v>
      </c>
      <c r="F2677" s="7" t="s">
        <v>50</v>
      </c>
      <c r="G2677" s="7" t="s">
        <v>20</v>
      </c>
      <c r="H2677" s="9" t="n">
        <v>45951</v>
      </c>
      <c r="I2677" s="9" t="n">
        <v>45962</v>
      </c>
      <c r="J2677" s="7" t="n">
        <v>8.6</v>
      </c>
      <c r="K2677" s="7" t="s">
        <v>2984</v>
      </c>
      <c r="L2677" s="7" t="s">
        <v>21</v>
      </c>
      <c r="M2677" s="7" t="s">
        <v>3168</v>
      </c>
      <c r="N2677" s="7" t="s">
        <v>53</v>
      </c>
      <c r="O2677" s="10" t="n">
        <f aca="false">'Exec Summary'!$E$2-H2677</f>
        <v>283</v>
      </c>
      <c r="P2677" s="10" t="n">
        <f aca="false">IF(I2677="","",I2677-H2677)</f>
        <v>11</v>
      </c>
      <c r="Q2677" s="10" t="n">
        <f aca="false">VLOOKUP(G2677,$AA$2:$AB$5,2,FALSE())</f>
        <v>30</v>
      </c>
      <c r="R2677" s="7" t="n">
        <f aca="false">IF(OR(F2677="Open",F2677="Reopened"),1,0)</f>
        <v>0</v>
      </c>
      <c r="S2677" s="7" t="n">
        <f aca="false">IF(AND(H2677&gt;='Exec Summary'!$E$1,H2677&lt;='Exec Summary'!$E$2),1,0)</f>
        <v>0</v>
      </c>
      <c r="T2677" s="7" t="n">
        <f aca="false">IF(AND(F2677="Closed",I2677&lt;&gt;"",I2677&gt;='Exec Summary'!$E$1,I2677&lt;='Exec Summary'!$E$2),1,0)</f>
        <v>0</v>
      </c>
      <c r="U2677" s="7" t="n">
        <f aca="false">IF(F2677="Reopened",1,0)</f>
        <v>0</v>
      </c>
      <c r="V2677" s="7" t="n">
        <f aca="false">IF(AND(R2677=1,O2677&gt;Q2677),1,0)</f>
        <v>0</v>
      </c>
      <c r="W2677" s="7" t="n">
        <f aca="false">IF(AND(T2677=1,P2677&lt;&gt;"",P2677&lt;=Q2677),1,0)</f>
        <v>0</v>
      </c>
    </row>
    <row r="2678" customFormat="false" ht="15" hidden="false" customHeight="false" outlineLevel="0" collapsed="false">
      <c r="A2678" s="7" t="s">
        <v>3161</v>
      </c>
      <c r="B2678" s="7" t="s">
        <v>135</v>
      </c>
      <c r="C2678" s="7" t="s">
        <v>136</v>
      </c>
      <c r="D2678" s="7" t="s">
        <v>98</v>
      </c>
      <c r="E2678" s="7" t="s">
        <v>99</v>
      </c>
      <c r="F2678" s="7" t="s">
        <v>56</v>
      </c>
      <c r="G2678" s="7" t="s">
        <v>19</v>
      </c>
      <c r="H2678" s="9" t="n">
        <v>46092</v>
      </c>
      <c r="I2678" s="9"/>
      <c r="J2678" s="7" t="n">
        <v>10</v>
      </c>
      <c r="K2678" s="7" t="s">
        <v>2984</v>
      </c>
      <c r="L2678" s="7" t="s">
        <v>21</v>
      </c>
      <c r="M2678" s="7" t="s">
        <v>3169</v>
      </c>
      <c r="N2678" s="7" t="s">
        <v>58</v>
      </c>
      <c r="O2678" s="10" t="n">
        <f aca="false">'Exec Summary'!$E$2-H2678</f>
        <v>142</v>
      </c>
      <c r="P2678" s="10" t="str">
        <f aca="false">IF(I2678="","",I2678-H2678)</f>
        <v/>
      </c>
      <c r="Q2678" s="10" t="n">
        <f aca="false">VLOOKUP(G2678,$AA$2:$AB$5,2,FALSE())</f>
        <v>15</v>
      </c>
      <c r="R2678" s="7" t="n">
        <f aca="false">IF(OR(F2678="Open",F2678="Reopened"),1,0)</f>
        <v>1</v>
      </c>
      <c r="S2678" s="7" t="n">
        <f aca="false">IF(AND(H2678&gt;='Exec Summary'!$E$1,H2678&lt;='Exec Summary'!$E$2),1,0)</f>
        <v>0</v>
      </c>
      <c r="T2678" s="7" t="n">
        <f aca="false">IF(AND(F2678="Closed",I2678&lt;&gt;"",I2678&gt;='Exec Summary'!$E$1,I2678&lt;='Exec Summary'!$E$2),1,0)</f>
        <v>0</v>
      </c>
      <c r="U2678" s="7" t="n">
        <f aca="false">IF(F2678="Reopened",1,0)</f>
        <v>0</v>
      </c>
      <c r="V2678" s="7" t="n">
        <f aca="false">IF(AND(R2678=1,O2678&gt;Q2678),1,0)</f>
        <v>1</v>
      </c>
      <c r="W2678" s="7" t="n">
        <f aca="false">IF(AND(T2678=1,P2678&lt;&gt;"",P2678&lt;=Q2678),1,0)</f>
        <v>0</v>
      </c>
    </row>
    <row r="2679" customFormat="false" ht="15" hidden="false" customHeight="false" outlineLevel="0" collapsed="false">
      <c r="A2679" s="7" t="s">
        <v>3161</v>
      </c>
      <c r="B2679" s="7" t="s">
        <v>135</v>
      </c>
      <c r="C2679" s="7" t="s">
        <v>136</v>
      </c>
      <c r="D2679" s="7" t="s">
        <v>152</v>
      </c>
      <c r="E2679" s="7" t="s">
        <v>153</v>
      </c>
      <c r="F2679" s="7" t="s">
        <v>123</v>
      </c>
      <c r="G2679" s="7" t="s">
        <v>20</v>
      </c>
      <c r="H2679" s="9" t="n">
        <v>46053</v>
      </c>
      <c r="I2679" s="9" t="n">
        <v>46095</v>
      </c>
      <c r="J2679" s="7" t="n">
        <v>7.5</v>
      </c>
      <c r="K2679" s="7" t="s">
        <v>2984</v>
      </c>
      <c r="L2679" s="7" t="s">
        <v>21</v>
      </c>
      <c r="M2679" s="7" t="s">
        <v>3170</v>
      </c>
      <c r="N2679" s="7" t="s">
        <v>53</v>
      </c>
      <c r="O2679" s="10" t="n">
        <f aca="false">'Exec Summary'!$E$2-H2679</f>
        <v>181</v>
      </c>
      <c r="P2679" s="10" t="n">
        <f aca="false">IF(I2679="","",I2679-H2679)</f>
        <v>42</v>
      </c>
      <c r="Q2679" s="10" t="n">
        <f aca="false">VLOOKUP(G2679,$AA$2:$AB$5,2,FALSE())</f>
        <v>30</v>
      </c>
      <c r="R2679" s="7" t="n">
        <f aca="false">IF(OR(F2679="Open",F2679="Reopened"),1,0)</f>
        <v>1</v>
      </c>
      <c r="S2679" s="7" t="n">
        <f aca="false">IF(AND(H2679&gt;='Exec Summary'!$E$1,H2679&lt;='Exec Summary'!$E$2),1,0)</f>
        <v>0</v>
      </c>
      <c r="T2679" s="7" t="n">
        <f aca="false">IF(AND(F2679="Closed",I2679&lt;&gt;"",I2679&gt;='Exec Summary'!$E$1,I2679&lt;='Exec Summary'!$E$2),1,0)</f>
        <v>0</v>
      </c>
      <c r="U2679" s="7" t="n">
        <f aca="false">IF(F2679="Reopened",1,0)</f>
        <v>1</v>
      </c>
      <c r="V2679" s="7" t="n">
        <f aca="false">IF(AND(R2679=1,O2679&gt;Q2679),1,0)</f>
        <v>1</v>
      </c>
      <c r="W2679" s="7" t="n">
        <f aca="false">IF(AND(T2679=1,P2679&lt;&gt;"",P2679&lt;=Q2679),1,0)</f>
        <v>0</v>
      </c>
    </row>
    <row r="2680" customFormat="false" ht="15" hidden="false" customHeight="false" outlineLevel="0" collapsed="false">
      <c r="A2680" s="7" t="s">
        <v>3161</v>
      </c>
      <c r="B2680" s="7" t="s">
        <v>135</v>
      </c>
      <c r="C2680" s="7" t="s">
        <v>136</v>
      </c>
      <c r="D2680" s="7" t="s">
        <v>120</v>
      </c>
      <c r="E2680" s="7" t="s">
        <v>121</v>
      </c>
      <c r="F2680" s="7" t="s">
        <v>56</v>
      </c>
      <c r="G2680" s="7" t="s">
        <v>19</v>
      </c>
      <c r="H2680" s="9" t="n">
        <v>46170</v>
      </c>
      <c r="I2680" s="9"/>
      <c r="J2680" s="7" t="n">
        <v>8.8</v>
      </c>
      <c r="K2680" s="7" t="s">
        <v>2984</v>
      </c>
      <c r="L2680" s="7" t="s">
        <v>21</v>
      </c>
      <c r="M2680" s="7" t="s">
        <v>3171</v>
      </c>
      <c r="N2680" s="7" t="s">
        <v>58</v>
      </c>
      <c r="O2680" s="10" t="n">
        <f aca="false">'Exec Summary'!$E$2-H2680</f>
        <v>64</v>
      </c>
      <c r="P2680" s="10" t="str">
        <f aca="false">IF(I2680="","",I2680-H2680)</f>
        <v/>
      </c>
      <c r="Q2680" s="10" t="n">
        <f aca="false">VLOOKUP(G2680,$AA$2:$AB$5,2,FALSE())</f>
        <v>15</v>
      </c>
      <c r="R2680" s="7" t="n">
        <f aca="false">IF(OR(F2680="Open",F2680="Reopened"),1,0)</f>
        <v>1</v>
      </c>
      <c r="S2680" s="7" t="n">
        <f aca="false">IF(AND(H2680&gt;='Exec Summary'!$E$1,H2680&lt;='Exec Summary'!$E$2),1,0)</f>
        <v>0</v>
      </c>
      <c r="T2680" s="7" t="n">
        <f aca="false">IF(AND(F2680="Closed",I2680&lt;&gt;"",I2680&gt;='Exec Summary'!$E$1,I2680&lt;='Exec Summary'!$E$2),1,0)</f>
        <v>0</v>
      </c>
      <c r="U2680" s="7" t="n">
        <f aca="false">IF(F2680="Reopened",1,0)</f>
        <v>0</v>
      </c>
      <c r="V2680" s="7" t="n">
        <f aca="false">IF(AND(R2680=1,O2680&gt;Q2680),1,0)</f>
        <v>1</v>
      </c>
      <c r="W2680" s="7" t="n">
        <f aca="false">IF(AND(T2680=1,P2680&lt;&gt;"",P2680&lt;=Q2680),1,0)</f>
        <v>0</v>
      </c>
    </row>
    <row r="2681" customFormat="false" ht="15" hidden="false" customHeight="false" outlineLevel="0" collapsed="false">
      <c r="A2681" s="7" t="s">
        <v>3172</v>
      </c>
      <c r="B2681" s="7" t="s">
        <v>46</v>
      </c>
      <c r="C2681" s="7" t="s">
        <v>158</v>
      </c>
      <c r="D2681" s="7" t="s">
        <v>117</v>
      </c>
      <c r="E2681" s="7" t="s">
        <v>118</v>
      </c>
      <c r="F2681" s="7" t="s">
        <v>50</v>
      </c>
      <c r="G2681" s="7" t="s">
        <v>19</v>
      </c>
      <c r="H2681" s="9" t="n">
        <v>45946</v>
      </c>
      <c r="I2681" s="9" t="n">
        <v>45947</v>
      </c>
      <c r="J2681" s="7" t="n">
        <v>10</v>
      </c>
      <c r="K2681" s="7" t="s">
        <v>2984</v>
      </c>
      <c r="L2681" s="7" t="s">
        <v>21</v>
      </c>
      <c r="M2681" s="7" t="s">
        <v>3173</v>
      </c>
      <c r="N2681" s="7" t="s">
        <v>58</v>
      </c>
      <c r="O2681" s="10" t="n">
        <f aca="false">'Exec Summary'!$E$2-H2681</f>
        <v>288</v>
      </c>
      <c r="P2681" s="10" t="n">
        <f aca="false">IF(I2681="","",I2681-H2681)</f>
        <v>1</v>
      </c>
      <c r="Q2681" s="10" t="n">
        <f aca="false">VLOOKUP(G2681,$AA$2:$AB$5,2,FALSE())</f>
        <v>15</v>
      </c>
      <c r="R2681" s="7" t="n">
        <f aca="false">IF(OR(F2681="Open",F2681="Reopened"),1,0)</f>
        <v>0</v>
      </c>
      <c r="S2681" s="7" t="n">
        <f aca="false">IF(AND(H2681&gt;='Exec Summary'!$E$1,H2681&lt;='Exec Summary'!$E$2),1,0)</f>
        <v>0</v>
      </c>
      <c r="T2681" s="7" t="n">
        <f aca="false">IF(AND(F2681="Closed",I2681&lt;&gt;"",I2681&gt;='Exec Summary'!$E$1,I2681&lt;='Exec Summary'!$E$2),1,0)</f>
        <v>0</v>
      </c>
      <c r="U2681" s="7" t="n">
        <f aca="false">IF(F2681="Reopened",1,0)</f>
        <v>0</v>
      </c>
      <c r="V2681" s="7" t="n">
        <f aca="false">IF(AND(R2681=1,O2681&gt;Q2681),1,0)</f>
        <v>0</v>
      </c>
      <c r="W2681" s="7" t="n">
        <f aca="false">IF(AND(T2681=1,P2681&lt;&gt;"",P2681&lt;=Q2681),1,0)</f>
        <v>0</v>
      </c>
    </row>
    <row r="2682" customFormat="false" ht="15" hidden="false" customHeight="false" outlineLevel="0" collapsed="false">
      <c r="A2682" s="7" t="s">
        <v>3172</v>
      </c>
      <c r="B2682" s="7" t="s">
        <v>46</v>
      </c>
      <c r="C2682" s="7" t="s">
        <v>158</v>
      </c>
      <c r="D2682" s="7" t="s">
        <v>145</v>
      </c>
      <c r="E2682" s="7" t="s">
        <v>146</v>
      </c>
      <c r="F2682" s="7" t="s">
        <v>56</v>
      </c>
      <c r="G2682" s="7" t="s">
        <v>19</v>
      </c>
      <c r="H2682" s="9" t="n">
        <v>45976</v>
      </c>
      <c r="I2682" s="9"/>
      <c r="J2682" s="7" t="n">
        <v>9.8</v>
      </c>
      <c r="K2682" s="7" t="s">
        <v>2984</v>
      </c>
      <c r="L2682" s="7" t="s">
        <v>21</v>
      </c>
      <c r="M2682" s="7" t="s">
        <v>3174</v>
      </c>
      <c r="N2682" s="7" t="s">
        <v>58</v>
      </c>
      <c r="O2682" s="10" t="n">
        <f aca="false">'Exec Summary'!$E$2-H2682</f>
        <v>258</v>
      </c>
      <c r="P2682" s="10" t="str">
        <f aca="false">IF(I2682="","",I2682-H2682)</f>
        <v/>
      </c>
      <c r="Q2682" s="10" t="n">
        <f aca="false">VLOOKUP(G2682,$AA$2:$AB$5,2,FALSE())</f>
        <v>15</v>
      </c>
      <c r="R2682" s="7" t="n">
        <f aca="false">IF(OR(F2682="Open",F2682="Reopened"),1,0)</f>
        <v>1</v>
      </c>
      <c r="S2682" s="7" t="n">
        <f aca="false">IF(AND(H2682&gt;='Exec Summary'!$E$1,H2682&lt;='Exec Summary'!$E$2),1,0)</f>
        <v>0</v>
      </c>
      <c r="T2682" s="7" t="n">
        <f aca="false">IF(AND(F2682="Closed",I2682&lt;&gt;"",I2682&gt;='Exec Summary'!$E$1,I2682&lt;='Exec Summary'!$E$2),1,0)</f>
        <v>0</v>
      </c>
      <c r="U2682" s="7" t="n">
        <f aca="false">IF(F2682="Reopened",1,0)</f>
        <v>0</v>
      </c>
      <c r="V2682" s="7" t="n">
        <f aca="false">IF(AND(R2682=1,O2682&gt;Q2682),1,0)</f>
        <v>1</v>
      </c>
      <c r="W2682" s="7" t="n">
        <f aca="false">IF(AND(T2682=1,P2682&lt;&gt;"",P2682&lt;=Q2682),1,0)</f>
        <v>0</v>
      </c>
    </row>
    <row r="2683" customFormat="false" ht="15" hidden="false" customHeight="false" outlineLevel="0" collapsed="false">
      <c r="A2683" s="7" t="s">
        <v>3172</v>
      </c>
      <c r="B2683" s="7" t="s">
        <v>46</v>
      </c>
      <c r="C2683" s="7" t="s">
        <v>158</v>
      </c>
      <c r="D2683" s="7" t="s">
        <v>192</v>
      </c>
      <c r="E2683" s="7" t="s">
        <v>193</v>
      </c>
      <c r="F2683" s="7" t="s">
        <v>56</v>
      </c>
      <c r="G2683" s="7" t="s">
        <v>19</v>
      </c>
      <c r="H2683" s="9" t="n">
        <v>45976</v>
      </c>
      <c r="I2683" s="9"/>
      <c r="J2683" s="7" t="n">
        <v>9.8</v>
      </c>
      <c r="K2683" s="7" t="s">
        <v>2984</v>
      </c>
      <c r="L2683" s="7" t="s">
        <v>21</v>
      </c>
      <c r="M2683" s="7" t="s">
        <v>3175</v>
      </c>
      <c r="N2683" s="7" t="s">
        <v>58</v>
      </c>
      <c r="O2683" s="10" t="n">
        <f aca="false">'Exec Summary'!$E$2-H2683</f>
        <v>258</v>
      </c>
      <c r="P2683" s="10" t="str">
        <f aca="false">IF(I2683="","",I2683-H2683)</f>
        <v/>
      </c>
      <c r="Q2683" s="10" t="n">
        <f aca="false">VLOOKUP(G2683,$AA$2:$AB$5,2,FALSE())</f>
        <v>15</v>
      </c>
      <c r="R2683" s="7" t="n">
        <f aca="false">IF(OR(F2683="Open",F2683="Reopened"),1,0)</f>
        <v>1</v>
      </c>
      <c r="S2683" s="7" t="n">
        <f aca="false">IF(AND(H2683&gt;='Exec Summary'!$E$1,H2683&lt;='Exec Summary'!$E$2),1,0)</f>
        <v>0</v>
      </c>
      <c r="T2683" s="7" t="n">
        <f aca="false">IF(AND(F2683="Closed",I2683&lt;&gt;"",I2683&gt;='Exec Summary'!$E$1,I2683&lt;='Exec Summary'!$E$2),1,0)</f>
        <v>0</v>
      </c>
      <c r="U2683" s="7" t="n">
        <f aca="false">IF(F2683="Reopened",1,0)</f>
        <v>0</v>
      </c>
      <c r="V2683" s="7" t="n">
        <f aca="false">IF(AND(R2683=1,O2683&gt;Q2683),1,0)</f>
        <v>1</v>
      </c>
      <c r="W2683" s="7" t="n">
        <f aca="false">IF(AND(T2683=1,P2683&lt;&gt;"",P2683&lt;=Q2683),1,0)</f>
        <v>0</v>
      </c>
    </row>
    <row r="2684" customFormat="false" ht="15" hidden="false" customHeight="false" outlineLevel="0" collapsed="false">
      <c r="A2684" s="7" t="s">
        <v>3172</v>
      </c>
      <c r="B2684" s="7" t="s">
        <v>46</v>
      </c>
      <c r="C2684" s="7" t="s">
        <v>158</v>
      </c>
      <c r="D2684" s="7" t="s">
        <v>74</v>
      </c>
      <c r="E2684" s="7" t="s">
        <v>75</v>
      </c>
      <c r="F2684" s="7" t="s">
        <v>56</v>
      </c>
      <c r="G2684" s="7" t="s">
        <v>21</v>
      </c>
      <c r="H2684" s="9" t="n">
        <v>46158</v>
      </c>
      <c r="I2684" s="9"/>
      <c r="J2684" s="7" t="n">
        <v>6.5</v>
      </c>
      <c r="K2684" s="7" t="s">
        <v>2984</v>
      </c>
      <c r="L2684" s="7" t="s">
        <v>21</v>
      </c>
      <c r="M2684" s="7" t="s">
        <v>3176</v>
      </c>
      <c r="N2684" s="7" t="s">
        <v>77</v>
      </c>
      <c r="O2684" s="10" t="n">
        <f aca="false">'Exec Summary'!$E$2-H2684</f>
        <v>76</v>
      </c>
      <c r="P2684" s="10" t="str">
        <f aca="false">IF(I2684="","",I2684-H2684)</f>
        <v/>
      </c>
      <c r="Q2684" s="10" t="n">
        <f aca="false">VLOOKUP(G2684,$AA$2:$AB$5,2,FALSE())</f>
        <v>90</v>
      </c>
      <c r="R2684" s="7" t="n">
        <f aca="false">IF(OR(F2684="Open",F2684="Reopened"),1,0)</f>
        <v>1</v>
      </c>
      <c r="S2684" s="7" t="n">
        <f aca="false">IF(AND(H2684&gt;='Exec Summary'!$E$1,H2684&lt;='Exec Summary'!$E$2),1,0)</f>
        <v>0</v>
      </c>
      <c r="T2684" s="7" t="n">
        <f aca="false">IF(AND(F2684="Closed",I2684&lt;&gt;"",I2684&gt;='Exec Summary'!$E$1,I2684&lt;='Exec Summary'!$E$2),1,0)</f>
        <v>0</v>
      </c>
      <c r="U2684" s="7" t="n">
        <f aca="false">IF(F2684="Reopened",1,0)</f>
        <v>0</v>
      </c>
      <c r="V2684" s="7" t="n">
        <f aca="false">IF(AND(R2684=1,O2684&gt;Q2684),1,0)</f>
        <v>0</v>
      </c>
      <c r="W2684" s="7" t="n">
        <f aca="false">IF(AND(T2684=1,P2684&lt;&gt;"",P2684&lt;=Q2684),1,0)</f>
        <v>0</v>
      </c>
    </row>
    <row r="2685" customFormat="false" ht="15" hidden="false" customHeight="false" outlineLevel="0" collapsed="false">
      <c r="A2685" s="7" t="s">
        <v>3172</v>
      </c>
      <c r="B2685" s="7" t="s">
        <v>46</v>
      </c>
      <c r="C2685" s="7" t="s">
        <v>158</v>
      </c>
      <c r="D2685" s="7" t="s">
        <v>173</v>
      </c>
      <c r="E2685" s="7" t="s">
        <v>174</v>
      </c>
      <c r="F2685" s="7" t="s">
        <v>50</v>
      </c>
      <c r="G2685" s="7" t="s">
        <v>19</v>
      </c>
      <c r="H2685" s="9" t="n">
        <v>45964</v>
      </c>
      <c r="I2685" s="9" t="n">
        <v>45965</v>
      </c>
      <c r="J2685" s="7" t="n">
        <v>9.8</v>
      </c>
      <c r="K2685" s="7" t="s">
        <v>2984</v>
      </c>
      <c r="L2685" s="7" t="s">
        <v>21</v>
      </c>
      <c r="M2685" s="7" t="s">
        <v>3177</v>
      </c>
      <c r="N2685" s="7" t="s">
        <v>58</v>
      </c>
      <c r="O2685" s="10" t="n">
        <f aca="false">'Exec Summary'!$E$2-H2685</f>
        <v>270</v>
      </c>
      <c r="P2685" s="10" t="n">
        <f aca="false">IF(I2685="","",I2685-H2685)</f>
        <v>1</v>
      </c>
      <c r="Q2685" s="10" t="n">
        <f aca="false">VLOOKUP(G2685,$AA$2:$AB$5,2,FALSE())</f>
        <v>15</v>
      </c>
      <c r="R2685" s="7" t="n">
        <f aca="false">IF(OR(F2685="Open",F2685="Reopened"),1,0)</f>
        <v>0</v>
      </c>
      <c r="S2685" s="7" t="n">
        <f aca="false">IF(AND(H2685&gt;='Exec Summary'!$E$1,H2685&lt;='Exec Summary'!$E$2),1,0)</f>
        <v>0</v>
      </c>
      <c r="T2685" s="7" t="n">
        <f aca="false">IF(AND(F2685="Closed",I2685&lt;&gt;"",I2685&gt;='Exec Summary'!$E$1,I2685&lt;='Exec Summary'!$E$2),1,0)</f>
        <v>0</v>
      </c>
      <c r="U2685" s="7" t="n">
        <f aca="false">IF(F2685="Reopened",1,0)</f>
        <v>0</v>
      </c>
      <c r="V2685" s="7" t="n">
        <f aca="false">IF(AND(R2685=1,O2685&gt;Q2685),1,0)</f>
        <v>0</v>
      </c>
      <c r="W2685" s="7" t="n">
        <f aca="false">IF(AND(T2685=1,P2685&lt;&gt;"",P2685&lt;=Q2685),1,0)</f>
        <v>0</v>
      </c>
    </row>
    <row r="2686" customFormat="false" ht="15" hidden="false" customHeight="false" outlineLevel="0" collapsed="false">
      <c r="A2686" s="7" t="s">
        <v>3172</v>
      </c>
      <c r="B2686" s="7" t="s">
        <v>46</v>
      </c>
      <c r="C2686" s="7" t="s">
        <v>158</v>
      </c>
      <c r="D2686" s="7" t="s">
        <v>48</v>
      </c>
      <c r="E2686" s="7" t="s">
        <v>49</v>
      </c>
      <c r="F2686" s="7" t="s">
        <v>50</v>
      </c>
      <c r="G2686" s="7" t="s">
        <v>20</v>
      </c>
      <c r="H2686" s="9" t="n">
        <v>45974</v>
      </c>
      <c r="I2686" s="9" t="n">
        <v>45982</v>
      </c>
      <c r="J2686" s="7" t="n">
        <v>7.5</v>
      </c>
      <c r="K2686" s="7" t="s">
        <v>2984</v>
      </c>
      <c r="L2686" s="7" t="s">
        <v>21</v>
      </c>
      <c r="M2686" s="7" t="s">
        <v>3178</v>
      </c>
      <c r="N2686" s="7" t="s">
        <v>53</v>
      </c>
      <c r="O2686" s="10" t="n">
        <f aca="false">'Exec Summary'!$E$2-H2686</f>
        <v>260</v>
      </c>
      <c r="P2686" s="10" t="n">
        <f aca="false">IF(I2686="","",I2686-H2686)</f>
        <v>8</v>
      </c>
      <c r="Q2686" s="10" t="n">
        <f aca="false">VLOOKUP(G2686,$AA$2:$AB$5,2,FALSE())</f>
        <v>30</v>
      </c>
      <c r="R2686" s="7" t="n">
        <f aca="false">IF(OR(F2686="Open",F2686="Reopened"),1,0)</f>
        <v>0</v>
      </c>
      <c r="S2686" s="7" t="n">
        <f aca="false">IF(AND(H2686&gt;='Exec Summary'!$E$1,H2686&lt;='Exec Summary'!$E$2),1,0)</f>
        <v>0</v>
      </c>
      <c r="T2686" s="7" t="n">
        <f aca="false">IF(AND(F2686="Closed",I2686&lt;&gt;"",I2686&gt;='Exec Summary'!$E$1,I2686&lt;='Exec Summary'!$E$2),1,0)</f>
        <v>0</v>
      </c>
      <c r="U2686" s="7" t="n">
        <f aca="false">IF(F2686="Reopened",1,0)</f>
        <v>0</v>
      </c>
      <c r="V2686" s="7" t="n">
        <f aca="false">IF(AND(R2686=1,O2686&gt;Q2686),1,0)</f>
        <v>0</v>
      </c>
      <c r="W2686" s="7" t="n">
        <f aca="false">IF(AND(T2686=1,P2686&lt;&gt;"",P2686&lt;=Q2686),1,0)</f>
        <v>0</v>
      </c>
    </row>
    <row r="2687" customFormat="false" ht="15" hidden="false" customHeight="false" outlineLevel="0" collapsed="false">
      <c r="A2687" s="7" t="s">
        <v>3172</v>
      </c>
      <c r="B2687" s="7" t="s">
        <v>46</v>
      </c>
      <c r="C2687" s="7" t="s">
        <v>158</v>
      </c>
      <c r="D2687" s="7" t="s">
        <v>152</v>
      </c>
      <c r="E2687" s="7" t="s">
        <v>153</v>
      </c>
      <c r="F2687" s="7" t="s">
        <v>50</v>
      </c>
      <c r="G2687" s="7" t="s">
        <v>20</v>
      </c>
      <c r="H2687" s="9" t="n">
        <v>46066</v>
      </c>
      <c r="I2687" s="9" t="n">
        <v>46111</v>
      </c>
      <c r="J2687" s="7" t="n">
        <v>7.5</v>
      </c>
      <c r="K2687" s="7" t="s">
        <v>2984</v>
      </c>
      <c r="L2687" s="7" t="s">
        <v>21</v>
      </c>
      <c r="M2687" s="7" t="s">
        <v>3179</v>
      </c>
      <c r="N2687" s="7" t="s">
        <v>53</v>
      </c>
      <c r="O2687" s="10" t="n">
        <f aca="false">'Exec Summary'!$E$2-H2687</f>
        <v>168</v>
      </c>
      <c r="P2687" s="10" t="n">
        <f aca="false">IF(I2687="","",I2687-H2687)</f>
        <v>45</v>
      </c>
      <c r="Q2687" s="10" t="n">
        <f aca="false">VLOOKUP(G2687,$AA$2:$AB$5,2,FALSE())</f>
        <v>30</v>
      </c>
      <c r="R2687" s="7" t="n">
        <f aca="false">IF(OR(F2687="Open",F2687="Reopened"),1,0)</f>
        <v>0</v>
      </c>
      <c r="S2687" s="7" t="n">
        <f aca="false">IF(AND(H2687&gt;='Exec Summary'!$E$1,H2687&lt;='Exec Summary'!$E$2),1,0)</f>
        <v>0</v>
      </c>
      <c r="T2687" s="7" t="n">
        <f aca="false">IF(AND(F2687="Closed",I2687&lt;&gt;"",I2687&gt;='Exec Summary'!$E$1,I2687&lt;='Exec Summary'!$E$2),1,0)</f>
        <v>0</v>
      </c>
      <c r="U2687" s="7" t="n">
        <f aca="false">IF(F2687="Reopened",1,0)</f>
        <v>0</v>
      </c>
      <c r="V2687" s="7" t="n">
        <f aca="false">IF(AND(R2687=1,O2687&gt;Q2687),1,0)</f>
        <v>0</v>
      </c>
      <c r="W2687" s="7" t="n">
        <f aca="false">IF(AND(T2687=1,P2687&lt;&gt;"",P2687&lt;=Q2687),1,0)</f>
        <v>0</v>
      </c>
    </row>
    <row r="2688" customFormat="false" ht="15" hidden="false" customHeight="false" outlineLevel="0" collapsed="false">
      <c r="A2688" s="7" t="s">
        <v>3172</v>
      </c>
      <c r="B2688" s="7" t="s">
        <v>46</v>
      </c>
      <c r="C2688" s="7" t="s">
        <v>158</v>
      </c>
      <c r="D2688" s="7" t="s">
        <v>104</v>
      </c>
      <c r="E2688" s="7" t="s">
        <v>105</v>
      </c>
      <c r="F2688" s="7" t="s">
        <v>123</v>
      </c>
      <c r="G2688" s="7" t="s">
        <v>19</v>
      </c>
      <c r="H2688" s="9" t="n">
        <v>45950</v>
      </c>
      <c r="I2688" s="9" t="n">
        <v>45973</v>
      </c>
      <c r="J2688" s="7" t="n">
        <v>9.8</v>
      </c>
      <c r="K2688" s="7" t="s">
        <v>2984</v>
      </c>
      <c r="L2688" s="7" t="s">
        <v>21</v>
      </c>
      <c r="M2688" s="7" t="s">
        <v>3180</v>
      </c>
      <c r="N2688" s="7" t="s">
        <v>58</v>
      </c>
      <c r="O2688" s="10" t="n">
        <f aca="false">'Exec Summary'!$E$2-H2688</f>
        <v>284</v>
      </c>
      <c r="P2688" s="10" t="n">
        <f aca="false">IF(I2688="","",I2688-H2688)</f>
        <v>23</v>
      </c>
      <c r="Q2688" s="10" t="n">
        <f aca="false">VLOOKUP(G2688,$AA$2:$AB$5,2,FALSE())</f>
        <v>15</v>
      </c>
      <c r="R2688" s="7" t="n">
        <f aca="false">IF(OR(F2688="Open",F2688="Reopened"),1,0)</f>
        <v>1</v>
      </c>
      <c r="S2688" s="7" t="n">
        <f aca="false">IF(AND(H2688&gt;='Exec Summary'!$E$1,H2688&lt;='Exec Summary'!$E$2),1,0)</f>
        <v>0</v>
      </c>
      <c r="T2688" s="7" t="n">
        <f aca="false">IF(AND(F2688="Closed",I2688&lt;&gt;"",I2688&gt;='Exec Summary'!$E$1,I2688&lt;='Exec Summary'!$E$2),1,0)</f>
        <v>0</v>
      </c>
      <c r="U2688" s="7" t="n">
        <f aca="false">IF(F2688="Reopened",1,0)</f>
        <v>1</v>
      </c>
      <c r="V2688" s="7" t="n">
        <f aca="false">IF(AND(R2688=1,O2688&gt;Q2688),1,0)</f>
        <v>1</v>
      </c>
      <c r="W2688" s="7" t="n">
        <f aca="false">IF(AND(T2688=1,P2688&lt;&gt;"",P2688&lt;=Q2688),1,0)</f>
        <v>0</v>
      </c>
    </row>
    <row r="2689" customFormat="false" ht="15" hidden="false" customHeight="false" outlineLevel="0" collapsed="false">
      <c r="A2689" s="7" t="s">
        <v>3181</v>
      </c>
      <c r="B2689" s="7" t="s">
        <v>46</v>
      </c>
      <c r="C2689" s="7" t="s">
        <v>128</v>
      </c>
      <c r="D2689" s="7" t="s">
        <v>173</v>
      </c>
      <c r="E2689" s="7" t="s">
        <v>174</v>
      </c>
      <c r="F2689" s="7" t="s">
        <v>56</v>
      </c>
      <c r="G2689" s="7" t="s">
        <v>19</v>
      </c>
      <c r="H2689" s="9" t="n">
        <v>45948</v>
      </c>
      <c r="I2689" s="9"/>
      <c r="J2689" s="7" t="n">
        <v>9.8</v>
      </c>
      <c r="K2689" s="7" t="s">
        <v>2984</v>
      </c>
      <c r="L2689" s="7" t="s">
        <v>21</v>
      </c>
      <c r="M2689" s="7" t="s">
        <v>3182</v>
      </c>
      <c r="N2689" s="7" t="s">
        <v>58</v>
      </c>
      <c r="O2689" s="10" t="n">
        <f aca="false">'Exec Summary'!$E$2-H2689</f>
        <v>286</v>
      </c>
      <c r="P2689" s="10" t="str">
        <f aca="false">IF(I2689="","",I2689-H2689)</f>
        <v/>
      </c>
      <c r="Q2689" s="10" t="n">
        <f aca="false">VLOOKUP(G2689,$AA$2:$AB$5,2,FALSE())</f>
        <v>15</v>
      </c>
      <c r="R2689" s="7" t="n">
        <f aca="false">IF(OR(F2689="Open",F2689="Reopened"),1,0)</f>
        <v>1</v>
      </c>
      <c r="S2689" s="7" t="n">
        <f aca="false">IF(AND(H2689&gt;='Exec Summary'!$E$1,H2689&lt;='Exec Summary'!$E$2),1,0)</f>
        <v>0</v>
      </c>
      <c r="T2689" s="7" t="n">
        <f aca="false">IF(AND(F2689="Closed",I2689&lt;&gt;"",I2689&gt;='Exec Summary'!$E$1,I2689&lt;='Exec Summary'!$E$2),1,0)</f>
        <v>0</v>
      </c>
      <c r="U2689" s="7" t="n">
        <f aca="false">IF(F2689="Reopened",1,0)</f>
        <v>0</v>
      </c>
      <c r="V2689" s="7" t="n">
        <f aca="false">IF(AND(R2689=1,O2689&gt;Q2689),1,0)</f>
        <v>1</v>
      </c>
      <c r="W2689" s="7" t="n">
        <f aca="false">IF(AND(T2689=1,P2689&lt;&gt;"",P2689&lt;=Q2689),1,0)</f>
        <v>0</v>
      </c>
    </row>
    <row r="2690" customFormat="false" ht="15" hidden="false" customHeight="false" outlineLevel="0" collapsed="false">
      <c r="A2690" s="7" t="s">
        <v>3181</v>
      </c>
      <c r="B2690" s="7" t="s">
        <v>46</v>
      </c>
      <c r="C2690" s="7" t="s">
        <v>128</v>
      </c>
      <c r="D2690" s="7" t="s">
        <v>206</v>
      </c>
      <c r="E2690" s="7" t="s">
        <v>207</v>
      </c>
      <c r="F2690" s="7" t="s">
        <v>50</v>
      </c>
      <c r="G2690" s="7" t="s">
        <v>20</v>
      </c>
      <c r="H2690" s="9" t="n">
        <v>45958</v>
      </c>
      <c r="I2690" s="9" t="n">
        <v>45987</v>
      </c>
      <c r="J2690" s="7" t="n">
        <v>8.8</v>
      </c>
      <c r="K2690" s="7" t="s">
        <v>2984</v>
      </c>
      <c r="L2690" s="7" t="s">
        <v>21</v>
      </c>
      <c r="M2690" s="7" t="s">
        <v>3183</v>
      </c>
      <c r="N2690" s="7" t="s">
        <v>53</v>
      </c>
      <c r="O2690" s="10" t="n">
        <f aca="false">'Exec Summary'!$E$2-H2690</f>
        <v>276</v>
      </c>
      <c r="P2690" s="10" t="n">
        <f aca="false">IF(I2690="","",I2690-H2690)</f>
        <v>29</v>
      </c>
      <c r="Q2690" s="10" t="n">
        <f aca="false">VLOOKUP(G2690,$AA$2:$AB$5,2,FALSE())</f>
        <v>30</v>
      </c>
      <c r="R2690" s="7" t="n">
        <f aca="false">IF(OR(F2690="Open",F2690="Reopened"),1,0)</f>
        <v>0</v>
      </c>
      <c r="S2690" s="7" t="n">
        <f aca="false">IF(AND(H2690&gt;='Exec Summary'!$E$1,H2690&lt;='Exec Summary'!$E$2),1,0)</f>
        <v>0</v>
      </c>
      <c r="T2690" s="7" t="n">
        <f aca="false">IF(AND(F2690="Closed",I2690&lt;&gt;"",I2690&gt;='Exec Summary'!$E$1,I2690&lt;='Exec Summary'!$E$2),1,0)</f>
        <v>0</v>
      </c>
      <c r="U2690" s="7" t="n">
        <f aca="false">IF(F2690="Reopened",1,0)</f>
        <v>0</v>
      </c>
      <c r="V2690" s="7" t="n">
        <f aca="false">IF(AND(R2690=1,O2690&gt;Q2690),1,0)</f>
        <v>0</v>
      </c>
      <c r="W2690" s="7" t="n">
        <f aca="false">IF(AND(T2690=1,P2690&lt;&gt;"",P2690&lt;=Q2690),1,0)</f>
        <v>0</v>
      </c>
    </row>
    <row r="2691" customFormat="false" ht="15" hidden="false" customHeight="false" outlineLevel="0" collapsed="false">
      <c r="A2691" s="7" t="s">
        <v>3181</v>
      </c>
      <c r="B2691" s="7" t="s">
        <v>46</v>
      </c>
      <c r="C2691" s="7" t="s">
        <v>128</v>
      </c>
      <c r="D2691" s="7" t="s">
        <v>71</v>
      </c>
      <c r="E2691" s="7" t="s">
        <v>72</v>
      </c>
      <c r="F2691" s="7" t="s">
        <v>56</v>
      </c>
      <c r="G2691" s="7" t="s">
        <v>19</v>
      </c>
      <c r="H2691" s="9" t="n">
        <v>46089</v>
      </c>
      <c r="I2691" s="9"/>
      <c r="J2691" s="7" t="n">
        <v>9.8</v>
      </c>
      <c r="K2691" s="7" t="s">
        <v>2984</v>
      </c>
      <c r="L2691" s="7" t="s">
        <v>21</v>
      </c>
      <c r="M2691" s="7" t="s">
        <v>3184</v>
      </c>
      <c r="N2691" s="7" t="s">
        <v>58</v>
      </c>
      <c r="O2691" s="10" t="n">
        <f aca="false">'Exec Summary'!$E$2-H2691</f>
        <v>145</v>
      </c>
      <c r="P2691" s="10" t="str">
        <f aca="false">IF(I2691="","",I2691-H2691)</f>
        <v/>
      </c>
      <c r="Q2691" s="10" t="n">
        <f aca="false">VLOOKUP(G2691,$AA$2:$AB$5,2,FALSE())</f>
        <v>15</v>
      </c>
      <c r="R2691" s="7" t="n">
        <f aca="false">IF(OR(F2691="Open",F2691="Reopened"),1,0)</f>
        <v>1</v>
      </c>
      <c r="S2691" s="7" t="n">
        <f aca="false">IF(AND(H2691&gt;='Exec Summary'!$E$1,H2691&lt;='Exec Summary'!$E$2),1,0)</f>
        <v>0</v>
      </c>
      <c r="T2691" s="7" t="n">
        <f aca="false">IF(AND(F2691="Closed",I2691&lt;&gt;"",I2691&gt;='Exec Summary'!$E$1,I2691&lt;='Exec Summary'!$E$2),1,0)</f>
        <v>0</v>
      </c>
      <c r="U2691" s="7" t="n">
        <f aca="false">IF(F2691="Reopened",1,0)</f>
        <v>0</v>
      </c>
      <c r="V2691" s="7" t="n">
        <f aca="false">IF(AND(R2691=1,O2691&gt;Q2691),1,0)</f>
        <v>1</v>
      </c>
      <c r="W2691" s="7" t="n">
        <f aca="false">IF(AND(T2691=1,P2691&lt;&gt;"",P2691&lt;=Q2691),1,0)</f>
        <v>0</v>
      </c>
    </row>
    <row r="2692" customFormat="false" ht="15" hidden="false" customHeight="false" outlineLevel="0" collapsed="false">
      <c r="A2692" s="7" t="s">
        <v>3181</v>
      </c>
      <c r="B2692" s="7" t="s">
        <v>46</v>
      </c>
      <c r="C2692" s="7" t="s">
        <v>128</v>
      </c>
      <c r="D2692" s="7" t="s">
        <v>117</v>
      </c>
      <c r="E2692" s="7" t="s">
        <v>118</v>
      </c>
      <c r="F2692" s="7" t="s">
        <v>56</v>
      </c>
      <c r="G2692" s="7" t="s">
        <v>19</v>
      </c>
      <c r="H2692" s="9" t="n">
        <v>46038</v>
      </c>
      <c r="I2692" s="9"/>
      <c r="J2692" s="7" t="n">
        <v>10</v>
      </c>
      <c r="K2692" s="7" t="s">
        <v>2984</v>
      </c>
      <c r="L2692" s="7" t="s">
        <v>21</v>
      </c>
      <c r="M2692" s="7" t="s">
        <v>3185</v>
      </c>
      <c r="N2692" s="7" t="s">
        <v>58</v>
      </c>
      <c r="O2692" s="10" t="n">
        <f aca="false">'Exec Summary'!$E$2-H2692</f>
        <v>196</v>
      </c>
      <c r="P2692" s="10" t="str">
        <f aca="false">IF(I2692="","",I2692-H2692)</f>
        <v/>
      </c>
      <c r="Q2692" s="10" t="n">
        <f aca="false">VLOOKUP(G2692,$AA$2:$AB$5,2,FALSE())</f>
        <v>15</v>
      </c>
      <c r="R2692" s="7" t="n">
        <f aca="false">IF(OR(F2692="Open",F2692="Reopened"),1,0)</f>
        <v>1</v>
      </c>
      <c r="S2692" s="7" t="n">
        <f aca="false">IF(AND(H2692&gt;='Exec Summary'!$E$1,H2692&lt;='Exec Summary'!$E$2),1,0)</f>
        <v>0</v>
      </c>
      <c r="T2692" s="7" t="n">
        <f aca="false">IF(AND(F2692="Closed",I2692&lt;&gt;"",I2692&gt;='Exec Summary'!$E$1,I2692&lt;='Exec Summary'!$E$2),1,0)</f>
        <v>0</v>
      </c>
      <c r="U2692" s="7" t="n">
        <f aca="false">IF(F2692="Reopened",1,0)</f>
        <v>0</v>
      </c>
      <c r="V2692" s="7" t="n">
        <f aca="false">IF(AND(R2692=1,O2692&gt;Q2692),1,0)</f>
        <v>1</v>
      </c>
      <c r="W2692" s="7" t="n">
        <f aca="false">IF(AND(T2692=1,P2692&lt;&gt;"",P2692&lt;=Q2692),1,0)</f>
        <v>0</v>
      </c>
    </row>
    <row r="2693" customFormat="false" ht="15" hidden="false" customHeight="false" outlineLevel="0" collapsed="false">
      <c r="A2693" s="7" t="s">
        <v>3181</v>
      </c>
      <c r="B2693" s="7" t="s">
        <v>46</v>
      </c>
      <c r="C2693" s="7" t="s">
        <v>128</v>
      </c>
      <c r="D2693" s="7" t="s">
        <v>166</v>
      </c>
      <c r="E2693" s="7" t="s">
        <v>167</v>
      </c>
      <c r="F2693" s="7" t="s">
        <v>50</v>
      </c>
      <c r="G2693" s="7" t="s">
        <v>19</v>
      </c>
      <c r="H2693" s="9" t="n">
        <v>45935</v>
      </c>
      <c r="I2693" s="9" t="n">
        <v>45947</v>
      </c>
      <c r="J2693" s="7" t="n">
        <v>9.8</v>
      </c>
      <c r="K2693" s="7" t="s">
        <v>2984</v>
      </c>
      <c r="L2693" s="7" t="s">
        <v>21</v>
      </c>
      <c r="M2693" s="7" t="s">
        <v>3186</v>
      </c>
      <c r="N2693" s="7" t="s">
        <v>58</v>
      </c>
      <c r="O2693" s="10" t="n">
        <f aca="false">'Exec Summary'!$E$2-H2693</f>
        <v>299</v>
      </c>
      <c r="P2693" s="10" t="n">
        <f aca="false">IF(I2693="","",I2693-H2693)</f>
        <v>12</v>
      </c>
      <c r="Q2693" s="10" t="n">
        <f aca="false">VLOOKUP(G2693,$AA$2:$AB$5,2,FALSE())</f>
        <v>15</v>
      </c>
      <c r="R2693" s="7" t="n">
        <f aca="false">IF(OR(F2693="Open",F2693="Reopened"),1,0)</f>
        <v>0</v>
      </c>
      <c r="S2693" s="7" t="n">
        <f aca="false">IF(AND(H2693&gt;='Exec Summary'!$E$1,H2693&lt;='Exec Summary'!$E$2),1,0)</f>
        <v>0</v>
      </c>
      <c r="T2693" s="7" t="n">
        <f aca="false">IF(AND(F2693="Closed",I2693&lt;&gt;"",I2693&gt;='Exec Summary'!$E$1,I2693&lt;='Exec Summary'!$E$2),1,0)</f>
        <v>0</v>
      </c>
      <c r="U2693" s="7" t="n">
        <f aca="false">IF(F2693="Reopened",1,0)</f>
        <v>0</v>
      </c>
      <c r="V2693" s="7" t="n">
        <f aca="false">IF(AND(R2693=1,O2693&gt;Q2693),1,0)</f>
        <v>0</v>
      </c>
      <c r="W2693" s="7" t="n">
        <f aca="false">IF(AND(T2693=1,P2693&lt;&gt;"",P2693&lt;=Q2693),1,0)</f>
        <v>0</v>
      </c>
    </row>
    <row r="2694" customFormat="false" ht="15" hidden="false" customHeight="false" outlineLevel="0" collapsed="false">
      <c r="A2694" s="7" t="s">
        <v>3181</v>
      </c>
      <c r="B2694" s="7" t="s">
        <v>46</v>
      </c>
      <c r="C2694" s="7" t="s">
        <v>128</v>
      </c>
      <c r="D2694" s="7" t="s">
        <v>104</v>
      </c>
      <c r="E2694" s="7" t="s">
        <v>105</v>
      </c>
      <c r="F2694" s="7" t="s">
        <v>56</v>
      </c>
      <c r="G2694" s="7" t="s">
        <v>19</v>
      </c>
      <c r="H2694" s="9" t="n">
        <v>46193</v>
      </c>
      <c r="I2694" s="9"/>
      <c r="J2694" s="7" t="n">
        <v>9.8</v>
      </c>
      <c r="K2694" s="7" t="s">
        <v>2984</v>
      </c>
      <c r="L2694" s="7" t="s">
        <v>21</v>
      </c>
      <c r="M2694" s="7" t="s">
        <v>3187</v>
      </c>
      <c r="N2694" s="7" t="s">
        <v>58</v>
      </c>
      <c r="O2694" s="10" t="n">
        <f aca="false">'Exec Summary'!$E$2-H2694</f>
        <v>41</v>
      </c>
      <c r="P2694" s="10" t="str">
        <f aca="false">IF(I2694="","",I2694-H2694)</f>
        <v/>
      </c>
      <c r="Q2694" s="10" t="n">
        <f aca="false">VLOOKUP(G2694,$AA$2:$AB$5,2,FALSE())</f>
        <v>15</v>
      </c>
      <c r="R2694" s="7" t="n">
        <f aca="false">IF(OR(F2694="Open",F2694="Reopened"),1,0)</f>
        <v>1</v>
      </c>
      <c r="S2694" s="7" t="n">
        <f aca="false">IF(AND(H2694&gt;='Exec Summary'!$E$1,H2694&lt;='Exec Summary'!$E$2),1,0)</f>
        <v>0</v>
      </c>
      <c r="T2694" s="7" t="n">
        <f aca="false">IF(AND(F2694="Closed",I2694&lt;&gt;"",I2694&gt;='Exec Summary'!$E$1,I2694&lt;='Exec Summary'!$E$2),1,0)</f>
        <v>0</v>
      </c>
      <c r="U2694" s="7" t="n">
        <f aca="false">IF(F2694="Reopened",1,0)</f>
        <v>0</v>
      </c>
      <c r="V2694" s="7" t="n">
        <f aca="false">IF(AND(R2694=1,O2694&gt;Q2694),1,0)</f>
        <v>1</v>
      </c>
      <c r="W2694" s="7" t="n">
        <f aca="false">IF(AND(T2694=1,P2694&lt;&gt;"",P2694&lt;=Q2694),1,0)</f>
        <v>0</v>
      </c>
    </row>
    <row r="2695" customFormat="false" ht="15" hidden="false" customHeight="false" outlineLevel="0" collapsed="false">
      <c r="A2695" s="7" t="s">
        <v>3188</v>
      </c>
      <c r="B2695" s="7" t="s">
        <v>46</v>
      </c>
      <c r="C2695" s="7" t="s">
        <v>79</v>
      </c>
      <c r="D2695" s="7" t="s">
        <v>104</v>
      </c>
      <c r="E2695" s="7" t="s">
        <v>105</v>
      </c>
      <c r="F2695" s="7" t="s">
        <v>56</v>
      </c>
      <c r="G2695" s="7" t="s">
        <v>19</v>
      </c>
      <c r="H2695" s="9" t="n">
        <v>46023</v>
      </c>
      <c r="I2695" s="9"/>
      <c r="J2695" s="7" t="n">
        <v>9.8</v>
      </c>
      <c r="K2695" s="7" t="s">
        <v>2984</v>
      </c>
      <c r="L2695" s="7" t="s">
        <v>21</v>
      </c>
      <c r="M2695" s="7" t="s">
        <v>3189</v>
      </c>
      <c r="N2695" s="7" t="s">
        <v>58</v>
      </c>
      <c r="O2695" s="10" t="n">
        <f aca="false">'Exec Summary'!$E$2-H2695</f>
        <v>211</v>
      </c>
      <c r="P2695" s="10" t="str">
        <f aca="false">IF(I2695="","",I2695-H2695)</f>
        <v/>
      </c>
      <c r="Q2695" s="10" t="n">
        <f aca="false">VLOOKUP(G2695,$AA$2:$AB$5,2,FALSE())</f>
        <v>15</v>
      </c>
      <c r="R2695" s="7" t="n">
        <f aca="false">IF(OR(F2695="Open",F2695="Reopened"),1,0)</f>
        <v>1</v>
      </c>
      <c r="S2695" s="7" t="n">
        <f aca="false">IF(AND(H2695&gt;='Exec Summary'!$E$1,H2695&lt;='Exec Summary'!$E$2),1,0)</f>
        <v>0</v>
      </c>
      <c r="T2695" s="7" t="n">
        <f aca="false">IF(AND(F2695="Closed",I2695&lt;&gt;"",I2695&gt;='Exec Summary'!$E$1,I2695&lt;='Exec Summary'!$E$2),1,0)</f>
        <v>0</v>
      </c>
      <c r="U2695" s="7" t="n">
        <f aca="false">IF(F2695="Reopened",1,0)</f>
        <v>0</v>
      </c>
      <c r="V2695" s="7" t="n">
        <f aca="false">IF(AND(R2695=1,O2695&gt;Q2695),1,0)</f>
        <v>1</v>
      </c>
      <c r="W2695" s="7" t="n">
        <f aca="false">IF(AND(T2695=1,P2695&lt;&gt;"",P2695&lt;=Q2695),1,0)</f>
        <v>0</v>
      </c>
    </row>
    <row r="2696" customFormat="false" ht="15" hidden="false" customHeight="false" outlineLevel="0" collapsed="false">
      <c r="A2696" s="7" t="s">
        <v>3188</v>
      </c>
      <c r="B2696" s="7" t="s">
        <v>46</v>
      </c>
      <c r="C2696" s="7" t="s">
        <v>79</v>
      </c>
      <c r="D2696" s="7" t="s">
        <v>163</v>
      </c>
      <c r="E2696" s="7" t="s">
        <v>164</v>
      </c>
      <c r="F2696" s="7" t="s">
        <v>56</v>
      </c>
      <c r="G2696" s="7" t="s">
        <v>19</v>
      </c>
      <c r="H2696" s="9" t="n">
        <v>46111</v>
      </c>
      <c r="I2696" s="9"/>
      <c r="J2696" s="7" t="n">
        <v>9.1</v>
      </c>
      <c r="K2696" s="7" t="s">
        <v>2984</v>
      </c>
      <c r="L2696" s="7" t="s">
        <v>21</v>
      </c>
      <c r="M2696" s="7" t="s">
        <v>3190</v>
      </c>
      <c r="N2696" s="7" t="s">
        <v>58</v>
      </c>
      <c r="O2696" s="10" t="n">
        <f aca="false">'Exec Summary'!$E$2-H2696</f>
        <v>123</v>
      </c>
      <c r="P2696" s="10" t="str">
        <f aca="false">IF(I2696="","",I2696-H2696)</f>
        <v/>
      </c>
      <c r="Q2696" s="10" t="n">
        <f aca="false">VLOOKUP(G2696,$AA$2:$AB$5,2,FALSE())</f>
        <v>15</v>
      </c>
      <c r="R2696" s="7" t="n">
        <f aca="false">IF(OR(F2696="Open",F2696="Reopened"),1,0)</f>
        <v>1</v>
      </c>
      <c r="S2696" s="7" t="n">
        <f aca="false">IF(AND(H2696&gt;='Exec Summary'!$E$1,H2696&lt;='Exec Summary'!$E$2),1,0)</f>
        <v>0</v>
      </c>
      <c r="T2696" s="7" t="n">
        <f aca="false">IF(AND(F2696="Closed",I2696&lt;&gt;"",I2696&gt;='Exec Summary'!$E$1,I2696&lt;='Exec Summary'!$E$2),1,0)</f>
        <v>0</v>
      </c>
      <c r="U2696" s="7" t="n">
        <f aca="false">IF(F2696="Reopened",1,0)</f>
        <v>0</v>
      </c>
      <c r="V2696" s="7" t="n">
        <f aca="false">IF(AND(R2696=1,O2696&gt;Q2696),1,0)</f>
        <v>1</v>
      </c>
      <c r="W2696" s="7" t="n">
        <f aca="false">IF(AND(T2696=1,P2696&lt;&gt;"",P2696&lt;=Q2696),1,0)</f>
        <v>0</v>
      </c>
    </row>
    <row r="2697" customFormat="false" ht="15" hidden="false" customHeight="false" outlineLevel="0" collapsed="false">
      <c r="A2697" s="7" t="s">
        <v>3188</v>
      </c>
      <c r="B2697" s="7" t="s">
        <v>46</v>
      </c>
      <c r="C2697" s="7" t="s">
        <v>79</v>
      </c>
      <c r="D2697" s="7" t="s">
        <v>210</v>
      </c>
      <c r="E2697" s="7" t="s">
        <v>211</v>
      </c>
      <c r="F2697" s="7" t="s">
        <v>56</v>
      </c>
      <c r="G2697" s="7" t="s">
        <v>19</v>
      </c>
      <c r="H2697" s="9" t="n">
        <v>46125</v>
      </c>
      <c r="I2697" s="9"/>
      <c r="J2697" s="7" t="n">
        <v>9.8</v>
      </c>
      <c r="K2697" s="7" t="s">
        <v>2984</v>
      </c>
      <c r="L2697" s="7" t="s">
        <v>21</v>
      </c>
      <c r="M2697" s="7" t="s">
        <v>3191</v>
      </c>
      <c r="N2697" s="7" t="s">
        <v>58</v>
      </c>
      <c r="O2697" s="10" t="n">
        <f aca="false">'Exec Summary'!$E$2-H2697</f>
        <v>109</v>
      </c>
      <c r="P2697" s="10" t="str">
        <f aca="false">IF(I2697="","",I2697-H2697)</f>
        <v/>
      </c>
      <c r="Q2697" s="10" t="n">
        <f aca="false">VLOOKUP(G2697,$AA$2:$AB$5,2,FALSE())</f>
        <v>15</v>
      </c>
      <c r="R2697" s="7" t="n">
        <f aca="false">IF(OR(F2697="Open",F2697="Reopened"),1,0)</f>
        <v>1</v>
      </c>
      <c r="S2697" s="7" t="n">
        <f aca="false">IF(AND(H2697&gt;='Exec Summary'!$E$1,H2697&lt;='Exec Summary'!$E$2),1,0)</f>
        <v>0</v>
      </c>
      <c r="T2697" s="7" t="n">
        <f aca="false">IF(AND(F2697="Closed",I2697&lt;&gt;"",I2697&gt;='Exec Summary'!$E$1,I2697&lt;='Exec Summary'!$E$2),1,0)</f>
        <v>0</v>
      </c>
      <c r="U2697" s="7" t="n">
        <f aca="false">IF(F2697="Reopened",1,0)</f>
        <v>0</v>
      </c>
      <c r="V2697" s="7" t="n">
        <f aca="false">IF(AND(R2697=1,O2697&gt;Q2697),1,0)</f>
        <v>1</v>
      </c>
      <c r="W2697" s="7" t="n">
        <f aca="false">IF(AND(T2697=1,P2697&lt;&gt;"",P2697&lt;=Q2697),1,0)</f>
        <v>0</v>
      </c>
    </row>
    <row r="2698" customFormat="false" ht="15" hidden="false" customHeight="false" outlineLevel="0" collapsed="false">
      <c r="A2698" s="7" t="s">
        <v>3188</v>
      </c>
      <c r="B2698" s="7" t="s">
        <v>46</v>
      </c>
      <c r="C2698" s="7" t="s">
        <v>79</v>
      </c>
      <c r="D2698" s="7" t="s">
        <v>65</v>
      </c>
      <c r="E2698" s="7" t="s">
        <v>66</v>
      </c>
      <c r="F2698" s="7" t="s">
        <v>50</v>
      </c>
      <c r="G2698" s="7" t="s">
        <v>19</v>
      </c>
      <c r="H2698" s="9" t="n">
        <v>46009</v>
      </c>
      <c r="I2698" s="9" t="n">
        <v>46021</v>
      </c>
      <c r="J2698" s="7" t="n">
        <v>9.8</v>
      </c>
      <c r="K2698" s="7" t="s">
        <v>2984</v>
      </c>
      <c r="L2698" s="7" t="s">
        <v>21</v>
      </c>
      <c r="M2698" s="7" t="s">
        <v>3192</v>
      </c>
      <c r="N2698" s="7" t="s">
        <v>58</v>
      </c>
      <c r="O2698" s="10" t="n">
        <f aca="false">'Exec Summary'!$E$2-H2698</f>
        <v>225</v>
      </c>
      <c r="P2698" s="10" t="n">
        <f aca="false">IF(I2698="","",I2698-H2698)</f>
        <v>12</v>
      </c>
      <c r="Q2698" s="10" t="n">
        <f aca="false">VLOOKUP(G2698,$AA$2:$AB$5,2,FALSE())</f>
        <v>15</v>
      </c>
      <c r="R2698" s="7" t="n">
        <f aca="false">IF(OR(F2698="Open",F2698="Reopened"),1,0)</f>
        <v>0</v>
      </c>
      <c r="S2698" s="7" t="n">
        <f aca="false">IF(AND(H2698&gt;='Exec Summary'!$E$1,H2698&lt;='Exec Summary'!$E$2),1,0)</f>
        <v>0</v>
      </c>
      <c r="T2698" s="7" t="n">
        <f aca="false">IF(AND(F2698="Closed",I2698&lt;&gt;"",I2698&gt;='Exec Summary'!$E$1,I2698&lt;='Exec Summary'!$E$2),1,0)</f>
        <v>0</v>
      </c>
      <c r="U2698" s="7" t="n">
        <f aca="false">IF(F2698="Reopened",1,0)</f>
        <v>0</v>
      </c>
      <c r="V2698" s="7" t="n">
        <f aca="false">IF(AND(R2698=1,O2698&gt;Q2698),1,0)</f>
        <v>0</v>
      </c>
      <c r="W2698" s="7" t="n">
        <f aca="false">IF(AND(T2698=1,P2698&lt;&gt;"",P2698&lt;=Q2698),1,0)</f>
        <v>0</v>
      </c>
    </row>
    <row r="2699" customFormat="false" ht="15" hidden="false" customHeight="false" outlineLevel="0" collapsed="false">
      <c r="A2699" s="7" t="s">
        <v>3193</v>
      </c>
      <c r="B2699" s="7" t="s">
        <v>46</v>
      </c>
      <c r="C2699" s="7" t="s">
        <v>177</v>
      </c>
      <c r="D2699" s="7" t="s">
        <v>145</v>
      </c>
      <c r="E2699" s="7" t="s">
        <v>146</v>
      </c>
      <c r="F2699" s="7" t="s">
        <v>56</v>
      </c>
      <c r="G2699" s="7" t="s">
        <v>19</v>
      </c>
      <c r="H2699" s="9" t="n">
        <v>46153</v>
      </c>
      <c r="I2699" s="9"/>
      <c r="J2699" s="7" t="n">
        <v>9.8</v>
      </c>
      <c r="K2699" s="7" t="s">
        <v>2984</v>
      </c>
      <c r="L2699" s="7" t="s">
        <v>21</v>
      </c>
      <c r="M2699" s="7" t="s">
        <v>3194</v>
      </c>
      <c r="N2699" s="7" t="s">
        <v>58</v>
      </c>
      <c r="O2699" s="10" t="n">
        <f aca="false">'Exec Summary'!$E$2-H2699</f>
        <v>81</v>
      </c>
      <c r="P2699" s="10" t="str">
        <f aca="false">IF(I2699="","",I2699-H2699)</f>
        <v/>
      </c>
      <c r="Q2699" s="10" t="n">
        <f aca="false">VLOOKUP(G2699,$AA$2:$AB$5,2,FALSE())</f>
        <v>15</v>
      </c>
      <c r="R2699" s="7" t="n">
        <f aca="false">IF(OR(F2699="Open",F2699="Reopened"),1,0)</f>
        <v>1</v>
      </c>
      <c r="S2699" s="7" t="n">
        <f aca="false">IF(AND(H2699&gt;='Exec Summary'!$E$1,H2699&lt;='Exec Summary'!$E$2),1,0)</f>
        <v>0</v>
      </c>
      <c r="T2699" s="7" t="n">
        <f aca="false">IF(AND(F2699="Closed",I2699&lt;&gt;"",I2699&gt;='Exec Summary'!$E$1,I2699&lt;='Exec Summary'!$E$2),1,0)</f>
        <v>0</v>
      </c>
      <c r="U2699" s="7" t="n">
        <f aca="false">IF(F2699="Reopened",1,0)</f>
        <v>0</v>
      </c>
      <c r="V2699" s="7" t="n">
        <f aca="false">IF(AND(R2699=1,O2699&gt;Q2699),1,0)</f>
        <v>1</v>
      </c>
      <c r="W2699" s="7" t="n">
        <f aca="false">IF(AND(T2699=1,P2699&lt;&gt;"",P2699&lt;=Q2699),1,0)</f>
        <v>0</v>
      </c>
    </row>
    <row r="2700" customFormat="false" ht="15" hidden="false" customHeight="false" outlineLevel="0" collapsed="false">
      <c r="A2700" s="7" t="s">
        <v>3195</v>
      </c>
      <c r="B2700" s="7" t="s">
        <v>46</v>
      </c>
      <c r="C2700" s="7" t="s">
        <v>177</v>
      </c>
      <c r="D2700" s="7" t="s">
        <v>210</v>
      </c>
      <c r="E2700" s="7" t="s">
        <v>211</v>
      </c>
      <c r="F2700" s="7" t="s">
        <v>56</v>
      </c>
      <c r="G2700" s="7" t="s">
        <v>19</v>
      </c>
      <c r="H2700" s="9" t="n">
        <v>46091</v>
      </c>
      <c r="I2700" s="9"/>
      <c r="J2700" s="7" t="n">
        <v>9.8</v>
      </c>
      <c r="K2700" s="7" t="s">
        <v>2984</v>
      </c>
      <c r="L2700" s="7" t="s">
        <v>22</v>
      </c>
      <c r="M2700" s="7" t="s">
        <v>3196</v>
      </c>
      <c r="N2700" s="7" t="s">
        <v>58</v>
      </c>
      <c r="O2700" s="10" t="n">
        <f aca="false">'Exec Summary'!$E$2-H2700</f>
        <v>143</v>
      </c>
      <c r="P2700" s="10" t="str">
        <f aca="false">IF(I2700="","",I2700-H2700)</f>
        <v/>
      </c>
      <c r="Q2700" s="10" t="n">
        <f aca="false">VLOOKUP(G2700,$AA$2:$AB$5,2,FALSE())</f>
        <v>15</v>
      </c>
      <c r="R2700" s="7" t="n">
        <f aca="false">IF(OR(F2700="Open",F2700="Reopened"),1,0)</f>
        <v>1</v>
      </c>
      <c r="S2700" s="7" t="n">
        <f aca="false">IF(AND(H2700&gt;='Exec Summary'!$E$1,H2700&lt;='Exec Summary'!$E$2),1,0)</f>
        <v>0</v>
      </c>
      <c r="T2700" s="7" t="n">
        <f aca="false">IF(AND(F2700="Closed",I2700&lt;&gt;"",I2700&gt;='Exec Summary'!$E$1,I2700&lt;='Exec Summary'!$E$2),1,0)</f>
        <v>0</v>
      </c>
      <c r="U2700" s="7" t="n">
        <f aca="false">IF(F2700="Reopened",1,0)</f>
        <v>0</v>
      </c>
      <c r="V2700" s="7" t="n">
        <f aca="false">IF(AND(R2700=1,O2700&gt;Q2700),1,0)</f>
        <v>1</v>
      </c>
      <c r="W2700" s="7" t="n">
        <f aca="false">IF(AND(T2700=1,P2700&lt;&gt;"",P2700&lt;=Q2700),1,0)</f>
        <v>0</v>
      </c>
    </row>
    <row r="2701" customFormat="false" ht="15" hidden="false" customHeight="false" outlineLevel="0" collapsed="false">
      <c r="A2701" s="7" t="s">
        <v>3195</v>
      </c>
      <c r="B2701" s="7" t="s">
        <v>46</v>
      </c>
      <c r="C2701" s="7" t="s">
        <v>177</v>
      </c>
      <c r="D2701" s="7" t="s">
        <v>54</v>
      </c>
      <c r="E2701" s="7" t="s">
        <v>55</v>
      </c>
      <c r="F2701" s="7" t="s">
        <v>50</v>
      </c>
      <c r="G2701" s="7" t="s">
        <v>19</v>
      </c>
      <c r="H2701" s="9" t="n">
        <v>46049</v>
      </c>
      <c r="I2701" s="9" t="n">
        <v>46054</v>
      </c>
      <c r="J2701" s="7" t="n">
        <v>9.8</v>
      </c>
      <c r="K2701" s="7" t="s">
        <v>2984</v>
      </c>
      <c r="L2701" s="7" t="s">
        <v>22</v>
      </c>
      <c r="M2701" s="7" t="s">
        <v>3197</v>
      </c>
      <c r="N2701" s="7" t="s">
        <v>58</v>
      </c>
      <c r="O2701" s="10" t="n">
        <f aca="false">'Exec Summary'!$E$2-H2701</f>
        <v>185</v>
      </c>
      <c r="P2701" s="10" t="n">
        <f aca="false">IF(I2701="","",I2701-H2701)</f>
        <v>5</v>
      </c>
      <c r="Q2701" s="10" t="n">
        <f aca="false">VLOOKUP(G2701,$AA$2:$AB$5,2,FALSE())</f>
        <v>15</v>
      </c>
      <c r="R2701" s="7" t="n">
        <f aca="false">IF(OR(F2701="Open",F2701="Reopened"),1,0)</f>
        <v>0</v>
      </c>
      <c r="S2701" s="7" t="n">
        <f aca="false">IF(AND(H2701&gt;='Exec Summary'!$E$1,H2701&lt;='Exec Summary'!$E$2),1,0)</f>
        <v>0</v>
      </c>
      <c r="T2701" s="7" t="n">
        <f aca="false">IF(AND(F2701="Closed",I2701&lt;&gt;"",I2701&gt;='Exec Summary'!$E$1,I2701&lt;='Exec Summary'!$E$2),1,0)</f>
        <v>0</v>
      </c>
      <c r="U2701" s="7" t="n">
        <f aca="false">IF(F2701="Reopened",1,0)</f>
        <v>0</v>
      </c>
      <c r="V2701" s="7" t="n">
        <f aca="false">IF(AND(R2701=1,O2701&gt;Q2701),1,0)</f>
        <v>0</v>
      </c>
      <c r="W2701" s="7" t="n">
        <f aca="false">IF(AND(T2701=1,P2701&lt;&gt;"",P2701&lt;=Q2701),1,0)</f>
        <v>0</v>
      </c>
    </row>
    <row r="2702" customFormat="false" ht="15" hidden="false" customHeight="false" outlineLevel="0" collapsed="false">
      <c r="A2702" s="7" t="s">
        <v>3195</v>
      </c>
      <c r="B2702" s="7" t="s">
        <v>46</v>
      </c>
      <c r="C2702" s="7" t="s">
        <v>177</v>
      </c>
      <c r="D2702" s="7" t="s">
        <v>139</v>
      </c>
      <c r="E2702" s="7" t="s">
        <v>140</v>
      </c>
      <c r="F2702" s="7" t="s">
        <v>50</v>
      </c>
      <c r="G2702" s="7" t="s">
        <v>19</v>
      </c>
      <c r="H2702" s="9" t="n">
        <v>46105</v>
      </c>
      <c r="I2702" s="9" t="n">
        <v>46120</v>
      </c>
      <c r="J2702" s="7" t="n">
        <v>9.8</v>
      </c>
      <c r="K2702" s="7" t="s">
        <v>2984</v>
      </c>
      <c r="L2702" s="7" t="s">
        <v>22</v>
      </c>
      <c r="M2702" s="7" t="s">
        <v>3198</v>
      </c>
      <c r="N2702" s="7" t="s">
        <v>58</v>
      </c>
      <c r="O2702" s="10" t="n">
        <f aca="false">'Exec Summary'!$E$2-H2702</f>
        <v>129</v>
      </c>
      <c r="P2702" s="10" t="n">
        <f aca="false">IF(I2702="","",I2702-H2702)</f>
        <v>15</v>
      </c>
      <c r="Q2702" s="10" t="n">
        <f aca="false">VLOOKUP(G2702,$AA$2:$AB$5,2,FALSE())</f>
        <v>15</v>
      </c>
      <c r="R2702" s="7" t="n">
        <f aca="false">IF(OR(F2702="Open",F2702="Reopened"),1,0)</f>
        <v>0</v>
      </c>
      <c r="S2702" s="7" t="n">
        <f aca="false">IF(AND(H2702&gt;='Exec Summary'!$E$1,H2702&lt;='Exec Summary'!$E$2),1,0)</f>
        <v>0</v>
      </c>
      <c r="T2702" s="7" t="n">
        <f aca="false">IF(AND(F2702="Closed",I2702&lt;&gt;"",I2702&gt;='Exec Summary'!$E$1,I2702&lt;='Exec Summary'!$E$2),1,0)</f>
        <v>0</v>
      </c>
      <c r="U2702" s="7" t="n">
        <f aca="false">IF(F2702="Reopened",1,0)</f>
        <v>0</v>
      </c>
      <c r="V2702" s="7" t="n">
        <f aca="false">IF(AND(R2702=1,O2702&gt;Q2702),1,0)</f>
        <v>0</v>
      </c>
      <c r="W2702" s="7" t="n">
        <f aca="false">IF(AND(T2702=1,P2702&lt;&gt;"",P2702&lt;=Q2702),1,0)</f>
        <v>0</v>
      </c>
    </row>
    <row r="2703" customFormat="false" ht="15" hidden="false" customHeight="false" outlineLevel="0" collapsed="false">
      <c r="A2703" s="7" t="s">
        <v>3195</v>
      </c>
      <c r="B2703" s="7" t="s">
        <v>46</v>
      </c>
      <c r="C2703" s="7" t="s">
        <v>177</v>
      </c>
      <c r="D2703" s="7" t="s">
        <v>108</v>
      </c>
      <c r="E2703" s="7" t="s">
        <v>109</v>
      </c>
      <c r="F2703" s="7" t="s">
        <v>50</v>
      </c>
      <c r="G2703" s="7" t="s">
        <v>20</v>
      </c>
      <c r="H2703" s="9" t="n">
        <v>45939</v>
      </c>
      <c r="I2703" s="9" t="n">
        <v>45964</v>
      </c>
      <c r="J2703" s="7" t="n">
        <v>8.6</v>
      </c>
      <c r="K2703" s="7" t="s">
        <v>2984</v>
      </c>
      <c r="L2703" s="7" t="s">
        <v>22</v>
      </c>
      <c r="M2703" s="7" t="s">
        <v>3199</v>
      </c>
      <c r="N2703" s="7" t="s">
        <v>53</v>
      </c>
      <c r="O2703" s="10" t="n">
        <f aca="false">'Exec Summary'!$E$2-H2703</f>
        <v>295</v>
      </c>
      <c r="P2703" s="10" t="n">
        <f aca="false">IF(I2703="","",I2703-H2703)</f>
        <v>25</v>
      </c>
      <c r="Q2703" s="10" t="n">
        <f aca="false">VLOOKUP(G2703,$AA$2:$AB$5,2,FALSE())</f>
        <v>30</v>
      </c>
      <c r="R2703" s="7" t="n">
        <f aca="false">IF(OR(F2703="Open",F2703="Reopened"),1,0)</f>
        <v>0</v>
      </c>
      <c r="S2703" s="7" t="n">
        <f aca="false">IF(AND(H2703&gt;='Exec Summary'!$E$1,H2703&lt;='Exec Summary'!$E$2),1,0)</f>
        <v>0</v>
      </c>
      <c r="T2703" s="7" t="n">
        <f aca="false">IF(AND(F2703="Closed",I2703&lt;&gt;"",I2703&gt;='Exec Summary'!$E$1,I2703&lt;='Exec Summary'!$E$2),1,0)</f>
        <v>0</v>
      </c>
      <c r="U2703" s="7" t="n">
        <f aca="false">IF(F2703="Reopened",1,0)</f>
        <v>0</v>
      </c>
      <c r="V2703" s="7" t="n">
        <f aca="false">IF(AND(R2703=1,O2703&gt;Q2703),1,0)</f>
        <v>0</v>
      </c>
      <c r="W2703" s="7" t="n">
        <f aca="false">IF(AND(T2703=1,P2703&lt;&gt;"",P2703&lt;=Q2703),1,0)</f>
        <v>0</v>
      </c>
    </row>
    <row r="2704" customFormat="false" ht="15" hidden="false" customHeight="false" outlineLevel="0" collapsed="false">
      <c r="A2704" s="7" t="s">
        <v>3195</v>
      </c>
      <c r="B2704" s="7" t="s">
        <v>46</v>
      </c>
      <c r="C2704" s="7" t="s">
        <v>177</v>
      </c>
      <c r="D2704" s="7" t="s">
        <v>95</v>
      </c>
      <c r="E2704" s="7" t="s">
        <v>96</v>
      </c>
      <c r="F2704" s="7" t="s">
        <v>50</v>
      </c>
      <c r="G2704" s="7" t="s">
        <v>20</v>
      </c>
      <c r="H2704" s="9" t="n">
        <v>46028</v>
      </c>
      <c r="I2704" s="9" t="n">
        <v>46063</v>
      </c>
      <c r="J2704" s="7" t="n">
        <v>8.8</v>
      </c>
      <c r="K2704" s="7" t="s">
        <v>2984</v>
      </c>
      <c r="L2704" s="7" t="s">
        <v>22</v>
      </c>
      <c r="M2704" s="7" t="s">
        <v>3200</v>
      </c>
      <c r="N2704" s="7" t="s">
        <v>53</v>
      </c>
      <c r="O2704" s="10" t="n">
        <f aca="false">'Exec Summary'!$E$2-H2704</f>
        <v>206</v>
      </c>
      <c r="P2704" s="10" t="n">
        <f aca="false">IF(I2704="","",I2704-H2704)</f>
        <v>35</v>
      </c>
      <c r="Q2704" s="10" t="n">
        <f aca="false">VLOOKUP(G2704,$AA$2:$AB$5,2,FALSE())</f>
        <v>30</v>
      </c>
      <c r="R2704" s="7" t="n">
        <f aca="false">IF(OR(F2704="Open",F2704="Reopened"),1,0)</f>
        <v>0</v>
      </c>
      <c r="S2704" s="7" t="n">
        <f aca="false">IF(AND(H2704&gt;='Exec Summary'!$E$1,H2704&lt;='Exec Summary'!$E$2),1,0)</f>
        <v>0</v>
      </c>
      <c r="T2704" s="7" t="n">
        <f aca="false">IF(AND(F2704="Closed",I2704&lt;&gt;"",I2704&gt;='Exec Summary'!$E$1,I2704&lt;='Exec Summary'!$E$2),1,0)</f>
        <v>0</v>
      </c>
      <c r="U2704" s="7" t="n">
        <f aca="false">IF(F2704="Reopened",1,0)</f>
        <v>0</v>
      </c>
      <c r="V2704" s="7" t="n">
        <f aca="false">IF(AND(R2704=1,O2704&gt;Q2704),1,0)</f>
        <v>0</v>
      </c>
      <c r="W2704" s="7" t="n">
        <f aca="false">IF(AND(T2704=1,P2704&lt;&gt;"",P2704&lt;=Q2704),1,0)</f>
        <v>0</v>
      </c>
    </row>
    <row r="2705" customFormat="false" ht="15" hidden="false" customHeight="false" outlineLevel="0" collapsed="false">
      <c r="A2705" s="7" t="s">
        <v>3195</v>
      </c>
      <c r="B2705" s="7" t="s">
        <v>46</v>
      </c>
      <c r="C2705" s="7" t="s">
        <v>177</v>
      </c>
      <c r="D2705" s="7" t="s">
        <v>173</v>
      </c>
      <c r="E2705" s="7" t="s">
        <v>174</v>
      </c>
      <c r="F2705" s="7" t="s">
        <v>56</v>
      </c>
      <c r="G2705" s="7" t="s">
        <v>19</v>
      </c>
      <c r="H2705" s="9" t="n">
        <v>46028</v>
      </c>
      <c r="I2705" s="9"/>
      <c r="J2705" s="7" t="n">
        <v>9.8</v>
      </c>
      <c r="K2705" s="7" t="s">
        <v>2984</v>
      </c>
      <c r="L2705" s="7" t="s">
        <v>22</v>
      </c>
      <c r="M2705" s="7" t="s">
        <v>3201</v>
      </c>
      <c r="N2705" s="7" t="s">
        <v>58</v>
      </c>
      <c r="O2705" s="10" t="n">
        <f aca="false">'Exec Summary'!$E$2-H2705</f>
        <v>206</v>
      </c>
      <c r="P2705" s="10" t="str">
        <f aca="false">IF(I2705="","",I2705-H2705)</f>
        <v/>
      </c>
      <c r="Q2705" s="10" t="n">
        <f aca="false">VLOOKUP(G2705,$AA$2:$AB$5,2,FALSE())</f>
        <v>15</v>
      </c>
      <c r="R2705" s="7" t="n">
        <f aca="false">IF(OR(F2705="Open",F2705="Reopened"),1,0)</f>
        <v>1</v>
      </c>
      <c r="S2705" s="7" t="n">
        <f aca="false">IF(AND(H2705&gt;='Exec Summary'!$E$1,H2705&lt;='Exec Summary'!$E$2),1,0)</f>
        <v>0</v>
      </c>
      <c r="T2705" s="7" t="n">
        <f aca="false">IF(AND(F2705="Closed",I2705&lt;&gt;"",I2705&gt;='Exec Summary'!$E$1,I2705&lt;='Exec Summary'!$E$2),1,0)</f>
        <v>0</v>
      </c>
      <c r="U2705" s="7" t="n">
        <f aca="false">IF(F2705="Reopened",1,0)</f>
        <v>0</v>
      </c>
      <c r="V2705" s="7" t="n">
        <f aca="false">IF(AND(R2705=1,O2705&gt;Q2705),1,0)</f>
        <v>1</v>
      </c>
      <c r="W2705" s="7" t="n">
        <f aca="false">IF(AND(T2705=1,P2705&lt;&gt;"",P2705&lt;=Q2705),1,0)</f>
        <v>0</v>
      </c>
    </row>
    <row r="2706" customFormat="false" ht="15" hidden="false" customHeight="false" outlineLevel="0" collapsed="false">
      <c r="A2706" s="7" t="s">
        <v>3195</v>
      </c>
      <c r="B2706" s="7" t="s">
        <v>46</v>
      </c>
      <c r="C2706" s="7" t="s">
        <v>177</v>
      </c>
      <c r="D2706" s="7" t="s">
        <v>117</v>
      </c>
      <c r="E2706" s="7" t="s">
        <v>118</v>
      </c>
      <c r="F2706" s="7" t="s">
        <v>123</v>
      </c>
      <c r="G2706" s="7" t="s">
        <v>19</v>
      </c>
      <c r="H2706" s="9" t="n">
        <v>46010</v>
      </c>
      <c r="I2706" s="9" t="n">
        <v>46022</v>
      </c>
      <c r="J2706" s="7" t="n">
        <v>10</v>
      </c>
      <c r="K2706" s="7" t="s">
        <v>2984</v>
      </c>
      <c r="L2706" s="7" t="s">
        <v>22</v>
      </c>
      <c r="M2706" s="7" t="s">
        <v>3202</v>
      </c>
      <c r="N2706" s="7" t="s">
        <v>58</v>
      </c>
      <c r="O2706" s="10" t="n">
        <f aca="false">'Exec Summary'!$E$2-H2706</f>
        <v>224</v>
      </c>
      <c r="P2706" s="10" t="n">
        <f aca="false">IF(I2706="","",I2706-H2706)</f>
        <v>12</v>
      </c>
      <c r="Q2706" s="10" t="n">
        <f aca="false">VLOOKUP(G2706,$AA$2:$AB$5,2,FALSE())</f>
        <v>15</v>
      </c>
      <c r="R2706" s="7" t="n">
        <f aca="false">IF(OR(F2706="Open",F2706="Reopened"),1,0)</f>
        <v>1</v>
      </c>
      <c r="S2706" s="7" t="n">
        <f aca="false">IF(AND(H2706&gt;='Exec Summary'!$E$1,H2706&lt;='Exec Summary'!$E$2),1,0)</f>
        <v>0</v>
      </c>
      <c r="T2706" s="7" t="n">
        <f aca="false">IF(AND(F2706="Closed",I2706&lt;&gt;"",I2706&gt;='Exec Summary'!$E$1,I2706&lt;='Exec Summary'!$E$2),1,0)</f>
        <v>0</v>
      </c>
      <c r="U2706" s="7" t="n">
        <f aca="false">IF(F2706="Reopened",1,0)</f>
        <v>1</v>
      </c>
      <c r="V2706" s="7" t="n">
        <f aca="false">IF(AND(R2706=1,O2706&gt;Q2706),1,0)</f>
        <v>1</v>
      </c>
      <c r="W2706" s="7" t="n">
        <f aca="false">IF(AND(T2706=1,P2706&lt;&gt;"",P2706&lt;=Q2706),1,0)</f>
        <v>0</v>
      </c>
    </row>
    <row r="2707" customFormat="false" ht="15" hidden="false" customHeight="false" outlineLevel="0" collapsed="false">
      <c r="A2707" s="7" t="s">
        <v>3195</v>
      </c>
      <c r="B2707" s="7" t="s">
        <v>46</v>
      </c>
      <c r="C2707" s="7" t="s">
        <v>177</v>
      </c>
      <c r="D2707" s="7" t="s">
        <v>68</v>
      </c>
      <c r="E2707" s="7" t="s">
        <v>69</v>
      </c>
      <c r="F2707" s="7" t="s">
        <v>50</v>
      </c>
      <c r="G2707" s="7" t="s">
        <v>19</v>
      </c>
      <c r="H2707" s="9" t="n">
        <v>45950</v>
      </c>
      <c r="I2707" s="9" t="n">
        <v>45967</v>
      </c>
      <c r="J2707" s="7" t="n">
        <v>9.8</v>
      </c>
      <c r="K2707" s="7" t="s">
        <v>2984</v>
      </c>
      <c r="L2707" s="7" t="s">
        <v>22</v>
      </c>
      <c r="M2707" s="7" t="s">
        <v>3203</v>
      </c>
      <c r="N2707" s="7" t="s">
        <v>58</v>
      </c>
      <c r="O2707" s="10" t="n">
        <f aca="false">'Exec Summary'!$E$2-H2707</f>
        <v>284</v>
      </c>
      <c r="P2707" s="10" t="n">
        <f aca="false">IF(I2707="","",I2707-H2707)</f>
        <v>17</v>
      </c>
      <c r="Q2707" s="10" t="n">
        <f aca="false">VLOOKUP(G2707,$AA$2:$AB$5,2,FALSE())</f>
        <v>15</v>
      </c>
      <c r="R2707" s="7" t="n">
        <f aca="false">IF(OR(F2707="Open",F2707="Reopened"),1,0)</f>
        <v>0</v>
      </c>
      <c r="S2707" s="7" t="n">
        <f aca="false">IF(AND(H2707&gt;='Exec Summary'!$E$1,H2707&lt;='Exec Summary'!$E$2),1,0)</f>
        <v>0</v>
      </c>
      <c r="T2707" s="7" t="n">
        <f aca="false">IF(AND(F2707="Closed",I2707&lt;&gt;"",I2707&gt;='Exec Summary'!$E$1,I2707&lt;='Exec Summary'!$E$2),1,0)</f>
        <v>0</v>
      </c>
      <c r="U2707" s="7" t="n">
        <f aca="false">IF(F2707="Reopened",1,0)</f>
        <v>0</v>
      </c>
      <c r="V2707" s="7" t="n">
        <f aca="false">IF(AND(R2707=1,O2707&gt;Q2707),1,0)</f>
        <v>0</v>
      </c>
      <c r="W2707" s="7" t="n">
        <f aca="false">IF(AND(T2707=1,P2707&lt;&gt;"",P2707&lt;=Q2707),1,0)</f>
        <v>0</v>
      </c>
    </row>
    <row r="2708" customFormat="false" ht="15" hidden="false" customHeight="false" outlineLevel="0" collapsed="false">
      <c r="A2708" s="7" t="s">
        <v>3195</v>
      </c>
      <c r="B2708" s="7" t="s">
        <v>46</v>
      </c>
      <c r="C2708" s="7" t="s">
        <v>177</v>
      </c>
      <c r="D2708" s="7" t="s">
        <v>98</v>
      </c>
      <c r="E2708" s="7" t="s">
        <v>99</v>
      </c>
      <c r="F2708" s="7" t="s">
        <v>50</v>
      </c>
      <c r="G2708" s="7" t="s">
        <v>19</v>
      </c>
      <c r="H2708" s="9" t="n">
        <v>45957</v>
      </c>
      <c r="I2708" s="9" t="n">
        <v>45979</v>
      </c>
      <c r="J2708" s="7" t="n">
        <v>10</v>
      </c>
      <c r="K2708" s="7" t="s">
        <v>2984</v>
      </c>
      <c r="L2708" s="7" t="s">
        <v>22</v>
      </c>
      <c r="M2708" s="7" t="s">
        <v>3204</v>
      </c>
      <c r="N2708" s="7" t="s">
        <v>58</v>
      </c>
      <c r="O2708" s="10" t="n">
        <f aca="false">'Exec Summary'!$E$2-H2708</f>
        <v>277</v>
      </c>
      <c r="P2708" s="10" t="n">
        <f aca="false">IF(I2708="","",I2708-H2708)</f>
        <v>22</v>
      </c>
      <c r="Q2708" s="10" t="n">
        <f aca="false">VLOOKUP(G2708,$AA$2:$AB$5,2,FALSE())</f>
        <v>15</v>
      </c>
      <c r="R2708" s="7" t="n">
        <f aca="false">IF(OR(F2708="Open",F2708="Reopened"),1,0)</f>
        <v>0</v>
      </c>
      <c r="S2708" s="7" t="n">
        <f aca="false">IF(AND(H2708&gt;='Exec Summary'!$E$1,H2708&lt;='Exec Summary'!$E$2),1,0)</f>
        <v>0</v>
      </c>
      <c r="T2708" s="7" t="n">
        <f aca="false">IF(AND(F2708="Closed",I2708&lt;&gt;"",I2708&gt;='Exec Summary'!$E$1,I2708&lt;='Exec Summary'!$E$2),1,0)</f>
        <v>0</v>
      </c>
      <c r="U2708" s="7" t="n">
        <f aca="false">IF(F2708="Reopened",1,0)</f>
        <v>0</v>
      </c>
      <c r="V2708" s="7" t="n">
        <f aca="false">IF(AND(R2708=1,O2708&gt;Q2708),1,0)</f>
        <v>0</v>
      </c>
      <c r="W2708" s="7" t="n">
        <f aca="false">IF(AND(T2708=1,P2708&lt;&gt;"",P2708&lt;=Q2708),1,0)</f>
        <v>0</v>
      </c>
    </row>
    <row r="2709" customFormat="false" ht="15" hidden="false" customHeight="false" outlineLevel="0" collapsed="false">
      <c r="A2709" s="7" t="s">
        <v>3195</v>
      </c>
      <c r="B2709" s="7" t="s">
        <v>46</v>
      </c>
      <c r="C2709" s="7" t="s">
        <v>177</v>
      </c>
      <c r="D2709" s="7" t="s">
        <v>206</v>
      </c>
      <c r="E2709" s="7" t="s">
        <v>207</v>
      </c>
      <c r="F2709" s="7" t="s">
        <v>123</v>
      </c>
      <c r="G2709" s="7" t="s">
        <v>20</v>
      </c>
      <c r="H2709" s="9" t="n">
        <v>46195</v>
      </c>
      <c r="I2709" s="9" t="n">
        <v>46218</v>
      </c>
      <c r="J2709" s="7" t="n">
        <v>8.8</v>
      </c>
      <c r="K2709" s="7" t="s">
        <v>2984</v>
      </c>
      <c r="L2709" s="7" t="s">
        <v>22</v>
      </c>
      <c r="M2709" s="7" t="s">
        <v>3205</v>
      </c>
      <c r="N2709" s="7" t="s">
        <v>53</v>
      </c>
      <c r="O2709" s="10" t="n">
        <f aca="false">'Exec Summary'!$E$2-H2709</f>
        <v>39</v>
      </c>
      <c r="P2709" s="10" t="n">
        <f aca="false">IF(I2709="","",I2709-H2709)</f>
        <v>23</v>
      </c>
      <c r="Q2709" s="10" t="n">
        <f aca="false">VLOOKUP(G2709,$AA$2:$AB$5,2,FALSE())</f>
        <v>30</v>
      </c>
      <c r="R2709" s="7" t="n">
        <f aca="false">IF(OR(F2709="Open",F2709="Reopened"),1,0)</f>
        <v>1</v>
      </c>
      <c r="S2709" s="7" t="n">
        <f aca="false">IF(AND(H2709&gt;='Exec Summary'!$E$1,H2709&lt;='Exec Summary'!$E$2),1,0)</f>
        <v>0</v>
      </c>
      <c r="T2709" s="7" t="n">
        <f aca="false">IF(AND(F2709="Closed",I2709&lt;&gt;"",I2709&gt;='Exec Summary'!$E$1,I2709&lt;='Exec Summary'!$E$2),1,0)</f>
        <v>0</v>
      </c>
      <c r="U2709" s="7" t="n">
        <f aca="false">IF(F2709="Reopened",1,0)</f>
        <v>1</v>
      </c>
      <c r="V2709" s="7" t="n">
        <f aca="false">IF(AND(R2709=1,O2709&gt;Q2709),1,0)</f>
        <v>1</v>
      </c>
      <c r="W2709" s="7" t="n">
        <f aca="false">IF(AND(T2709=1,P2709&lt;&gt;"",P2709&lt;=Q2709),1,0)</f>
        <v>0</v>
      </c>
    </row>
    <row r="2710" customFormat="false" ht="15" hidden="false" customHeight="false" outlineLevel="0" collapsed="false">
      <c r="A2710" s="7" t="s">
        <v>3195</v>
      </c>
      <c r="B2710" s="7" t="s">
        <v>46</v>
      </c>
      <c r="C2710" s="7" t="s">
        <v>177</v>
      </c>
      <c r="D2710" s="7" t="s">
        <v>71</v>
      </c>
      <c r="E2710" s="7" t="s">
        <v>72</v>
      </c>
      <c r="F2710" s="7" t="s">
        <v>50</v>
      </c>
      <c r="G2710" s="7" t="s">
        <v>19</v>
      </c>
      <c r="H2710" s="9" t="n">
        <v>45979</v>
      </c>
      <c r="I2710" s="9" t="n">
        <v>45980</v>
      </c>
      <c r="J2710" s="7" t="n">
        <v>9.8</v>
      </c>
      <c r="K2710" s="7" t="s">
        <v>2984</v>
      </c>
      <c r="L2710" s="7" t="s">
        <v>22</v>
      </c>
      <c r="M2710" s="7" t="s">
        <v>3206</v>
      </c>
      <c r="N2710" s="7" t="s">
        <v>58</v>
      </c>
      <c r="O2710" s="10" t="n">
        <f aca="false">'Exec Summary'!$E$2-H2710</f>
        <v>255</v>
      </c>
      <c r="P2710" s="10" t="n">
        <f aca="false">IF(I2710="","",I2710-H2710)</f>
        <v>1</v>
      </c>
      <c r="Q2710" s="10" t="n">
        <f aca="false">VLOOKUP(G2710,$AA$2:$AB$5,2,FALSE())</f>
        <v>15</v>
      </c>
      <c r="R2710" s="7" t="n">
        <f aca="false">IF(OR(F2710="Open",F2710="Reopened"),1,0)</f>
        <v>0</v>
      </c>
      <c r="S2710" s="7" t="n">
        <f aca="false">IF(AND(H2710&gt;='Exec Summary'!$E$1,H2710&lt;='Exec Summary'!$E$2),1,0)</f>
        <v>0</v>
      </c>
      <c r="T2710" s="7" t="n">
        <f aca="false">IF(AND(F2710="Closed",I2710&lt;&gt;"",I2710&gt;='Exec Summary'!$E$1,I2710&lt;='Exec Summary'!$E$2),1,0)</f>
        <v>0</v>
      </c>
      <c r="U2710" s="7" t="n">
        <f aca="false">IF(F2710="Reopened",1,0)</f>
        <v>0</v>
      </c>
      <c r="V2710" s="7" t="n">
        <f aca="false">IF(AND(R2710=1,O2710&gt;Q2710),1,0)</f>
        <v>0</v>
      </c>
      <c r="W2710" s="7" t="n">
        <f aca="false">IF(AND(T2710=1,P2710&lt;&gt;"",P2710&lt;=Q2710),1,0)</f>
        <v>0</v>
      </c>
    </row>
    <row r="2711" customFormat="false" ht="15" hidden="false" customHeight="false" outlineLevel="0" collapsed="false">
      <c r="A2711" s="7" t="s">
        <v>3195</v>
      </c>
      <c r="B2711" s="7" t="s">
        <v>46</v>
      </c>
      <c r="C2711" s="7" t="s">
        <v>177</v>
      </c>
      <c r="D2711" s="7" t="s">
        <v>87</v>
      </c>
      <c r="E2711" s="7" t="s">
        <v>88</v>
      </c>
      <c r="F2711" s="7" t="s">
        <v>56</v>
      </c>
      <c r="G2711" s="7" t="s">
        <v>19</v>
      </c>
      <c r="H2711" s="9" t="n">
        <v>46078</v>
      </c>
      <c r="I2711" s="9"/>
      <c r="J2711" s="7" t="n">
        <v>10</v>
      </c>
      <c r="K2711" s="7" t="s">
        <v>2984</v>
      </c>
      <c r="L2711" s="7" t="s">
        <v>22</v>
      </c>
      <c r="M2711" s="7" t="s">
        <v>3207</v>
      </c>
      <c r="N2711" s="7" t="s">
        <v>58</v>
      </c>
      <c r="O2711" s="10" t="n">
        <f aca="false">'Exec Summary'!$E$2-H2711</f>
        <v>156</v>
      </c>
      <c r="P2711" s="10" t="str">
        <f aca="false">IF(I2711="","",I2711-H2711)</f>
        <v/>
      </c>
      <c r="Q2711" s="10" t="n">
        <f aca="false">VLOOKUP(G2711,$AA$2:$AB$5,2,FALSE())</f>
        <v>15</v>
      </c>
      <c r="R2711" s="7" t="n">
        <f aca="false">IF(OR(F2711="Open",F2711="Reopened"),1,0)</f>
        <v>1</v>
      </c>
      <c r="S2711" s="7" t="n">
        <f aca="false">IF(AND(H2711&gt;='Exec Summary'!$E$1,H2711&lt;='Exec Summary'!$E$2),1,0)</f>
        <v>0</v>
      </c>
      <c r="T2711" s="7" t="n">
        <f aca="false">IF(AND(F2711="Closed",I2711&lt;&gt;"",I2711&gt;='Exec Summary'!$E$1,I2711&lt;='Exec Summary'!$E$2),1,0)</f>
        <v>0</v>
      </c>
      <c r="U2711" s="7" t="n">
        <f aca="false">IF(F2711="Reopened",1,0)</f>
        <v>0</v>
      </c>
      <c r="V2711" s="7" t="n">
        <f aca="false">IF(AND(R2711=1,O2711&gt;Q2711),1,0)</f>
        <v>1</v>
      </c>
      <c r="W2711" s="7" t="n">
        <f aca="false">IF(AND(T2711=1,P2711&lt;&gt;"",P2711&lt;=Q2711),1,0)</f>
        <v>0</v>
      </c>
    </row>
    <row r="2712" customFormat="false" ht="15" hidden="false" customHeight="false" outlineLevel="0" collapsed="false">
      <c r="A2712" s="7" t="s">
        <v>3208</v>
      </c>
      <c r="B2712" s="7" t="s">
        <v>135</v>
      </c>
      <c r="C2712" s="7" t="s">
        <v>136</v>
      </c>
      <c r="D2712" s="7" t="s">
        <v>71</v>
      </c>
      <c r="E2712" s="7" t="s">
        <v>72</v>
      </c>
      <c r="F2712" s="7" t="s">
        <v>50</v>
      </c>
      <c r="G2712" s="7" t="s">
        <v>19</v>
      </c>
      <c r="H2712" s="9" t="n">
        <v>46057</v>
      </c>
      <c r="I2712" s="9" t="n">
        <v>46072</v>
      </c>
      <c r="J2712" s="7" t="n">
        <v>9.8</v>
      </c>
      <c r="K2712" s="7" t="s">
        <v>2984</v>
      </c>
      <c r="L2712" s="7" t="s">
        <v>21</v>
      </c>
      <c r="M2712" s="7" t="s">
        <v>3209</v>
      </c>
      <c r="N2712" s="7" t="s">
        <v>58</v>
      </c>
      <c r="O2712" s="10" t="n">
        <f aca="false">'Exec Summary'!$E$2-H2712</f>
        <v>177</v>
      </c>
      <c r="P2712" s="10" t="n">
        <f aca="false">IF(I2712="","",I2712-H2712)</f>
        <v>15</v>
      </c>
      <c r="Q2712" s="10" t="n">
        <f aca="false">VLOOKUP(G2712,$AA$2:$AB$5,2,FALSE())</f>
        <v>15</v>
      </c>
      <c r="R2712" s="7" t="n">
        <f aca="false">IF(OR(F2712="Open",F2712="Reopened"),1,0)</f>
        <v>0</v>
      </c>
      <c r="S2712" s="7" t="n">
        <f aca="false">IF(AND(H2712&gt;='Exec Summary'!$E$1,H2712&lt;='Exec Summary'!$E$2),1,0)</f>
        <v>0</v>
      </c>
      <c r="T2712" s="7" t="n">
        <f aca="false">IF(AND(F2712="Closed",I2712&lt;&gt;"",I2712&gt;='Exec Summary'!$E$1,I2712&lt;='Exec Summary'!$E$2),1,0)</f>
        <v>0</v>
      </c>
      <c r="U2712" s="7" t="n">
        <f aca="false">IF(F2712="Reopened",1,0)</f>
        <v>0</v>
      </c>
      <c r="V2712" s="7" t="n">
        <f aca="false">IF(AND(R2712=1,O2712&gt;Q2712),1,0)</f>
        <v>0</v>
      </c>
      <c r="W2712" s="7" t="n">
        <f aca="false">IF(AND(T2712=1,P2712&lt;&gt;"",P2712&lt;=Q2712),1,0)</f>
        <v>0</v>
      </c>
    </row>
    <row r="2713" customFormat="false" ht="15" hidden="false" customHeight="false" outlineLevel="0" collapsed="false">
      <c r="A2713" s="7" t="s">
        <v>3208</v>
      </c>
      <c r="B2713" s="7" t="s">
        <v>135</v>
      </c>
      <c r="C2713" s="7" t="s">
        <v>136</v>
      </c>
      <c r="D2713" s="7" t="s">
        <v>81</v>
      </c>
      <c r="E2713" s="7" t="s">
        <v>82</v>
      </c>
      <c r="F2713" s="7" t="s">
        <v>56</v>
      </c>
      <c r="G2713" s="7" t="s">
        <v>20</v>
      </c>
      <c r="H2713" s="9" t="n">
        <v>45938</v>
      </c>
      <c r="I2713" s="9"/>
      <c r="J2713" s="7" t="n">
        <v>7.8</v>
      </c>
      <c r="K2713" s="7" t="s">
        <v>2984</v>
      </c>
      <c r="L2713" s="7" t="s">
        <v>21</v>
      </c>
      <c r="M2713" s="7" t="s">
        <v>3210</v>
      </c>
      <c r="N2713" s="7" t="s">
        <v>53</v>
      </c>
      <c r="O2713" s="10" t="n">
        <f aca="false">'Exec Summary'!$E$2-H2713</f>
        <v>296</v>
      </c>
      <c r="P2713" s="10" t="str">
        <f aca="false">IF(I2713="","",I2713-H2713)</f>
        <v/>
      </c>
      <c r="Q2713" s="10" t="n">
        <f aca="false">VLOOKUP(G2713,$AA$2:$AB$5,2,FALSE())</f>
        <v>30</v>
      </c>
      <c r="R2713" s="7" t="n">
        <f aca="false">IF(OR(F2713="Open",F2713="Reopened"),1,0)</f>
        <v>1</v>
      </c>
      <c r="S2713" s="7" t="n">
        <f aca="false">IF(AND(H2713&gt;='Exec Summary'!$E$1,H2713&lt;='Exec Summary'!$E$2),1,0)</f>
        <v>0</v>
      </c>
      <c r="T2713" s="7" t="n">
        <f aca="false">IF(AND(F2713="Closed",I2713&lt;&gt;"",I2713&gt;='Exec Summary'!$E$1,I2713&lt;='Exec Summary'!$E$2),1,0)</f>
        <v>0</v>
      </c>
      <c r="U2713" s="7" t="n">
        <f aca="false">IF(F2713="Reopened",1,0)</f>
        <v>0</v>
      </c>
      <c r="V2713" s="7" t="n">
        <f aca="false">IF(AND(R2713=1,O2713&gt;Q2713),1,0)</f>
        <v>1</v>
      </c>
      <c r="W2713" s="7" t="n">
        <f aca="false">IF(AND(T2713=1,P2713&lt;&gt;"",P2713&lt;=Q2713),1,0)</f>
        <v>0</v>
      </c>
    </row>
    <row r="2714" customFormat="false" ht="15" hidden="false" customHeight="false" outlineLevel="0" collapsed="false">
      <c r="A2714" s="7" t="s">
        <v>3208</v>
      </c>
      <c r="B2714" s="7" t="s">
        <v>135</v>
      </c>
      <c r="C2714" s="7" t="s">
        <v>136</v>
      </c>
      <c r="D2714" s="7" t="s">
        <v>48</v>
      </c>
      <c r="E2714" s="7" t="s">
        <v>49</v>
      </c>
      <c r="F2714" s="7" t="s">
        <v>50</v>
      </c>
      <c r="G2714" s="7" t="s">
        <v>20</v>
      </c>
      <c r="H2714" s="9" t="n">
        <v>46168</v>
      </c>
      <c r="I2714" s="9" t="n">
        <v>46185</v>
      </c>
      <c r="J2714" s="7" t="n">
        <v>7.5</v>
      </c>
      <c r="K2714" s="7" t="s">
        <v>2984</v>
      </c>
      <c r="L2714" s="7" t="s">
        <v>21</v>
      </c>
      <c r="M2714" s="7" t="s">
        <v>3211</v>
      </c>
      <c r="N2714" s="7" t="s">
        <v>53</v>
      </c>
      <c r="O2714" s="10" t="n">
        <f aca="false">'Exec Summary'!$E$2-H2714</f>
        <v>66</v>
      </c>
      <c r="P2714" s="10" t="n">
        <f aca="false">IF(I2714="","",I2714-H2714)</f>
        <v>17</v>
      </c>
      <c r="Q2714" s="10" t="n">
        <f aca="false">VLOOKUP(G2714,$AA$2:$AB$5,2,FALSE())</f>
        <v>30</v>
      </c>
      <c r="R2714" s="7" t="n">
        <f aca="false">IF(OR(F2714="Open",F2714="Reopened"),1,0)</f>
        <v>0</v>
      </c>
      <c r="S2714" s="7" t="n">
        <f aca="false">IF(AND(H2714&gt;='Exec Summary'!$E$1,H2714&lt;='Exec Summary'!$E$2),1,0)</f>
        <v>0</v>
      </c>
      <c r="T2714" s="7" t="n">
        <f aca="false">IF(AND(F2714="Closed",I2714&lt;&gt;"",I2714&gt;='Exec Summary'!$E$1,I2714&lt;='Exec Summary'!$E$2),1,0)</f>
        <v>0</v>
      </c>
      <c r="U2714" s="7" t="n">
        <f aca="false">IF(F2714="Reopened",1,0)</f>
        <v>0</v>
      </c>
      <c r="V2714" s="7" t="n">
        <f aca="false">IF(AND(R2714=1,O2714&gt;Q2714),1,0)</f>
        <v>0</v>
      </c>
      <c r="W2714" s="7" t="n">
        <f aca="false">IF(AND(T2714=1,P2714&lt;&gt;"",P2714&lt;=Q2714),1,0)</f>
        <v>0</v>
      </c>
    </row>
    <row r="2715" customFormat="false" ht="15" hidden="false" customHeight="false" outlineLevel="0" collapsed="false">
      <c r="A2715" s="7" t="s">
        <v>3208</v>
      </c>
      <c r="B2715" s="7" t="s">
        <v>135</v>
      </c>
      <c r="C2715" s="7" t="s">
        <v>136</v>
      </c>
      <c r="D2715" s="7" t="s">
        <v>84</v>
      </c>
      <c r="E2715" s="7" t="s">
        <v>85</v>
      </c>
      <c r="F2715" s="7" t="s">
        <v>56</v>
      </c>
      <c r="G2715" s="7" t="s">
        <v>20</v>
      </c>
      <c r="H2715" s="9" t="n">
        <v>45946</v>
      </c>
      <c r="I2715" s="9"/>
      <c r="J2715" s="7" t="n">
        <v>7.5</v>
      </c>
      <c r="K2715" s="7" t="s">
        <v>2984</v>
      </c>
      <c r="L2715" s="7" t="s">
        <v>21</v>
      </c>
      <c r="M2715" s="7" t="s">
        <v>3212</v>
      </c>
      <c r="N2715" s="7" t="s">
        <v>53</v>
      </c>
      <c r="O2715" s="10" t="n">
        <f aca="false">'Exec Summary'!$E$2-H2715</f>
        <v>288</v>
      </c>
      <c r="P2715" s="10" t="str">
        <f aca="false">IF(I2715="","",I2715-H2715)</f>
        <v/>
      </c>
      <c r="Q2715" s="10" t="n">
        <f aca="false">VLOOKUP(G2715,$AA$2:$AB$5,2,FALSE())</f>
        <v>30</v>
      </c>
      <c r="R2715" s="7" t="n">
        <f aca="false">IF(OR(F2715="Open",F2715="Reopened"),1,0)</f>
        <v>1</v>
      </c>
      <c r="S2715" s="7" t="n">
        <f aca="false">IF(AND(H2715&gt;='Exec Summary'!$E$1,H2715&lt;='Exec Summary'!$E$2),1,0)</f>
        <v>0</v>
      </c>
      <c r="T2715" s="7" t="n">
        <f aca="false">IF(AND(F2715="Closed",I2715&lt;&gt;"",I2715&gt;='Exec Summary'!$E$1,I2715&lt;='Exec Summary'!$E$2),1,0)</f>
        <v>0</v>
      </c>
      <c r="U2715" s="7" t="n">
        <f aca="false">IF(F2715="Reopened",1,0)</f>
        <v>0</v>
      </c>
      <c r="V2715" s="7" t="n">
        <f aca="false">IF(AND(R2715=1,O2715&gt;Q2715),1,0)</f>
        <v>1</v>
      </c>
      <c r="W2715" s="7" t="n">
        <f aca="false">IF(AND(T2715=1,P2715&lt;&gt;"",P2715&lt;=Q2715),1,0)</f>
        <v>0</v>
      </c>
    </row>
    <row r="2716" customFormat="false" ht="15" hidden="false" customHeight="false" outlineLevel="0" collapsed="false">
      <c r="A2716" s="7" t="s">
        <v>3208</v>
      </c>
      <c r="B2716" s="7" t="s">
        <v>135</v>
      </c>
      <c r="C2716" s="7" t="s">
        <v>136</v>
      </c>
      <c r="D2716" s="7" t="s">
        <v>210</v>
      </c>
      <c r="E2716" s="7" t="s">
        <v>211</v>
      </c>
      <c r="F2716" s="7" t="s">
        <v>56</v>
      </c>
      <c r="G2716" s="7" t="s">
        <v>19</v>
      </c>
      <c r="H2716" s="9" t="n">
        <v>45934</v>
      </c>
      <c r="I2716" s="9"/>
      <c r="J2716" s="7" t="n">
        <v>9.8</v>
      </c>
      <c r="K2716" s="7" t="s">
        <v>2984</v>
      </c>
      <c r="L2716" s="7" t="s">
        <v>21</v>
      </c>
      <c r="M2716" s="7" t="s">
        <v>3213</v>
      </c>
      <c r="N2716" s="7" t="s">
        <v>58</v>
      </c>
      <c r="O2716" s="10" t="n">
        <f aca="false">'Exec Summary'!$E$2-H2716</f>
        <v>300</v>
      </c>
      <c r="P2716" s="10" t="str">
        <f aca="false">IF(I2716="","",I2716-H2716)</f>
        <v/>
      </c>
      <c r="Q2716" s="10" t="n">
        <f aca="false">VLOOKUP(G2716,$AA$2:$AB$5,2,FALSE())</f>
        <v>15</v>
      </c>
      <c r="R2716" s="7" t="n">
        <f aca="false">IF(OR(F2716="Open",F2716="Reopened"),1,0)</f>
        <v>1</v>
      </c>
      <c r="S2716" s="7" t="n">
        <f aca="false">IF(AND(H2716&gt;='Exec Summary'!$E$1,H2716&lt;='Exec Summary'!$E$2),1,0)</f>
        <v>0</v>
      </c>
      <c r="T2716" s="7" t="n">
        <f aca="false">IF(AND(F2716="Closed",I2716&lt;&gt;"",I2716&gt;='Exec Summary'!$E$1,I2716&lt;='Exec Summary'!$E$2),1,0)</f>
        <v>0</v>
      </c>
      <c r="U2716" s="7" t="n">
        <f aca="false">IF(F2716="Reopened",1,0)</f>
        <v>0</v>
      </c>
      <c r="V2716" s="7" t="n">
        <f aca="false">IF(AND(R2716=1,O2716&gt;Q2716),1,0)</f>
        <v>1</v>
      </c>
      <c r="W2716" s="7" t="n">
        <f aca="false">IF(AND(T2716=1,P2716&lt;&gt;"",P2716&lt;=Q2716),1,0)</f>
        <v>0</v>
      </c>
    </row>
    <row r="2717" customFormat="false" ht="15" hidden="false" customHeight="false" outlineLevel="0" collapsed="false">
      <c r="A2717" s="7" t="s">
        <v>3208</v>
      </c>
      <c r="B2717" s="7" t="s">
        <v>135</v>
      </c>
      <c r="C2717" s="7" t="s">
        <v>136</v>
      </c>
      <c r="D2717" s="7" t="s">
        <v>74</v>
      </c>
      <c r="E2717" s="7" t="s">
        <v>75</v>
      </c>
      <c r="F2717" s="7" t="s">
        <v>56</v>
      </c>
      <c r="G2717" s="7" t="s">
        <v>21</v>
      </c>
      <c r="H2717" s="9" t="n">
        <v>45980</v>
      </c>
      <c r="I2717" s="9"/>
      <c r="J2717" s="7" t="n">
        <v>6.5</v>
      </c>
      <c r="K2717" s="7" t="s">
        <v>2984</v>
      </c>
      <c r="L2717" s="7" t="s">
        <v>21</v>
      </c>
      <c r="M2717" s="7" t="s">
        <v>3214</v>
      </c>
      <c r="N2717" s="7" t="s">
        <v>77</v>
      </c>
      <c r="O2717" s="10" t="n">
        <f aca="false">'Exec Summary'!$E$2-H2717</f>
        <v>254</v>
      </c>
      <c r="P2717" s="10" t="str">
        <f aca="false">IF(I2717="","",I2717-H2717)</f>
        <v/>
      </c>
      <c r="Q2717" s="10" t="n">
        <f aca="false">VLOOKUP(G2717,$AA$2:$AB$5,2,FALSE())</f>
        <v>90</v>
      </c>
      <c r="R2717" s="7" t="n">
        <f aca="false">IF(OR(F2717="Open",F2717="Reopened"),1,0)</f>
        <v>1</v>
      </c>
      <c r="S2717" s="7" t="n">
        <f aca="false">IF(AND(H2717&gt;='Exec Summary'!$E$1,H2717&lt;='Exec Summary'!$E$2),1,0)</f>
        <v>0</v>
      </c>
      <c r="T2717" s="7" t="n">
        <f aca="false">IF(AND(F2717="Closed",I2717&lt;&gt;"",I2717&gt;='Exec Summary'!$E$1,I2717&lt;='Exec Summary'!$E$2),1,0)</f>
        <v>0</v>
      </c>
      <c r="U2717" s="7" t="n">
        <f aca="false">IF(F2717="Reopened",1,0)</f>
        <v>0</v>
      </c>
      <c r="V2717" s="7" t="n">
        <f aca="false">IF(AND(R2717=1,O2717&gt;Q2717),1,0)</f>
        <v>1</v>
      </c>
      <c r="W2717" s="7" t="n">
        <f aca="false">IF(AND(T2717=1,P2717&lt;&gt;"",P2717&lt;=Q2717),1,0)</f>
        <v>0</v>
      </c>
    </row>
    <row r="2718" customFormat="false" ht="15" hidden="false" customHeight="false" outlineLevel="0" collapsed="false">
      <c r="A2718" s="7" t="s">
        <v>3208</v>
      </c>
      <c r="B2718" s="7" t="s">
        <v>135</v>
      </c>
      <c r="C2718" s="7" t="s">
        <v>136</v>
      </c>
      <c r="D2718" s="7" t="s">
        <v>206</v>
      </c>
      <c r="E2718" s="7" t="s">
        <v>207</v>
      </c>
      <c r="F2718" s="7" t="s">
        <v>56</v>
      </c>
      <c r="G2718" s="7" t="s">
        <v>20</v>
      </c>
      <c r="H2718" s="9" t="n">
        <v>46049</v>
      </c>
      <c r="I2718" s="9"/>
      <c r="J2718" s="7" t="n">
        <v>8.8</v>
      </c>
      <c r="K2718" s="7" t="s">
        <v>2984</v>
      </c>
      <c r="L2718" s="7" t="s">
        <v>21</v>
      </c>
      <c r="M2718" s="7" t="s">
        <v>3215</v>
      </c>
      <c r="N2718" s="7" t="s">
        <v>53</v>
      </c>
      <c r="O2718" s="10" t="n">
        <f aca="false">'Exec Summary'!$E$2-H2718</f>
        <v>185</v>
      </c>
      <c r="P2718" s="10" t="str">
        <f aca="false">IF(I2718="","",I2718-H2718)</f>
        <v/>
      </c>
      <c r="Q2718" s="10" t="n">
        <f aca="false">VLOOKUP(G2718,$AA$2:$AB$5,2,FALSE())</f>
        <v>30</v>
      </c>
      <c r="R2718" s="7" t="n">
        <f aca="false">IF(OR(F2718="Open",F2718="Reopened"),1,0)</f>
        <v>1</v>
      </c>
      <c r="S2718" s="7" t="n">
        <f aca="false">IF(AND(H2718&gt;='Exec Summary'!$E$1,H2718&lt;='Exec Summary'!$E$2),1,0)</f>
        <v>0</v>
      </c>
      <c r="T2718" s="7" t="n">
        <f aca="false">IF(AND(F2718="Closed",I2718&lt;&gt;"",I2718&gt;='Exec Summary'!$E$1,I2718&lt;='Exec Summary'!$E$2),1,0)</f>
        <v>0</v>
      </c>
      <c r="U2718" s="7" t="n">
        <f aca="false">IF(F2718="Reopened",1,0)</f>
        <v>0</v>
      </c>
      <c r="V2718" s="7" t="n">
        <f aca="false">IF(AND(R2718=1,O2718&gt;Q2718),1,0)</f>
        <v>1</v>
      </c>
      <c r="W2718" s="7" t="n">
        <f aca="false">IF(AND(T2718=1,P2718&lt;&gt;"",P2718&lt;=Q2718),1,0)</f>
        <v>0</v>
      </c>
    </row>
    <row r="2719" customFormat="false" ht="15" hidden="false" customHeight="false" outlineLevel="0" collapsed="false">
      <c r="A2719" s="7" t="s">
        <v>3208</v>
      </c>
      <c r="B2719" s="7" t="s">
        <v>135</v>
      </c>
      <c r="C2719" s="7" t="s">
        <v>136</v>
      </c>
      <c r="D2719" s="7" t="s">
        <v>152</v>
      </c>
      <c r="E2719" s="7" t="s">
        <v>153</v>
      </c>
      <c r="F2719" s="7" t="s">
        <v>50</v>
      </c>
      <c r="G2719" s="7" t="s">
        <v>20</v>
      </c>
      <c r="H2719" s="9" t="n">
        <v>46026</v>
      </c>
      <c r="I2719" s="9" t="n">
        <v>46047</v>
      </c>
      <c r="J2719" s="7" t="n">
        <v>7.5</v>
      </c>
      <c r="K2719" s="7" t="s">
        <v>2984</v>
      </c>
      <c r="L2719" s="7" t="s">
        <v>21</v>
      </c>
      <c r="M2719" s="7" t="s">
        <v>3216</v>
      </c>
      <c r="N2719" s="7" t="s">
        <v>53</v>
      </c>
      <c r="O2719" s="10" t="n">
        <f aca="false">'Exec Summary'!$E$2-H2719</f>
        <v>208</v>
      </c>
      <c r="P2719" s="10" t="n">
        <f aca="false">IF(I2719="","",I2719-H2719)</f>
        <v>21</v>
      </c>
      <c r="Q2719" s="10" t="n">
        <f aca="false">VLOOKUP(G2719,$AA$2:$AB$5,2,FALSE())</f>
        <v>30</v>
      </c>
      <c r="R2719" s="7" t="n">
        <f aca="false">IF(OR(F2719="Open",F2719="Reopened"),1,0)</f>
        <v>0</v>
      </c>
      <c r="S2719" s="7" t="n">
        <f aca="false">IF(AND(H2719&gt;='Exec Summary'!$E$1,H2719&lt;='Exec Summary'!$E$2),1,0)</f>
        <v>0</v>
      </c>
      <c r="T2719" s="7" t="n">
        <f aca="false">IF(AND(F2719="Closed",I2719&lt;&gt;"",I2719&gt;='Exec Summary'!$E$1,I2719&lt;='Exec Summary'!$E$2),1,0)</f>
        <v>0</v>
      </c>
      <c r="U2719" s="7" t="n">
        <f aca="false">IF(F2719="Reopened",1,0)</f>
        <v>0</v>
      </c>
      <c r="V2719" s="7" t="n">
        <f aca="false">IF(AND(R2719=1,O2719&gt;Q2719),1,0)</f>
        <v>0</v>
      </c>
      <c r="W2719" s="7" t="n">
        <f aca="false">IF(AND(T2719=1,P2719&lt;&gt;"",P2719&lt;=Q2719),1,0)</f>
        <v>0</v>
      </c>
    </row>
    <row r="2720" customFormat="false" ht="15" hidden="false" customHeight="false" outlineLevel="0" collapsed="false">
      <c r="A2720" s="7" t="s">
        <v>3208</v>
      </c>
      <c r="B2720" s="7" t="s">
        <v>135</v>
      </c>
      <c r="C2720" s="7" t="s">
        <v>136</v>
      </c>
      <c r="D2720" s="7" t="s">
        <v>62</v>
      </c>
      <c r="E2720" s="7" t="s">
        <v>63</v>
      </c>
      <c r="F2720" s="7" t="s">
        <v>56</v>
      </c>
      <c r="G2720" s="7" t="s">
        <v>20</v>
      </c>
      <c r="H2720" s="9" t="n">
        <v>45984</v>
      </c>
      <c r="I2720" s="9"/>
      <c r="J2720" s="7" t="n">
        <v>8.1</v>
      </c>
      <c r="K2720" s="7" t="s">
        <v>2984</v>
      </c>
      <c r="L2720" s="7" t="s">
        <v>21</v>
      </c>
      <c r="M2720" s="7" t="s">
        <v>3217</v>
      </c>
      <c r="N2720" s="7" t="s">
        <v>53</v>
      </c>
      <c r="O2720" s="10" t="n">
        <f aca="false">'Exec Summary'!$E$2-H2720</f>
        <v>250</v>
      </c>
      <c r="P2720" s="10" t="str">
        <f aca="false">IF(I2720="","",I2720-H2720)</f>
        <v/>
      </c>
      <c r="Q2720" s="10" t="n">
        <f aca="false">VLOOKUP(G2720,$AA$2:$AB$5,2,FALSE())</f>
        <v>30</v>
      </c>
      <c r="R2720" s="7" t="n">
        <f aca="false">IF(OR(F2720="Open",F2720="Reopened"),1,0)</f>
        <v>1</v>
      </c>
      <c r="S2720" s="7" t="n">
        <f aca="false">IF(AND(H2720&gt;='Exec Summary'!$E$1,H2720&lt;='Exec Summary'!$E$2),1,0)</f>
        <v>0</v>
      </c>
      <c r="T2720" s="7" t="n">
        <f aca="false">IF(AND(F2720="Closed",I2720&lt;&gt;"",I2720&gt;='Exec Summary'!$E$1,I2720&lt;='Exec Summary'!$E$2),1,0)</f>
        <v>0</v>
      </c>
      <c r="U2720" s="7" t="n">
        <f aca="false">IF(F2720="Reopened",1,0)</f>
        <v>0</v>
      </c>
      <c r="V2720" s="7" t="n">
        <f aca="false">IF(AND(R2720=1,O2720&gt;Q2720),1,0)</f>
        <v>1</v>
      </c>
      <c r="W2720" s="7" t="n">
        <f aca="false">IF(AND(T2720=1,P2720&lt;&gt;"",P2720&lt;=Q2720),1,0)</f>
        <v>0</v>
      </c>
    </row>
    <row r="2721" customFormat="false" ht="15" hidden="false" customHeight="false" outlineLevel="0" collapsed="false">
      <c r="A2721" s="7" t="s">
        <v>3208</v>
      </c>
      <c r="B2721" s="7" t="s">
        <v>135</v>
      </c>
      <c r="C2721" s="7" t="s">
        <v>136</v>
      </c>
      <c r="D2721" s="7" t="s">
        <v>87</v>
      </c>
      <c r="E2721" s="7" t="s">
        <v>88</v>
      </c>
      <c r="F2721" s="7" t="s">
        <v>50</v>
      </c>
      <c r="G2721" s="7" t="s">
        <v>19</v>
      </c>
      <c r="H2721" s="9" t="n">
        <v>45968</v>
      </c>
      <c r="I2721" s="9" t="n">
        <v>45989</v>
      </c>
      <c r="J2721" s="7" t="n">
        <v>10</v>
      </c>
      <c r="K2721" s="7" t="s">
        <v>2984</v>
      </c>
      <c r="L2721" s="7" t="s">
        <v>21</v>
      </c>
      <c r="M2721" s="7" t="s">
        <v>3218</v>
      </c>
      <c r="N2721" s="7" t="s">
        <v>58</v>
      </c>
      <c r="O2721" s="10" t="n">
        <f aca="false">'Exec Summary'!$E$2-H2721</f>
        <v>266</v>
      </c>
      <c r="P2721" s="10" t="n">
        <f aca="false">IF(I2721="","",I2721-H2721)</f>
        <v>21</v>
      </c>
      <c r="Q2721" s="10" t="n">
        <f aca="false">VLOOKUP(G2721,$AA$2:$AB$5,2,FALSE())</f>
        <v>15</v>
      </c>
      <c r="R2721" s="7" t="n">
        <f aca="false">IF(OR(F2721="Open",F2721="Reopened"),1,0)</f>
        <v>0</v>
      </c>
      <c r="S2721" s="7" t="n">
        <f aca="false">IF(AND(H2721&gt;='Exec Summary'!$E$1,H2721&lt;='Exec Summary'!$E$2),1,0)</f>
        <v>0</v>
      </c>
      <c r="T2721" s="7" t="n">
        <f aca="false">IF(AND(F2721="Closed",I2721&lt;&gt;"",I2721&gt;='Exec Summary'!$E$1,I2721&lt;='Exec Summary'!$E$2),1,0)</f>
        <v>0</v>
      </c>
      <c r="U2721" s="7" t="n">
        <f aca="false">IF(F2721="Reopened",1,0)</f>
        <v>0</v>
      </c>
      <c r="V2721" s="7" t="n">
        <f aca="false">IF(AND(R2721=1,O2721&gt;Q2721),1,0)</f>
        <v>0</v>
      </c>
      <c r="W2721" s="7" t="n">
        <f aca="false">IF(AND(T2721=1,P2721&lt;&gt;"",P2721&lt;=Q2721),1,0)</f>
        <v>0</v>
      </c>
    </row>
    <row r="2722" customFormat="false" ht="15" hidden="false" customHeight="false" outlineLevel="0" collapsed="false">
      <c r="A2722" s="7" t="s">
        <v>3208</v>
      </c>
      <c r="B2722" s="7" t="s">
        <v>135</v>
      </c>
      <c r="C2722" s="7" t="s">
        <v>136</v>
      </c>
      <c r="D2722" s="7" t="s">
        <v>120</v>
      </c>
      <c r="E2722" s="7" t="s">
        <v>121</v>
      </c>
      <c r="F2722" s="7" t="s">
        <v>56</v>
      </c>
      <c r="G2722" s="7" t="s">
        <v>19</v>
      </c>
      <c r="H2722" s="9" t="n">
        <v>45936</v>
      </c>
      <c r="I2722" s="9"/>
      <c r="J2722" s="7" t="n">
        <v>8.8</v>
      </c>
      <c r="K2722" s="7" t="s">
        <v>2984</v>
      </c>
      <c r="L2722" s="7" t="s">
        <v>21</v>
      </c>
      <c r="M2722" s="7" t="s">
        <v>3219</v>
      </c>
      <c r="N2722" s="7" t="s">
        <v>58</v>
      </c>
      <c r="O2722" s="10" t="n">
        <f aca="false">'Exec Summary'!$E$2-H2722</f>
        <v>298</v>
      </c>
      <c r="P2722" s="10" t="str">
        <f aca="false">IF(I2722="","",I2722-H2722)</f>
        <v/>
      </c>
      <c r="Q2722" s="10" t="n">
        <f aca="false">VLOOKUP(G2722,$AA$2:$AB$5,2,FALSE())</f>
        <v>15</v>
      </c>
      <c r="R2722" s="7" t="n">
        <f aca="false">IF(OR(F2722="Open",F2722="Reopened"),1,0)</f>
        <v>1</v>
      </c>
      <c r="S2722" s="7" t="n">
        <f aca="false">IF(AND(H2722&gt;='Exec Summary'!$E$1,H2722&lt;='Exec Summary'!$E$2),1,0)</f>
        <v>0</v>
      </c>
      <c r="T2722" s="7" t="n">
        <f aca="false">IF(AND(F2722="Closed",I2722&lt;&gt;"",I2722&gt;='Exec Summary'!$E$1,I2722&lt;='Exec Summary'!$E$2),1,0)</f>
        <v>0</v>
      </c>
      <c r="U2722" s="7" t="n">
        <f aca="false">IF(F2722="Reopened",1,0)</f>
        <v>0</v>
      </c>
      <c r="V2722" s="7" t="n">
        <f aca="false">IF(AND(R2722=1,O2722&gt;Q2722),1,0)</f>
        <v>1</v>
      </c>
      <c r="W2722" s="7" t="n">
        <f aca="false">IF(AND(T2722=1,P2722&lt;&gt;"",P2722&lt;=Q2722),1,0)</f>
        <v>0</v>
      </c>
    </row>
    <row r="2723" customFormat="false" ht="15" hidden="false" customHeight="false" outlineLevel="0" collapsed="false">
      <c r="A2723" s="7" t="s">
        <v>3208</v>
      </c>
      <c r="B2723" s="7" t="s">
        <v>135</v>
      </c>
      <c r="C2723" s="7" t="s">
        <v>136</v>
      </c>
      <c r="D2723" s="7" t="s">
        <v>145</v>
      </c>
      <c r="E2723" s="7" t="s">
        <v>146</v>
      </c>
      <c r="F2723" s="7" t="s">
        <v>50</v>
      </c>
      <c r="G2723" s="7" t="s">
        <v>19</v>
      </c>
      <c r="H2723" s="9" t="n">
        <v>46156</v>
      </c>
      <c r="I2723" s="9" t="n">
        <v>46160</v>
      </c>
      <c r="J2723" s="7" t="n">
        <v>9.8</v>
      </c>
      <c r="K2723" s="7" t="s">
        <v>2984</v>
      </c>
      <c r="L2723" s="7" t="s">
        <v>21</v>
      </c>
      <c r="M2723" s="7" t="s">
        <v>3220</v>
      </c>
      <c r="N2723" s="7" t="s">
        <v>58</v>
      </c>
      <c r="O2723" s="10" t="n">
        <f aca="false">'Exec Summary'!$E$2-H2723</f>
        <v>78</v>
      </c>
      <c r="P2723" s="10" t="n">
        <f aca="false">IF(I2723="","",I2723-H2723)</f>
        <v>4</v>
      </c>
      <c r="Q2723" s="10" t="n">
        <f aca="false">VLOOKUP(G2723,$AA$2:$AB$5,2,FALSE())</f>
        <v>15</v>
      </c>
      <c r="R2723" s="7" t="n">
        <f aca="false">IF(OR(F2723="Open",F2723="Reopened"),1,0)</f>
        <v>0</v>
      </c>
      <c r="S2723" s="7" t="n">
        <f aca="false">IF(AND(H2723&gt;='Exec Summary'!$E$1,H2723&lt;='Exec Summary'!$E$2),1,0)</f>
        <v>0</v>
      </c>
      <c r="T2723" s="7" t="n">
        <f aca="false">IF(AND(F2723="Closed",I2723&lt;&gt;"",I2723&gt;='Exec Summary'!$E$1,I2723&lt;='Exec Summary'!$E$2),1,0)</f>
        <v>0</v>
      </c>
      <c r="U2723" s="7" t="n">
        <f aca="false">IF(F2723="Reopened",1,0)</f>
        <v>0</v>
      </c>
      <c r="V2723" s="7" t="n">
        <f aca="false">IF(AND(R2723=1,O2723&gt;Q2723),1,0)</f>
        <v>0</v>
      </c>
      <c r="W2723" s="7" t="n">
        <f aca="false">IF(AND(T2723=1,P2723&lt;&gt;"",P2723&lt;=Q2723),1,0)</f>
        <v>0</v>
      </c>
    </row>
    <row r="2724" customFormat="false" ht="15" hidden="false" customHeight="false" outlineLevel="0" collapsed="false">
      <c r="A2724" s="7" t="s">
        <v>3208</v>
      </c>
      <c r="B2724" s="7" t="s">
        <v>135</v>
      </c>
      <c r="C2724" s="7" t="s">
        <v>136</v>
      </c>
      <c r="D2724" s="7" t="s">
        <v>192</v>
      </c>
      <c r="E2724" s="7" t="s">
        <v>193</v>
      </c>
      <c r="F2724" s="7" t="s">
        <v>50</v>
      </c>
      <c r="G2724" s="7" t="s">
        <v>19</v>
      </c>
      <c r="H2724" s="9" t="n">
        <v>46042</v>
      </c>
      <c r="I2724" s="9" t="n">
        <v>46049</v>
      </c>
      <c r="J2724" s="7" t="n">
        <v>9.8</v>
      </c>
      <c r="K2724" s="7" t="s">
        <v>2984</v>
      </c>
      <c r="L2724" s="7" t="s">
        <v>21</v>
      </c>
      <c r="M2724" s="7" t="s">
        <v>3221</v>
      </c>
      <c r="N2724" s="7" t="s">
        <v>58</v>
      </c>
      <c r="O2724" s="10" t="n">
        <f aca="false">'Exec Summary'!$E$2-H2724</f>
        <v>192</v>
      </c>
      <c r="P2724" s="10" t="n">
        <f aca="false">IF(I2724="","",I2724-H2724)</f>
        <v>7</v>
      </c>
      <c r="Q2724" s="10" t="n">
        <f aca="false">VLOOKUP(G2724,$AA$2:$AB$5,2,FALSE())</f>
        <v>15</v>
      </c>
      <c r="R2724" s="7" t="n">
        <f aca="false">IF(OR(F2724="Open",F2724="Reopened"),1,0)</f>
        <v>0</v>
      </c>
      <c r="S2724" s="7" t="n">
        <f aca="false">IF(AND(H2724&gt;='Exec Summary'!$E$1,H2724&lt;='Exec Summary'!$E$2),1,0)</f>
        <v>0</v>
      </c>
      <c r="T2724" s="7" t="n">
        <f aca="false">IF(AND(F2724="Closed",I2724&lt;&gt;"",I2724&gt;='Exec Summary'!$E$1,I2724&lt;='Exec Summary'!$E$2),1,0)</f>
        <v>0</v>
      </c>
      <c r="U2724" s="7" t="n">
        <f aca="false">IF(F2724="Reopened",1,0)</f>
        <v>0</v>
      </c>
      <c r="V2724" s="7" t="n">
        <f aca="false">IF(AND(R2724=1,O2724&gt;Q2724),1,0)</f>
        <v>0</v>
      </c>
      <c r="W2724" s="7" t="n">
        <f aca="false">IF(AND(T2724=1,P2724&lt;&gt;"",P2724&lt;=Q2724),1,0)</f>
        <v>0</v>
      </c>
    </row>
    <row r="2725" customFormat="false" ht="15" hidden="false" customHeight="false" outlineLevel="0" collapsed="false">
      <c r="A2725" s="7" t="s">
        <v>3208</v>
      </c>
      <c r="B2725" s="7" t="s">
        <v>135</v>
      </c>
      <c r="C2725" s="7" t="s">
        <v>136</v>
      </c>
      <c r="D2725" s="7" t="s">
        <v>54</v>
      </c>
      <c r="E2725" s="7" t="s">
        <v>55</v>
      </c>
      <c r="F2725" s="7" t="s">
        <v>56</v>
      </c>
      <c r="G2725" s="7" t="s">
        <v>19</v>
      </c>
      <c r="H2725" s="9" t="n">
        <v>46171</v>
      </c>
      <c r="I2725" s="9"/>
      <c r="J2725" s="7" t="n">
        <v>9.8</v>
      </c>
      <c r="K2725" s="7" t="s">
        <v>2984</v>
      </c>
      <c r="L2725" s="7" t="s">
        <v>21</v>
      </c>
      <c r="M2725" s="7" t="s">
        <v>3222</v>
      </c>
      <c r="N2725" s="7" t="s">
        <v>58</v>
      </c>
      <c r="O2725" s="10" t="n">
        <f aca="false">'Exec Summary'!$E$2-H2725</f>
        <v>63</v>
      </c>
      <c r="P2725" s="10" t="str">
        <f aca="false">IF(I2725="","",I2725-H2725)</f>
        <v/>
      </c>
      <c r="Q2725" s="10" t="n">
        <f aca="false">VLOOKUP(G2725,$AA$2:$AB$5,2,FALSE())</f>
        <v>15</v>
      </c>
      <c r="R2725" s="7" t="n">
        <f aca="false">IF(OR(F2725="Open",F2725="Reopened"),1,0)</f>
        <v>1</v>
      </c>
      <c r="S2725" s="7" t="n">
        <f aca="false">IF(AND(H2725&gt;='Exec Summary'!$E$1,H2725&lt;='Exec Summary'!$E$2),1,0)</f>
        <v>0</v>
      </c>
      <c r="T2725" s="7" t="n">
        <f aca="false">IF(AND(F2725="Closed",I2725&lt;&gt;"",I2725&gt;='Exec Summary'!$E$1,I2725&lt;='Exec Summary'!$E$2),1,0)</f>
        <v>0</v>
      </c>
      <c r="U2725" s="7" t="n">
        <f aca="false">IF(F2725="Reopened",1,0)</f>
        <v>0</v>
      </c>
      <c r="V2725" s="7" t="n">
        <f aca="false">IF(AND(R2725=1,O2725&gt;Q2725),1,0)</f>
        <v>1</v>
      </c>
      <c r="W2725" s="7" t="n">
        <f aca="false">IF(AND(T2725=1,P2725&lt;&gt;"",P2725&lt;=Q2725),1,0)</f>
        <v>0</v>
      </c>
    </row>
    <row r="2726" customFormat="false" ht="15" hidden="false" customHeight="false" outlineLevel="0" collapsed="false">
      <c r="A2726" s="7" t="s">
        <v>3223</v>
      </c>
      <c r="B2726" s="7" t="s">
        <v>46</v>
      </c>
      <c r="C2726" s="7" t="s">
        <v>158</v>
      </c>
      <c r="D2726" s="7" t="s">
        <v>152</v>
      </c>
      <c r="E2726" s="7" t="s">
        <v>153</v>
      </c>
      <c r="F2726" s="7" t="s">
        <v>56</v>
      </c>
      <c r="G2726" s="7" t="s">
        <v>20</v>
      </c>
      <c r="H2726" s="9" t="n">
        <v>46107</v>
      </c>
      <c r="I2726" s="9"/>
      <c r="J2726" s="7" t="n">
        <v>7.5</v>
      </c>
      <c r="K2726" s="7" t="s">
        <v>2984</v>
      </c>
      <c r="L2726" s="7" t="s">
        <v>21</v>
      </c>
      <c r="M2726" s="7" t="s">
        <v>3224</v>
      </c>
      <c r="N2726" s="7" t="s">
        <v>53</v>
      </c>
      <c r="O2726" s="10" t="n">
        <f aca="false">'Exec Summary'!$E$2-H2726</f>
        <v>127</v>
      </c>
      <c r="P2726" s="10" t="str">
        <f aca="false">IF(I2726="","",I2726-H2726)</f>
        <v/>
      </c>
      <c r="Q2726" s="10" t="n">
        <f aca="false">VLOOKUP(G2726,$AA$2:$AB$5,2,FALSE())</f>
        <v>30</v>
      </c>
      <c r="R2726" s="7" t="n">
        <f aca="false">IF(OR(F2726="Open",F2726="Reopened"),1,0)</f>
        <v>1</v>
      </c>
      <c r="S2726" s="7" t="n">
        <f aca="false">IF(AND(H2726&gt;='Exec Summary'!$E$1,H2726&lt;='Exec Summary'!$E$2),1,0)</f>
        <v>0</v>
      </c>
      <c r="T2726" s="7" t="n">
        <f aca="false">IF(AND(F2726="Closed",I2726&lt;&gt;"",I2726&gt;='Exec Summary'!$E$1,I2726&lt;='Exec Summary'!$E$2),1,0)</f>
        <v>0</v>
      </c>
      <c r="U2726" s="7" t="n">
        <f aca="false">IF(F2726="Reopened",1,0)</f>
        <v>0</v>
      </c>
      <c r="V2726" s="7" t="n">
        <f aca="false">IF(AND(R2726=1,O2726&gt;Q2726),1,0)</f>
        <v>1</v>
      </c>
      <c r="W2726" s="7" t="n">
        <f aca="false">IF(AND(T2726=1,P2726&lt;&gt;"",P2726&lt;=Q2726),1,0)</f>
        <v>0</v>
      </c>
    </row>
    <row r="2727" customFormat="false" ht="15" hidden="false" customHeight="false" outlineLevel="0" collapsed="false">
      <c r="A2727" s="7" t="s">
        <v>3225</v>
      </c>
      <c r="B2727" s="7" t="s">
        <v>46</v>
      </c>
      <c r="C2727" s="7" t="s">
        <v>79</v>
      </c>
      <c r="D2727" s="7" t="s">
        <v>108</v>
      </c>
      <c r="E2727" s="7" t="s">
        <v>109</v>
      </c>
      <c r="F2727" s="7" t="s">
        <v>56</v>
      </c>
      <c r="G2727" s="7" t="s">
        <v>20</v>
      </c>
      <c r="H2727" s="9" t="n">
        <v>46179</v>
      </c>
      <c r="I2727" s="9"/>
      <c r="J2727" s="7" t="n">
        <v>8.6</v>
      </c>
      <c r="K2727" s="7" t="s">
        <v>2984</v>
      </c>
      <c r="L2727" s="7" t="s">
        <v>19</v>
      </c>
      <c r="M2727" s="7" t="s">
        <v>3226</v>
      </c>
      <c r="N2727" s="7" t="s">
        <v>53</v>
      </c>
      <c r="O2727" s="10" t="n">
        <f aca="false">'Exec Summary'!$E$2-H2727</f>
        <v>55</v>
      </c>
      <c r="P2727" s="10" t="str">
        <f aca="false">IF(I2727="","",I2727-H2727)</f>
        <v/>
      </c>
      <c r="Q2727" s="10" t="n">
        <f aca="false">VLOOKUP(G2727,$AA$2:$AB$5,2,FALSE())</f>
        <v>30</v>
      </c>
      <c r="R2727" s="7" t="n">
        <f aca="false">IF(OR(F2727="Open",F2727="Reopened"),1,0)</f>
        <v>1</v>
      </c>
      <c r="S2727" s="7" t="n">
        <f aca="false">IF(AND(H2727&gt;='Exec Summary'!$E$1,H2727&lt;='Exec Summary'!$E$2),1,0)</f>
        <v>0</v>
      </c>
      <c r="T2727" s="7" t="n">
        <f aca="false">IF(AND(F2727="Closed",I2727&lt;&gt;"",I2727&gt;='Exec Summary'!$E$1,I2727&lt;='Exec Summary'!$E$2),1,0)</f>
        <v>0</v>
      </c>
      <c r="U2727" s="7" t="n">
        <f aca="false">IF(F2727="Reopened",1,0)</f>
        <v>0</v>
      </c>
      <c r="V2727" s="7" t="n">
        <f aca="false">IF(AND(R2727=1,O2727&gt;Q2727),1,0)</f>
        <v>1</v>
      </c>
      <c r="W2727" s="7" t="n">
        <f aca="false">IF(AND(T2727=1,P2727&lt;&gt;"",P2727&lt;=Q2727),1,0)</f>
        <v>0</v>
      </c>
    </row>
    <row r="2728" customFormat="false" ht="15" hidden="false" customHeight="false" outlineLevel="0" collapsed="false">
      <c r="A2728" s="7" t="s">
        <v>3225</v>
      </c>
      <c r="B2728" s="7" t="s">
        <v>46</v>
      </c>
      <c r="C2728" s="7" t="s">
        <v>79</v>
      </c>
      <c r="D2728" s="7" t="s">
        <v>74</v>
      </c>
      <c r="E2728" s="7" t="s">
        <v>75</v>
      </c>
      <c r="F2728" s="7" t="s">
        <v>50</v>
      </c>
      <c r="G2728" s="7" t="s">
        <v>21</v>
      </c>
      <c r="H2728" s="9" t="n">
        <v>46075</v>
      </c>
      <c r="I2728" s="9" t="n">
        <v>46187</v>
      </c>
      <c r="J2728" s="7" t="n">
        <v>6.5</v>
      </c>
      <c r="K2728" s="7" t="s">
        <v>2984</v>
      </c>
      <c r="L2728" s="7" t="s">
        <v>19</v>
      </c>
      <c r="M2728" s="7" t="s">
        <v>3227</v>
      </c>
      <c r="N2728" s="7" t="s">
        <v>77</v>
      </c>
      <c r="O2728" s="10" t="n">
        <f aca="false">'Exec Summary'!$E$2-H2728</f>
        <v>159</v>
      </c>
      <c r="P2728" s="10" t="n">
        <f aca="false">IF(I2728="","",I2728-H2728)</f>
        <v>112</v>
      </c>
      <c r="Q2728" s="10" t="n">
        <f aca="false">VLOOKUP(G2728,$AA$2:$AB$5,2,FALSE())</f>
        <v>90</v>
      </c>
      <c r="R2728" s="7" t="n">
        <f aca="false">IF(OR(F2728="Open",F2728="Reopened"),1,0)</f>
        <v>0</v>
      </c>
      <c r="S2728" s="7" t="n">
        <f aca="false">IF(AND(H2728&gt;='Exec Summary'!$E$1,H2728&lt;='Exec Summary'!$E$2),1,0)</f>
        <v>0</v>
      </c>
      <c r="T2728" s="7" t="n">
        <f aca="false">IF(AND(F2728="Closed",I2728&lt;&gt;"",I2728&gt;='Exec Summary'!$E$1,I2728&lt;='Exec Summary'!$E$2),1,0)</f>
        <v>0</v>
      </c>
      <c r="U2728" s="7" t="n">
        <f aca="false">IF(F2728="Reopened",1,0)</f>
        <v>0</v>
      </c>
      <c r="V2728" s="7" t="n">
        <f aca="false">IF(AND(R2728=1,O2728&gt;Q2728),1,0)</f>
        <v>0</v>
      </c>
      <c r="W2728" s="7" t="n">
        <f aca="false">IF(AND(T2728=1,P2728&lt;&gt;"",P2728&lt;=Q2728),1,0)</f>
        <v>0</v>
      </c>
    </row>
    <row r="2729" customFormat="false" ht="15" hidden="false" customHeight="false" outlineLevel="0" collapsed="false">
      <c r="A2729" s="7" t="s">
        <v>3225</v>
      </c>
      <c r="B2729" s="7" t="s">
        <v>46</v>
      </c>
      <c r="C2729" s="7" t="s">
        <v>79</v>
      </c>
      <c r="D2729" s="7" t="s">
        <v>71</v>
      </c>
      <c r="E2729" s="7" t="s">
        <v>72</v>
      </c>
      <c r="F2729" s="7" t="s">
        <v>56</v>
      </c>
      <c r="G2729" s="7" t="s">
        <v>19</v>
      </c>
      <c r="H2729" s="9" t="n">
        <v>45983</v>
      </c>
      <c r="I2729" s="9"/>
      <c r="J2729" s="7" t="n">
        <v>9.8</v>
      </c>
      <c r="K2729" s="7" t="s">
        <v>2984</v>
      </c>
      <c r="L2729" s="7" t="s">
        <v>19</v>
      </c>
      <c r="M2729" s="7" t="s">
        <v>3228</v>
      </c>
      <c r="N2729" s="7" t="s">
        <v>58</v>
      </c>
      <c r="O2729" s="10" t="n">
        <f aca="false">'Exec Summary'!$E$2-H2729</f>
        <v>251</v>
      </c>
      <c r="P2729" s="10" t="str">
        <f aca="false">IF(I2729="","",I2729-H2729)</f>
        <v/>
      </c>
      <c r="Q2729" s="10" t="n">
        <f aca="false">VLOOKUP(G2729,$AA$2:$AB$5,2,FALSE())</f>
        <v>15</v>
      </c>
      <c r="R2729" s="7" t="n">
        <f aca="false">IF(OR(F2729="Open",F2729="Reopened"),1,0)</f>
        <v>1</v>
      </c>
      <c r="S2729" s="7" t="n">
        <f aca="false">IF(AND(H2729&gt;='Exec Summary'!$E$1,H2729&lt;='Exec Summary'!$E$2),1,0)</f>
        <v>0</v>
      </c>
      <c r="T2729" s="7" t="n">
        <f aca="false">IF(AND(F2729="Closed",I2729&lt;&gt;"",I2729&gt;='Exec Summary'!$E$1,I2729&lt;='Exec Summary'!$E$2),1,0)</f>
        <v>0</v>
      </c>
      <c r="U2729" s="7" t="n">
        <f aca="false">IF(F2729="Reopened",1,0)</f>
        <v>0</v>
      </c>
      <c r="V2729" s="7" t="n">
        <f aca="false">IF(AND(R2729=1,O2729&gt;Q2729),1,0)</f>
        <v>1</v>
      </c>
      <c r="W2729" s="7" t="n">
        <f aca="false">IF(AND(T2729=1,P2729&lt;&gt;"",P2729&lt;=Q2729),1,0)</f>
        <v>0</v>
      </c>
    </row>
    <row r="2730" customFormat="false" ht="15" hidden="false" customHeight="false" outlineLevel="0" collapsed="false">
      <c r="A2730" s="7" t="s">
        <v>3229</v>
      </c>
      <c r="B2730" s="7" t="s">
        <v>46</v>
      </c>
      <c r="C2730" s="7" t="s">
        <v>177</v>
      </c>
      <c r="D2730" s="7" t="s">
        <v>65</v>
      </c>
      <c r="E2730" s="7" t="s">
        <v>66</v>
      </c>
      <c r="F2730" s="7" t="s">
        <v>123</v>
      </c>
      <c r="G2730" s="7" t="s">
        <v>19</v>
      </c>
      <c r="H2730" s="9" t="n">
        <v>46051</v>
      </c>
      <c r="I2730" s="9" t="n">
        <v>46064</v>
      </c>
      <c r="J2730" s="7" t="n">
        <v>9.8</v>
      </c>
      <c r="K2730" s="7" t="s">
        <v>2984</v>
      </c>
      <c r="L2730" s="7" t="s">
        <v>21</v>
      </c>
      <c r="M2730" s="7" t="s">
        <v>3230</v>
      </c>
      <c r="N2730" s="7" t="s">
        <v>58</v>
      </c>
      <c r="O2730" s="10" t="n">
        <f aca="false">'Exec Summary'!$E$2-H2730</f>
        <v>183</v>
      </c>
      <c r="P2730" s="10" t="n">
        <f aca="false">IF(I2730="","",I2730-H2730)</f>
        <v>13</v>
      </c>
      <c r="Q2730" s="10" t="n">
        <f aca="false">VLOOKUP(G2730,$AA$2:$AB$5,2,FALSE())</f>
        <v>15</v>
      </c>
      <c r="R2730" s="7" t="n">
        <f aca="false">IF(OR(F2730="Open",F2730="Reopened"),1,0)</f>
        <v>1</v>
      </c>
      <c r="S2730" s="7" t="n">
        <f aca="false">IF(AND(H2730&gt;='Exec Summary'!$E$1,H2730&lt;='Exec Summary'!$E$2),1,0)</f>
        <v>0</v>
      </c>
      <c r="T2730" s="7" t="n">
        <f aca="false">IF(AND(F2730="Closed",I2730&lt;&gt;"",I2730&gt;='Exec Summary'!$E$1,I2730&lt;='Exec Summary'!$E$2),1,0)</f>
        <v>0</v>
      </c>
      <c r="U2730" s="7" t="n">
        <f aca="false">IF(F2730="Reopened",1,0)</f>
        <v>1</v>
      </c>
      <c r="V2730" s="7" t="n">
        <f aca="false">IF(AND(R2730=1,O2730&gt;Q2730),1,0)</f>
        <v>1</v>
      </c>
      <c r="W2730" s="7" t="n">
        <f aca="false">IF(AND(T2730=1,P2730&lt;&gt;"",P2730&lt;=Q2730),1,0)</f>
        <v>0</v>
      </c>
    </row>
    <row r="2731" customFormat="false" ht="15" hidden="false" customHeight="false" outlineLevel="0" collapsed="false">
      <c r="A2731" s="7" t="s">
        <v>3229</v>
      </c>
      <c r="B2731" s="7" t="s">
        <v>46</v>
      </c>
      <c r="C2731" s="7" t="s">
        <v>177</v>
      </c>
      <c r="D2731" s="7" t="s">
        <v>87</v>
      </c>
      <c r="E2731" s="7" t="s">
        <v>88</v>
      </c>
      <c r="F2731" s="7" t="s">
        <v>56</v>
      </c>
      <c r="G2731" s="7" t="s">
        <v>19</v>
      </c>
      <c r="H2731" s="9" t="n">
        <v>46183</v>
      </c>
      <c r="I2731" s="9"/>
      <c r="J2731" s="7" t="n">
        <v>10</v>
      </c>
      <c r="K2731" s="7" t="s">
        <v>2984</v>
      </c>
      <c r="L2731" s="7" t="s">
        <v>21</v>
      </c>
      <c r="M2731" s="7" t="s">
        <v>3231</v>
      </c>
      <c r="N2731" s="7" t="s">
        <v>58</v>
      </c>
      <c r="O2731" s="10" t="n">
        <f aca="false">'Exec Summary'!$E$2-H2731</f>
        <v>51</v>
      </c>
      <c r="P2731" s="10" t="str">
        <f aca="false">IF(I2731="","",I2731-H2731)</f>
        <v/>
      </c>
      <c r="Q2731" s="10" t="n">
        <f aca="false">VLOOKUP(G2731,$AA$2:$AB$5,2,FALSE())</f>
        <v>15</v>
      </c>
      <c r="R2731" s="7" t="n">
        <f aca="false">IF(OR(F2731="Open",F2731="Reopened"),1,0)</f>
        <v>1</v>
      </c>
      <c r="S2731" s="7" t="n">
        <f aca="false">IF(AND(H2731&gt;='Exec Summary'!$E$1,H2731&lt;='Exec Summary'!$E$2),1,0)</f>
        <v>0</v>
      </c>
      <c r="T2731" s="7" t="n">
        <f aca="false">IF(AND(F2731="Closed",I2731&lt;&gt;"",I2731&gt;='Exec Summary'!$E$1,I2731&lt;='Exec Summary'!$E$2),1,0)</f>
        <v>0</v>
      </c>
      <c r="U2731" s="7" t="n">
        <f aca="false">IF(F2731="Reopened",1,0)</f>
        <v>0</v>
      </c>
      <c r="V2731" s="7" t="n">
        <f aca="false">IF(AND(R2731=1,O2731&gt;Q2731),1,0)</f>
        <v>1</v>
      </c>
      <c r="W2731" s="7" t="n">
        <f aca="false">IF(AND(T2731=1,P2731&lt;&gt;"",P2731&lt;=Q2731),1,0)</f>
        <v>0</v>
      </c>
    </row>
    <row r="2732" customFormat="false" ht="15" hidden="false" customHeight="false" outlineLevel="0" collapsed="false">
      <c r="A2732" s="7" t="s">
        <v>3229</v>
      </c>
      <c r="B2732" s="7" t="s">
        <v>46</v>
      </c>
      <c r="C2732" s="7" t="s">
        <v>177</v>
      </c>
      <c r="D2732" s="7" t="s">
        <v>91</v>
      </c>
      <c r="E2732" s="7" t="s">
        <v>92</v>
      </c>
      <c r="F2732" s="7" t="s">
        <v>56</v>
      </c>
      <c r="G2732" s="7" t="s">
        <v>20</v>
      </c>
      <c r="H2732" s="9" t="n">
        <v>46001</v>
      </c>
      <c r="I2732" s="9"/>
      <c r="J2732" s="7" t="n">
        <v>8.1</v>
      </c>
      <c r="K2732" s="7" t="s">
        <v>2984</v>
      </c>
      <c r="L2732" s="7" t="s">
        <v>21</v>
      </c>
      <c r="M2732" s="7" t="s">
        <v>3232</v>
      </c>
      <c r="N2732" s="7" t="s">
        <v>53</v>
      </c>
      <c r="O2732" s="10" t="n">
        <f aca="false">'Exec Summary'!$E$2-H2732</f>
        <v>233</v>
      </c>
      <c r="P2732" s="10" t="str">
        <f aca="false">IF(I2732="","",I2732-H2732)</f>
        <v/>
      </c>
      <c r="Q2732" s="10" t="n">
        <f aca="false">VLOOKUP(G2732,$AA$2:$AB$5,2,FALSE())</f>
        <v>30</v>
      </c>
      <c r="R2732" s="7" t="n">
        <f aca="false">IF(OR(F2732="Open",F2732="Reopened"),1,0)</f>
        <v>1</v>
      </c>
      <c r="S2732" s="7" t="n">
        <f aca="false">IF(AND(H2732&gt;='Exec Summary'!$E$1,H2732&lt;='Exec Summary'!$E$2),1,0)</f>
        <v>0</v>
      </c>
      <c r="T2732" s="7" t="n">
        <f aca="false">IF(AND(F2732="Closed",I2732&lt;&gt;"",I2732&gt;='Exec Summary'!$E$1,I2732&lt;='Exec Summary'!$E$2),1,0)</f>
        <v>0</v>
      </c>
      <c r="U2732" s="7" t="n">
        <f aca="false">IF(F2732="Reopened",1,0)</f>
        <v>0</v>
      </c>
      <c r="V2732" s="7" t="n">
        <f aca="false">IF(AND(R2732=1,O2732&gt;Q2732),1,0)</f>
        <v>1</v>
      </c>
      <c r="W2732" s="7" t="n">
        <f aca="false">IF(AND(T2732=1,P2732&lt;&gt;"",P2732&lt;=Q2732),1,0)</f>
        <v>0</v>
      </c>
    </row>
    <row r="2733" customFormat="false" ht="15" hidden="false" customHeight="false" outlineLevel="0" collapsed="false">
      <c r="A2733" s="7" t="s">
        <v>3229</v>
      </c>
      <c r="B2733" s="7" t="s">
        <v>46</v>
      </c>
      <c r="C2733" s="7" t="s">
        <v>177</v>
      </c>
      <c r="D2733" s="7" t="s">
        <v>68</v>
      </c>
      <c r="E2733" s="7" t="s">
        <v>69</v>
      </c>
      <c r="F2733" s="7" t="s">
        <v>50</v>
      </c>
      <c r="G2733" s="7" t="s">
        <v>19</v>
      </c>
      <c r="H2733" s="9" t="n">
        <v>45990</v>
      </c>
      <c r="I2733" s="9" t="n">
        <v>46000</v>
      </c>
      <c r="J2733" s="7" t="n">
        <v>9.8</v>
      </c>
      <c r="K2733" s="7" t="s">
        <v>2984</v>
      </c>
      <c r="L2733" s="7" t="s">
        <v>21</v>
      </c>
      <c r="M2733" s="7" t="s">
        <v>3233</v>
      </c>
      <c r="N2733" s="7" t="s">
        <v>58</v>
      </c>
      <c r="O2733" s="10" t="n">
        <f aca="false">'Exec Summary'!$E$2-H2733</f>
        <v>244</v>
      </c>
      <c r="P2733" s="10" t="n">
        <f aca="false">IF(I2733="","",I2733-H2733)</f>
        <v>10</v>
      </c>
      <c r="Q2733" s="10" t="n">
        <f aca="false">VLOOKUP(G2733,$AA$2:$AB$5,2,FALSE())</f>
        <v>15</v>
      </c>
      <c r="R2733" s="7" t="n">
        <f aca="false">IF(OR(F2733="Open",F2733="Reopened"),1,0)</f>
        <v>0</v>
      </c>
      <c r="S2733" s="7" t="n">
        <f aca="false">IF(AND(H2733&gt;='Exec Summary'!$E$1,H2733&lt;='Exec Summary'!$E$2),1,0)</f>
        <v>0</v>
      </c>
      <c r="T2733" s="7" t="n">
        <f aca="false">IF(AND(F2733="Closed",I2733&lt;&gt;"",I2733&gt;='Exec Summary'!$E$1,I2733&lt;='Exec Summary'!$E$2),1,0)</f>
        <v>0</v>
      </c>
      <c r="U2733" s="7" t="n">
        <f aca="false">IF(F2733="Reopened",1,0)</f>
        <v>0</v>
      </c>
      <c r="V2733" s="7" t="n">
        <f aca="false">IF(AND(R2733=1,O2733&gt;Q2733),1,0)</f>
        <v>0</v>
      </c>
      <c r="W2733" s="7" t="n">
        <f aca="false">IF(AND(T2733=1,P2733&lt;&gt;"",P2733&lt;=Q2733),1,0)</f>
        <v>0</v>
      </c>
    </row>
    <row r="2734" customFormat="false" ht="15" hidden="false" customHeight="false" outlineLevel="0" collapsed="false">
      <c r="A2734" s="7" t="s">
        <v>3234</v>
      </c>
      <c r="B2734" s="7" t="s">
        <v>46</v>
      </c>
      <c r="C2734" s="7" t="s">
        <v>128</v>
      </c>
      <c r="D2734" s="7" t="s">
        <v>104</v>
      </c>
      <c r="E2734" s="7" t="s">
        <v>105</v>
      </c>
      <c r="F2734" s="7" t="s">
        <v>56</v>
      </c>
      <c r="G2734" s="7" t="s">
        <v>19</v>
      </c>
      <c r="H2734" s="9" t="n">
        <v>46040</v>
      </c>
      <c r="I2734" s="9"/>
      <c r="J2734" s="7" t="n">
        <v>9.8</v>
      </c>
      <c r="K2734" s="7" t="s">
        <v>2984</v>
      </c>
      <c r="L2734" s="7" t="s">
        <v>20</v>
      </c>
      <c r="M2734" s="7" t="s">
        <v>3235</v>
      </c>
      <c r="N2734" s="7" t="s">
        <v>58</v>
      </c>
      <c r="O2734" s="10" t="n">
        <f aca="false">'Exec Summary'!$E$2-H2734</f>
        <v>194</v>
      </c>
      <c r="P2734" s="10" t="str">
        <f aca="false">IF(I2734="","",I2734-H2734)</f>
        <v/>
      </c>
      <c r="Q2734" s="10" t="n">
        <f aca="false">VLOOKUP(G2734,$AA$2:$AB$5,2,FALSE())</f>
        <v>15</v>
      </c>
      <c r="R2734" s="7" t="n">
        <f aca="false">IF(OR(F2734="Open",F2734="Reopened"),1,0)</f>
        <v>1</v>
      </c>
      <c r="S2734" s="7" t="n">
        <f aca="false">IF(AND(H2734&gt;='Exec Summary'!$E$1,H2734&lt;='Exec Summary'!$E$2),1,0)</f>
        <v>0</v>
      </c>
      <c r="T2734" s="7" t="n">
        <f aca="false">IF(AND(F2734="Closed",I2734&lt;&gt;"",I2734&gt;='Exec Summary'!$E$1,I2734&lt;='Exec Summary'!$E$2),1,0)</f>
        <v>0</v>
      </c>
      <c r="U2734" s="7" t="n">
        <f aca="false">IF(F2734="Reopened",1,0)</f>
        <v>0</v>
      </c>
      <c r="V2734" s="7" t="n">
        <f aca="false">IF(AND(R2734=1,O2734&gt;Q2734),1,0)</f>
        <v>1</v>
      </c>
      <c r="W2734" s="7" t="n">
        <f aca="false">IF(AND(T2734=1,P2734&lt;&gt;"",P2734&lt;=Q2734),1,0)</f>
        <v>0</v>
      </c>
    </row>
    <row r="2735" customFormat="false" ht="15" hidden="false" customHeight="false" outlineLevel="0" collapsed="false">
      <c r="A2735" s="7" t="s">
        <v>3236</v>
      </c>
      <c r="B2735" s="7" t="s">
        <v>135</v>
      </c>
      <c r="C2735" s="7" t="s">
        <v>247</v>
      </c>
      <c r="D2735" s="7" t="s">
        <v>112</v>
      </c>
      <c r="E2735" s="7" t="s">
        <v>113</v>
      </c>
      <c r="F2735" s="7" t="s">
        <v>50</v>
      </c>
      <c r="G2735" s="7" t="s">
        <v>20</v>
      </c>
      <c r="H2735" s="9" t="n">
        <v>45981</v>
      </c>
      <c r="I2735" s="9" t="n">
        <v>46013</v>
      </c>
      <c r="J2735" s="7" t="n">
        <v>7.8</v>
      </c>
      <c r="K2735" s="7" t="s">
        <v>2984</v>
      </c>
      <c r="L2735" s="7" t="s">
        <v>21</v>
      </c>
      <c r="M2735" s="7" t="s">
        <v>3237</v>
      </c>
      <c r="N2735" s="7" t="s">
        <v>53</v>
      </c>
      <c r="O2735" s="10" t="n">
        <f aca="false">'Exec Summary'!$E$2-H2735</f>
        <v>253</v>
      </c>
      <c r="P2735" s="10" t="n">
        <f aca="false">IF(I2735="","",I2735-H2735)</f>
        <v>32</v>
      </c>
      <c r="Q2735" s="10" t="n">
        <f aca="false">VLOOKUP(G2735,$AA$2:$AB$5,2,FALSE())</f>
        <v>30</v>
      </c>
      <c r="R2735" s="7" t="n">
        <f aca="false">IF(OR(F2735="Open",F2735="Reopened"),1,0)</f>
        <v>0</v>
      </c>
      <c r="S2735" s="7" t="n">
        <f aca="false">IF(AND(H2735&gt;='Exec Summary'!$E$1,H2735&lt;='Exec Summary'!$E$2),1,0)</f>
        <v>0</v>
      </c>
      <c r="T2735" s="7" t="n">
        <f aca="false">IF(AND(F2735="Closed",I2735&lt;&gt;"",I2735&gt;='Exec Summary'!$E$1,I2735&lt;='Exec Summary'!$E$2),1,0)</f>
        <v>0</v>
      </c>
      <c r="U2735" s="7" t="n">
        <f aca="false">IF(F2735="Reopened",1,0)</f>
        <v>0</v>
      </c>
      <c r="V2735" s="7" t="n">
        <f aca="false">IF(AND(R2735=1,O2735&gt;Q2735),1,0)</f>
        <v>0</v>
      </c>
      <c r="W2735" s="7" t="n">
        <f aca="false">IF(AND(T2735=1,P2735&lt;&gt;"",P2735&lt;=Q2735),1,0)</f>
        <v>0</v>
      </c>
    </row>
    <row r="2736" customFormat="false" ht="15" hidden="false" customHeight="false" outlineLevel="0" collapsed="false">
      <c r="A2736" s="7" t="s">
        <v>3236</v>
      </c>
      <c r="B2736" s="7" t="s">
        <v>135</v>
      </c>
      <c r="C2736" s="7" t="s">
        <v>247</v>
      </c>
      <c r="D2736" s="7" t="s">
        <v>139</v>
      </c>
      <c r="E2736" s="7" t="s">
        <v>140</v>
      </c>
      <c r="F2736" s="7" t="s">
        <v>50</v>
      </c>
      <c r="G2736" s="7" t="s">
        <v>19</v>
      </c>
      <c r="H2736" s="9" t="n">
        <v>45963</v>
      </c>
      <c r="I2736" s="9" t="n">
        <v>45969</v>
      </c>
      <c r="J2736" s="7" t="n">
        <v>9.8</v>
      </c>
      <c r="K2736" s="7" t="s">
        <v>2984</v>
      </c>
      <c r="L2736" s="7" t="s">
        <v>21</v>
      </c>
      <c r="M2736" s="7" t="s">
        <v>3238</v>
      </c>
      <c r="N2736" s="7" t="s">
        <v>58</v>
      </c>
      <c r="O2736" s="10" t="n">
        <f aca="false">'Exec Summary'!$E$2-H2736</f>
        <v>271</v>
      </c>
      <c r="P2736" s="10" t="n">
        <f aca="false">IF(I2736="","",I2736-H2736)</f>
        <v>6</v>
      </c>
      <c r="Q2736" s="10" t="n">
        <f aca="false">VLOOKUP(G2736,$AA$2:$AB$5,2,FALSE())</f>
        <v>15</v>
      </c>
      <c r="R2736" s="7" t="n">
        <f aca="false">IF(OR(F2736="Open",F2736="Reopened"),1,0)</f>
        <v>0</v>
      </c>
      <c r="S2736" s="7" t="n">
        <f aca="false">IF(AND(H2736&gt;='Exec Summary'!$E$1,H2736&lt;='Exec Summary'!$E$2),1,0)</f>
        <v>0</v>
      </c>
      <c r="T2736" s="7" t="n">
        <f aca="false">IF(AND(F2736="Closed",I2736&lt;&gt;"",I2736&gt;='Exec Summary'!$E$1,I2736&lt;='Exec Summary'!$E$2),1,0)</f>
        <v>0</v>
      </c>
      <c r="U2736" s="7" t="n">
        <f aca="false">IF(F2736="Reopened",1,0)</f>
        <v>0</v>
      </c>
      <c r="V2736" s="7" t="n">
        <f aca="false">IF(AND(R2736=1,O2736&gt;Q2736),1,0)</f>
        <v>0</v>
      </c>
      <c r="W2736" s="7" t="n">
        <f aca="false">IF(AND(T2736=1,P2736&lt;&gt;"",P2736&lt;=Q2736),1,0)</f>
        <v>0</v>
      </c>
    </row>
    <row r="2737" customFormat="false" ht="15" hidden="false" customHeight="false" outlineLevel="0" collapsed="false">
      <c r="A2737" s="7" t="s">
        <v>3236</v>
      </c>
      <c r="B2737" s="7" t="s">
        <v>135</v>
      </c>
      <c r="C2737" s="7" t="s">
        <v>247</v>
      </c>
      <c r="D2737" s="7" t="s">
        <v>166</v>
      </c>
      <c r="E2737" s="7" t="s">
        <v>167</v>
      </c>
      <c r="F2737" s="7" t="s">
        <v>123</v>
      </c>
      <c r="G2737" s="7" t="s">
        <v>19</v>
      </c>
      <c r="H2737" s="9" t="n">
        <v>46159</v>
      </c>
      <c r="I2737" s="9" t="n">
        <v>46161</v>
      </c>
      <c r="J2737" s="7" t="n">
        <v>9.8</v>
      </c>
      <c r="K2737" s="7" t="s">
        <v>2984</v>
      </c>
      <c r="L2737" s="7" t="s">
        <v>21</v>
      </c>
      <c r="M2737" s="7" t="s">
        <v>3239</v>
      </c>
      <c r="N2737" s="7" t="s">
        <v>58</v>
      </c>
      <c r="O2737" s="10" t="n">
        <f aca="false">'Exec Summary'!$E$2-H2737</f>
        <v>75</v>
      </c>
      <c r="P2737" s="10" t="n">
        <f aca="false">IF(I2737="","",I2737-H2737)</f>
        <v>2</v>
      </c>
      <c r="Q2737" s="10" t="n">
        <f aca="false">VLOOKUP(G2737,$AA$2:$AB$5,2,FALSE())</f>
        <v>15</v>
      </c>
      <c r="R2737" s="7" t="n">
        <f aca="false">IF(OR(F2737="Open",F2737="Reopened"),1,0)</f>
        <v>1</v>
      </c>
      <c r="S2737" s="7" t="n">
        <f aca="false">IF(AND(H2737&gt;='Exec Summary'!$E$1,H2737&lt;='Exec Summary'!$E$2),1,0)</f>
        <v>0</v>
      </c>
      <c r="T2737" s="7" t="n">
        <f aca="false">IF(AND(F2737="Closed",I2737&lt;&gt;"",I2737&gt;='Exec Summary'!$E$1,I2737&lt;='Exec Summary'!$E$2),1,0)</f>
        <v>0</v>
      </c>
      <c r="U2737" s="7" t="n">
        <f aca="false">IF(F2737="Reopened",1,0)</f>
        <v>1</v>
      </c>
      <c r="V2737" s="7" t="n">
        <f aca="false">IF(AND(R2737=1,O2737&gt;Q2737),1,0)</f>
        <v>1</v>
      </c>
      <c r="W2737" s="7" t="n">
        <f aca="false">IF(AND(T2737=1,P2737&lt;&gt;"",P2737&lt;=Q2737),1,0)</f>
        <v>0</v>
      </c>
    </row>
    <row r="2738" customFormat="false" ht="15" hidden="false" customHeight="false" outlineLevel="0" collapsed="false">
      <c r="A2738" s="7" t="s">
        <v>3236</v>
      </c>
      <c r="B2738" s="7" t="s">
        <v>135</v>
      </c>
      <c r="C2738" s="7" t="s">
        <v>247</v>
      </c>
      <c r="D2738" s="7" t="s">
        <v>68</v>
      </c>
      <c r="E2738" s="7" t="s">
        <v>69</v>
      </c>
      <c r="F2738" s="7" t="s">
        <v>56</v>
      </c>
      <c r="G2738" s="7" t="s">
        <v>19</v>
      </c>
      <c r="H2738" s="9" t="n">
        <v>46001</v>
      </c>
      <c r="I2738" s="9"/>
      <c r="J2738" s="7" t="n">
        <v>9.8</v>
      </c>
      <c r="K2738" s="7" t="s">
        <v>2984</v>
      </c>
      <c r="L2738" s="7" t="s">
        <v>21</v>
      </c>
      <c r="M2738" s="7" t="s">
        <v>3240</v>
      </c>
      <c r="N2738" s="7" t="s">
        <v>58</v>
      </c>
      <c r="O2738" s="10" t="n">
        <f aca="false">'Exec Summary'!$E$2-H2738</f>
        <v>233</v>
      </c>
      <c r="P2738" s="10" t="str">
        <f aca="false">IF(I2738="","",I2738-H2738)</f>
        <v/>
      </c>
      <c r="Q2738" s="10" t="n">
        <f aca="false">VLOOKUP(G2738,$AA$2:$AB$5,2,FALSE())</f>
        <v>15</v>
      </c>
      <c r="R2738" s="7" t="n">
        <f aca="false">IF(OR(F2738="Open",F2738="Reopened"),1,0)</f>
        <v>1</v>
      </c>
      <c r="S2738" s="7" t="n">
        <f aca="false">IF(AND(H2738&gt;='Exec Summary'!$E$1,H2738&lt;='Exec Summary'!$E$2),1,0)</f>
        <v>0</v>
      </c>
      <c r="T2738" s="7" t="n">
        <f aca="false">IF(AND(F2738="Closed",I2738&lt;&gt;"",I2738&gt;='Exec Summary'!$E$1,I2738&lt;='Exec Summary'!$E$2),1,0)</f>
        <v>0</v>
      </c>
      <c r="U2738" s="7" t="n">
        <f aca="false">IF(F2738="Reopened",1,0)</f>
        <v>0</v>
      </c>
      <c r="V2738" s="7" t="n">
        <f aca="false">IF(AND(R2738=1,O2738&gt;Q2738),1,0)</f>
        <v>1</v>
      </c>
      <c r="W2738" s="7" t="n">
        <f aca="false">IF(AND(T2738=1,P2738&lt;&gt;"",P2738&lt;=Q2738),1,0)</f>
        <v>0</v>
      </c>
    </row>
    <row r="2739" customFormat="false" ht="15" hidden="false" customHeight="false" outlineLevel="0" collapsed="false">
      <c r="A2739" s="7" t="s">
        <v>3236</v>
      </c>
      <c r="B2739" s="7" t="s">
        <v>135</v>
      </c>
      <c r="C2739" s="7" t="s">
        <v>247</v>
      </c>
      <c r="D2739" s="7" t="s">
        <v>173</v>
      </c>
      <c r="E2739" s="7" t="s">
        <v>174</v>
      </c>
      <c r="F2739" s="7" t="s">
        <v>56</v>
      </c>
      <c r="G2739" s="7" t="s">
        <v>19</v>
      </c>
      <c r="H2739" s="9" t="n">
        <v>46016</v>
      </c>
      <c r="I2739" s="9"/>
      <c r="J2739" s="7" t="n">
        <v>9.8</v>
      </c>
      <c r="K2739" s="7" t="s">
        <v>2984</v>
      </c>
      <c r="L2739" s="7" t="s">
        <v>21</v>
      </c>
      <c r="M2739" s="7" t="s">
        <v>3241</v>
      </c>
      <c r="N2739" s="7" t="s">
        <v>58</v>
      </c>
      <c r="O2739" s="10" t="n">
        <f aca="false">'Exec Summary'!$E$2-H2739</f>
        <v>218</v>
      </c>
      <c r="P2739" s="10" t="str">
        <f aca="false">IF(I2739="","",I2739-H2739)</f>
        <v/>
      </c>
      <c r="Q2739" s="10" t="n">
        <f aca="false">VLOOKUP(G2739,$AA$2:$AB$5,2,FALSE())</f>
        <v>15</v>
      </c>
      <c r="R2739" s="7" t="n">
        <f aca="false">IF(OR(F2739="Open",F2739="Reopened"),1,0)</f>
        <v>1</v>
      </c>
      <c r="S2739" s="7" t="n">
        <f aca="false">IF(AND(H2739&gt;='Exec Summary'!$E$1,H2739&lt;='Exec Summary'!$E$2),1,0)</f>
        <v>0</v>
      </c>
      <c r="T2739" s="7" t="n">
        <f aca="false">IF(AND(F2739="Closed",I2739&lt;&gt;"",I2739&gt;='Exec Summary'!$E$1,I2739&lt;='Exec Summary'!$E$2),1,0)</f>
        <v>0</v>
      </c>
      <c r="U2739" s="7" t="n">
        <f aca="false">IF(F2739="Reopened",1,0)</f>
        <v>0</v>
      </c>
      <c r="V2739" s="7" t="n">
        <f aca="false">IF(AND(R2739=1,O2739&gt;Q2739),1,0)</f>
        <v>1</v>
      </c>
      <c r="W2739" s="7" t="n">
        <f aca="false">IF(AND(T2739=1,P2739&lt;&gt;"",P2739&lt;=Q2739),1,0)</f>
        <v>0</v>
      </c>
    </row>
    <row r="2740" customFormat="false" ht="15" hidden="false" customHeight="false" outlineLevel="0" collapsed="false">
      <c r="A2740" s="7" t="s">
        <v>3236</v>
      </c>
      <c r="B2740" s="7" t="s">
        <v>135</v>
      </c>
      <c r="C2740" s="7" t="s">
        <v>247</v>
      </c>
      <c r="D2740" s="7" t="s">
        <v>131</v>
      </c>
      <c r="E2740" s="7" t="s">
        <v>132</v>
      </c>
      <c r="F2740" s="7" t="s">
        <v>56</v>
      </c>
      <c r="G2740" s="7" t="s">
        <v>19</v>
      </c>
      <c r="H2740" s="9" t="n">
        <v>46146</v>
      </c>
      <c r="I2740" s="9"/>
      <c r="J2740" s="7" t="n">
        <v>9.8</v>
      </c>
      <c r="K2740" s="7" t="s">
        <v>2984</v>
      </c>
      <c r="L2740" s="7" t="s">
        <v>21</v>
      </c>
      <c r="M2740" s="7" t="s">
        <v>3242</v>
      </c>
      <c r="N2740" s="7" t="s">
        <v>58</v>
      </c>
      <c r="O2740" s="10" t="n">
        <f aca="false">'Exec Summary'!$E$2-H2740</f>
        <v>88</v>
      </c>
      <c r="P2740" s="10" t="str">
        <f aca="false">IF(I2740="","",I2740-H2740)</f>
        <v/>
      </c>
      <c r="Q2740" s="10" t="n">
        <f aca="false">VLOOKUP(G2740,$AA$2:$AB$5,2,FALSE())</f>
        <v>15</v>
      </c>
      <c r="R2740" s="7" t="n">
        <f aca="false">IF(OR(F2740="Open",F2740="Reopened"),1,0)</f>
        <v>1</v>
      </c>
      <c r="S2740" s="7" t="n">
        <f aca="false">IF(AND(H2740&gt;='Exec Summary'!$E$1,H2740&lt;='Exec Summary'!$E$2),1,0)</f>
        <v>0</v>
      </c>
      <c r="T2740" s="7" t="n">
        <f aca="false">IF(AND(F2740="Closed",I2740&lt;&gt;"",I2740&gt;='Exec Summary'!$E$1,I2740&lt;='Exec Summary'!$E$2),1,0)</f>
        <v>0</v>
      </c>
      <c r="U2740" s="7" t="n">
        <f aca="false">IF(F2740="Reopened",1,0)</f>
        <v>0</v>
      </c>
      <c r="V2740" s="7" t="n">
        <f aca="false">IF(AND(R2740=1,O2740&gt;Q2740),1,0)</f>
        <v>1</v>
      </c>
      <c r="W2740" s="7" t="n">
        <f aca="false">IF(AND(T2740=1,P2740&lt;&gt;"",P2740&lt;=Q2740),1,0)</f>
        <v>0</v>
      </c>
    </row>
    <row r="2741" customFormat="false" ht="15" hidden="false" customHeight="false" outlineLevel="0" collapsed="false">
      <c r="A2741" s="7" t="s">
        <v>3236</v>
      </c>
      <c r="B2741" s="7" t="s">
        <v>135</v>
      </c>
      <c r="C2741" s="7" t="s">
        <v>247</v>
      </c>
      <c r="D2741" s="7" t="s">
        <v>54</v>
      </c>
      <c r="E2741" s="7" t="s">
        <v>55</v>
      </c>
      <c r="F2741" s="7" t="s">
        <v>50</v>
      </c>
      <c r="G2741" s="7" t="s">
        <v>19</v>
      </c>
      <c r="H2741" s="9" t="n">
        <v>46174</v>
      </c>
      <c r="I2741" s="9" t="n">
        <v>46196</v>
      </c>
      <c r="J2741" s="7" t="n">
        <v>9.8</v>
      </c>
      <c r="K2741" s="7" t="s">
        <v>2984</v>
      </c>
      <c r="L2741" s="7" t="s">
        <v>21</v>
      </c>
      <c r="M2741" s="7" t="s">
        <v>3243</v>
      </c>
      <c r="N2741" s="7" t="s">
        <v>58</v>
      </c>
      <c r="O2741" s="10" t="n">
        <f aca="false">'Exec Summary'!$E$2-H2741</f>
        <v>60</v>
      </c>
      <c r="P2741" s="10" t="n">
        <f aca="false">IF(I2741="","",I2741-H2741)</f>
        <v>22</v>
      </c>
      <c r="Q2741" s="10" t="n">
        <f aca="false">VLOOKUP(G2741,$AA$2:$AB$5,2,FALSE())</f>
        <v>15</v>
      </c>
      <c r="R2741" s="7" t="n">
        <f aca="false">IF(OR(F2741="Open",F2741="Reopened"),1,0)</f>
        <v>0</v>
      </c>
      <c r="S2741" s="7" t="n">
        <f aca="false">IF(AND(H2741&gt;='Exec Summary'!$E$1,H2741&lt;='Exec Summary'!$E$2),1,0)</f>
        <v>0</v>
      </c>
      <c r="T2741" s="7" t="n">
        <f aca="false">IF(AND(F2741="Closed",I2741&lt;&gt;"",I2741&gt;='Exec Summary'!$E$1,I2741&lt;='Exec Summary'!$E$2),1,0)</f>
        <v>0</v>
      </c>
      <c r="U2741" s="7" t="n">
        <f aca="false">IF(F2741="Reopened",1,0)</f>
        <v>0</v>
      </c>
      <c r="V2741" s="7" t="n">
        <f aca="false">IF(AND(R2741=1,O2741&gt;Q2741),1,0)</f>
        <v>0</v>
      </c>
      <c r="W2741" s="7" t="n">
        <f aca="false">IF(AND(T2741=1,P2741&lt;&gt;"",P2741&lt;=Q2741),1,0)</f>
        <v>0</v>
      </c>
    </row>
    <row r="2742" customFormat="false" ht="15" hidden="false" customHeight="false" outlineLevel="0" collapsed="false">
      <c r="A2742" s="7" t="s">
        <v>3236</v>
      </c>
      <c r="B2742" s="7" t="s">
        <v>135</v>
      </c>
      <c r="C2742" s="7" t="s">
        <v>247</v>
      </c>
      <c r="D2742" s="7" t="s">
        <v>81</v>
      </c>
      <c r="E2742" s="7" t="s">
        <v>82</v>
      </c>
      <c r="F2742" s="7" t="s">
        <v>56</v>
      </c>
      <c r="G2742" s="7" t="s">
        <v>20</v>
      </c>
      <c r="H2742" s="9" t="n">
        <v>46015</v>
      </c>
      <c r="I2742" s="9"/>
      <c r="J2742" s="7" t="n">
        <v>7.8</v>
      </c>
      <c r="K2742" s="7" t="s">
        <v>2984</v>
      </c>
      <c r="L2742" s="7" t="s">
        <v>21</v>
      </c>
      <c r="M2742" s="7" t="s">
        <v>3244</v>
      </c>
      <c r="N2742" s="7" t="s">
        <v>53</v>
      </c>
      <c r="O2742" s="10" t="n">
        <f aca="false">'Exec Summary'!$E$2-H2742</f>
        <v>219</v>
      </c>
      <c r="P2742" s="10" t="str">
        <f aca="false">IF(I2742="","",I2742-H2742)</f>
        <v/>
      </c>
      <c r="Q2742" s="10" t="n">
        <f aca="false">VLOOKUP(G2742,$AA$2:$AB$5,2,FALSE())</f>
        <v>30</v>
      </c>
      <c r="R2742" s="7" t="n">
        <f aca="false">IF(OR(F2742="Open",F2742="Reopened"),1,0)</f>
        <v>1</v>
      </c>
      <c r="S2742" s="7" t="n">
        <f aca="false">IF(AND(H2742&gt;='Exec Summary'!$E$1,H2742&lt;='Exec Summary'!$E$2),1,0)</f>
        <v>0</v>
      </c>
      <c r="T2742" s="7" t="n">
        <f aca="false">IF(AND(F2742="Closed",I2742&lt;&gt;"",I2742&gt;='Exec Summary'!$E$1,I2742&lt;='Exec Summary'!$E$2),1,0)</f>
        <v>0</v>
      </c>
      <c r="U2742" s="7" t="n">
        <f aca="false">IF(F2742="Reopened",1,0)</f>
        <v>0</v>
      </c>
      <c r="V2742" s="7" t="n">
        <f aca="false">IF(AND(R2742=1,O2742&gt;Q2742),1,0)</f>
        <v>1</v>
      </c>
      <c r="W2742" s="7" t="n">
        <f aca="false">IF(AND(T2742=1,P2742&lt;&gt;"",P2742&lt;=Q2742),1,0)</f>
        <v>0</v>
      </c>
    </row>
    <row r="2743" customFormat="false" ht="15" hidden="false" customHeight="false" outlineLevel="0" collapsed="false">
      <c r="A2743" s="7" t="s">
        <v>3236</v>
      </c>
      <c r="B2743" s="7" t="s">
        <v>135</v>
      </c>
      <c r="C2743" s="7" t="s">
        <v>247</v>
      </c>
      <c r="D2743" s="7" t="s">
        <v>98</v>
      </c>
      <c r="E2743" s="7" t="s">
        <v>99</v>
      </c>
      <c r="F2743" s="7" t="s">
        <v>50</v>
      </c>
      <c r="G2743" s="7" t="s">
        <v>19</v>
      </c>
      <c r="H2743" s="9" t="n">
        <v>46045</v>
      </c>
      <c r="I2743" s="9" t="n">
        <v>46057</v>
      </c>
      <c r="J2743" s="7" t="n">
        <v>10</v>
      </c>
      <c r="K2743" s="7" t="s">
        <v>2984</v>
      </c>
      <c r="L2743" s="7" t="s">
        <v>21</v>
      </c>
      <c r="M2743" s="7" t="s">
        <v>3245</v>
      </c>
      <c r="N2743" s="7" t="s">
        <v>58</v>
      </c>
      <c r="O2743" s="10" t="n">
        <f aca="false">'Exec Summary'!$E$2-H2743</f>
        <v>189</v>
      </c>
      <c r="P2743" s="10" t="n">
        <f aca="false">IF(I2743="","",I2743-H2743)</f>
        <v>12</v>
      </c>
      <c r="Q2743" s="10" t="n">
        <f aca="false">VLOOKUP(G2743,$AA$2:$AB$5,2,FALSE())</f>
        <v>15</v>
      </c>
      <c r="R2743" s="7" t="n">
        <f aca="false">IF(OR(F2743="Open",F2743="Reopened"),1,0)</f>
        <v>0</v>
      </c>
      <c r="S2743" s="7" t="n">
        <f aca="false">IF(AND(H2743&gt;='Exec Summary'!$E$1,H2743&lt;='Exec Summary'!$E$2),1,0)</f>
        <v>0</v>
      </c>
      <c r="T2743" s="7" t="n">
        <f aca="false">IF(AND(F2743="Closed",I2743&lt;&gt;"",I2743&gt;='Exec Summary'!$E$1,I2743&lt;='Exec Summary'!$E$2),1,0)</f>
        <v>0</v>
      </c>
      <c r="U2743" s="7" t="n">
        <f aca="false">IF(F2743="Reopened",1,0)</f>
        <v>0</v>
      </c>
      <c r="V2743" s="7" t="n">
        <f aca="false">IF(AND(R2743=1,O2743&gt;Q2743),1,0)</f>
        <v>0</v>
      </c>
      <c r="W2743" s="7" t="n">
        <f aca="false">IF(AND(T2743=1,P2743&lt;&gt;"",P2743&lt;=Q2743),1,0)</f>
        <v>0</v>
      </c>
    </row>
    <row r="2744" customFormat="false" ht="15" hidden="false" customHeight="false" outlineLevel="0" collapsed="false">
      <c r="A2744" s="7" t="s">
        <v>3236</v>
      </c>
      <c r="B2744" s="7" t="s">
        <v>135</v>
      </c>
      <c r="C2744" s="7" t="s">
        <v>247</v>
      </c>
      <c r="D2744" s="7" t="s">
        <v>192</v>
      </c>
      <c r="E2744" s="7" t="s">
        <v>193</v>
      </c>
      <c r="F2744" s="7" t="s">
        <v>56</v>
      </c>
      <c r="G2744" s="7" t="s">
        <v>19</v>
      </c>
      <c r="H2744" s="9" t="n">
        <v>45968</v>
      </c>
      <c r="I2744" s="9"/>
      <c r="J2744" s="7" t="n">
        <v>9.8</v>
      </c>
      <c r="K2744" s="7" t="s">
        <v>2984</v>
      </c>
      <c r="L2744" s="7" t="s">
        <v>21</v>
      </c>
      <c r="M2744" s="7" t="s">
        <v>3246</v>
      </c>
      <c r="N2744" s="7" t="s">
        <v>58</v>
      </c>
      <c r="O2744" s="10" t="n">
        <f aca="false">'Exec Summary'!$E$2-H2744</f>
        <v>266</v>
      </c>
      <c r="P2744" s="10" t="str">
        <f aca="false">IF(I2744="","",I2744-H2744)</f>
        <v/>
      </c>
      <c r="Q2744" s="10" t="n">
        <f aca="false">VLOOKUP(G2744,$AA$2:$AB$5,2,FALSE())</f>
        <v>15</v>
      </c>
      <c r="R2744" s="7" t="n">
        <f aca="false">IF(OR(F2744="Open",F2744="Reopened"),1,0)</f>
        <v>1</v>
      </c>
      <c r="S2744" s="7" t="n">
        <f aca="false">IF(AND(H2744&gt;='Exec Summary'!$E$1,H2744&lt;='Exec Summary'!$E$2),1,0)</f>
        <v>0</v>
      </c>
      <c r="T2744" s="7" t="n">
        <f aca="false">IF(AND(F2744="Closed",I2744&lt;&gt;"",I2744&gt;='Exec Summary'!$E$1,I2744&lt;='Exec Summary'!$E$2),1,0)</f>
        <v>0</v>
      </c>
      <c r="U2744" s="7" t="n">
        <f aca="false">IF(F2744="Reopened",1,0)</f>
        <v>0</v>
      </c>
      <c r="V2744" s="7" t="n">
        <f aca="false">IF(AND(R2744=1,O2744&gt;Q2744),1,0)</f>
        <v>1</v>
      </c>
      <c r="W2744" s="7" t="n">
        <f aca="false">IF(AND(T2744=1,P2744&lt;&gt;"",P2744&lt;=Q2744),1,0)</f>
        <v>0</v>
      </c>
    </row>
    <row r="2745" customFormat="false" ht="15" hidden="false" customHeight="false" outlineLevel="0" collapsed="false">
      <c r="A2745" s="7" t="s">
        <v>3236</v>
      </c>
      <c r="B2745" s="7" t="s">
        <v>135</v>
      </c>
      <c r="C2745" s="7" t="s">
        <v>247</v>
      </c>
      <c r="D2745" s="7" t="s">
        <v>59</v>
      </c>
      <c r="E2745" s="7" t="s">
        <v>60</v>
      </c>
      <c r="F2745" s="7" t="s">
        <v>123</v>
      </c>
      <c r="G2745" s="7" t="s">
        <v>19</v>
      </c>
      <c r="H2745" s="9" t="n">
        <v>46017</v>
      </c>
      <c r="I2745" s="9" t="n">
        <v>46023</v>
      </c>
      <c r="J2745" s="7" t="n">
        <v>7.8</v>
      </c>
      <c r="K2745" s="7" t="s">
        <v>2984</v>
      </c>
      <c r="L2745" s="7" t="s">
        <v>21</v>
      </c>
      <c r="M2745" s="7" t="s">
        <v>3247</v>
      </c>
      <c r="N2745" s="7" t="s">
        <v>58</v>
      </c>
      <c r="O2745" s="10" t="n">
        <f aca="false">'Exec Summary'!$E$2-H2745</f>
        <v>217</v>
      </c>
      <c r="P2745" s="10" t="n">
        <f aca="false">IF(I2745="","",I2745-H2745)</f>
        <v>6</v>
      </c>
      <c r="Q2745" s="10" t="n">
        <f aca="false">VLOOKUP(G2745,$AA$2:$AB$5,2,FALSE())</f>
        <v>15</v>
      </c>
      <c r="R2745" s="7" t="n">
        <f aca="false">IF(OR(F2745="Open",F2745="Reopened"),1,0)</f>
        <v>1</v>
      </c>
      <c r="S2745" s="7" t="n">
        <f aca="false">IF(AND(H2745&gt;='Exec Summary'!$E$1,H2745&lt;='Exec Summary'!$E$2),1,0)</f>
        <v>0</v>
      </c>
      <c r="T2745" s="7" t="n">
        <f aca="false">IF(AND(F2745="Closed",I2745&lt;&gt;"",I2745&gt;='Exec Summary'!$E$1,I2745&lt;='Exec Summary'!$E$2),1,0)</f>
        <v>0</v>
      </c>
      <c r="U2745" s="7" t="n">
        <f aca="false">IF(F2745="Reopened",1,0)</f>
        <v>1</v>
      </c>
      <c r="V2745" s="7" t="n">
        <f aca="false">IF(AND(R2745=1,O2745&gt;Q2745),1,0)</f>
        <v>1</v>
      </c>
      <c r="W2745" s="7" t="n">
        <f aca="false">IF(AND(T2745=1,P2745&lt;&gt;"",P2745&lt;=Q2745),1,0)</f>
        <v>0</v>
      </c>
    </row>
    <row r="2746" customFormat="false" ht="15" hidden="false" customHeight="false" outlineLevel="0" collapsed="false">
      <c r="A2746" s="7" t="s">
        <v>3236</v>
      </c>
      <c r="B2746" s="7" t="s">
        <v>135</v>
      </c>
      <c r="C2746" s="7" t="s">
        <v>247</v>
      </c>
      <c r="D2746" s="7" t="s">
        <v>108</v>
      </c>
      <c r="E2746" s="7" t="s">
        <v>109</v>
      </c>
      <c r="F2746" s="7" t="s">
        <v>50</v>
      </c>
      <c r="G2746" s="7" t="s">
        <v>20</v>
      </c>
      <c r="H2746" s="9" t="n">
        <v>45994</v>
      </c>
      <c r="I2746" s="9" t="n">
        <v>46021</v>
      </c>
      <c r="J2746" s="7" t="n">
        <v>8.6</v>
      </c>
      <c r="K2746" s="7" t="s">
        <v>2984</v>
      </c>
      <c r="L2746" s="7" t="s">
        <v>21</v>
      </c>
      <c r="M2746" s="7" t="s">
        <v>3248</v>
      </c>
      <c r="N2746" s="7" t="s">
        <v>53</v>
      </c>
      <c r="O2746" s="10" t="n">
        <f aca="false">'Exec Summary'!$E$2-H2746</f>
        <v>240</v>
      </c>
      <c r="P2746" s="10" t="n">
        <f aca="false">IF(I2746="","",I2746-H2746)</f>
        <v>27</v>
      </c>
      <c r="Q2746" s="10" t="n">
        <f aca="false">VLOOKUP(G2746,$AA$2:$AB$5,2,FALSE())</f>
        <v>30</v>
      </c>
      <c r="R2746" s="7" t="n">
        <f aca="false">IF(OR(F2746="Open",F2746="Reopened"),1,0)</f>
        <v>0</v>
      </c>
      <c r="S2746" s="7" t="n">
        <f aca="false">IF(AND(H2746&gt;='Exec Summary'!$E$1,H2746&lt;='Exec Summary'!$E$2),1,0)</f>
        <v>0</v>
      </c>
      <c r="T2746" s="7" t="n">
        <f aca="false">IF(AND(F2746="Closed",I2746&lt;&gt;"",I2746&gt;='Exec Summary'!$E$1,I2746&lt;='Exec Summary'!$E$2),1,0)</f>
        <v>0</v>
      </c>
      <c r="U2746" s="7" t="n">
        <f aca="false">IF(F2746="Reopened",1,0)</f>
        <v>0</v>
      </c>
      <c r="V2746" s="7" t="n">
        <f aca="false">IF(AND(R2746=1,O2746&gt;Q2746),1,0)</f>
        <v>0</v>
      </c>
      <c r="W2746" s="7" t="n">
        <f aca="false">IF(AND(T2746=1,P2746&lt;&gt;"",P2746&lt;=Q2746),1,0)</f>
        <v>0</v>
      </c>
    </row>
    <row r="2747" customFormat="false" ht="15" hidden="false" customHeight="false" outlineLevel="0" collapsed="false">
      <c r="A2747" s="7" t="s">
        <v>3249</v>
      </c>
      <c r="B2747" s="7" t="s">
        <v>135</v>
      </c>
      <c r="C2747" s="7" t="s">
        <v>136</v>
      </c>
      <c r="D2747" s="7" t="s">
        <v>173</v>
      </c>
      <c r="E2747" s="7" t="s">
        <v>174</v>
      </c>
      <c r="F2747" s="7" t="s">
        <v>50</v>
      </c>
      <c r="G2747" s="7" t="s">
        <v>19</v>
      </c>
      <c r="H2747" s="9" t="n">
        <v>45977</v>
      </c>
      <c r="I2747" s="9" t="n">
        <v>45988</v>
      </c>
      <c r="J2747" s="7" t="n">
        <v>9.8</v>
      </c>
      <c r="K2747" s="7" t="s">
        <v>2984</v>
      </c>
      <c r="L2747" s="7" t="s">
        <v>22</v>
      </c>
      <c r="M2747" s="7" t="s">
        <v>3250</v>
      </c>
      <c r="N2747" s="7" t="s">
        <v>58</v>
      </c>
      <c r="O2747" s="10" t="n">
        <f aca="false">'Exec Summary'!$E$2-H2747</f>
        <v>257</v>
      </c>
      <c r="P2747" s="10" t="n">
        <f aca="false">IF(I2747="","",I2747-H2747)</f>
        <v>11</v>
      </c>
      <c r="Q2747" s="10" t="n">
        <f aca="false">VLOOKUP(G2747,$AA$2:$AB$5,2,FALSE())</f>
        <v>15</v>
      </c>
      <c r="R2747" s="7" t="n">
        <f aca="false">IF(OR(F2747="Open",F2747="Reopened"),1,0)</f>
        <v>0</v>
      </c>
      <c r="S2747" s="7" t="n">
        <f aca="false">IF(AND(H2747&gt;='Exec Summary'!$E$1,H2747&lt;='Exec Summary'!$E$2),1,0)</f>
        <v>0</v>
      </c>
      <c r="T2747" s="7" t="n">
        <f aca="false">IF(AND(F2747="Closed",I2747&lt;&gt;"",I2747&gt;='Exec Summary'!$E$1,I2747&lt;='Exec Summary'!$E$2),1,0)</f>
        <v>0</v>
      </c>
      <c r="U2747" s="7" t="n">
        <f aca="false">IF(F2747="Reopened",1,0)</f>
        <v>0</v>
      </c>
      <c r="V2747" s="7" t="n">
        <f aca="false">IF(AND(R2747=1,O2747&gt;Q2747),1,0)</f>
        <v>0</v>
      </c>
      <c r="W2747" s="7" t="n">
        <f aca="false">IF(AND(T2747=1,P2747&lt;&gt;"",P2747&lt;=Q2747),1,0)</f>
        <v>0</v>
      </c>
    </row>
    <row r="2748" customFormat="false" ht="15" hidden="false" customHeight="false" outlineLevel="0" collapsed="false">
      <c r="A2748" s="7" t="s">
        <v>3249</v>
      </c>
      <c r="B2748" s="7" t="s">
        <v>135</v>
      </c>
      <c r="C2748" s="7" t="s">
        <v>136</v>
      </c>
      <c r="D2748" s="7" t="s">
        <v>145</v>
      </c>
      <c r="E2748" s="7" t="s">
        <v>146</v>
      </c>
      <c r="F2748" s="7" t="s">
        <v>50</v>
      </c>
      <c r="G2748" s="7" t="s">
        <v>19</v>
      </c>
      <c r="H2748" s="9" t="n">
        <v>46119</v>
      </c>
      <c r="I2748" s="9" t="n">
        <v>46120</v>
      </c>
      <c r="J2748" s="7" t="n">
        <v>9.8</v>
      </c>
      <c r="K2748" s="7" t="s">
        <v>2984</v>
      </c>
      <c r="L2748" s="7" t="s">
        <v>22</v>
      </c>
      <c r="M2748" s="7" t="s">
        <v>3251</v>
      </c>
      <c r="N2748" s="7" t="s">
        <v>58</v>
      </c>
      <c r="O2748" s="10" t="n">
        <f aca="false">'Exec Summary'!$E$2-H2748</f>
        <v>115</v>
      </c>
      <c r="P2748" s="10" t="n">
        <f aca="false">IF(I2748="","",I2748-H2748)</f>
        <v>1</v>
      </c>
      <c r="Q2748" s="10" t="n">
        <f aca="false">VLOOKUP(G2748,$AA$2:$AB$5,2,FALSE())</f>
        <v>15</v>
      </c>
      <c r="R2748" s="7" t="n">
        <f aca="false">IF(OR(F2748="Open",F2748="Reopened"),1,0)</f>
        <v>0</v>
      </c>
      <c r="S2748" s="7" t="n">
        <f aca="false">IF(AND(H2748&gt;='Exec Summary'!$E$1,H2748&lt;='Exec Summary'!$E$2),1,0)</f>
        <v>0</v>
      </c>
      <c r="T2748" s="7" t="n">
        <f aca="false">IF(AND(F2748="Closed",I2748&lt;&gt;"",I2748&gt;='Exec Summary'!$E$1,I2748&lt;='Exec Summary'!$E$2),1,0)</f>
        <v>0</v>
      </c>
      <c r="U2748" s="7" t="n">
        <f aca="false">IF(F2748="Reopened",1,0)</f>
        <v>0</v>
      </c>
      <c r="V2748" s="7" t="n">
        <f aca="false">IF(AND(R2748=1,O2748&gt;Q2748),1,0)</f>
        <v>0</v>
      </c>
      <c r="W2748" s="7" t="n">
        <f aca="false">IF(AND(T2748=1,P2748&lt;&gt;"",P2748&lt;=Q2748),1,0)</f>
        <v>0</v>
      </c>
    </row>
    <row r="2749" customFormat="false" ht="15" hidden="false" customHeight="false" outlineLevel="0" collapsed="false">
      <c r="A2749" s="7" t="s">
        <v>3249</v>
      </c>
      <c r="B2749" s="7" t="s">
        <v>135</v>
      </c>
      <c r="C2749" s="7" t="s">
        <v>136</v>
      </c>
      <c r="D2749" s="7" t="s">
        <v>74</v>
      </c>
      <c r="E2749" s="7" t="s">
        <v>75</v>
      </c>
      <c r="F2749" s="7" t="s">
        <v>50</v>
      </c>
      <c r="G2749" s="7" t="s">
        <v>21</v>
      </c>
      <c r="H2749" s="9" t="n">
        <v>45952</v>
      </c>
      <c r="I2749" s="9" t="n">
        <v>45985</v>
      </c>
      <c r="J2749" s="7" t="n">
        <v>6.5</v>
      </c>
      <c r="K2749" s="7" t="s">
        <v>2984</v>
      </c>
      <c r="L2749" s="7" t="s">
        <v>22</v>
      </c>
      <c r="M2749" s="7" t="s">
        <v>3252</v>
      </c>
      <c r="N2749" s="7" t="s">
        <v>77</v>
      </c>
      <c r="O2749" s="10" t="n">
        <f aca="false">'Exec Summary'!$E$2-H2749</f>
        <v>282</v>
      </c>
      <c r="P2749" s="10" t="n">
        <f aca="false">IF(I2749="","",I2749-H2749)</f>
        <v>33</v>
      </c>
      <c r="Q2749" s="10" t="n">
        <f aca="false">VLOOKUP(G2749,$AA$2:$AB$5,2,FALSE())</f>
        <v>90</v>
      </c>
      <c r="R2749" s="7" t="n">
        <f aca="false">IF(OR(F2749="Open",F2749="Reopened"),1,0)</f>
        <v>0</v>
      </c>
      <c r="S2749" s="7" t="n">
        <f aca="false">IF(AND(H2749&gt;='Exec Summary'!$E$1,H2749&lt;='Exec Summary'!$E$2),1,0)</f>
        <v>0</v>
      </c>
      <c r="T2749" s="7" t="n">
        <f aca="false">IF(AND(F2749="Closed",I2749&lt;&gt;"",I2749&gt;='Exec Summary'!$E$1,I2749&lt;='Exec Summary'!$E$2),1,0)</f>
        <v>0</v>
      </c>
      <c r="U2749" s="7" t="n">
        <f aca="false">IF(F2749="Reopened",1,0)</f>
        <v>0</v>
      </c>
      <c r="V2749" s="7" t="n">
        <f aca="false">IF(AND(R2749=1,O2749&gt;Q2749),1,0)</f>
        <v>0</v>
      </c>
      <c r="W2749" s="7" t="n">
        <f aca="false">IF(AND(T2749=1,P2749&lt;&gt;"",P2749&lt;=Q2749),1,0)</f>
        <v>0</v>
      </c>
    </row>
    <row r="2750" customFormat="false" ht="15" hidden="false" customHeight="false" outlineLevel="0" collapsed="false">
      <c r="A2750" s="7" t="s">
        <v>3249</v>
      </c>
      <c r="B2750" s="7" t="s">
        <v>135</v>
      </c>
      <c r="C2750" s="7" t="s">
        <v>136</v>
      </c>
      <c r="D2750" s="7" t="s">
        <v>68</v>
      </c>
      <c r="E2750" s="7" t="s">
        <v>69</v>
      </c>
      <c r="F2750" s="7" t="s">
        <v>56</v>
      </c>
      <c r="G2750" s="7" t="s">
        <v>19</v>
      </c>
      <c r="H2750" s="9" t="n">
        <v>46090</v>
      </c>
      <c r="I2750" s="9"/>
      <c r="J2750" s="7" t="n">
        <v>9.8</v>
      </c>
      <c r="K2750" s="7" t="s">
        <v>2984</v>
      </c>
      <c r="L2750" s="7" t="s">
        <v>22</v>
      </c>
      <c r="M2750" s="7" t="s">
        <v>3253</v>
      </c>
      <c r="N2750" s="7" t="s">
        <v>58</v>
      </c>
      <c r="O2750" s="10" t="n">
        <f aca="false">'Exec Summary'!$E$2-H2750</f>
        <v>144</v>
      </c>
      <c r="P2750" s="10" t="str">
        <f aca="false">IF(I2750="","",I2750-H2750)</f>
        <v/>
      </c>
      <c r="Q2750" s="10" t="n">
        <f aca="false">VLOOKUP(G2750,$AA$2:$AB$5,2,FALSE())</f>
        <v>15</v>
      </c>
      <c r="R2750" s="7" t="n">
        <f aca="false">IF(OR(F2750="Open",F2750="Reopened"),1,0)</f>
        <v>1</v>
      </c>
      <c r="S2750" s="7" t="n">
        <f aca="false">IF(AND(H2750&gt;='Exec Summary'!$E$1,H2750&lt;='Exec Summary'!$E$2),1,0)</f>
        <v>0</v>
      </c>
      <c r="T2750" s="7" t="n">
        <f aca="false">IF(AND(F2750="Closed",I2750&lt;&gt;"",I2750&gt;='Exec Summary'!$E$1,I2750&lt;='Exec Summary'!$E$2),1,0)</f>
        <v>0</v>
      </c>
      <c r="U2750" s="7" t="n">
        <f aca="false">IF(F2750="Reopened",1,0)</f>
        <v>0</v>
      </c>
      <c r="V2750" s="7" t="n">
        <f aca="false">IF(AND(R2750=1,O2750&gt;Q2750),1,0)</f>
        <v>1</v>
      </c>
      <c r="W2750" s="7" t="n">
        <f aca="false">IF(AND(T2750=1,P2750&lt;&gt;"",P2750&lt;=Q2750),1,0)</f>
        <v>0</v>
      </c>
    </row>
    <row r="2751" customFormat="false" ht="15" hidden="false" customHeight="false" outlineLevel="0" collapsed="false">
      <c r="A2751" s="7" t="s">
        <v>3254</v>
      </c>
      <c r="B2751" s="7" t="s">
        <v>46</v>
      </c>
      <c r="C2751" s="7" t="s">
        <v>79</v>
      </c>
      <c r="D2751" s="7" t="s">
        <v>145</v>
      </c>
      <c r="E2751" s="7" t="s">
        <v>146</v>
      </c>
      <c r="F2751" s="7" t="s">
        <v>50</v>
      </c>
      <c r="G2751" s="7" t="s">
        <v>19</v>
      </c>
      <c r="H2751" s="9" t="n">
        <v>45979</v>
      </c>
      <c r="I2751" s="9" t="n">
        <v>45993</v>
      </c>
      <c r="J2751" s="7" t="n">
        <v>9.8</v>
      </c>
      <c r="K2751" s="7" t="s">
        <v>2984</v>
      </c>
      <c r="L2751" s="7" t="s">
        <v>21</v>
      </c>
      <c r="M2751" s="7" t="s">
        <v>3255</v>
      </c>
      <c r="N2751" s="7" t="s">
        <v>58</v>
      </c>
      <c r="O2751" s="10" t="n">
        <f aca="false">'Exec Summary'!$E$2-H2751</f>
        <v>255</v>
      </c>
      <c r="P2751" s="10" t="n">
        <f aca="false">IF(I2751="","",I2751-H2751)</f>
        <v>14</v>
      </c>
      <c r="Q2751" s="10" t="n">
        <f aca="false">VLOOKUP(G2751,$AA$2:$AB$5,2,FALSE())</f>
        <v>15</v>
      </c>
      <c r="R2751" s="7" t="n">
        <f aca="false">IF(OR(F2751="Open",F2751="Reopened"),1,0)</f>
        <v>0</v>
      </c>
      <c r="S2751" s="7" t="n">
        <f aca="false">IF(AND(H2751&gt;='Exec Summary'!$E$1,H2751&lt;='Exec Summary'!$E$2),1,0)</f>
        <v>0</v>
      </c>
      <c r="T2751" s="7" t="n">
        <f aca="false">IF(AND(F2751="Closed",I2751&lt;&gt;"",I2751&gt;='Exec Summary'!$E$1,I2751&lt;='Exec Summary'!$E$2),1,0)</f>
        <v>0</v>
      </c>
      <c r="U2751" s="7" t="n">
        <f aca="false">IF(F2751="Reopened",1,0)</f>
        <v>0</v>
      </c>
      <c r="V2751" s="7" t="n">
        <f aca="false">IF(AND(R2751=1,O2751&gt;Q2751),1,0)</f>
        <v>0</v>
      </c>
      <c r="W2751" s="7" t="n">
        <f aca="false">IF(AND(T2751=1,P2751&lt;&gt;"",P2751&lt;=Q2751),1,0)</f>
        <v>0</v>
      </c>
    </row>
    <row r="2752" customFormat="false" ht="15" hidden="false" customHeight="false" outlineLevel="0" collapsed="false">
      <c r="A2752" s="7" t="s">
        <v>3254</v>
      </c>
      <c r="B2752" s="7" t="s">
        <v>46</v>
      </c>
      <c r="C2752" s="7" t="s">
        <v>79</v>
      </c>
      <c r="D2752" s="7" t="s">
        <v>48</v>
      </c>
      <c r="E2752" s="7" t="s">
        <v>49</v>
      </c>
      <c r="F2752" s="7" t="s">
        <v>56</v>
      </c>
      <c r="G2752" s="7" t="s">
        <v>20</v>
      </c>
      <c r="H2752" s="9" t="n">
        <v>46109</v>
      </c>
      <c r="I2752" s="9"/>
      <c r="J2752" s="7" t="n">
        <v>7.5</v>
      </c>
      <c r="K2752" s="7" t="s">
        <v>2984</v>
      </c>
      <c r="L2752" s="7" t="s">
        <v>21</v>
      </c>
      <c r="M2752" s="7" t="s">
        <v>3256</v>
      </c>
      <c r="N2752" s="7" t="s">
        <v>53</v>
      </c>
      <c r="O2752" s="10" t="n">
        <f aca="false">'Exec Summary'!$E$2-H2752</f>
        <v>125</v>
      </c>
      <c r="P2752" s="10" t="str">
        <f aca="false">IF(I2752="","",I2752-H2752)</f>
        <v/>
      </c>
      <c r="Q2752" s="10" t="n">
        <f aca="false">VLOOKUP(G2752,$AA$2:$AB$5,2,FALSE())</f>
        <v>30</v>
      </c>
      <c r="R2752" s="7" t="n">
        <f aca="false">IF(OR(F2752="Open",F2752="Reopened"),1,0)</f>
        <v>1</v>
      </c>
      <c r="S2752" s="7" t="n">
        <f aca="false">IF(AND(H2752&gt;='Exec Summary'!$E$1,H2752&lt;='Exec Summary'!$E$2),1,0)</f>
        <v>0</v>
      </c>
      <c r="T2752" s="7" t="n">
        <f aca="false">IF(AND(F2752="Closed",I2752&lt;&gt;"",I2752&gt;='Exec Summary'!$E$1,I2752&lt;='Exec Summary'!$E$2),1,0)</f>
        <v>0</v>
      </c>
      <c r="U2752" s="7" t="n">
        <f aca="false">IF(F2752="Reopened",1,0)</f>
        <v>0</v>
      </c>
      <c r="V2752" s="7" t="n">
        <f aca="false">IF(AND(R2752=1,O2752&gt;Q2752),1,0)</f>
        <v>1</v>
      </c>
      <c r="W2752" s="7" t="n">
        <f aca="false">IF(AND(T2752=1,P2752&lt;&gt;"",P2752&lt;=Q2752),1,0)</f>
        <v>0</v>
      </c>
    </row>
    <row r="2753" customFormat="false" ht="15" hidden="false" customHeight="false" outlineLevel="0" collapsed="false">
      <c r="A2753" s="7" t="s">
        <v>3254</v>
      </c>
      <c r="B2753" s="7" t="s">
        <v>46</v>
      </c>
      <c r="C2753" s="7" t="s">
        <v>79</v>
      </c>
      <c r="D2753" s="7" t="s">
        <v>112</v>
      </c>
      <c r="E2753" s="7" t="s">
        <v>113</v>
      </c>
      <c r="F2753" s="7" t="s">
        <v>56</v>
      </c>
      <c r="G2753" s="7" t="s">
        <v>20</v>
      </c>
      <c r="H2753" s="9" t="n">
        <v>46070</v>
      </c>
      <c r="I2753" s="9"/>
      <c r="J2753" s="7" t="n">
        <v>7.8</v>
      </c>
      <c r="K2753" s="7" t="s">
        <v>2984</v>
      </c>
      <c r="L2753" s="7" t="s">
        <v>21</v>
      </c>
      <c r="M2753" s="7" t="s">
        <v>3257</v>
      </c>
      <c r="N2753" s="7" t="s">
        <v>53</v>
      </c>
      <c r="O2753" s="10" t="n">
        <f aca="false">'Exec Summary'!$E$2-H2753</f>
        <v>164</v>
      </c>
      <c r="P2753" s="10" t="str">
        <f aca="false">IF(I2753="","",I2753-H2753)</f>
        <v/>
      </c>
      <c r="Q2753" s="10" t="n">
        <f aca="false">VLOOKUP(G2753,$AA$2:$AB$5,2,FALSE())</f>
        <v>30</v>
      </c>
      <c r="R2753" s="7" t="n">
        <f aca="false">IF(OR(F2753="Open",F2753="Reopened"),1,0)</f>
        <v>1</v>
      </c>
      <c r="S2753" s="7" t="n">
        <f aca="false">IF(AND(H2753&gt;='Exec Summary'!$E$1,H2753&lt;='Exec Summary'!$E$2),1,0)</f>
        <v>0</v>
      </c>
      <c r="T2753" s="7" t="n">
        <f aca="false">IF(AND(F2753="Closed",I2753&lt;&gt;"",I2753&gt;='Exec Summary'!$E$1,I2753&lt;='Exec Summary'!$E$2),1,0)</f>
        <v>0</v>
      </c>
      <c r="U2753" s="7" t="n">
        <f aca="false">IF(F2753="Reopened",1,0)</f>
        <v>0</v>
      </c>
      <c r="V2753" s="7" t="n">
        <f aca="false">IF(AND(R2753=1,O2753&gt;Q2753),1,0)</f>
        <v>1</v>
      </c>
      <c r="W2753" s="7" t="n">
        <f aca="false">IF(AND(T2753=1,P2753&lt;&gt;"",P2753&lt;=Q2753),1,0)</f>
        <v>0</v>
      </c>
    </row>
    <row r="2754" customFormat="false" ht="15" hidden="false" customHeight="false" outlineLevel="0" collapsed="false">
      <c r="A2754" s="7" t="s">
        <v>3254</v>
      </c>
      <c r="B2754" s="7" t="s">
        <v>46</v>
      </c>
      <c r="C2754" s="7" t="s">
        <v>79</v>
      </c>
      <c r="D2754" s="7" t="s">
        <v>98</v>
      </c>
      <c r="E2754" s="7" t="s">
        <v>99</v>
      </c>
      <c r="F2754" s="7" t="s">
        <v>56</v>
      </c>
      <c r="G2754" s="7" t="s">
        <v>19</v>
      </c>
      <c r="H2754" s="9" t="n">
        <v>46197</v>
      </c>
      <c r="I2754" s="9"/>
      <c r="J2754" s="7" t="n">
        <v>10</v>
      </c>
      <c r="K2754" s="7" t="s">
        <v>2984</v>
      </c>
      <c r="L2754" s="7" t="s">
        <v>21</v>
      </c>
      <c r="M2754" s="7" t="s">
        <v>3258</v>
      </c>
      <c r="N2754" s="7" t="s">
        <v>58</v>
      </c>
      <c r="O2754" s="10" t="n">
        <f aca="false">'Exec Summary'!$E$2-H2754</f>
        <v>37</v>
      </c>
      <c r="P2754" s="10" t="str">
        <f aca="false">IF(I2754="","",I2754-H2754)</f>
        <v/>
      </c>
      <c r="Q2754" s="10" t="n">
        <f aca="false">VLOOKUP(G2754,$AA$2:$AB$5,2,FALSE())</f>
        <v>15</v>
      </c>
      <c r="R2754" s="7" t="n">
        <f aca="false">IF(OR(F2754="Open",F2754="Reopened"),1,0)</f>
        <v>1</v>
      </c>
      <c r="S2754" s="7" t="n">
        <f aca="false">IF(AND(H2754&gt;='Exec Summary'!$E$1,H2754&lt;='Exec Summary'!$E$2),1,0)</f>
        <v>0</v>
      </c>
      <c r="T2754" s="7" t="n">
        <f aca="false">IF(AND(F2754="Closed",I2754&lt;&gt;"",I2754&gt;='Exec Summary'!$E$1,I2754&lt;='Exec Summary'!$E$2),1,0)</f>
        <v>0</v>
      </c>
      <c r="U2754" s="7" t="n">
        <f aca="false">IF(F2754="Reopened",1,0)</f>
        <v>0</v>
      </c>
      <c r="V2754" s="7" t="n">
        <f aca="false">IF(AND(R2754=1,O2754&gt;Q2754),1,0)</f>
        <v>1</v>
      </c>
      <c r="W2754" s="7" t="n">
        <f aca="false">IF(AND(T2754=1,P2754&lt;&gt;"",P2754&lt;=Q2754),1,0)</f>
        <v>0</v>
      </c>
    </row>
    <row r="2755" customFormat="false" ht="15" hidden="false" customHeight="false" outlineLevel="0" collapsed="false">
      <c r="A2755" s="7" t="s">
        <v>3254</v>
      </c>
      <c r="B2755" s="7" t="s">
        <v>46</v>
      </c>
      <c r="C2755" s="7" t="s">
        <v>79</v>
      </c>
      <c r="D2755" s="7" t="s">
        <v>68</v>
      </c>
      <c r="E2755" s="7" t="s">
        <v>69</v>
      </c>
      <c r="F2755" s="7" t="s">
        <v>56</v>
      </c>
      <c r="G2755" s="7" t="s">
        <v>19</v>
      </c>
      <c r="H2755" s="9" t="n">
        <v>46207</v>
      </c>
      <c r="I2755" s="9"/>
      <c r="J2755" s="7" t="n">
        <v>9.8</v>
      </c>
      <c r="K2755" s="7" t="s">
        <v>2984</v>
      </c>
      <c r="L2755" s="7" t="s">
        <v>21</v>
      </c>
      <c r="M2755" s="7" t="s">
        <v>3259</v>
      </c>
      <c r="N2755" s="7" t="s">
        <v>58</v>
      </c>
      <c r="O2755" s="10" t="n">
        <f aca="false">'Exec Summary'!$E$2-H2755</f>
        <v>27</v>
      </c>
      <c r="P2755" s="10" t="str">
        <f aca="false">IF(I2755="","",I2755-H2755)</f>
        <v/>
      </c>
      <c r="Q2755" s="10" t="n">
        <f aca="false">VLOOKUP(G2755,$AA$2:$AB$5,2,FALSE())</f>
        <v>15</v>
      </c>
      <c r="R2755" s="7" t="n">
        <f aca="false">IF(OR(F2755="Open",F2755="Reopened"),1,0)</f>
        <v>1</v>
      </c>
      <c r="S2755" s="7" t="n">
        <f aca="false">IF(AND(H2755&gt;='Exec Summary'!$E$1,H2755&lt;='Exec Summary'!$E$2),1,0)</f>
        <v>1</v>
      </c>
      <c r="T2755" s="7" t="n">
        <f aca="false">IF(AND(F2755="Closed",I2755&lt;&gt;"",I2755&gt;='Exec Summary'!$E$1,I2755&lt;='Exec Summary'!$E$2),1,0)</f>
        <v>0</v>
      </c>
      <c r="U2755" s="7" t="n">
        <f aca="false">IF(F2755="Reopened",1,0)</f>
        <v>0</v>
      </c>
      <c r="V2755" s="7" t="n">
        <f aca="false">IF(AND(R2755=1,O2755&gt;Q2755),1,0)</f>
        <v>1</v>
      </c>
      <c r="W2755" s="7" t="n">
        <f aca="false">IF(AND(T2755=1,P2755&lt;&gt;"",P2755&lt;=Q2755),1,0)</f>
        <v>0</v>
      </c>
    </row>
    <row r="2756" customFormat="false" ht="15" hidden="false" customHeight="false" outlineLevel="0" collapsed="false">
      <c r="A2756" s="7" t="s">
        <v>3254</v>
      </c>
      <c r="B2756" s="7" t="s">
        <v>46</v>
      </c>
      <c r="C2756" s="7" t="s">
        <v>79</v>
      </c>
      <c r="D2756" s="7" t="s">
        <v>210</v>
      </c>
      <c r="E2756" s="7" t="s">
        <v>211</v>
      </c>
      <c r="F2756" s="7" t="s">
        <v>50</v>
      </c>
      <c r="G2756" s="7" t="s">
        <v>19</v>
      </c>
      <c r="H2756" s="9" t="n">
        <v>46142</v>
      </c>
      <c r="I2756" s="9" t="n">
        <v>46157</v>
      </c>
      <c r="J2756" s="7" t="n">
        <v>9.8</v>
      </c>
      <c r="K2756" s="7" t="s">
        <v>2984</v>
      </c>
      <c r="L2756" s="7" t="s">
        <v>21</v>
      </c>
      <c r="M2756" s="7" t="s">
        <v>3260</v>
      </c>
      <c r="N2756" s="7" t="s">
        <v>58</v>
      </c>
      <c r="O2756" s="10" t="n">
        <f aca="false">'Exec Summary'!$E$2-H2756</f>
        <v>92</v>
      </c>
      <c r="P2756" s="10" t="n">
        <f aca="false">IF(I2756="","",I2756-H2756)</f>
        <v>15</v>
      </c>
      <c r="Q2756" s="10" t="n">
        <f aca="false">VLOOKUP(G2756,$AA$2:$AB$5,2,FALSE())</f>
        <v>15</v>
      </c>
      <c r="R2756" s="7" t="n">
        <f aca="false">IF(OR(F2756="Open",F2756="Reopened"),1,0)</f>
        <v>0</v>
      </c>
      <c r="S2756" s="7" t="n">
        <f aca="false">IF(AND(H2756&gt;='Exec Summary'!$E$1,H2756&lt;='Exec Summary'!$E$2),1,0)</f>
        <v>0</v>
      </c>
      <c r="T2756" s="7" t="n">
        <f aca="false">IF(AND(F2756="Closed",I2756&lt;&gt;"",I2756&gt;='Exec Summary'!$E$1,I2756&lt;='Exec Summary'!$E$2),1,0)</f>
        <v>0</v>
      </c>
      <c r="U2756" s="7" t="n">
        <f aca="false">IF(F2756="Reopened",1,0)</f>
        <v>0</v>
      </c>
      <c r="V2756" s="7" t="n">
        <f aca="false">IF(AND(R2756=1,O2756&gt;Q2756),1,0)</f>
        <v>0</v>
      </c>
      <c r="W2756" s="7" t="n">
        <f aca="false">IF(AND(T2756=1,P2756&lt;&gt;"",P2756&lt;=Q2756),1,0)</f>
        <v>0</v>
      </c>
    </row>
    <row r="2757" customFormat="false" ht="15" hidden="false" customHeight="false" outlineLevel="0" collapsed="false">
      <c r="A2757" s="7" t="s">
        <v>3254</v>
      </c>
      <c r="B2757" s="7" t="s">
        <v>46</v>
      </c>
      <c r="C2757" s="7" t="s">
        <v>79</v>
      </c>
      <c r="D2757" s="7" t="s">
        <v>74</v>
      </c>
      <c r="E2757" s="7" t="s">
        <v>75</v>
      </c>
      <c r="F2757" s="7" t="s">
        <v>56</v>
      </c>
      <c r="G2757" s="7" t="s">
        <v>21</v>
      </c>
      <c r="H2757" s="9" t="n">
        <v>45977</v>
      </c>
      <c r="I2757" s="9"/>
      <c r="J2757" s="7" t="n">
        <v>6.5</v>
      </c>
      <c r="K2757" s="7" t="s">
        <v>2984</v>
      </c>
      <c r="L2757" s="7" t="s">
        <v>21</v>
      </c>
      <c r="M2757" s="7" t="s">
        <v>3261</v>
      </c>
      <c r="N2757" s="7" t="s">
        <v>77</v>
      </c>
      <c r="O2757" s="10" t="n">
        <f aca="false">'Exec Summary'!$E$2-H2757</f>
        <v>257</v>
      </c>
      <c r="P2757" s="10" t="str">
        <f aca="false">IF(I2757="","",I2757-H2757)</f>
        <v/>
      </c>
      <c r="Q2757" s="10" t="n">
        <f aca="false">VLOOKUP(G2757,$AA$2:$AB$5,2,FALSE())</f>
        <v>90</v>
      </c>
      <c r="R2757" s="7" t="n">
        <f aca="false">IF(OR(F2757="Open",F2757="Reopened"),1,0)</f>
        <v>1</v>
      </c>
      <c r="S2757" s="7" t="n">
        <f aca="false">IF(AND(H2757&gt;='Exec Summary'!$E$1,H2757&lt;='Exec Summary'!$E$2),1,0)</f>
        <v>0</v>
      </c>
      <c r="T2757" s="7" t="n">
        <f aca="false">IF(AND(F2757="Closed",I2757&lt;&gt;"",I2757&gt;='Exec Summary'!$E$1,I2757&lt;='Exec Summary'!$E$2),1,0)</f>
        <v>0</v>
      </c>
      <c r="U2757" s="7" t="n">
        <f aca="false">IF(F2757="Reopened",1,0)</f>
        <v>0</v>
      </c>
      <c r="V2757" s="7" t="n">
        <f aca="false">IF(AND(R2757=1,O2757&gt;Q2757),1,0)</f>
        <v>1</v>
      </c>
      <c r="W2757" s="7" t="n">
        <f aca="false">IF(AND(T2757=1,P2757&lt;&gt;"",P2757&lt;=Q2757),1,0)</f>
        <v>0</v>
      </c>
    </row>
    <row r="2758" customFormat="false" ht="15" hidden="false" customHeight="false" outlineLevel="0" collapsed="false">
      <c r="A2758" s="7" t="s">
        <v>3254</v>
      </c>
      <c r="B2758" s="7" t="s">
        <v>46</v>
      </c>
      <c r="C2758" s="7" t="s">
        <v>79</v>
      </c>
      <c r="D2758" s="7" t="s">
        <v>120</v>
      </c>
      <c r="E2758" s="7" t="s">
        <v>121</v>
      </c>
      <c r="F2758" s="7" t="s">
        <v>50</v>
      </c>
      <c r="G2758" s="7" t="s">
        <v>19</v>
      </c>
      <c r="H2758" s="9" t="n">
        <v>46068</v>
      </c>
      <c r="I2758" s="9" t="n">
        <v>46069</v>
      </c>
      <c r="J2758" s="7" t="n">
        <v>8.8</v>
      </c>
      <c r="K2758" s="7" t="s">
        <v>2984</v>
      </c>
      <c r="L2758" s="7" t="s">
        <v>21</v>
      </c>
      <c r="M2758" s="7" t="s">
        <v>3262</v>
      </c>
      <c r="N2758" s="7" t="s">
        <v>58</v>
      </c>
      <c r="O2758" s="10" t="n">
        <f aca="false">'Exec Summary'!$E$2-H2758</f>
        <v>166</v>
      </c>
      <c r="P2758" s="10" t="n">
        <f aca="false">IF(I2758="","",I2758-H2758)</f>
        <v>1</v>
      </c>
      <c r="Q2758" s="10" t="n">
        <f aca="false">VLOOKUP(G2758,$AA$2:$AB$5,2,FALSE())</f>
        <v>15</v>
      </c>
      <c r="R2758" s="7" t="n">
        <f aca="false">IF(OR(F2758="Open",F2758="Reopened"),1,0)</f>
        <v>0</v>
      </c>
      <c r="S2758" s="7" t="n">
        <f aca="false">IF(AND(H2758&gt;='Exec Summary'!$E$1,H2758&lt;='Exec Summary'!$E$2),1,0)</f>
        <v>0</v>
      </c>
      <c r="T2758" s="7" t="n">
        <f aca="false">IF(AND(F2758="Closed",I2758&lt;&gt;"",I2758&gt;='Exec Summary'!$E$1,I2758&lt;='Exec Summary'!$E$2),1,0)</f>
        <v>0</v>
      </c>
      <c r="U2758" s="7" t="n">
        <f aca="false">IF(F2758="Reopened",1,0)</f>
        <v>0</v>
      </c>
      <c r="V2758" s="7" t="n">
        <f aca="false">IF(AND(R2758=1,O2758&gt;Q2758),1,0)</f>
        <v>0</v>
      </c>
      <c r="W2758" s="7" t="n">
        <f aca="false">IF(AND(T2758=1,P2758&lt;&gt;"",P2758&lt;=Q2758),1,0)</f>
        <v>0</v>
      </c>
    </row>
    <row r="2759" customFormat="false" ht="15" hidden="false" customHeight="false" outlineLevel="0" collapsed="false">
      <c r="A2759" s="7" t="s">
        <v>3254</v>
      </c>
      <c r="B2759" s="7" t="s">
        <v>46</v>
      </c>
      <c r="C2759" s="7" t="s">
        <v>79</v>
      </c>
      <c r="D2759" s="7" t="s">
        <v>62</v>
      </c>
      <c r="E2759" s="7" t="s">
        <v>63</v>
      </c>
      <c r="F2759" s="7" t="s">
        <v>56</v>
      </c>
      <c r="G2759" s="7" t="s">
        <v>20</v>
      </c>
      <c r="H2759" s="9" t="n">
        <v>46169</v>
      </c>
      <c r="I2759" s="9"/>
      <c r="J2759" s="7" t="n">
        <v>8.1</v>
      </c>
      <c r="K2759" s="7" t="s">
        <v>2984</v>
      </c>
      <c r="L2759" s="7" t="s">
        <v>21</v>
      </c>
      <c r="M2759" s="7" t="s">
        <v>3263</v>
      </c>
      <c r="N2759" s="7" t="s">
        <v>53</v>
      </c>
      <c r="O2759" s="10" t="n">
        <f aca="false">'Exec Summary'!$E$2-H2759</f>
        <v>65</v>
      </c>
      <c r="P2759" s="10" t="str">
        <f aca="false">IF(I2759="","",I2759-H2759)</f>
        <v/>
      </c>
      <c r="Q2759" s="10" t="n">
        <f aca="false">VLOOKUP(G2759,$AA$2:$AB$5,2,FALSE())</f>
        <v>30</v>
      </c>
      <c r="R2759" s="7" t="n">
        <f aca="false">IF(OR(F2759="Open",F2759="Reopened"),1,0)</f>
        <v>1</v>
      </c>
      <c r="S2759" s="7" t="n">
        <f aca="false">IF(AND(H2759&gt;='Exec Summary'!$E$1,H2759&lt;='Exec Summary'!$E$2),1,0)</f>
        <v>0</v>
      </c>
      <c r="T2759" s="7" t="n">
        <f aca="false">IF(AND(F2759="Closed",I2759&lt;&gt;"",I2759&gt;='Exec Summary'!$E$1,I2759&lt;='Exec Summary'!$E$2),1,0)</f>
        <v>0</v>
      </c>
      <c r="U2759" s="7" t="n">
        <f aca="false">IF(F2759="Reopened",1,0)</f>
        <v>0</v>
      </c>
      <c r="V2759" s="7" t="n">
        <f aca="false">IF(AND(R2759=1,O2759&gt;Q2759),1,0)</f>
        <v>1</v>
      </c>
      <c r="W2759" s="7" t="n">
        <f aca="false">IF(AND(T2759=1,P2759&lt;&gt;"",P2759&lt;=Q2759),1,0)</f>
        <v>0</v>
      </c>
    </row>
    <row r="2760" customFormat="false" ht="15" hidden="false" customHeight="false" outlineLevel="0" collapsed="false">
      <c r="A2760" s="7" t="s">
        <v>3254</v>
      </c>
      <c r="B2760" s="7" t="s">
        <v>46</v>
      </c>
      <c r="C2760" s="7" t="s">
        <v>79</v>
      </c>
      <c r="D2760" s="7" t="s">
        <v>131</v>
      </c>
      <c r="E2760" s="7" t="s">
        <v>132</v>
      </c>
      <c r="F2760" s="7" t="s">
        <v>56</v>
      </c>
      <c r="G2760" s="7" t="s">
        <v>19</v>
      </c>
      <c r="H2760" s="9" t="n">
        <v>46121</v>
      </c>
      <c r="I2760" s="9"/>
      <c r="J2760" s="7" t="n">
        <v>9.8</v>
      </c>
      <c r="K2760" s="7" t="s">
        <v>2984</v>
      </c>
      <c r="L2760" s="7" t="s">
        <v>21</v>
      </c>
      <c r="M2760" s="7" t="s">
        <v>3264</v>
      </c>
      <c r="N2760" s="7" t="s">
        <v>58</v>
      </c>
      <c r="O2760" s="10" t="n">
        <f aca="false">'Exec Summary'!$E$2-H2760</f>
        <v>113</v>
      </c>
      <c r="P2760" s="10" t="str">
        <f aca="false">IF(I2760="","",I2760-H2760)</f>
        <v/>
      </c>
      <c r="Q2760" s="10" t="n">
        <f aca="false">VLOOKUP(G2760,$AA$2:$AB$5,2,FALSE())</f>
        <v>15</v>
      </c>
      <c r="R2760" s="7" t="n">
        <f aca="false">IF(OR(F2760="Open",F2760="Reopened"),1,0)</f>
        <v>1</v>
      </c>
      <c r="S2760" s="7" t="n">
        <f aca="false">IF(AND(H2760&gt;='Exec Summary'!$E$1,H2760&lt;='Exec Summary'!$E$2),1,0)</f>
        <v>0</v>
      </c>
      <c r="T2760" s="7" t="n">
        <f aca="false">IF(AND(F2760="Closed",I2760&lt;&gt;"",I2760&gt;='Exec Summary'!$E$1,I2760&lt;='Exec Summary'!$E$2),1,0)</f>
        <v>0</v>
      </c>
      <c r="U2760" s="7" t="n">
        <f aca="false">IF(F2760="Reopened",1,0)</f>
        <v>0</v>
      </c>
      <c r="V2760" s="7" t="n">
        <f aca="false">IF(AND(R2760=1,O2760&gt;Q2760),1,0)</f>
        <v>1</v>
      </c>
      <c r="W2760" s="7" t="n">
        <f aca="false">IF(AND(T2760=1,P2760&lt;&gt;"",P2760&lt;=Q2760),1,0)</f>
        <v>0</v>
      </c>
    </row>
    <row r="2761" customFormat="false" ht="15" hidden="false" customHeight="false" outlineLevel="0" collapsed="false">
      <c r="A2761" s="7" t="s">
        <v>3265</v>
      </c>
      <c r="B2761" s="7" t="s">
        <v>46</v>
      </c>
      <c r="C2761" s="7" t="s">
        <v>128</v>
      </c>
      <c r="D2761" s="7" t="s">
        <v>192</v>
      </c>
      <c r="E2761" s="7" t="s">
        <v>193</v>
      </c>
      <c r="F2761" s="7" t="s">
        <v>50</v>
      </c>
      <c r="G2761" s="7" t="s">
        <v>19</v>
      </c>
      <c r="H2761" s="9" t="n">
        <v>46070</v>
      </c>
      <c r="I2761" s="9" t="n">
        <v>46076</v>
      </c>
      <c r="J2761" s="7" t="n">
        <v>9.8</v>
      </c>
      <c r="K2761" s="7" t="s">
        <v>2984</v>
      </c>
      <c r="L2761" s="7" t="s">
        <v>21</v>
      </c>
      <c r="M2761" s="7" t="s">
        <v>3266</v>
      </c>
      <c r="N2761" s="7" t="s">
        <v>58</v>
      </c>
      <c r="O2761" s="10" t="n">
        <f aca="false">'Exec Summary'!$E$2-H2761</f>
        <v>164</v>
      </c>
      <c r="P2761" s="10" t="n">
        <f aca="false">IF(I2761="","",I2761-H2761)</f>
        <v>6</v>
      </c>
      <c r="Q2761" s="10" t="n">
        <f aca="false">VLOOKUP(G2761,$AA$2:$AB$5,2,FALSE())</f>
        <v>15</v>
      </c>
      <c r="R2761" s="7" t="n">
        <f aca="false">IF(OR(F2761="Open",F2761="Reopened"),1,0)</f>
        <v>0</v>
      </c>
      <c r="S2761" s="7" t="n">
        <f aca="false">IF(AND(H2761&gt;='Exec Summary'!$E$1,H2761&lt;='Exec Summary'!$E$2),1,0)</f>
        <v>0</v>
      </c>
      <c r="T2761" s="7" t="n">
        <f aca="false">IF(AND(F2761="Closed",I2761&lt;&gt;"",I2761&gt;='Exec Summary'!$E$1,I2761&lt;='Exec Summary'!$E$2),1,0)</f>
        <v>0</v>
      </c>
      <c r="U2761" s="7" t="n">
        <f aca="false">IF(F2761="Reopened",1,0)</f>
        <v>0</v>
      </c>
      <c r="V2761" s="7" t="n">
        <f aca="false">IF(AND(R2761=1,O2761&gt;Q2761),1,0)</f>
        <v>0</v>
      </c>
      <c r="W2761" s="7" t="n">
        <f aca="false">IF(AND(T2761=1,P2761&lt;&gt;"",P2761&lt;=Q2761),1,0)</f>
        <v>0</v>
      </c>
    </row>
    <row r="2762" customFormat="false" ht="15" hidden="false" customHeight="false" outlineLevel="0" collapsed="false">
      <c r="A2762" s="7" t="s">
        <v>3265</v>
      </c>
      <c r="B2762" s="7" t="s">
        <v>46</v>
      </c>
      <c r="C2762" s="7" t="s">
        <v>128</v>
      </c>
      <c r="D2762" s="7" t="s">
        <v>120</v>
      </c>
      <c r="E2762" s="7" t="s">
        <v>121</v>
      </c>
      <c r="F2762" s="7" t="s">
        <v>56</v>
      </c>
      <c r="G2762" s="7" t="s">
        <v>19</v>
      </c>
      <c r="H2762" s="9" t="n">
        <v>46222</v>
      </c>
      <c r="I2762" s="9"/>
      <c r="J2762" s="7" t="n">
        <v>8.8</v>
      </c>
      <c r="K2762" s="7" t="s">
        <v>2984</v>
      </c>
      <c r="L2762" s="7" t="s">
        <v>21</v>
      </c>
      <c r="M2762" s="7" t="s">
        <v>3267</v>
      </c>
      <c r="N2762" s="7" t="s">
        <v>58</v>
      </c>
      <c r="O2762" s="10" t="n">
        <f aca="false">'Exec Summary'!$E$2-H2762</f>
        <v>12</v>
      </c>
      <c r="P2762" s="10" t="str">
        <f aca="false">IF(I2762="","",I2762-H2762)</f>
        <v/>
      </c>
      <c r="Q2762" s="10" t="n">
        <f aca="false">VLOOKUP(G2762,$AA$2:$AB$5,2,FALSE())</f>
        <v>15</v>
      </c>
      <c r="R2762" s="7" t="n">
        <f aca="false">IF(OR(F2762="Open",F2762="Reopened"),1,0)</f>
        <v>1</v>
      </c>
      <c r="S2762" s="7" t="n">
        <f aca="false">IF(AND(H2762&gt;='Exec Summary'!$E$1,H2762&lt;='Exec Summary'!$E$2),1,0)</f>
        <v>1</v>
      </c>
      <c r="T2762" s="7" t="n">
        <f aca="false">IF(AND(F2762="Closed",I2762&lt;&gt;"",I2762&gt;='Exec Summary'!$E$1,I2762&lt;='Exec Summary'!$E$2),1,0)</f>
        <v>0</v>
      </c>
      <c r="U2762" s="7" t="n">
        <f aca="false">IF(F2762="Reopened",1,0)</f>
        <v>0</v>
      </c>
      <c r="V2762" s="7" t="n">
        <f aca="false">IF(AND(R2762=1,O2762&gt;Q2762),1,0)</f>
        <v>0</v>
      </c>
      <c r="W2762" s="7" t="n">
        <f aca="false">IF(AND(T2762=1,P2762&lt;&gt;"",P2762&lt;=Q2762),1,0)</f>
        <v>0</v>
      </c>
    </row>
    <row r="2763" customFormat="false" ht="15" hidden="false" customHeight="false" outlineLevel="0" collapsed="false">
      <c r="A2763" s="7" t="s">
        <v>3265</v>
      </c>
      <c r="B2763" s="7" t="s">
        <v>46</v>
      </c>
      <c r="C2763" s="7" t="s">
        <v>128</v>
      </c>
      <c r="D2763" s="7" t="s">
        <v>173</v>
      </c>
      <c r="E2763" s="7" t="s">
        <v>174</v>
      </c>
      <c r="F2763" s="7" t="s">
        <v>56</v>
      </c>
      <c r="G2763" s="7" t="s">
        <v>19</v>
      </c>
      <c r="H2763" s="9" t="n">
        <v>46103</v>
      </c>
      <c r="I2763" s="9"/>
      <c r="J2763" s="7" t="n">
        <v>9.8</v>
      </c>
      <c r="K2763" s="7" t="s">
        <v>2984</v>
      </c>
      <c r="L2763" s="7" t="s">
        <v>21</v>
      </c>
      <c r="M2763" s="7" t="s">
        <v>3268</v>
      </c>
      <c r="N2763" s="7" t="s">
        <v>58</v>
      </c>
      <c r="O2763" s="10" t="n">
        <f aca="false">'Exec Summary'!$E$2-H2763</f>
        <v>131</v>
      </c>
      <c r="P2763" s="10" t="str">
        <f aca="false">IF(I2763="","",I2763-H2763)</f>
        <v/>
      </c>
      <c r="Q2763" s="10" t="n">
        <f aca="false">VLOOKUP(G2763,$AA$2:$AB$5,2,FALSE())</f>
        <v>15</v>
      </c>
      <c r="R2763" s="7" t="n">
        <f aca="false">IF(OR(F2763="Open",F2763="Reopened"),1,0)</f>
        <v>1</v>
      </c>
      <c r="S2763" s="7" t="n">
        <f aca="false">IF(AND(H2763&gt;='Exec Summary'!$E$1,H2763&lt;='Exec Summary'!$E$2),1,0)</f>
        <v>0</v>
      </c>
      <c r="T2763" s="7" t="n">
        <f aca="false">IF(AND(F2763="Closed",I2763&lt;&gt;"",I2763&gt;='Exec Summary'!$E$1,I2763&lt;='Exec Summary'!$E$2),1,0)</f>
        <v>0</v>
      </c>
      <c r="U2763" s="7" t="n">
        <f aca="false">IF(F2763="Reopened",1,0)</f>
        <v>0</v>
      </c>
      <c r="V2763" s="7" t="n">
        <f aca="false">IF(AND(R2763=1,O2763&gt;Q2763),1,0)</f>
        <v>1</v>
      </c>
      <c r="W2763" s="7" t="n">
        <f aca="false">IF(AND(T2763=1,P2763&lt;&gt;"",P2763&lt;=Q2763),1,0)</f>
        <v>0</v>
      </c>
    </row>
    <row r="2764" customFormat="false" ht="15" hidden="false" customHeight="false" outlineLevel="0" collapsed="false">
      <c r="A2764" s="7" t="s">
        <v>3265</v>
      </c>
      <c r="B2764" s="7" t="s">
        <v>46</v>
      </c>
      <c r="C2764" s="7" t="s">
        <v>128</v>
      </c>
      <c r="D2764" s="7" t="s">
        <v>54</v>
      </c>
      <c r="E2764" s="7" t="s">
        <v>55</v>
      </c>
      <c r="F2764" s="7" t="s">
        <v>56</v>
      </c>
      <c r="G2764" s="7" t="s">
        <v>19</v>
      </c>
      <c r="H2764" s="9" t="n">
        <v>46071</v>
      </c>
      <c r="I2764" s="9"/>
      <c r="J2764" s="7" t="n">
        <v>9.8</v>
      </c>
      <c r="K2764" s="7" t="s">
        <v>2984</v>
      </c>
      <c r="L2764" s="7" t="s">
        <v>21</v>
      </c>
      <c r="M2764" s="7" t="s">
        <v>3269</v>
      </c>
      <c r="N2764" s="7" t="s">
        <v>58</v>
      </c>
      <c r="O2764" s="10" t="n">
        <f aca="false">'Exec Summary'!$E$2-H2764</f>
        <v>163</v>
      </c>
      <c r="P2764" s="10" t="str">
        <f aca="false">IF(I2764="","",I2764-H2764)</f>
        <v/>
      </c>
      <c r="Q2764" s="10" t="n">
        <f aca="false">VLOOKUP(G2764,$AA$2:$AB$5,2,FALSE())</f>
        <v>15</v>
      </c>
      <c r="R2764" s="7" t="n">
        <f aca="false">IF(OR(F2764="Open",F2764="Reopened"),1,0)</f>
        <v>1</v>
      </c>
      <c r="S2764" s="7" t="n">
        <f aca="false">IF(AND(H2764&gt;='Exec Summary'!$E$1,H2764&lt;='Exec Summary'!$E$2),1,0)</f>
        <v>0</v>
      </c>
      <c r="T2764" s="7" t="n">
        <f aca="false">IF(AND(F2764="Closed",I2764&lt;&gt;"",I2764&gt;='Exec Summary'!$E$1,I2764&lt;='Exec Summary'!$E$2),1,0)</f>
        <v>0</v>
      </c>
      <c r="U2764" s="7" t="n">
        <f aca="false">IF(F2764="Reopened",1,0)</f>
        <v>0</v>
      </c>
      <c r="V2764" s="7" t="n">
        <f aca="false">IF(AND(R2764=1,O2764&gt;Q2764),1,0)</f>
        <v>1</v>
      </c>
      <c r="W2764" s="7" t="n">
        <f aca="false">IF(AND(T2764=1,P2764&lt;&gt;"",P2764&lt;=Q2764),1,0)</f>
        <v>0</v>
      </c>
    </row>
    <row r="2765" customFormat="false" ht="15" hidden="false" customHeight="false" outlineLevel="0" collapsed="false">
      <c r="A2765" s="7" t="s">
        <v>3265</v>
      </c>
      <c r="B2765" s="7" t="s">
        <v>46</v>
      </c>
      <c r="C2765" s="7" t="s">
        <v>128</v>
      </c>
      <c r="D2765" s="7" t="s">
        <v>84</v>
      </c>
      <c r="E2765" s="7" t="s">
        <v>85</v>
      </c>
      <c r="F2765" s="7" t="s">
        <v>50</v>
      </c>
      <c r="G2765" s="7" t="s">
        <v>20</v>
      </c>
      <c r="H2765" s="9" t="n">
        <v>46036</v>
      </c>
      <c r="I2765" s="9" t="n">
        <v>46059</v>
      </c>
      <c r="J2765" s="7" t="n">
        <v>7.5</v>
      </c>
      <c r="K2765" s="7" t="s">
        <v>2984</v>
      </c>
      <c r="L2765" s="7" t="s">
        <v>21</v>
      </c>
      <c r="M2765" s="7" t="s">
        <v>3270</v>
      </c>
      <c r="N2765" s="7" t="s">
        <v>53</v>
      </c>
      <c r="O2765" s="10" t="n">
        <f aca="false">'Exec Summary'!$E$2-H2765</f>
        <v>198</v>
      </c>
      <c r="P2765" s="10" t="n">
        <f aca="false">IF(I2765="","",I2765-H2765)</f>
        <v>23</v>
      </c>
      <c r="Q2765" s="10" t="n">
        <f aca="false">VLOOKUP(G2765,$AA$2:$AB$5,2,FALSE())</f>
        <v>30</v>
      </c>
      <c r="R2765" s="7" t="n">
        <f aca="false">IF(OR(F2765="Open",F2765="Reopened"),1,0)</f>
        <v>0</v>
      </c>
      <c r="S2765" s="7" t="n">
        <f aca="false">IF(AND(H2765&gt;='Exec Summary'!$E$1,H2765&lt;='Exec Summary'!$E$2),1,0)</f>
        <v>0</v>
      </c>
      <c r="T2765" s="7" t="n">
        <f aca="false">IF(AND(F2765="Closed",I2765&lt;&gt;"",I2765&gt;='Exec Summary'!$E$1,I2765&lt;='Exec Summary'!$E$2),1,0)</f>
        <v>0</v>
      </c>
      <c r="U2765" s="7" t="n">
        <f aca="false">IF(F2765="Reopened",1,0)</f>
        <v>0</v>
      </c>
      <c r="V2765" s="7" t="n">
        <f aca="false">IF(AND(R2765=1,O2765&gt;Q2765),1,0)</f>
        <v>0</v>
      </c>
      <c r="W2765" s="7" t="n">
        <f aca="false">IF(AND(T2765=1,P2765&lt;&gt;"",P2765&lt;=Q2765),1,0)</f>
        <v>0</v>
      </c>
    </row>
    <row r="2766" customFormat="false" ht="15" hidden="false" customHeight="false" outlineLevel="0" collapsed="false">
      <c r="A2766" s="7" t="s">
        <v>3265</v>
      </c>
      <c r="B2766" s="7" t="s">
        <v>46</v>
      </c>
      <c r="C2766" s="7" t="s">
        <v>128</v>
      </c>
      <c r="D2766" s="7" t="s">
        <v>210</v>
      </c>
      <c r="E2766" s="7" t="s">
        <v>211</v>
      </c>
      <c r="F2766" s="7" t="s">
        <v>50</v>
      </c>
      <c r="G2766" s="7" t="s">
        <v>19</v>
      </c>
      <c r="H2766" s="9" t="n">
        <v>46135</v>
      </c>
      <c r="I2766" s="9" t="n">
        <v>46152</v>
      </c>
      <c r="J2766" s="7" t="n">
        <v>9.8</v>
      </c>
      <c r="K2766" s="7" t="s">
        <v>2984</v>
      </c>
      <c r="L2766" s="7" t="s">
        <v>21</v>
      </c>
      <c r="M2766" s="7" t="s">
        <v>3271</v>
      </c>
      <c r="N2766" s="7" t="s">
        <v>58</v>
      </c>
      <c r="O2766" s="10" t="n">
        <f aca="false">'Exec Summary'!$E$2-H2766</f>
        <v>99</v>
      </c>
      <c r="P2766" s="10" t="n">
        <f aca="false">IF(I2766="","",I2766-H2766)</f>
        <v>17</v>
      </c>
      <c r="Q2766" s="10" t="n">
        <f aca="false">VLOOKUP(G2766,$AA$2:$AB$5,2,FALSE())</f>
        <v>15</v>
      </c>
      <c r="R2766" s="7" t="n">
        <f aca="false">IF(OR(F2766="Open",F2766="Reopened"),1,0)</f>
        <v>0</v>
      </c>
      <c r="S2766" s="7" t="n">
        <f aca="false">IF(AND(H2766&gt;='Exec Summary'!$E$1,H2766&lt;='Exec Summary'!$E$2),1,0)</f>
        <v>0</v>
      </c>
      <c r="T2766" s="7" t="n">
        <f aca="false">IF(AND(F2766="Closed",I2766&lt;&gt;"",I2766&gt;='Exec Summary'!$E$1,I2766&lt;='Exec Summary'!$E$2),1,0)</f>
        <v>0</v>
      </c>
      <c r="U2766" s="7" t="n">
        <f aca="false">IF(F2766="Reopened",1,0)</f>
        <v>0</v>
      </c>
      <c r="V2766" s="7" t="n">
        <f aca="false">IF(AND(R2766=1,O2766&gt;Q2766),1,0)</f>
        <v>0</v>
      </c>
      <c r="W2766" s="7" t="n">
        <f aca="false">IF(AND(T2766=1,P2766&lt;&gt;"",P2766&lt;=Q2766),1,0)</f>
        <v>0</v>
      </c>
    </row>
    <row r="2767" customFormat="false" ht="15" hidden="false" customHeight="false" outlineLevel="0" collapsed="false">
      <c r="A2767" s="7" t="s">
        <v>3265</v>
      </c>
      <c r="B2767" s="7" t="s">
        <v>46</v>
      </c>
      <c r="C2767" s="7" t="s">
        <v>128</v>
      </c>
      <c r="D2767" s="7" t="s">
        <v>81</v>
      </c>
      <c r="E2767" s="7" t="s">
        <v>82</v>
      </c>
      <c r="F2767" s="7" t="s">
        <v>56</v>
      </c>
      <c r="G2767" s="7" t="s">
        <v>20</v>
      </c>
      <c r="H2767" s="9" t="n">
        <v>46129</v>
      </c>
      <c r="I2767" s="9"/>
      <c r="J2767" s="7" t="n">
        <v>7.8</v>
      </c>
      <c r="K2767" s="7" t="s">
        <v>2984</v>
      </c>
      <c r="L2767" s="7" t="s">
        <v>21</v>
      </c>
      <c r="M2767" s="7" t="s">
        <v>3272</v>
      </c>
      <c r="N2767" s="7" t="s">
        <v>53</v>
      </c>
      <c r="O2767" s="10" t="n">
        <f aca="false">'Exec Summary'!$E$2-H2767</f>
        <v>105</v>
      </c>
      <c r="P2767" s="10" t="str">
        <f aca="false">IF(I2767="","",I2767-H2767)</f>
        <v/>
      </c>
      <c r="Q2767" s="10" t="n">
        <f aca="false">VLOOKUP(G2767,$AA$2:$AB$5,2,FALSE())</f>
        <v>30</v>
      </c>
      <c r="R2767" s="7" t="n">
        <f aca="false">IF(OR(F2767="Open",F2767="Reopened"),1,0)</f>
        <v>1</v>
      </c>
      <c r="S2767" s="7" t="n">
        <f aca="false">IF(AND(H2767&gt;='Exec Summary'!$E$1,H2767&lt;='Exec Summary'!$E$2),1,0)</f>
        <v>0</v>
      </c>
      <c r="T2767" s="7" t="n">
        <f aca="false">IF(AND(F2767="Closed",I2767&lt;&gt;"",I2767&gt;='Exec Summary'!$E$1,I2767&lt;='Exec Summary'!$E$2),1,0)</f>
        <v>0</v>
      </c>
      <c r="U2767" s="7" t="n">
        <f aca="false">IF(F2767="Reopened",1,0)</f>
        <v>0</v>
      </c>
      <c r="V2767" s="7" t="n">
        <f aca="false">IF(AND(R2767=1,O2767&gt;Q2767),1,0)</f>
        <v>1</v>
      </c>
      <c r="W2767" s="7" t="n">
        <f aca="false">IF(AND(T2767=1,P2767&lt;&gt;"",P2767&lt;=Q2767),1,0)</f>
        <v>0</v>
      </c>
    </row>
    <row r="2768" customFormat="false" ht="15" hidden="false" customHeight="false" outlineLevel="0" collapsed="false">
      <c r="A2768" s="7" t="s">
        <v>3265</v>
      </c>
      <c r="B2768" s="7" t="s">
        <v>46</v>
      </c>
      <c r="C2768" s="7" t="s">
        <v>128</v>
      </c>
      <c r="D2768" s="7" t="s">
        <v>166</v>
      </c>
      <c r="E2768" s="7" t="s">
        <v>167</v>
      </c>
      <c r="F2768" s="7" t="s">
        <v>50</v>
      </c>
      <c r="G2768" s="7" t="s">
        <v>19</v>
      </c>
      <c r="H2768" s="9" t="n">
        <v>46154</v>
      </c>
      <c r="I2768" s="9" t="n">
        <v>46164</v>
      </c>
      <c r="J2768" s="7" t="n">
        <v>9.8</v>
      </c>
      <c r="K2768" s="7" t="s">
        <v>2984</v>
      </c>
      <c r="L2768" s="7" t="s">
        <v>21</v>
      </c>
      <c r="M2768" s="7" t="s">
        <v>3273</v>
      </c>
      <c r="N2768" s="7" t="s">
        <v>58</v>
      </c>
      <c r="O2768" s="10" t="n">
        <f aca="false">'Exec Summary'!$E$2-H2768</f>
        <v>80</v>
      </c>
      <c r="P2768" s="10" t="n">
        <f aca="false">IF(I2768="","",I2768-H2768)</f>
        <v>10</v>
      </c>
      <c r="Q2768" s="10" t="n">
        <f aca="false">VLOOKUP(G2768,$AA$2:$AB$5,2,FALSE())</f>
        <v>15</v>
      </c>
      <c r="R2768" s="7" t="n">
        <f aca="false">IF(OR(F2768="Open",F2768="Reopened"),1,0)</f>
        <v>0</v>
      </c>
      <c r="S2768" s="7" t="n">
        <f aca="false">IF(AND(H2768&gt;='Exec Summary'!$E$1,H2768&lt;='Exec Summary'!$E$2),1,0)</f>
        <v>0</v>
      </c>
      <c r="T2768" s="7" t="n">
        <f aca="false">IF(AND(F2768="Closed",I2768&lt;&gt;"",I2768&gt;='Exec Summary'!$E$1,I2768&lt;='Exec Summary'!$E$2),1,0)</f>
        <v>0</v>
      </c>
      <c r="U2768" s="7" t="n">
        <f aca="false">IF(F2768="Reopened",1,0)</f>
        <v>0</v>
      </c>
      <c r="V2768" s="7" t="n">
        <f aca="false">IF(AND(R2768=1,O2768&gt;Q2768),1,0)</f>
        <v>0</v>
      </c>
      <c r="W2768" s="7" t="n">
        <f aca="false">IF(AND(T2768=1,P2768&lt;&gt;"",P2768&lt;=Q2768),1,0)</f>
        <v>0</v>
      </c>
    </row>
    <row r="2769" customFormat="false" ht="15" hidden="false" customHeight="false" outlineLevel="0" collapsed="false">
      <c r="A2769" s="7" t="s">
        <v>3265</v>
      </c>
      <c r="B2769" s="7" t="s">
        <v>46</v>
      </c>
      <c r="C2769" s="7" t="s">
        <v>128</v>
      </c>
      <c r="D2769" s="7" t="s">
        <v>117</v>
      </c>
      <c r="E2769" s="7" t="s">
        <v>118</v>
      </c>
      <c r="F2769" s="7" t="s">
        <v>50</v>
      </c>
      <c r="G2769" s="7" t="s">
        <v>19</v>
      </c>
      <c r="H2769" s="9" t="n">
        <v>45945</v>
      </c>
      <c r="I2769" s="9" t="n">
        <v>45958</v>
      </c>
      <c r="J2769" s="7" t="n">
        <v>10</v>
      </c>
      <c r="K2769" s="7" t="s">
        <v>2984</v>
      </c>
      <c r="L2769" s="7" t="s">
        <v>21</v>
      </c>
      <c r="M2769" s="7" t="s">
        <v>3274</v>
      </c>
      <c r="N2769" s="7" t="s">
        <v>58</v>
      </c>
      <c r="O2769" s="10" t="n">
        <f aca="false">'Exec Summary'!$E$2-H2769</f>
        <v>289</v>
      </c>
      <c r="P2769" s="10" t="n">
        <f aca="false">IF(I2769="","",I2769-H2769)</f>
        <v>13</v>
      </c>
      <c r="Q2769" s="10" t="n">
        <f aca="false">VLOOKUP(G2769,$AA$2:$AB$5,2,FALSE())</f>
        <v>15</v>
      </c>
      <c r="R2769" s="7" t="n">
        <f aca="false">IF(OR(F2769="Open",F2769="Reopened"),1,0)</f>
        <v>0</v>
      </c>
      <c r="S2769" s="7" t="n">
        <f aca="false">IF(AND(H2769&gt;='Exec Summary'!$E$1,H2769&lt;='Exec Summary'!$E$2),1,0)</f>
        <v>0</v>
      </c>
      <c r="T2769" s="7" t="n">
        <f aca="false">IF(AND(F2769="Closed",I2769&lt;&gt;"",I2769&gt;='Exec Summary'!$E$1,I2769&lt;='Exec Summary'!$E$2),1,0)</f>
        <v>0</v>
      </c>
      <c r="U2769" s="7" t="n">
        <f aca="false">IF(F2769="Reopened",1,0)</f>
        <v>0</v>
      </c>
      <c r="V2769" s="7" t="n">
        <f aca="false">IF(AND(R2769=1,O2769&gt;Q2769),1,0)</f>
        <v>0</v>
      </c>
      <c r="W2769" s="7" t="n">
        <f aca="false">IF(AND(T2769=1,P2769&lt;&gt;"",P2769&lt;=Q2769),1,0)</f>
        <v>0</v>
      </c>
    </row>
    <row r="2770" customFormat="false" ht="15" hidden="false" customHeight="false" outlineLevel="0" collapsed="false">
      <c r="A2770" s="7" t="s">
        <v>3265</v>
      </c>
      <c r="B2770" s="7" t="s">
        <v>46</v>
      </c>
      <c r="C2770" s="7" t="s">
        <v>128</v>
      </c>
      <c r="D2770" s="7" t="s">
        <v>108</v>
      </c>
      <c r="E2770" s="7" t="s">
        <v>109</v>
      </c>
      <c r="F2770" s="7" t="s">
        <v>50</v>
      </c>
      <c r="G2770" s="7" t="s">
        <v>20</v>
      </c>
      <c r="H2770" s="9" t="n">
        <v>46090</v>
      </c>
      <c r="I2770" s="9" t="n">
        <v>46115</v>
      </c>
      <c r="J2770" s="7" t="n">
        <v>8.6</v>
      </c>
      <c r="K2770" s="7" t="s">
        <v>2984</v>
      </c>
      <c r="L2770" s="7" t="s">
        <v>21</v>
      </c>
      <c r="M2770" s="7" t="s">
        <v>3275</v>
      </c>
      <c r="N2770" s="7" t="s">
        <v>53</v>
      </c>
      <c r="O2770" s="10" t="n">
        <f aca="false">'Exec Summary'!$E$2-H2770</f>
        <v>144</v>
      </c>
      <c r="P2770" s="10" t="n">
        <f aca="false">IF(I2770="","",I2770-H2770)</f>
        <v>25</v>
      </c>
      <c r="Q2770" s="10" t="n">
        <f aca="false">VLOOKUP(G2770,$AA$2:$AB$5,2,FALSE())</f>
        <v>30</v>
      </c>
      <c r="R2770" s="7" t="n">
        <f aca="false">IF(OR(F2770="Open",F2770="Reopened"),1,0)</f>
        <v>0</v>
      </c>
      <c r="S2770" s="7" t="n">
        <f aca="false">IF(AND(H2770&gt;='Exec Summary'!$E$1,H2770&lt;='Exec Summary'!$E$2),1,0)</f>
        <v>0</v>
      </c>
      <c r="T2770" s="7" t="n">
        <f aca="false">IF(AND(F2770="Closed",I2770&lt;&gt;"",I2770&gt;='Exec Summary'!$E$1,I2770&lt;='Exec Summary'!$E$2),1,0)</f>
        <v>0</v>
      </c>
      <c r="U2770" s="7" t="n">
        <f aca="false">IF(F2770="Reopened",1,0)</f>
        <v>0</v>
      </c>
      <c r="V2770" s="7" t="n">
        <f aca="false">IF(AND(R2770=1,O2770&gt;Q2770),1,0)</f>
        <v>0</v>
      </c>
      <c r="W2770" s="7" t="n">
        <f aca="false">IF(AND(T2770=1,P2770&lt;&gt;"",P2770&lt;=Q2770),1,0)</f>
        <v>0</v>
      </c>
    </row>
    <row r="2771" customFormat="false" ht="15" hidden="false" customHeight="false" outlineLevel="0" collapsed="false">
      <c r="A2771" s="7" t="s">
        <v>3265</v>
      </c>
      <c r="B2771" s="7" t="s">
        <v>46</v>
      </c>
      <c r="C2771" s="7" t="s">
        <v>128</v>
      </c>
      <c r="D2771" s="7" t="s">
        <v>139</v>
      </c>
      <c r="E2771" s="7" t="s">
        <v>140</v>
      </c>
      <c r="F2771" s="7" t="s">
        <v>56</v>
      </c>
      <c r="G2771" s="7" t="s">
        <v>19</v>
      </c>
      <c r="H2771" s="9" t="n">
        <v>46099</v>
      </c>
      <c r="I2771" s="9"/>
      <c r="J2771" s="7" t="n">
        <v>9.8</v>
      </c>
      <c r="K2771" s="7" t="s">
        <v>2984</v>
      </c>
      <c r="L2771" s="7" t="s">
        <v>21</v>
      </c>
      <c r="M2771" s="7" t="s">
        <v>3276</v>
      </c>
      <c r="N2771" s="7" t="s">
        <v>58</v>
      </c>
      <c r="O2771" s="10" t="n">
        <f aca="false">'Exec Summary'!$E$2-H2771</f>
        <v>135</v>
      </c>
      <c r="P2771" s="10" t="str">
        <f aca="false">IF(I2771="","",I2771-H2771)</f>
        <v/>
      </c>
      <c r="Q2771" s="10" t="n">
        <f aca="false">VLOOKUP(G2771,$AA$2:$AB$5,2,FALSE())</f>
        <v>15</v>
      </c>
      <c r="R2771" s="7" t="n">
        <f aca="false">IF(OR(F2771="Open",F2771="Reopened"),1,0)</f>
        <v>1</v>
      </c>
      <c r="S2771" s="7" t="n">
        <f aca="false">IF(AND(H2771&gt;='Exec Summary'!$E$1,H2771&lt;='Exec Summary'!$E$2),1,0)</f>
        <v>0</v>
      </c>
      <c r="T2771" s="7" t="n">
        <f aca="false">IF(AND(F2771="Closed",I2771&lt;&gt;"",I2771&gt;='Exec Summary'!$E$1,I2771&lt;='Exec Summary'!$E$2),1,0)</f>
        <v>0</v>
      </c>
      <c r="U2771" s="7" t="n">
        <f aca="false">IF(F2771="Reopened",1,0)</f>
        <v>0</v>
      </c>
      <c r="V2771" s="7" t="n">
        <f aca="false">IF(AND(R2771=1,O2771&gt;Q2771),1,0)</f>
        <v>1</v>
      </c>
      <c r="W2771" s="7" t="n">
        <f aca="false">IF(AND(T2771=1,P2771&lt;&gt;"",P2771&lt;=Q2771),1,0)</f>
        <v>0</v>
      </c>
    </row>
    <row r="2772" customFormat="false" ht="15" hidden="false" customHeight="false" outlineLevel="0" collapsed="false">
      <c r="A2772" s="7" t="s">
        <v>3265</v>
      </c>
      <c r="B2772" s="7" t="s">
        <v>46</v>
      </c>
      <c r="C2772" s="7" t="s">
        <v>128</v>
      </c>
      <c r="D2772" s="7" t="s">
        <v>145</v>
      </c>
      <c r="E2772" s="7" t="s">
        <v>146</v>
      </c>
      <c r="F2772" s="7" t="s">
        <v>50</v>
      </c>
      <c r="G2772" s="7" t="s">
        <v>19</v>
      </c>
      <c r="H2772" s="9" t="n">
        <v>46129</v>
      </c>
      <c r="I2772" s="9" t="n">
        <v>46136</v>
      </c>
      <c r="J2772" s="7" t="n">
        <v>9.8</v>
      </c>
      <c r="K2772" s="7" t="s">
        <v>2984</v>
      </c>
      <c r="L2772" s="7" t="s">
        <v>21</v>
      </c>
      <c r="M2772" s="7" t="s">
        <v>3277</v>
      </c>
      <c r="N2772" s="7" t="s">
        <v>58</v>
      </c>
      <c r="O2772" s="10" t="n">
        <f aca="false">'Exec Summary'!$E$2-H2772</f>
        <v>105</v>
      </c>
      <c r="P2772" s="10" t="n">
        <f aca="false">IF(I2772="","",I2772-H2772)</f>
        <v>7</v>
      </c>
      <c r="Q2772" s="10" t="n">
        <f aca="false">VLOOKUP(G2772,$AA$2:$AB$5,2,FALSE())</f>
        <v>15</v>
      </c>
      <c r="R2772" s="7" t="n">
        <f aca="false">IF(OR(F2772="Open",F2772="Reopened"),1,0)</f>
        <v>0</v>
      </c>
      <c r="S2772" s="7" t="n">
        <f aca="false">IF(AND(H2772&gt;='Exec Summary'!$E$1,H2772&lt;='Exec Summary'!$E$2),1,0)</f>
        <v>0</v>
      </c>
      <c r="T2772" s="7" t="n">
        <f aca="false">IF(AND(F2772="Closed",I2772&lt;&gt;"",I2772&gt;='Exec Summary'!$E$1,I2772&lt;='Exec Summary'!$E$2),1,0)</f>
        <v>0</v>
      </c>
      <c r="U2772" s="7" t="n">
        <f aca="false">IF(F2772="Reopened",1,0)</f>
        <v>0</v>
      </c>
      <c r="V2772" s="7" t="n">
        <f aca="false">IF(AND(R2772=1,O2772&gt;Q2772),1,0)</f>
        <v>0</v>
      </c>
      <c r="W2772" s="7" t="n">
        <f aca="false">IF(AND(T2772=1,P2772&lt;&gt;"",P2772&lt;=Q2772),1,0)</f>
        <v>0</v>
      </c>
    </row>
    <row r="2773" customFormat="false" ht="15" hidden="false" customHeight="false" outlineLevel="0" collapsed="false">
      <c r="A2773" s="7" t="s">
        <v>3265</v>
      </c>
      <c r="B2773" s="7" t="s">
        <v>46</v>
      </c>
      <c r="C2773" s="7" t="s">
        <v>128</v>
      </c>
      <c r="D2773" s="7" t="s">
        <v>101</v>
      </c>
      <c r="E2773" s="7" t="s">
        <v>102</v>
      </c>
      <c r="F2773" s="7" t="s">
        <v>56</v>
      </c>
      <c r="G2773" s="7" t="s">
        <v>19</v>
      </c>
      <c r="H2773" s="9" t="n">
        <v>45991</v>
      </c>
      <c r="I2773" s="9"/>
      <c r="J2773" s="7" t="n">
        <v>10</v>
      </c>
      <c r="K2773" s="7" t="s">
        <v>2984</v>
      </c>
      <c r="L2773" s="7" t="s">
        <v>21</v>
      </c>
      <c r="M2773" s="7" t="s">
        <v>3278</v>
      </c>
      <c r="N2773" s="7" t="s">
        <v>58</v>
      </c>
      <c r="O2773" s="10" t="n">
        <f aca="false">'Exec Summary'!$E$2-H2773</f>
        <v>243</v>
      </c>
      <c r="P2773" s="10" t="str">
        <f aca="false">IF(I2773="","",I2773-H2773)</f>
        <v/>
      </c>
      <c r="Q2773" s="10" t="n">
        <f aca="false">VLOOKUP(G2773,$AA$2:$AB$5,2,FALSE())</f>
        <v>15</v>
      </c>
      <c r="R2773" s="7" t="n">
        <f aca="false">IF(OR(F2773="Open",F2773="Reopened"),1,0)</f>
        <v>1</v>
      </c>
      <c r="S2773" s="7" t="n">
        <f aca="false">IF(AND(H2773&gt;='Exec Summary'!$E$1,H2773&lt;='Exec Summary'!$E$2),1,0)</f>
        <v>0</v>
      </c>
      <c r="T2773" s="7" t="n">
        <f aca="false">IF(AND(F2773="Closed",I2773&lt;&gt;"",I2773&gt;='Exec Summary'!$E$1,I2773&lt;='Exec Summary'!$E$2),1,0)</f>
        <v>0</v>
      </c>
      <c r="U2773" s="7" t="n">
        <f aca="false">IF(F2773="Reopened",1,0)</f>
        <v>0</v>
      </c>
      <c r="V2773" s="7" t="n">
        <f aca="false">IF(AND(R2773=1,O2773&gt;Q2773),1,0)</f>
        <v>1</v>
      </c>
      <c r="W2773" s="7" t="n">
        <f aca="false">IF(AND(T2773=1,P2773&lt;&gt;"",P2773&lt;=Q2773),1,0)</f>
        <v>0</v>
      </c>
    </row>
    <row r="2774" customFormat="false" ht="15" hidden="false" customHeight="false" outlineLevel="0" collapsed="false">
      <c r="A2774" s="7" t="s">
        <v>3265</v>
      </c>
      <c r="B2774" s="7" t="s">
        <v>46</v>
      </c>
      <c r="C2774" s="7" t="s">
        <v>128</v>
      </c>
      <c r="D2774" s="7" t="s">
        <v>206</v>
      </c>
      <c r="E2774" s="7" t="s">
        <v>207</v>
      </c>
      <c r="F2774" s="7" t="s">
        <v>50</v>
      </c>
      <c r="G2774" s="7" t="s">
        <v>20</v>
      </c>
      <c r="H2774" s="9" t="n">
        <v>45940</v>
      </c>
      <c r="I2774" s="9" t="n">
        <v>45969</v>
      </c>
      <c r="J2774" s="7" t="n">
        <v>8.8</v>
      </c>
      <c r="K2774" s="7" t="s">
        <v>2984</v>
      </c>
      <c r="L2774" s="7" t="s">
        <v>21</v>
      </c>
      <c r="M2774" s="7" t="s">
        <v>3279</v>
      </c>
      <c r="N2774" s="7" t="s">
        <v>53</v>
      </c>
      <c r="O2774" s="10" t="n">
        <f aca="false">'Exec Summary'!$E$2-H2774</f>
        <v>294</v>
      </c>
      <c r="P2774" s="10" t="n">
        <f aca="false">IF(I2774="","",I2774-H2774)</f>
        <v>29</v>
      </c>
      <c r="Q2774" s="10" t="n">
        <f aca="false">VLOOKUP(G2774,$AA$2:$AB$5,2,FALSE())</f>
        <v>30</v>
      </c>
      <c r="R2774" s="7" t="n">
        <f aca="false">IF(OR(F2774="Open",F2774="Reopened"),1,0)</f>
        <v>0</v>
      </c>
      <c r="S2774" s="7" t="n">
        <f aca="false">IF(AND(H2774&gt;='Exec Summary'!$E$1,H2774&lt;='Exec Summary'!$E$2),1,0)</f>
        <v>0</v>
      </c>
      <c r="T2774" s="7" t="n">
        <f aca="false">IF(AND(F2774="Closed",I2774&lt;&gt;"",I2774&gt;='Exec Summary'!$E$1,I2774&lt;='Exec Summary'!$E$2),1,0)</f>
        <v>0</v>
      </c>
      <c r="U2774" s="7" t="n">
        <f aca="false">IF(F2774="Reopened",1,0)</f>
        <v>0</v>
      </c>
      <c r="V2774" s="7" t="n">
        <f aca="false">IF(AND(R2774=1,O2774&gt;Q2774),1,0)</f>
        <v>0</v>
      </c>
      <c r="W2774" s="7" t="n">
        <f aca="false">IF(AND(T2774=1,P2774&lt;&gt;"",P2774&lt;=Q2774),1,0)</f>
        <v>0</v>
      </c>
    </row>
    <row r="2775" customFormat="false" ht="15" hidden="false" customHeight="false" outlineLevel="0" collapsed="false">
      <c r="A2775" s="7" t="s">
        <v>3280</v>
      </c>
      <c r="B2775" s="7" t="s">
        <v>46</v>
      </c>
      <c r="C2775" s="7" t="s">
        <v>177</v>
      </c>
      <c r="D2775" s="7" t="s">
        <v>95</v>
      </c>
      <c r="E2775" s="7" t="s">
        <v>96</v>
      </c>
      <c r="F2775" s="7" t="s">
        <v>50</v>
      </c>
      <c r="G2775" s="7" t="s">
        <v>20</v>
      </c>
      <c r="H2775" s="9" t="n">
        <v>46092</v>
      </c>
      <c r="I2775" s="9" t="n">
        <v>46113</v>
      </c>
      <c r="J2775" s="7" t="n">
        <v>8.8</v>
      </c>
      <c r="K2775" s="7" t="s">
        <v>2984</v>
      </c>
      <c r="L2775" s="7" t="s">
        <v>21</v>
      </c>
      <c r="M2775" s="7" t="s">
        <v>3281</v>
      </c>
      <c r="N2775" s="7" t="s">
        <v>53</v>
      </c>
      <c r="O2775" s="10" t="n">
        <f aca="false">'Exec Summary'!$E$2-H2775</f>
        <v>142</v>
      </c>
      <c r="P2775" s="10" t="n">
        <f aca="false">IF(I2775="","",I2775-H2775)</f>
        <v>21</v>
      </c>
      <c r="Q2775" s="10" t="n">
        <f aca="false">VLOOKUP(G2775,$AA$2:$AB$5,2,FALSE())</f>
        <v>30</v>
      </c>
      <c r="R2775" s="7" t="n">
        <f aca="false">IF(OR(F2775="Open",F2775="Reopened"),1,0)</f>
        <v>0</v>
      </c>
      <c r="S2775" s="7" t="n">
        <f aca="false">IF(AND(H2775&gt;='Exec Summary'!$E$1,H2775&lt;='Exec Summary'!$E$2),1,0)</f>
        <v>0</v>
      </c>
      <c r="T2775" s="7" t="n">
        <f aca="false">IF(AND(F2775="Closed",I2775&lt;&gt;"",I2775&gt;='Exec Summary'!$E$1,I2775&lt;='Exec Summary'!$E$2),1,0)</f>
        <v>0</v>
      </c>
      <c r="U2775" s="7" t="n">
        <f aca="false">IF(F2775="Reopened",1,0)</f>
        <v>0</v>
      </c>
      <c r="V2775" s="7" t="n">
        <f aca="false">IF(AND(R2775=1,O2775&gt;Q2775),1,0)</f>
        <v>0</v>
      </c>
      <c r="W2775" s="7" t="n">
        <f aca="false">IF(AND(T2775=1,P2775&lt;&gt;"",P2775&lt;=Q2775),1,0)</f>
        <v>0</v>
      </c>
    </row>
    <row r="2776" customFormat="false" ht="15" hidden="false" customHeight="false" outlineLevel="0" collapsed="false">
      <c r="A2776" s="7" t="s">
        <v>3280</v>
      </c>
      <c r="B2776" s="7" t="s">
        <v>46</v>
      </c>
      <c r="C2776" s="7" t="s">
        <v>177</v>
      </c>
      <c r="D2776" s="7" t="s">
        <v>104</v>
      </c>
      <c r="E2776" s="7" t="s">
        <v>105</v>
      </c>
      <c r="F2776" s="7" t="s">
        <v>50</v>
      </c>
      <c r="G2776" s="7" t="s">
        <v>19</v>
      </c>
      <c r="H2776" s="9" t="n">
        <v>46224</v>
      </c>
      <c r="I2776" s="9" t="n">
        <v>46231</v>
      </c>
      <c r="J2776" s="7" t="n">
        <v>9.8</v>
      </c>
      <c r="K2776" s="7" t="s">
        <v>2984</v>
      </c>
      <c r="L2776" s="7" t="s">
        <v>21</v>
      </c>
      <c r="M2776" s="7" t="s">
        <v>3282</v>
      </c>
      <c r="N2776" s="7" t="s">
        <v>58</v>
      </c>
      <c r="O2776" s="10" t="n">
        <f aca="false">'Exec Summary'!$E$2-H2776</f>
        <v>10</v>
      </c>
      <c r="P2776" s="10" t="n">
        <f aca="false">IF(I2776="","",I2776-H2776)</f>
        <v>7</v>
      </c>
      <c r="Q2776" s="10" t="n">
        <f aca="false">VLOOKUP(G2776,$AA$2:$AB$5,2,FALSE())</f>
        <v>15</v>
      </c>
      <c r="R2776" s="7" t="n">
        <f aca="false">IF(OR(F2776="Open",F2776="Reopened"),1,0)</f>
        <v>0</v>
      </c>
      <c r="S2776" s="7" t="n">
        <f aca="false">IF(AND(H2776&gt;='Exec Summary'!$E$1,H2776&lt;='Exec Summary'!$E$2),1,0)</f>
        <v>1</v>
      </c>
      <c r="T2776" s="7" t="n">
        <f aca="false">IF(AND(F2776="Closed",I2776&lt;&gt;"",I2776&gt;='Exec Summary'!$E$1,I2776&lt;='Exec Summary'!$E$2),1,0)</f>
        <v>1</v>
      </c>
      <c r="U2776" s="7" t="n">
        <f aca="false">IF(F2776="Reopened",1,0)</f>
        <v>0</v>
      </c>
      <c r="V2776" s="7" t="n">
        <f aca="false">IF(AND(R2776=1,O2776&gt;Q2776),1,0)</f>
        <v>0</v>
      </c>
      <c r="W2776" s="7" t="n">
        <f aca="false">IF(AND(T2776=1,P2776&lt;&gt;"",P2776&lt;=Q2776),1,0)</f>
        <v>1</v>
      </c>
    </row>
    <row r="2777" customFormat="false" ht="15" hidden="false" customHeight="false" outlineLevel="0" collapsed="false">
      <c r="A2777" s="7" t="s">
        <v>3280</v>
      </c>
      <c r="B2777" s="7" t="s">
        <v>46</v>
      </c>
      <c r="C2777" s="7" t="s">
        <v>177</v>
      </c>
      <c r="D2777" s="7" t="s">
        <v>91</v>
      </c>
      <c r="E2777" s="7" t="s">
        <v>92</v>
      </c>
      <c r="F2777" s="7" t="s">
        <v>50</v>
      </c>
      <c r="G2777" s="7" t="s">
        <v>20</v>
      </c>
      <c r="H2777" s="9" t="n">
        <v>45949</v>
      </c>
      <c r="I2777" s="9" t="n">
        <v>45958</v>
      </c>
      <c r="J2777" s="7" t="n">
        <v>8.1</v>
      </c>
      <c r="K2777" s="7" t="s">
        <v>2984</v>
      </c>
      <c r="L2777" s="7" t="s">
        <v>21</v>
      </c>
      <c r="M2777" s="7" t="s">
        <v>3283</v>
      </c>
      <c r="N2777" s="7" t="s">
        <v>53</v>
      </c>
      <c r="O2777" s="10" t="n">
        <f aca="false">'Exec Summary'!$E$2-H2777</f>
        <v>285</v>
      </c>
      <c r="P2777" s="10" t="n">
        <f aca="false">IF(I2777="","",I2777-H2777)</f>
        <v>9</v>
      </c>
      <c r="Q2777" s="10" t="n">
        <f aca="false">VLOOKUP(G2777,$AA$2:$AB$5,2,FALSE())</f>
        <v>30</v>
      </c>
      <c r="R2777" s="7" t="n">
        <f aca="false">IF(OR(F2777="Open",F2777="Reopened"),1,0)</f>
        <v>0</v>
      </c>
      <c r="S2777" s="7" t="n">
        <f aca="false">IF(AND(H2777&gt;='Exec Summary'!$E$1,H2777&lt;='Exec Summary'!$E$2),1,0)</f>
        <v>0</v>
      </c>
      <c r="T2777" s="7" t="n">
        <f aca="false">IF(AND(F2777="Closed",I2777&lt;&gt;"",I2777&gt;='Exec Summary'!$E$1,I2777&lt;='Exec Summary'!$E$2),1,0)</f>
        <v>0</v>
      </c>
      <c r="U2777" s="7" t="n">
        <f aca="false">IF(F2777="Reopened",1,0)</f>
        <v>0</v>
      </c>
      <c r="V2777" s="7" t="n">
        <f aca="false">IF(AND(R2777=1,O2777&gt;Q2777),1,0)</f>
        <v>0</v>
      </c>
      <c r="W2777" s="7" t="n">
        <f aca="false">IF(AND(T2777=1,P2777&lt;&gt;"",P2777&lt;=Q2777),1,0)</f>
        <v>0</v>
      </c>
    </row>
    <row r="2778" customFormat="false" ht="15" hidden="false" customHeight="false" outlineLevel="0" collapsed="false">
      <c r="A2778" s="7" t="s">
        <v>3280</v>
      </c>
      <c r="B2778" s="7" t="s">
        <v>46</v>
      </c>
      <c r="C2778" s="7" t="s">
        <v>177</v>
      </c>
      <c r="D2778" s="7" t="s">
        <v>71</v>
      </c>
      <c r="E2778" s="7" t="s">
        <v>72</v>
      </c>
      <c r="F2778" s="7" t="s">
        <v>56</v>
      </c>
      <c r="G2778" s="7" t="s">
        <v>19</v>
      </c>
      <c r="H2778" s="9" t="n">
        <v>46187</v>
      </c>
      <c r="I2778" s="9"/>
      <c r="J2778" s="7" t="n">
        <v>9.8</v>
      </c>
      <c r="K2778" s="7" t="s">
        <v>2984</v>
      </c>
      <c r="L2778" s="7" t="s">
        <v>21</v>
      </c>
      <c r="M2778" s="7" t="s">
        <v>3284</v>
      </c>
      <c r="N2778" s="7" t="s">
        <v>58</v>
      </c>
      <c r="O2778" s="10" t="n">
        <f aca="false">'Exec Summary'!$E$2-H2778</f>
        <v>47</v>
      </c>
      <c r="P2778" s="10" t="str">
        <f aca="false">IF(I2778="","",I2778-H2778)</f>
        <v/>
      </c>
      <c r="Q2778" s="10" t="n">
        <f aca="false">VLOOKUP(G2778,$AA$2:$AB$5,2,FALSE())</f>
        <v>15</v>
      </c>
      <c r="R2778" s="7" t="n">
        <f aca="false">IF(OR(F2778="Open",F2778="Reopened"),1,0)</f>
        <v>1</v>
      </c>
      <c r="S2778" s="7" t="n">
        <f aca="false">IF(AND(H2778&gt;='Exec Summary'!$E$1,H2778&lt;='Exec Summary'!$E$2),1,0)</f>
        <v>0</v>
      </c>
      <c r="T2778" s="7" t="n">
        <f aca="false">IF(AND(F2778="Closed",I2778&lt;&gt;"",I2778&gt;='Exec Summary'!$E$1,I2778&lt;='Exec Summary'!$E$2),1,0)</f>
        <v>0</v>
      </c>
      <c r="U2778" s="7" t="n">
        <f aca="false">IF(F2778="Reopened",1,0)</f>
        <v>0</v>
      </c>
      <c r="V2778" s="7" t="n">
        <f aca="false">IF(AND(R2778=1,O2778&gt;Q2778),1,0)</f>
        <v>1</v>
      </c>
      <c r="W2778" s="7" t="n">
        <f aca="false">IF(AND(T2778=1,P2778&lt;&gt;"",P2778&lt;=Q2778),1,0)</f>
        <v>0</v>
      </c>
    </row>
    <row r="2779" customFormat="false" ht="15" hidden="false" customHeight="false" outlineLevel="0" collapsed="false">
      <c r="A2779" s="7" t="s">
        <v>3280</v>
      </c>
      <c r="B2779" s="7" t="s">
        <v>46</v>
      </c>
      <c r="C2779" s="7" t="s">
        <v>177</v>
      </c>
      <c r="D2779" s="7" t="s">
        <v>98</v>
      </c>
      <c r="E2779" s="7" t="s">
        <v>99</v>
      </c>
      <c r="F2779" s="7" t="s">
        <v>50</v>
      </c>
      <c r="G2779" s="7" t="s">
        <v>19</v>
      </c>
      <c r="H2779" s="9" t="n">
        <v>46019</v>
      </c>
      <c r="I2779" s="9" t="n">
        <v>46034</v>
      </c>
      <c r="J2779" s="7" t="n">
        <v>10</v>
      </c>
      <c r="K2779" s="7" t="s">
        <v>2984</v>
      </c>
      <c r="L2779" s="7" t="s">
        <v>21</v>
      </c>
      <c r="M2779" s="7" t="s">
        <v>3285</v>
      </c>
      <c r="N2779" s="7" t="s">
        <v>58</v>
      </c>
      <c r="O2779" s="10" t="n">
        <f aca="false">'Exec Summary'!$E$2-H2779</f>
        <v>215</v>
      </c>
      <c r="P2779" s="10" t="n">
        <f aca="false">IF(I2779="","",I2779-H2779)</f>
        <v>15</v>
      </c>
      <c r="Q2779" s="10" t="n">
        <f aca="false">VLOOKUP(G2779,$AA$2:$AB$5,2,FALSE())</f>
        <v>15</v>
      </c>
      <c r="R2779" s="7" t="n">
        <f aca="false">IF(OR(F2779="Open",F2779="Reopened"),1,0)</f>
        <v>0</v>
      </c>
      <c r="S2779" s="7" t="n">
        <f aca="false">IF(AND(H2779&gt;='Exec Summary'!$E$1,H2779&lt;='Exec Summary'!$E$2),1,0)</f>
        <v>0</v>
      </c>
      <c r="T2779" s="7" t="n">
        <f aca="false">IF(AND(F2779="Closed",I2779&lt;&gt;"",I2779&gt;='Exec Summary'!$E$1,I2779&lt;='Exec Summary'!$E$2),1,0)</f>
        <v>0</v>
      </c>
      <c r="U2779" s="7" t="n">
        <f aca="false">IF(F2779="Reopened",1,0)</f>
        <v>0</v>
      </c>
      <c r="V2779" s="7" t="n">
        <f aca="false">IF(AND(R2779=1,O2779&gt;Q2779),1,0)</f>
        <v>0</v>
      </c>
      <c r="W2779" s="7" t="n">
        <f aca="false">IF(AND(T2779=1,P2779&lt;&gt;"",P2779&lt;=Q2779),1,0)</f>
        <v>0</v>
      </c>
    </row>
    <row r="2780" customFormat="false" ht="15" hidden="false" customHeight="false" outlineLevel="0" collapsed="false">
      <c r="A2780" s="7" t="s">
        <v>3280</v>
      </c>
      <c r="B2780" s="7" t="s">
        <v>46</v>
      </c>
      <c r="C2780" s="7" t="s">
        <v>177</v>
      </c>
      <c r="D2780" s="7" t="s">
        <v>54</v>
      </c>
      <c r="E2780" s="7" t="s">
        <v>55</v>
      </c>
      <c r="F2780" s="7" t="s">
        <v>50</v>
      </c>
      <c r="G2780" s="7" t="s">
        <v>19</v>
      </c>
      <c r="H2780" s="9" t="n">
        <v>46219</v>
      </c>
      <c r="I2780" s="9" t="n">
        <v>46234</v>
      </c>
      <c r="J2780" s="7" t="n">
        <v>9.8</v>
      </c>
      <c r="K2780" s="7" t="s">
        <v>2984</v>
      </c>
      <c r="L2780" s="7" t="s">
        <v>21</v>
      </c>
      <c r="M2780" s="7" t="s">
        <v>3286</v>
      </c>
      <c r="N2780" s="7" t="s">
        <v>58</v>
      </c>
      <c r="O2780" s="10" t="n">
        <f aca="false">'Exec Summary'!$E$2-H2780</f>
        <v>15</v>
      </c>
      <c r="P2780" s="10" t="n">
        <f aca="false">IF(I2780="","",I2780-H2780)</f>
        <v>15</v>
      </c>
      <c r="Q2780" s="10" t="n">
        <f aca="false">VLOOKUP(G2780,$AA$2:$AB$5,2,FALSE())</f>
        <v>15</v>
      </c>
      <c r="R2780" s="7" t="n">
        <f aca="false">IF(OR(F2780="Open",F2780="Reopened"),1,0)</f>
        <v>0</v>
      </c>
      <c r="S2780" s="7" t="n">
        <f aca="false">IF(AND(H2780&gt;='Exec Summary'!$E$1,H2780&lt;='Exec Summary'!$E$2),1,0)</f>
        <v>1</v>
      </c>
      <c r="T2780" s="7" t="n">
        <f aca="false">IF(AND(F2780="Closed",I2780&lt;&gt;"",I2780&gt;='Exec Summary'!$E$1,I2780&lt;='Exec Summary'!$E$2),1,0)</f>
        <v>1</v>
      </c>
      <c r="U2780" s="7" t="n">
        <f aca="false">IF(F2780="Reopened",1,0)</f>
        <v>0</v>
      </c>
      <c r="V2780" s="7" t="n">
        <f aca="false">IF(AND(R2780=1,O2780&gt;Q2780),1,0)</f>
        <v>0</v>
      </c>
      <c r="W2780" s="7" t="n">
        <f aca="false">IF(AND(T2780=1,P2780&lt;&gt;"",P2780&lt;=Q2780),1,0)</f>
        <v>1</v>
      </c>
    </row>
    <row r="2781" customFormat="false" ht="15" hidden="false" customHeight="false" outlineLevel="0" collapsed="false">
      <c r="A2781" s="7" t="s">
        <v>3280</v>
      </c>
      <c r="B2781" s="7" t="s">
        <v>46</v>
      </c>
      <c r="C2781" s="7" t="s">
        <v>177</v>
      </c>
      <c r="D2781" s="7" t="s">
        <v>48</v>
      </c>
      <c r="E2781" s="7" t="s">
        <v>49</v>
      </c>
      <c r="F2781" s="7" t="s">
        <v>56</v>
      </c>
      <c r="G2781" s="7" t="s">
        <v>20</v>
      </c>
      <c r="H2781" s="9" t="n">
        <v>46077</v>
      </c>
      <c r="I2781" s="9"/>
      <c r="J2781" s="7" t="n">
        <v>7.5</v>
      </c>
      <c r="K2781" s="7" t="s">
        <v>2984</v>
      </c>
      <c r="L2781" s="7" t="s">
        <v>21</v>
      </c>
      <c r="M2781" s="7" t="s">
        <v>3287</v>
      </c>
      <c r="N2781" s="7" t="s">
        <v>53</v>
      </c>
      <c r="O2781" s="10" t="n">
        <f aca="false">'Exec Summary'!$E$2-H2781</f>
        <v>157</v>
      </c>
      <c r="P2781" s="10" t="str">
        <f aca="false">IF(I2781="","",I2781-H2781)</f>
        <v/>
      </c>
      <c r="Q2781" s="10" t="n">
        <f aca="false">VLOOKUP(G2781,$AA$2:$AB$5,2,FALSE())</f>
        <v>30</v>
      </c>
      <c r="R2781" s="7" t="n">
        <f aca="false">IF(OR(F2781="Open",F2781="Reopened"),1,0)</f>
        <v>1</v>
      </c>
      <c r="S2781" s="7" t="n">
        <f aca="false">IF(AND(H2781&gt;='Exec Summary'!$E$1,H2781&lt;='Exec Summary'!$E$2),1,0)</f>
        <v>0</v>
      </c>
      <c r="T2781" s="7" t="n">
        <f aca="false">IF(AND(F2781="Closed",I2781&lt;&gt;"",I2781&gt;='Exec Summary'!$E$1,I2781&lt;='Exec Summary'!$E$2),1,0)</f>
        <v>0</v>
      </c>
      <c r="U2781" s="7" t="n">
        <f aca="false">IF(F2781="Reopened",1,0)</f>
        <v>0</v>
      </c>
      <c r="V2781" s="7" t="n">
        <f aca="false">IF(AND(R2781=1,O2781&gt;Q2781),1,0)</f>
        <v>1</v>
      </c>
      <c r="W2781" s="7" t="n">
        <f aca="false">IF(AND(T2781=1,P2781&lt;&gt;"",P2781&lt;=Q2781),1,0)</f>
        <v>0</v>
      </c>
    </row>
    <row r="2782" customFormat="false" ht="15" hidden="false" customHeight="false" outlineLevel="0" collapsed="false">
      <c r="A2782" s="7" t="s">
        <v>3280</v>
      </c>
      <c r="B2782" s="7" t="s">
        <v>46</v>
      </c>
      <c r="C2782" s="7" t="s">
        <v>177</v>
      </c>
      <c r="D2782" s="7" t="s">
        <v>62</v>
      </c>
      <c r="E2782" s="7" t="s">
        <v>63</v>
      </c>
      <c r="F2782" s="7" t="s">
        <v>56</v>
      </c>
      <c r="G2782" s="7" t="s">
        <v>20</v>
      </c>
      <c r="H2782" s="9" t="n">
        <v>46155</v>
      </c>
      <c r="I2782" s="9"/>
      <c r="J2782" s="7" t="n">
        <v>8.1</v>
      </c>
      <c r="K2782" s="7" t="s">
        <v>2984</v>
      </c>
      <c r="L2782" s="7" t="s">
        <v>21</v>
      </c>
      <c r="M2782" s="7" t="s">
        <v>3288</v>
      </c>
      <c r="N2782" s="7" t="s">
        <v>53</v>
      </c>
      <c r="O2782" s="10" t="n">
        <f aca="false">'Exec Summary'!$E$2-H2782</f>
        <v>79</v>
      </c>
      <c r="P2782" s="10" t="str">
        <f aca="false">IF(I2782="","",I2782-H2782)</f>
        <v/>
      </c>
      <c r="Q2782" s="10" t="n">
        <f aca="false">VLOOKUP(G2782,$AA$2:$AB$5,2,FALSE())</f>
        <v>30</v>
      </c>
      <c r="R2782" s="7" t="n">
        <f aca="false">IF(OR(F2782="Open",F2782="Reopened"),1,0)</f>
        <v>1</v>
      </c>
      <c r="S2782" s="7" t="n">
        <f aca="false">IF(AND(H2782&gt;='Exec Summary'!$E$1,H2782&lt;='Exec Summary'!$E$2),1,0)</f>
        <v>0</v>
      </c>
      <c r="T2782" s="7" t="n">
        <f aca="false">IF(AND(F2782="Closed",I2782&lt;&gt;"",I2782&gt;='Exec Summary'!$E$1,I2782&lt;='Exec Summary'!$E$2),1,0)</f>
        <v>0</v>
      </c>
      <c r="U2782" s="7" t="n">
        <f aca="false">IF(F2782="Reopened",1,0)</f>
        <v>0</v>
      </c>
      <c r="V2782" s="7" t="n">
        <f aca="false">IF(AND(R2782=1,O2782&gt;Q2782),1,0)</f>
        <v>1</v>
      </c>
      <c r="W2782" s="7" t="n">
        <f aca="false">IF(AND(T2782=1,P2782&lt;&gt;"",P2782&lt;=Q2782),1,0)</f>
        <v>0</v>
      </c>
    </row>
    <row r="2783" customFormat="false" ht="15" hidden="false" customHeight="false" outlineLevel="0" collapsed="false">
      <c r="A2783" s="7" t="s">
        <v>3280</v>
      </c>
      <c r="B2783" s="7" t="s">
        <v>46</v>
      </c>
      <c r="C2783" s="7" t="s">
        <v>177</v>
      </c>
      <c r="D2783" s="7" t="s">
        <v>131</v>
      </c>
      <c r="E2783" s="7" t="s">
        <v>132</v>
      </c>
      <c r="F2783" s="7" t="s">
        <v>50</v>
      </c>
      <c r="G2783" s="7" t="s">
        <v>19</v>
      </c>
      <c r="H2783" s="9" t="n">
        <v>46169</v>
      </c>
      <c r="I2783" s="9" t="n">
        <v>46185</v>
      </c>
      <c r="J2783" s="7" t="n">
        <v>9.8</v>
      </c>
      <c r="K2783" s="7" t="s">
        <v>2984</v>
      </c>
      <c r="L2783" s="7" t="s">
        <v>21</v>
      </c>
      <c r="M2783" s="7" t="s">
        <v>3289</v>
      </c>
      <c r="N2783" s="7" t="s">
        <v>58</v>
      </c>
      <c r="O2783" s="10" t="n">
        <f aca="false">'Exec Summary'!$E$2-H2783</f>
        <v>65</v>
      </c>
      <c r="P2783" s="10" t="n">
        <f aca="false">IF(I2783="","",I2783-H2783)</f>
        <v>16</v>
      </c>
      <c r="Q2783" s="10" t="n">
        <f aca="false">VLOOKUP(G2783,$AA$2:$AB$5,2,FALSE())</f>
        <v>15</v>
      </c>
      <c r="R2783" s="7" t="n">
        <f aca="false">IF(OR(F2783="Open",F2783="Reopened"),1,0)</f>
        <v>0</v>
      </c>
      <c r="S2783" s="7" t="n">
        <f aca="false">IF(AND(H2783&gt;='Exec Summary'!$E$1,H2783&lt;='Exec Summary'!$E$2),1,0)</f>
        <v>0</v>
      </c>
      <c r="T2783" s="7" t="n">
        <f aca="false">IF(AND(F2783="Closed",I2783&lt;&gt;"",I2783&gt;='Exec Summary'!$E$1,I2783&lt;='Exec Summary'!$E$2),1,0)</f>
        <v>0</v>
      </c>
      <c r="U2783" s="7" t="n">
        <f aca="false">IF(F2783="Reopened",1,0)</f>
        <v>0</v>
      </c>
      <c r="V2783" s="7" t="n">
        <f aca="false">IF(AND(R2783=1,O2783&gt;Q2783),1,0)</f>
        <v>0</v>
      </c>
      <c r="W2783" s="7" t="n">
        <f aca="false">IF(AND(T2783=1,P2783&lt;&gt;"",P2783&lt;=Q2783),1,0)</f>
        <v>0</v>
      </c>
    </row>
    <row r="2784" customFormat="false" ht="15" hidden="false" customHeight="false" outlineLevel="0" collapsed="false">
      <c r="A2784" s="7" t="s">
        <v>3280</v>
      </c>
      <c r="B2784" s="7" t="s">
        <v>46</v>
      </c>
      <c r="C2784" s="7" t="s">
        <v>177</v>
      </c>
      <c r="D2784" s="7" t="s">
        <v>87</v>
      </c>
      <c r="E2784" s="7" t="s">
        <v>88</v>
      </c>
      <c r="F2784" s="7" t="s">
        <v>50</v>
      </c>
      <c r="G2784" s="7" t="s">
        <v>19</v>
      </c>
      <c r="H2784" s="9" t="n">
        <v>45991</v>
      </c>
      <c r="I2784" s="9" t="n">
        <v>45994</v>
      </c>
      <c r="J2784" s="7" t="n">
        <v>10</v>
      </c>
      <c r="K2784" s="7" t="s">
        <v>2984</v>
      </c>
      <c r="L2784" s="7" t="s">
        <v>21</v>
      </c>
      <c r="M2784" s="7" t="s">
        <v>3290</v>
      </c>
      <c r="N2784" s="7" t="s">
        <v>58</v>
      </c>
      <c r="O2784" s="10" t="n">
        <f aca="false">'Exec Summary'!$E$2-H2784</f>
        <v>243</v>
      </c>
      <c r="P2784" s="10" t="n">
        <f aca="false">IF(I2784="","",I2784-H2784)</f>
        <v>3</v>
      </c>
      <c r="Q2784" s="10" t="n">
        <f aca="false">VLOOKUP(G2784,$AA$2:$AB$5,2,FALSE())</f>
        <v>15</v>
      </c>
      <c r="R2784" s="7" t="n">
        <f aca="false">IF(OR(F2784="Open",F2784="Reopened"),1,0)</f>
        <v>0</v>
      </c>
      <c r="S2784" s="7" t="n">
        <f aca="false">IF(AND(H2784&gt;='Exec Summary'!$E$1,H2784&lt;='Exec Summary'!$E$2),1,0)</f>
        <v>0</v>
      </c>
      <c r="T2784" s="7" t="n">
        <f aca="false">IF(AND(F2784="Closed",I2784&lt;&gt;"",I2784&gt;='Exec Summary'!$E$1,I2784&lt;='Exec Summary'!$E$2),1,0)</f>
        <v>0</v>
      </c>
      <c r="U2784" s="7" t="n">
        <f aca="false">IF(F2784="Reopened",1,0)</f>
        <v>0</v>
      </c>
      <c r="V2784" s="7" t="n">
        <f aca="false">IF(AND(R2784=1,O2784&gt;Q2784),1,0)</f>
        <v>0</v>
      </c>
      <c r="W2784" s="7" t="n">
        <f aca="false">IF(AND(T2784=1,P2784&lt;&gt;"",P2784&lt;=Q2784),1,0)</f>
        <v>0</v>
      </c>
    </row>
    <row r="2785" customFormat="false" ht="15" hidden="false" customHeight="false" outlineLevel="0" collapsed="false">
      <c r="A2785" s="7" t="s">
        <v>3280</v>
      </c>
      <c r="B2785" s="7" t="s">
        <v>46</v>
      </c>
      <c r="C2785" s="7" t="s">
        <v>177</v>
      </c>
      <c r="D2785" s="7" t="s">
        <v>163</v>
      </c>
      <c r="E2785" s="7" t="s">
        <v>164</v>
      </c>
      <c r="F2785" s="7" t="s">
        <v>56</v>
      </c>
      <c r="G2785" s="7" t="s">
        <v>19</v>
      </c>
      <c r="H2785" s="9" t="n">
        <v>45946</v>
      </c>
      <c r="I2785" s="9"/>
      <c r="J2785" s="7" t="n">
        <v>9.1</v>
      </c>
      <c r="K2785" s="7" t="s">
        <v>2984</v>
      </c>
      <c r="L2785" s="7" t="s">
        <v>21</v>
      </c>
      <c r="M2785" s="7" t="s">
        <v>3291</v>
      </c>
      <c r="N2785" s="7" t="s">
        <v>58</v>
      </c>
      <c r="O2785" s="10" t="n">
        <f aca="false">'Exec Summary'!$E$2-H2785</f>
        <v>288</v>
      </c>
      <c r="P2785" s="10" t="str">
        <f aca="false">IF(I2785="","",I2785-H2785)</f>
        <v/>
      </c>
      <c r="Q2785" s="10" t="n">
        <f aca="false">VLOOKUP(G2785,$AA$2:$AB$5,2,FALSE())</f>
        <v>15</v>
      </c>
      <c r="R2785" s="7" t="n">
        <f aca="false">IF(OR(F2785="Open",F2785="Reopened"),1,0)</f>
        <v>1</v>
      </c>
      <c r="S2785" s="7" t="n">
        <f aca="false">IF(AND(H2785&gt;='Exec Summary'!$E$1,H2785&lt;='Exec Summary'!$E$2),1,0)</f>
        <v>0</v>
      </c>
      <c r="T2785" s="7" t="n">
        <f aca="false">IF(AND(F2785="Closed",I2785&lt;&gt;"",I2785&gt;='Exec Summary'!$E$1,I2785&lt;='Exec Summary'!$E$2),1,0)</f>
        <v>0</v>
      </c>
      <c r="U2785" s="7" t="n">
        <f aca="false">IF(F2785="Reopened",1,0)</f>
        <v>0</v>
      </c>
      <c r="V2785" s="7" t="n">
        <f aca="false">IF(AND(R2785=1,O2785&gt;Q2785),1,0)</f>
        <v>1</v>
      </c>
      <c r="W2785" s="7" t="n">
        <f aca="false">IF(AND(T2785=1,P2785&lt;&gt;"",P2785&lt;=Q2785),1,0)</f>
        <v>0</v>
      </c>
    </row>
    <row r="2786" customFormat="false" ht="15" hidden="false" customHeight="false" outlineLevel="0" collapsed="false">
      <c r="A2786" s="7" t="s">
        <v>3292</v>
      </c>
      <c r="B2786" s="7" t="s">
        <v>135</v>
      </c>
      <c r="C2786" s="7" t="s">
        <v>247</v>
      </c>
      <c r="D2786" s="7" t="s">
        <v>68</v>
      </c>
      <c r="E2786" s="7" t="s">
        <v>69</v>
      </c>
      <c r="F2786" s="7" t="s">
        <v>50</v>
      </c>
      <c r="G2786" s="7" t="s">
        <v>19</v>
      </c>
      <c r="H2786" s="9" t="n">
        <v>46033</v>
      </c>
      <c r="I2786" s="9" t="n">
        <v>46055</v>
      </c>
      <c r="J2786" s="7" t="n">
        <v>9.8</v>
      </c>
      <c r="K2786" s="7" t="s">
        <v>2984</v>
      </c>
      <c r="L2786" s="7" t="s">
        <v>20</v>
      </c>
      <c r="M2786" s="7" t="s">
        <v>3293</v>
      </c>
      <c r="N2786" s="7" t="s">
        <v>58</v>
      </c>
      <c r="O2786" s="10" t="n">
        <f aca="false">'Exec Summary'!$E$2-H2786</f>
        <v>201</v>
      </c>
      <c r="P2786" s="10" t="n">
        <f aca="false">IF(I2786="","",I2786-H2786)</f>
        <v>22</v>
      </c>
      <c r="Q2786" s="10" t="n">
        <f aca="false">VLOOKUP(G2786,$AA$2:$AB$5,2,FALSE())</f>
        <v>15</v>
      </c>
      <c r="R2786" s="7" t="n">
        <f aca="false">IF(OR(F2786="Open",F2786="Reopened"),1,0)</f>
        <v>0</v>
      </c>
      <c r="S2786" s="7" t="n">
        <f aca="false">IF(AND(H2786&gt;='Exec Summary'!$E$1,H2786&lt;='Exec Summary'!$E$2),1,0)</f>
        <v>0</v>
      </c>
      <c r="T2786" s="7" t="n">
        <f aca="false">IF(AND(F2786="Closed",I2786&lt;&gt;"",I2786&gt;='Exec Summary'!$E$1,I2786&lt;='Exec Summary'!$E$2),1,0)</f>
        <v>0</v>
      </c>
      <c r="U2786" s="7" t="n">
        <f aca="false">IF(F2786="Reopened",1,0)</f>
        <v>0</v>
      </c>
      <c r="V2786" s="7" t="n">
        <f aca="false">IF(AND(R2786=1,O2786&gt;Q2786),1,0)</f>
        <v>0</v>
      </c>
      <c r="W2786" s="7" t="n">
        <f aca="false">IF(AND(T2786=1,P2786&lt;&gt;"",P2786&lt;=Q2786),1,0)</f>
        <v>0</v>
      </c>
    </row>
    <row r="2787" customFormat="false" ht="15" hidden="false" customHeight="false" outlineLevel="0" collapsed="false">
      <c r="A2787" s="7" t="s">
        <v>3292</v>
      </c>
      <c r="B2787" s="7" t="s">
        <v>135</v>
      </c>
      <c r="C2787" s="7" t="s">
        <v>247</v>
      </c>
      <c r="D2787" s="7" t="s">
        <v>71</v>
      </c>
      <c r="E2787" s="7" t="s">
        <v>72</v>
      </c>
      <c r="F2787" s="7" t="s">
        <v>56</v>
      </c>
      <c r="G2787" s="7" t="s">
        <v>19</v>
      </c>
      <c r="H2787" s="9" t="n">
        <v>46116</v>
      </c>
      <c r="I2787" s="9"/>
      <c r="J2787" s="7" t="n">
        <v>9.8</v>
      </c>
      <c r="K2787" s="7" t="s">
        <v>2984</v>
      </c>
      <c r="L2787" s="7" t="s">
        <v>20</v>
      </c>
      <c r="M2787" s="7" t="s">
        <v>3294</v>
      </c>
      <c r="N2787" s="7" t="s">
        <v>58</v>
      </c>
      <c r="O2787" s="10" t="n">
        <f aca="false">'Exec Summary'!$E$2-H2787</f>
        <v>118</v>
      </c>
      <c r="P2787" s="10" t="str">
        <f aca="false">IF(I2787="","",I2787-H2787)</f>
        <v/>
      </c>
      <c r="Q2787" s="10" t="n">
        <f aca="false">VLOOKUP(G2787,$AA$2:$AB$5,2,FALSE())</f>
        <v>15</v>
      </c>
      <c r="R2787" s="7" t="n">
        <f aca="false">IF(OR(F2787="Open",F2787="Reopened"),1,0)</f>
        <v>1</v>
      </c>
      <c r="S2787" s="7" t="n">
        <f aca="false">IF(AND(H2787&gt;='Exec Summary'!$E$1,H2787&lt;='Exec Summary'!$E$2),1,0)</f>
        <v>0</v>
      </c>
      <c r="T2787" s="7" t="n">
        <f aca="false">IF(AND(F2787="Closed",I2787&lt;&gt;"",I2787&gt;='Exec Summary'!$E$1,I2787&lt;='Exec Summary'!$E$2),1,0)</f>
        <v>0</v>
      </c>
      <c r="U2787" s="7" t="n">
        <f aca="false">IF(F2787="Reopened",1,0)</f>
        <v>0</v>
      </c>
      <c r="V2787" s="7" t="n">
        <f aca="false">IF(AND(R2787=1,O2787&gt;Q2787),1,0)</f>
        <v>1</v>
      </c>
      <c r="W2787" s="7" t="n">
        <f aca="false">IF(AND(T2787=1,P2787&lt;&gt;"",P2787&lt;=Q2787),1,0)</f>
        <v>0</v>
      </c>
    </row>
    <row r="2788" customFormat="false" ht="15" hidden="false" customHeight="false" outlineLevel="0" collapsed="false">
      <c r="A2788" s="7" t="s">
        <v>3292</v>
      </c>
      <c r="B2788" s="7" t="s">
        <v>135</v>
      </c>
      <c r="C2788" s="7" t="s">
        <v>247</v>
      </c>
      <c r="D2788" s="7" t="s">
        <v>62</v>
      </c>
      <c r="E2788" s="7" t="s">
        <v>63</v>
      </c>
      <c r="F2788" s="7" t="s">
        <v>50</v>
      </c>
      <c r="G2788" s="7" t="s">
        <v>20</v>
      </c>
      <c r="H2788" s="9" t="n">
        <v>46208</v>
      </c>
      <c r="I2788" s="9" t="n">
        <v>46234</v>
      </c>
      <c r="J2788" s="7" t="n">
        <v>8.1</v>
      </c>
      <c r="K2788" s="7" t="s">
        <v>2984</v>
      </c>
      <c r="L2788" s="7" t="s">
        <v>20</v>
      </c>
      <c r="M2788" s="7" t="s">
        <v>3295</v>
      </c>
      <c r="N2788" s="7" t="s">
        <v>53</v>
      </c>
      <c r="O2788" s="10" t="n">
        <f aca="false">'Exec Summary'!$E$2-H2788</f>
        <v>26</v>
      </c>
      <c r="P2788" s="10" t="n">
        <f aca="false">IF(I2788="","",I2788-H2788)</f>
        <v>26</v>
      </c>
      <c r="Q2788" s="10" t="n">
        <f aca="false">VLOOKUP(G2788,$AA$2:$AB$5,2,FALSE())</f>
        <v>30</v>
      </c>
      <c r="R2788" s="7" t="n">
        <f aca="false">IF(OR(F2788="Open",F2788="Reopened"),1,0)</f>
        <v>0</v>
      </c>
      <c r="S2788" s="7" t="n">
        <f aca="false">IF(AND(H2788&gt;='Exec Summary'!$E$1,H2788&lt;='Exec Summary'!$E$2),1,0)</f>
        <v>1</v>
      </c>
      <c r="T2788" s="7" t="n">
        <f aca="false">IF(AND(F2788="Closed",I2788&lt;&gt;"",I2788&gt;='Exec Summary'!$E$1,I2788&lt;='Exec Summary'!$E$2),1,0)</f>
        <v>1</v>
      </c>
      <c r="U2788" s="7" t="n">
        <f aca="false">IF(F2788="Reopened",1,0)</f>
        <v>0</v>
      </c>
      <c r="V2788" s="7" t="n">
        <f aca="false">IF(AND(R2788=1,O2788&gt;Q2788),1,0)</f>
        <v>0</v>
      </c>
      <c r="W2788" s="7" t="n">
        <f aca="false">IF(AND(T2788=1,P2788&lt;&gt;"",P2788&lt;=Q2788),1,0)</f>
        <v>1</v>
      </c>
    </row>
    <row r="2789" customFormat="false" ht="15" hidden="false" customHeight="false" outlineLevel="0" collapsed="false">
      <c r="A2789" s="7" t="s">
        <v>3292</v>
      </c>
      <c r="B2789" s="7" t="s">
        <v>135</v>
      </c>
      <c r="C2789" s="7" t="s">
        <v>247</v>
      </c>
      <c r="D2789" s="7" t="s">
        <v>145</v>
      </c>
      <c r="E2789" s="7" t="s">
        <v>146</v>
      </c>
      <c r="F2789" s="7" t="s">
        <v>56</v>
      </c>
      <c r="G2789" s="7" t="s">
        <v>19</v>
      </c>
      <c r="H2789" s="9" t="n">
        <v>46100</v>
      </c>
      <c r="I2789" s="9"/>
      <c r="J2789" s="7" t="n">
        <v>9.8</v>
      </c>
      <c r="K2789" s="7" t="s">
        <v>2984</v>
      </c>
      <c r="L2789" s="7" t="s">
        <v>20</v>
      </c>
      <c r="M2789" s="7" t="s">
        <v>3296</v>
      </c>
      <c r="N2789" s="7" t="s">
        <v>58</v>
      </c>
      <c r="O2789" s="10" t="n">
        <f aca="false">'Exec Summary'!$E$2-H2789</f>
        <v>134</v>
      </c>
      <c r="P2789" s="10" t="str">
        <f aca="false">IF(I2789="","",I2789-H2789)</f>
        <v/>
      </c>
      <c r="Q2789" s="10" t="n">
        <f aca="false">VLOOKUP(G2789,$AA$2:$AB$5,2,FALSE())</f>
        <v>15</v>
      </c>
      <c r="R2789" s="7" t="n">
        <f aca="false">IF(OR(F2789="Open",F2789="Reopened"),1,0)</f>
        <v>1</v>
      </c>
      <c r="S2789" s="7" t="n">
        <f aca="false">IF(AND(H2789&gt;='Exec Summary'!$E$1,H2789&lt;='Exec Summary'!$E$2),1,0)</f>
        <v>0</v>
      </c>
      <c r="T2789" s="7" t="n">
        <f aca="false">IF(AND(F2789="Closed",I2789&lt;&gt;"",I2789&gt;='Exec Summary'!$E$1,I2789&lt;='Exec Summary'!$E$2),1,0)</f>
        <v>0</v>
      </c>
      <c r="U2789" s="7" t="n">
        <f aca="false">IF(F2789="Reopened",1,0)</f>
        <v>0</v>
      </c>
      <c r="V2789" s="7" t="n">
        <f aca="false">IF(AND(R2789=1,O2789&gt;Q2789),1,0)</f>
        <v>1</v>
      </c>
      <c r="W2789" s="7" t="n">
        <f aca="false">IF(AND(T2789=1,P2789&lt;&gt;"",P2789&lt;=Q2789),1,0)</f>
        <v>0</v>
      </c>
    </row>
    <row r="2790" customFormat="false" ht="15" hidden="false" customHeight="false" outlineLevel="0" collapsed="false">
      <c r="A2790" s="7" t="s">
        <v>3292</v>
      </c>
      <c r="B2790" s="7" t="s">
        <v>135</v>
      </c>
      <c r="C2790" s="7" t="s">
        <v>247</v>
      </c>
      <c r="D2790" s="7" t="s">
        <v>117</v>
      </c>
      <c r="E2790" s="7" t="s">
        <v>118</v>
      </c>
      <c r="F2790" s="7" t="s">
        <v>50</v>
      </c>
      <c r="G2790" s="7" t="s">
        <v>19</v>
      </c>
      <c r="H2790" s="9" t="n">
        <v>45952</v>
      </c>
      <c r="I2790" s="9" t="n">
        <v>45970</v>
      </c>
      <c r="J2790" s="7" t="n">
        <v>10</v>
      </c>
      <c r="K2790" s="7" t="s">
        <v>2984</v>
      </c>
      <c r="L2790" s="7" t="s">
        <v>20</v>
      </c>
      <c r="M2790" s="7" t="s">
        <v>3297</v>
      </c>
      <c r="N2790" s="7" t="s">
        <v>58</v>
      </c>
      <c r="O2790" s="10" t="n">
        <f aca="false">'Exec Summary'!$E$2-H2790</f>
        <v>282</v>
      </c>
      <c r="P2790" s="10" t="n">
        <f aca="false">IF(I2790="","",I2790-H2790)</f>
        <v>18</v>
      </c>
      <c r="Q2790" s="10" t="n">
        <f aca="false">VLOOKUP(G2790,$AA$2:$AB$5,2,FALSE())</f>
        <v>15</v>
      </c>
      <c r="R2790" s="7" t="n">
        <f aca="false">IF(OR(F2790="Open",F2790="Reopened"),1,0)</f>
        <v>0</v>
      </c>
      <c r="S2790" s="7" t="n">
        <f aca="false">IF(AND(H2790&gt;='Exec Summary'!$E$1,H2790&lt;='Exec Summary'!$E$2),1,0)</f>
        <v>0</v>
      </c>
      <c r="T2790" s="7" t="n">
        <f aca="false">IF(AND(F2790="Closed",I2790&lt;&gt;"",I2790&gt;='Exec Summary'!$E$1,I2790&lt;='Exec Summary'!$E$2),1,0)</f>
        <v>0</v>
      </c>
      <c r="U2790" s="7" t="n">
        <f aca="false">IF(F2790="Reopened",1,0)</f>
        <v>0</v>
      </c>
      <c r="V2790" s="7" t="n">
        <f aca="false">IF(AND(R2790=1,O2790&gt;Q2790),1,0)</f>
        <v>0</v>
      </c>
      <c r="W2790" s="7" t="n">
        <f aca="false">IF(AND(T2790=1,P2790&lt;&gt;"",P2790&lt;=Q2790),1,0)</f>
        <v>0</v>
      </c>
    </row>
    <row r="2791" customFormat="false" ht="15" hidden="false" customHeight="false" outlineLevel="0" collapsed="false">
      <c r="A2791" s="7" t="s">
        <v>3292</v>
      </c>
      <c r="B2791" s="7" t="s">
        <v>135</v>
      </c>
      <c r="C2791" s="7" t="s">
        <v>247</v>
      </c>
      <c r="D2791" s="7" t="s">
        <v>163</v>
      </c>
      <c r="E2791" s="7" t="s">
        <v>164</v>
      </c>
      <c r="F2791" s="7" t="s">
        <v>50</v>
      </c>
      <c r="G2791" s="7" t="s">
        <v>19</v>
      </c>
      <c r="H2791" s="9" t="n">
        <v>45967</v>
      </c>
      <c r="I2791" s="9" t="n">
        <v>45989</v>
      </c>
      <c r="J2791" s="7" t="n">
        <v>9.1</v>
      </c>
      <c r="K2791" s="7" t="s">
        <v>2984</v>
      </c>
      <c r="L2791" s="7" t="s">
        <v>20</v>
      </c>
      <c r="M2791" s="7" t="s">
        <v>3298</v>
      </c>
      <c r="N2791" s="7" t="s">
        <v>58</v>
      </c>
      <c r="O2791" s="10" t="n">
        <f aca="false">'Exec Summary'!$E$2-H2791</f>
        <v>267</v>
      </c>
      <c r="P2791" s="10" t="n">
        <f aca="false">IF(I2791="","",I2791-H2791)</f>
        <v>22</v>
      </c>
      <c r="Q2791" s="10" t="n">
        <f aca="false">VLOOKUP(G2791,$AA$2:$AB$5,2,FALSE())</f>
        <v>15</v>
      </c>
      <c r="R2791" s="7" t="n">
        <f aca="false">IF(OR(F2791="Open",F2791="Reopened"),1,0)</f>
        <v>0</v>
      </c>
      <c r="S2791" s="7" t="n">
        <f aca="false">IF(AND(H2791&gt;='Exec Summary'!$E$1,H2791&lt;='Exec Summary'!$E$2),1,0)</f>
        <v>0</v>
      </c>
      <c r="T2791" s="7" t="n">
        <f aca="false">IF(AND(F2791="Closed",I2791&lt;&gt;"",I2791&gt;='Exec Summary'!$E$1,I2791&lt;='Exec Summary'!$E$2),1,0)</f>
        <v>0</v>
      </c>
      <c r="U2791" s="7" t="n">
        <f aca="false">IF(F2791="Reopened",1,0)</f>
        <v>0</v>
      </c>
      <c r="V2791" s="7" t="n">
        <f aca="false">IF(AND(R2791=1,O2791&gt;Q2791),1,0)</f>
        <v>0</v>
      </c>
      <c r="W2791" s="7" t="n">
        <f aca="false">IF(AND(T2791=1,P2791&lt;&gt;"",P2791&lt;=Q2791),1,0)</f>
        <v>0</v>
      </c>
    </row>
    <row r="2792" customFormat="false" ht="15" hidden="false" customHeight="false" outlineLevel="0" collapsed="false">
      <c r="A2792" s="7" t="s">
        <v>3292</v>
      </c>
      <c r="B2792" s="7" t="s">
        <v>135</v>
      </c>
      <c r="C2792" s="7" t="s">
        <v>247</v>
      </c>
      <c r="D2792" s="7" t="s">
        <v>81</v>
      </c>
      <c r="E2792" s="7" t="s">
        <v>82</v>
      </c>
      <c r="F2792" s="7" t="s">
        <v>50</v>
      </c>
      <c r="G2792" s="7" t="s">
        <v>20</v>
      </c>
      <c r="H2792" s="9" t="n">
        <v>45995</v>
      </c>
      <c r="I2792" s="9" t="n">
        <v>46009</v>
      </c>
      <c r="J2792" s="7" t="n">
        <v>7.8</v>
      </c>
      <c r="K2792" s="7" t="s">
        <v>2984</v>
      </c>
      <c r="L2792" s="7" t="s">
        <v>20</v>
      </c>
      <c r="M2792" s="7" t="s">
        <v>3299</v>
      </c>
      <c r="N2792" s="7" t="s">
        <v>53</v>
      </c>
      <c r="O2792" s="10" t="n">
        <f aca="false">'Exec Summary'!$E$2-H2792</f>
        <v>239</v>
      </c>
      <c r="P2792" s="10" t="n">
        <f aca="false">IF(I2792="","",I2792-H2792)</f>
        <v>14</v>
      </c>
      <c r="Q2792" s="10" t="n">
        <f aca="false">VLOOKUP(G2792,$AA$2:$AB$5,2,FALSE())</f>
        <v>30</v>
      </c>
      <c r="R2792" s="7" t="n">
        <f aca="false">IF(OR(F2792="Open",F2792="Reopened"),1,0)</f>
        <v>0</v>
      </c>
      <c r="S2792" s="7" t="n">
        <f aca="false">IF(AND(H2792&gt;='Exec Summary'!$E$1,H2792&lt;='Exec Summary'!$E$2),1,0)</f>
        <v>0</v>
      </c>
      <c r="T2792" s="7" t="n">
        <f aca="false">IF(AND(F2792="Closed",I2792&lt;&gt;"",I2792&gt;='Exec Summary'!$E$1,I2792&lt;='Exec Summary'!$E$2),1,0)</f>
        <v>0</v>
      </c>
      <c r="U2792" s="7" t="n">
        <f aca="false">IF(F2792="Reopened",1,0)</f>
        <v>0</v>
      </c>
      <c r="V2792" s="7" t="n">
        <f aca="false">IF(AND(R2792=1,O2792&gt;Q2792),1,0)</f>
        <v>0</v>
      </c>
      <c r="W2792" s="7" t="n">
        <f aca="false">IF(AND(T2792=1,P2792&lt;&gt;"",P2792&lt;=Q2792),1,0)</f>
        <v>0</v>
      </c>
    </row>
    <row r="2793" customFormat="false" ht="15" hidden="false" customHeight="false" outlineLevel="0" collapsed="false">
      <c r="A2793" s="7" t="s">
        <v>3292</v>
      </c>
      <c r="B2793" s="7" t="s">
        <v>135</v>
      </c>
      <c r="C2793" s="7" t="s">
        <v>247</v>
      </c>
      <c r="D2793" s="7" t="s">
        <v>98</v>
      </c>
      <c r="E2793" s="7" t="s">
        <v>99</v>
      </c>
      <c r="F2793" s="7" t="s">
        <v>56</v>
      </c>
      <c r="G2793" s="7" t="s">
        <v>19</v>
      </c>
      <c r="H2793" s="9" t="n">
        <v>46045</v>
      </c>
      <c r="I2793" s="9"/>
      <c r="J2793" s="7" t="n">
        <v>10</v>
      </c>
      <c r="K2793" s="7" t="s">
        <v>2984</v>
      </c>
      <c r="L2793" s="7" t="s">
        <v>20</v>
      </c>
      <c r="M2793" s="7" t="s">
        <v>3300</v>
      </c>
      <c r="N2793" s="7" t="s">
        <v>58</v>
      </c>
      <c r="O2793" s="10" t="n">
        <f aca="false">'Exec Summary'!$E$2-H2793</f>
        <v>189</v>
      </c>
      <c r="P2793" s="10" t="str">
        <f aca="false">IF(I2793="","",I2793-H2793)</f>
        <v/>
      </c>
      <c r="Q2793" s="10" t="n">
        <f aca="false">VLOOKUP(G2793,$AA$2:$AB$5,2,FALSE())</f>
        <v>15</v>
      </c>
      <c r="R2793" s="7" t="n">
        <f aca="false">IF(OR(F2793="Open",F2793="Reopened"),1,0)</f>
        <v>1</v>
      </c>
      <c r="S2793" s="7" t="n">
        <f aca="false">IF(AND(H2793&gt;='Exec Summary'!$E$1,H2793&lt;='Exec Summary'!$E$2),1,0)</f>
        <v>0</v>
      </c>
      <c r="T2793" s="7" t="n">
        <f aca="false">IF(AND(F2793="Closed",I2793&lt;&gt;"",I2793&gt;='Exec Summary'!$E$1,I2793&lt;='Exec Summary'!$E$2),1,0)</f>
        <v>0</v>
      </c>
      <c r="U2793" s="7" t="n">
        <f aca="false">IF(F2793="Reopened",1,0)</f>
        <v>0</v>
      </c>
      <c r="V2793" s="7" t="n">
        <f aca="false">IF(AND(R2793=1,O2793&gt;Q2793),1,0)</f>
        <v>1</v>
      </c>
      <c r="W2793" s="7" t="n">
        <f aca="false">IF(AND(T2793=1,P2793&lt;&gt;"",P2793&lt;=Q2793),1,0)</f>
        <v>0</v>
      </c>
    </row>
    <row r="2794" customFormat="false" ht="15" hidden="false" customHeight="false" outlineLevel="0" collapsed="false">
      <c r="A2794" s="7" t="s">
        <v>3301</v>
      </c>
      <c r="B2794" s="7" t="s">
        <v>135</v>
      </c>
      <c r="C2794" s="7" t="s">
        <v>247</v>
      </c>
      <c r="D2794" s="7" t="s">
        <v>98</v>
      </c>
      <c r="E2794" s="7" t="s">
        <v>99</v>
      </c>
      <c r="F2794" s="7" t="s">
        <v>50</v>
      </c>
      <c r="G2794" s="7" t="s">
        <v>19</v>
      </c>
      <c r="H2794" s="9" t="n">
        <v>46111</v>
      </c>
      <c r="I2794" s="9" t="n">
        <v>46119</v>
      </c>
      <c r="J2794" s="7" t="n">
        <v>10</v>
      </c>
      <c r="K2794" s="7" t="s">
        <v>2984</v>
      </c>
      <c r="L2794" s="7" t="s">
        <v>21</v>
      </c>
      <c r="M2794" s="7" t="s">
        <v>3302</v>
      </c>
      <c r="N2794" s="7" t="s">
        <v>58</v>
      </c>
      <c r="O2794" s="10" t="n">
        <f aca="false">'Exec Summary'!$E$2-H2794</f>
        <v>123</v>
      </c>
      <c r="P2794" s="10" t="n">
        <f aca="false">IF(I2794="","",I2794-H2794)</f>
        <v>8</v>
      </c>
      <c r="Q2794" s="10" t="n">
        <f aca="false">VLOOKUP(G2794,$AA$2:$AB$5,2,FALSE())</f>
        <v>15</v>
      </c>
      <c r="R2794" s="7" t="n">
        <f aca="false">IF(OR(F2794="Open",F2794="Reopened"),1,0)</f>
        <v>0</v>
      </c>
      <c r="S2794" s="7" t="n">
        <f aca="false">IF(AND(H2794&gt;='Exec Summary'!$E$1,H2794&lt;='Exec Summary'!$E$2),1,0)</f>
        <v>0</v>
      </c>
      <c r="T2794" s="7" t="n">
        <f aca="false">IF(AND(F2794="Closed",I2794&lt;&gt;"",I2794&gt;='Exec Summary'!$E$1,I2794&lt;='Exec Summary'!$E$2),1,0)</f>
        <v>0</v>
      </c>
      <c r="U2794" s="7" t="n">
        <f aca="false">IF(F2794="Reopened",1,0)</f>
        <v>0</v>
      </c>
      <c r="V2794" s="7" t="n">
        <f aca="false">IF(AND(R2794=1,O2794&gt;Q2794),1,0)</f>
        <v>0</v>
      </c>
      <c r="W2794" s="7" t="n">
        <f aca="false">IF(AND(T2794=1,P2794&lt;&gt;"",P2794&lt;=Q2794),1,0)</f>
        <v>0</v>
      </c>
    </row>
    <row r="2795" customFormat="false" ht="15" hidden="false" customHeight="false" outlineLevel="0" collapsed="false">
      <c r="A2795" s="7" t="s">
        <v>3301</v>
      </c>
      <c r="B2795" s="7" t="s">
        <v>135</v>
      </c>
      <c r="C2795" s="7" t="s">
        <v>247</v>
      </c>
      <c r="D2795" s="7" t="s">
        <v>145</v>
      </c>
      <c r="E2795" s="7" t="s">
        <v>146</v>
      </c>
      <c r="F2795" s="7" t="s">
        <v>56</v>
      </c>
      <c r="G2795" s="7" t="s">
        <v>19</v>
      </c>
      <c r="H2795" s="9" t="n">
        <v>46024</v>
      </c>
      <c r="I2795" s="9"/>
      <c r="J2795" s="7" t="n">
        <v>9.8</v>
      </c>
      <c r="K2795" s="7" t="s">
        <v>2984</v>
      </c>
      <c r="L2795" s="7" t="s">
        <v>21</v>
      </c>
      <c r="M2795" s="7" t="s">
        <v>3303</v>
      </c>
      <c r="N2795" s="7" t="s">
        <v>58</v>
      </c>
      <c r="O2795" s="10" t="n">
        <f aca="false">'Exec Summary'!$E$2-H2795</f>
        <v>210</v>
      </c>
      <c r="P2795" s="10" t="str">
        <f aca="false">IF(I2795="","",I2795-H2795)</f>
        <v/>
      </c>
      <c r="Q2795" s="10" t="n">
        <f aca="false">VLOOKUP(G2795,$AA$2:$AB$5,2,FALSE())</f>
        <v>15</v>
      </c>
      <c r="R2795" s="7" t="n">
        <f aca="false">IF(OR(F2795="Open",F2795="Reopened"),1,0)</f>
        <v>1</v>
      </c>
      <c r="S2795" s="7" t="n">
        <f aca="false">IF(AND(H2795&gt;='Exec Summary'!$E$1,H2795&lt;='Exec Summary'!$E$2),1,0)</f>
        <v>0</v>
      </c>
      <c r="T2795" s="7" t="n">
        <f aca="false">IF(AND(F2795="Closed",I2795&lt;&gt;"",I2795&gt;='Exec Summary'!$E$1,I2795&lt;='Exec Summary'!$E$2),1,0)</f>
        <v>0</v>
      </c>
      <c r="U2795" s="7" t="n">
        <f aca="false">IF(F2795="Reopened",1,0)</f>
        <v>0</v>
      </c>
      <c r="V2795" s="7" t="n">
        <f aca="false">IF(AND(R2795=1,O2795&gt;Q2795),1,0)</f>
        <v>1</v>
      </c>
      <c r="W2795" s="7" t="n">
        <f aca="false">IF(AND(T2795=1,P2795&lt;&gt;"",P2795&lt;=Q2795),1,0)</f>
        <v>0</v>
      </c>
    </row>
    <row r="2796" customFormat="false" ht="15" hidden="false" customHeight="false" outlineLevel="0" collapsed="false">
      <c r="A2796" s="7" t="s">
        <v>3304</v>
      </c>
      <c r="B2796" s="7" t="s">
        <v>46</v>
      </c>
      <c r="C2796" s="7" t="s">
        <v>128</v>
      </c>
      <c r="D2796" s="7" t="s">
        <v>166</v>
      </c>
      <c r="E2796" s="7" t="s">
        <v>167</v>
      </c>
      <c r="F2796" s="7" t="s">
        <v>56</v>
      </c>
      <c r="G2796" s="7" t="s">
        <v>19</v>
      </c>
      <c r="H2796" s="9" t="n">
        <v>46114</v>
      </c>
      <c r="I2796" s="9"/>
      <c r="J2796" s="7" t="n">
        <v>9.8</v>
      </c>
      <c r="K2796" s="7" t="s">
        <v>2984</v>
      </c>
      <c r="L2796" s="7" t="s">
        <v>21</v>
      </c>
      <c r="M2796" s="7" t="s">
        <v>3305</v>
      </c>
      <c r="N2796" s="7" t="s">
        <v>58</v>
      </c>
      <c r="O2796" s="10" t="n">
        <f aca="false">'Exec Summary'!$E$2-H2796</f>
        <v>120</v>
      </c>
      <c r="P2796" s="10" t="str">
        <f aca="false">IF(I2796="","",I2796-H2796)</f>
        <v/>
      </c>
      <c r="Q2796" s="10" t="n">
        <f aca="false">VLOOKUP(G2796,$AA$2:$AB$5,2,FALSE())</f>
        <v>15</v>
      </c>
      <c r="R2796" s="7" t="n">
        <f aca="false">IF(OR(F2796="Open",F2796="Reopened"),1,0)</f>
        <v>1</v>
      </c>
      <c r="S2796" s="7" t="n">
        <f aca="false">IF(AND(H2796&gt;='Exec Summary'!$E$1,H2796&lt;='Exec Summary'!$E$2),1,0)</f>
        <v>0</v>
      </c>
      <c r="T2796" s="7" t="n">
        <f aca="false">IF(AND(F2796="Closed",I2796&lt;&gt;"",I2796&gt;='Exec Summary'!$E$1,I2796&lt;='Exec Summary'!$E$2),1,0)</f>
        <v>0</v>
      </c>
      <c r="U2796" s="7" t="n">
        <f aca="false">IF(F2796="Reopened",1,0)</f>
        <v>0</v>
      </c>
      <c r="V2796" s="7" t="n">
        <f aca="false">IF(AND(R2796=1,O2796&gt;Q2796),1,0)</f>
        <v>1</v>
      </c>
      <c r="W2796" s="7" t="n">
        <f aca="false">IF(AND(T2796=1,P2796&lt;&gt;"",P2796&lt;=Q2796),1,0)</f>
        <v>0</v>
      </c>
    </row>
    <row r="2797" customFormat="false" ht="15" hidden="false" customHeight="false" outlineLevel="0" collapsed="false">
      <c r="A2797" s="7" t="s">
        <v>3304</v>
      </c>
      <c r="B2797" s="7" t="s">
        <v>46</v>
      </c>
      <c r="C2797" s="7" t="s">
        <v>128</v>
      </c>
      <c r="D2797" s="7" t="s">
        <v>68</v>
      </c>
      <c r="E2797" s="7" t="s">
        <v>69</v>
      </c>
      <c r="F2797" s="7" t="s">
        <v>50</v>
      </c>
      <c r="G2797" s="7" t="s">
        <v>19</v>
      </c>
      <c r="H2797" s="9" t="n">
        <v>46054</v>
      </c>
      <c r="I2797" s="9" t="n">
        <v>46071</v>
      </c>
      <c r="J2797" s="7" t="n">
        <v>9.8</v>
      </c>
      <c r="K2797" s="7" t="s">
        <v>2984</v>
      </c>
      <c r="L2797" s="7" t="s">
        <v>21</v>
      </c>
      <c r="M2797" s="7" t="s">
        <v>3306</v>
      </c>
      <c r="N2797" s="7" t="s">
        <v>58</v>
      </c>
      <c r="O2797" s="10" t="n">
        <f aca="false">'Exec Summary'!$E$2-H2797</f>
        <v>180</v>
      </c>
      <c r="P2797" s="10" t="n">
        <f aca="false">IF(I2797="","",I2797-H2797)</f>
        <v>17</v>
      </c>
      <c r="Q2797" s="10" t="n">
        <f aca="false">VLOOKUP(G2797,$AA$2:$AB$5,2,FALSE())</f>
        <v>15</v>
      </c>
      <c r="R2797" s="7" t="n">
        <f aca="false">IF(OR(F2797="Open",F2797="Reopened"),1,0)</f>
        <v>0</v>
      </c>
      <c r="S2797" s="7" t="n">
        <f aca="false">IF(AND(H2797&gt;='Exec Summary'!$E$1,H2797&lt;='Exec Summary'!$E$2),1,0)</f>
        <v>0</v>
      </c>
      <c r="T2797" s="7" t="n">
        <f aca="false">IF(AND(F2797="Closed",I2797&lt;&gt;"",I2797&gt;='Exec Summary'!$E$1,I2797&lt;='Exec Summary'!$E$2),1,0)</f>
        <v>0</v>
      </c>
      <c r="U2797" s="7" t="n">
        <f aca="false">IF(F2797="Reopened",1,0)</f>
        <v>0</v>
      </c>
      <c r="V2797" s="7" t="n">
        <f aca="false">IF(AND(R2797=1,O2797&gt;Q2797),1,0)</f>
        <v>0</v>
      </c>
      <c r="W2797" s="7" t="n">
        <f aca="false">IF(AND(T2797=1,P2797&lt;&gt;"",P2797&lt;=Q2797),1,0)</f>
        <v>0</v>
      </c>
    </row>
    <row r="2798" customFormat="false" ht="15" hidden="false" customHeight="false" outlineLevel="0" collapsed="false">
      <c r="A2798" s="7" t="s">
        <v>3304</v>
      </c>
      <c r="B2798" s="7" t="s">
        <v>46</v>
      </c>
      <c r="C2798" s="7" t="s">
        <v>128</v>
      </c>
      <c r="D2798" s="7" t="s">
        <v>206</v>
      </c>
      <c r="E2798" s="7" t="s">
        <v>207</v>
      </c>
      <c r="F2798" s="7" t="s">
        <v>56</v>
      </c>
      <c r="G2798" s="7" t="s">
        <v>20</v>
      </c>
      <c r="H2798" s="9" t="n">
        <v>46031</v>
      </c>
      <c r="I2798" s="9"/>
      <c r="J2798" s="7" t="n">
        <v>8.8</v>
      </c>
      <c r="K2798" s="7" t="s">
        <v>2984</v>
      </c>
      <c r="L2798" s="7" t="s">
        <v>21</v>
      </c>
      <c r="M2798" s="7" t="s">
        <v>3307</v>
      </c>
      <c r="N2798" s="7" t="s">
        <v>53</v>
      </c>
      <c r="O2798" s="10" t="n">
        <f aca="false">'Exec Summary'!$E$2-H2798</f>
        <v>203</v>
      </c>
      <c r="P2798" s="10" t="str">
        <f aca="false">IF(I2798="","",I2798-H2798)</f>
        <v/>
      </c>
      <c r="Q2798" s="10" t="n">
        <f aca="false">VLOOKUP(G2798,$AA$2:$AB$5,2,FALSE())</f>
        <v>30</v>
      </c>
      <c r="R2798" s="7" t="n">
        <f aca="false">IF(OR(F2798="Open",F2798="Reopened"),1,0)</f>
        <v>1</v>
      </c>
      <c r="S2798" s="7" t="n">
        <f aca="false">IF(AND(H2798&gt;='Exec Summary'!$E$1,H2798&lt;='Exec Summary'!$E$2),1,0)</f>
        <v>0</v>
      </c>
      <c r="T2798" s="7" t="n">
        <f aca="false">IF(AND(F2798="Closed",I2798&lt;&gt;"",I2798&gt;='Exec Summary'!$E$1,I2798&lt;='Exec Summary'!$E$2),1,0)</f>
        <v>0</v>
      </c>
      <c r="U2798" s="7" t="n">
        <f aca="false">IF(F2798="Reopened",1,0)</f>
        <v>0</v>
      </c>
      <c r="V2798" s="7" t="n">
        <f aca="false">IF(AND(R2798=1,O2798&gt;Q2798),1,0)</f>
        <v>1</v>
      </c>
      <c r="W2798" s="7" t="n">
        <f aca="false">IF(AND(T2798=1,P2798&lt;&gt;"",P2798&lt;=Q2798),1,0)</f>
        <v>0</v>
      </c>
    </row>
    <row r="2799" customFormat="false" ht="15" hidden="false" customHeight="false" outlineLevel="0" collapsed="false">
      <c r="A2799" s="7" t="s">
        <v>3304</v>
      </c>
      <c r="B2799" s="7" t="s">
        <v>46</v>
      </c>
      <c r="C2799" s="7" t="s">
        <v>128</v>
      </c>
      <c r="D2799" s="7" t="s">
        <v>65</v>
      </c>
      <c r="E2799" s="7" t="s">
        <v>66</v>
      </c>
      <c r="F2799" s="7" t="s">
        <v>50</v>
      </c>
      <c r="G2799" s="7" t="s">
        <v>19</v>
      </c>
      <c r="H2799" s="9" t="n">
        <v>45934</v>
      </c>
      <c r="I2799" s="9" t="n">
        <v>45953</v>
      </c>
      <c r="J2799" s="7" t="n">
        <v>9.8</v>
      </c>
      <c r="K2799" s="7" t="s">
        <v>2984</v>
      </c>
      <c r="L2799" s="7" t="s">
        <v>21</v>
      </c>
      <c r="M2799" s="7" t="s">
        <v>3308</v>
      </c>
      <c r="N2799" s="7" t="s">
        <v>58</v>
      </c>
      <c r="O2799" s="10" t="n">
        <f aca="false">'Exec Summary'!$E$2-H2799</f>
        <v>300</v>
      </c>
      <c r="P2799" s="10" t="n">
        <f aca="false">IF(I2799="","",I2799-H2799)</f>
        <v>19</v>
      </c>
      <c r="Q2799" s="10" t="n">
        <f aca="false">VLOOKUP(G2799,$AA$2:$AB$5,2,FALSE())</f>
        <v>15</v>
      </c>
      <c r="R2799" s="7" t="n">
        <f aca="false">IF(OR(F2799="Open",F2799="Reopened"),1,0)</f>
        <v>0</v>
      </c>
      <c r="S2799" s="7" t="n">
        <f aca="false">IF(AND(H2799&gt;='Exec Summary'!$E$1,H2799&lt;='Exec Summary'!$E$2),1,0)</f>
        <v>0</v>
      </c>
      <c r="T2799" s="7" t="n">
        <f aca="false">IF(AND(F2799="Closed",I2799&lt;&gt;"",I2799&gt;='Exec Summary'!$E$1,I2799&lt;='Exec Summary'!$E$2),1,0)</f>
        <v>0</v>
      </c>
      <c r="U2799" s="7" t="n">
        <f aca="false">IF(F2799="Reopened",1,0)</f>
        <v>0</v>
      </c>
      <c r="V2799" s="7" t="n">
        <f aca="false">IF(AND(R2799=1,O2799&gt;Q2799),1,0)</f>
        <v>0</v>
      </c>
      <c r="W2799" s="7" t="n">
        <f aca="false">IF(AND(T2799=1,P2799&lt;&gt;"",P2799&lt;=Q2799),1,0)</f>
        <v>0</v>
      </c>
    </row>
    <row r="2800" customFormat="false" ht="15" hidden="false" customHeight="false" outlineLevel="0" collapsed="false">
      <c r="A2800" s="7" t="s">
        <v>3309</v>
      </c>
      <c r="B2800" s="7" t="s">
        <v>135</v>
      </c>
      <c r="C2800" s="7" t="s">
        <v>306</v>
      </c>
      <c r="D2800" s="7" t="s">
        <v>166</v>
      </c>
      <c r="E2800" s="7" t="s">
        <v>167</v>
      </c>
      <c r="F2800" s="7" t="s">
        <v>50</v>
      </c>
      <c r="G2800" s="7" t="s">
        <v>19</v>
      </c>
      <c r="H2800" s="9" t="n">
        <v>46195</v>
      </c>
      <c r="I2800" s="9" t="n">
        <v>46196</v>
      </c>
      <c r="J2800" s="7" t="n">
        <v>9.8</v>
      </c>
      <c r="K2800" s="7" t="s">
        <v>2984</v>
      </c>
      <c r="L2800" s="7" t="s">
        <v>21</v>
      </c>
      <c r="M2800" s="7" t="s">
        <v>3310</v>
      </c>
      <c r="N2800" s="7" t="s">
        <v>58</v>
      </c>
      <c r="O2800" s="10" t="n">
        <f aca="false">'Exec Summary'!$E$2-H2800</f>
        <v>39</v>
      </c>
      <c r="P2800" s="10" t="n">
        <f aca="false">IF(I2800="","",I2800-H2800)</f>
        <v>1</v>
      </c>
      <c r="Q2800" s="10" t="n">
        <f aca="false">VLOOKUP(G2800,$AA$2:$AB$5,2,FALSE())</f>
        <v>15</v>
      </c>
      <c r="R2800" s="7" t="n">
        <f aca="false">IF(OR(F2800="Open",F2800="Reopened"),1,0)</f>
        <v>0</v>
      </c>
      <c r="S2800" s="7" t="n">
        <f aca="false">IF(AND(H2800&gt;='Exec Summary'!$E$1,H2800&lt;='Exec Summary'!$E$2),1,0)</f>
        <v>0</v>
      </c>
      <c r="T2800" s="7" t="n">
        <f aca="false">IF(AND(F2800="Closed",I2800&lt;&gt;"",I2800&gt;='Exec Summary'!$E$1,I2800&lt;='Exec Summary'!$E$2),1,0)</f>
        <v>0</v>
      </c>
      <c r="U2800" s="7" t="n">
        <f aca="false">IF(F2800="Reopened",1,0)</f>
        <v>0</v>
      </c>
      <c r="V2800" s="7" t="n">
        <f aca="false">IF(AND(R2800=1,O2800&gt;Q2800),1,0)</f>
        <v>0</v>
      </c>
      <c r="W2800" s="7" t="n">
        <f aca="false">IF(AND(T2800=1,P2800&lt;&gt;"",P2800&lt;=Q2800),1,0)</f>
        <v>0</v>
      </c>
    </row>
    <row r="2801" customFormat="false" ht="15" hidden="false" customHeight="false" outlineLevel="0" collapsed="false">
      <c r="A2801" s="7" t="s">
        <v>3309</v>
      </c>
      <c r="B2801" s="7" t="s">
        <v>135</v>
      </c>
      <c r="C2801" s="7" t="s">
        <v>306</v>
      </c>
      <c r="D2801" s="7" t="s">
        <v>192</v>
      </c>
      <c r="E2801" s="7" t="s">
        <v>193</v>
      </c>
      <c r="F2801" s="7" t="s">
        <v>56</v>
      </c>
      <c r="G2801" s="7" t="s">
        <v>19</v>
      </c>
      <c r="H2801" s="9" t="n">
        <v>46015</v>
      </c>
      <c r="I2801" s="9"/>
      <c r="J2801" s="7" t="n">
        <v>9.8</v>
      </c>
      <c r="K2801" s="7" t="s">
        <v>2984</v>
      </c>
      <c r="L2801" s="7" t="s">
        <v>21</v>
      </c>
      <c r="M2801" s="7" t="s">
        <v>3311</v>
      </c>
      <c r="N2801" s="7" t="s">
        <v>58</v>
      </c>
      <c r="O2801" s="10" t="n">
        <f aca="false">'Exec Summary'!$E$2-H2801</f>
        <v>219</v>
      </c>
      <c r="P2801" s="10" t="str">
        <f aca="false">IF(I2801="","",I2801-H2801)</f>
        <v/>
      </c>
      <c r="Q2801" s="10" t="n">
        <f aca="false">VLOOKUP(G2801,$AA$2:$AB$5,2,FALSE())</f>
        <v>15</v>
      </c>
      <c r="R2801" s="7" t="n">
        <f aca="false">IF(OR(F2801="Open",F2801="Reopened"),1,0)</f>
        <v>1</v>
      </c>
      <c r="S2801" s="7" t="n">
        <f aca="false">IF(AND(H2801&gt;='Exec Summary'!$E$1,H2801&lt;='Exec Summary'!$E$2),1,0)</f>
        <v>0</v>
      </c>
      <c r="T2801" s="7" t="n">
        <f aca="false">IF(AND(F2801="Closed",I2801&lt;&gt;"",I2801&gt;='Exec Summary'!$E$1,I2801&lt;='Exec Summary'!$E$2),1,0)</f>
        <v>0</v>
      </c>
      <c r="U2801" s="7" t="n">
        <f aca="false">IF(F2801="Reopened",1,0)</f>
        <v>0</v>
      </c>
      <c r="V2801" s="7" t="n">
        <f aca="false">IF(AND(R2801=1,O2801&gt;Q2801),1,0)</f>
        <v>1</v>
      </c>
      <c r="W2801" s="7" t="n">
        <f aca="false">IF(AND(T2801=1,P2801&lt;&gt;"",P2801&lt;=Q2801),1,0)</f>
        <v>0</v>
      </c>
    </row>
    <row r="2802" customFormat="false" ht="15" hidden="false" customHeight="false" outlineLevel="0" collapsed="false">
      <c r="A2802" s="7" t="s">
        <v>3309</v>
      </c>
      <c r="B2802" s="7" t="s">
        <v>135</v>
      </c>
      <c r="C2802" s="7" t="s">
        <v>306</v>
      </c>
      <c r="D2802" s="7" t="s">
        <v>139</v>
      </c>
      <c r="E2802" s="7" t="s">
        <v>140</v>
      </c>
      <c r="F2802" s="7" t="s">
        <v>123</v>
      </c>
      <c r="G2802" s="7" t="s">
        <v>19</v>
      </c>
      <c r="H2802" s="9" t="n">
        <v>46129</v>
      </c>
      <c r="I2802" s="9" t="n">
        <v>46132</v>
      </c>
      <c r="J2802" s="7" t="n">
        <v>9.8</v>
      </c>
      <c r="K2802" s="7" t="s">
        <v>2984</v>
      </c>
      <c r="L2802" s="7" t="s">
        <v>21</v>
      </c>
      <c r="M2802" s="7" t="s">
        <v>3312</v>
      </c>
      <c r="N2802" s="7" t="s">
        <v>58</v>
      </c>
      <c r="O2802" s="10" t="n">
        <f aca="false">'Exec Summary'!$E$2-H2802</f>
        <v>105</v>
      </c>
      <c r="P2802" s="10" t="n">
        <f aca="false">IF(I2802="","",I2802-H2802)</f>
        <v>3</v>
      </c>
      <c r="Q2802" s="10" t="n">
        <f aca="false">VLOOKUP(G2802,$AA$2:$AB$5,2,FALSE())</f>
        <v>15</v>
      </c>
      <c r="R2802" s="7" t="n">
        <f aca="false">IF(OR(F2802="Open",F2802="Reopened"),1,0)</f>
        <v>1</v>
      </c>
      <c r="S2802" s="7" t="n">
        <f aca="false">IF(AND(H2802&gt;='Exec Summary'!$E$1,H2802&lt;='Exec Summary'!$E$2),1,0)</f>
        <v>0</v>
      </c>
      <c r="T2802" s="7" t="n">
        <f aca="false">IF(AND(F2802="Closed",I2802&lt;&gt;"",I2802&gt;='Exec Summary'!$E$1,I2802&lt;='Exec Summary'!$E$2),1,0)</f>
        <v>0</v>
      </c>
      <c r="U2802" s="7" t="n">
        <f aca="false">IF(F2802="Reopened",1,0)</f>
        <v>1</v>
      </c>
      <c r="V2802" s="7" t="n">
        <f aca="false">IF(AND(R2802=1,O2802&gt;Q2802),1,0)</f>
        <v>1</v>
      </c>
      <c r="W2802" s="7" t="n">
        <f aca="false">IF(AND(T2802=1,P2802&lt;&gt;"",P2802&lt;=Q2802),1,0)</f>
        <v>0</v>
      </c>
    </row>
    <row r="2803" customFormat="false" ht="15" hidden="false" customHeight="false" outlineLevel="0" collapsed="false">
      <c r="A2803" s="7" t="s">
        <v>3309</v>
      </c>
      <c r="B2803" s="7" t="s">
        <v>135</v>
      </c>
      <c r="C2803" s="7" t="s">
        <v>306</v>
      </c>
      <c r="D2803" s="7" t="s">
        <v>145</v>
      </c>
      <c r="E2803" s="7" t="s">
        <v>146</v>
      </c>
      <c r="F2803" s="7" t="s">
        <v>50</v>
      </c>
      <c r="G2803" s="7" t="s">
        <v>19</v>
      </c>
      <c r="H2803" s="9" t="n">
        <v>46013</v>
      </c>
      <c r="I2803" s="9" t="n">
        <v>46016</v>
      </c>
      <c r="J2803" s="7" t="n">
        <v>9.8</v>
      </c>
      <c r="K2803" s="7" t="s">
        <v>2984</v>
      </c>
      <c r="L2803" s="7" t="s">
        <v>21</v>
      </c>
      <c r="M2803" s="7" t="s">
        <v>3313</v>
      </c>
      <c r="N2803" s="7" t="s">
        <v>58</v>
      </c>
      <c r="O2803" s="10" t="n">
        <f aca="false">'Exec Summary'!$E$2-H2803</f>
        <v>221</v>
      </c>
      <c r="P2803" s="10" t="n">
        <f aca="false">IF(I2803="","",I2803-H2803)</f>
        <v>3</v>
      </c>
      <c r="Q2803" s="10" t="n">
        <f aca="false">VLOOKUP(G2803,$AA$2:$AB$5,2,FALSE())</f>
        <v>15</v>
      </c>
      <c r="R2803" s="7" t="n">
        <f aca="false">IF(OR(F2803="Open",F2803="Reopened"),1,0)</f>
        <v>0</v>
      </c>
      <c r="S2803" s="7" t="n">
        <f aca="false">IF(AND(H2803&gt;='Exec Summary'!$E$1,H2803&lt;='Exec Summary'!$E$2),1,0)</f>
        <v>0</v>
      </c>
      <c r="T2803" s="7" t="n">
        <f aca="false">IF(AND(F2803="Closed",I2803&lt;&gt;"",I2803&gt;='Exec Summary'!$E$1,I2803&lt;='Exec Summary'!$E$2),1,0)</f>
        <v>0</v>
      </c>
      <c r="U2803" s="7" t="n">
        <f aca="false">IF(F2803="Reopened",1,0)</f>
        <v>0</v>
      </c>
      <c r="V2803" s="7" t="n">
        <f aca="false">IF(AND(R2803=1,O2803&gt;Q2803),1,0)</f>
        <v>0</v>
      </c>
      <c r="W2803" s="7" t="n">
        <f aca="false">IF(AND(T2803=1,P2803&lt;&gt;"",P2803&lt;=Q2803),1,0)</f>
        <v>0</v>
      </c>
    </row>
    <row r="2804" customFormat="false" ht="15" hidden="false" customHeight="false" outlineLevel="0" collapsed="false">
      <c r="A2804" s="7" t="s">
        <v>3309</v>
      </c>
      <c r="B2804" s="7" t="s">
        <v>135</v>
      </c>
      <c r="C2804" s="7" t="s">
        <v>306</v>
      </c>
      <c r="D2804" s="7" t="s">
        <v>84</v>
      </c>
      <c r="E2804" s="7" t="s">
        <v>85</v>
      </c>
      <c r="F2804" s="7" t="s">
        <v>56</v>
      </c>
      <c r="G2804" s="7" t="s">
        <v>20</v>
      </c>
      <c r="H2804" s="9" t="n">
        <v>46219</v>
      </c>
      <c r="I2804" s="9"/>
      <c r="J2804" s="7" t="n">
        <v>7.5</v>
      </c>
      <c r="K2804" s="7" t="s">
        <v>2984</v>
      </c>
      <c r="L2804" s="7" t="s">
        <v>21</v>
      </c>
      <c r="M2804" s="7" t="s">
        <v>3314</v>
      </c>
      <c r="N2804" s="7" t="s">
        <v>53</v>
      </c>
      <c r="O2804" s="10" t="n">
        <f aca="false">'Exec Summary'!$E$2-H2804</f>
        <v>15</v>
      </c>
      <c r="P2804" s="10" t="str">
        <f aca="false">IF(I2804="","",I2804-H2804)</f>
        <v/>
      </c>
      <c r="Q2804" s="10" t="n">
        <f aca="false">VLOOKUP(G2804,$AA$2:$AB$5,2,FALSE())</f>
        <v>30</v>
      </c>
      <c r="R2804" s="7" t="n">
        <f aca="false">IF(OR(F2804="Open",F2804="Reopened"),1,0)</f>
        <v>1</v>
      </c>
      <c r="S2804" s="7" t="n">
        <f aca="false">IF(AND(H2804&gt;='Exec Summary'!$E$1,H2804&lt;='Exec Summary'!$E$2),1,0)</f>
        <v>1</v>
      </c>
      <c r="T2804" s="7" t="n">
        <f aca="false">IF(AND(F2804="Closed",I2804&lt;&gt;"",I2804&gt;='Exec Summary'!$E$1,I2804&lt;='Exec Summary'!$E$2),1,0)</f>
        <v>0</v>
      </c>
      <c r="U2804" s="7" t="n">
        <f aca="false">IF(F2804="Reopened",1,0)</f>
        <v>0</v>
      </c>
      <c r="V2804" s="7" t="n">
        <f aca="false">IF(AND(R2804=1,O2804&gt;Q2804),1,0)</f>
        <v>0</v>
      </c>
      <c r="W2804" s="7" t="n">
        <f aca="false">IF(AND(T2804=1,P2804&lt;&gt;"",P2804&lt;=Q2804),1,0)</f>
        <v>0</v>
      </c>
    </row>
    <row r="2805" customFormat="false" ht="15" hidden="false" customHeight="false" outlineLevel="0" collapsed="false">
      <c r="A2805" s="7" t="s">
        <v>3309</v>
      </c>
      <c r="B2805" s="7" t="s">
        <v>135</v>
      </c>
      <c r="C2805" s="7" t="s">
        <v>306</v>
      </c>
      <c r="D2805" s="7" t="s">
        <v>210</v>
      </c>
      <c r="E2805" s="7" t="s">
        <v>211</v>
      </c>
      <c r="F2805" s="7" t="s">
        <v>56</v>
      </c>
      <c r="G2805" s="7" t="s">
        <v>19</v>
      </c>
      <c r="H2805" s="9" t="n">
        <v>45979</v>
      </c>
      <c r="I2805" s="9"/>
      <c r="J2805" s="7" t="n">
        <v>9.8</v>
      </c>
      <c r="K2805" s="7" t="s">
        <v>2984</v>
      </c>
      <c r="L2805" s="7" t="s">
        <v>21</v>
      </c>
      <c r="M2805" s="7" t="s">
        <v>3315</v>
      </c>
      <c r="N2805" s="7" t="s">
        <v>58</v>
      </c>
      <c r="O2805" s="10" t="n">
        <f aca="false">'Exec Summary'!$E$2-H2805</f>
        <v>255</v>
      </c>
      <c r="P2805" s="10" t="str">
        <f aca="false">IF(I2805="","",I2805-H2805)</f>
        <v/>
      </c>
      <c r="Q2805" s="10" t="n">
        <f aca="false">VLOOKUP(G2805,$AA$2:$AB$5,2,FALSE())</f>
        <v>15</v>
      </c>
      <c r="R2805" s="7" t="n">
        <f aca="false">IF(OR(F2805="Open",F2805="Reopened"),1,0)</f>
        <v>1</v>
      </c>
      <c r="S2805" s="7" t="n">
        <f aca="false">IF(AND(H2805&gt;='Exec Summary'!$E$1,H2805&lt;='Exec Summary'!$E$2),1,0)</f>
        <v>0</v>
      </c>
      <c r="T2805" s="7" t="n">
        <f aca="false">IF(AND(F2805="Closed",I2805&lt;&gt;"",I2805&gt;='Exec Summary'!$E$1,I2805&lt;='Exec Summary'!$E$2),1,0)</f>
        <v>0</v>
      </c>
      <c r="U2805" s="7" t="n">
        <f aca="false">IF(F2805="Reopened",1,0)</f>
        <v>0</v>
      </c>
      <c r="V2805" s="7" t="n">
        <f aca="false">IF(AND(R2805=1,O2805&gt;Q2805),1,0)</f>
        <v>1</v>
      </c>
      <c r="W2805" s="7" t="n">
        <f aca="false">IF(AND(T2805=1,P2805&lt;&gt;"",P2805&lt;=Q2805),1,0)</f>
        <v>0</v>
      </c>
    </row>
    <row r="2806" customFormat="false" ht="15" hidden="false" customHeight="false" outlineLevel="0" collapsed="false">
      <c r="A2806" s="7" t="s">
        <v>3309</v>
      </c>
      <c r="B2806" s="7" t="s">
        <v>135</v>
      </c>
      <c r="C2806" s="7" t="s">
        <v>306</v>
      </c>
      <c r="D2806" s="7" t="s">
        <v>91</v>
      </c>
      <c r="E2806" s="7" t="s">
        <v>92</v>
      </c>
      <c r="F2806" s="7" t="s">
        <v>56</v>
      </c>
      <c r="G2806" s="7" t="s">
        <v>20</v>
      </c>
      <c r="H2806" s="9" t="n">
        <v>46156</v>
      </c>
      <c r="I2806" s="9"/>
      <c r="J2806" s="7" t="n">
        <v>8.1</v>
      </c>
      <c r="K2806" s="7" t="s">
        <v>2984</v>
      </c>
      <c r="L2806" s="7" t="s">
        <v>21</v>
      </c>
      <c r="M2806" s="7" t="s">
        <v>3316</v>
      </c>
      <c r="N2806" s="7" t="s">
        <v>53</v>
      </c>
      <c r="O2806" s="10" t="n">
        <f aca="false">'Exec Summary'!$E$2-H2806</f>
        <v>78</v>
      </c>
      <c r="P2806" s="10" t="str">
        <f aca="false">IF(I2806="","",I2806-H2806)</f>
        <v/>
      </c>
      <c r="Q2806" s="10" t="n">
        <f aca="false">VLOOKUP(G2806,$AA$2:$AB$5,2,FALSE())</f>
        <v>30</v>
      </c>
      <c r="R2806" s="7" t="n">
        <f aca="false">IF(OR(F2806="Open",F2806="Reopened"),1,0)</f>
        <v>1</v>
      </c>
      <c r="S2806" s="7" t="n">
        <f aca="false">IF(AND(H2806&gt;='Exec Summary'!$E$1,H2806&lt;='Exec Summary'!$E$2),1,0)</f>
        <v>0</v>
      </c>
      <c r="T2806" s="7" t="n">
        <f aca="false">IF(AND(F2806="Closed",I2806&lt;&gt;"",I2806&gt;='Exec Summary'!$E$1,I2806&lt;='Exec Summary'!$E$2),1,0)</f>
        <v>0</v>
      </c>
      <c r="U2806" s="7" t="n">
        <f aca="false">IF(F2806="Reopened",1,0)</f>
        <v>0</v>
      </c>
      <c r="V2806" s="7" t="n">
        <f aca="false">IF(AND(R2806=1,O2806&gt;Q2806),1,0)</f>
        <v>1</v>
      </c>
      <c r="W2806" s="7" t="n">
        <f aca="false">IF(AND(T2806=1,P2806&lt;&gt;"",P2806&lt;=Q2806),1,0)</f>
        <v>0</v>
      </c>
    </row>
    <row r="2807" customFormat="false" ht="15" hidden="false" customHeight="false" outlineLevel="0" collapsed="false">
      <c r="A2807" s="7" t="s">
        <v>3309</v>
      </c>
      <c r="B2807" s="7" t="s">
        <v>135</v>
      </c>
      <c r="C2807" s="7" t="s">
        <v>306</v>
      </c>
      <c r="D2807" s="7" t="s">
        <v>112</v>
      </c>
      <c r="E2807" s="7" t="s">
        <v>113</v>
      </c>
      <c r="F2807" s="7" t="s">
        <v>56</v>
      </c>
      <c r="G2807" s="7" t="s">
        <v>20</v>
      </c>
      <c r="H2807" s="9" t="n">
        <v>46207</v>
      </c>
      <c r="I2807" s="9"/>
      <c r="J2807" s="7" t="n">
        <v>7.8</v>
      </c>
      <c r="K2807" s="7" t="s">
        <v>2984</v>
      </c>
      <c r="L2807" s="7" t="s">
        <v>21</v>
      </c>
      <c r="M2807" s="7" t="s">
        <v>3317</v>
      </c>
      <c r="N2807" s="7" t="s">
        <v>53</v>
      </c>
      <c r="O2807" s="10" t="n">
        <f aca="false">'Exec Summary'!$E$2-H2807</f>
        <v>27</v>
      </c>
      <c r="P2807" s="10" t="str">
        <f aca="false">IF(I2807="","",I2807-H2807)</f>
        <v/>
      </c>
      <c r="Q2807" s="10" t="n">
        <f aca="false">VLOOKUP(G2807,$AA$2:$AB$5,2,FALSE())</f>
        <v>30</v>
      </c>
      <c r="R2807" s="7" t="n">
        <f aca="false">IF(OR(F2807="Open",F2807="Reopened"),1,0)</f>
        <v>1</v>
      </c>
      <c r="S2807" s="7" t="n">
        <f aca="false">IF(AND(H2807&gt;='Exec Summary'!$E$1,H2807&lt;='Exec Summary'!$E$2),1,0)</f>
        <v>1</v>
      </c>
      <c r="T2807" s="7" t="n">
        <f aca="false">IF(AND(F2807="Closed",I2807&lt;&gt;"",I2807&gt;='Exec Summary'!$E$1,I2807&lt;='Exec Summary'!$E$2),1,0)</f>
        <v>0</v>
      </c>
      <c r="U2807" s="7" t="n">
        <f aca="false">IF(F2807="Reopened",1,0)</f>
        <v>0</v>
      </c>
      <c r="V2807" s="7" t="n">
        <f aca="false">IF(AND(R2807=1,O2807&gt;Q2807),1,0)</f>
        <v>0</v>
      </c>
      <c r="W2807" s="7" t="n">
        <f aca="false">IF(AND(T2807=1,P2807&lt;&gt;"",P2807&lt;=Q2807),1,0)</f>
        <v>0</v>
      </c>
    </row>
    <row r="2808" customFormat="false" ht="15" hidden="false" customHeight="false" outlineLevel="0" collapsed="false">
      <c r="A2808" s="7" t="s">
        <v>3309</v>
      </c>
      <c r="B2808" s="7" t="s">
        <v>135</v>
      </c>
      <c r="C2808" s="7" t="s">
        <v>306</v>
      </c>
      <c r="D2808" s="7" t="s">
        <v>152</v>
      </c>
      <c r="E2808" s="7" t="s">
        <v>153</v>
      </c>
      <c r="F2808" s="7" t="s">
        <v>50</v>
      </c>
      <c r="G2808" s="7" t="s">
        <v>20</v>
      </c>
      <c r="H2808" s="9" t="n">
        <v>46178</v>
      </c>
      <c r="I2808" s="9" t="n">
        <v>46221</v>
      </c>
      <c r="J2808" s="7" t="n">
        <v>7.5</v>
      </c>
      <c r="K2808" s="7" t="s">
        <v>2984</v>
      </c>
      <c r="L2808" s="7" t="s">
        <v>21</v>
      </c>
      <c r="M2808" s="7" t="s">
        <v>3318</v>
      </c>
      <c r="N2808" s="7" t="s">
        <v>53</v>
      </c>
      <c r="O2808" s="10" t="n">
        <f aca="false">'Exec Summary'!$E$2-H2808</f>
        <v>56</v>
      </c>
      <c r="P2808" s="10" t="n">
        <f aca="false">IF(I2808="","",I2808-H2808)</f>
        <v>43</v>
      </c>
      <c r="Q2808" s="10" t="n">
        <f aca="false">VLOOKUP(G2808,$AA$2:$AB$5,2,FALSE())</f>
        <v>30</v>
      </c>
      <c r="R2808" s="7" t="n">
        <f aca="false">IF(OR(F2808="Open",F2808="Reopened"),1,0)</f>
        <v>0</v>
      </c>
      <c r="S2808" s="7" t="n">
        <f aca="false">IF(AND(H2808&gt;='Exec Summary'!$E$1,H2808&lt;='Exec Summary'!$E$2),1,0)</f>
        <v>0</v>
      </c>
      <c r="T2808" s="7" t="n">
        <f aca="false">IF(AND(F2808="Closed",I2808&lt;&gt;"",I2808&gt;='Exec Summary'!$E$1,I2808&lt;='Exec Summary'!$E$2),1,0)</f>
        <v>1</v>
      </c>
      <c r="U2808" s="7" t="n">
        <f aca="false">IF(F2808="Reopened",1,0)</f>
        <v>0</v>
      </c>
      <c r="V2808" s="7" t="n">
        <f aca="false">IF(AND(R2808=1,O2808&gt;Q2808),1,0)</f>
        <v>0</v>
      </c>
      <c r="W2808" s="7" t="n">
        <f aca="false">IF(AND(T2808=1,P2808&lt;&gt;"",P2808&lt;=Q2808),1,0)</f>
        <v>0</v>
      </c>
    </row>
    <row r="2809" customFormat="false" ht="15" hidden="false" customHeight="false" outlineLevel="0" collapsed="false">
      <c r="A2809" s="7" t="s">
        <v>3319</v>
      </c>
      <c r="B2809" s="7" t="s">
        <v>46</v>
      </c>
      <c r="C2809" s="7" t="s">
        <v>128</v>
      </c>
      <c r="D2809" s="7" t="s">
        <v>74</v>
      </c>
      <c r="E2809" s="7" t="s">
        <v>75</v>
      </c>
      <c r="F2809" s="7" t="s">
        <v>56</v>
      </c>
      <c r="G2809" s="7" t="s">
        <v>21</v>
      </c>
      <c r="H2809" s="9" t="n">
        <v>45942</v>
      </c>
      <c r="I2809" s="9"/>
      <c r="J2809" s="7" t="n">
        <v>6.5</v>
      </c>
      <c r="K2809" s="7" t="s">
        <v>2984</v>
      </c>
      <c r="L2809" s="7" t="s">
        <v>20</v>
      </c>
      <c r="M2809" s="7" t="s">
        <v>3320</v>
      </c>
      <c r="N2809" s="7" t="s">
        <v>77</v>
      </c>
      <c r="O2809" s="10" t="n">
        <f aca="false">'Exec Summary'!$E$2-H2809</f>
        <v>292</v>
      </c>
      <c r="P2809" s="10" t="str">
        <f aca="false">IF(I2809="","",I2809-H2809)</f>
        <v/>
      </c>
      <c r="Q2809" s="10" t="n">
        <f aca="false">VLOOKUP(G2809,$AA$2:$AB$5,2,FALSE())</f>
        <v>90</v>
      </c>
      <c r="R2809" s="7" t="n">
        <f aca="false">IF(OR(F2809="Open",F2809="Reopened"),1,0)</f>
        <v>1</v>
      </c>
      <c r="S2809" s="7" t="n">
        <f aca="false">IF(AND(H2809&gt;='Exec Summary'!$E$1,H2809&lt;='Exec Summary'!$E$2),1,0)</f>
        <v>0</v>
      </c>
      <c r="T2809" s="7" t="n">
        <f aca="false">IF(AND(F2809="Closed",I2809&lt;&gt;"",I2809&gt;='Exec Summary'!$E$1,I2809&lt;='Exec Summary'!$E$2),1,0)</f>
        <v>0</v>
      </c>
      <c r="U2809" s="7" t="n">
        <f aca="false">IF(F2809="Reopened",1,0)</f>
        <v>0</v>
      </c>
      <c r="V2809" s="7" t="n">
        <f aca="false">IF(AND(R2809=1,O2809&gt;Q2809),1,0)</f>
        <v>1</v>
      </c>
      <c r="W2809" s="7" t="n">
        <f aca="false">IF(AND(T2809=1,P2809&lt;&gt;"",P2809&lt;=Q2809),1,0)</f>
        <v>0</v>
      </c>
    </row>
    <row r="2810" customFormat="false" ht="15" hidden="false" customHeight="false" outlineLevel="0" collapsed="false">
      <c r="A2810" s="7" t="s">
        <v>3319</v>
      </c>
      <c r="B2810" s="7" t="s">
        <v>46</v>
      </c>
      <c r="C2810" s="7" t="s">
        <v>128</v>
      </c>
      <c r="D2810" s="7" t="s">
        <v>173</v>
      </c>
      <c r="E2810" s="7" t="s">
        <v>174</v>
      </c>
      <c r="F2810" s="7" t="s">
        <v>56</v>
      </c>
      <c r="G2810" s="7" t="s">
        <v>19</v>
      </c>
      <c r="H2810" s="9" t="n">
        <v>46063</v>
      </c>
      <c r="I2810" s="9"/>
      <c r="J2810" s="7" t="n">
        <v>9.8</v>
      </c>
      <c r="K2810" s="7" t="s">
        <v>2984</v>
      </c>
      <c r="L2810" s="7" t="s">
        <v>20</v>
      </c>
      <c r="M2810" s="7" t="s">
        <v>3321</v>
      </c>
      <c r="N2810" s="7" t="s">
        <v>58</v>
      </c>
      <c r="O2810" s="10" t="n">
        <f aca="false">'Exec Summary'!$E$2-H2810</f>
        <v>171</v>
      </c>
      <c r="P2810" s="10" t="str">
        <f aca="false">IF(I2810="","",I2810-H2810)</f>
        <v/>
      </c>
      <c r="Q2810" s="10" t="n">
        <f aca="false">VLOOKUP(G2810,$AA$2:$AB$5,2,FALSE())</f>
        <v>15</v>
      </c>
      <c r="R2810" s="7" t="n">
        <f aca="false">IF(OR(F2810="Open",F2810="Reopened"),1,0)</f>
        <v>1</v>
      </c>
      <c r="S2810" s="7" t="n">
        <f aca="false">IF(AND(H2810&gt;='Exec Summary'!$E$1,H2810&lt;='Exec Summary'!$E$2),1,0)</f>
        <v>0</v>
      </c>
      <c r="T2810" s="7" t="n">
        <f aca="false">IF(AND(F2810="Closed",I2810&lt;&gt;"",I2810&gt;='Exec Summary'!$E$1,I2810&lt;='Exec Summary'!$E$2),1,0)</f>
        <v>0</v>
      </c>
      <c r="U2810" s="7" t="n">
        <f aca="false">IF(F2810="Reopened",1,0)</f>
        <v>0</v>
      </c>
      <c r="V2810" s="7" t="n">
        <f aca="false">IF(AND(R2810=1,O2810&gt;Q2810),1,0)</f>
        <v>1</v>
      </c>
      <c r="W2810" s="7" t="n">
        <f aca="false">IF(AND(T2810=1,P2810&lt;&gt;"",P2810&lt;=Q2810),1,0)</f>
        <v>0</v>
      </c>
    </row>
    <row r="2811" customFormat="false" ht="15" hidden="false" customHeight="false" outlineLevel="0" collapsed="false">
      <c r="A2811" s="7" t="s">
        <v>3319</v>
      </c>
      <c r="B2811" s="7" t="s">
        <v>46</v>
      </c>
      <c r="C2811" s="7" t="s">
        <v>128</v>
      </c>
      <c r="D2811" s="7" t="s">
        <v>108</v>
      </c>
      <c r="E2811" s="7" t="s">
        <v>109</v>
      </c>
      <c r="F2811" s="7" t="s">
        <v>56</v>
      </c>
      <c r="G2811" s="7" t="s">
        <v>20</v>
      </c>
      <c r="H2811" s="9" t="n">
        <v>46220</v>
      </c>
      <c r="I2811" s="9"/>
      <c r="J2811" s="7" t="n">
        <v>8.6</v>
      </c>
      <c r="K2811" s="7" t="s">
        <v>2984</v>
      </c>
      <c r="L2811" s="7" t="s">
        <v>20</v>
      </c>
      <c r="M2811" s="7" t="s">
        <v>3322</v>
      </c>
      <c r="N2811" s="7" t="s">
        <v>53</v>
      </c>
      <c r="O2811" s="10" t="n">
        <f aca="false">'Exec Summary'!$E$2-H2811</f>
        <v>14</v>
      </c>
      <c r="P2811" s="10" t="str">
        <f aca="false">IF(I2811="","",I2811-H2811)</f>
        <v/>
      </c>
      <c r="Q2811" s="10" t="n">
        <f aca="false">VLOOKUP(G2811,$AA$2:$AB$5,2,FALSE())</f>
        <v>30</v>
      </c>
      <c r="R2811" s="7" t="n">
        <f aca="false">IF(OR(F2811="Open",F2811="Reopened"),1,0)</f>
        <v>1</v>
      </c>
      <c r="S2811" s="7" t="n">
        <f aca="false">IF(AND(H2811&gt;='Exec Summary'!$E$1,H2811&lt;='Exec Summary'!$E$2),1,0)</f>
        <v>1</v>
      </c>
      <c r="T2811" s="7" t="n">
        <f aca="false">IF(AND(F2811="Closed",I2811&lt;&gt;"",I2811&gt;='Exec Summary'!$E$1,I2811&lt;='Exec Summary'!$E$2),1,0)</f>
        <v>0</v>
      </c>
      <c r="U2811" s="7" t="n">
        <f aca="false">IF(F2811="Reopened",1,0)</f>
        <v>0</v>
      </c>
      <c r="V2811" s="7" t="n">
        <f aca="false">IF(AND(R2811=1,O2811&gt;Q2811),1,0)</f>
        <v>0</v>
      </c>
      <c r="W2811" s="7" t="n">
        <f aca="false">IF(AND(T2811=1,P2811&lt;&gt;"",P2811&lt;=Q2811),1,0)</f>
        <v>0</v>
      </c>
    </row>
    <row r="2812" customFormat="false" ht="15" hidden="false" customHeight="false" outlineLevel="0" collapsed="false">
      <c r="A2812" s="7" t="s">
        <v>3323</v>
      </c>
      <c r="B2812" s="7" t="s">
        <v>46</v>
      </c>
      <c r="C2812" s="7" t="s">
        <v>128</v>
      </c>
      <c r="D2812" s="7" t="s">
        <v>145</v>
      </c>
      <c r="E2812" s="7" t="s">
        <v>146</v>
      </c>
      <c r="F2812" s="7" t="s">
        <v>56</v>
      </c>
      <c r="G2812" s="7" t="s">
        <v>19</v>
      </c>
      <c r="H2812" s="9" t="n">
        <v>46027</v>
      </c>
      <c r="I2812" s="9"/>
      <c r="J2812" s="7" t="n">
        <v>9.8</v>
      </c>
      <c r="K2812" s="7" t="s">
        <v>2984</v>
      </c>
      <c r="L2812" s="7" t="s">
        <v>21</v>
      </c>
      <c r="M2812" s="7" t="s">
        <v>3324</v>
      </c>
      <c r="N2812" s="7" t="s">
        <v>58</v>
      </c>
      <c r="O2812" s="10" t="n">
        <f aca="false">'Exec Summary'!$E$2-H2812</f>
        <v>207</v>
      </c>
      <c r="P2812" s="10" t="str">
        <f aca="false">IF(I2812="","",I2812-H2812)</f>
        <v/>
      </c>
      <c r="Q2812" s="10" t="n">
        <f aca="false">VLOOKUP(G2812,$AA$2:$AB$5,2,FALSE())</f>
        <v>15</v>
      </c>
      <c r="R2812" s="7" t="n">
        <f aca="false">IF(OR(F2812="Open",F2812="Reopened"),1,0)</f>
        <v>1</v>
      </c>
      <c r="S2812" s="7" t="n">
        <f aca="false">IF(AND(H2812&gt;='Exec Summary'!$E$1,H2812&lt;='Exec Summary'!$E$2),1,0)</f>
        <v>0</v>
      </c>
      <c r="T2812" s="7" t="n">
        <f aca="false">IF(AND(F2812="Closed",I2812&lt;&gt;"",I2812&gt;='Exec Summary'!$E$1,I2812&lt;='Exec Summary'!$E$2),1,0)</f>
        <v>0</v>
      </c>
      <c r="U2812" s="7" t="n">
        <f aca="false">IF(F2812="Reopened",1,0)</f>
        <v>0</v>
      </c>
      <c r="V2812" s="7" t="n">
        <f aca="false">IF(AND(R2812=1,O2812&gt;Q2812),1,0)</f>
        <v>1</v>
      </c>
      <c r="W2812" s="7" t="n">
        <f aca="false">IF(AND(T2812=1,P2812&lt;&gt;"",P2812&lt;=Q2812),1,0)</f>
        <v>0</v>
      </c>
    </row>
    <row r="2813" customFormat="false" ht="15" hidden="false" customHeight="false" outlineLevel="0" collapsed="false">
      <c r="A2813" s="7" t="s">
        <v>3325</v>
      </c>
      <c r="B2813" s="7" t="s">
        <v>46</v>
      </c>
      <c r="C2813" s="7" t="s">
        <v>158</v>
      </c>
      <c r="D2813" s="7" t="s">
        <v>54</v>
      </c>
      <c r="E2813" s="7" t="s">
        <v>55</v>
      </c>
      <c r="F2813" s="7" t="s">
        <v>50</v>
      </c>
      <c r="G2813" s="7" t="s">
        <v>19</v>
      </c>
      <c r="H2813" s="9" t="n">
        <v>45937</v>
      </c>
      <c r="I2813" s="9" t="n">
        <v>45942</v>
      </c>
      <c r="J2813" s="7" t="n">
        <v>9.8</v>
      </c>
      <c r="K2813" s="7" t="s">
        <v>2984</v>
      </c>
      <c r="L2813" s="7" t="s">
        <v>20</v>
      </c>
      <c r="M2813" s="7" t="s">
        <v>3326</v>
      </c>
      <c r="N2813" s="7" t="s">
        <v>58</v>
      </c>
      <c r="O2813" s="10" t="n">
        <f aca="false">'Exec Summary'!$E$2-H2813</f>
        <v>297</v>
      </c>
      <c r="P2813" s="10" t="n">
        <f aca="false">IF(I2813="","",I2813-H2813)</f>
        <v>5</v>
      </c>
      <c r="Q2813" s="10" t="n">
        <f aca="false">VLOOKUP(G2813,$AA$2:$AB$5,2,FALSE())</f>
        <v>15</v>
      </c>
      <c r="R2813" s="7" t="n">
        <f aca="false">IF(OR(F2813="Open",F2813="Reopened"),1,0)</f>
        <v>0</v>
      </c>
      <c r="S2813" s="7" t="n">
        <f aca="false">IF(AND(H2813&gt;='Exec Summary'!$E$1,H2813&lt;='Exec Summary'!$E$2),1,0)</f>
        <v>0</v>
      </c>
      <c r="T2813" s="7" t="n">
        <f aca="false">IF(AND(F2813="Closed",I2813&lt;&gt;"",I2813&gt;='Exec Summary'!$E$1,I2813&lt;='Exec Summary'!$E$2),1,0)</f>
        <v>0</v>
      </c>
      <c r="U2813" s="7" t="n">
        <f aca="false">IF(F2813="Reopened",1,0)</f>
        <v>0</v>
      </c>
      <c r="V2813" s="7" t="n">
        <f aca="false">IF(AND(R2813=1,O2813&gt;Q2813),1,0)</f>
        <v>0</v>
      </c>
      <c r="W2813" s="7" t="n">
        <f aca="false">IF(AND(T2813=1,P2813&lt;&gt;"",P2813&lt;=Q2813),1,0)</f>
        <v>0</v>
      </c>
    </row>
    <row r="2814" customFormat="false" ht="15" hidden="false" customHeight="false" outlineLevel="0" collapsed="false">
      <c r="A2814" s="7" t="s">
        <v>3325</v>
      </c>
      <c r="B2814" s="7" t="s">
        <v>46</v>
      </c>
      <c r="C2814" s="7" t="s">
        <v>158</v>
      </c>
      <c r="D2814" s="7" t="s">
        <v>84</v>
      </c>
      <c r="E2814" s="7" t="s">
        <v>85</v>
      </c>
      <c r="F2814" s="7" t="s">
        <v>50</v>
      </c>
      <c r="G2814" s="7" t="s">
        <v>20</v>
      </c>
      <c r="H2814" s="9" t="n">
        <v>46221</v>
      </c>
      <c r="I2814" s="9" t="n">
        <v>46234</v>
      </c>
      <c r="J2814" s="7" t="n">
        <v>7.5</v>
      </c>
      <c r="K2814" s="7" t="s">
        <v>2984</v>
      </c>
      <c r="L2814" s="7" t="s">
        <v>20</v>
      </c>
      <c r="M2814" s="7" t="s">
        <v>3327</v>
      </c>
      <c r="N2814" s="7" t="s">
        <v>53</v>
      </c>
      <c r="O2814" s="10" t="n">
        <f aca="false">'Exec Summary'!$E$2-H2814</f>
        <v>13</v>
      </c>
      <c r="P2814" s="10" t="n">
        <f aca="false">IF(I2814="","",I2814-H2814)</f>
        <v>13</v>
      </c>
      <c r="Q2814" s="10" t="n">
        <f aca="false">VLOOKUP(G2814,$AA$2:$AB$5,2,FALSE())</f>
        <v>30</v>
      </c>
      <c r="R2814" s="7" t="n">
        <f aca="false">IF(OR(F2814="Open",F2814="Reopened"),1,0)</f>
        <v>0</v>
      </c>
      <c r="S2814" s="7" t="n">
        <f aca="false">IF(AND(H2814&gt;='Exec Summary'!$E$1,H2814&lt;='Exec Summary'!$E$2),1,0)</f>
        <v>1</v>
      </c>
      <c r="T2814" s="7" t="n">
        <f aca="false">IF(AND(F2814="Closed",I2814&lt;&gt;"",I2814&gt;='Exec Summary'!$E$1,I2814&lt;='Exec Summary'!$E$2),1,0)</f>
        <v>1</v>
      </c>
      <c r="U2814" s="7" t="n">
        <f aca="false">IF(F2814="Reopened",1,0)</f>
        <v>0</v>
      </c>
      <c r="V2814" s="7" t="n">
        <f aca="false">IF(AND(R2814=1,O2814&gt;Q2814),1,0)</f>
        <v>0</v>
      </c>
      <c r="W2814" s="7" t="n">
        <f aca="false">IF(AND(T2814=1,P2814&lt;&gt;"",P2814&lt;=Q2814),1,0)</f>
        <v>1</v>
      </c>
    </row>
    <row r="2815" customFormat="false" ht="15" hidden="false" customHeight="false" outlineLevel="0" collapsed="false">
      <c r="A2815" s="7" t="s">
        <v>3325</v>
      </c>
      <c r="B2815" s="7" t="s">
        <v>46</v>
      </c>
      <c r="C2815" s="7" t="s">
        <v>158</v>
      </c>
      <c r="D2815" s="7" t="s">
        <v>81</v>
      </c>
      <c r="E2815" s="7" t="s">
        <v>82</v>
      </c>
      <c r="F2815" s="7" t="s">
        <v>56</v>
      </c>
      <c r="G2815" s="7" t="s">
        <v>20</v>
      </c>
      <c r="H2815" s="9" t="n">
        <v>46046</v>
      </c>
      <c r="I2815" s="9"/>
      <c r="J2815" s="7" t="n">
        <v>7.8</v>
      </c>
      <c r="K2815" s="7" t="s">
        <v>2984</v>
      </c>
      <c r="L2815" s="7" t="s">
        <v>20</v>
      </c>
      <c r="M2815" s="7" t="s">
        <v>3328</v>
      </c>
      <c r="N2815" s="7" t="s">
        <v>53</v>
      </c>
      <c r="O2815" s="10" t="n">
        <f aca="false">'Exec Summary'!$E$2-H2815</f>
        <v>188</v>
      </c>
      <c r="P2815" s="10" t="str">
        <f aca="false">IF(I2815="","",I2815-H2815)</f>
        <v/>
      </c>
      <c r="Q2815" s="10" t="n">
        <f aca="false">VLOOKUP(G2815,$AA$2:$AB$5,2,FALSE())</f>
        <v>30</v>
      </c>
      <c r="R2815" s="7" t="n">
        <f aca="false">IF(OR(F2815="Open",F2815="Reopened"),1,0)</f>
        <v>1</v>
      </c>
      <c r="S2815" s="7" t="n">
        <f aca="false">IF(AND(H2815&gt;='Exec Summary'!$E$1,H2815&lt;='Exec Summary'!$E$2),1,0)</f>
        <v>0</v>
      </c>
      <c r="T2815" s="7" t="n">
        <f aca="false">IF(AND(F2815="Closed",I2815&lt;&gt;"",I2815&gt;='Exec Summary'!$E$1,I2815&lt;='Exec Summary'!$E$2),1,0)</f>
        <v>0</v>
      </c>
      <c r="U2815" s="7" t="n">
        <f aca="false">IF(F2815="Reopened",1,0)</f>
        <v>0</v>
      </c>
      <c r="V2815" s="7" t="n">
        <f aca="false">IF(AND(R2815=1,O2815&gt;Q2815),1,0)</f>
        <v>1</v>
      </c>
      <c r="W2815" s="7" t="n">
        <f aca="false">IF(AND(T2815=1,P2815&lt;&gt;"",P2815&lt;=Q2815),1,0)</f>
        <v>0</v>
      </c>
    </row>
    <row r="2816" customFormat="false" ht="15" hidden="false" customHeight="false" outlineLevel="0" collapsed="false">
      <c r="A2816" s="7" t="s">
        <v>3325</v>
      </c>
      <c r="B2816" s="7" t="s">
        <v>46</v>
      </c>
      <c r="C2816" s="7" t="s">
        <v>158</v>
      </c>
      <c r="D2816" s="7" t="s">
        <v>104</v>
      </c>
      <c r="E2816" s="7" t="s">
        <v>105</v>
      </c>
      <c r="F2816" s="7" t="s">
        <v>56</v>
      </c>
      <c r="G2816" s="7" t="s">
        <v>19</v>
      </c>
      <c r="H2816" s="9" t="n">
        <v>46139</v>
      </c>
      <c r="I2816" s="9"/>
      <c r="J2816" s="7" t="n">
        <v>9.8</v>
      </c>
      <c r="K2816" s="7" t="s">
        <v>2984</v>
      </c>
      <c r="L2816" s="7" t="s">
        <v>20</v>
      </c>
      <c r="M2816" s="7" t="s">
        <v>3329</v>
      </c>
      <c r="N2816" s="7" t="s">
        <v>58</v>
      </c>
      <c r="O2816" s="10" t="n">
        <f aca="false">'Exec Summary'!$E$2-H2816</f>
        <v>95</v>
      </c>
      <c r="P2816" s="10" t="str">
        <f aca="false">IF(I2816="","",I2816-H2816)</f>
        <v/>
      </c>
      <c r="Q2816" s="10" t="n">
        <f aca="false">VLOOKUP(G2816,$AA$2:$AB$5,2,FALSE())</f>
        <v>15</v>
      </c>
      <c r="R2816" s="7" t="n">
        <f aca="false">IF(OR(F2816="Open",F2816="Reopened"),1,0)</f>
        <v>1</v>
      </c>
      <c r="S2816" s="7" t="n">
        <f aca="false">IF(AND(H2816&gt;='Exec Summary'!$E$1,H2816&lt;='Exec Summary'!$E$2),1,0)</f>
        <v>0</v>
      </c>
      <c r="T2816" s="7" t="n">
        <f aca="false">IF(AND(F2816="Closed",I2816&lt;&gt;"",I2816&gt;='Exec Summary'!$E$1,I2816&lt;='Exec Summary'!$E$2),1,0)</f>
        <v>0</v>
      </c>
      <c r="U2816" s="7" t="n">
        <f aca="false">IF(F2816="Reopened",1,0)</f>
        <v>0</v>
      </c>
      <c r="V2816" s="7" t="n">
        <f aca="false">IF(AND(R2816=1,O2816&gt;Q2816),1,0)</f>
        <v>1</v>
      </c>
      <c r="W2816" s="7" t="n">
        <f aca="false">IF(AND(T2816=1,P2816&lt;&gt;"",P2816&lt;=Q2816),1,0)</f>
        <v>0</v>
      </c>
    </row>
    <row r="2817" customFormat="false" ht="15" hidden="false" customHeight="false" outlineLevel="0" collapsed="false">
      <c r="A2817" s="7" t="s">
        <v>3325</v>
      </c>
      <c r="B2817" s="7" t="s">
        <v>46</v>
      </c>
      <c r="C2817" s="7" t="s">
        <v>158</v>
      </c>
      <c r="D2817" s="7" t="s">
        <v>131</v>
      </c>
      <c r="E2817" s="7" t="s">
        <v>132</v>
      </c>
      <c r="F2817" s="7" t="s">
        <v>56</v>
      </c>
      <c r="G2817" s="7" t="s">
        <v>19</v>
      </c>
      <c r="H2817" s="9" t="n">
        <v>46080</v>
      </c>
      <c r="I2817" s="9"/>
      <c r="J2817" s="7" t="n">
        <v>9.8</v>
      </c>
      <c r="K2817" s="7" t="s">
        <v>2984</v>
      </c>
      <c r="L2817" s="7" t="s">
        <v>20</v>
      </c>
      <c r="M2817" s="7" t="s">
        <v>3330</v>
      </c>
      <c r="N2817" s="7" t="s">
        <v>58</v>
      </c>
      <c r="O2817" s="10" t="n">
        <f aca="false">'Exec Summary'!$E$2-H2817</f>
        <v>154</v>
      </c>
      <c r="P2817" s="10" t="str">
        <f aca="false">IF(I2817="","",I2817-H2817)</f>
        <v/>
      </c>
      <c r="Q2817" s="10" t="n">
        <f aca="false">VLOOKUP(G2817,$AA$2:$AB$5,2,FALSE())</f>
        <v>15</v>
      </c>
      <c r="R2817" s="7" t="n">
        <f aca="false">IF(OR(F2817="Open",F2817="Reopened"),1,0)</f>
        <v>1</v>
      </c>
      <c r="S2817" s="7" t="n">
        <f aca="false">IF(AND(H2817&gt;='Exec Summary'!$E$1,H2817&lt;='Exec Summary'!$E$2),1,0)</f>
        <v>0</v>
      </c>
      <c r="T2817" s="7" t="n">
        <f aca="false">IF(AND(F2817="Closed",I2817&lt;&gt;"",I2817&gt;='Exec Summary'!$E$1,I2817&lt;='Exec Summary'!$E$2),1,0)</f>
        <v>0</v>
      </c>
      <c r="U2817" s="7" t="n">
        <f aca="false">IF(F2817="Reopened",1,0)</f>
        <v>0</v>
      </c>
      <c r="V2817" s="7" t="n">
        <f aca="false">IF(AND(R2817=1,O2817&gt;Q2817),1,0)</f>
        <v>1</v>
      </c>
      <c r="W2817" s="7" t="n">
        <f aca="false">IF(AND(T2817=1,P2817&lt;&gt;"",P2817&lt;=Q2817),1,0)</f>
        <v>0</v>
      </c>
    </row>
    <row r="2818" customFormat="false" ht="15" hidden="false" customHeight="false" outlineLevel="0" collapsed="false">
      <c r="A2818" s="7" t="s">
        <v>3325</v>
      </c>
      <c r="B2818" s="7" t="s">
        <v>46</v>
      </c>
      <c r="C2818" s="7" t="s">
        <v>158</v>
      </c>
      <c r="D2818" s="7" t="s">
        <v>91</v>
      </c>
      <c r="E2818" s="7" t="s">
        <v>92</v>
      </c>
      <c r="F2818" s="7" t="s">
        <v>56</v>
      </c>
      <c r="G2818" s="7" t="s">
        <v>20</v>
      </c>
      <c r="H2818" s="9" t="n">
        <v>46176</v>
      </c>
      <c r="I2818" s="9"/>
      <c r="J2818" s="7" t="n">
        <v>8.1</v>
      </c>
      <c r="K2818" s="7" t="s">
        <v>2984</v>
      </c>
      <c r="L2818" s="7" t="s">
        <v>20</v>
      </c>
      <c r="M2818" s="7" t="s">
        <v>3331</v>
      </c>
      <c r="N2818" s="7" t="s">
        <v>53</v>
      </c>
      <c r="O2818" s="10" t="n">
        <f aca="false">'Exec Summary'!$E$2-H2818</f>
        <v>58</v>
      </c>
      <c r="P2818" s="10" t="str">
        <f aca="false">IF(I2818="","",I2818-H2818)</f>
        <v/>
      </c>
      <c r="Q2818" s="10" t="n">
        <f aca="false">VLOOKUP(G2818,$AA$2:$AB$5,2,FALSE())</f>
        <v>30</v>
      </c>
      <c r="R2818" s="7" t="n">
        <f aca="false">IF(OR(F2818="Open",F2818="Reopened"),1,0)</f>
        <v>1</v>
      </c>
      <c r="S2818" s="7" t="n">
        <f aca="false">IF(AND(H2818&gt;='Exec Summary'!$E$1,H2818&lt;='Exec Summary'!$E$2),1,0)</f>
        <v>0</v>
      </c>
      <c r="T2818" s="7" t="n">
        <f aca="false">IF(AND(F2818="Closed",I2818&lt;&gt;"",I2818&gt;='Exec Summary'!$E$1,I2818&lt;='Exec Summary'!$E$2),1,0)</f>
        <v>0</v>
      </c>
      <c r="U2818" s="7" t="n">
        <f aca="false">IF(F2818="Reopened",1,0)</f>
        <v>0</v>
      </c>
      <c r="V2818" s="7" t="n">
        <f aca="false">IF(AND(R2818=1,O2818&gt;Q2818),1,0)</f>
        <v>1</v>
      </c>
      <c r="W2818" s="7" t="n">
        <f aca="false">IF(AND(T2818=1,P2818&lt;&gt;"",P2818&lt;=Q2818),1,0)</f>
        <v>0</v>
      </c>
    </row>
    <row r="2819" customFormat="false" ht="15" hidden="false" customHeight="false" outlineLevel="0" collapsed="false">
      <c r="A2819" s="7" t="s">
        <v>3325</v>
      </c>
      <c r="B2819" s="7" t="s">
        <v>46</v>
      </c>
      <c r="C2819" s="7" t="s">
        <v>158</v>
      </c>
      <c r="D2819" s="7" t="s">
        <v>192</v>
      </c>
      <c r="E2819" s="7" t="s">
        <v>193</v>
      </c>
      <c r="F2819" s="7" t="s">
        <v>50</v>
      </c>
      <c r="G2819" s="7" t="s">
        <v>19</v>
      </c>
      <c r="H2819" s="9" t="n">
        <v>45966</v>
      </c>
      <c r="I2819" s="9" t="n">
        <v>45975</v>
      </c>
      <c r="J2819" s="7" t="n">
        <v>9.8</v>
      </c>
      <c r="K2819" s="7" t="s">
        <v>2984</v>
      </c>
      <c r="L2819" s="7" t="s">
        <v>20</v>
      </c>
      <c r="M2819" s="7" t="s">
        <v>3332</v>
      </c>
      <c r="N2819" s="7" t="s">
        <v>58</v>
      </c>
      <c r="O2819" s="10" t="n">
        <f aca="false">'Exec Summary'!$E$2-H2819</f>
        <v>268</v>
      </c>
      <c r="P2819" s="10" t="n">
        <f aca="false">IF(I2819="","",I2819-H2819)</f>
        <v>9</v>
      </c>
      <c r="Q2819" s="10" t="n">
        <f aca="false">VLOOKUP(G2819,$AA$2:$AB$5,2,FALSE())</f>
        <v>15</v>
      </c>
      <c r="R2819" s="7" t="n">
        <f aca="false">IF(OR(F2819="Open",F2819="Reopened"),1,0)</f>
        <v>0</v>
      </c>
      <c r="S2819" s="7" t="n">
        <f aca="false">IF(AND(H2819&gt;='Exec Summary'!$E$1,H2819&lt;='Exec Summary'!$E$2),1,0)</f>
        <v>0</v>
      </c>
      <c r="T2819" s="7" t="n">
        <f aca="false">IF(AND(F2819="Closed",I2819&lt;&gt;"",I2819&gt;='Exec Summary'!$E$1,I2819&lt;='Exec Summary'!$E$2),1,0)</f>
        <v>0</v>
      </c>
      <c r="U2819" s="7" t="n">
        <f aca="false">IF(F2819="Reopened",1,0)</f>
        <v>0</v>
      </c>
      <c r="V2819" s="7" t="n">
        <f aca="false">IF(AND(R2819=1,O2819&gt;Q2819),1,0)</f>
        <v>0</v>
      </c>
      <c r="W2819" s="7" t="n">
        <f aca="false">IF(AND(T2819=1,P2819&lt;&gt;"",P2819&lt;=Q2819),1,0)</f>
        <v>0</v>
      </c>
    </row>
    <row r="2820" customFormat="false" ht="15" hidden="false" customHeight="false" outlineLevel="0" collapsed="false">
      <c r="A2820" s="7" t="s">
        <v>3325</v>
      </c>
      <c r="B2820" s="7" t="s">
        <v>46</v>
      </c>
      <c r="C2820" s="7" t="s">
        <v>158</v>
      </c>
      <c r="D2820" s="7" t="s">
        <v>95</v>
      </c>
      <c r="E2820" s="7" t="s">
        <v>96</v>
      </c>
      <c r="F2820" s="7" t="s">
        <v>56</v>
      </c>
      <c r="G2820" s="7" t="s">
        <v>20</v>
      </c>
      <c r="H2820" s="9" t="n">
        <v>45971</v>
      </c>
      <c r="I2820" s="9"/>
      <c r="J2820" s="7" t="n">
        <v>8.8</v>
      </c>
      <c r="K2820" s="7" t="s">
        <v>2984</v>
      </c>
      <c r="L2820" s="7" t="s">
        <v>20</v>
      </c>
      <c r="M2820" s="7" t="s">
        <v>3333</v>
      </c>
      <c r="N2820" s="7" t="s">
        <v>53</v>
      </c>
      <c r="O2820" s="10" t="n">
        <f aca="false">'Exec Summary'!$E$2-H2820</f>
        <v>263</v>
      </c>
      <c r="P2820" s="10" t="str">
        <f aca="false">IF(I2820="","",I2820-H2820)</f>
        <v/>
      </c>
      <c r="Q2820" s="10" t="n">
        <f aca="false">VLOOKUP(G2820,$AA$2:$AB$5,2,FALSE())</f>
        <v>30</v>
      </c>
      <c r="R2820" s="7" t="n">
        <f aca="false">IF(OR(F2820="Open",F2820="Reopened"),1,0)</f>
        <v>1</v>
      </c>
      <c r="S2820" s="7" t="n">
        <f aca="false">IF(AND(H2820&gt;='Exec Summary'!$E$1,H2820&lt;='Exec Summary'!$E$2),1,0)</f>
        <v>0</v>
      </c>
      <c r="T2820" s="7" t="n">
        <f aca="false">IF(AND(F2820="Closed",I2820&lt;&gt;"",I2820&gt;='Exec Summary'!$E$1,I2820&lt;='Exec Summary'!$E$2),1,0)</f>
        <v>0</v>
      </c>
      <c r="U2820" s="7" t="n">
        <f aca="false">IF(F2820="Reopened",1,0)</f>
        <v>0</v>
      </c>
      <c r="V2820" s="7" t="n">
        <f aca="false">IF(AND(R2820=1,O2820&gt;Q2820),1,0)</f>
        <v>1</v>
      </c>
      <c r="W2820" s="7" t="n">
        <f aca="false">IF(AND(T2820=1,P2820&lt;&gt;"",P2820&lt;=Q2820),1,0)</f>
        <v>0</v>
      </c>
    </row>
    <row r="2821" customFormat="false" ht="15" hidden="false" customHeight="false" outlineLevel="0" collapsed="false">
      <c r="A2821" s="7" t="s">
        <v>3325</v>
      </c>
      <c r="B2821" s="7" t="s">
        <v>46</v>
      </c>
      <c r="C2821" s="7" t="s">
        <v>158</v>
      </c>
      <c r="D2821" s="7" t="s">
        <v>145</v>
      </c>
      <c r="E2821" s="7" t="s">
        <v>146</v>
      </c>
      <c r="F2821" s="7" t="s">
        <v>50</v>
      </c>
      <c r="G2821" s="7" t="s">
        <v>19</v>
      </c>
      <c r="H2821" s="9" t="n">
        <v>46122</v>
      </c>
      <c r="I2821" s="9" t="n">
        <v>46140</v>
      </c>
      <c r="J2821" s="7" t="n">
        <v>9.8</v>
      </c>
      <c r="K2821" s="7" t="s">
        <v>2984</v>
      </c>
      <c r="L2821" s="7" t="s">
        <v>20</v>
      </c>
      <c r="M2821" s="7" t="s">
        <v>3334</v>
      </c>
      <c r="N2821" s="7" t="s">
        <v>58</v>
      </c>
      <c r="O2821" s="10" t="n">
        <f aca="false">'Exec Summary'!$E$2-H2821</f>
        <v>112</v>
      </c>
      <c r="P2821" s="10" t="n">
        <f aca="false">IF(I2821="","",I2821-H2821)</f>
        <v>18</v>
      </c>
      <c r="Q2821" s="10" t="n">
        <f aca="false">VLOOKUP(G2821,$AA$2:$AB$5,2,FALSE())</f>
        <v>15</v>
      </c>
      <c r="R2821" s="7" t="n">
        <f aca="false">IF(OR(F2821="Open",F2821="Reopened"),1,0)</f>
        <v>0</v>
      </c>
      <c r="S2821" s="7" t="n">
        <f aca="false">IF(AND(H2821&gt;='Exec Summary'!$E$1,H2821&lt;='Exec Summary'!$E$2),1,0)</f>
        <v>0</v>
      </c>
      <c r="T2821" s="7" t="n">
        <f aca="false">IF(AND(F2821="Closed",I2821&lt;&gt;"",I2821&gt;='Exec Summary'!$E$1,I2821&lt;='Exec Summary'!$E$2),1,0)</f>
        <v>0</v>
      </c>
      <c r="U2821" s="7" t="n">
        <f aca="false">IF(F2821="Reopened",1,0)</f>
        <v>0</v>
      </c>
      <c r="V2821" s="7" t="n">
        <f aca="false">IF(AND(R2821=1,O2821&gt;Q2821),1,0)</f>
        <v>0</v>
      </c>
      <c r="W2821" s="7" t="n">
        <f aca="false">IF(AND(T2821=1,P2821&lt;&gt;"",P2821&lt;=Q2821),1,0)</f>
        <v>0</v>
      </c>
    </row>
    <row r="2822" customFormat="false" ht="15" hidden="false" customHeight="false" outlineLevel="0" collapsed="false">
      <c r="A2822" s="7" t="s">
        <v>3325</v>
      </c>
      <c r="B2822" s="7" t="s">
        <v>46</v>
      </c>
      <c r="C2822" s="7" t="s">
        <v>158</v>
      </c>
      <c r="D2822" s="7" t="s">
        <v>139</v>
      </c>
      <c r="E2822" s="7" t="s">
        <v>140</v>
      </c>
      <c r="F2822" s="7" t="s">
        <v>50</v>
      </c>
      <c r="G2822" s="7" t="s">
        <v>19</v>
      </c>
      <c r="H2822" s="9" t="n">
        <v>45970</v>
      </c>
      <c r="I2822" s="9" t="n">
        <v>45982</v>
      </c>
      <c r="J2822" s="7" t="n">
        <v>9.8</v>
      </c>
      <c r="K2822" s="7" t="s">
        <v>2984</v>
      </c>
      <c r="L2822" s="7" t="s">
        <v>20</v>
      </c>
      <c r="M2822" s="7" t="s">
        <v>3335</v>
      </c>
      <c r="N2822" s="7" t="s">
        <v>58</v>
      </c>
      <c r="O2822" s="10" t="n">
        <f aca="false">'Exec Summary'!$E$2-H2822</f>
        <v>264</v>
      </c>
      <c r="P2822" s="10" t="n">
        <f aca="false">IF(I2822="","",I2822-H2822)</f>
        <v>12</v>
      </c>
      <c r="Q2822" s="10" t="n">
        <f aca="false">VLOOKUP(G2822,$AA$2:$AB$5,2,FALSE())</f>
        <v>15</v>
      </c>
      <c r="R2822" s="7" t="n">
        <f aca="false">IF(OR(F2822="Open",F2822="Reopened"),1,0)</f>
        <v>0</v>
      </c>
      <c r="S2822" s="7" t="n">
        <f aca="false">IF(AND(H2822&gt;='Exec Summary'!$E$1,H2822&lt;='Exec Summary'!$E$2),1,0)</f>
        <v>0</v>
      </c>
      <c r="T2822" s="7" t="n">
        <f aca="false">IF(AND(F2822="Closed",I2822&lt;&gt;"",I2822&gt;='Exec Summary'!$E$1,I2822&lt;='Exec Summary'!$E$2),1,0)</f>
        <v>0</v>
      </c>
      <c r="U2822" s="7" t="n">
        <f aca="false">IF(F2822="Reopened",1,0)</f>
        <v>0</v>
      </c>
      <c r="V2822" s="7" t="n">
        <f aca="false">IF(AND(R2822=1,O2822&gt;Q2822),1,0)</f>
        <v>0</v>
      </c>
      <c r="W2822" s="7" t="n">
        <f aca="false">IF(AND(T2822=1,P2822&lt;&gt;"",P2822&lt;=Q2822),1,0)</f>
        <v>0</v>
      </c>
    </row>
    <row r="2823" customFormat="false" ht="15" hidden="false" customHeight="false" outlineLevel="0" collapsed="false">
      <c r="A2823" s="7" t="s">
        <v>3325</v>
      </c>
      <c r="B2823" s="7" t="s">
        <v>46</v>
      </c>
      <c r="C2823" s="7" t="s">
        <v>158</v>
      </c>
      <c r="D2823" s="7" t="s">
        <v>173</v>
      </c>
      <c r="E2823" s="7" t="s">
        <v>174</v>
      </c>
      <c r="F2823" s="7" t="s">
        <v>50</v>
      </c>
      <c r="G2823" s="7" t="s">
        <v>19</v>
      </c>
      <c r="H2823" s="9" t="n">
        <v>45942</v>
      </c>
      <c r="I2823" s="9" t="n">
        <v>45943</v>
      </c>
      <c r="J2823" s="7" t="n">
        <v>9.8</v>
      </c>
      <c r="K2823" s="7" t="s">
        <v>2984</v>
      </c>
      <c r="L2823" s="7" t="s">
        <v>20</v>
      </c>
      <c r="M2823" s="7" t="s">
        <v>3336</v>
      </c>
      <c r="N2823" s="7" t="s">
        <v>58</v>
      </c>
      <c r="O2823" s="10" t="n">
        <f aca="false">'Exec Summary'!$E$2-H2823</f>
        <v>292</v>
      </c>
      <c r="P2823" s="10" t="n">
        <f aca="false">IF(I2823="","",I2823-H2823)</f>
        <v>1</v>
      </c>
      <c r="Q2823" s="10" t="n">
        <f aca="false">VLOOKUP(G2823,$AA$2:$AB$5,2,FALSE())</f>
        <v>15</v>
      </c>
      <c r="R2823" s="7" t="n">
        <f aca="false">IF(OR(F2823="Open",F2823="Reopened"),1,0)</f>
        <v>0</v>
      </c>
      <c r="S2823" s="7" t="n">
        <f aca="false">IF(AND(H2823&gt;='Exec Summary'!$E$1,H2823&lt;='Exec Summary'!$E$2),1,0)</f>
        <v>0</v>
      </c>
      <c r="T2823" s="7" t="n">
        <f aca="false">IF(AND(F2823="Closed",I2823&lt;&gt;"",I2823&gt;='Exec Summary'!$E$1,I2823&lt;='Exec Summary'!$E$2),1,0)</f>
        <v>0</v>
      </c>
      <c r="U2823" s="7" t="n">
        <f aca="false">IF(F2823="Reopened",1,0)</f>
        <v>0</v>
      </c>
      <c r="V2823" s="7" t="n">
        <f aca="false">IF(AND(R2823=1,O2823&gt;Q2823),1,0)</f>
        <v>0</v>
      </c>
      <c r="W2823" s="7" t="n">
        <f aca="false">IF(AND(T2823=1,P2823&lt;&gt;"",P2823&lt;=Q2823),1,0)</f>
        <v>0</v>
      </c>
    </row>
    <row r="2824" customFormat="false" ht="15" hidden="false" customHeight="false" outlineLevel="0" collapsed="false">
      <c r="A2824" s="7" t="s">
        <v>3325</v>
      </c>
      <c r="B2824" s="7" t="s">
        <v>46</v>
      </c>
      <c r="C2824" s="7" t="s">
        <v>158</v>
      </c>
      <c r="D2824" s="7" t="s">
        <v>120</v>
      </c>
      <c r="E2824" s="7" t="s">
        <v>121</v>
      </c>
      <c r="F2824" s="7" t="s">
        <v>56</v>
      </c>
      <c r="G2824" s="7" t="s">
        <v>19</v>
      </c>
      <c r="H2824" s="9" t="n">
        <v>46042</v>
      </c>
      <c r="I2824" s="9"/>
      <c r="J2824" s="7" t="n">
        <v>8.8</v>
      </c>
      <c r="K2824" s="7" t="s">
        <v>2984</v>
      </c>
      <c r="L2824" s="7" t="s">
        <v>20</v>
      </c>
      <c r="M2824" s="7" t="s">
        <v>3337</v>
      </c>
      <c r="N2824" s="7" t="s">
        <v>58</v>
      </c>
      <c r="O2824" s="10" t="n">
        <f aca="false">'Exec Summary'!$E$2-H2824</f>
        <v>192</v>
      </c>
      <c r="P2824" s="10" t="str">
        <f aca="false">IF(I2824="","",I2824-H2824)</f>
        <v/>
      </c>
      <c r="Q2824" s="10" t="n">
        <f aca="false">VLOOKUP(G2824,$AA$2:$AB$5,2,FALSE())</f>
        <v>15</v>
      </c>
      <c r="R2824" s="7" t="n">
        <f aca="false">IF(OR(F2824="Open",F2824="Reopened"),1,0)</f>
        <v>1</v>
      </c>
      <c r="S2824" s="7" t="n">
        <f aca="false">IF(AND(H2824&gt;='Exec Summary'!$E$1,H2824&lt;='Exec Summary'!$E$2),1,0)</f>
        <v>0</v>
      </c>
      <c r="T2824" s="7" t="n">
        <f aca="false">IF(AND(F2824="Closed",I2824&lt;&gt;"",I2824&gt;='Exec Summary'!$E$1,I2824&lt;='Exec Summary'!$E$2),1,0)</f>
        <v>0</v>
      </c>
      <c r="U2824" s="7" t="n">
        <f aca="false">IF(F2824="Reopened",1,0)</f>
        <v>0</v>
      </c>
      <c r="V2824" s="7" t="n">
        <f aca="false">IF(AND(R2824=1,O2824&gt;Q2824),1,0)</f>
        <v>1</v>
      </c>
      <c r="W2824" s="7" t="n">
        <f aca="false">IF(AND(T2824=1,P2824&lt;&gt;"",P2824&lt;=Q2824),1,0)</f>
        <v>0</v>
      </c>
    </row>
    <row r="2825" customFormat="false" ht="15" hidden="false" customHeight="false" outlineLevel="0" collapsed="false">
      <c r="A2825" s="7" t="s">
        <v>3325</v>
      </c>
      <c r="B2825" s="7" t="s">
        <v>46</v>
      </c>
      <c r="C2825" s="7" t="s">
        <v>158</v>
      </c>
      <c r="D2825" s="7" t="s">
        <v>74</v>
      </c>
      <c r="E2825" s="7" t="s">
        <v>75</v>
      </c>
      <c r="F2825" s="7" t="s">
        <v>50</v>
      </c>
      <c r="G2825" s="7" t="s">
        <v>21</v>
      </c>
      <c r="H2825" s="9" t="n">
        <v>46214</v>
      </c>
      <c r="I2825" s="9" t="n">
        <v>46234</v>
      </c>
      <c r="J2825" s="7" t="n">
        <v>6.5</v>
      </c>
      <c r="K2825" s="7" t="s">
        <v>2984</v>
      </c>
      <c r="L2825" s="7" t="s">
        <v>20</v>
      </c>
      <c r="M2825" s="7" t="s">
        <v>3338</v>
      </c>
      <c r="N2825" s="7" t="s">
        <v>77</v>
      </c>
      <c r="O2825" s="10" t="n">
        <f aca="false">'Exec Summary'!$E$2-H2825</f>
        <v>20</v>
      </c>
      <c r="P2825" s="10" t="n">
        <f aca="false">IF(I2825="","",I2825-H2825)</f>
        <v>20</v>
      </c>
      <c r="Q2825" s="10" t="n">
        <f aca="false">VLOOKUP(G2825,$AA$2:$AB$5,2,FALSE())</f>
        <v>90</v>
      </c>
      <c r="R2825" s="7" t="n">
        <f aca="false">IF(OR(F2825="Open",F2825="Reopened"),1,0)</f>
        <v>0</v>
      </c>
      <c r="S2825" s="7" t="n">
        <f aca="false">IF(AND(H2825&gt;='Exec Summary'!$E$1,H2825&lt;='Exec Summary'!$E$2),1,0)</f>
        <v>1</v>
      </c>
      <c r="T2825" s="7" t="n">
        <f aca="false">IF(AND(F2825="Closed",I2825&lt;&gt;"",I2825&gt;='Exec Summary'!$E$1,I2825&lt;='Exec Summary'!$E$2),1,0)</f>
        <v>1</v>
      </c>
      <c r="U2825" s="7" t="n">
        <f aca="false">IF(F2825="Reopened",1,0)</f>
        <v>0</v>
      </c>
      <c r="V2825" s="7" t="n">
        <f aca="false">IF(AND(R2825=1,O2825&gt;Q2825),1,0)</f>
        <v>0</v>
      </c>
      <c r="W2825" s="7" t="n">
        <f aca="false">IF(AND(T2825=1,P2825&lt;&gt;"",P2825&lt;=Q2825),1,0)</f>
        <v>1</v>
      </c>
    </row>
    <row r="2826" customFormat="false" ht="15" hidden="false" customHeight="false" outlineLevel="0" collapsed="false">
      <c r="A2826" s="7" t="s">
        <v>3339</v>
      </c>
      <c r="B2826" s="7" t="s">
        <v>135</v>
      </c>
      <c r="C2826" s="7" t="s">
        <v>247</v>
      </c>
      <c r="D2826" s="7" t="s">
        <v>173</v>
      </c>
      <c r="E2826" s="7" t="s">
        <v>174</v>
      </c>
      <c r="F2826" s="7" t="s">
        <v>50</v>
      </c>
      <c r="G2826" s="7" t="s">
        <v>19</v>
      </c>
      <c r="H2826" s="9" t="n">
        <v>46018</v>
      </c>
      <c r="I2826" s="9" t="n">
        <v>46043</v>
      </c>
      <c r="J2826" s="7" t="n">
        <v>9.8</v>
      </c>
      <c r="K2826" s="7" t="s">
        <v>3340</v>
      </c>
      <c r="L2826" s="7" t="s">
        <v>20</v>
      </c>
      <c r="M2826" s="7" t="s">
        <v>3341</v>
      </c>
      <c r="N2826" s="7" t="s">
        <v>58</v>
      </c>
      <c r="O2826" s="10" t="n">
        <f aca="false">'Exec Summary'!$E$2-H2826</f>
        <v>216</v>
      </c>
      <c r="P2826" s="10" t="n">
        <f aca="false">IF(I2826="","",I2826-H2826)</f>
        <v>25</v>
      </c>
      <c r="Q2826" s="10" t="n">
        <f aca="false">VLOOKUP(G2826,$AA$2:$AB$5,2,FALSE())</f>
        <v>15</v>
      </c>
      <c r="R2826" s="7" t="n">
        <f aca="false">IF(OR(F2826="Open",F2826="Reopened"),1,0)</f>
        <v>0</v>
      </c>
      <c r="S2826" s="7" t="n">
        <f aca="false">IF(AND(H2826&gt;='Exec Summary'!$E$1,H2826&lt;='Exec Summary'!$E$2),1,0)</f>
        <v>0</v>
      </c>
      <c r="T2826" s="7" t="n">
        <f aca="false">IF(AND(F2826="Closed",I2826&lt;&gt;"",I2826&gt;='Exec Summary'!$E$1,I2826&lt;='Exec Summary'!$E$2),1,0)</f>
        <v>0</v>
      </c>
      <c r="U2826" s="7" t="n">
        <f aca="false">IF(F2826="Reopened",1,0)</f>
        <v>0</v>
      </c>
      <c r="V2826" s="7" t="n">
        <f aca="false">IF(AND(R2826=1,O2826&gt;Q2826),1,0)</f>
        <v>0</v>
      </c>
      <c r="W2826" s="7" t="n">
        <f aca="false">IF(AND(T2826=1,P2826&lt;&gt;"",P2826&lt;=Q2826),1,0)</f>
        <v>0</v>
      </c>
    </row>
    <row r="2827" customFormat="false" ht="15" hidden="false" customHeight="false" outlineLevel="0" collapsed="false">
      <c r="A2827" s="7" t="s">
        <v>3339</v>
      </c>
      <c r="B2827" s="7" t="s">
        <v>135</v>
      </c>
      <c r="C2827" s="7" t="s">
        <v>247</v>
      </c>
      <c r="D2827" s="7" t="s">
        <v>166</v>
      </c>
      <c r="E2827" s="7" t="s">
        <v>167</v>
      </c>
      <c r="F2827" s="7" t="s">
        <v>50</v>
      </c>
      <c r="G2827" s="7" t="s">
        <v>19</v>
      </c>
      <c r="H2827" s="9" t="n">
        <v>46096</v>
      </c>
      <c r="I2827" s="9" t="n">
        <v>46108</v>
      </c>
      <c r="J2827" s="7" t="n">
        <v>9.8</v>
      </c>
      <c r="K2827" s="7" t="s">
        <v>3340</v>
      </c>
      <c r="L2827" s="7" t="s">
        <v>20</v>
      </c>
      <c r="M2827" s="7" t="s">
        <v>3342</v>
      </c>
      <c r="N2827" s="7" t="s">
        <v>58</v>
      </c>
      <c r="O2827" s="10" t="n">
        <f aca="false">'Exec Summary'!$E$2-H2827</f>
        <v>138</v>
      </c>
      <c r="P2827" s="10" t="n">
        <f aca="false">IF(I2827="","",I2827-H2827)</f>
        <v>12</v>
      </c>
      <c r="Q2827" s="10" t="n">
        <f aca="false">VLOOKUP(G2827,$AA$2:$AB$5,2,FALSE())</f>
        <v>15</v>
      </c>
      <c r="R2827" s="7" t="n">
        <f aca="false">IF(OR(F2827="Open",F2827="Reopened"),1,0)</f>
        <v>0</v>
      </c>
      <c r="S2827" s="7" t="n">
        <f aca="false">IF(AND(H2827&gt;='Exec Summary'!$E$1,H2827&lt;='Exec Summary'!$E$2),1,0)</f>
        <v>0</v>
      </c>
      <c r="T2827" s="7" t="n">
        <f aca="false">IF(AND(F2827="Closed",I2827&lt;&gt;"",I2827&gt;='Exec Summary'!$E$1,I2827&lt;='Exec Summary'!$E$2),1,0)</f>
        <v>0</v>
      </c>
      <c r="U2827" s="7" t="n">
        <f aca="false">IF(F2827="Reopened",1,0)</f>
        <v>0</v>
      </c>
      <c r="V2827" s="7" t="n">
        <f aca="false">IF(AND(R2827=1,O2827&gt;Q2827),1,0)</f>
        <v>0</v>
      </c>
      <c r="W2827" s="7" t="n">
        <f aca="false">IF(AND(T2827=1,P2827&lt;&gt;"",P2827&lt;=Q2827),1,0)</f>
        <v>0</v>
      </c>
    </row>
    <row r="2828" customFormat="false" ht="15" hidden="false" customHeight="false" outlineLevel="0" collapsed="false">
      <c r="A2828" s="7" t="s">
        <v>3339</v>
      </c>
      <c r="B2828" s="7" t="s">
        <v>135</v>
      </c>
      <c r="C2828" s="7" t="s">
        <v>247</v>
      </c>
      <c r="D2828" s="7" t="s">
        <v>108</v>
      </c>
      <c r="E2828" s="7" t="s">
        <v>109</v>
      </c>
      <c r="F2828" s="7" t="s">
        <v>123</v>
      </c>
      <c r="G2828" s="7" t="s">
        <v>20</v>
      </c>
      <c r="H2828" s="9" t="n">
        <v>46030</v>
      </c>
      <c r="I2828" s="9" t="n">
        <v>46056</v>
      </c>
      <c r="J2828" s="7" t="n">
        <v>8.6</v>
      </c>
      <c r="K2828" s="7" t="s">
        <v>3340</v>
      </c>
      <c r="L2828" s="7" t="s">
        <v>20</v>
      </c>
      <c r="M2828" s="7" t="s">
        <v>3343</v>
      </c>
      <c r="N2828" s="7" t="s">
        <v>53</v>
      </c>
      <c r="O2828" s="10" t="n">
        <f aca="false">'Exec Summary'!$E$2-H2828</f>
        <v>204</v>
      </c>
      <c r="P2828" s="10" t="n">
        <f aca="false">IF(I2828="","",I2828-H2828)</f>
        <v>26</v>
      </c>
      <c r="Q2828" s="10" t="n">
        <f aca="false">VLOOKUP(G2828,$AA$2:$AB$5,2,FALSE())</f>
        <v>30</v>
      </c>
      <c r="R2828" s="7" t="n">
        <f aca="false">IF(OR(F2828="Open",F2828="Reopened"),1,0)</f>
        <v>1</v>
      </c>
      <c r="S2828" s="7" t="n">
        <f aca="false">IF(AND(H2828&gt;='Exec Summary'!$E$1,H2828&lt;='Exec Summary'!$E$2),1,0)</f>
        <v>0</v>
      </c>
      <c r="T2828" s="7" t="n">
        <f aca="false">IF(AND(F2828="Closed",I2828&lt;&gt;"",I2828&gt;='Exec Summary'!$E$1,I2828&lt;='Exec Summary'!$E$2),1,0)</f>
        <v>0</v>
      </c>
      <c r="U2828" s="7" t="n">
        <f aca="false">IF(F2828="Reopened",1,0)</f>
        <v>1</v>
      </c>
      <c r="V2828" s="7" t="n">
        <f aca="false">IF(AND(R2828=1,O2828&gt;Q2828),1,0)</f>
        <v>1</v>
      </c>
      <c r="W2828" s="7" t="n">
        <f aca="false">IF(AND(T2828=1,P2828&lt;&gt;"",P2828&lt;=Q2828),1,0)</f>
        <v>0</v>
      </c>
    </row>
    <row r="2829" customFormat="false" ht="15" hidden="false" customHeight="false" outlineLevel="0" collapsed="false">
      <c r="A2829" s="7" t="s">
        <v>3339</v>
      </c>
      <c r="B2829" s="7" t="s">
        <v>135</v>
      </c>
      <c r="C2829" s="7" t="s">
        <v>247</v>
      </c>
      <c r="D2829" s="7" t="s">
        <v>65</v>
      </c>
      <c r="E2829" s="7" t="s">
        <v>66</v>
      </c>
      <c r="F2829" s="7" t="s">
        <v>123</v>
      </c>
      <c r="G2829" s="7" t="s">
        <v>19</v>
      </c>
      <c r="H2829" s="9" t="n">
        <v>46103</v>
      </c>
      <c r="I2829" s="9" t="n">
        <v>46107</v>
      </c>
      <c r="J2829" s="7" t="n">
        <v>9.8</v>
      </c>
      <c r="K2829" s="7" t="s">
        <v>3340</v>
      </c>
      <c r="L2829" s="7" t="s">
        <v>20</v>
      </c>
      <c r="M2829" s="7" t="s">
        <v>3344</v>
      </c>
      <c r="N2829" s="7" t="s">
        <v>58</v>
      </c>
      <c r="O2829" s="10" t="n">
        <f aca="false">'Exec Summary'!$E$2-H2829</f>
        <v>131</v>
      </c>
      <c r="P2829" s="10" t="n">
        <f aca="false">IF(I2829="","",I2829-H2829)</f>
        <v>4</v>
      </c>
      <c r="Q2829" s="10" t="n">
        <f aca="false">VLOOKUP(G2829,$AA$2:$AB$5,2,FALSE())</f>
        <v>15</v>
      </c>
      <c r="R2829" s="7" t="n">
        <f aca="false">IF(OR(F2829="Open",F2829="Reopened"),1,0)</f>
        <v>1</v>
      </c>
      <c r="S2829" s="7" t="n">
        <f aca="false">IF(AND(H2829&gt;='Exec Summary'!$E$1,H2829&lt;='Exec Summary'!$E$2),1,0)</f>
        <v>0</v>
      </c>
      <c r="T2829" s="7" t="n">
        <f aca="false">IF(AND(F2829="Closed",I2829&lt;&gt;"",I2829&gt;='Exec Summary'!$E$1,I2829&lt;='Exec Summary'!$E$2),1,0)</f>
        <v>0</v>
      </c>
      <c r="U2829" s="7" t="n">
        <f aca="false">IF(F2829="Reopened",1,0)</f>
        <v>1</v>
      </c>
      <c r="V2829" s="7" t="n">
        <f aca="false">IF(AND(R2829=1,O2829&gt;Q2829),1,0)</f>
        <v>1</v>
      </c>
      <c r="W2829" s="7" t="n">
        <f aca="false">IF(AND(T2829=1,P2829&lt;&gt;"",P2829&lt;=Q2829),1,0)</f>
        <v>0</v>
      </c>
    </row>
    <row r="2830" customFormat="false" ht="15" hidden="false" customHeight="false" outlineLevel="0" collapsed="false">
      <c r="A2830" s="7" t="s">
        <v>3339</v>
      </c>
      <c r="B2830" s="7" t="s">
        <v>135</v>
      </c>
      <c r="C2830" s="7" t="s">
        <v>247</v>
      </c>
      <c r="D2830" s="7" t="s">
        <v>95</v>
      </c>
      <c r="E2830" s="7" t="s">
        <v>96</v>
      </c>
      <c r="F2830" s="7" t="s">
        <v>56</v>
      </c>
      <c r="G2830" s="7" t="s">
        <v>20</v>
      </c>
      <c r="H2830" s="9" t="n">
        <v>46110</v>
      </c>
      <c r="I2830" s="9"/>
      <c r="J2830" s="7" t="n">
        <v>8.8</v>
      </c>
      <c r="K2830" s="7" t="s">
        <v>3340</v>
      </c>
      <c r="L2830" s="7" t="s">
        <v>20</v>
      </c>
      <c r="M2830" s="7" t="s">
        <v>3345</v>
      </c>
      <c r="N2830" s="7" t="s">
        <v>53</v>
      </c>
      <c r="O2830" s="10" t="n">
        <f aca="false">'Exec Summary'!$E$2-H2830</f>
        <v>124</v>
      </c>
      <c r="P2830" s="10" t="str">
        <f aca="false">IF(I2830="","",I2830-H2830)</f>
        <v/>
      </c>
      <c r="Q2830" s="10" t="n">
        <f aca="false">VLOOKUP(G2830,$AA$2:$AB$5,2,FALSE())</f>
        <v>30</v>
      </c>
      <c r="R2830" s="7" t="n">
        <f aca="false">IF(OR(F2830="Open",F2830="Reopened"),1,0)</f>
        <v>1</v>
      </c>
      <c r="S2830" s="7" t="n">
        <f aca="false">IF(AND(H2830&gt;='Exec Summary'!$E$1,H2830&lt;='Exec Summary'!$E$2),1,0)</f>
        <v>0</v>
      </c>
      <c r="T2830" s="7" t="n">
        <f aca="false">IF(AND(F2830="Closed",I2830&lt;&gt;"",I2830&gt;='Exec Summary'!$E$1,I2830&lt;='Exec Summary'!$E$2),1,0)</f>
        <v>0</v>
      </c>
      <c r="U2830" s="7" t="n">
        <f aca="false">IF(F2830="Reopened",1,0)</f>
        <v>0</v>
      </c>
      <c r="V2830" s="7" t="n">
        <f aca="false">IF(AND(R2830=1,O2830&gt;Q2830),1,0)</f>
        <v>1</v>
      </c>
      <c r="W2830" s="7" t="n">
        <f aca="false">IF(AND(T2830=1,P2830&lt;&gt;"",P2830&lt;=Q2830),1,0)</f>
        <v>0</v>
      </c>
    </row>
    <row r="2831" customFormat="false" ht="15" hidden="false" customHeight="false" outlineLevel="0" collapsed="false">
      <c r="A2831" s="7" t="s">
        <v>3339</v>
      </c>
      <c r="B2831" s="7" t="s">
        <v>135</v>
      </c>
      <c r="C2831" s="7" t="s">
        <v>247</v>
      </c>
      <c r="D2831" s="7" t="s">
        <v>139</v>
      </c>
      <c r="E2831" s="7" t="s">
        <v>140</v>
      </c>
      <c r="F2831" s="7" t="s">
        <v>50</v>
      </c>
      <c r="G2831" s="7" t="s">
        <v>19</v>
      </c>
      <c r="H2831" s="9" t="n">
        <v>46074</v>
      </c>
      <c r="I2831" s="9" t="n">
        <v>46078</v>
      </c>
      <c r="J2831" s="7" t="n">
        <v>9.8</v>
      </c>
      <c r="K2831" s="7" t="s">
        <v>3340</v>
      </c>
      <c r="L2831" s="7" t="s">
        <v>20</v>
      </c>
      <c r="M2831" s="7" t="s">
        <v>3346</v>
      </c>
      <c r="N2831" s="7" t="s">
        <v>58</v>
      </c>
      <c r="O2831" s="10" t="n">
        <f aca="false">'Exec Summary'!$E$2-H2831</f>
        <v>160</v>
      </c>
      <c r="P2831" s="10" t="n">
        <f aca="false">IF(I2831="","",I2831-H2831)</f>
        <v>4</v>
      </c>
      <c r="Q2831" s="10" t="n">
        <f aca="false">VLOOKUP(G2831,$AA$2:$AB$5,2,FALSE())</f>
        <v>15</v>
      </c>
      <c r="R2831" s="7" t="n">
        <f aca="false">IF(OR(F2831="Open",F2831="Reopened"),1,0)</f>
        <v>0</v>
      </c>
      <c r="S2831" s="7" t="n">
        <f aca="false">IF(AND(H2831&gt;='Exec Summary'!$E$1,H2831&lt;='Exec Summary'!$E$2),1,0)</f>
        <v>0</v>
      </c>
      <c r="T2831" s="7" t="n">
        <f aca="false">IF(AND(F2831="Closed",I2831&lt;&gt;"",I2831&gt;='Exec Summary'!$E$1,I2831&lt;='Exec Summary'!$E$2),1,0)</f>
        <v>0</v>
      </c>
      <c r="U2831" s="7" t="n">
        <f aca="false">IF(F2831="Reopened",1,0)</f>
        <v>0</v>
      </c>
      <c r="V2831" s="7" t="n">
        <f aca="false">IF(AND(R2831=1,O2831&gt;Q2831),1,0)</f>
        <v>0</v>
      </c>
      <c r="W2831" s="7" t="n">
        <f aca="false">IF(AND(T2831=1,P2831&lt;&gt;"",P2831&lt;=Q2831),1,0)</f>
        <v>0</v>
      </c>
    </row>
    <row r="2832" customFormat="false" ht="15" hidden="false" customHeight="false" outlineLevel="0" collapsed="false">
      <c r="A2832" s="7" t="s">
        <v>3339</v>
      </c>
      <c r="B2832" s="7" t="s">
        <v>135</v>
      </c>
      <c r="C2832" s="7" t="s">
        <v>247</v>
      </c>
      <c r="D2832" s="7" t="s">
        <v>112</v>
      </c>
      <c r="E2832" s="7" t="s">
        <v>113</v>
      </c>
      <c r="F2832" s="7" t="s">
        <v>50</v>
      </c>
      <c r="G2832" s="7" t="s">
        <v>20</v>
      </c>
      <c r="H2832" s="9" t="n">
        <v>46090</v>
      </c>
      <c r="I2832" s="9" t="n">
        <v>46115</v>
      </c>
      <c r="J2832" s="7" t="n">
        <v>7.8</v>
      </c>
      <c r="K2832" s="7" t="s">
        <v>3340</v>
      </c>
      <c r="L2832" s="7" t="s">
        <v>20</v>
      </c>
      <c r="M2832" s="7" t="s">
        <v>3347</v>
      </c>
      <c r="N2832" s="7" t="s">
        <v>53</v>
      </c>
      <c r="O2832" s="10" t="n">
        <f aca="false">'Exec Summary'!$E$2-H2832</f>
        <v>144</v>
      </c>
      <c r="P2832" s="10" t="n">
        <f aca="false">IF(I2832="","",I2832-H2832)</f>
        <v>25</v>
      </c>
      <c r="Q2832" s="10" t="n">
        <f aca="false">VLOOKUP(G2832,$AA$2:$AB$5,2,FALSE())</f>
        <v>30</v>
      </c>
      <c r="R2832" s="7" t="n">
        <f aca="false">IF(OR(F2832="Open",F2832="Reopened"),1,0)</f>
        <v>0</v>
      </c>
      <c r="S2832" s="7" t="n">
        <f aca="false">IF(AND(H2832&gt;='Exec Summary'!$E$1,H2832&lt;='Exec Summary'!$E$2),1,0)</f>
        <v>0</v>
      </c>
      <c r="T2832" s="7" t="n">
        <f aca="false">IF(AND(F2832="Closed",I2832&lt;&gt;"",I2832&gt;='Exec Summary'!$E$1,I2832&lt;='Exec Summary'!$E$2),1,0)</f>
        <v>0</v>
      </c>
      <c r="U2832" s="7" t="n">
        <f aca="false">IF(F2832="Reopened",1,0)</f>
        <v>0</v>
      </c>
      <c r="V2832" s="7" t="n">
        <f aca="false">IF(AND(R2832=1,O2832&gt;Q2832),1,0)</f>
        <v>0</v>
      </c>
      <c r="W2832" s="7" t="n">
        <f aca="false">IF(AND(T2832=1,P2832&lt;&gt;"",P2832&lt;=Q2832),1,0)</f>
        <v>0</v>
      </c>
    </row>
    <row r="2833" customFormat="false" ht="15" hidden="false" customHeight="false" outlineLevel="0" collapsed="false">
      <c r="A2833" s="7" t="s">
        <v>3339</v>
      </c>
      <c r="B2833" s="7" t="s">
        <v>135</v>
      </c>
      <c r="C2833" s="7" t="s">
        <v>247</v>
      </c>
      <c r="D2833" s="7" t="s">
        <v>98</v>
      </c>
      <c r="E2833" s="7" t="s">
        <v>99</v>
      </c>
      <c r="F2833" s="7" t="s">
        <v>56</v>
      </c>
      <c r="G2833" s="7" t="s">
        <v>19</v>
      </c>
      <c r="H2833" s="9" t="n">
        <v>45973</v>
      </c>
      <c r="I2833" s="9"/>
      <c r="J2833" s="7" t="n">
        <v>10</v>
      </c>
      <c r="K2833" s="7" t="s">
        <v>3340</v>
      </c>
      <c r="L2833" s="7" t="s">
        <v>20</v>
      </c>
      <c r="M2833" s="7" t="s">
        <v>3348</v>
      </c>
      <c r="N2833" s="7" t="s">
        <v>58</v>
      </c>
      <c r="O2833" s="10" t="n">
        <f aca="false">'Exec Summary'!$E$2-H2833</f>
        <v>261</v>
      </c>
      <c r="P2833" s="10" t="str">
        <f aca="false">IF(I2833="","",I2833-H2833)</f>
        <v/>
      </c>
      <c r="Q2833" s="10" t="n">
        <f aca="false">VLOOKUP(G2833,$AA$2:$AB$5,2,FALSE())</f>
        <v>15</v>
      </c>
      <c r="R2833" s="7" t="n">
        <f aca="false">IF(OR(F2833="Open",F2833="Reopened"),1,0)</f>
        <v>1</v>
      </c>
      <c r="S2833" s="7" t="n">
        <f aca="false">IF(AND(H2833&gt;='Exec Summary'!$E$1,H2833&lt;='Exec Summary'!$E$2),1,0)</f>
        <v>0</v>
      </c>
      <c r="T2833" s="7" t="n">
        <f aca="false">IF(AND(F2833="Closed",I2833&lt;&gt;"",I2833&gt;='Exec Summary'!$E$1,I2833&lt;='Exec Summary'!$E$2),1,0)</f>
        <v>0</v>
      </c>
      <c r="U2833" s="7" t="n">
        <f aca="false">IF(F2833="Reopened",1,0)</f>
        <v>0</v>
      </c>
      <c r="V2833" s="7" t="n">
        <f aca="false">IF(AND(R2833=1,O2833&gt;Q2833),1,0)</f>
        <v>1</v>
      </c>
      <c r="W2833" s="7" t="n">
        <f aca="false">IF(AND(T2833=1,P2833&lt;&gt;"",P2833&lt;=Q2833),1,0)</f>
        <v>0</v>
      </c>
    </row>
    <row r="2834" customFormat="false" ht="15" hidden="false" customHeight="false" outlineLevel="0" collapsed="false">
      <c r="A2834" s="7" t="s">
        <v>3339</v>
      </c>
      <c r="B2834" s="7" t="s">
        <v>135</v>
      </c>
      <c r="C2834" s="7" t="s">
        <v>247</v>
      </c>
      <c r="D2834" s="7" t="s">
        <v>163</v>
      </c>
      <c r="E2834" s="7" t="s">
        <v>164</v>
      </c>
      <c r="F2834" s="7" t="s">
        <v>50</v>
      </c>
      <c r="G2834" s="7" t="s">
        <v>19</v>
      </c>
      <c r="H2834" s="9" t="n">
        <v>46044</v>
      </c>
      <c r="I2834" s="9" t="n">
        <v>46045</v>
      </c>
      <c r="J2834" s="7" t="n">
        <v>9.1</v>
      </c>
      <c r="K2834" s="7" t="s">
        <v>3340</v>
      </c>
      <c r="L2834" s="7" t="s">
        <v>20</v>
      </c>
      <c r="M2834" s="7" t="s">
        <v>3349</v>
      </c>
      <c r="N2834" s="7" t="s">
        <v>58</v>
      </c>
      <c r="O2834" s="10" t="n">
        <f aca="false">'Exec Summary'!$E$2-H2834</f>
        <v>190</v>
      </c>
      <c r="P2834" s="10" t="n">
        <f aca="false">IF(I2834="","",I2834-H2834)</f>
        <v>1</v>
      </c>
      <c r="Q2834" s="10" t="n">
        <f aca="false">VLOOKUP(G2834,$AA$2:$AB$5,2,FALSE())</f>
        <v>15</v>
      </c>
      <c r="R2834" s="7" t="n">
        <f aca="false">IF(OR(F2834="Open",F2834="Reopened"),1,0)</f>
        <v>0</v>
      </c>
      <c r="S2834" s="7" t="n">
        <f aca="false">IF(AND(H2834&gt;='Exec Summary'!$E$1,H2834&lt;='Exec Summary'!$E$2),1,0)</f>
        <v>0</v>
      </c>
      <c r="T2834" s="7" t="n">
        <f aca="false">IF(AND(F2834="Closed",I2834&lt;&gt;"",I2834&gt;='Exec Summary'!$E$1,I2834&lt;='Exec Summary'!$E$2),1,0)</f>
        <v>0</v>
      </c>
      <c r="U2834" s="7" t="n">
        <f aca="false">IF(F2834="Reopened",1,0)</f>
        <v>0</v>
      </c>
      <c r="V2834" s="7" t="n">
        <f aca="false">IF(AND(R2834=1,O2834&gt;Q2834),1,0)</f>
        <v>0</v>
      </c>
      <c r="W2834" s="7" t="n">
        <f aca="false">IF(AND(T2834=1,P2834&lt;&gt;"",P2834&lt;=Q2834),1,0)</f>
        <v>0</v>
      </c>
    </row>
    <row r="2835" customFormat="false" ht="15" hidden="false" customHeight="false" outlineLevel="0" collapsed="false">
      <c r="A2835" s="7" t="s">
        <v>3339</v>
      </c>
      <c r="B2835" s="7" t="s">
        <v>135</v>
      </c>
      <c r="C2835" s="7" t="s">
        <v>247</v>
      </c>
      <c r="D2835" s="7" t="s">
        <v>68</v>
      </c>
      <c r="E2835" s="7" t="s">
        <v>69</v>
      </c>
      <c r="F2835" s="7" t="s">
        <v>56</v>
      </c>
      <c r="G2835" s="7" t="s">
        <v>19</v>
      </c>
      <c r="H2835" s="9" t="n">
        <v>45998</v>
      </c>
      <c r="I2835" s="9"/>
      <c r="J2835" s="7" t="n">
        <v>9.8</v>
      </c>
      <c r="K2835" s="7" t="s">
        <v>3340</v>
      </c>
      <c r="L2835" s="7" t="s">
        <v>20</v>
      </c>
      <c r="M2835" s="7" t="s">
        <v>3350</v>
      </c>
      <c r="N2835" s="7" t="s">
        <v>58</v>
      </c>
      <c r="O2835" s="10" t="n">
        <f aca="false">'Exec Summary'!$E$2-H2835</f>
        <v>236</v>
      </c>
      <c r="P2835" s="10" t="str">
        <f aca="false">IF(I2835="","",I2835-H2835)</f>
        <v/>
      </c>
      <c r="Q2835" s="10" t="n">
        <f aca="false">VLOOKUP(G2835,$AA$2:$AB$5,2,FALSE())</f>
        <v>15</v>
      </c>
      <c r="R2835" s="7" t="n">
        <f aca="false">IF(OR(F2835="Open",F2835="Reopened"),1,0)</f>
        <v>1</v>
      </c>
      <c r="S2835" s="7" t="n">
        <f aca="false">IF(AND(H2835&gt;='Exec Summary'!$E$1,H2835&lt;='Exec Summary'!$E$2),1,0)</f>
        <v>0</v>
      </c>
      <c r="T2835" s="7" t="n">
        <f aca="false">IF(AND(F2835="Closed",I2835&lt;&gt;"",I2835&gt;='Exec Summary'!$E$1,I2835&lt;='Exec Summary'!$E$2),1,0)</f>
        <v>0</v>
      </c>
      <c r="U2835" s="7" t="n">
        <f aca="false">IF(F2835="Reopened",1,0)</f>
        <v>0</v>
      </c>
      <c r="V2835" s="7" t="n">
        <f aca="false">IF(AND(R2835=1,O2835&gt;Q2835),1,0)</f>
        <v>1</v>
      </c>
      <c r="W2835" s="7" t="n">
        <f aca="false">IF(AND(T2835=1,P2835&lt;&gt;"",P2835&lt;=Q2835),1,0)</f>
        <v>0</v>
      </c>
    </row>
    <row r="2836" customFormat="false" ht="15" hidden="false" customHeight="false" outlineLevel="0" collapsed="false">
      <c r="A2836" s="7" t="s">
        <v>3351</v>
      </c>
      <c r="B2836" s="7" t="s">
        <v>46</v>
      </c>
      <c r="C2836" s="7" t="s">
        <v>79</v>
      </c>
      <c r="D2836" s="7" t="s">
        <v>101</v>
      </c>
      <c r="E2836" s="7" t="s">
        <v>102</v>
      </c>
      <c r="F2836" s="7" t="s">
        <v>50</v>
      </c>
      <c r="G2836" s="7" t="s">
        <v>19</v>
      </c>
      <c r="H2836" s="9" t="n">
        <v>46044</v>
      </c>
      <c r="I2836" s="9" t="n">
        <v>46056</v>
      </c>
      <c r="J2836" s="7" t="n">
        <v>10</v>
      </c>
      <c r="K2836" s="7" t="s">
        <v>3340</v>
      </c>
      <c r="L2836" s="7" t="s">
        <v>21</v>
      </c>
      <c r="M2836" s="7" t="s">
        <v>3352</v>
      </c>
      <c r="N2836" s="7" t="s">
        <v>58</v>
      </c>
      <c r="O2836" s="10" t="n">
        <f aca="false">'Exec Summary'!$E$2-H2836</f>
        <v>190</v>
      </c>
      <c r="P2836" s="10" t="n">
        <f aca="false">IF(I2836="","",I2836-H2836)</f>
        <v>12</v>
      </c>
      <c r="Q2836" s="10" t="n">
        <f aca="false">VLOOKUP(G2836,$AA$2:$AB$5,2,FALSE())</f>
        <v>15</v>
      </c>
      <c r="R2836" s="7" t="n">
        <f aca="false">IF(OR(F2836="Open",F2836="Reopened"),1,0)</f>
        <v>0</v>
      </c>
      <c r="S2836" s="7" t="n">
        <f aca="false">IF(AND(H2836&gt;='Exec Summary'!$E$1,H2836&lt;='Exec Summary'!$E$2),1,0)</f>
        <v>0</v>
      </c>
      <c r="T2836" s="7" t="n">
        <f aca="false">IF(AND(F2836="Closed",I2836&lt;&gt;"",I2836&gt;='Exec Summary'!$E$1,I2836&lt;='Exec Summary'!$E$2),1,0)</f>
        <v>0</v>
      </c>
      <c r="U2836" s="7" t="n">
        <f aca="false">IF(F2836="Reopened",1,0)</f>
        <v>0</v>
      </c>
      <c r="V2836" s="7" t="n">
        <f aca="false">IF(AND(R2836=1,O2836&gt;Q2836),1,0)</f>
        <v>0</v>
      </c>
      <c r="W2836" s="7" t="n">
        <f aca="false">IF(AND(T2836=1,P2836&lt;&gt;"",P2836&lt;=Q2836),1,0)</f>
        <v>0</v>
      </c>
    </row>
    <row r="2837" customFormat="false" ht="15" hidden="false" customHeight="false" outlineLevel="0" collapsed="false">
      <c r="A2837" s="7" t="s">
        <v>3351</v>
      </c>
      <c r="B2837" s="7" t="s">
        <v>46</v>
      </c>
      <c r="C2837" s="7" t="s">
        <v>79</v>
      </c>
      <c r="D2837" s="7" t="s">
        <v>120</v>
      </c>
      <c r="E2837" s="7" t="s">
        <v>121</v>
      </c>
      <c r="F2837" s="7" t="s">
        <v>50</v>
      </c>
      <c r="G2837" s="7" t="s">
        <v>19</v>
      </c>
      <c r="H2837" s="9" t="n">
        <v>46099</v>
      </c>
      <c r="I2837" s="9" t="n">
        <v>46106</v>
      </c>
      <c r="J2837" s="7" t="n">
        <v>8.8</v>
      </c>
      <c r="K2837" s="7" t="s">
        <v>3340</v>
      </c>
      <c r="L2837" s="7" t="s">
        <v>21</v>
      </c>
      <c r="M2837" s="7" t="s">
        <v>3353</v>
      </c>
      <c r="N2837" s="7" t="s">
        <v>58</v>
      </c>
      <c r="O2837" s="10" t="n">
        <f aca="false">'Exec Summary'!$E$2-H2837</f>
        <v>135</v>
      </c>
      <c r="P2837" s="10" t="n">
        <f aca="false">IF(I2837="","",I2837-H2837)</f>
        <v>7</v>
      </c>
      <c r="Q2837" s="10" t="n">
        <f aca="false">VLOOKUP(G2837,$AA$2:$AB$5,2,FALSE())</f>
        <v>15</v>
      </c>
      <c r="R2837" s="7" t="n">
        <f aca="false">IF(OR(F2837="Open",F2837="Reopened"),1,0)</f>
        <v>0</v>
      </c>
      <c r="S2837" s="7" t="n">
        <f aca="false">IF(AND(H2837&gt;='Exec Summary'!$E$1,H2837&lt;='Exec Summary'!$E$2),1,0)</f>
        <v>0</v>
      </c>
      <c r="T2837" s="7" t="n">
        <f aca="false">IF(AND(F2837="Closed",I2837&lt;&gt;"",I2837&gt;='Exec Summary'!$E$1,I2837&lt;='Exec Summary'!$E$2),1,0)</f>
        <v>0</v>
      </c>
      <c r="U2837" s="7" t="n">
        <f aca="false">IF(F2837="Reopened",1,0)</f>
        <v>0</v>
      </c>
      <c r="V2837" s="7" t="n">
        <f aca="false">IF(AND(R2837=1,O2837&gt;Q2837),1,0)</f>
        <v>0</v>
      </c>
      <c r="W2837" s="7" t="n">
        <f aca="false">IF(AND(T2837=1,P2837&lt;&gt;"",P2837&lt;=Q2837),1,0)</f>
        <v>0</v>
      </c>
    </row>
    <row r="2838" customFormat="false" ht="15" hidden="false" customHeight="false" outlineLevel="0" collapsed="false">
      <c r="A2838" s="7" t="s">
        <v>3351</v>
      </c>
      <c r="B2838" s="7" t="s">
        <v>46</v>
      </c>
      <c r="C2838" s="7" t="s">
        <v>79</v>
      </c>
      <c r="D2838" s="7" t="s">
        <v>54</v>
      </c>
      <c r="E2838" s="7" t="s">
        <v>55</v>
      </c>
      <c r="F2838" s="7" t="s">
        <v>56</v>
      </c>
      <c r="G2838" s="7" t="s">
        <v>19</v>
      </c>
      <c r="H2838" s="9" t="n">
        <v>46195</v>
      </c>
      <c r="I2838" s="9"/>
      <c r="J2838" s="7" t="n">
        <v>9.8</v>
      </c>
      <c r="K2838" s="7" t="s">
        <v>3340</v>
      </c>
      <c r="L2838" s="7" t="s">
        <v>21</v>
      </c>
      <c r="M2838" s="7" t="s">
        <v>3354</v>
      </c>
      <c r="N2838" s="7" t="s">
        <v>58</v>
      </c>
      <c r="O2838" s="10" t="n">
        <f aca="false">'Exec Summary'!$E$2-H2838</f>
        <v>39</v>
      </c>
      <c r="P2838" s="10" t="str">
        <f aca="false">IF(I2838="","",I2838-H2838)</f>
        <v/>
      </c>
      <c r="Q2838" s="10" t="n">
        <f aca="false">VLOOKUP(G2838,$AA$2:$AB$5,2,FALSE())</f>
        <v>15</v>
      </c>
      <c r="R2838" s="7" t="n">
        <f aca="false">IF(OR(F2838="Open",F2838="Reopened"),1,0)</f>
        <v>1</v>
      </c>
      <c r="S2838" s="7" t="n">
        <f aca="false">IF(AND(H2838&gt;='Exec Summary'!$E$1,H2838&lt;='Exec Summary'!$E$2),1,0)</f>
        <v>0</v>
      </c>
      <c r="T2838" s="7" t="n">
        <f aca="false">IF(AND(F2838="Closed",I2838&lt;&gt;"",I2838&gt;='Exec Summary'!$E$1,I2838&lt;='Exec Summary'!$E$2),1,0)</f>
        <v>0</v>
      </c>
      <c r="U2838" s="7" t="n">
        <f aca="false">IF(F2838="Reopened",1,0)</f>
        <v>0</v>
      </c>
      <c r="V2838" s="7" t="n">
        <f aca="false">IF(AND(R2838=1,O2838&gt;Q2838),1,0)</f>
        <v>1</v>
      </c>
      <c r="W2838" s="7" t="n">
        <f aca="false">IF(AND(T2838=1,P2838&lt;&gt;"",P2838&lt;=Q2838),1,0)</f>
        <v>0</v>
      </c>
    </row>
    <row r="2839" customFormat="false" ht="15" hidden="false" customHeight="false" outlineLevel="0" collapsed="false">
      <c r="A2839" s="7" t="s">
        <v>3355</v>
      </c>
      <c r="B2839" s="7" t="s">
        <v>46</v>
      </c>
      <c r="C2839" s="7" t="s">
        <v>47</v>
      </c>
      <c r="D2839" s="7" t="s">
        <v>145</v>
      </c>
      <c r="E2839" s="7" t="s">
        <v>146</v>
      </c>
      <c r="F2839" s="7" t="s">
        <v>50</v>
      </c>
      <c r="G2839" s="7" t="s">
        <v>19</v>
      </c>
      <c r="H2839" s="9" t="n">
        <v>46096</v>
      </c>
      <c r="I2839" s="9" t="n">
        <v>46116</v>
      </c>
      <c r="J2839" s="7" t="n">
        <v>9.8</v>
      </c>
      <c r="K2839" s="7" t="s">
        <v>3340</v>
      </c>
      <c r="L2839" s="7" t="s">
        <v>21</v>
      </c>
      <c r="M2839" s="7" t="s">
        <v>3356</v>
      </c>
      <c r="N2839" s="7" t="s">
        <v>58</v>
      </c>
      <c r="O2839" s="10" t="n">
        <f aca="false">'Exec Summary'!$E$2-H2839</f>
        <v>138</v>
      </c>
      <c r="P2839" s="10" t="n">
        <f aca="false">IF(I2839="","",I2839-H2839)</f>
        <v>20</v>
      </c>
      <c r="Q2839" s="10" t="n">
        <f aca="false">VLOOKUP(G2839,$AA$2:$AB$5,2,FALSE())</f>
        <v>15</v>
      </c>
      <c r="R2839" s="7" t="n">
        <f aca="false">IF(OR(F2839="Open",F2839="Reopened"),1,0)</f>
        <v>0</v>
      </c>
      <c r="S2839" s="7" t="n">
        <f aca="false">IF(AND(H2839&gt;='Exec Summary'!$E$1,H2839&lt;='Exec Summary'!$E$2),1,0)</f>
        <v>0</v>
      </c>
      <c r="T2839" s="7" t="n">
        <f aca="false">IF(AND(F2839="Closed",I2839&lt;&gt;"",I2839&gt;='Exec Summary'!$E$1,I2839&lt;='Exec Summary'!$E$2),1,0)</f>
        <v>0</v>
      </c>
      <c r="U2839" s="7" t="n">
        <f aca="false">IF(F2839="Reopened",1,0)</f>
        <v>0</v>
      </c>
      <c r="V2839" s="7" t="n">
        <f aca="false">IF(AND(R2839=1,O2839&gt;Q2839),1,0)</f>
        <v>0</v>
      </c>
      <c r="W2839" s="7" t="n">
        <f aca="false">IF(AND(T2839=1,P2839&lt;&gt;"",P2839&lt;=Q2839),1,0)</f>
        <v>0</v>
      </c>
    </row>
    <row r="2840" customFormat="false" ht="15" hidden="false" customHeight="false" outlineLevel="0" collapsed="false">
      <c r="A2840" s="7" t="s">
        <v>3355</v>
      </c>
      <c r="B2840" s="7" t="s">
        <v>46</v>
      </c>
      <c r="C2840" s="7" t="s">
        <v>47</v>
      </c>
      <c r="D2840" s="7" t="s">
        <v>74</v>
      </c>
      <c r="E2840" s="7" t="s">
        <v>75</v>
      </c>
      <c r="F2840" s="7" t="s">
        <v>56</v>
      </c>
      <c r="G2840" s="7" t="s">
        <v>21</v>
      </c>
      <c r="H2840" s="9" t="n">
        <v>46007</v>
      </c>
      <c r="I2840" s="9"/>
      <c r="J2840" s="7" t="n">
        <v>6.5</v>
      </c>
      <c r="K2840" s="7" t="s">
        <v>3340</v>
      </c>
      <c r="L2840" s="7" t="s">
        <v>21</v>
      </c>
      <c r="M2840" s="7" t="s">
        <v>3357</v>
      </c>
      <c r="N2840" s="7" t="s">
        <v>77</v>
      </c>
      <c r="O2840" s="10" t="n">
        <f aca="false">'Exec Summary'!$E$2-H2840</f>
        <v>227</v>
      </c>
      <c r="P2840" s="10" t="str">
        <f aca="false">IF(I2840="","",I2840-H2840)</f>
        <v/>
      </c>
      <c r="Q2840" s="10" t="n">
        <f aca="false">VLOOKUP(G2840,$AA$2:$AB$5,2,FALSE())</f>
        <v>90</v>
      </c>
      <c r="R2840" s="7" t="n">
        <f aca="false">IF(OR(F2840="Open",F2840="Reopened"),1,0)</f>
        <v>1</v>
      </c>
      <c r="S2840" s="7" t="n">
        <f aca="false">IF(AND(H2840&gt;='Exec Summary'!$E$1,H2840&lt;='Exec Summary'!$E$2),1,0)</f>
        <v>0</v>
      </c>
      <c r="T2840" s="7" t="n">
        <f aca="false">IF(AND(F2840="Closed",I2840&lt;&gt;"",I2840&gt;='Exec Summary'!$E$1,I2840&lt;='Exec Summary'!$E$2),1,0)</f>
        <v>0</v>
      </c>
      <c r="U2840" s="7" t="n">
        <f aca="false">IF(F2840="Reopened",1,0)</f>
        <v>0</v>
      </c>
      <c r="V2840" s="7" t="n">
        <f aca="false">IF(AND(R2840=1,O2840&gt;Q2840),1,0)</f>
        <v>1</v>
      </c>
      <c r="W2840" s="7" t="n">
        <f aca="false">IF(AND(T2840=1,P2840&lt;&gt;"",P2840&lt;=Q2840),1,0)</f>
        <v>0</v>
      </c>
    </row>
    <row r="2841" customFormat="false" ht="15" hidden="false" customHeight="false" outlineLevel="0" collapsed="false">
      <c r="A2841" s="7" t="s">
        <v>3355</v>
      </c>
      <c r="B2841" s="7" t="s">
        <v>46</v>
      </c>
      <c r="C2841" s="7" t="s">
        <v>47</v>
      </c>
      <c r="D2841" s="7" t="s">
        <v>152</v>
      </c>
      <c r="E2841" s="7" t="s">
        <v>153</v>
      </c>
      <c r="F2841" s="7" t="s">
        <v>56</v>
      </c>
      <c r="G2841" s="7" t="s">
        <v>20</v>
      </c>
      <c r="H2841" s="9" t="n">
        <v>46184</v>
      </c>
      <c r="I2841" s="9"/>
      <c r="J2841" s="7" t="n">
        <v>7.5</v>
      </c>
      <c r="K2841" s="7" t="s">
        <v>3340</v>
      </c>
      <c r="L2841" s="7" t="s">
        <v>21</v>
      </c>
      <c r="M2841" s="7" t="s">
        <v>3358</v>
      </c>
      <c r="N2841" s="7" t="s">
        <v>53</v>
      </c>
      <c r="O2841" s="10" t="n">
        <f aca="false">'Exec Summary'!$E$2-H2841</f>
        <v>50</v>
      </c>
      <c r="P2841" s="10" t="str">
        <f aca="false">IF(I2841="","",I2841-H2841)</f>
        <v/>
      </c>
      <c r="Q2841" s="10" t="n">
        <f aca="false">VLOOKUP(G2841,$AA$2:$AB$5,2,FALSE())</f>
        <v>30</v>
      </c>
      <c r="R2841" s="7" t="n">
        <f aca="false">IF(OR(F2841="Open",F2841="Reopened"),1,0)</f>
        <v>1</v>
      </c>
      <c r="S2841" s="7" t="n">
        <f aca="false">IF(AND(H2841&gt;='Exec Summary'!$E$1,H2841&lt;='Exec Summary'!$E$2),1,0)</f>
        <v>0</v>
      </c>
      <c r="T2841" s="7" t="n">
        <f aca="false">IF(AND(F2841="Closed",I2841&lt;&gt;"",I2841&gt;='Exec Summary'!$E$1,I2841&lt;='Exec Summary'!$E$2),1,0)</f>
        <v>0</v>
      </c>
      <c r="U2841" s="7" t="n">
        <f aca="false">IF(F2841="Reopened",1,0)</f>
        <v>0</v>
      </c>
      <c r="V2841" s="7" t="n">
        <f aca="false">IF(AND(R2841=1,O2841&gt;Q2841),1,0)</f>
        <v>1</v>
      </c>
      <c r="W2841" s="7" t="n">
        <f aca="false">IF(AND(T2841=1,P2841&lt;&gt;"",P2841&lt;=Q2841),1,0)</f>
        <v>0</v>
      </c>
    </row>
    <row r="2842" customFormat="false" ht="15" hidden="false" customHeight="false" outlineLevel="0" collapsed="false">
      <c r="A2842" s="7" t="s">
        <v>3355</v>
      </c>
      <c r="B2842" s="7" t="s">
        <v>46</v>
      </c>
      <c r="C2842" s="7" t="s">
        <v>47</v>
      </c>
      <c r="D2842" s="7" t="s">
        <v>210</v>
      </c>
      <c r="E2842" s="7" t="s">
        <v>211</v>
      </c>
      <c r="F2842" s="7" t="s">
        <v>50</v>
      </c>
      <c r="G2842" s="7" t="s">
        <v>19</v>
      </c>
      <c r="H2842" s="9" t="n">
        <v>45995</v>
      </c>
      <c r="I2842" s="9" t="n">
        <v>45997</v>
      </c>
      <c r="J2842" s="7" t="n">
        <v>9.8</v>
      </c>
      <c r="K2842" s="7" t="s">
        <v>3340</v>
      </c>
      <c r="L2842" s="7" t="s">
        <v>21</v>
      </c>
      <c r="M2842" s="7" t="s">
        <v>3359</v>
      </c>
      <c r="N2842" s="7" t="s">
        <v>58</v>
      </c>
      <c r="O2842" s="10" t="n">
        <f aca="false">'Exec Summary'!$E$2-H2842</f>
        <v>239</v>
      </c>
      <c r="P2842" s="10" t="n">
        <f aca="false">IF(I2842="","",I2842-H2842)</f>
        <v>2</v>
      </c>
      <c r="Q2842" s="10" t="n">
        <f aca="false">VLOOKUP(G2842,$AA$2:$AB$5,2,FALSE())</f>
        <v>15</v>
      </c>
      <c r="R2842" s="7" t="n">
        <f aca="false">IF(OR(F2842="Open",F2842="Reopened"),1,0)</f>
        <v>0</v>
      </c>
      <c r="S2842" s="7" t="n">
        <f aca="false">IF(AND(H2842&gt;='Exec Summary'!$E$1,H2842&lt;='Exec Summary'!$E$2),1,0)</f>
        <v>0</v>
      </c>
      <c r="T2842" s="7" t="n">
        <f aca="false">IF(AND(F2842="Closed",I2842&lt;&gt;"",I2842&gt;='Exec Summary'!$E$1,I2842&lt;='Exec Summary'!$E$2),1,0)</f>
        <v>0</v>
      </c>
      <c r="U2842" s="7" t="n">
        <f aca="false">IF(F2842="Reopened",1,0)</f>
        <v>0</v>
      </c>
      <c r="V2842" s="7" t="n">
        <f aca="false">IF(AND(R2842=1,O2842&gt;Q2842),1,0)</f>
        <v>0</v>
      </c>
      <c r="W2842" s="7" t="n">
        <f aca="false">IF(AND(T2842=1,P2842&lt;&gt;"",P2842&lt;=Q2842),1,0)</f>
        <v>0</v>
      </c>
    </row>
    <row r="2843" customFormat="false" ht="15" hidden="false" customHeight="false" outlineLevel="0" collapsed="false">
      <c r="A2843" s="7" t="s">
        <v>3355</v>
      </c>
      <c r="B2843" s="7" t="s">
        <v>46</v>
      </c>
      <c r="C2843" s="7" t="s">
        <v>47</v>
      </c>
      <c r="D2843" s="7" t="s">
        <v>173</v>
      </c>
      <c r="E2843" s="7" t="s">
        <v>174</v>
      </c>
      <c r="F2843" s="7" t="s">
        <v>50</v>
      </c>
      <c r="G2843" s="7" t="s">
        <v>19</v>
      </c>
      <c r="H2843" s="9" t="n">
        <v>46025</v>
      </c>
      <c r="I2843" s="9" t="n">
        <v>46031</v>
      </c>
      <c r="J2843" s="7" t="n">
        <v>9.8</v>
      </c>
      <c r="K2843" s="7" t="s">
        <v>3340</v>
      </c>
      <c r="L2843" s="7" t="s">
        <v>21</v>
      </c>
      <c r="M2843" s="7" t="s">
        <v>3360</v>
      </c>
      <c r="N2843" s="7" t="s">
        <v>58</v>
      </c>
      <c r="O2843" s="10" t="n">
        <f aca="false">'Exec Summary'!$E$2-H2843</f>
        <v>209</v>
      </c>
      <c r="P2843" s="10" t="n">
        <f aca="false">IF(I2843="","",I2843-H2843)</f>
        <v>6</v>
      </c>
      <c r="Q2843" s="10" t="n">
        <f aca="false">VLOOKUP(G2843,$AA$2:$AB$5,2,FALSE())</f>
        <v>15</v>
      </c>
      <c r="R2843" s="7" t="n">
        <f aca="false">IF(OR(F2843="Open",F2843="Reopened"),1,0)</f>
        <v>0</v>
      </c>
      <c r="S2843" s="7" t="n">
        <f aca="false">IF(AND(H2843&gt;='Exec Summary'!$E$1,H2843&lt;='Exec Summary'!$E$2),1,0)</f>
        <v>0</v>
      </c>
      <c r="T2843" s="7" t="n">
        <f aca="false">IF(AND(F2843="Closed",I2843&lt;&gt;"",I2843&gt;='Exec Summary'!$E$1,I2843&lt;='Exec Summary'!$E$2),1,0)</f>
        <v>0</v>
      </c>
      <c r="U2843" s="7" t="n">
        <f aca="false">IF(F2843="Reopened",1,0)</f>
        <v>0</v>
      </c>
      <c r="V2843" s="7" t="n">
        <f aca="false">IF(AND(R2843=1,O2843&gt;Q2843),1,0)</f>
        <v>0</v>
      </c>
      <c r="W2843" s="7" t="n">
        <f aca="false">IF(AND(T2843=1,P2843&lt;&gt;"",P2843&lt;=Q2843),1,0)</f>
        <v>0</v>
      </c>
    </row>
    <row r="2844" customFormat="false" ht="15" hidden="false" customHeight="false" outlineLevel="0" collapsed="false">
      <c r="A2844" s="7" t="s">
        <v>3355</v>
      </c>
      <c r="B2844" s="7" t="s">
        <v>46</v>
      </c>
      <c r="C2844" s="7" t="s">
        <v>47</v>
      </c>
      <c r="D2844" s="7" t="s">
        <v>139</v>
      </c>
      <c r="E2844" s="7" t="s">
        <v>140</v>
      </c>
      <c r="F2844" s="7" t="s">
        <v>56</v>
      </c>
      <c r="G2844" s="7" t="s">
        <v>19</v>
      </c>
      <c r="H2844" s="9" t="n">
        <v>46043</v>
      </c>
      <c r="I2844" s="9"/>
      <c r="J2844" s="7" t="n">
        <v>9.8</v>
      </c>
      <c r="K2844" s="7" t="s">
        <v>3340</v>
      </c>
      <c r="L2844" s="7" t="s">
        <v>21</v>
      </c>
      <c r="M2844" s="7" t="s">
        <v>3361</v>
      </c>
      <c r="N2844" s="7" t="s">
        <v>58</v>
      </c>
      <c r="O2844" s="10" t="n">
        <f aca="false">'Exec Summary'!$E$2-H2844</f>
        <v>191</v>
      </c>
      <c r="P2844" s="10" t="str">
        <f aca="false">IF(I2844="","",I2844-H2844)</f>
        <v/>
      </c>
      <c r="Q2844" s="10" t="n">
        <f aca="false">VLOOKUP(G2844,$AA$2:$AB$5,2,FALSE())</f>
        <v>15</v>
      </c>
      <c r="R2844" s="7" t="n">
        <f aca="false">IF(OR(F2844="Open",F2844="Reopened"),1,0)</f>
        <v>1</v>
      </c>
      <c r="S2844" s="7" t="n">
        <f aca="false">IF(AND(H2844&gt;='Exec Summary'!$E$1,H2844&lt;='Exec Summary'!$E$2),1,0)</f>
        <v>0</v>
      </c>
      <c r="T2844" s="7" t="n">
        <f aca="false">IF(AND(F2844="Closed",I2844&lt;&gt;"",I2844&gt;='Exec Summary'!$E$1,I2844&lt;='Exec Summary'!$E$2),1,0)</f>
        <v>0</v>
      </c>
      <c r="U2844" s="7" t="n">
        <f aca="false">IF(F2844="Reopened",1,0)</f>
        <v>0</v>
      </c>
      <c r="V2844" s="7" t="n">
        <f aca="false">IF(AND(R2844=1,O2844&gt;Q2844),1,0)</f>
        <v>1</v>
      </c>
      <c r="W2844" s="7" t="n">
        <f aca="false">IF(AND(T2844=1,P2844&lt;&gt;"",P2844&lt;=Q2844),1,0)</f>
        <v>0</v>
      </c>
    </row>
    <row r="2845" customFormat="false" ht="15" hidden="false" customHeight="false" outlineLevel="0" collapsed="false">
      <c r="A2845" s="7" t="s">
        <v>3355</v>
      </c>
      <c r="B2845" s="7" t="s">
        <v>46</v>
      </c>
      <c r="C2845" s="7" t="s">
        <v>47</v>
      </c>
      <c r="D2845" s="7" t="s">
        <v>166</v>
      </c>
      <c r="E2845" s="7" t="s">
        <v>167</v>
      </c>
      <c r="F2845" s="7" t="s">
        <v>50</v>
      </c>
      <c r="G2845" s="7" t="s">
        <v>19</v>
      </c>
      <c r="H2845" s="9" t="n">
        <v>46129</v>
      </c>
      <c r="I2845" s="9" t="n">
        <v>46145</v>
      </c>
      <c r="J2845" s="7" t="n">
        <v>9.8</v>
      </c>
      <c r="K2845" s="7" t="s">
        <v>3340</v>
      </c>
      <c r="L2845" s="7" t="s">
        <v>21</v>
      </c>
      <c r="M2845" s="7" t="s">
        <v>3362</v>
      </c>
      <c r="N2845" s="7" t="s">
        <v>58</v>
      </c>
      <c r="O2845" s="10" t="n">
        <f aca="false">'Exec Summary'!$E$2-H2845</f>
        <v>105</v>
      </c>
      <c r="P2845" s="10" t="n">
        <f aca="false">IF(I2845="","",I2845-H2845)</f>
        <v>16</v>
      </c>
      <c r="Q2845" s="10" t="n">
        <f aca="false">VLOOKUP(G2845,$AA$2:$AB$5,2,FALSE())</f>
        <v>15</v>
      </c>
      <c r="R2845" s="7" t="n">
        <f aca="false">IF(OR(F2845="Open",F2845="Reopened"),1,0)</f>
        <v>0</v>
      </c>
      <c r="S2845" s="7" t="n">
        <f aca="false">IF(AND(H2845&gt;='Exec Summary'!$E$1,H2845&lt;='Exec Summary'!$E$2),1,0)</f>
        <v>0</v>
      </c>
      <c r="T2845" s="7" t="n">
        <f aca="false">IF(AND(F2845="Closed",I2845&lt;&gt;"",I2845&gt;='Exec Summary'!$E$1,I2845&lt;='Exec Summary'!$E$2),1,0)</f>
        <v>0</v>
      </c>
      <c r="U2845" s="7" t="n">
        <f aca="false">IF(F2845="Reopened",1,0)</f>
        <v>0</v>
      </c>
      <c r="V2845" s="7" t="n">
        <f aca="false">IF(AND(R2845=1,O2845&gt;Q2845),1,0)</f>
        <v>0</v>
      </c>
      <c r="W2845" s="7" t="n">
        <f aca="false">IF(AND(T2845=1,P2845&lt;&gt;"",P2845&lt;=Q2845),1,0)</f>
        <v>0</v>
      </c>
    </row>
    <row r="2846" customFormat="false" ht="15" hidden="false" customHeight="false" outlineLevel="0" collapsed="false">
      <c r="A2846" s="7" t="s">
        <v>3355</v>
      </c>
      <c r="B2846" s="7" t="s">
        <v>46</v>
      </c>
      <c r="C2846" s="7" t="s">
        <v>47</v>
      </c>
      <c r="D2846" s="7" t="s">
        <v>87</v>
      </c>
      <c r="E2846" s="7" t="s">
        <v>88</v>
      </c>
      <c r="F2846" s="7" t="s">
        <v>50</v>
      </c>
      <c r="G2846" s="7" t="s">
        <v>19</v>
      </c>
      <c r="H2846" s="9" t="n">
        <v>46034</v>
      </c>
      <c r="I2846" s="9" t="n">
        <v>46044</v>
      </c>
      <c r="J2846" s="7" t="n">
        <v>10</v>
      </c>
      <c r="K2846" s="7" t="s">
        <v>3340</v>
      </c>
      <c r="L2846" s="7" t="s">
        <v>21</v>
      </c>
      <c r="M2846" s="7" t="s">
        <v>3363</v>
      </c>
      <c r="N2846" s="7" t="s">
        <v>58</v>
      </c>
      <c r="O2846" s="10" t="n">
        <f aca="false">'Exec Summary'!$E$2-H2846</f>
        <v>200</v>
      </c>
      <c r="P2846" s="10" t="n">
        <f aca="false">IF(I2846="","",I2846-H2846)</f>
        <v>10</v>
      </c>
      <c r="Q2846" s="10" t="n">
        <f aca="false">VLOOKUP(G2846,$AA$2:$AB$5,2,FALSE())</f>
        <v>15</v>
      </c>
      <c r="R2846" s="7" t="n">
        <f aca="false">IF(OR(F2846="Open",F2846="Reopened"),1,0)</f>
        <v>0</v>
      </c>
      <c r="S2846" s="7" t="n">
        <f aca="false">IF(AND(H2846&gt;='Exec Summary'!$E$1,H2846&lt;='Exec Summary'!$E$2),1,0)</f>
        <v>0</v>
      </c>
      <c r="T2846" s="7" t="n">
        <f aca="false">IF(AND(F2846="Closed",I2846&lt;&gt;"",I2846&gt;='Exec Summary'!$E$1,I2846&lt;='Exec Summary'!$E$2),1,0)</f>
        <v>0</v>
      </c>
      <c r="U2846" s="7" t="n">
        <f aca="false">IF(F2846="Reopened",1,0)</f>
        <v>0</v>
      </c>
      <c r="V2846" s="7" t="n">
        <f aca="false">IF(AND(R2846=1,O2846&gt;Q2846),1,0)</f>
        <v>0</v>
      </c>
      <c r="W2846" s="7" t="n">
        <f aca="false">IF(AND(T2846=1,P2846&lt;&gt;"",P2846&lt;=Q2846),1,0)</f>
        <v>0</v>
      </c>
    </row>
    <row r="2847" customFormat="false" ht="15" hidden="false" customHeight="false" outlineLevel="0" collapsed="false">
      <c r="A2847" s="7" t="s">
        <v>3355</v>
      </c>
      <c r="B2847" s="7" t="s">
        <v>46</v>
      </c>
      <c r="C2847" s="7" t="s">
        <v>47</v>
      </c>
      <c r="D2847" s="7" t="s">
        <v>108</v>
      </c>
      <c r="E2847" s="7" t="s">
        <v>109</v>
      </c>
      <c r="F2847" s="7" t="s">
        <v>56</v>
      </c>
      <c r="G2847" s="7" t="s">
        <v>20</v>
      </c>
      <c r="H2847" s="9" t="n">
        <v>46122</v>
      </c>
      <c r="I2847" s="9"/>
      <c r="J2847" s="7" t="n">
        <v>8.6</v>
      </c>
      <c r="K2847" s="7" t="s">
        <v>3340</v>
      </c>
      <c r="L2847" s="7" t="s">
        <v>21</v>
      </c>
      <c r="M2847" s="7" t="s">
        <v>3364</v>
      </c>
      <c r="N2847" s="7" t="s">
        <v>53</v>
      </c>
      <c r="O2847" s="10" t="n">
        <f aca="false">'Exec Summary'!$E$2-H2847</f>
        <v>112</v>
      </c>
      <c r="P2847" s="10" t="str">
        <f aca="false">IF(I2847="","",I2847-H2847)</f>
        <v/>
      </c>
      <c r="Q2847" s="10" t="n">
        <f aca="false">VLOOKUP(G2847,$AA$2:$AB$5,2,FALSE())</f>
        <v>30</v>
      </c>
      <c r="R2847" s="7" t="n">
        <f aca="false">IF(OR(F2847="Open",F2847="Reopened"),1,0)</f>
        <v>1</v>
      </c>
      <c r="S2847" s="7" t="n">
        <f aca="false">IF(AND(H2847&gt;='Exec Summary'!$E$1,H2847&lt;='Exec Summary'!$E$2),1,0)</f>
        <v>0</v>
      </c>
      <c r="T2847" s="7" t="n">
        <f aca="false">IF(AND(F2847="Closed",I2847&lt;&gt;"",I2847&gt;='Exec Summary'!$E$1,I2847&lt;='Exec Summary'!$E$2),1,0)</f>
        <v>0</v>
      </c>
      <c r="U2847" s="7" t="n">
        <f aca="false">IF(F2847="Reopened",1,0)</f>
        <v>0</v>
      </c>
      <c r="V2847" s="7" t="n">
        <f aca="false">IF(AND(R2847=1,O2847&gt;Q2847),1,0)</f>
        <v>1</v>
      </c>
      <c r="W2847" s="7" t="n">
        <f aca="false">IF(AND(T2847=1,P2847&lt;&gt;"",P2847&lt;=Q2847),1,0)</f>
        <v>0</v>
      </c>
    </row>
    <row r="2848" customFormat="false" ht="15" hidden="false" customHeight="false" outlineLevel="0" collapsed="false">
      <c r="A2848" s="7" t="s">
        <v>3365</v>
      </c>
      <c r="B2848" s="7" t="s">
        <v>135</v>
      </c>
      <c r="C2848" s="7" t="s">
        <v>247</v>
      </c>
      <c r="D2848" s="7" t="s">
        <v>145</v>
      </c>
      <c r="E2848" s="7" t="s">
        <v>146</v>
      </c>
      <c r="F2848" s="7" t="s">
        <v>56</v>
      </c>
      <c r="G2848" s="7" t="s">
        <v>19</v>
      </c>
      <c r="H2848" s="9" t="n">
        <v>45949</v>
      </c>
      <c r="I2848" s="9"/>
      <c r="J2848" s="7" t="n">
        <v>9.8</v>
      </c>
      <c r="K2848" s="7" t="s">
        <v>3340</v>
      </c>
      <c r="L2848" s="7" t="s">
        <v>21</v>
      </c>
      <c r="M2848" s="7" t="s">
        <v>3366</v>
      </c>
      <c r="N2848" s="7" t="s">
        <v>58</v>
      </c>
      <c r="O2848" s="10" t="n">
        <f aca="false">'Exec Summary'!$E$2-H2848</f>
        <v>285</v>
      </c>
      <c r="P2848" s="10" t="str">
        <f aca="false">IF(I2848="","",I2848-H2848)</f>
        <v/>
      </c>
      <c r="Q2848" s="10" t="n">
        <f aca="false">VLOOKUP(G2848,$AA$2:$AB$5,2,FALSE())</f>
        <v>15</v>
      </c>
      <c r="R2848" s="7" t="n">
        <f aca="false">IF(OR(F2848="Open",F2848="Reopened"),1,0)</f>
        <v>1</v>
      </c>
      <c r="S2848" s="7" t="n">
        <f aca="false">IF(AND(H2848&gt;='Exec Summary'!$E$1,H2848&lt;='Exec Summary'!$E$2),1,0)</f>
        <v>0</v>
      </c>
      <c r="T2848" s="7" t="n">
        <f aca="false">IF(AND(F2848="Closed",I2848&lt;&gt;"",I2848&gt;='Exec Summary'!$E$1,I2848&lt;='Exec Summary'!$E$2),1,0)</f>
        <v>0</v>
      </c>
      <c r="U2848" s="7" t="n">
        <f aca="false">IF(F2848="Reopened",1,0)</f>
        <v>0</v>
      </c>
      <c r="V2848" s="7" t="n">
        <f aca="false">IF(AND(R2848=1,O2848&gt;Q2848),1,0)</f>
        <v>1</v>
      </c>
      <c r="W2848" s="7" t="n">
        <f aca="false">IF(AND(T2848=1,P2848&lt;&gt;"",P2848&lt;=Q2848),1,0)</f>
        <v>0</v>
      </c>
    </row>
    <row r="2849" customFormat="false" ht="15" hidden="false" customHeight="false" outlineLevel="0" collapsed="false">
      <c r="A2849" s="7" t="s">
        <v>3365</v>
      </c>
      <c r="B2849" s="7" t="s">
        <v>135</v>
      </c>
      <c r="C2849" s="7" t="s">
        <v>247</v>
      </c>
      <c r="D2849" s="7" t="s">
        <v>192</v>
      </c>
      <c r="E2849" s="7" t="s">
        <v>193</v>
      </c>
      <c r="F2849" s="7" t="s">
        <v>50</v>
      </c>
      <c r="G2849" s="7" t="s">
        <v>19</v>
      </c>
      <c r="H2849" s="9" t="n">
        <v>46166</v>
      </c>
      <c r="I2849" s="9" t="n">
        <v>46177</v>
      </c>
      <c r="J2849" s="7" t="n">
        <v>9.8</v>
      </c>
      <c r="K2849" s="7" t="s">
        <v>3340</v>
      </c>
      <c r="L2849" s="7" t="s">
        <v>21</v>
      </c>
      <c r="M2849" s="7" t="s">
        <v>3367</v>
      </c>
      <c r="N2849" s="7" t="s">
        <v>58</v>
      </c>
      <c r="O2849" s="10" t="n">
        <f aca="false">'Exec Summary'!$E$2-H2849</f>
        <v>68</v>
      </c>
      <c r="P2849" s="10" t="n">
        <f aca="false">IF(I2849="","",I2849-H2849)</f>
        <v>11</v>
      </c>
      <c r="Q2849" s="10" t="n">
        <f aca="false">VLOOKUP(G2849,$AA$2:$AB$5,2,FALSE())</f>
        <v>15</v>
      </c>
      <c r="R2849" s="7" t="n">
        <f aca="false">IF(OR(F2849="Open",F2849="Reopened"),1,0)</f>
        <v>0</v>
      </c>
      <c r="S2849" s="7" t="n">
        <f aca="false">IF(AND(H2849&gt;='Exec Summary'!$E$1,H2849&lt;='Exec Summary'!$E$2),1,0)</f>
        <v>0</v>
      </c>
      <c r="T2849" s="7" t="n">
        <f aca="false">IF(AND(F2849="Closed",I2849&lt;&gt;"",I2849&gt;='Exec Summary'!$E$1,I2849&lt;='Exec Summary'!$E$2),1,0)</f>
        <v>0</v>
      </c>
      <c r="U2849" s="7" t="n">
        <f aca="false">IF(F2849="Reopened",1,0)</f>
        <v>0</v>
      </c>
      <c r="V2849" s="7" t="n">
        <f aca="false">IF(AND(R2849=1,O2849&gt;Q2849),1,0)</f>
        <v>0</v>
      </c>
      <c r="W2849" s="7" t="n">
        <f aca="false">IF(AND(T2849=1,P2849&lt;&gt;"",P2849&lt;=Q2849),1,0)</f>
        <v>0</v>
      </c>
    </row>
    <row r="2850" customFormat="false" ht="15" hidden="false" customHeight="false" outlineLevel="0" collapsed="false">
      <c r="A2850" s="7" t="s">
        <v>3365</v>
      </c>
      <c r="B2850" s="7" t="s">
        <v>135</v>
      </c>
      <c r="C2850" s="7" t="s">
        <v>247</v>
      </c>
      <c r="D2850" s="7" t="s">
        <v>173</v>
      </c>
      <c r="E2850" s="7" t="s">
        <v>174</v>
      </c>
      <c r="F2850" s="7" t="s">
        <v>50</v>
      </c>
      <c r="G2850" s="7" t="s">
        <v>19</v>
      </c>
      <c r="H2850" s="9" t="n">
        <v>45953</v>
      </c>
      <c r="I2850" s="9" t="n">
        <v>45956</v>
      </c>
      <c r="J2850" s="7" t="n">
        <v>9.8</v>
      </c>
      <c r="K2850" s="7" t="s">
        <v>3340</v>
      </c>
      <c r="L2850" s="7" t="s">
        <v>21</v>
      </c>
      <c r="M2850" s="7" t="s">
        <v>3368</v>
      </c>
      <c r="N2850" s="7" t="s">
        <v>58</v>
      </c>
      <c r="O2850" s="10" t="n">
        <f aca="false">'Exec Summary'!$E$2-H2850</f>
        <v>281</v>
      </c>
      <c r="P2850" s="10" t="n">
        <f aca="false">IF(I2850="","",I2850-H2850)</f>
        <v>3</v>
      </c>
      <c r="Q2850" s="10" t="n">
        <f aca="false">VLOOKUP(G2850,$AA$2:$AB$5,2,FALSE())</f>
        <v>15</v>
      </c>
      <c r="R2850" s="7" t="n">
        <f aca="false">IF(OR(F2850="Open",F2850="Reopened"),1,0)</f>
        <v>0</v>
      </c>
      <c r="S2850" s="7" t="n">
        <f aca="false">IF(AND(H2850&gt;='Exec Summary'!$E$1,H2850&lt;='Exec Summary'!$E$2),1,0)</f>
        <v>0</v>
      </c>
      <c r="T2850" s="7" t="n">
        <f aca="false">IF(AND(F2850="Closed",I2850&lt;&gt;"",I2850&gt;='Exec Summary'!$E$1,I2850&lt;='Exec Summary'!$E$2),1,0)</f>
        <v>0</v>
      </c>
      <c r="U2850" s="7" t="n">
        <f aca="false">IF(F2850="Reopened",1,0)</f>
        <v>0</v>
      </c>
      <c r="V2850" s="7" t="n">
        <f aca="false">IF(AND(R2850=1,O2850&gt;Q2850),1,0)</f>
        <v>0</v>
      </c>
      <c r="W2850" s="7" t="n">
        <f aca="false">IF(AND(T2850=1,P2850&lt;&gt;"",P2850&lt;=Q2850),1,0)</f>
        <v>0</v>
      </c>
    </row>
    <row r="2851" customFormat="false" ht="15" hidden="false" customHeight="false" outlineLevel="0" collapsed="false">
      <c r="A2851" s="7" t="s">
        <v>3365</v>
      </c>
      <c r="B2851" s="7" t="s">
        <v>135</v>
      </c>
      <c r="C2851" s="7" t="s">
        <v>247</v>
      </c>
      <c r="D2851" s="7" t="s">
        <v>81</v>
      </c>
      <c r="E2851" s="7" t="s">
        <v>82</v>
      </c>
      <c r="F2851" s="7" t="s">
        <v>50</v>
      </c>
      <c r="G2851" s="7" t="s">
        <v>20</v>
      </c>
      <c r="H2851" s="9" t="n">
        <v>46001</v>
      </c>
      <c r="I2851" s="9" t="n">
        <v>46009</v>
      </c>
      <c r="J2851" s="7" t="n">
        <v>7.8</v>
      </c>
      <c r="K2851" s="7" t="s">
        <v>3340</v>
      </c>
      <c r="L2851" s="7" t="s">
        <v>21</v>
      </c>
      <c r="M2851" s="7" t="s">
        <v>3369</v>
      </c>
      <c r="N2851" s="7" t="s">
        <v>53</v>
      </c>
      <c r="O2851" s="10" t="n">
        <f aca="false">'Exec Summary'!$E$2-H2851</f>
        <v>233</v>
      </c>
      <c r="P2851" s="10" t="n">
        <f aca="false">IF(I2851="","",I2851-H2851)</f>
        <v>8</v>
      </c>
      <c r="Q2851" s="10" t="n">
        <f aca="false">VLOOKUP(G2851,$AA$2:$AB$5,2,FALSE())</f>
        <v>30</v>
      </c>
      <c r="R2851" s="7" t="n">
        <f aca="false">IF(OR(F2851="Open",F2851="Reopened"),1,0)</f>
        <v>0</v>
      </c>
      <c r="S2851" s="7" t="n">
        <f aca="false">IF(AND(H2851&gt;='Exec Summary'!$E$1,H2851&lt;='Exec Summary'!$E$2),1,0)</f>
        <v>0</v>
      </c>
      <c r="T2851" s="7" t="n">
        <f aca="false">IF(AND(F2851="Closed",I2851&lt;&gt;"",I2851&gt;='Exec Summary'!$E$1,I2851&lt;='Exec Summary'!$E$2),1,0)</f>
        <v>0</v>
      </c>
      <c r="U2851" s="7" t="n">
        <f aca="false">IF(F2851="Reopened",1,0)</f>
        <v>0</v>
      </c>
      <c r="V2851" s="7" t="n">
        <f aca="false">IF(AND(R2851=1,O2851&gt;Q2851),1,0)</f>
        <v>0</v>
      </c>
      <c r="W2851" s="7" t="n">
        <f aca="false">IF(AND(T2851=1,P2851&lt;&gt;"",P2851&lt;=Q2851),1,0)</f>
        <v>0</v>
      </c>
    </row>
    <row r="2852" customFormat="false" ht="15" hidden="false" customHeight="false" outlineLevel="0" collapsed="false">
      <c r="A2852" s="7" t="s">
        <v>3365</v>
      </c>
      <c r="B2852" s="7" t="s">
        <v>135</v>
      </c>
      <c r="C2852" s="7" t="s">
        <v>247</v>
      </c>
      <c r="D2852" s="7" t="s">
        <v>95</v>
      </c>
      <c r="E2852" s="7" t="s">
        <v>96</v>
      </c>
      <c r="F2852" s="7" t="s">
        <v>50</v>
      </c>
      <c r="G2852" s="7" t="s">
        <v>20</v>
      </c>
      <c r="H2852" s="9" t="n">
        <v>45962</v>
      </c>
      <c r="I2852" s="9" t="n">
        <v>45981</v>
      </c>
      <c r="J2852" s="7" t="n">
        <v>8.8</v>
      </c>
      <c r="K2852" s="7" t="s">
        <v>3340</v>
      </c>
      <c r="L2852" s="7" t="s">
        <v>21</v>
      </c>
      <c r="M2852" s="7" t="s">
        <v>3370</v>
      </c>
      <c r="N2852" s="7" t="s">
        <v>53</v>
      </c>
      <c r="O2852" s="10" t="n">
        <f aca="false">'Exec Summary'!$E$2-H2852</f>
        <v>272</v>
      </c>
      <c r="P2852" s="10" t="n">
        <f aca="false">IF(I2852="","",I2852-H2852)</f>
        <v>19</v>
      </c>
      <c r="Q2852" s="10" t="n">
        <f aca="false">VLOOKUP(G2852,$AA$2:$AB$5,2,FALSE())</f>
        <v>30</v>
      </c>
      <c r="R2852" s="7" t="n">
        <f aca="false">IF(OR(F2852="Open",F2852="Reopened"),1,0)</f>
        <v>0</v>
      </c>
      <c r="S2852" s="7" t="n">
        <f aca="false">IF(AND(H2852&gt;='Exec Summary'!$E$1,H2852&lt;='Exec Summary'!$E$2),1,0)</f>
        <v>0</v>
      </c>
      <c r="T2852" s="7" t="n">
        <f aca="false">IF(AND(F2852="Closed",I2852&lt;&gt;"",I2852&gt;='Exec Summary'!$E$1,I2852&lt;='Exec Summary'!$E$2),1,0)</f>
        <v>0</v>
      </c>
      <c r="U2852" s="7" t="n">
        <f aca="false">IF(F2852="Reopened",1,0)</f>
        <v>0</v>
      </c>
      <c r="V2852" s="7" t="n">
        <f aca="false">IF(AND(R2852=1,O2852&gt;Q2852),1,0)</f>
        <v>0</v>
      </c>
      <c r="W2852" s="7" t="n">
        <f aca="false">IF(AND(T2852=1,P2852&lt;&gt;"",P2852&lt;=Q2852),1,0)</f>
        <v>0</v>
      </c>
    </row>
    <row r="2853" customFormat="false" ht="15" hidden="false" customHeight="false" outlineLevel="0" collapsed="false">
      <c r="A2853" s="7" t="s">
        <v>3365</v>
      </c>
      <c r="B2853" s="7" t="s">
        <v>135</v>
      </c>
      <c r="C2853" s="7" t="s">
        <v>247</v>
      </c>
      <c r="D2853" s="7" t="s">
        <v>120</v>
      </c>
      <c r="E2853" s="7" t="s">
        <v>121</v>
      </c>
      <c r="F2853" s="7" t="s">
        <v>56</v>
      </c>
      <c r="G2853" s="7" t="s">
        <v>19</v>
      </c>
      <c r="H2853" s="9" t="n">
        <v>46033</v>
      </c>
      <c r="I2853" s="9"/>
      <c r="J2853" s="7" t="n">
        <v>8.8</v>
      </c>
      <c r="K2853" s="7" t="s">
        <v>3340</v>
      </c>
      <c r="L2853" s="7" t="s">
        <v>21</v>
      </c>
      <c r="M2853" s="7" t="s">
        <v>3371</v>
      </c>
      <c r="N2853" s="7" t="s">
        <v>58</v>
      </c>
      <c r="O2853" s="10" t="n">
        <f aca="false">'Exec Summary'!$E$2-H2853</f>
        <v>201</v>
      </c>
      <c r="P2853" s="10" t="str">
        <f aca="false">IF(I2853="","",I2853-H2853)</f>
        <v/>
      </c>
      <c r="Q2853" s="10" t="n">
        <f aca="false">VLOOKUP(G2853,$AA$2:$AB$5,2,FALSE())</f>
        <v>15</v>
      </c>
      <c r="R2853" s="7" t="n">
        <f aca="false">IF(OR(F2853="Open",F2853="Reopened"),1,0)</f>
        <v>1</v>
      </c>
      <c r="S2853" s="7" t="n">
        <f aca="false">IF(AND(H2853&gt;='Exec Summary'!$E$1,H2853&lt;='Exec Summary'!$E$2),1,0)</f>
        <v>0</v>
      </c>
      <c r="T2853" s="7" t="n">
        <f aca="false">IF(AND(F2853="Closed",I2853&lt;&gt;"",I2853&gt;='Exec Summary'!$E$1,I2853&lt;='Exec Summary'!$E$2),1,0)</f>
        <v>0</v>
      </c>
      <c r="U2853" s="7" t="n">
        <f aca="false">IF(F2853="Reopened",1,0)</f>
        <v>0</v>
      </c>
      <c r="V2853" s="7" t="n">
        <f aca="false">IF(AND(R2853=1,O2853&gt;Q2853),1,0)</f>
        <v>1</v>
      </c>
      <c r="W2853" s="7" t="n">
        <f aca="false">IF(AND(T2853=1,P2853&lt;&gt;"",P2853&lt;=Q2853),1,0)</f>
        <v>0</v>
      </c>
    </row>
    <row r="2854" customFormat="false" ht="15" hidden="false" customHeight="false" outlineLevel="0" collapsed="false">
      <c r="A2854" s="7" t="s">
        <v>3365</v>
      </c>
      <c r="B2854" s="7" t="s">
        <v>135</v>
      </c>
      <c r="C2854" s="7" t="s">
        <v>247</v>
      </c>
      <c r="D2854" s="7" t="s">
        <v>104</v>
      </c>
      <c r="E2854" s="7" t="s">
        <v>105</v>
      </c>
      <c r="F2854" s="7" t="s">
        <v>56</v>
      </c>
      <c r="G2854" s="7" t="s">
        <v>19</v>
      </c>
      <c r="H2854" s="9" t="n">
        <v>46104</v>
      </c>
      <c r="I2854" s="9"/>
      <c r="J2854" s="7" t="n">
        <v>9.8</v>
      </c>
      <c r="K2854" s="7" t="s">
        <v>3340</v>
      </c>
      <c r="L2854" s="7" t="s">
        <v>21</v>
      </c>
      <c r="M2854" s="7" t="s">
        <v>3372</v>
      </c>
      <c r="N2854" s="7" t="s">
        <v>58</v>
      </c>
      <c r="O2854" s="10" t="n">
        <f aca="false">'Exec Summary'!$E$2-H2854</f>
        <v>130</v>
      </c>
      <c r="P2854" s="10" t="str">
        <f aca="false">IF(I2854="","",I2854-H2854)</f>
        <v/>
      </c>
      <c r="Q2854" s="10" t="n">
        <f aca="false">VLOOKUP(G2854,$AA$2:$AB$5,2,FALSE())</f>
        <v>15</v>
      </c>
      <c r="R2854" s="7" t="n">
        <f aca="false">IF(OR(F2854="Open",F2854="Reopened"),1,0)</f>
        <v>1</v>
      </c>
      <c r="S2854" s="7" t="n">
        <f aca="false">IF(AND(H2854&gt;='Exec Summary'!$E$1,H2854&lt;='Exec Summary'!$E$2),1,0)</f>
        <v>0</v>
      </c>
      <c r="T2854" s="7" t="n">
        <f aca="false">IF(AND(F2854="Closed",I2854&lt;&gt;"",I2854&gt;='Exec Summary'!$E$1,I2854&lt;='Exec Summary'!$E$2),1,0)</f>
        <v>0</v>
      </c>
      <c r="U2854" s="7" t="n">
        <f aca="false">IF(F2854="Reopened",1,0)</f>
        <v>0</v>
      </c>
      <c r="V2854" s="7" t="n">
        <f aca="false">IF(AND(R2854=1,O2854&gt;Q2854),1,0)</f>
        <v>1</v>
      </c>
      <c r="W2854" s="7" t="n">
        <f aca="false">IF(AND(T2854=1,P2854&lt;&gt;"",P2854&lt;=Q2854),1,0)</f>
        <v>0</v>
      </c>
    </row>
    <row r="2855" customFormat="false" ht="15" hidden="false" customHeight="false" outlineLevel="0" collapsed="false">
      <c r="A2855" s="7" t="s">
        <v>3365</v>
      </c>
      <c r="B2855" s="7" t="s">
        <v>135</v>
      </c>
      <c r="C2855" s="7" t="s">
        <v>247</v>
      </c>
      <c r="D2855" s="7" t="s">
        <v>210</v>
      </c>
      <c r="E2855" s="7" t="s">
        <v>211</v>
      </c>
      <c r="F2855" s="7" t="s">
        <v>56</v>
      </c>
      <c r="G2855" s="7" t="s">
        <v>19</v>
      </c>
      <c r="H2855" s="9" t="n">
        <v>46020</v>
      </c>
      <c r="I2855" s="9"/>
      <c r="J2855" s="7" t="n">
        <v>9.8</v>
      </c>
      <c r="K2855" s="7" t="s">
        <v>3340</v>
      </c>
      <c r="L2855" s="7" t="s">
        <v>21</v>
      </c>
      <c r="M2855" s="7" t="s">
        <v>3373</v>
      </c>
      <c r="N2855" s="7" t="s">
        <v>58</v>
      </c>
      <c r="O2855" s="10" t="n">
        <f aca="false">'Exec Summary'!$E$2-H2855</f>
        <v>214</v>
      </c>
      <c r="P2855" s="10" t="str">
        <f aca="false">IF(I2855="","",I2855-H2855)</f>
        <v/>
      </c>
      <c r="Q2855" s="10" t="n">
        <f aca="false">VLOOKUP(G2855,$AA$2:$AB$5,2,FALSE())</f>
        <v>15</v>
      </c>
      <c r="R2855" s="7" t="n">
        <f aca="false">IF(OR(F2855="Open",F2855="Reopened"),1,0)</f>
        <v>1</v>
      </c>
      <c r="S2855" s="7" t="n">
        <f aca="false">IF(AND(H2855&gt;='Exec Summary'!$E$1,H2855&lt;='Exec Summary'!$E$2),1,0)</f>
        <v>0</v>
      </c>
      <c r="T2855" s="7" t="n">
        <f aca="false">IF(AND(F2855="Closed",I2855&lt;&gt;"",I2855&gt;='Exec Summary'!$E$1,I2855&lt;='Exec Summary'!$E$2),1,0)</f>
        <v>0</v>
      </c>
      <c r="U2855" s="7" t="n">
        <f aca="false">IF(F2855="Reopened",1,0)</f>
        <v>0</v>
      </c>
      <c r="V2855" s="7" t="n">
        <f aca="false">IF(AND(R2855=1,O2855&gt;Q2855),1,0)</f>
        <v>1</v>
      </c>
      <c r="W2855" s="7" t="n">
        <f aca="false">IF(AND(T2855=1,P2855&lt;&gt;"",P2855&lt;=Q2855),1,0)</f>
        <v>0</v>
      </c>
    </row>
    <row r="2856" customFormat="false" ht="15" hidden="false" customHeight="false" outlineLevel="0" collapsed="false">
      <c r="A2856" s="7" t="s">
        <v>3374</v>
      </c>
      <c r="B2856" s="7" t="s">
        <v>46</v>
      </c>
      <c r="C2856" s="7" t="s">
        <v>177</v>
      </c>
      <c r="D2856" s="7" t="s">
        <v>59</v>
      </c>
      <c r="E2856" s="7" t="s">
        <v>60</v>
      </c>
      <c r="F2856" s="7" t="s">
        <v>50</v>
      </c>
      <c r="G2856" s="7" t="s">
        <v>19</v>
      </c>
      <c r="H2856" s="9" t="n">
        <v>46070</v>
      </c>
      <c r="I2856" s="9" t="n">
        <v>46075</v>
      </c>
      <c r="J2856" s="7" t="n">
        <v>7.8</v>
      </c>
      <c r="K2856" s="7" t="s">
        <v>3340</v>
      </c>
      <c r="L2856" s="7" t="s">
        <v>21</v>
      </c>
      <c r="M2856" s="7" t="s">
        <v>3375</v>
      </c>
      <c r="N2856" s="7" t="s">
        <v>58</v>
      </c>
      <c r="O2856" s="10" t="n">
        <f aca="false">'Exec Summary'!$E$2-H2856</f>
        <v>164</v>
      </c>
      <c r="P2856" s="10" t="n">
        <f aca="false">IF(I2856="","",I2856-H2856)</f>
        <v>5</v>
      </c>
      <c r="Q2856" s="10" t="n">
        <f aca="false">VLOOKUP(G2856,$AA$2:$AB$5,2,FALSE())</f>
        <v>15</v>
      </c>
      <c r="R2856" s="7" t="n">
        <f aca="false">IF(OR(F2856="Open",F2856="Reopened"),1,0)</f>
        <v>0</v>
      </c>
      <c r="S2856" s="7" t="n">
        <f aca="false">IF(AND(H2856&gt;='Exec Summary'!$E$1,H2856&lt;='Exec Summary'!$E$2),1,0)</f>
        <v>0</v>
      </c>
      <c r="T2856" s="7" t="n">
        <f aca="false">IF(AND(F2856="Closed",I2856&lt;&gt;"",I2856&gt;='Exec Summary'!$E$1,I2856&lt;='Exec Summary'!$E$2),1,0)</f>
        <v>0</v>
      </c>
      <c r="U2856" s="7" t="n">
        <f aca="false">IF(F2856="Reopened",1,0)</f>
        <v>0</v>
      </c>
      <c r="V2856" s="7" t="n">
        <f aca="false">IF(AND(R2856=1,O2856&gt;Q2856),1,0)</f>
        <v>0</v>
      </c>
      <c r="W2856" s="7" t="n">
        <f aca="false">IF(AND(T2856=1,P2856&lt;&gt;"",P2856&lt;=Q2856),1,0)</f>
        <v>0</v>
      </c>
    </row>
    <row r="2857" customFormat="false" ht="15" hidden="false" customHeight="false" outlineLevel="0" collapsed="false">
      <c r="A2857" s="7" t="s">
        <v>3374</v>
      </c>
      <c r="B2857" s="7" t="s">
        <v>46</v>
      </c>
      <c r="C2857" s="7" t="s">
        <v>177</v>
      </c>
      <c r="D2857" s="7" t="s">
        <v>152</v>
      </c>
      <c r="E2857" s="7" t="s">
        <v>153</v>
      </c>
      <c r="F2857" s="7" t="s">
        <v>56</v>
      </c>
      <c r="G2857" s="7" t="s">
        <v>20</v>
      </c>
      <c r="H2857" s="9" t="n">
        <v>46035</v>
      </c>
      <c r="I2857" s="9"/>
      <c r="J2857" s="7" t="n">
        <v>7.5</v>
      </c>
      <c r="K2857" s="7" t="s">
        <v>3340</v>
      </c>
      <c r="L2857" s="7" t="s">
        <v>21</v>
      </c>
      <c r="M2857" s="7" t="s">
        <v>3376</v>
      </c>
      <c r="N2857" s="7" t="s">
        <v>53</v>
      </c>
      <c r="O2857" s="10" t="n">
        <f aca="false">'Exec Summary'!$E$2-H2857</f>
        <v>199</v>
      </c>
      <c r="P2857" s="10" t="str">
        <f aca="false">IF(I2857="","",I2857-H2857)</f>
        <v/>
      </c>
      <c r="Q2857" s="10" t="n">
        <f aca="false">VLOOKUP(G2857,$AA$2:$AB$5,2,FALSE())</f>
        <v>30</v>
      </c>
      <c r="R2857" s="7" t="n">
        <f aca="false">IF(OR(F2857="Open",F2857="Reopened"),1,0)</f>
        <v>1</v>
      </c>
      <c r="S2857" s="7" t="n">
        <f aca="false">IF(AND(H2857&gt;='Exec Summary'!$E$1,H2857&lt;='Exec Summary'!$E$2),1,0)</f>
        <v>0</v>
      </c>
      <c r="T2857" s="7" t="n">
        <f aca="false">IF(AND(F2857="Closed",I2857&lt;&gt;"",I2857&gt;='Exec Summary'!$E$1,I2857&lt;='Exec Summary'!$E$2),1,0)</f>
        <v>0</v>
      </c>
      <c r="U2857" s="7" t="n">
        <f aca="false">IF(F2857="Reopened",1,0)</f>
        <v>0</v>
      </c>
      <c r="V2857" s="7" t="n">
        <f aca="false">IF(AND(R2857=1,O2857&gt;Q2857),1,0)</f>
        <v>1</v>
      </c>
      <c r="W2857" s="7" t="n">
        <f aca="false">IF(AND(T2857=1,P2857&lt;&gt;"",P2857&lt;=Q2857),1,0)</f>
        <v>0</v>
      </c>
    </row>
    <row r="2858" customFormat="false" ht="15" hidden="false" customHeight="false" outlineLevel="0" collapsed="false">
      <c r="A2858" s="7" t="s">
        <v>3374</v>
      </c>
      <c r="B2858" s="7" t="s">
        <v>46</v>
      </c>
      <c r="C2858" s="7" t="s">
        <v>177</v>
      </c>
      <c r="D2858" s="7" t="s">
        <v>108</v>
      </c>
      <c r="E2858" s="7" t="s">
        <v>109</v>
      </c>
      <c r="F2858" s="7" t="s">
        <v>56</v>
      </c>
      <c r="G2858" s="7" t="s">
        <v>20</v>
      </c>
      <c r="H2858" s="9" t="n">
        <v>46022</v>
      </c>
      <c r="I2858" s="9"/>
      <c r="J2858" s="7" t="n">
        <v>8.6</v>
      </c>
      <c r="K2858" s="7" t="s">
        <v>3340</v>
      </c>
      <c r="L2858" s="7" t="s">
        <v>21</v>
      </c>
      <c r="M2858" s="7" t="s">
        <v>3377</v>
      </c>
      <c r="N2858" s="7" t="s">
        <v>53</v>
      </c>
      <c r="O2858" s="10" t="n">
        <f aca="false">'Exec Summary'!$E$2-H2858</f>
        <v>212</v>
      </c>
      <c r="P2858" s="10" t="str">
        <f aca="false">IF(I2858="","",I2858-H2858)</f>
        <v/>
      </c>
      <c r="Q2858" s="10" t="n">
        <f aca="false">VLOOKUP(G2858,$AA$2:$AB$5,2,FALSE())</f>
        <v>30</v>
      </c>
      <c r="R2858" s="7" t="n">
        <f aca="false">IF(OR(F2858="Open",F2858="Reopened"),1,0)</f>
        <v>1</v>
      </c>
      <c r="S2858" s="7" t="n">
        <f aca="false">IF(AND(H2858&gt;='Exec Summary'!$E$1,H2858&lt;='Exec Summary'!$E$2),1,0)</f>
        <v>0</v>
      </c>
      <c r="T2858" s="7" t="n">
        <f aca="false">IF(AND(F2858="Closed",I2858&lt;&gt;"",I2858&gt;='Exec Summary'!$E$1,I2858&lt;='Exec Summary'!$E$2),1,0)</f>
        <v>0</v>
      </c>
      <c r="U2858" s="7" t="n">
        <f aca="false">IF(F2858="Reopened",1,0)</f>
        <v>0</v>
      </c>
      <c r="V2858" s="7" t="n">
        <f aca="false">IF(AND(R2858=1,O2858&gt;Q2858),1,0)</f>
        <v>1</v>
      </c>
      <c r="W2858" s="7" t="n">
        <f aca="false">IF(AND(T2858=1,P2858&lt;&gt;"",P2858&lt;=Q2858),1,0)</f>
        <v>0</v>
      </c>
    </row>
    <row r="2859" customFormat="false" ht="15" hidden="false" customHeight="false" outlineLevel="0" collapsed="false">
      <c r="A2859" s="7" t="s">
        <v>3374</v>
      </c>
      <c r="B2859" s="7" t="s">
        <v>46</v>
      </c>
      <c r="C2859" s="7" t="s">
        <v>177</v>
      </c>
      <c r="D2859" s="7" t="s">
        <v>68</v>
      </c>
      <c r="E2859" s="7" t="s">
        <v>69</v>
      </c>
      <c r="F2859" s="7" t="s">
        <v>50</v>
      </c>
      <c r="G2859" s="7" t="s">
        <v>19</v>
      </c>
      <c r="H2859" s="9" t="n">
        <v>46093</v>
      </c>
      <c r="I2859" s="9" t="n">
        <v>46100</v>
      </c>
      <c r="J2859" s="7" t="n">
        <v>9.8</v>
      </c>
      <c r="K2859" s="7" t="s">
        <v>3340</v>
      </c>
      <c r="L2859" s="7" t="s">
        <v>21</v>
      </c>
      <c r="M2859" s="7" t="s">
        <v>3378</v>
      </c>
      <c r="N2859" s="7" t="s">
        <v>58</v>
      </c>
      <c r="O2859" s="10" t="n">
        <f aca="false">'Exec Summary'!$E$2-H2859</f>
        <v>141</v>
      </c>
      <c r="P2859" s="10" t="n">
        <f aca="false">IF(I2859="","",I2859-H2859)</f>
        <v>7</v>
      </c>
      <c r="Q2859" s="10" t="n">
        <f aca="false">VLOOKUP(G2859,$AA$2:$AB$5,2,FALSE())</f>
        <v>15</v>
      </c>
      <c r="R2859" s="7" t="n">
        <f aca="false">IF(OR(F2859="Open",F2859="Reopened"),1,0)</f>
        <v>0</v>
      </c>
      <c r="S2859" s="7" t="n">
        <f aca="false">IF(AND(H2859&gt;='Exec Summary'!$E$1,H2859&lt;='Exec Summary'!$E$2),1,0)</f>
        <v>0</v>
      </c>
      <c r="T2859" s="7" t="n">
        <f aca="false">IF(AND(F2859="Closed",I2859&lt;&gt;"",I2859&gt;='Exec Summary'!$E$1,I2859&lt;='Exec Summary'!$E$2),1,0)</f>
        <v>0</v>
      </c>
      <c r="U2859" s="7" t="n">
        <f aca="false">IF(F2859="Reopened",1,0)</f>
        <v>0</v>
      </c>
      <c r="V2859" s="7" t="n">
        <f aca="false">IF(AND(R2859=1,O2859&gt;Q2859),1,0)</f>
        <v>0</v>
      </c>
      <c r="W2859" s="7" t="n">
        <f aca="false">IF(AND(T2859=1,P2859&lt;&gt;"",P2859&lt;=Q2859),1,0)</f>
        <v>0</v>
      </c>
    </row>
    <row r="2860" customFormat="false" ht="15" hidden="false" customHeight="false" outlineLevel="0" collapsed="false">
      <c r="A2860" s="7" t="s">
        <v>3379</v>
      </c>
      <c r="B2860" s="7" t="s">
        <v>46</v>
      </c>
      <c r="C2860" s="7" t="s">
        <v>177</v>
      </c>
      <c r="D2860" s="7" t="s">
        <v>84</v>
      </c>
      <c r="E2860" s="7" t="s">
        <v>85</v>
      </c>
      <c r="F2860" s="7" t="s">
        <v>56</v>
      </c>
      <c r="G2860" s="7" t="s">
        <v>20</v>
      </c>
      <c r="H2860" s="9" t="n">
        <v>45975</v>
      </c>
      <c r="I2860" s="9"/>
      <c r="J2860" s="7" t="n">
        <v>7.5</v>
      </c>
      <c r="K2860" s="7" t="s">
        <v>3340</v>
      </c>
      <c r="L2860" s="7" t="s">
        <v>21</v>
      </c>
      <c r="M2860" s="7" t="s">
        <v>3380</v>
      </c>
      <c r="N2860" s="7" t="s">
        <v>53</v>
      </c>
      <c r="O2860" s="10" t="n">
        <f aca="false">'Exec Summary'!$E$2-H2860</f>
        <v>259</v>
      </c>
      <c r="P2860" s="10" t="str">
        <f aca="false">IF(I2860="","",I2860-H2860)</f>
        <v/>
      </c>
      <c r="Q2860" s="10" t="n">
        <f aca="false">VLOOKUP(G2860,$AA$2:$AB$5,2,FALSE())</f>
        <v>30</v>
      </c>
      <c r="R2860" s="7" t="n">
        <f aca="false">IF(OR(F2860="Open",F2860="Reopened"),1,0)</f>
        <v>1</v>
      </c>
      <c r="S2860" s="7" t="n">
        <f aca="false">IF(AND(H2860&gt;='Exec Summary'!$E$1,H2860&lt;='Exec Summary'!$E$2),1,0)</f>
        <v>0</v>
      </c>
      <c r="T2860" s="7" t="n">
        <f aca="false">IF(AND(F2860="Closed",I2860&lt;&gt;"",I2860&gt;='Exec Summary'!$E$1,I2860&lt;='Exec Summary'!$E$2),1,0)</f>
        <v>0</v>
      </c>
      <c r="U2860" s="7" t="n">
        <f aca="false">IF(F2860="Reopened",1,0)</f>
        <v>0</v>
      </c>
      <c r="V2860" s="7" t="n">
        <f aca="false">IF(AND(R2860=1,O2860&gt;Q2860),1,0)</f>
        <v>1</v>
      </c>
      <c r="W2860" s="7" t="n">
        <f aca="false">IF(AND(T2860=1,P2860&lt;&gt;"",P2860&lt;=Q2860),1,0)</f>
        <v>0</v>
      </c>
    </row>
    <row r="2861" customFormat="false" ht="15" hidden="false" customHeight="false" outlineLevel="0" collapsed="false">
      <c r="A2861" s="7" t="s">
        <v>3379</v>
      </c>
      <c r="B2861" s="7" t="s">
        <v>46</v>
      </c>
      <c r="C2861" s="7" t="s">
        <v>177</v>
      </c>
      <c r="D2861" s="7" t="s">
        <v>48</v>
      </c>
      <c r="E2861" s="7" t="s">
        <v>49</v>
      </c>
      <c r="F2861" s="7" t="s">
        <v>56</v>
      </c>
      <c r="G2861" s="7" t="s">
        <v>20</v>
      </c>
      <c r="H2861" s="9" t="n">
        <v>46091</v>
      </c>
      <c r="I2861" s="9"/>
      <c r="J2861" s="7" t="n">
        <v>7.5</v>
      </c>
      <c r="K2861" s="7" t="s">
        <v>3340</v>
      </c>
      <c r="L2861" s="7" t="s">
        <v>21</v>
      </c>
      <c r="M2861" s="7" t="s">
        <v>3381</v>
      </c>
      <c r="N2861" s="7" t="s">
        <v>53</v>
      </c>
      <c r="O2861" s="10" t="n">
        <f aca="false">'Exec Summary'!$E$2-H2861</f>
        <v>143</v>
      </c>
      <c r="P2861" s="10" t="str">
        <f aca="false">IF(I2861="","",I2861-H2861)</f>
        <v/>
      </c>
      <c r="Q2861" s="10" t="n">
        <f aca="false">VLOOKUP(G2861,$AA$2:$AB$5,2,FALSE())</f>
        <v>30</v>
      </c>
      <c r="R2861" s="7" t="n">
        <f aca="false">IF(OR(F2861="Open",F2861="Reopened"),1,0)</f>
        <v>1</v>
      </c>
      <c r="S2861" s="7" t="n">
        <f aca="false">IF(AND(H2861&gt;='Exec Summary'!$E$1,H2861&lt;='Exec Summary'!$E$2),1,0)</f>
        <v>0</v>
      </c>
      <c r="T2861" s="7" t="n">
        <f aca="false">IF(AND(F2861="Closed",I2861&lt;&gt;"",I2861&gt;='Exec Summary'!$E$1,I2861&lt;='Exec Summary'!$E$2),1,0)</f>
        <v>0</v>
      </c>
      <c r="U2861" s="7" t="n">
        <f aca="false">IF(F2861="Reopened",1,0)</f>
        <v>0</v>
      </c>
      <c r="V2861" s="7" t="n">
        <f aca="false">IF(AND(R2861=1,O2861&gt;Q2861),1,0)</f>
        <v>1</v>
      </c>
      <c r="W2861" s="7" t="n">
        <f aca="false">IF(AND(T2861=1,P2861&lt;&gt;"",P2861&lt;=Q2861),1,0)</f>
        <v>0</v>
      </c>
    </row>
    <row r="2862" customFormat="false" ht="15" hidden="false" customHeight="false" outlineLevel="0" collapsed="false">
      <c r="A2862" s="7" t="s">
        <v>3379</v>
      </c>
      <c r="B2862" s="7" t="s">
        <v>46</v>
      </c>
      <c r="C2862" s="7" t="s">
        <v>177</v>
      </c>
      <c r="D2862" s="7" t="s">
        <v>163</v>
      </c>
      <c r="E2862" s="7" t="s">
        <v>164</v>
      </c>
      <c r="F2862" s="7" t="s">
        <v>50</v>
      </c>
      <c r="G2862" s="7" t="s">
        <v>19</v>
      </c>
      <c r="H2862" s="9" t="n">
        <v>46001</v>
      </c>
      <c r="I2862" s="9" t="n">
        <v>46017</v>
      </c>
      <c r="J2862" s="7" t="n">
        <v>9.1</v>
      </c>
      <c r="K2862" s="7" t="s">
        <v>3340</v>
      </c>
      <c r="L2862" s="7" t="s">
        <v>21</v>
      </c>
      <c r="M2862" s="7" t="s">
        <v>3382</v>
      </c>
      <c r="N2862" s="7" t="s">
        <v>58</v>
      </c>
      <c r="O2862" s="10" t="n">
        <f aca="false">'Exec Summary'!$E$2-H2862</f>
        <v>233</v>
      </c>
      <c r="P2862" s="10" t="n">
        <f aca="false">IF(I2862="","",I2862-H2862)</f>
        <v>16</v>
      </c>
      <c r="Q2862" s="10" t="n">
        <f aca="false">VLOOKUP(G2862,$AA$2:$AB$5,2,FALSE())</f>
        <v>15</v>
      </c>
      <c r="R2862" s="7" t="n">
        <f aca="false">IF(OR(F2862="Open",F2862="Reopened"),1,0)</f>
        <v>0</v>
      </c>
      <c r="S2862" s="7" t="n">
        <f aca="false">IF(AND(H2862&gt;='Exec Summary'!$E$1,H2862&lt;='Exec Summary'!$E$2),1,0)</f>
        <v>0</v>
      </c>
      <c r="T2862" s="7" t="n">
        <f aca="false">IF(AND(F2862="Closed",I2862&lt;&gt;"",I2862&gt;='Exec Summary'!$E$1,I2862&lt;='Exec Summary'!$E$2),1,0)</f>
        <v>0</v>
      </c>
      <c r="U2862" s="7" t="n">
        <f aca="false">IF(F2862="Reopened",1,0)</f>
        <v>0</v>
      </c>
      <c r="V2862" s="7" t="n">
        <f aca="false">IF(AND(R2862=1,O2862&gt;Q2862),1,0)</f>
        <v>0</v>
      </c>
      <c r="W2862" s="7" t="n">
        <f aca="false">IF(AND(T2862=1,P2862&lt;&gt;"",P2862&lt;=Q2862),1,0)</f>
        <v>0</v>
      </c>
    </row>
    <row r="2863" customFormat="false" ht="15" hidden="false" customHeight="false" outlineLevel="0" collapsed="false">
      <c r="A2863" s="7" t="s">
        <v>3379</v>
      </c>
      <c r="B2863" s="7" t="s">
        <v>46</v>
      </c>
      <c r="C2863" s="7" t="s">
        <v>177</v>
      </c>
      <c r="D2863" s="7" t="s">
        <v>71</v>
      </c>
      <c r="E2863" s="7" t="s">
        <v>72</v>
      </c>
      <c r="F2863" s="7" t="s">
        <v>50</v>
      </c>
      <c r="G2863" s="7" t="s">
        <v>19</v>
      </c>
      <c r="H2863" s="9" t="n">
        <v>46025</v>
      </c>
      <c r="I2863" s="9" t="n">
        <v>46029</v>
      </c>
      <c r="J2863" s="7" t="n">
        <v>9.8</v>
      </c>
      <c r="K2863" s="7" t="s">
        <v>3340</v>
      </c>
      <c r="L2863" s="7" t="s">
        <v>21</v>
      </c>
      <c r="M2863" s="7" t="s">
        <v>3383</v>
      </c>
      <c r="N2863" s="7" t="s">
        <v>58</v>
      </c>
      <c r="O2863" s="10" t="n">
        <f aca="false">'Exec Summary'!$E$2-H2863</f>
        <v>209</v>
      </c>
      <c r="P2863" s="10" t="n">
        <f aca="false">IF(I2863="","",I2863-H2863)</f>
        <v>4</v>
      </c>
      <c r="Q2863" s="10" t="n">
        <f aca="false">VLOOKUP(G2863,$AA$2:$AB$5,2,FALSE())</f>
        <v>15</v>
      </c>
      <c r="R2863" s="7" t="n">
        <f aca="false">IF(OR(F2863="Open",F2863="Reopened"),1,0)</f>
        <v>0</v>
      </c>
      <c r="S2863" s="7" t="n">
        <f aca="false">IF(AND(H2863&gt;='Exec Summary'!$E$1,H2863&lt;='Exec Summary'!$E$2),1,0)</f>
        <v>0</v>
      </c>
      <c r="T2863" s="7" t="n">
        <f aca="false">IF(AND(F2863="Closed",I2863&lt;&gt;"",I2863&gt;='Exec Summary'!$E$1,I2863&lt;='Exec Summary'!$E$2),1,0)</f>
        <v>0</v>
      </c>
      <c r="U2863" s="7" t="n">
        <f aca="false">IF(F2863="Reopened",1,0)</f>
        <v>0</v>
      </c>
      <c r="V2863" s="7" t="n">
        <f aca="false">IF(AND(R2863=1,O2863&gt;Q2863),1,0)</f>
        <v>0</v>
      </c>
      <c r="W2863" s="7" t="n">
        <f aca="false">IF(AND(T2863=1,P2863&lt;&gt;"",P2863&lt;=Q2863),1,0)</f>
        <v>0</v>
      </c>
    </row>
    <row r="2864" customFormat="false" ht="15" hidden="false" customHeight="false" outlineLevel="0" collapsed="false">
      <c r="A2864" s="7" t="s">
        <v>3379</v>
      </c>
      <c r="B2864" s="7" t="s">
        <v>46</v>
      </c>
      <c r="C2864" s="7" t="s">
        <v>177</v>
      </c>
      <c r="D2864" s="7" t="s">
        <v>104</v>
      </c>
      <c r="E2864" s="7" t="s">
        <v>105</v>
      </c>
      <c r="F2864" s="7" t="s">
        <v>50</v>
      </c>
      <c r="G2864" s="7" t="s">
        <v>19</v>
      </c>
      <c r="H2864" s="9" t="n">
        <v>46036</v>
      </c>
      <c r="I2864" s="9" t="n">
        <v>46044</v>
      </c>
      <c r="J2864" s="7" t="n">
        <v>9.8</v>
      </c>
      <c r="K2864" s="7" t="s">
        <v>3340</v>
      </c>
      <c r="L2864" s="7" t="s">
        <v>21</v>
      </c>
      <c r="M2864" s="7" t="s">
        <v>3384</v>
      </c>
      <c r="N2864" s="7" t="s">
        <v>58</v>
      </c>
      <c r="O2864" s="10" t="n">
        <f aca="false">'Exec Summary'!$E$2-H2864</f>
        <v>198</v>
      </c>
      <c r="P2864" s="10" t="n">
        <f aca="false">IF(I2864="","",I2864-H2864)</f>
        <v>8</v>
      </c>
      <c r="Q2864" s="10" t="n">
        <f aca="false">VLOOKUP(G2864,$AA$2:$AB$5,2,FALSE())</f>
        <v>15</v>
      </c>
      <c r="R2864" s="7" t="n">
        <f aca="false">IF(OR(F2864="Open",F2864="Reopened"),1,0)</f>
        <v>0</v>
      </c>
      <c r="S2864" s="7" t="n">
        <f aca="false">IF(AND(H2864&gt;='Exec Summary'!$E$1,H2864&lt;='Exec Summary'!$E$2),1,0)</f>
        <v>0</v>
      </c>
      <c r="T2864" s="7" t="n">
        <f aca="false">IF(AND(F2864="Closed",I2864&lt;&gt;"",I2864&gt;='Exec Summary'!$E$1,I2864&lt;='Exec Summary'!$E$2),1,0)</f>
        <v>0</v>
      </c>
      <c r="U2864" s="7" t="n">
        <f aca="false">IF(F2864="Reopened",1,0)</f>
        <v>0</v>
      </c>
      <c r="V2864" s="7" t="n">
        <f aca="false">IF(AND(R2864=1,O2864&gt;Q2864),1,0)</f>
        <v>0</v>
      </c>
      <c r="W2864" s="7" t="n">
        <f aca="false">IF(AND(T2864=1,P2864&lt;&gt;"",P2864&lt;=Q2864),1,0)</f>
        <v>0</v>
      </c>
    </row>
    <row r="2865" customFormat="false" ht="15" hidden="false" customHeight="false" outlineLevel="0" collapsed="false">
      <c r="A2865" s="7" t="s">
        <v>3379</v>
      </c>
      <c r="B2865" s="7" t="s">
        <v>46</v>
      </c>
      <c r="C2865" s="7" t="s">
        <v>177</v>
      </c>
      <c r="D2865" s="7" t="s">
        <v>101</v>
      </c>
      <c r="E2865" s="7" t="s">
        <v>102</v>
      </c>
      <c r="F2865" s="7" t="s">
        <v>50</v>
      </c>
      <c r="G2865" s="7" t="s">
        <v>19</v>
      </c>
      <c r="H2865" s="9" t="n">
        <v>46069</v>
      </c>
      <c r="I2865" s="9" t="n">
        <v>46076</v>
      </c>
      <c r="J2865" s="7" t="n">
        <v>10</v>
      </c>
      <c r="K2865" s="7" t="s">
        <v>3340</v>
      </c>
      <c r="L2865" s="7" t="s">
        <v>21</v>
      </c>
      <c r="M2865" s="7" t="s">
        <v>3385</v>
      </c>
      <c r="N2865" s="7" t="s">
        <v>58</v>
      </c>
      <c r="O2865" s="10" t="n">
        <f aca="false">'Exec Summary'!$E$2-H2865</f>
        <v>165</v>
      </c>
      <c r="P2865" s="10" t="n">
        <f aca="false">IF(I2865="","",I2865-H2865)</f>
        <v>7</v>
      </c>
      <c r="Q2865" s="10" t="n">
        <f aca="false">VLOOKUP(G2865,$AA$2:$AB$5,2,FALSE())</f>
        <v>15</v>
      </c>
      <c r="R2865" s="7" t="n">
        <f aca="false">IF(OR(F2865="Open",F2865="Reopened"),1,0)</f>
        <v>0</v>
      </c>
      <c r="S2865" s="7" t="n">
        <f aca="false">IF(AND(H2865&gt;='Exec Summary'!$E$1,H2865&lt;='Exec Summary'!$E$2),1,0)</f>
        <v>0</v>
      </c>
      <c r="T2865" s="7" t="n">
        <f aca="false">IF(AND(F2865="Closed",I2865&lt;&gt;"",I2865&gt;='Exec Summary'!$E$1,I2865&lt;='Exec Summary'!$E$2),1,0)</f>
        <v>0</v>
      </c>
      <c r="U2865" s="7" t="n">
        <f aca="false">IF(F2865="Reopened",1,0)</f>
        <v>0</v>
      </c>
      <c r="V2865" s="7" t="n">
        <f aca="false">IF(AND(R2865=1,O2865&gt;Q2865),1,0)</f>
        <v>0</v>
      </c>
      <c r="W2865" s="7" t="n">
        <f aca="false">IF(AND(T2865=1,P2865&lt;&gt;"",P2865&lt;=Q2865),1,0)</f>
        <v>0</v>
      </c>
    </row>
    <row r="2866" customFormat="false" ht="15" hidden="false" customHeight="false" outlineLevel="0" collapsed="false">
      <c r="A2866" s="7" t="s">
        <v>3379</v>
      </c>
      <c r="B2866" s="7" t="s">
        <v>46</v>
      </c>
      <c r="C2866" s="7" t="s">
        <v>177</v>
      </c>
      <c r="D2866" s="7" t="s">
        <v>210</v>
      </c>
      <c r="E2866" s="7" t="s">
        <v>211</v>
      </c>
      <c r="F2866" s="7" t="s">
        <v>56</v>
      </c>
      <c r="G2866" s="7" t="s">
        <v>19</v>
      </c>
      <c r="H2866" s="9" t="n">
        <v>46164</v>
      </c>
      <c r="I2866" s="9"/>
      <c r="J2866" s="7" t="n">
        <v>9.8</v>
      </c>
      <c r="K2866" s="7" t="s">
        <v>3340</v>
      </c>
      <c r="L2866" s="7" t="s">
        <v>21</v>
      </c>
      <c r="M2866" s="7" t="s">
        <v>3386</v>
      </c>
      <c r="N2866" s="7" t="s">
        <v>58</v>
      </c>
      <c r="O2866" s="10" t="n">
        <f aca="false">'Exec Summary'!$E$2-H2866</f>
        <v>70</v>
      </c>
      <c r="P2866" s="10" t="str">
        <f aca="false">IF(I2866="","",I2866-H2866)</f>
        <v/>
      </c>
      <c r="Q2866" s="10" t="n">
        <f aca="false">VLOOKUP(G2866,$AA$2:$AB$5,2,FALSE())</f>
        <v>15</v>
      </c>
      <c r="R2866" s="7" t="n">
        <f aca="false">IF(OR(F2866="Open",F2866="Reopened"),1,0)</f>
        <v>1</v>
      </c>
      <c r="S2866" s="7" t="n">
        <f aca="false">IF(AND(H2866&gt;='Exec Summary'!$E$1,H2866&lt;='Exec Summary'!$E$2),1,0)</f>
        <v>0</v>
      </c>
      <c r="T2866" s="7" t="n">
        <f aca="false">IF(AND(F2866="Closed",I2866&lt;&gt;"",I2866&gt;='Exec Summary'!$E$1,I2866&lt;='Exec Summary'!$E$2),1,0)</f>
        <v>0</v>
      </c>
      <c r="U2866" s="7" t="n">
        <f aca="false">IF(F2866="Reopened",1,0)</f>
        <v>0</v>
      </c>
      <c r="V2866" s="7" t="n">
        <f aca="false">IF(AND(R2866=1,O2866&gt;Q2866),1,0)</f>
        <v>1</v>
      </c>
      <c r="W2866" s="7" t="n">
        <f aca="false">IF(AND(T2866=1,P2866&lt;&gt;"",P2866&lt;=Q2866),1,0)</f>
        <v>0</v>
      </c>
    </row>
    <row r="2867" customFormat="false" ht="15" hidden="false" customHeight="false" outlineLevel="0" collapsed="false">
      <c r="A2867" s="7" t="s">
        <v>3379</v>
      </c>
      <c r="B2867" s="7" t="s">
        <v>46</v>
      </c>
      <c r="C2867" s="7" t="s">
        <v>177</v>
      </c>
      <c r="D2867" s="7" t="s">
        <v>152</v>
      </c>
      <c r="E2867" s="7" t="s">
        <v>153</v>
      </c>
      <c r="F2867" s="7" t="s">
        <v>56</v>
      </c>
      <c r="G2867" s="7" t="s">
        <v>20</v>
      </c>
      <c r="H2867" s="9" t="n">
        <v>45952</v>
      </c>
      <c r="I2867" s="9"/>
      <c r="J2867" s="7" t="n">
        <v>7.5</v>
      </c>
      <c r="K2867" s="7" t="s">
        <v>3340</v>
      </c>
      <c r="L2867" s="7" t="s">
        <v>21</v>
      </c>
      <c r="M2867" s="7" t="s">
        <v>3387</v>
      </c>
      <c r="N2867" s="7" t="s">
        <v>53</v>
      </c>
      <c r="O2867" s="10" t="n">
        <f aca="false">'Exec Summary'!$E$2-H2867</f>
        <v>282</v>
      </c>
      <c r="P2867" s="10" t="str">
        <f aca="false">IF(I2867="","",I2867-H2867)</f>
        <v/>
      </c>
      <c r="Q2867" s="10" t="n">
        <f aca="false">VLOOKUP(G2867,$AA$2:$AB$5,2,FALSE())</f>
        <v>30</v>
      </c>
      <c r="R2867" s="7" t="n">
        <f aca="false">IF(OR(F2867="Open",F2867="Reopened"),1,0)</f>
        <v>1</v>
      </c>
      <c r="S2867" s="7" t="n">
        <f aca="false">IF(AND(H2867&gt;='Exec Summary'!$E$1,H2867&lt;='Exec Summary'!$E$2),1,0)</f>
        <v>0</v>
      </c>
      <c r="T2867" s="7" t="n">
        <f aca="false">IF(AND(F2867="Closed",I2867&lt;&gt;"",I2867&gt;='Exec Summary'!$E$1,I2867&lt;='Exec Summary'!$E$2),1,0)</f>
        <v>0</v>
      </c>
      <c r="U2867" s="7" t="n">
        <f aca="false">IF(F2867="Reopened",1,0)</f>
        <v>0</v>
      </c>
      <c r="V2867" s="7" t="n">
        <f aca="false">IF(AND(R2867=1,O2867&gt;Q2867),1,0)</f>
        <v>1</v>
      </c>
      <c r="W2867" s="7" t="n">
        <f aca="false">IF(AND(T2867=1,P2867&lt;&gt;"",P2867&lt;=Q2867),1,0)</f>
        <v>0</v>
      </c>
    </row>
    <row r="2868" customFormat="false" ht="15" hidden="false" customHeight="false" outlineLevel="0" collapsed="false">
      <c r="A2868" s="7" t="s">
        <v>3379</v>
      </c>
      <c r="B2868" s="7" t="s">
        <v>46</v>
      </c>
      <c r="C2868" s="7" t="s">
        <v>177</v>
      </c>
      <c r="D2868" s="7" t="s">
        <v>98</v>
      </c>
      <c r="E2868" s="7" t="s">
        <v>99</v>
      </c>
      <c r="F2868" s="7" t="s">
        <v>50</v>
      </c>
      <c r="G2868" s="7" t="s">
        <v>19</v>
      </c>
      <c r="H2868" s="9" t="n">
        <v>46013</v>
      </c>
      <c r="I2868" s="9" t="n">
        <v>46029</v>
      </c>
      <c r="J2868" s="7" t="n">
        <v>10</v>
      </c>
      <c r="K2868" s="7" t="s">
        <v>3340</v>
      </c>
      <c r="L2868" s="7" t="s">
        <v>21</v>
      </c>
      <c r="M2868" s="7" t="s">
        <v>3388</v>
      </c>
      <c r="N2868" s="7" t="s">
        <v>58</v>
      </c>
      <c r="O2868" s="10" t="n">
        <f aca="false">'Exec Summary'!$E$2-H2868</f>
        <v>221</v>
      </c>
      <c r="P2868" s="10" t="n">
        <f aca="false">IF(I2868="","",I2868-H2868)</f>
        <v>16</v>
      </c>
      <c r="Q2868" s="10" t="n">
        <f aca="false">VLOOKUP(G2868,$AA$2:$AB$5,2,FALSE())</f>
        <v>15</v>
      </c>
      <c r="R2868" s="7" t="n">
        <f aca="false">IF(OR(F2868="Open",F2868="Reopened"),1,0)</f>
        <v>0</v>
      </c>
      <c r="S2868" s="7" t="n">
        <f aca="false">IF(AND(H2868&gt;='Exec Summary'!$E$1,H2868&lt;='Exec Summary'!$E$2),1,0)</f>
        <v>0</v>
      </c>
      <c r="T2868" s="7" t="n">
        <f aca="false">IF(AND(F2868="Closed",I2868&lt;&gt;"",I2868&gt;='Exec Summary'!$E$1,I2868&lt;='Exec Summary'!$E$2),1,0)</f>
        <v>0</v>
      </c>
      <c r="U2868" s="7" t="n">
        <f aca="false">IF(F2868="Reopened",1,0)</f>
        <v>0</v>
      </c>
      <c r="V2868" s="7" t="n">
        <f aca="false">IF(AND(R2868=1,O2868&gt;Q2868),1,0)</f>
        <v>0</v>
      </c>
      <c r="W2868" s="7" t="n">
        <f aca="false">IF(AND(T2868=1,P2868&lt;&gt;"",P2868&lt;=Q2868),1,0)</f>
        <v>0</v>
      </c>
    </row>
    <row r="2869" customFormat="false" ht="15" hidden="false" customHeight="false" outlineLevel="0" collapsed="false">
      <c r="A2869" s="7" t="s">
        <v>3379</v>
      </c>
      <c r="B2869" s="7" t="s">
        <v>46</v>
      </c>
      <c r="C2869" s="7" t="s">
        <v>177</v>
      </c>
      <c r="D2869" s="7" t="s">
        <v>120</v>
      </c>
      <c r="E2869" s="7" t="s">
        <v>121</v>
      </c>
      <c r="F2869" s="7" t="s">
        <v>56</v>
      </c>
      <c r="G2869" s="7" t="s">
        <v>19</v>
      </c>
      <c r="H2869" s="9" t="n">
        <v>46111</v>
      </c>
      <c r="I2869" s="9"/>
      <c r="J2869" s="7" t="n">
        <v>8.8</v>
      </c>
      <c r="K2869" s="7" t="s">
        <v>3340</v>
      </c>
      <c r="L2869" s="7" t="s">
        <v>21</v>
      </c>
      <c r="M2869" s="7" t="s">
        <v>3389</v>
      </c>
      <c r="N2869" s="7" t="s">
        <v>58</v>
      </c>
      <c r="O2869" s="10" t="n">
        <f aca="false">'Exec Summary'!$E$2-H2869</f>
        <v>123</v>
      </c>
      <c r="P2869" s="10" t="str">
        <f aca="false">IF(I2869="","",I2869-H2869)</f>
        <v/>
      </c>
      <c r="Q2869" s="10" t="n">
        <f aca="false">VLOOKUP(G2869,$AA$2:$AB$5,2,FALSE())</f>
        <v>15</v>
      </c>
      <c r="R2869" s="7" t="n">
        <f aca="false">IF(OR(F2869="Open",F2869="Reopened"),1,0)</f>
        <v>1</v>
      </c>
      <c r="S2869" s="7" t="n">
        <f aca="false">IF(AND(H2869&gt;='Exec Summary'!$E$1,H2869&lt;='Exec Summary'!$E$2),1,0)</f>
        <v>0</v>
      </c>
      <c r="T2869" s="7" t="n">
        <f aca="false">IF(AND(F2869="Closed",I2869&lt;&gt;"",I2869&gt;='Exec Summary'!$E$1,I2869&lt;='Exec Summary'!$E$2),1,0)</f>
        <v>0</v>
      </c>
      <c r="U2869" s="7" t="n">
        <f aca="false">IF(F2869="Reopened",1,0)</f>
        <v>0</v>
      </c>
      <c r="V2869" s="7" t="n">
        <f aca="false">IF(AND(R2869=1,O2869&gt;Q2869),1,0)</f>
        <v>1</v>
      </c>
      <c r="W2869" s="7" t="n">
        <f aca="false">IF(AND(T2869=1,P2869&lt;&gt;"",P2869&lt;=Q2869),1,0)</f>
        <v>0</v>
      </c>
    </row>
    <row r="2870" customFormat="false" ht="15" hidden="false" customHeight="false" outlineLevel="0" collapsed="false">
      <c r="A2870" s="7" t="s">
        <v>3379</v>
      </c>
      <c r="B2870" s="7" t="s">
        <v>46</v>
      </c>
      <c r="C2870" s="7" t="s">
        <v>177</v>
      </c>
      <c r="D2870" s="7" t="s">
        <v>166</v>
      </c>
      <c r="E2870" s="7" t="s">
        <v>167</v>
      </c>
      <c r="F2870" s="7" t="s">
        <v>50</v>
      </c>
      <c r="G2870" s="7" t="s">
        <v>19</v>
      </c>
      <c r="H2870" s="9" t="n">
        <v>46040</v>
      </c>
      <c r="I2870" s="9" t="n">
        <v>46059</v>
      </c>
      <c r="J2870" s="7" t="n">
        <v>9.8</v>
      </c>
      <c r="K2870" s="7" t="s">
        <v>3340</v>
      </c>
      <c r="L2870" s="7" t="s">
        <v>21</v>
      </c>
      <c r="M2870" s="7" t="s">
        <v>3390</v>
      </c>
      <c r="N2870" s="7" t="s">
        <v>58</v>
      </c>
      <c r="O2870" s="10" t="n">
        <f aca="false">'Exec Summary'!$E$2-H2870</f>
        <v>194</v>
      </c>
      <c r="P2870" s="10" t="n">
        <f aca="false">IF(I2870="","",I2870-H2870)</f>
        <v>19</v>
      </c>
      <c r="Q2870" s="10" t="n">
        <f aca="false">VLOOKUP(G2870,$AA$2:$AB$5,2,FALSE())</f>
        <v>15</v>
      </c>
      <c r="R2870" s="7" t="n">
        <f aca="false">IF(OR(F2870="Open",F2870="Reopened"),1,0)</f>
        <v>0</v>
      </c>
      <c r="S2870" s="7" t="n">
        <f aca="false">IF(AND(H2870&gt;='Exec Summary'!$E$1,H2870&lt;='Exec Summary'!$E$2),1,0)</f>
        <v>0</v>
      </c>
      <c r="T2870" s="7" t="n">
        <f aca="false">IF(AND(F2870="Closed",I2870&lt;&gt;"",I2870&gt;='Exec Summary'!$E$1,I2870&lt;='Exec Summary'!$E$2),1,0)</f>
        <v>0</v>
      </c>
      <c r="U2870" s="7" t="n">
        <f aca="false">IF(F2870="Reopened",1,0)</f>
        <v>0</v>
      </c>
      <c r="V2870" s="7" t="n">
        <f aca="false">IF(AND(R2870=1,O2870&gt;Q2870),1,0)</f>
        <v>0</v>
      </c>
      <c r="W2870" s="7" t="n">
        <f aca="false">IF(AND(T2870=1,P2870&lt;&gt;"",P2870&lt;=Q2870),1,0)</f>
        <v>0</v>
      </c>
    </row>
    <row r="2871" customFormat="false" ht="15" hidden="false" customHeight="false" outlineLevel="0" collapsed="false">
      <c r="A2871" s="7" t="s">
        <v>3379</v>
      </c>
      <c r="B2871" s="7" t="s">
        <v>46</v>
      </c>
      <c r="C2871" s="7" t="s">
        <v>177</v>
      </c>
      <c r="D2871" s="7" t="s">
        <v>112</v>
      </c>
      <c r="E2871" s="7" t="s">
        <v>113</v>
      </c>
      <c r="F2871" s="7" t="s">
        <v>50</v>
      </c>
      <c r="G2871" s="7" t="s">
        <v>20</v>
      </c>
      <c r="H2871" s="9" t="n">
        <v>45980</v>
      </c>
      <c r="I2871" s="9" t="n">
        <v>45999</v>
      </c>
      <c r="J2871" s="7" t="n">
        <v>7.8</v>
      </c>
      <c r="K2871" s="7" t="s">
        <v>3340</v>
      </c>
      <c r="L2871" s="7" t="s">
        <v>21</v>
      </c>
      <c r="M2871" s="7" t="s">
        <v>3391</v>
      </c>
      <c r="N2871" s="7" t="s">
        <v>53</v>
      </c>
      <c r="O2871" s="10" t="n">
        <f aca="false">'Exec Summary'!$E$2-H2871</f>
        <v>254</v>
      </c>
      <c r="P2871" s="10" t="n">
        <f aca="false">IF(I2871="","",I2871-H2871)</f>
        <v>19</v>
      </c>
      <c r="Q2871" s="10" t="n">
        <f aca="false">VLOOKUP(G2871,$AA$2:$AB$5,2,FALSE())</f>
        <v>30</v>
      </c>
      <c r="R2871" s="7" t="n">
        <f aca="false">IF(OR(F2871="Open",F2871="Reopened"),1,0)</f>
        <v>0</v>
      </c>
      <c r="S2871" s="7" t="n">
        <f aca="false">IF(AND(H2871&gt;='Exec Summary'!$E$1,H2871&lt;='Exec Summary'!$E$2),1,0)</f>
        <v>0</v>
      </c>
      <c r="T2871" s="7" t="n">
        <f aca="false">IF(AND(F2871="Closed",I2871&lt;&gt;"",I2871&gt;='Exec Summary'!$E$1,I2871&lt;='Exec Summary'!$E$2),1,0)</f>
        <v>0</v>
      </c>
      <c r="U2871" s="7" t="n">
        <f aca="false">IF(F2871="Reopened",1,0)</f>
        <v>0</v>
      </c>
      <c r="V2871" s="7" t="n">
        <f aca="false">IF(AND(R2871=1,O2871&gt;Q2871),1,0)</f>
        <v>0</v>
      </c>
      <c r="W2871" s="7" t="n">
        <f aca="false">IF(AND(T2871=1,P2871&lt;&gt;"",P2871&lt;=Q2871),1,0)</f>
        <v>0</v>
      </c>
    </row>
    <row r="2872" customFormat="false" ht="15" hidden="false" customHeight="false" outlineLevel="0" collapsed="false">
      <c r="A2872" s="7" t="s">
        <v>3392</v>
      </c>
      <c r="B2872" s="7" t="s">
        <v>46</v>
      </c>
      <c r="C2872" s="7" t="s">
        <v>158</v>
      </c>
      <c r="D2872" s="7" t="s">
        <v>163</v>
      </c>
      <c r="E2872" s="7" t="s">
        <v>164</v>
      </c>
      <c r="F2872" s="7" t="s">
        <v>56</v>
      </c>
      <c r="G2872" s="7" t="s">
        <v>19</v>
      </c>
      <c r="H2872" s="9" t="n">
        <v>46117</v>
      </c>
      <c r="I2872" s="9"/>
      <c r="J2872" s="7" t="n">
        <v>9.1</v>
      </c>
      <c r="K2872" s="7" t="s">
        <v>3340</v>
      </c>
      <c r="L2872" s="7" t="s">
        <v>20</v>
      </c>
      <c r="M2872" s="7" t="s">
        <v>3393</v>
      </c>
      <c r="N2872" s="7" t="s">
        <v>58</v>
      </c>
      <c r="O2872" s="10" t="n">
        <f aca="false">'Exec Summary'!$E$2-H2872</f>
        <v>117</v>
      </c>
      <c r="P2872" s="10" t="str">
        <f aca="false">IF(I2872="","",I2872-H2872)</f>
        <v/>
      </c>
      <c r="Q2872" s="10" t="n">
        <f aca="false">VLOOKUP(G2872,$AA$2:$AB$5,2,FALSE())</f>
        <v>15</v>
      </c>
      <c r="R2872" s="7" t="n">
        <f aca="false">IF(OR(F2872="Open",F2872="Reopened"),1,0)</f>
        <v>1</v>
      </c>
      <c r="S2872" s="7" t="n">
        <f aca="false">IF(AND(H2872&gt;='Exec Summary'!$E$1,H2872&lt;='Exec Summary'!$E$2),1,0)</f>
        <v>0</v>
      </c>
      <c r="T2872" s="7" t="n">
        <f aca="false">IF(AND(F2872="Closed",I2872&lt;&gt;"",I2872&gt;='Exec Summary'!$E$1,I2872&lt;='Exec Summary'!$E$2),1,0)</f>
        <v>0</v>
      </c>
      <c r="U2872" s="7" t="n">
        <f aca="false">IF(F2872="Reopened",1,0)</f>
        <v>0</v>
      </c>
      <c r="V2872" s="7" t="n">
        <f aca="false">IF(AND(R2872=1,O2872&gt;Q2872),1,0)</f>
        <v>1</v>
      </c>
      <c r="W2872" s="7" t="n">
        <f aca="false">IF(AND(T2872=1,P2872&lt;&gt;"",P2872&lt;=Q2872),1,0)</f>
        <v>0</v>
      </c>
    </row>
    <row r="2873" customFormat="false" ht="15" hidden="false" customHeight="false" outlineLevel="0" collapsed="false">
      <c r="A2873" s="7" t="s">
        <v>3392</v>
      </c>
      <c r="B2873" s="7" t="s">
        <v>46</v>
      </c>
      <c r="C2873" s="7" t="s">
        <v>158</v>
      </c>
      <c r="D2873" s="7" t="s">
        <v>166</v>
      </c>
      <c r="E2873" s="7" t="s">
        <v>167</v>
      </c>
      <c r="F2873" s="7" t="s">
        <v>50</v>
      </c>
      <c r="G2873" s="7" t="s">
        <v>19</v>
      </c>
      <c r="H2873" s="9" t="n">
        <v>46015</v>
      </c>
      <c r="I2873" s="9" t="n">
        <v>46021</v>
      </c>
      <c r="J2873" s="7" t="n">
        <v>9.8</v>
      </c>
      <c r="K2873" s="7" t="s">
        <v>3340</v>
      </c>
      <c r="L2873" s="7" t="s">
        <v>20</v>
      </c>
      <c r="M2873" s="7" t="s">
        <v>3394</v>
      </c>
      <c r="N2873" s="7" t="s">
        <v>58</v>
      </c>
      <c r="O2873" s="10" t="n">
        <f aca="false">'Exec Summary'!$E$2-H2873</f>
        <v>219</v>
      </c>
      <c r="P2873" s="10" t="n">
        <f aca="false">IF(I2873="","",I2873-H2873)</f>
        <v>6</v>
      </c>
      <c r="Q2873" s="10" t="n">
        <f aca="false">VLOOKUP(G2873,$AA$2:$AB$5,2,FALSE())</f>
        <v>15</v>
      </c>
      <c r="R2873" s="7" t="n">
        <f aca="false">IF(OR(F2873="Open",F2873="Reopened"),1,0)</f>
        <v>0</v>
      </c>
      <c r="S2873" s="7" t="n">
        <f aca="false">IF(AND(H2873&gt;='Exec Summary'!$E$1,H2873&lt;='Exec Summary'!$E$2),1,0)</f>
        <v>0</v>
      </c>
      <c r="T2873" s="7" t="n">
        <f aca="false">IF(AND(F2873="Closed",I2873&lt;&gt;"",I2873&gt;='Exec Summary'!$E$1,I2873&lt;='Exec Summary'!$E$2),1,0)</f>
        <v>0</v>
      </c>
      <c r="U2873" s="7" t="n">
        <f aca="false">IF(F2873="Reopened",1,0)</f>
        <v>0</v>
      </c>
      <c r="V2873" s="7" t="n">
        <f aca="false">IF(AND(R2873=1,O2873&gt;Q2873),1,0)</f>
        <v>0</v>
      </c>
      <c r="W2873" s="7" t="n">
        <f aca="false">IF(AND(T2873=1,P2873&lt;&gt;"",P2873&lt;=Q2873),1,0)</f>
        <v>0</v>
      </c>
    </row>
    <row r="2874" customFormat="false" ht="15" hidden="false" customHeight="false" outlineLevel="0" collapsed="false">
      <c r="A2874" s="7" t="s">
        <v>3392</v>
      </c>
      <c r="B2874" s="7" t="s">
        <v>46</v>
      </c>
      <c r="C2874" s="7" t="s">
        <v>158</v>
      </c>
      <c r="D2874" s="7" t="s">
        <v>71</v>
      </c>
      <c r="E2874" s="7" t="s">
        <v>72</v>
      </c>
      <c r="F2874" s="7" t="s">
        <v>50</v>
      </c>
      <c r="G2874" s="7" t="s">
        <v>19</v>
      </c>
      <c r="H2874" s="9" t="n">
        <v>46090</v>
      </c>
      <c r="I2874" s="9" t="n">
        <v>46109</v>
      </c>
      <c r="J2874" s="7" t="n">
        <v>9.8</v>
      </c>
      <c r="K2874" s="7" t="s">
        <v>3340</v>
      </c>
      <c r="L2874" s="7" t="s">
        <v>20</v>
      </c>
      <c r="M2874" s="7" t="s">
        <v>3395</v>
      </c>
      <c r="N2874" s="7" t="s">
        <v>58</v>
      </c>
      <c r="O2874" s="10" t="n">
        <f aca="false">'Exec Summary'!$E$2-H2874</f>
        <v>144</v>
      </c>
      <c r="P2874" s="10" t="n">
        <f aca="false">IF(I2874="","",I2874-H2874)</f>
        <v>19</v>
      </c>
      <c r="Q2874" s="10" t="n">
        <f aca="false">VLOOKUP(G2874,$AA$2:$AB$5,2,FALSE())</f>
        <v>15</v>
      </c>
      <c r="R2874" s="7" t="n">
        <f aca="false">IF(OR(F2874="Open",F2874="Reopened"),1,0)</f>
        <v>0</v>
      </c>
      <c r="S2874" s="7" t="n">
        <f aca="false">IF(AND(H2874&gt;='Exec Summary'!$E$1,H2874&lt;='Exec Summary'!$E$2),1,0)</f>
        <v>0</v>
      </c>
      <c r="T2874" s="7" t="n">
        <f aca="false">IF(AND(F2874="Closed",I2874&lt;&gt;"",I2874&gt;='Exec Summary'!$E$1,I2874&lt;='Exec Summary'!$E$2),1,0)</f>
        <v>0</v>
      </c>
      <c r="U2874" s="7" t="n">
        <f aca="false">IF(F2874="Reopened",1,0)</f>
        <v>0</v>
      </c>
      <c r="V2874" s="7" t="n">
        <f aca="false">IF(AND(R2874=1,O2874&gt;Q2874),1,0)</f>
        <v>0</v>
      </c>
      <c r="W2874" s="7" t="n">
        <f aca="false">IF(AND(T2874=1,P2874&lt;&gt;"",P2874&lt;=Q2874),1,0)</f>
        <v>0</v>
      </c>
    </row>
    <row r="2875" customFormat="false" ht="15" hidden="false" customHeight="false" outlineLevel="0" collapsed="false">
      <c r="A2875" s="7" t="s">
        <v>3392</v>
      </c>
      <c r="B2875" s="7" t="s">
        <v>46</v>
      </c>
      <c r="C2875" s="7" t="s">
        <v>158</v>
      </c>
      <c r="D2875" s="7" t="s">
        <v>145</v>
      </c>
      <c r="E2875" s="7" t="s">
        <v>146</v>
      </c>
      <c r="F2875" s="7" t="s">
        <v>56</v>
      </c>
      <c r="G2875" s="7" t="s">
        <v>19</v>
      </c>
      <c r="H2875" s="9" t="n">
        <v>46158</v>
      </c>
      <c r="I2875" s="9"/>
      <c r="J2875" s="7" t="n">
        <v>9.8</v>
      </c>
      <c r="K2875" s="7" t="s">
        <v>3340</v>
      </c>
      <c r="L2875" s="7" t="s">
        <v>20</v>
      </c>
      <c r="M2875" s="7" t="s">
        <v>3396</v>
      </c>
      <c r="N2875" s="7" t="s">
        <v>58</v>
      </c>
      <c r="O2875" s="10" t="n">
        <f aca="false">'Exec Summary'!$E$2-H2875</f>
        <v>76</v>
      </c>
      <c r="P2875" s="10" t="str">
        <f aca="false">IF(I2875="","",I2875-H2875)</f>
        <v/>
      </c>
      <c r="Q2875" s="10" t="n">
        <f aca="false">VLOOKUP(G2875,$AA$2:$AB$5,2,FALSE())</f>
        <v>15</v>
      </c>
      <c r="R2875" s="7" t="n">
        <f aca="false">IF(OR(F2875="Open",F2875="Reopened"),1,0)</f>
        <v>1</v>
      </c>
      <c r="S2875" s="7" t="n">
        <f aca="false">IF(AND(H2875&gt;='Exec Summary'!$E$1,H2875&lt;='Exec Summary'!$E$2),1,0)</f>
        <v>0</v>
      </c>
      <c r="T2875" s="7" t="n">
        <f aca="false">IF(AND(F2875="Closed",I2875&lt;&gt;"",I2875&gt;='Exec Summary'!$E$1,I2875&lt;='Exec Summary'!$E$2),1,0)</f>
        <v>0</v>
      </c>
      <c r="U2875" s="7" t="n">
        <f aca="false">IF(F2875="Reopened",1,0)</f>
        <v>0</v>
      </c>
      <c r="V2875" s="7" t="n">
        <f aca="false">IF(AND(R2875=1,O2875&gt;Q2875),1,0)</f>
        <v>1</v>
      </c>
      <c r="W2875" s="7" t="n">
        <f aca="false">IF(AND(T2875=1,P2875&lt;&gt;"",P2875&lt;=Q2875),1,0)</f>
        <v>0</v>
      </c>
    </row>
    <row r="2876" customFormat="false" ht="15" hidden="false" customHeight="false" outlineLevel="0" collapsed="false">
      <c r="A2876" s="7" t="s">
        <v>3392</v>
      </c>
      <c r="B2876" s="7" t="s">
        <v>46</v>
      </c>
      <c r="C2876" s="7" t="s">
        <v>158</v>
      </c>
      <c r="D2876" s="7" t="s">
        <v>117</v>
      </c>
      <c r="E2876" s="7" t="s">
        <v>118</v>
      </c>
      <c r="F2876" s="7" t="s">
        <v>56</v>
      </c>
      <c r="G2876" s="7" t="s">
        <v>19</v>
      </c>
      <c r="H2876" s="9" t="n">
        <v>46156</v>
      </c>
      <c r="I2876" s="9"/>
      <c r="J2876" s="7" t="n">
        <v>10</v>
      </c>
      <c r="K2876" s="7" t="s">
        <v>3340</v>
      </c>
      <c r="L2876" s="7" t="s">
        <v>20</v>
      </c>
      <c r="M2876" s="7" t="s">
        <v>3397</v>
      </c>
      <c r="N2876" s="7" t="s">
        <v>58</v>
      </c>
      <c r="O2876" s="10" t="n">
        <f aca="false">'Exec Summary'!$E$2-H2876</f>
        <v>78</v>
      </c>
      <c r="P2876" s="10" t="str">
        <f aca="false">IF(I2876="","",I2876-H2876)</f>
        <v/>
      </c>
      <c r="Q2876" s="10" t="n">
        <f aca="false">VLOOKUP(G2876,$AA$2:$AB$5,2,FALSE())</f>
        <v>15</v>
      </c>
      <c r="R2876" s="7" t="n">
        <f aca="false">IF(OR(F2876="Open",F2876="Reopened"),1,0)</f>
        <v>1</v>
      </c>
      <c r="S2876" s="7" t="n">
        <f aca="false">IF(AND(H2876&gt;='Exec Summary'!$E$1,H2876&lt;='Exec Summary'!$E$2),1,0)</f>
        <v>0</v>
      </c>
      <c r="T2876" s="7" t="n">
        <f aca="false">IF(AND(F2876="Closed",I2876&lt;&gt;"",I2876&gt;='Exec Summary'!$E$1,I2876&lt;='Exec Summary'!$E$2),1,0)</f>
        <v>0</v>
      </c>
      <c r="U2876" s="7" t="n">
        <f aca="false">IF(F2876="Reopened",1,0)</f>
        <v>0</v>
      </c>
      <c r="V2876" s="7" t="n">
        <f aca="false">IF(AND(R2876=1,O2876&gt;Q2876),1,0)</f>
        <v>1</v>
      </c>
      <c r="W2876" s="7" t="n">
        <f aca="false">IF(AND(T2876=1,P2876&lt;&gt;"",P2876&lt;=Q2876),1,0)</f>
        <v>0</v>
      </c>
    </row>
    <row r="2877" customFormat="false" ht="15" hidden="false" customHeight="false" outlineLevel="0" collapsed="false">
      <c r="A2877" s="7" t="s">
        <v>3392</v>
      </c>
      <c r="B2877" s="7" t="s">
        <v>46</v>
      </c>
      <c r="C2877" s="7" t="s">
        <v>158</v>
      </c>
      <c r="D2877" s="7" t="s">
        <v>81</v>
      </c>
      <c r="E2877" s="7" t="s">
        <v>82</v>
      </c>
      <c r="F2877" s="7" t="s">
        <v>50</v>
      </c>
      <c r="G2877" s="7" t="s">
        <v>20</v>
      </c>
      <c r="H2877" s="9" t="n">
        <v>46058</v>
      </c>
      <c r="I2877" s="9" t="n">
        <v>46071</v>
      </c>
      <c r="J2877" s="7" t="n">
        <v>7.8</v>
      </c>
      <c r="K2877" s="7" t="s">
        <v>3340</v>
      </c>
      <c r="L2877" s="7" t="s">
        <v>20</v>
      </c>
      <c r="M2877" s="7" t="s">
        <v>3398</v>
      </c>
      <c r="N2877" s="7" t="s">
        <v>53</v>
      </c>
      <c r="O2877" s="10" t="n">
        <f aca="false">'Exec Summary'!$E$2-H2877</f>
        <v>176</v>
      </c>
      <c r="P2877" s="10" t="n">
        <f aca="false">IF(I2877="","",I2877-H2877)</f>
        <v>13</v>
      </c>
      <c r="Q2877" s="10" t="n">
        <f aca="false">VLOOKUP(G2877,$AA$2:$AB$5,2,FALSE())</f>
        <v>30</v>
      </c>
      <c r="R2877" s="7" t="n">
        <f aca="false">IF(OR(F2877="Open",F2877="Reopened"),1,0)</f>
        <v>0</v>
      </c>
      <c r="S2877" s="7" t="n">
        <f aca="false">IF(AND(H2877&gt;='Exec Summary'!$E$1,H2877&lt;='Exec Summary'!$E$2),1,0)</f>
        <v>0</v>
      </c>
      <c r="T2877" s="7" t="n">
        <f aca="false">IF(AND(F2877="Closed",I2877&lt;&gt;"",I2877&gt;='Exec Summary'!$E$1,I2877&lt;='Exec Summary'!$E$2),1,0)</f>
        <v>0</v>
      </c>
      <c r="U2877" s="7" t="n">
        <f aca="false">IF(F2877="Reopened",1,0)</f>
        <v>0</v>
      </c>
      <c r="V2877" s="7" t="n">
        <f aca="false">IF(AND(R2877=1,O2877&gt;Q2877),1,0)</f>
        <v>0</v>
      </c>
      <c r="W2877" s="7" t="n">
        <f aca="false">IF(AND(T2877=1,P2877&lt;&gt;"",P2877&lt;=Q2877),1,0)</f>
        <v>0</v>
      </c>
    </row>
    <row r="2878" customFormat="false" ht="15" hidden="false" customHeight="false" outlineLevel="0" collapsed="false">
      <c r="A2878" s="7" t="s">
        <v>3392</v>
      </c>
      <c r="B2878" s="7" t="s">
        <v>46</v>
      </c>
      <c r="C2878" s="7" t="s">
        <v>158</v>
      </c>
      <c r="D2878" s="7" t="s">
        <v>192</v>
      </c>
      <c r="E2878" s="7" t="s">
        <v>193</v>
      </c>
      <c r="F2878" s="7" t="s">
        <v>56</v>
      </c>
      <c r="G2878" s="7" t="s">
        <v>19</v>
      </c>
      <c r="H2878" s="9" t="n">
        <v>45954</v>
      </c>
      <c r="I2878" s="9"/>
      <c r="J2878" s="7" t="n">
        <v>9.8</v>
      </c>
      <c r="K2878" s="7" t="s">
        <v>3340</v>
      </c>
      <c r="L2878" s="7" t="s">
        <v>20</v>
      </c>
      <c r="M2878" s="7" t="s">
        <v>3399</v>
      </c>
      <c r="N2878" s="7" t="s">
        <v>58</v>
      </c>
      <c r="O2878" s="10" t="n">
        <f aca="false">'Exec Summary'!$E$2-H2878</f>
        <v>280</v>
      </c>
      <c r="P2878" s="10" t="str">
        <f aca="false">IF(I2878="","",I2878-H2878)</f>
        <v/>
      </c>
      <c r="Q2878" s="10" t="n">
        <f aca="false">VLOOKUP(G2878,$AA$2:$AB$5,2,FALSE())</f>
        <v>15</v>
      </c>
      <c r="R2878" s="7" t="n">
        <f aca="false">IF(OR(F2878="Open",F2878="Reopened"),1,0)</f>
        <v>1</v>
      </c>
      <c r="S2878" s="7" t="n">
        <f aca="false">IF(AND(H2878&gt;='Exec Summary'!$E$1,H2878&lt;='Exec Summary'!$E$2),1,0)</f>
        <v>0</v>
      </c>
      <c r="T2878" s="7" t="n">
        <f aca="false">IF(AND(F2878="Closed",I2878&lt;&gt;"",I2878&gt;='Exec Summary'!$E$1,I2878&lt;='Exec Summary'!$E$2),1,0)</f>
        <v>0</v>
      </c>
      <c r="U2878" s="7" t="n">
        <f aca="false">IF(F2878="Reopened",1,0)</f>
        <v>0</v>
      </c>
      <c r="V2878" s="7" t="n">
        <f aca="false">IF(AND(R2878=1,O2878&gt;Q2878),1,0)</f>
        <v>1</v>
      </c>
      <c r="W2878" s="7" t="n">
        <f aca="false">IF(AND(T2878=1,P2878&lt;&gt;"",P2878&lt;=Q2878),1,0)</f>
        <v>0</v>
      </c>
    </row>
    <row r="2879" customFormat="false" ht="15" hidden="false" customHeight="false" outlineLevel="0" collapsed="false">
      <c r="A2879" s="7" t="s">
        <v>3392</v>
      </c>
      <c r="B2879" s="7" t="s">
        <v>46</v>
      </c>
      <c r="C2879" s="7" t="s">
        <v>158</v>
      </c>
      <c r="D2879" s="7" t="s">
        <v>74</v>
      </c>
      <c r="E2879" s="7" t="s">
        <v>75</v>
      </c>
      <c r="F2879" s="7" t="s">
        <v>50</v>
      </c>
      <c r="G2879" s="7" t="s">
        <v>21</v>
      </c>
      <c r="H2879" s="9" t="n">
        <v>46193</v>
      </c>
      <c r="I2879" s="9" t="n">
        <v>46234</v>
      </c>
      <c r="J2879" s="7" t="n">
        <v>6.5</v>
      </c>
      <c r="K2879" s="7" t="s">
        <v>3340</v>
      </c>
      <c r="L2879" s="7" t="s">
        <v>20</v>
      </c>
      <c r="M2879" s="7" t="s">
        <v>3400</v>
      </c>
      <c r="N2879" s="7" t="s">
        <v>77</v>
      </c>
      <c r="O2879" s="10" t="n">
        <f aca="false">'Exec Summary'!$E$2-H2879</f>
        <v>41</v>
      </c>
      <c r="P2879" s="10" t="n">
        <f aca="false">IF(I2879="","",I2879-H2879)</f>
        <v>41</v>
      </c>
      <c r="Q2879" s="10" t="n">
        <f aca="false">VLOOKUP(G2879,$AA$2:$AB$5,2,FALSE())</f>
        <v>90</v>
      </c>
      <c r="R2879" s="7" t="n">
        <f aca="false">IF(OR(F2879="Open",F2879="Reopened"),1,0)</f>
        <v>0</v>
      </c>
      <c r="S2879" s="7" t="n">
        <f aca="false">IF(AND(H2879&gt;='Exec Summary'!$E$1,H2879&lt;='Exec Summary'!$E$2),1,0)</f>
        <v>0</v>
      </c>
      <c r="T2879" s="7" t="n">
        <f aca="false">IF(AND(F2879="Closed",I2879&lt;&gt;"",I2879&gt;='Exec Summary'!$E$1,I2879&lt;='Exec Summary'!$E$2),1,0)</f>
        <v>1</v>
      </c>
      <c r="U2879" s="7" t="n">
        <f aca="false">IF(F2879="Reopened",1,0)</f>
        <v>0</v>
      </c>
      <c r="V2879" s="7" t="n">
        <f aca="false">IF(AND(R2879=1,O2879&gt;Q2879),1,0)</f>
        <v>0</v>
      </c>
      <c r="W2879" s="7" t="n">
        <f aca="false">IF(AND(T2879=1,P2879&lt;&gt;"",P2879&lt;=Q2879),1,0)</f>
        <v>1</v>
      </c>
    </row>
    <row r="2880" customFormat="false" ht="15" hidden="false" customHeight="false" outlineLevel="0" collapsed="false">
      <c r="A2880" s="7" t="s">
        <v>3392</v>
      </c>
      <c r="B2880" s="7" t="s">
        <v>46</v>
      </c>
      <c r="C2880" s="7" t="s">
        <v>158</v>
      </c>
      <c r="D2880" s="7" t="s">
        <v>131</v>
      </c>
      <c r="E2880" s="7" t="s">
        <v>132</v>
      </c>
      <c r="F2880" s="7" t="s">
        <v>56</v>
      </c>
      <c r="G2880" s="7" t="s">
        <v>19</v>
      </c>
      <c r="H2880" s="9" t="n">
        <v>46139</v>
      </c>
      <c r="I2880" s="9"/>
      <c r="J2880" s="7" t="n">
        <v>9.8</v>
      </c>
      <c r="K2880" s="7" t="s">
        <v>3340</v>
      </c>
      <c r="L2880" s="7" t="s">
        <v>20</v>
      </c>
      <c r="M2880" s="7" t="s">
        <v>3401</v>
      </c>
      <c r="N2880" s="7" t="s">
        <v>58</v>
      </c>
      <c r="O2880" s="10" t="n">
        <f aca="false">'Exec Summary'!$E$2-H2880</f>
        <v>95</v>
      </c>
      <c r="P2880" s="10" t="str">
        <f aca="false">IF(I2880="","",I2880-H2880)</f>
        <v/>
      </c>
      <c r="Q2880" s="10" t="n">
        <f aca="false">VLOOKUP(G2880,$AA$2:$AB$5,2,FALSE())</f>
        <v>15</v>
      </c>
      <c r="R2880" s="7" t="n">
        <f aca="false">IF(OR(F2880="Open",F2880="Reopened"),1,0)</f>
        <v>1</v>
      </c>
      <c r="S2880" s="7" t="n">
        <f aca="false">IF(AND(H2880&gt;='Exec Summary'!$E$1,H2880&lt;='Exec Summary'!$E$2),1,0)</f>
        <v>0</v>
      </c>
      <c r="T2880" s="7" t="n">
        <f aca="false">IF(AND(F2880="Closed",I2880&lt;&gt;"",I2880&gt;='Exec Summary'!$E$1,I2880&lt;='Exec Summary'!$E$2),1,0)</f>
        <v>0</v>
      </c>
      <c r="U2880" s="7" t="n">
        <f aca="false">IF(F2880="Reopened",1,0)</f>
        <v>0</v>
      </c>
      <c r="V2880" s="7" t="n">
        <f aca="false">IF(AND(R2880=1,O2880&gt;Q2880),1,0)</f>
        <v>1</v>
      </c>
      <c r="W2880" s="7" t="n">
        <f aca="false">IF(AND(T2880=1,P2880&lt;&gt;"",P2880&lt;=Q2880),1,0)</f>
        <v>0</v>
      </c>
    </row>
    <row r="2881" customFormat="false" ht="15" hidden="false" customHeight="false" outlineLevel="0" collapsed="false">
      <c r="A2881" s="7" t="s">
        <v>3392</v>
      </c>
      <c r="B2881" s="7" t="s">
        <v>46</v>
      </c>
      <c r="C2881" s="7" t="s">
        <v>158</v>
      </c>
      <c r="D2881" s="7" t="s">
        <v>104</v>
      </c>
      <c r="E2881" s="7" t="s">
        <v>105</v>
      </c>
      <c r="F2881" s="7" t="s">
        <v>50</v>
      </c>
      <c r="G2881" s="7" t="s">
        <v>19</v>
      </c>
      <c r="H2881" s="9" t="n">
        <v>46196</v>
      </c>
      <c r="I2881" s="9" t="n">
        <v>46204</v>
      </c>
      <c r="J2881" s="7" t="n">
        <v>9.8</v>
      </c>
      <c r="K2881" s="7" t="s">
        <v>3340</v>
      </c>
      <c r="L2881" s="7" t="s">
        <v>20</v>
      </c>
      <c r="M2881" s="7" t="s">
        <v>3402</v>
      </c>
      <c r="N2881" s="7" t="s">
        <v>58</v>
      </c>
      <c r="O2881" s="10" t="n">
        <f aca="false">'Exec Summary'!$E$2-H2881</f>
        <v>38</v>
      </c>
      <c r="P2881" s="10" t="n">
        <f aca="false">IF(I2881="","",I2881-H2881)</f>
        <v>8</v>
      </c>
      <c r="Q2881" s="10" t="n">
        <f aca="false">VLOOKUP(G2881,$AA$2:$AB$5,2,FALSE())</f>
        <v>15</v>
      </c>
      <c r="R2881" s="7" t="n">
        <f aca="false">IF(OR(F2881="Open",F2881="Reopened"),1,0)</f>
        <v>0</v>
      </c>
      <c r="S2881" s="7" t="n">
        <f aca="false">IF(AND(H2881&gt;='Exec Summary'!$E$1,H2881&lt;='Exec Summary'!$E$2),1,0)</f>
        <v>0</v>
      </c>
      <c r="T2881" s="7" t="n">
        <f aca="false">IF(AND(F2881="Closed",I2881&lt;&gt;"",I2881&gt;='Exec Summary'!$E$1,I2881&lt;='Exec Summary'!$E$2),1,0)</f>
        <v>1</v>
      </c>
      <c r="U2881" s="7" t="n">
        <f aca="false">IF(F2881="Reopened",1,0)</f>
        <v>0</v>
      </c>
      <c r="V2881" s="7" t="n">
        <f aca="false">IF(AND(R2881=1,O2881&gt;Q2881),1,0)</f>
        <v>0</v>
      </c>
      <c r="W2881" s="7" t="n">
        <f aca="false">IF(AND(T2881=1,P2881&lt;&gt;"",P2881&lt;=Q2881),1,0)</f>
        <v>1</v>
      </c>
    </row>
    <row r="2882" customFormat="false" ht="15" hidden="false" customHeight="false" outlineLevel="0" collapsed="false">
      <c r="A2882" s="7" t="s">
        <v>3403</v>
      </c>
      <c r="B2882" s="7" t="s">
        <v>46</v>
      </c>
      <c r="C2882" s="7" t="s">
        <v>79</v>
      </c>
      <c r="D2882" s="7" t="s">
        <v>84</v>
      </c>
      <c r="E2882" s="7" t="s">
        <v>85</v>
      </c>
      <c r="F2882" s="7" t="s">
        <v>56</v>
      </c>
      <c r="G2882" s="7" t="s">
        <v>20</v>
      </c>
      <c r="H2882" s="9" t="n">
        <v>46092</v>
      </c>
      <c r="I2882" s="9"/>
      <c r="J2882" s="7" t="n">
        <v>7.5</v>
      </c>
      <c r="K2882" s="7" t="s">
        <v>3340</v>
      </c>
      <c r="L2882" s="7" t="s">
        <v>20</v>
      </c>
      <c r="M2882" s="7" t="s">
        <v>3404</v>
      </c>
      <c r="N2882" s="7" t="s">
        <v>53</v>
      </c>
      <c r="O2882" s="10" t="n">
        <f aca="false">'Exec Summary'!$E$2-H2882</f>
        <v>142</v>
      </c>
      <c r="P2882" s="10" t="str">
        <f aca="false">IF(I2882="","",I2882-H2882)</f>
        <v/>
      </c>
      <c r="Q2882" s="10" t="n">
        <f aca="false">VLOOKUP(G2882,$AA$2:$AB$5,2,FALSE())</f>
        <v>30</v>
      </c>
      <c r="R2882" s="7" t="n">
        <f aca="false">IF(OR(F2882="Open",F2882="Reopened"),1,0)</f>
        <v>1</v>
      </c>
      <c r="S2882" s="7" t="n">
        <f aca="false">IF(AND(H2882&gt;='Exec Summary'!$E$1,H2882&lt;='Exec Summary'!$E$2),1,0)</f>
        <v>0</v>
      </c>
      <c r="T2882" s="7" t="n">
        <f aca="false">IF(AND(F2882="Closed",I2882&lt;&gt;"",I2882&gt;='Exec Summary'!$E$1,I2882&lt;='Exec Summary'!$E$2),1,0)</f>
        <v>0</v>
      </c>
      <c r="U2882" s="7" t="n">
        <f aca="false">IF(F2882="Reopened",1,0)</f>
        <v>0</v>
      </c>
      <c r="V2882" s="7" t="n">
        <f aca="false">IF(AND(R2882=1,O2882&gt;Q2882),1,0)</f>
        <v>1</v>
      </c>
      <c r="W2882" s="7" t="n">
        <f aca="false">IF(AND(T2882=1,P2882&lt;&gt;"",P2882&lt;=Q2882),1,0)</f>
        <v>0</v>
      </c>
    </row>
    <row r="2883" customFormat="false" ht="15" hidden="false" customHeight="false" outlineLevel="0" collapsed="false">
      <c r="A2883" s="7" t="s">
        <v>3405</v>
      </c>
      <c r="B2883" s="7" t="s">
        <v>135</v>
      </c>
      <c r="C2883" s="7" t="s">
        <v>136</v>
      </c>
      <c r="D2883" s="7" t="s">
        <v>98</v>
      </c>
      <c r="E2883" s="7" t="s">
        <v>99</v>
      </c>
      <c r="F2883" s="7" t="s">
        <v>50</v>
      </c>
      <c r="G2883" s="7" t="s">
        <v>19</v>
      </c>
      <c r="H2883" s="9" t="n">
        <v>46088</v>
      </c>
      <c r="I2883" s="9" t="n">
        <v>46107</v>
      </c>
      <c r="J2883" s="7" t="n">
        <v>10</v>
      </c>
      <c r="K2883" s="7" t="s">
        <v>3340</v>
      </c>
      <c r="L2883" s="7" t="s">
        <v>21</v>
      </c>
      <c r="M2883" s="7" t="s">
        <v>3406</v>
      </c>
      <c r="N2883" s="7" t="s">
        <v>58</v>
      </c>
      <c r="O2883" s="10" t="n">
        <f aca="false">'Exec Summary'!$E$2-H2883</f>
        <v>146</v>
      </c>
      <c r="P2883" s="10" t="n">
        <f aca="false">IF(I2883="","",I2883-H2883)</f>
        <v>19</v>
      </c>
      <c r="Q2883" s="10" t="n">
        <f aca="false">VLOOKUP(G2883,$AA$2:$AB$5,2,FALSE())</f>
        <v>15</v>
      </c>
      <c r="R2883" s="7" t="n">
        <f aca="false">IF(OR(F2883="Open",F2883="Reopened"),1,0)</f>
        <v>0</v>
      </c>
      <c r="S2883" s="7" t="n">
        <f aca="false">IF(AND(H2883&gt;='Exec Summary'!$E$1,H2883&lt;='Exec Summary'!$E$2),1,0)</f>
        <v>0</v>
      </c>
      <c r="T2883" s="7" t="n">
        <f aca="false">IF(AND(F2883="Closed",I2883&lt;&gt;"",I2883&gt;='Exec Summary'!$E$1,I2883&lt;='Exec Summary'!$E$2),1,0)</f>
        <v>0</v>
      </c>
      <c r="U2883" s="7" t="n">
        <f aca="false">IF(F2883="Reopened",1,0)</f>
        <v>0</v>
      </c>
      <c r="V2883" s="7" t="n">
        <f aca="false">IF(AND(R2883=1,O2883&gt;Q2883),1,0)</f>
        <v>0</v>
      </c>
      <c r="W2883" s="7" t="n">
        <f aca="false">IF(AND(T2883=1,P2883&lt;&gt;"",P2883&lt;=Q2883),1,0)</f>
        <v>0</v>
      </c>
    </row>
    <row r="2884" customFormat="false" ht="15" hidden="false" customHeight="false" outlineLevel="0" collapsed="false">
      <c r="A2884" s="7" t="s">
        <v>3405</v>
      </c>
      <c r="B2884" s="7" t="s">
        <v>135</v>
      </c>
      <c r="C2884" s="7" t="s">
        <v>136</v>
      </c>
      <c r="D2884" s="7" t="s">
        <v>210</v>
      </c>
      <c r="E2884" s="7" t="s">
        <v>211</v>
      </c>
      <c r="F2884" s="7" t="s">
        <v>50</v>
      </c>
      <c r="G2884" s="7" t="s">
        <v>19</v>
      </c>
      <c r="H2884" s="9" t="n">
        <v>46157</v>
      </c>
      <c r="I2884" s="9" t="n">
        <v>46168</v>
      </c>
      <c r="J2884" s="7" t="n">
        <v>9.8</v>
      </c>
      <c r="K2884" s="7" t="s">
        <v>3340</v>
      </c>
      <c r="L2884" s="7" t="s">
        <v>21</v>
      </c>
      <c r="M2884" s="7" t="s">
        <v>1969</v>
      </c>
      <c r="N2884" s="7" t="s">
        <v>58</v>
      </c>
      <c r="O2884" s="10" t="n">
        <f aca="false">'Exec Summary'!$E$2-H2884</f>
        <v>77</v>
      </c>
      <c r="P2884" s="10" t="n">
        <f aca="false">IF(I2884="","",I2884-H2884)</f>
        <v>11</v>
      </c>
      <c r="Q2884" s="10" t="n">
        <f aca="false">VLOOKUP(G2884,$AA$2:$AB$5,2,FALSE())</f>
        <v>15</v>
      </c>
      <c r="R2884" s="7" t="n">
        <f aca="false">IF(OR(F2884="Open",F2884="Reopened"),1,0)</f>
        <v>0</v>
      </c>
      <c r="S2884" s="7" t="n">
        <f aca="false">IF(AND(H2884&gt;='Exec Summary'!$E$1,H2884&lt;='Exec Summary'!$E$2),1,0)</f>
        <v>0</v>
      </c>
      <c r="T2884" s="7" t="n">
        <f aca="false">IF(AND(F2884="Closed",I2884&lt;&gt;"",I2884&gt;='Exec Summary'!$E$1,I2884&lt;='Exec Summary'!$E$2),1,0)</f>
        <v>0</v>
      </c>
      <c r="U2884" s="7" t="n">
        <f aca="false">IF(F2884="Reopened",1,0)</f>
        <v>0</v>
      </c>
      <c r="V2884" s="7" t="n">
        <f aca="false">IF(AND(R2884=1,O2884&gt;Q2884),1,0)</f>
        <v>0</v>
      </c>
      <c r="W2884" s="7" t="n">
        <f aca="false">IF(AND(T2884=1,P2884&lt;&gt;"",P2884&lt;=Q2884),1,0)</f>
        <v>0</v>
      </c>
    </row>
    <row r="2885" customFormat="false" ht="15" hidden="false" customHeight="false" outlineLevel="0" collapsed="false">
      <c r="A2885" s="7" t="s">
        <v>3405</v>
      </c>
      <c r="B2885" s="7" t="s">
        <v>135</v>
      </c>
      <c r="C2885" s="7" t="s">
        <v>136</v>
      </c>
      <c r="D2885" s="7" t="s">
        <v>48</v>
      </c>
      <c r="E2885" s="7" t="s">
        <v>49</v>
      </c>
      <c r="F2885" s="7" t="s">
        <v>50</v>
      </c>
      <c r="G2885" s="7" t="s">
        <v>20</v>
      </c>
      <c r="H2885" s="9" t="n">
        <v>45936</v>
      </c>
      <c r="I2885" s="9" t="n">
        <v>45979</v>
      </c>
      <c r="J2885" s="7" t="n">
        <v>7.5</v>
      </c>
      <c r="K2885" s="7" t="s">
        <v>3340</v>
      </c>
      <c r="L2885" s="7" t="s">
        <v>21</v>
      </c>
      <c r="M2885" s="7" t="s">
        <v>3407</v>
      </c>
      <c r="N2885" s="7" t="s">
        <v>53</v>
      </c>
      <c r="O2885" s="10" t="n">
        <f aca="false">'Exec Summary'!$E$2-H2885</f>
        <v>298</v>
      </c>
      <c r="P2885" s="10" t="n">
        <f aca="false">IF(I2885="","",I2885-H2885)</f>
        <v>43</v>
      </c>
      <c r="Q2885" s="10" t="n">
        <f aca="false">VLOOKUP(G2885,$AA$2:$AB$5,2,FALSE())</f>
        <v>30</v>
      </c>
      <c r="R2885" s="7" t="n">
        <f aca="false">IF(OR(F2885="Open",F2885="Reopened"),1,0)</f>
        <v>0</v>
      </c>
      <c r="S2885" s="7" t="n">
        <f aca="false">IF(AND(H2885&gt;='Exec Summary'!$E$1,H2885&lt;='Exec Summary'!$E$2),1,0)</f>
        <v>0</v>
      </c>
      <c r="T2885" s="7" t="n">
        <f aca="false">IF(AND(F2885="Closed",I2885&lt;&gt;"",I2885&gt;='Exec Summary'!$E$1,I2885&lt;='Exec Summary'!$E$2),1,0)</f>
        <v>0</v>
      </c>
      <c r="U2885" s="7" t="n">
        <f aca="false">IF(F2885="Reopened",1,0)</f>
        <v>0</v>
      </c>
      <c r="V2885" s="7" t="n">
        <f aca="false">IF(AND(R2885=1,O2885&gt;Q2885),1,0)</f>
        <v>0</v>
      </c>
      <c r="W2885" s="7" t="n">
        <f aca="false">IF(AND(T2885=1,P2885&lt;&gt;"",P2885&lt;=Q2885),1,0)</f>
        <v>0</v>
      </c>
    </row>
    <row r="2886" customFormat="false" ht="15" hidden="false" customHeight="false" outlineLevel="0" collapsed="false">
      <c r="A2886" s="7" t="s">
        <v>3408</v>
      </c>
      <c r="B2886" s="7" t="s">
        <v>46</v>
      </c>
      <c r="C2886" s="7" t="s">
        <v>177</v>
      </c>
      <c r="D2886" s="7" t="s">
        <v>173</v>
      </c>
      <c r="E2886" s="7" t="s">
        <v>174</v>
      </c>
      <c r="F2886" s="7" t="s">
        <v>56</v>
      </c>
      <c r="G2886" s="7" t="s">
        <v>19</v>
      </c>
      <c r="H2886" s="9" t="n">
        <v>46138</v>
      </c>
      <c r="I2886" s="9"/>
      <c r="J2886" s="7" t="n">
        <v>9.8</v>
      </c>
      <c r="K2886" s="7" t="s">
        <v>3340</v>
      </c>
      <c r="L2886" s="7" t="s">
        <v>22</v>
      </c>
      <c r="M2886" s="7" t="s">
        <v>3409</v>
      </c>
      <c r="N2886" s="7" t="s">
        <v>58</v>
      </c>
      <c r="O2886" s="10" t="n">
        <f aca="false">'Exec Summary'!$E$2-H2886</f>
        <v>96</v>
      </c>
      <c r="P2886" s="10" t="str">
        <f aca="false">IF(I2886="","",I2886-H2886)</f>
        <v/>
      </c>
      <c r="Q2886" s="10" t="n">
        <f aca="false">VLOOKUP(G2886,$AA$2:$AB$5,2,FALSE())</f>
        <v>15</v>
      </c>
      <c r="R2886" s="7" t="n">
        <f aca="false">IF(OR(F2886="Open",F2886="Reopened"),1,0)</f>
        <v>1</v>
      </c>
      <c r="S2886" s="7" t="n">
        <f aca="false">IF(AND(H2886&gt;='Exec Summary'!$E$1,H2886&lt;='Exec Summary'!$E$2),1,0)</f>
        <v>0</v>
      </c>
      <c r="T2886" s="7" t="n">
        <f aca="false">IF(AND(F2886="Closed",I2886&lt;&gt;"",I2886&gt;='Exec Summary'!$E$1,I2886&lt;='Exec Summary'!$E$2),1,0)</f>
        <v>0</v>
      </c>
      <c r="U2886" s="7" t="n">
        <f aca="false">IF(F2886="Reopened",1,0)</f>
        <v>0</v>
      </c>
      <c r="V2886" s="7" t="n">
        <f aca="false">IF(AND(R2886=1,O2886&gt;Q2886),1,0)</f>
        <v>1</v>
      </c>
      <c r="W2886" s="7" t="n">
        <f aca="false">IF(AND(T2886=1,P2886&lt;&gt;"",P2886&lt;=Q2886),1,0)</f>
        <v>0</v>
      </c>
    </row>
    <row r="2887" customFormat="false" ht="15" hidden="false" customHeight="false" outlineLevel="0" collapsed="false">
      <c r="A2887" s="7" t="s">
        <v>3408</v>
      </c>
      <c r="B2887" s="7" t="s">
        <v>46</v>
      </c>
      <c r="C2887" s="7" t="s">
        <v>177</v>
      </c>
      <c r="D2887" s="7" t="s">
        <v>54</v>
      </c>
      <c r="E2887" s="7" t="s">
        <v>55</v>
      </c>
      <c r="F2887" s="7" t="s">
        <v>56</v>
      </c>
      <c r="G2887" s="7" t="s">
        <v>19</v>
      </c>
      <c r="H2887" s="9" t="n">
        <v>46151</v>
      </c>
      <c r="I2887" s="9"/>
      <c r="J2887" s="7" t="n">
        <v>9.8</v>
      </c>
      <c r="K2887" s="7" t="s">
        <v>3340</v>
      </c>
      <c r="L2887" s="7" t="s">
        <v>22</v>
      </c>
      <c r="M2887" s="7" t="s">
        <v>3410</v>
      </c>
      <c r="N2887" s="7" t="s">
        <v>58</v>
      </c>
      <c r="O2887" s="10" t="n">
        <f aca="false">'Exec Summary'!$E$2-H2887</f>
        <v>83</v>
      </c>
      <c r="P2887" s="10" t="str">
        <f aca="false">IF(I2887="","",I2887-H2887)</f>
        <v/>
      </c>
      <c r="Q2887" s="10" t="n">
        <f aca="false">VLOOKUP(G2887,$AA$2:$AB$5,2,FALSE())</f>
        <v>15</v>
      </c>
      <c r="R2887" s="7" t="n">
        <f aca="false">IF(OR(F2887="Open",F2887="Reopened"),1,0)</f>
        <v>1</v>
      </c>
      <c r="S2887" s="7" t="n">
        <f aca="false">IF(AND(H2887&gt;='Exec Summary'!$E$1,H2887&lt;='Exec Summary'!$E$2),1,0)</f>
        <v>0</v>
      </c>
      <c r="T2887" s="7" t="n">
        <f aca="false">IF(AND(F2887="Closed",I2887&lt;&gt;"",I2887&gt;='Exec Summary'!$E$1,I2887&lt;='Exec Summary'!$E$2),1,0)</f>
        <v>0</v>
      </c>
      <c r="U2887" s="7" t="n">
        <f aca="false">IF(F2887="Reopened",1,0)</f>
        <v>0</v>
      </c>
      <c r="V2887" s="7" t="n">
        <f aca="false">IF(AND(R2887=1,O2887&gt;Q2887),1,0)</f>
        <v>1</v>
      </c>
      <c r="W2887" s="7" t="n">
        <f aca="false">IF(AND(T2887=1,P2887&lt;&gt;"",P2887&lt;=Q2887),1,0)</f>
        <v>0</v>
      </c>
    </row>
    <row r="2888" customFormat="false" ht="15" hidden="false" customHeight="false" outlineLevel="0" collapsed="false">
      <c r="A2888" s="7" t="s">
        <v>3408</v>
      </c>
      <c r="B2888" s="7" t="s">
        <v>46</v>
      </c>
      <c r="C2888" s="7" t="s">
        <v>177</v>
      </c>
      <c r="D2888" s="7" t="s">
        <v>152</v>
      </c>
      <c r="E2888" s="7" t="s">
        <v>153</v>
      </c>
      <c r="F2888" s="7" t="s">
        <v>123</v>
      </c>
      <c r="G2888" s="7" t="s">
        <v>20</v>
      </c>
      <c r="H2888" s="9" t="n">
        <v>45970</v>
      </c>
      <c r="I2888" s="9" t="n">
        <v>45975</v>
      </c>
      <c r="J2888" s="7" t="n">
        <v>7.5</v>
      </c>
      <c r="K2888" s="7" t="s">
        <v>3340</v>
      </c>
      <c r="L2888" s="7" t="s">
        <v>22</v>
      </c>
      <c r="M2888" s="7" t="s">
        <v>3411</v>
      </c>
      <c r="N2888" s="7" t="s">
        <v>53</v>
      </c>
      <c r="O2888" s="10" t="n">
        <f aca="false">'Exec Summary'!$E$2-H2888</f>
        <v>264</v>
      </c>
      <c r="P2888" s="10" t="n">
        <f aca="false">IF(I2888="","",I2888-H2888)</f>
        <v>5</v>
      </c>
      <c r="Q2888" s="10" t="n">
        <f aca="false">VLOOKUP(G2888,$AA$2:$AB$5,2,FALSE())</f>
        <v>30</v>
      </c>
      <c r="R2888" s="7" t="n">
        <f aca="false">IF(OR(F2888="Open",F2888="Reopened"),1,0)</f>
        <v>1</v>
      </c>
      <c r="S2888" s="7" t="n">
        <f aca="false">IF(AND(H2888&gt;='Exec Summary'!$E$1,H2888&lt;='Exec Summary'!$E$2),1,0)</f>
        <v>0</v>
      </c>
      <c r="T2888" s="7" t="n">
        <f aca="false">IF(AND(F2888="Closed",I2888&lt;&gt;"",I2888&gt;='Exec Summary'!$E$1,I2888&lt;='Exec Summary'!$E$2),1,0)</f>
        <v>0</v>
      </c>
      <c r="U2888" s="7" t="n">
        <f aca="false">IF(F2888="Reopened",1,0)</f>
        <v>1</v>
      </c>
      <c r="V2888" s="7" t="n">
        <f aca="false">IF(AND(R2888=1,O2888&gt;Q2888),1,0)</f>
        <v>1</v>
      </c>
      <c r="W2888" s="7" t="n">
        <f aca="false">IF(AND(T2888=1,P2888&lt;&gt;"",P2888&lt;=Q2888),1,0)</f>
        <v>0</v>
      </c>
    </row>
    <row r="2889" customFormat="false" ht="15" hidden="false" customHeight="false" outlineLevel="0" collapsed="false">
      <c r="A2889" s="7" t="s">
        <v>3408</v>
      </c>
      <c r="B2889" s="7" t="s">
        <v>46</v>
      </c>
      <c r="C2889" s="7" t="s">
        <v>177</v>
      </c>
      <c r="D2889" s="7" t="s">
        <v>131</v>
      </c>
      <c r="E2889" s="7" t="s">
        <v>132</v>
      </c>
      <c r="F2889" s="7" t="s">
        <v>50</v>
      </c>
      <c r="G2889" s="7" t="s">
        <v>19</v>
      </c>
      <c r="H2889" s="9" t="n">
        <v>46054</v>
      </c>
      <c r="I2889" s="9" t="n">
        <v>46055</v>
      </c>
      <c r="J2889" s="7" t="n">
        <v>9.8</v>
      </c>
      <c r="K2889" s="7" t="s">
        <v>3340</v>
      </c>
      <c r="L2889" s="7" t="s">
        <v>22</v>
      </c>
      <c r="M2889" s="7" t="s">
        <v>3412</v>
      </c>
      <c r="N2889" s="7" t="s">
        <v>58</v>
      </c>
      <c r="O2889" s="10" t="n">
        <f aca="false">'Exec Summary'!$E$2-H2889</f>
        <v>180</v>
      </c>
      <c r="P2889" s="10" t="n">
        <f aca="false">IF(I2889="","",I2889-H2889)</f>
        <v>1</v>
      </c>
      <c r="Q2889" s="10" t="n">
        <f aca="false">VLOOKUP(G2889,$AA$2:$AB$5,2,FALSE())</f>
        <v>15</v>
      </c>
      <c r="R2889" s="7" t="n">
        <f aca="false">IF(OR(F2889="Open",F2889="Reopened"),1,0)</f>
        <v>0</v>
      </c>
      <c r="S2889" s="7" t="n">
        <f aca="false">IF(AND(H2889&gt;='Exec Summary'!$E$1,H2889&lt;='Exec Summary'!$E$2),1,0)</f>
        <v>0</v>
      </c>
      <c r="T2889" s="7" t="n">
        <f aca="false">IF(AND(F2889="Closed",I2889&lt;&gt;"",I2889&gt;='Exec Summary'!$E$1,I2889&lt;='Exec Summary'!$E$2),1,0)</f>
        <v>0</v>
      </c>
      <c r="U2889" s="7" t="n">
        <f aca="false">IF(F2889="Reopened",1,0)</f>
        <v>0</v>
      </c>
      <c r="V2889" s="7" t="n">
        <f aca="false">IF(AND(R2889=1,O2889&gt;Q2889),1,0)</f>
        <v>0</v>
      </c>
      <c r="W2889" s="7" t="n">
        <f aca="false">IF(AND(T2889=1,P2889&lt;&gt;"",P2889&lt;=Q2889),1,0)</f>
        <v>0</v>
      </c>
    </row>
    <row r="2890" customFormat="false" ht="15" hidden="false" customHeight="false" outlineLevel="0" collapsed="false">
      <c r="A2890" s="7" t="s">
        <v>3408</v>
      </c>
      <c r="B2890" s="7" t="s">
        <v>46</v>
      </c>
      <c r="C2890" s="7" t="s">
        <v>177</v>
      </c>
      <c r="D2890" s="7" t="s">
        <v>145</v>
      </c>
      <c r="E2890" s="7" t="s">
        <v>146</v>
      </c>
      <c r="F2890" s="7" t="s">
        <v>56</v>
      </c>
      <c r="G2890" s="7" t="s">
        <v>19</v>
      </c>
      <c r="H2890" s="9" t="n">
        <v>46137</v>
      </c>
      <c r="I2890" s="9"/>
      <c r="J2890" s="7" t="n">
        <v>9.8</v>
      </c>
      <c r="K2890" s="7" t="s">
        <v>3340</v>
      </c>
      <c r="L2890" s="7" t="s">
        <v>22</v>
      </c>
      <c r="M2890" s="7" t="s">
        <v>3413</v>
      </c>
      <c r="N2890" s="7" t="s">
        <v>58</v>
      </c>
      <c r="O2890" s="10" t="n">
        <f aca="false">'Exec Summary'!$E$2-H2890</f>
        <v>97</v>
      </c>
      <c r="P2890" s="10" t="str">
        <f aca="false">IF(I2890="","",I2890-H2890)</f>
        <v/>
      </c>
      <c r="Q2890" s="10" t="n">
        <f aca="false">VLOOKUP(G2890,$AA$2:$AB$5,2,FALSE())</f>
        <v>15</v>
      </c>
      <c r="R2890" s="7" t="n">
        <f aca="false">IF(OR(F2890="Open",F2890="Reopened"),1,0)</f>
        <v>1</v>
      </c>
      <c r="S2890" s="7" t="n">
        <f aca="false">IF(AND(H2890&gt;='Exec Summary'!$E$1,H2890&lt;='Exec Summary'!$E$2),1,0)</f>
        <v>0</v>
      </c>
      <c r="T2890" s="7" t="n">
        <f aca="false">IF(AND(F2890="Closed",I2890&lt;&gt;"",I2890&gt;='Exec Summary'!$E$1,I2890&lt;='Exec Summary'!$E$2),1,0)</f>
        <v>0</v>
      </c>
      <c r="U2890" s="7" t="n">
        <f aca="false">IF(F2890="Reopened",1,0)</f>
        <v>0</v>
      </c>
      <c r="V2890" s="7" t="n">
        <f aca="false">IF(AND(R2890=1,O2890&gt;Q2890),1,0)</f>
        <v>1</v>
      </c>
      <c r="W2890" s="7" t="n">
        <f aca="false">IF(AND(T2890=1,P2890&lt;&gt;"",P2890&lt;=Q2890),1,0)</f>
        <v>0</v>
      </c>
    </row>
    <row r="2891" customFormat="false" ht="15" hidden="false" customHeight="false" outlineLevel="0" collapsed="false">
      <c r="A2891" s="7" t="s">
        <v>3408</v>
      </c>
      <c r="B2891" s="7" t="s">
        <v>46</v>
      </c>
      <c r="C2891" s="7" t="s">
        <v>177</v>
      </c>
      <c r="D2891" s="7" t="s">
        <v>68</v>
      </c>
      <c r="E2891" s="7" t="s">
        <v>69</v>
      </c>
      <c r="F2891" s="7" t="s">
        <v>123</v>
      </c>
      <c r="G2891" s="7" t="s">
        <v>19</v>
      </c>
      <c r="H2891" s="9" t="n">
        <v>46004</v>
      </c>
      <c r="I2891" s="9" t="n">
        <v>46020</v>
      </c>
      <c r="J2891" s="7" t="n">
        <v>9.8</v>
      </c>
      <c r="K2891" s="7" t="s">
        <v>3340</v>
      </c>
      <c r="L2891" s="7" t="s">
        <v>22</v>
      </c>
      <c r="M2891" s="7" t="s">
        <v>3414</v>
      </c>
      <c r="N2891" s="7" t="s">
        <v>58</v>
      </c>
      <c r="O2891" s="10" t="n">
        <f aca="false">'Exec Summary'!$E$2-H2891</f>
        <v>230</v>
      </c>
      <c r="P2891" s="10" t="n">
        <f aca="false">IF(I2891="","",I2891-H2891)</f>
        <v>16</v>
      </c>
      <c r="Q2891" s="10" t="n">
        <f aca="false">VLOOKUP(G2891,$AA$2:$AB$5,2,FALSE())</f>
        <v>15</v>
      </c>
      <c r="R2891" s="7" t="n">
        <f aca="false">IF(OR(F2891="Open",F2891="Reopened"),1,0)</f>
        <v>1</v>
      </c>
      <c r="S2891" s="7" t="n">
        <f aca="false">IF(AND(H2891&gt;='Exec Summary'!$E$1,H2891&lt;='Exec Summary'!$E$2),1,0)</f>
        <v>0</v>
      </c>
      <c r="T2891" s="7" t="n">
        <f aca="false">IF(AND(F2891="Closed",I2891&lt;&gt;"",I2891&gt;='Exec Summary'!$E$1,I2891&lt;='Exec Summary'!$E$2),1,0)</f>
        <v>0</v>
      </c>
      <c r="U2891" s="7" t="n">
        <f aca="false">IF(F2891="Reopened",1,0)</f>
        <v>1</v>
      </c>
      <c r="V2891" s="7" t="n">
        <f aca="false">IF(AND(R2891=1,O2891&gt;Q2891),1,0)</f>
        <v>1</v>
      </c>
      <c r="W2891" s="7" t="n">
        <f aca="false">IF(AND(T2891=1,P2891&lt;&gt;"",P2891&lt;=Q2891),1,0)</f>
        <v>0</v>
      </c>
    </row>
    <row r="2892" customFormat="false" ht="15" hidden="false" customHeight="false" outlineLevel="0" collapsed="false">
      <c r="A2892" s="7" t="s">
        <v>3408</v>
      </c>
      <c r="B2892" s="7" t="s">
        <v>46</v>
      </c>
      <c r="C2892" s="7" t="s">
        <v>177</v>
      </c>
      <c r="D2892" s="7" t="s">
        <v>163</v>
      </c>
      <c r="E2892" s="7" t="s">
        <v>164</v>
      </c>
      <c r="F2892" s="7" t="s">
        <v>50</v>
      </c>
      <c r="G2892" s="7" t="s">
        <v>19</v>
      </c>
      <c r="H2892" s="9" t="n">
        <v>46026</v>
      </c>
      <c r="I2892" s="9" t="n">
        <v>46038</v>
      </c>
      <c r="J2892" s="7" t="n">
        <v>9.1</v>
      </c>
      <c r="K2892" s="7" t="s">
        <v>3340</v>
      </c>
      <c r="L2892" s="7" t="s">
        <v>22</v>
      </c>
      <c r="M2892" s="7" t="s">
        <v>3415</v>
      </c>
      <c r="N2892" s="7" t="s">
        <v>58</v>
      </c>
      <c r="O2892" s="10" t="n">
        <f aca="false">'Exec Summary'!$E$2-H2892</f>
        <v>208</v>
      </c>
      <c r="P2892" s="10" t="n">
        <f aca="false">IF(I2892="","",I2892-H2892)</f>
        <v>12</v>
      </c>
      <c r="Q2892" s="10" t="n">
        <f aca="false">VLOOKUP(G2892,$AA$2:$AB$5,2,FALSE())</f>
        <v>15</v>
      </c>
      <c r="R2892" s="7" t="n">
        <f aca="false">IF(OR(F2892="Open",F2892="Reopened"),1,0)</f>
        <v>0</v>
      </c>
      <c r="S2892" s="7" t="n">
        <f aca="false">IF(AND(H2892&gt;='Exec Summary'!$E$1,H2892&lt;='Exec Summary'!$E$2),1,0)</f>
        <v>0</v>
      </c>
      <c r="T2892" s="7" t="n">
        <f aca="false">IF(AND(F2892="Closed",I2892&lt;&gt;"",I2892&gt;='Exec Summary'!$E$1,I2892&lt;='Exec Summary'!$E$2),1,0)</f>
        <v>0</v>
      </c>
      <c r="U2892" s="7" t="n">
        <f aca="false">IF(F2892="Reopened",1,0)</f>
        <v>0</v>
      </c>
      <c r="V2892" s="7" t="n">
        <f aca="false">IF(AND(R2892=1,O2892&gt;Q2892),1,0)</f>
        <v>0</v>
      </c>
      <c r="W2892" s="7" t="n">
        <f aca="false">IF(AND(T2892=1,P2892&lt;&gt;"",P2892&lt;=Q2892),1,0)</f>
        <v>0</v>
      </c>
    </row>
    <row r="2893" customFormat="false" ht="15" hidden="false" customHeight="false" outlineLevel="0" collapsed="false">
      <c r="A2893" s="7" t="s">
        <v>3408</v>
      </c>
      <c r="B2893" s="7" t="s">
        <v>46</v>
      </c>
      <c r="C2893" s="7" t="s">
        <v>177</v>
      </c>
      <c r="D2893" s="7" t="s">
        <v>81</v>
      </c>
      <c r="E2893" s="7" t="s">
        <v>82</v>
      </c>
      <c r="F2893" s="7" t="s">
        <v>50</v>
      </c>
      <c r="G2893" s="7" t="s">
        <v>20</v>
      </c>
      <c r="H2893" s="9" t="n">
        <v>46180</v>
      </c>
      <c r="I2893" s="9" t="n">
        <v>46216</v>
      </c>
      <c r="J2893" s="7" t="n">
        <v>7.8</v>
      </c>
      <c r="K2893" s="7" t="s">
        <v>3340</v>
      </c>
      <c r="L2893" s="7" t="s">
        <v>22</v>
      </c>
      <c r="M2893" s="7" t="s">
        <v>3416</v>
      </c>
      <c r="N2893" s="7" t="s">
        <v>53</v>
      </c>
      <c r="O2893" s="10" t="n">
        <f aca="false">'Exec Summary'!$E$2-H2893</f>
        <v>54</v>
      </c>
      <c r="P2893" s="10" t="n">
        <f aca="false">IF(I2893="","",I2893-H2893)</f>
        <v>36</v>
      </c>
      <c r="Q2893" s="10" t="n">
        <f aca="false">VLOOKUP(G2893,$AA$2:$AB$5,2,FALSE())</f>
        <v>30</v>
      </c>
      <c r="R2893" s="7" t="n">
        <f aca="false">IF(OR(F2893="Open",F2893="Reopened"),1,0)</f>
        <v>0</v>
      </c>
      <c r="S2893" s="7" t="n">
        <f aca="false">IF(AND(H2893&gt;='Exec Summary'!$E$1,H2893&lt;='Exec Summary'!$E$2),1,0)</f>
        <v>0</v>
      </c>
      <c r="T2893" s="7" t="n">
        <f aca="false">IF(AND(F2893="Closed",I2893&lt;&gt;"",I2893&gt;='Exec Summary'!$E$1,I2893&lt;='Exec Summary'!$E$2),1,0)</f>
        <v>1</v>
      </c>
      <c r="U2893" s="7" t="n">
        <f aca="false">IF(F2893="Reopened",1,0)</f>
        <v>0</v>
      </c>
      <c r="V2893" s="7" t="n">
        <f aca="false">IF(AND(R2893=1,O2893&gt;Q2893),1,0)</f>
        <v>0</v>
      </c>
      <c r="W2893" s="7" t="n">
        <f aca="false">IF(AND(T2893=1,P2893&lt;&gt;"",P2893&lt;=Q2893),1,0)</f>
        <v>0</v>
      </c>
    </row>
    <row r="2894" customFormat="false" ht="15" hidden="false" customHeight="false" outlineLevel="0" collapsed="false">
      <c r="A2894" s="7" t="s">
        <v>3417</v>
      </c>
      <c r="B2894" s="7" t="s">
        <v>135</v>
      </c>
      <c r="C2894" s="7" t="s">
        <v>136</v>
      </c>
      <c r="D2894" s="7" t="s">
        <v>145</v>
      </c>
      <c r="E2894" s="7" t="s">
        <v>146</v>
      </c>
      <c r="F2894" s="7" t="s">
        <v>56</v>
      </c>
      <c r="G2894" s="7" t="s">
        <v>19</v>
      </c>
      <c r="H2894" s="9" t="n">
        <v>46150</v>
      </c>
      <c r="I2894" s="9"/>
      <c r="J2894" s="7" t="n">
        <v>9.8</v>
      </c>
      <c r="K2894" s="7" t="s">
        <v>3340</v>
      </c>
      <c r="L2894" s="7" t="s">
        <v>21</v>
      </c>
      <c r="M2894" s="7" t="s">
        <v>3418</v>
      </c>
      <c r="N2894" s="7" t="s">
        <v>58</v>
      </c>
      <c r="O2894" s="10" t="n">
        <f aca="false">'Exec Summary'!$E$2-H2894</f>
        <v>84</v>
      </c>
      <c r="P2894" s="10" t="str">
        <f aca="false">IF(I2894="","",I2894-H2894)</f>
        <v/>
      </c>
      <c r="Q2894" s="10" t="n">
        <f aca="false">VLOOKUP(G2894,$AA$2:$AB$5,2,FALSE())</f>
        <v>15</v>
      </c>
      <c r="R2894" s="7" t="n">
        <f aca="false">IF(OR(F2894="Open",F2894="Reopened"),1,0)</f>
        <v>1</v>
      </c>
      <c r="S2894" s="7" t="n">
        <f aca="false">IF(AND(H2894&gt;='Exec Summary'!$E$1,H2894&lt;='Exec Summary'!$E$2),1,0)</f>
        <v>0</v>
      </c>
      <c r="T2894" s="7" t="n">
        <f aca="false">IF(AND(F2894="Closed",I2894&lt;&gt;"",I2894&gt;='Exec Summary'!$E$1,I2894&lt;='Exec Summary'!$E$2),1,0)</f>
        <v>0</v>
      </c>
      <c r="U2894" s="7" t="n">
        <f aca="false">IF(F2894="Reopened",1,0)</f>
        <v>0</v>
      </c>
      <c r="V2894" s="7" t="n">
        <f aca="false">IF(AND(R2894=1,O2894&gt;Q2894),1,0)</f>
        <v>1</v>
      </c>
      <c r="W2894" s="7" t="n">
        <f aca="false">IF(AND(T2894=1,P2894&lt;&gt;"",P2894&lt;=Q2894),1,0)</f>
        <v>0</v>
      </c>
    </row>
    <row r="2895" customFormat="false" ht="15" hidden="false" customHeight="false" outlineLevel="0" collapsed="false">
      <c r="A2895" s="7" t="s">
        <v>3417</v>
      </c>
      <c r="B2895" s="7" t="s">
        <v>135</v>
      </c>
      <c r="C2895" s="7" t="s">
        <v>136</v>
      </c>
      <c r="D2895" s="7" t="s">
        <v>120</v>
      </c>
      <c r="E2895" s="7" t="s">
        <v>121</v>
      </c>
      <c r="F2895" s="7" t="s">
        <v>50</v>
      </c>
      <c r="G2895" s="7" t="s">
        <v>19</v>
      </c>
      <c r="H2895" s="9" t="n">
        <v>46151</v>
      </c>
      <c r="I2895" s="9" t="n">
        <v>46160</v>
      </c>
      <c r="J2895" s="7" t="n">
        <v>8.8</v>
      </c>
      <c r="K2895" s="7" t="s">
        <v>3340</v>
      </c>
      <c r="L2895" s="7" t="s">
        <v>21</v>
      </c>
      <c r="M2895" s="7" t="s">
        <v>3419</v>
      </c>
      <c r="N2895" s="7" t="s">
        <v>58</v>
      </c>
      <c r="O2895" s="10" t="n">
        <f aca="false">'Exec Summary'!$E$2-H2895</f>
        <v>83</v>
      </c>
      <c r="P2895" s="10" t="n">
        <f aca="false">IF(I2895="","",I2895-H2895)</f>
        <v>9</v>
      </c>
      <c r="Q2895" s="10" t="n">
        <f aca="false">VLOOKUP(G2895,$AA$2:$AB$5,2,FALSE())</f>
        <v>15</v>
      </c>
      <c r="R2895" s="7" t="n">
        <f aca="false">IF(OR(F2895="Open",F2895="Reopened"),1,0)</f>
        <v>0</v>
      </c>
      <c r="S2895" s="7" t="n">
        <f aca="false">IF(AND(H2895&gt;='Exec Summary'!$E$1,H2895&lt;='Exec Summary'!$E$2),1,0)</f>
        <v>0</v>
      </c>
      <c r="T2895" s="7" t="n">
        <f aca="false">IF(AND(F2895="Closed",I2895&lt;&gt;"",I2895&gt;='Exec Summary'!$E$1,I2895&lt;='Exec Summary'!$E$2),1,0)</f>
        <v>0</v>
      </c>
      <c r="U2895" s="7" t="n">
        <f aca="false">IF(F2895="Reopened",1,0)</f>
        <v>0</v>
      </c>
      <c r="V2895" s="7" t="n">
        <f aca="false">IF(AND(R2895=1,O2895&gt;Q2895),1,0)</f>
        <v>0</v>
      </c>
      <c r="W2895" s="7" t="n">
        <f aca="false">IF(AND(T2895=1,P2895&lt;&gt;"",P2895&lt;=Q2895),1,0)</f>
        <v>0</v>
      </c>
    </row>
    <row r="2896" customFormat="false" ht="15" hidden="false" customHeight="false" outlineLevel="0" collapsed="false">
      <c r="A2896" s="7" t="s">
        <v>3417</v>
      </c>
      <c r="B2896" s="7" t="s">
        <v>135</v>
      </c>
      <c r="C2896" s="7" t="s">
        <v>136</v>
      </c>
      <c r="D2896" s="7" t="s">
        <v>210</v>
      </c>
      <c r="E2896" s="7" t="s">
        <v>211</v>
      </c>
      <c r="F2896" s="7" t="s">
        <v>50</v>
      </c>
      <c r="G2896" s="7" t="s">
        <v>19</v>
      </c>
      <c r="H2896" s="9" t="n">
        <v>46191</v>
      </c>
      <c r="I2896" s="9" t="n">
        <v>46196</v>
      </c>
      <c r="J2896" s="7" t="n">
        <v>9.8</v>
      </c>
      <c r="K2896" s="7" t="s">
        <v>3340</v>
      </c>
      <c r="L2896" s="7" t="s">
        <v>21</v>
      </c>
      <c r="M2896" s="7" t="s">
        <v>3420</v>
      </c>
      <c r="N2896" s="7" t="s">
        <v>58</v>
      </c>
      <c r="O2896" s="10" t="n">
        <f aca="false">'Exec Summary'!$E$2-H2896</f>
        <v>43</v>
      </c>
      <c r="P2896" s="10" t="n">
        <f aca="false">IF(I2896="","",I2896-H2896)</f>
        <v>5</v>
      </c>
      <c r="Q2896" s="10" t="n">
        <f aca="false">VLOOKUP(G2896,$AA$2:$AB$5,2,FALSE())</f>
        <v>15</v>
      </c>
      <c r="R2896" s="7" t="n">
        <f aca="false">IF(OR(F2896="Open",F2896="Reopened"),1,0)</f>
        <v>0</v>
      </c>
      <c r="S2896" s="7" t="n">
        <f aca="false">IF(AND(H2896&gt;='Exec Summary'!$E$1,H2896&lt;='Exec Summary'!$E$2),1,0)</f>
        <v>0</v>
      </c>
      <c r="T2896" s="7" t="n">
        <f aca="false">IF(AND(F2896="Closed",I2896&lt;&gt;"",I2896&gt;='Exec Summary'!$E$1,I2896&lt;='Exec Summary'!$E$2),1,0)</f>
        <v>0</v>
      </c>
      <c r="U2896" s="7" t="n">
        <f aca="false">IF(F2896="Reopened",1,0)</f>
        <v>0</v>
      </c>
      <c r="V2896" s="7" t="n">
        <f aca="false">IF(AND(R2896=1,O2896&gt;Q2896),1,0)</f>
        <v>0</v>
      </c>
      <c r="W2896" s="7" t="n">
        <f aca="false">IF(AND(T2896=1,P2896&lt;&gt;"",P2896&lt;=Q2896),1,0)</f>
        <v>0</v>
      </c>
    </row>
    <row r="2897" customFormat="false" ht="15" hidden="false" customHeight="false" outlineLevel="0" collapsed="false">
      <c r="A2897" s="7" t="s">
        <v>3417</v>
      </c>
      <c r="B2897" s="7" t="s">
        <v>135</v>
      </c>
      <c r="C2897" s="7" t="s">
        <v>136</v>
      </c>
      <c r="D2897" s="7" t="s">
        <v>101</v>
      </c>
      <c r="E2897" s="7" t="s">
        <v>102</v>
      </c>
      <c r="F2897" s="7" t="s">
        <v>56</v>
      </c>
      <c r="G2897" s="7" t="s">
        <v>19</v>
      </c>
      <c r="H2897" s="9" t="n">
        <v>45991</v>
      </c>
      <c r="I2897" s="9"/>
      <c r="J2897" s="7" t="n">
        <v>10</v>
      </c>
      <c r="K2897" s="7" t="s">
        <v>3340</v>
      </c>
      <c r="L2897" s="7" t="s">
        <v>21</v>
      </c>
      <c r="M2897" s="7" t="s">
        <v>3421</v>
      </c>
      <c r="N2897" s="7" t="s">
        <v>58</v>
      </c>
      <c r="O2897" s="10" t="n">
        <f aca="false">'Exec Summary'!$E$2-H2897</f>
        <v>243</v>
      </c>
      <c r="P2897" s="10" t="str">
        <f aca="false">IF(I2897="","",I2897-H2897)</f>
        <v/>
      </c>
      <c r="Q2897" s="10" t="n">
        <f aca="false">VLOOKUP(G2897,$AA$2:$AB$5,2,FALSE())</f>
        <v>15</v>
      </c>
      <c r="R2897" s="7" t="n">
        <f aca="false">IF(OR(F2897="Open",F2897="Reopened"),1,0)</f>
        <v>1</v>
      </c>
      <c r="S2897" s="7" t="n">
        <f aca="false">IF(AND(H2897&gt;='Exec Summary'!$E$1,H2897&lt;='Exec Summary'!$E$2),1,0)</f>
        <v>0</v>
      </c>
      <c r="T2897" s="7" t="n">
        <f aca="false">IF(AND(F2897="Closed",I2897&lt;&gt;"",I2897&gt;='Exec Summary'!$E$1,I2897&lt;='Exec Summary'!$E$2),1,0)</f>
        <v>0</v>
      </c>
      <c r="U2897" s="7" t="n">
        <f aca="false">IF(F2897="Reopened",1,0)</f>
        <v>0</v>
      </c>
      <c r="V2897" s="7" t="n">
        <f aca="false">IF(AND(R2897=1,O2897&gt;Q2897),1,0)</f>
        <v>1</v>
      </c>
      <c r="W2897" s="7" t="n">
        <f aca="false">IF(AND(T2897=1,P2897&lt;&gt;"",P2897&lt;=Q2897),1,0)</f>
        <v>0</v>
      </c>
    </row>
    <row r="2898" customFormat="false" ht="15" hidden="false" customHeight="false" outlineLevel="0" collapsed="false">
      <c r="A2898" s="7" t="s">
        <v>3417</v>
      </c>
      <c r="B2898" s="7" t="s">
        <v>135</v>
      </c>
      <c r="C2898" s="7" t="s">
        <v>136</v>
      </c>
      <c r="D2898" s="7" t="s">
        <v>48</v>
      </c>
      <c r="E2898" s="7" t="s">
        <v>49</v>
      </c>
      <c r="F2898" s="7" t="s">
        <v>56</v>
      </c>
      <c r="G2898" s="7" t="s">
        <v>20</v>
      </c>
      <c r="H2898" s="9" t="n">
        <v>46206</v>
      </c>
      <c r="I2898" s="9"/>
      <c r="J2898" s="7" t="n">
        <v>7.5</v>
      </c>
      <c r="K2898" s="7" t="s">
        <v>3340</v>
      </c>
      <c r="L2898" s="7" t="s">
        <v>21</v>
      </c>
      <c r="M2898" s="7" t="s">
        <v>3422</v>
      </c>
      <c r="N2898" s="7" t="s">
        <v>53</v>
      </c>
      <c r="O2898" s="10" t="n">
        <f aca="false">'Exec Summary'!$E$2-H2898</f>
        <v>28</v>
      </c>
      <c r="P2898" s="10" t="str">
        <f aca="false">IF(I2898="","",I2898-H2898)</f>
        <v/>
      </c>
      <c r="Q2898" s="10" t="n">
        <f aca="false">VLOOKUP(G2898,$AA$2:$AB$5,2,FALSE())</f>
        <v>30</v>
      </c>
      <c r="R2898" s="7" t="n">
        <f aca="false">IF(OR(F2898="Open",F2898="Reopened"),1,0)</f>
        <v>1</v>
      </c>
      <c r="S2898" s="7" t="n">
        <f aca="false">IF(AND(H2898&gt;='Exec Summary'!$E$1,H2898&lt;='Exec Summary'!$E$2),1,0)</f>
        <v>1</v>
      </c>
      <c r="T2898" s="7" t="n">
        <f aca="false">IF(AND(F2898="Closed",I2898&lt;&gt;"",I2898&gt;='Exec Summary'!$E$1,I2898&lt;='Exec Summary'!$E$2),1,0)</f>
        <v>0</v>
      </c>
      <c r="U2898" s="7" t="n">
        <f aca="false">IF(F2898="Reopened",1,0)</f>
        <v>0</v>
      </c>
      <c r="V2898" s="7" t="n">
        <f aca="false">IF(AND(R2898=1,O2898&gt;Q2898),1,0)</f>
        <v>0</v>
      </c>
      <c r="W2898" s="7" t="n">
        <f aca="false">IF(AND(T2898=1,P2898&lt;&gt;"",P2898&lt;=Q2898),1,0)</f>
        <v>0</v>
      </c>
    </row>
    <row r="2899" customFormat="false" ht="15" hidden="false" customHeight="false" outlineLevel="0" collapsed="false">
      <c r="A2899" s="7" t="s">
        <v>3417</v>
      </c>
      <c r="B2899" s="7" t="s">
        <v>135</v>
      </c>
      <c r="C2899" s="7" t="s">
        <v>136</v>
      </c>
      <c r="D2899" s="7" t="s">
        <v>163</v>
      </c>
      <c r="E2899" s="7" t="s">
        <v>164</v>
      </c>
      <c r="F2899" s="7" t="s">
        <v>50</v>
      </c>
      <c r="G2899" s="7" t="s">
        <v>19</v>
      </c>
      <c r="H2899" s="9" t="n">
        <v>46010</v>
      </c>
      <c r="I2899" s="9" t="n">
        <v>46022</v>
      </c>
      <c r="J2899" s="7" t="n">
        <v>9.1</v>
      </c>
      <c r="K2899" s="7" t="s">
        <v>3340</v>
      </c>
      <c r="L2899" s="7" t="s">
        <v>21</v>
      </c>
      <c r="M2899" s="7" t="s">
        <v>3423</v>
      </c>
      <c r="N2899" s="7" t="s">
        <v>58</v>
      </c>
      <c r="O2899" s="10" t="n">
        <f aca="false">'Exec Summary'!$E$2-H2899</f>
        <v>224</v>
      </c>
      <c r="P2899" s="10" t="n">
        <f aca="false">IF(I2899="","",I2899-H2899)</f>
        <v>12</v>
      </c>
      <c r="Q2899" s="10" t="n">
        <f aca="false">VLOOKUP(G2899,$AA$2:$AB$5,2,FALSE())</f>
        <v>15</v>
      </c>
      <c r="R2899" s="7" t="n">
        <f aca="false">IF(OR(F2899="Open",F2899="Reopened"),1,0)</f>
        <v>0</v>
      </c>
      <c r="S2899" s="7" t="n">
        <f aca="false">IF(AND(H2899&gt;='Exec Summary'!$E$1,H2899&lt;='Exec Summary'!$E$2),1,0)</f>
        <v>0</v>
      </c>
      <c r="T2899" s="7" t="n">
        <f aca="false">IF(AND(F2899="Closed",I2899&lt;&gt;"",I2899&gt;='Exec Summary'!$E$1,I2899&lt;='Exec Summary'!$E$2),1,0)</f>
        <v>0</v>
      </c>
      <c r="U2899" s="7" t="n">
        <f aca="false">IF(F2899="Reopened",1,0)</f>
        <v>0</v>
      </c>
      <c r="V2899" s="7" t="n">
        <f aca="false">IF(AND(R2899=1,O2899&gt;Q2899),1,0)</f>
        <v>0</v>
      </c>
      <c r="W2899" s="7" t="n">
        <f aca="false">IF(AND(T2899=1,P2899&lt;&gt;"",P2899&lt;=Q2899),1,0)</f>
        <v>0</v>
      </c>
    </row>
    <row r="2900" customFormat="false" ht="15" hidden="false" customHeight="false" outlineLevel="0" collapsed="false">
      <c r="A2900" s="7" t="s">
        <v>3417</v>
      </c>
      <c r="B2900" s="7" t="s">
        <v>135</v>
      </c>
      <c r="C2900" s="7" t="s">
        <v>136</v>
      </c>
      <c r="D2900" s="7" t="s">
        <v>68</v>
      </c>
      <c r="E2900" s="7" t="s">
        <v>69</v>
      </c>
      <c r="F2900" s="7" t="s">
        <v>50</v>
      </c>
      <c r="G2900" s="7" t="s">
        <v>19</v>
      </c>
      <c r="H2900" s="9" t="n">
        <v>46035</v>
      </c>
      <c r="I2900" s="9" t="n">
        <v>46036</v>
      </c>
      <c r="J2900" s="7" t="n">
        <v>9.8</v>
      </c>
      <c r="K2900" s="7" t="s">
        <v>3340</v>
      </c>
      <c r="L2900" s="7" t="s">
        <v>21</v>
      </c>
      <c r="M2900" s="7" t="s">
        <v>3424</v>
      </c>
      <c r="N2900" s="7" t="s">
        <v>58</v>
      </c>
      <c r="O2900" s="10" t="n">
        <f aca="false">'Exec Summary'!$E$2-H2900</f>
        <v>199</v>
      </c>
      <c r="P2900" s="10" t="n">
        <f aca="false">IF(I2900="","",I2900-H2900)</f>
        <v>1</v>
      </c>
      <c r="Q2900" s="10" t="n">
        <f aca="false">VLOOKUP(G2900,$AA$2:$AB$5,2,FALSE())</f>
        <v>15</v>
      </c>
      <c r="R2900" s="7" t="n">
        <f aca="false">IF(OR(F2900="Open",F2900="Reopened"),1,0)</f>
        <v>0</v>
      </c>
      <c r="S2900" s="7" t="n">
        <f aca="false">IF(AND(H2900&gt;='Exec Summary'!$E$1,H2900&lt;='Exec Summary'!$E$2),1,0)</f>
        <v>0</v>
      </c>
      <c r="T2900" s="7" t="n">
        <f aca="false">IF(AND(F2900="Closed",I2900&lt;&gt;"",I2900&gt;='Exec Summary'!$E$1,I2900&lt;='Exec Summary'!$E$2),1,0)</f>
        <v>0</v>
      </c>
      <c r="U2900" s="7" t="n">
        <f aca="false">IF(F2900="Reopened",1,0)</f>
        <v>0</v>
      </c>
      <c r="V2900" s="7" t="n">
        <f aca="false">IF(AND(R2900=1,O2900&gt;Q2900),1,0)</f>
        <v>0</v>
      </c>
      <c r="W2900" s="7" t="n">
        <f aca="false">IF(AND(T2900=1,P2900&lt;&gt;"",P2900&lt;=Q2900),1,0)</f>
        <v>0</v>
      </c>
    </row>
    <row r="2901" customFormat="false" ht="15" hidden="false" customHeight="false" outlineLevel="0" collapsed="false">
      <c r="A2901" s="7" t="s">
        <v>3417</v>
      </c>
      <c r="B2901" s="7" t="s">
        <v>135</v>
      </c>
      <c r="C2901" s="7" t="s">
        <v>136</v>
      </c>
      <c r="D2901" s="7" t="s">
        <v>71</v>
      </c>
      <c r="E2901" s="7" t="s">
        <v>72</v>
      </c>
      <c r="F2901" s="7" t="s">
        <v>50</v>
      </c>
      <c r="G2901" s="7" t="s">
        <v>19</v>
      </c>
      <c r="H2901" s="9" t="n">
        <v>46078</v>
      </c>
      <c r="I2901" s="9" t="n">
        <v>46080</v>
      </c>
      <c r="J2901" s="7" t="n">
        <v>9.8</v>
      </c>
      <c r="K2901" s="7" t="s">
        <v>3340</v>
      </c>
      <c r="L2901" s="7" t="s">
        <v>21</v>
      </c>
      <c r="M2901" s="7" t="s">
        <v>3425</v>
      </c>
      <c r="N2901" s="7" t="s">
        <v>58</v>
      </c>
      <c r="O2901" s="10" t="n">
        <f aca="false">'Exec Summary'!$E$2-H2901</f>
        <v>156</v>
      </c>
      <c r="P2901" s="10" t="n">
        <f aca="false">IF(I2901="","",I2901-H2901)</f>
        <v>2</v>
      </c>
      <c r="Q2901" s="10" t="n">
        <f aca="false">VLOOKUP(G2901,$AA$2:$AB$5,2,FALSE())</f>
        <v>15</v>
      </c>
      <c r="R2901" s="7" t="n">
        <f aca="false">IF(OR(F2901="Open",F2901="Reopened"),1,0)</f>
        <v>0</v>
      </c>
      <c r="S2901" s="7" t="n">
        <f aca="false">IF(AND(H2901&gt;='Exec Summary'!$E$1,H2901&lt;='Exec Summary'!$E$2),1,0)</f>
        <v>0</v>
      </c>
      <c r="T2901" s="7" t="n">
        <f aca="false">IF(AND(F2901="Closed",I2901&lt;&gt;"",I2901&gt;='Exec Summary'!$E$1,I2901&lt;='Exec Summary'!$E$2),1,0)</f>
        <v>0</v>
      </c>
      <c r="U2901" s="7" t="n">
        <f aca="false">IF(F2901="Reopened",1,0)</f>
        <v>0</v>
      </c>
      <c r="V2901" s="7" t="n">
        <f aca="false">IF(AND(R2901=1,O2901&gt;Q2901),1,0)</f>
        <v>0</v>
      </c>
      <c r="W2901" s="7" t="n">
        <f aca="false">IF(AND(T2901=1,P2901&lt;&gt;"",P2901&lt;=Q2901),1,0)</f>
        <v>0</v>
      </c>
    </row>
    <row r="2902" customFormat="false" ht="15" hidden="false" customHeight="false" outlineLevel="0" collapsed="false">
      <c r="A2902" s="7" t="s">
        <v>3417</v>
      </c>
      <c r="B2902" s="7" t="s">
        <v>135</v>
      </c>
      <c r="C2902" s="7" t="s">
        <v>136</v>
      </c>
      <c r="D2902" s="7" t="s">
        <v>108</v>
      </c>
      <c r="E2902" s="7" t="s">
        <v>109</v>
      </c>
      <c r="F2902" s="7" t="s">
        <v>50</v>
      </c>
      <c r="G2902" s="7" t="s">
        <v>20</v>
      </c>
      <c r="H2902" s="9" t="n">
        <v>46121</v>
      </c>
      <c r="I2902" s="9" t="n">
        <v>46132</v>
      </c>
      <c r="J2902" s="7" t="n">
        <v>8.6</v>
      </c>
      <c r="K2902" s="7" t="s">
        <v>3340</v>
      </c>
      <c r="L2902" s="7" t="s">
        <v>21</v>
      </c>
      <c r="M2902" s="7" t="s">
        <v>3426</v>
      </c>
      <c r="N2902" s="7" t="s">
        <v>53</v>
      </c>
      <c r="O2902" s="10" t="n">
        <f aca="false">'Exec Summary'!$E$2-H2902</f>
        <v>113</v>
      </c>
      <c r="P2902" s="10" t="n">
        <f aca="false">IF(I2902="","",I2902-H2902)</f>
        <v>11</v>
      </c>
      <c r="Q2902" s="10" t="n">
        <f aca="false">VLOOKUP(G2902,$AA$2:$AB$5,2,FALSE())</f>
        <v>30</v>
      </c>
      <c r="R2902" s="7" t="n">
        <f aca="false">IF(OR(F2902="Open",F2902="Reopened"),1,0)</f>
        <v>0</v>
      </c>
      <c r="S2902" s="7" t="n">
        <f aca="false">IF(AND(H2902&gt;='Exec Summary'!$E$1,H2902&lt;='Exec Summary'!$E$2),1,0)</f>
        <v>0</v>
      </c>
      <c r="T2902" s="7" t="n">
        <f aca="false">IF(AND(F2902="Closed",I2902&lt;&gt;"",I2902&gt;='Exec Summary'!$E$1,I2902&lt;='Exec Summary'!$E$2),1,0)</f>
        <v>0</v>
      </c>
      <c r="U2902" s="7" t="n">
        <f aca="false">IF(F2902="Reopened",1,0)</f>
        <v>0</v>
      </c>
      <c r="V2902" s="7" t="n">
        <f aca="false">IF(AND(R2902=1,O2902&gt;Q2902),1,0)</f>
        <v>0</v>
      </c>
      <c r="W2902" s="7" t="n">
        <f aca="false">IF(AND(T2902=1,P2902&lt;&gt;"",P2902&lt;=Q2902),1,0)</f>
        <v>0</v>
      </c>
    </row>
    <row r="2903" customFormat="false" ht="15" hidden="false" customHeight="false" outlineLevel="0" collapsed="false">
      <c r="A2903" s="7" t="s">
        <v>3417</v>
      </c>
      <c r="B2903" s="7" t="s">
        <v>135</v>
      </c>
      <c r="C2903" s="7" t="s">
        <v>136</v>
      </c>
      <c r="D2903" s="7" t="s">
        <v>74</v>
      </c>
      <c r="E2903" s="7" t="s">
        <v>75</v>
      </c>
      <c r="F2903" s="7" t="s">
        <v>50</v>
      </c>
      <c r="G2903" s="7" t="s">
        <v>21</v>
      </c>
      <c r="H2903" s="9" t="n">
        <v>45946</v>
      </c>
      <c r="I2903" s="9" t="n">
        <v>45990</v>
      </c>
      <c r="J2903" s="7" t="n">
        <v>6.5</v>
      </c>
      <c r="K2903" s="7" t="s">
        <v>3340</v>
      </c>
      <c r="L2903" s="7" t="s">
        <v>21</v>
      </c>
      <c r="M2903" s="7" t="s">
        <v>3427</v>
      </c>
      <c r="N2903" s="7" t="s">
        <v>77</v>
      </c>
      <c r="O2903" s="10" t="n">
        <f aca="false">'Exec Summary'!$E$2-H2903</f>
        <v>288</v>
      </c>
      <c r="P2903" s="10" t="n">
        <f aca="false">IF(I2903="","",I2903-H2903)</f>
        <v>44</v>
      </c>
      <c r="Q2903" s="10" t="n">
        <f aca="false">VLOOKUP(G2903,$AA$2:$AB$5,2,FALSE())</f>
        <v>90</v>
      </c>
      <c r="R2903" s="7" t="n">
        <f aca="false">IF(OR(F2903="Open",F2903="Reopened"),1,0)</f>
        <v>0</v>
      </c>
      <c r="S2903" s="7" t="n">
        <f aca="false">IF(AND(H2903&gt;='Exec Summary'!$E$1,H2903&lt;='Exec Summary'!$E$2),1,0)</f>
        <v>0</v>
      </c>
      <c r="T2903" s="7" t="n">
        <f aca="false">IF(AND(F2903="Closed",I2903&lt;&gt;"",I2903&gt;='Exec Summary'!$E$1,I2903&lt;='Exec Summary'!$E$2),1,0)</f>
        <v>0</v>
      </c>
      <c r="U2903" s="7" t="n">
        <f aca="false">IF(F2903="Reopened",1,0)</f>
        <v>0</v>
      </c>
      <c r="V2903" s="7" t="n">
        <f aca="false">IF(AND(R2903=1,O2903&gt;Q2903),1,0)</f>
        <v>0</v>
      </c>
      <c r="W2903" s="7" t="n">
        <f aca="false">IF(AND(T2903=1,P2903&lt;&gt;"",P2903&lt;=Q2903),1,0)</f>
        <v>0</v>
      </c>
    </row>
    <row r="2904" customFormat="false" ht="15" hidden="false" customHeight="false" outlineLevel="0" collapsed="false">
      <c r="A2904" s="7" t="s">
        <v>3417</v>
      </c>
      <c r="B2904" s="7" t="s">
        <v>135</v>
      </c>
      <c r="C2904" s="7" t="s">
        <v>136</v>
      </c>
      <c r="D2904" s="7" t="s">
        <v>112</v>
      </c>
      <c r="E2904" s="7" t="s">
        <v>113</v>
      </c>
      <c r="F2904" s="7" t="s">
        <v>50</v>
      </c>
      <c r="G2904" s="7" t="s">
        <v>20</v>
      </c>
      <c r="H2904" s="9" t="n">
        <v>46147</v>
      </c>
      <c r="I2904" s="9" t="n">
        <v>46160</v>
      </c>
      <c r="J2904" s="7" t="n">
        <v>7.8</v>
      </c>
      <c r="K2904" s="7" t="s">
        <v>3340</v>
      </c>
      <c r="L2904" s="7" t="s">
        <v>21</v>
      </c>
      <c r="M2904" s="7" t="s">
        <v>3428</v>
      </c>
      <c r="N2904" s="7" t="s">
        <v>53</v>
      </c>
      <c r="O2904" s="10" t="n">
        <f aca="false">'Exec Summary'!$E$2-H2904</f>
        <v>87</v>
      </c>
      <c r="P2904" s="10" t="n">
        <f aca="false">IF(I2904="","",I2904-H2904)</f>
        <v>13</v>
      </c>
      <c r="Q2904" s="10" t="n">
        <f aca="false">VLOOKUP(G2904,$AA$2:$AB$5,2,FALSE())</f>
        <v>30</v>
      </c>
      <c r="R2904" s="7" t="n">
        <f aca="false">IF(OR(F2904="Open",F2904="Reopened"),1,0)</f>
        <v>0</v>
      </c>
      <c r="S2904" s="7" t="n">
        <f aca="false">IF(AND(H2904&gt;='Exec Summary'!$E$1,H2904&lt;='Exec Summary'!$E$2),1,0)</f>
        <v>0</v>
      </c>
      <c r="T2904" s="7" t="n">
        <f aca="false">IF(AND(F2904="Closed",I2904&lt;&gt;"",I2904&gt;='Exec Summary'!$E$1,I2904&lt;='Exec Summary'!$E$2),1,0)</f>
        <v>0</v>
      </c>
      <c r="U2904" s="7" t="n">
        <f aca="false">IF(F2904="Reopened",1,0)</f>
        <v>0</v>
      </c>
      <c r="V2904" s="7" t="n">
        <f aca="false">IF(AND(R2904=1,O2904&gt;Q2904),1,0)</f>
        <v>0</v>
      </c>
      <c r="W2904" s="7" t="n">
        <f aca="false">IF(AND(T2904=1,P2904&lt;&gt;"",P2904&lt;=Q2904),1,0)</f>
        <v>0</v>
      </c>
    </row>
    <row r="2905" customFormat="false" ht="15" hidden="false" customHeight="false" outlineLevel="0" collapsed="false">
      <c r="A2905" s="7" t="s">
        <v>3417</v>
      </c>
      <c r="B2905" s="7" t="s">
        <v>135</v>
      </c>
      <c r="C2905" s="7" t="s">
        <v>136</v>
      </c>
      <c r="D2905" s="7" t="s">
        <v>59</v>
      </c>
      <c r="E2905" s="7" t="s">
        <v>60</v>
      </c>
      <c r="F2905" s="7" t="s">
        <v>50</v>
      </c>
      <c r="G2905" s="7" t="s">
        <v>19</v>
      </c>
      <c r="H2905" s="9" t="n">
        <v>45952</v>
      </c>
      <c r="I2905" s="9" t="n">
        <v>45971</v>
      </c>
      <c r="J2905" s="7" t="n">
        <v>7.8</v>
      </c>
      <c r="K2905" s="7" t="s">
        <v>3340</v>
      </c>
      <c r="L2905" s="7" t="s">
        <v>21</v>
      </c>
      <c r="M2905" s="7" t="s">
        <v>3429</v>
      </c>
      <c r="N2905" s="7" t="s">
        <v>58</v>
      </c>
      <c r="O2905" s="10" t="n">
        <f aca="false">'Exec Summary'!$E$2-H2905</f>
        <v>282</v>
      </c>
      <c r="P2905" s="10" t="n">
        <f aca="false">IF(I2905="","",I2905-H2905)</f>
        <v>19</v>
      </c>
      <c r="Q2905" s="10" t="n">
        <f aca="false">VLOOKUP(G2905,$AA$2:$AB$5,2,FALSE())</f>
        <v>15</v>
      </c>
      <c r="R2905" s="7" t="n">
        <f aca="false">IF(OR(F2905="Open",F2905="Reopened"),1,0)</f>
        <v>0</v>
      </c>
      <c r="S2905" s="7" t="n">
        <f aca="false">IF(AND(H2905&gt;='Exec Summary'!$E$1,H2905&lt;='Exec Summary'!$E$2),1,0)</f>
        <v>0</v>
      </c>
      <c r="T2905" s="7" t="n">
        <f aca="false">IF(AND(F2905="Closed",I2905&lt;&gt;"",I2905&gt;='Exec Summary'!$E$1,I2905&lt;='Exec Summary'!$E$2),1,0)</f>
        <v>0</v>
      </c>
      <c r="U2905" s="7" t="n">
        <f aca="false">IF(F2905="Reopened",1,0)</f>
        <v>0</v>
      </c>
      <c r="V2905" s="7" t="n">
        <f aca="false">IF(AND(R2905=1,O2905&gt;Q2905),1,0)</f>
        <v>0</v>
      </c>
      <c r="W2905" s="7" t="n">
        <f aca="false">IF(AND(T2905=1,P2905&lt;&gt;"",P2905&lt;=Q2905),1,0)</f>
        <v>0</v>
      </c>
    </row>
    <row r="2906" customFormat="false" ht="15" hidden="false" customHeight="false" outlineLevel="0" collapsed="false">
      <c r="A2906" s="7" t="s">
        <v>3417</v>
      </c>
      <c r="B2906" s="7" t="s">
        <v>135</v>
      </c>
      <c r="C2906" s="7" t="s">
        <v>136</v>
      </c>
      <c r="D2906" s="7" t="s">
        <v>139</v>
      </c>
      <c r="E2906" s="7" t="s">
        <v>140</v>
      </c>
      <c r="F2906" s="7" t="s">
        <v>50</v>
      </c>
      <c r="G2906" s="7" t="s">
        <v>19</v>
      </c>
      <c r="H2906" s="9" t="n">
        <v>45977</v>
      </c>
      <c r="I2906" s="9" t="n">
        <v>45990</v>
      </c>
      <c r="J2906" s="7" t="n">
        <v>9.8</v>
      </c>
      <c r="K2906" s="7" t="s">
        <v>3340</v>
      </c>
      <c r="L2906" s="7" t="s">
        <v>21</v>
      </c>
      <c r="M2906" s="7" t="s">
        <v>3430</v>
      </c>
      <c r="N2906" s="7" t="s">
        <v>58</v>
      </c>
      <c r="O2906" s="10" t="n">
        <f aca="false">'Exec Summary'!$E$2-H2906</f>
        <v>257</v>
      </c>
      <c r="P2906" s="10" t="n">
        <f aca="false">IF(I2906="","",I2906-H2906)</f>
        <v>13</v>
      </c>
      <c r="Q2906" s="10" t="n">
        <f aca="false">VLOOKUP(G2906,$AA$2:$AB$5,2,FALSE())</f>
        <v>15</v>
      </c>
      <c r="R2906" s="7" t="n">
        <f aca="false">IF(OR(F2906="Open",F2906="Reopened"),1,0)</f>
        <v>0</v>
      </c>
      <c r="S2906" s="7" t="n">
        <f aca="false">IF(AND(H2906&gt;='Exec Summary'!$E$1,H2906&lt;='Exec Summary'!$E$2),1,0)</f>
        <v>0</v>
      </c>
      <c r="T2906" s="7" t="n">
        <f aca="false">IF(AND(F2906="Closed",I2906&lt;&gt;"",I2906&gt;='Exec Summary'!$E$1,I2906&lt;='Exec Summary'!$E$2),1,0)</f>
        <v>0</v>
      </c>
      <c r="U2906" s="7" t="n">
        <f aca="false">IF(F2906="Reopened",1,0)</f>
        <v>0</v>
      </c>
      <c r="V2906" s="7" t="n">
        <f aca="false">IF(AND(R2906=1,O2906&gt;Q2906),1,0)</f>
        <v>0</v>
      </c>
      <c r="W2906" s="7" t="n">
        <f aca="false">IF(AND(T2906=1,P2906&lt;&gt;"",P2906&lt;=Q2906),1,0)</f>
        <v>0</v>
      </c>
    </row>
    <row r="2907" customFormat="false" ht="15" hidden="false" customHeight="false" outlineLevel="0" collapsed="false">
      <c r="A2907" s="7" t="s">
        <v>3417</v>
      </c>
      <c r="B2907" s="7" t="s">
        <v>135</v>
      </c>
      <c r="C2907" s="7" t="s">
        <v>136</v>
      </c>
      <c r="D2907" s="7" t="s">
        <v>104</v>
      </c>
      <c r="E2907" s="7" t="s">
        <v>105</v>
      </c>
      <c r="F2907" s="7" t="s">
        <v>56</v>
      </c>
      <c r="G2907" s="7" t="s">
        <v>19</v>
      </c>
      <c r="H2907" s="9" t="n">
        <v>46110</v>
      </c>
      <c r="I2907" s="9"/>
      <c r="J2907" s="7" t="n">
        <v>9.8</v>
      </c>
      <c r="K2907" s="7" t="s">
        <v>3340</v>
      </c>
      <c r="L2907" s="7" t="s">
        <v>21</v>
      </c>
      <c r="M2907" s="7" t="s">
        <v>3431</v>
      </c>
      <c r="N2907" s="7" t="s">
        <v>58</v>
      </c>
      <c r="O2907" s="10" t="n">
        <f aca="false">'Exec Summary'!$E$2-H2907</f>
        <v>124</v>
      </c>
      <c r="P2907" s="10" t="str">
        <f aca="false">IF(I2907="","",I2907-H2907)</f>
        <v/>
      </c>
      <c r="Q2907" s="10" t="n">
        <f aca="false">VLOOKUP(G2907,$AA$2:$AB$5,2,FALSE())</f>
        <v>15</v>
      </c>
      <c r="R2907" s="7" t="n">
        <f aca="false">IF(OR(F2907="Open",F2907="Reopened"),1,0)</f>
        <v>1</v>
      </c>
      <c r="S2907" s="7" t="n">
        <f aca="false">IF(AND(H2907&gt;='Exec Summary'!$E$1,H2907&lt;='Exec Summary'!$E$2),1,0)</f>
        <v>0</v>
      </c>
      <c r="T2907" s="7" t="n">
        <f aca="false">IF(AND(F2907="Closed",I2907&lt;&gt;"",I2907&gt;='Exec Summary'!$E$1,I2907&lt;='Exec Summary'!$E$2),1,0)</f>
        <v>0</v>
      </c>
      <c r="U2907" s="7" t="n">
        <f aca="false">IF(F2907="Reopened",1,0)</f>
        <v>0</v>
      </c>
      <c r="V2907" s="7" t="n">
        <f aca="false">IF(AND(R2907=1,O2907&gt;Q2907),1,0)</f>
        <v>1</v>
      </c>
      <c r="W2907" s="7" t="n">
        <f aca="false">IF(AND(T2907=1,P2907&lt;&gt;"",P2907&lt;=Q2907),1,0)</f>
        <v>0</v>
      </c>
    </row>
    <row r="2908" customFormat="false" ht="15" hidden="false" customHeight="false" outlineLevel="0" collapsed="false">
      <c r="A2908" s="7" t="s">
        <v>3432</v>
      </c>
      <c r="B2908" s="7" t="s">
        <v>135</v>
      </c>
      <c r="C2908" s="7" t="s">
        <v>247</v>
      </c>
      <c r="D2908" s="7" t="s">
        <v>192</v>
      </c>
      <c r="E2908" s="7" t="s">
        <v>193</v>
      </c>
      <c r="F2908" s="7" t="s">
        <v>50</v>
      </c>
      <c r="G2908" s="7" t="s">
        <v>19</v>
      </c>
      <c r="H2908" s="9" t="n">
        <v>46129</v>
      </c>
      <c r="I2908" s="9" t="n">
        <v>46142</v>
      </c>
      <c r="J2908" s="7" t="n">
        <v>9.8</v>
      </c>
      <c r="K2908" s="7" t="s">
        <v>3340</v>
      </c>
      <c r="L2908" s="7" t="s">
        <v>22</v>
      </c>
      <c r="M2908" s="7" t="s">
        <v>3433</v>
      </c>
      <c r="N2908" s="7" t="s">
        <v>58</v>
      </c>
      <c r="O2908" s="10" t="n">
        <f aca="false">'Exec Summary'!$E$2-H2908</f>
        <v>105</v>
      </c>
      <c r="P2908" s="10" t="n">
        <f aca="false">IF(I2908="","",I2908-H2908)</f>
        <v>13</v>
      </c>
      <c r="Q2908" s="10" t="n">
        <f aca="false">VLOOKUP(G2908,$AA$2:$AB$5,2,FALSE())</f>
        <v>15</v>
      </c>
      <c r="R2908" s="7" t="n">
        <f aca="false">IF(OR(F2908="Open",F2908="Reopened"),1,0)</f>
        <v>0</v>
      </c>
      <c r="S2908" s="7" t="n">
        <f aca="false">IF(AND(H2908&gt;='Exec Summary'!$E$1,H2908&lt;='Exec Summary'!$E$2),1,0)</f>
        <v>0</v>
      </c>
      <c r="T2908" s="7" t="n">
        <f aca="false">IF(AND(F2908="Closed",I2908&lt;&gt;"",I2908&gt;='Exec Summary'!$E$1,I2908&lt;='Exec Summary'!$E$2),1,0)</f>
        <v>0</v>
      </c>
      <c r="U2908" s="7" t="n">
        <f aca="false">IF(F2908="Reopened",1,0)</f>
        <v>0</v>
      </c>
      <c r="V2908" s="7" t="n">
        <f aca="false">IF(AND(R2908=1,O2908&gt;Q2908),1,0)</f>
        <v>0</v>
      </c>
      <c r="W2908" s="7" t="n">
        <f aca="false">IF(AND(T2908=1,P2908&lt;&gt;"",P2908&lt;=Q2908),1,0)</f>
        <v>0</v>
      </c>
    </row>
    <row r="2909" customFormat="false" ht="15" hidden="false" customHeight="false" outlineLevel="0" collapsed="false">
      <c r="A2909" s="7" t="s">
        <v>3432</v>
      </c>
      <c r="B2909" s="7" t="s">
        <v>135</v>
      </c>
      <c r="C2909" s="7" t="s">
        <v>247</v>
      </c>
      <c r="D2909" s="7" t="s">
        <v>68</v>
      </c>
      <c r="E2909" s="7" t="s">
        <v>69</v>
      </c>
      <c r="F2909" s="7" t="s">
        <v>50</v>
      </c>
      <c r="G2909" s="7" t="s">
        <v>19</v>
      </c>
      <c r="H2909" s="9" t="n">
        <v>46088</v>
      </c>
      <c r="I2909" s="9" t="n">
        <v>46115</v>
      </c>
      <c r="J2909" s="7" t="n">
        <v>9.8</v>
      </c>
      <c r="K2909" s="7" t="s">
        <v>3340</v>
      </c>
      <c r="L2909" s="7" t="s">
        <v>22</v>
      </c>
      <c r="M2909" s="7" t="s">
        <v>3434</v>
      </c>
      <c r="N2909" s="7" t="s">
        <v>58</v>
      </c>
      <c r="O2909" s="10" t="n">
        <f aca="false">'Exec Summary'!$E$2-H2909</f>
        <v>146</v>
      </c>
      <c r="P2909" s="10" t="n">
        <f aca="false">IF(I2909="","",I2909-H2909)</f>
        <v>27</v>
      </c>
      <c r="Q2909" s="10" t="n">
        <f aca="false">VLOOKUP(G2909,$AA$2:$AB$5,2,FALSE())</f>
        <v>15</v>
      </c>
      <c r="R2909" s="7" t="n">
        <f aca="false">IF(OR(F2909="Open",F2909="Reopened"),1,0)</f>
        <v>0</v>
      </c>
      <c r="S2909" s="7" t="n">
        <f aca="false">IF(AND(H2909&gt;='Exec Summary'!$E$1,H2909&lt;='Exec Summary'!$E$2),1,0)</f>
        <v>0</v>
      </c>
      <c r="T2909" s="7" t="n">
        <f aca="false">IF(AND(F2909="Closed",I2909&lt;&gt;"",I2909&gt;='Exec Summary'!$E$1,I2909&lt;='Exec Summary'!$E$2),1,0)</f>
        <v>0</v>
      </c>
      <c r="U2909" s="7" t="n">
        <f aca="false">IF(F2909="Reopened",1,0)</f>
        <v>0</v>
      </c>
      <c r="V2909" s="7" t="n">
        <f aca="false">IF(AND(R2909=1,O2909&gt;Q2909),1,0)</f>
        <v>0</v>
      </c>
      <c r="W2909" s="7" t="n">
        <f aca="false">IF(AND(T2909=1,P2909&lt;&gt;"",P2909&lt;=Q2909),1,0)</f>
        <v>0</v>
      </c>
    </row>
    <row r="2910" customFormat="false" ht="15" hidden="false" customHeight="false" outlineLevel="0" collapsed="false">
      <c r="A2910" s="7" t="s">
        <v>3432</v>
      </c>
      <c r="B2910" s="7" t="s">
        <v>135</v>
      </c>
      <c r="C2910" s="7" t="s">
        <v>247</v>
      </c>
      <c r="D2910" s="7" t="s">
        <v>65</v>
      </c>
      <c r="E2910" s="7" t="s">
        <v>66</v>
      </c>
      <c r="F2910" s="7" t="s">
        <v>56</v>
      </c>
      <c r="G2910" s="7" t="s">
        <v>19</v>
      </c>
      <c r="H2910" s="9" t="n">
        <v>46155</v>
      </c>
      <c r="I2910" s="9"/>
      <c r="J2910" s="7" t="n">
        <v>9.8</v>
      </c>
      <c r="K2910" s="7" t="s">
        <v>3340</v>
      </c>
      <c r="L2910" s="7" t="s">
        <v>22</v>
      </c>
      <c r="M2910" s="7" t="s">
        <v>3435</v>
      </c>
      <c r="N2910" s="7" t="s">
        <v>58</v>
      </c>
      <c r="O2910" s="10" t="n">
        <f aca="false">'Exec Summary'!$E$2-H2910</f>
        <v>79</v>
      </c>
      <c r="P2910" s="10" t="str">
        <f aca="false">IF(I2910="","",I2910-H2910)</f>
        <v/>
      </c>
      <c r="Q2910" s="10" t="n">
        <f aca="false">VLOOKUP(G2910,$AA$2:$AB$5,2,FALSE())</f>
        <v>15</v>
      </c>
      <c r="R2910" s="7" t="n">
        <f aca="false">IF(OR(F2910="Open",F2910="Reopened"),1,0)</f>
        <v>1</v>
      </c>
      <c r="S2910" s="7" t="n">
        <f aca="false">IF(AND(H2910&gt;='Exec Summary'!$E$1,H2910&lt;='Exec Summary'!$E$2),1,0)</f>
        <v>0</v>
      </c>
      <c r="T2910" s="7" t="n">
        <f aca="false">IF(AND(F2910="Closed",I2910&lt;&gt;"",I2910&gt;='Exec Summary'!$E$1,I2910&lt;='Exec Summary'!$E$2),1,0)</f>
        <v>0</v>
      </c>
      <c r="U2910" s="7" t="n">
        <f aca="false">IF(F2910="Reopened",1,0)</f>
        <v>0</v>
      </c>
      <c r="V2910" s="7" t="n">
        <f aca="false">IF(AND(R2910=1,O2910&gt;Q2910),1,0)</f>
        <v>1</v>
      </c>
      <c r="W2910" s="7" t="n">
        <f aca="false">IF(AND(T2910=1,P2910&lt;&gt;"",P2910&lt;=Q2910),1,0)</f>
        <v>0</v>
      </c>
    </row>
    <row r="2911" customFormat="false" ht="15" hidden="false" customHeight="false" outlineLevel="0" collapsed="false">
      <c r="A2911" s="7" t="s">
        <v>3432</v>
      </c>
      <c r="B2911" s="7" t="s">
        <v>135</v>
      </c>
      <c r="C2911" s="7" t="s">
        <v>247</v>
      </c>
      <c r="D2911" s="7" t="s">
        <v>206</v>
      </c>
      <c r="E2911" s="7" t="s">
        <v>207</v>
      </c>
      <c r="F2911" s="7" t="s">
        <v>56</v>
      </c>
      <c r="G2911" s="7" t="s">
        <v>20</v>
      </c>
      <c r="H2911" s="9" t="n">
        <v>46067</v>
      </c>
      <c r="I2911" s="9"/>
      <c r="J2911" s="7" t="n">
        <v>8.8</v>
      </c>
      <c r="K2911" s="7" t="s">
        <v>3340</v>
      </c>
      <c r="L2911" s="7" t="s">
        <v>22</v>
      </c>
      <c r="M2911" s="7" t="s">
        <v>3436</v>
      </c>
      <c r="N2911" s="7" t="s">
        <v>53</v>
      </c>
      <c r="O2911" s="10" t="n">
        <f aca="false">'Exec Summary'!$E$2-H2911</f>
        <v>167</v>
      </c>
      <c r="P2911" s="10" t="str">
        <f aca="false">IF(I2911="","",I2911-H2911)</f>
        <v/>
      </c>
      <c r="Q2911" s="10" t="n">
        <f aca="false">VLOOKUP(G2911,$AA$2:$AB$5,2,FALSE())</f>
        <v>30</v>
      </c>
      <c r="R2911" s="7" t="n">
        <f aca="false">IF(OR(F2911="Open",F2911="Reopened"),1,0)</f>
        <v>1</v>
      </c>
      <c r="S2911" s="7" t="n">
        <f aca="false">IF(AND(H2911&gt;='Exec Summary'!$E$1,H2911&lt;='Exec Summary'!$E$2),1,0)</f>
        <v>0</v>
      </c>
      <c r="T2911" s="7" t="n">
        <f aca="false">IF(AND(F2911="Closed",I2911&lt;&gt;"",I2911&gt;='Exec Summary'!$E$1,I2911&lt;='Exec Summary'!$E$2),1,0)</f>
        <v>0</v>
      </c>
      <c r="U2911" s="7" t="n">
        <f aca="false">IF(F2911="Reopened",1,0)</f>
        <v>0</v>
      </c>
      <c r="V2911" s="7" t="n">
        <f aca="false">IF(AND(R2911=1,O2911&gt;Q2911),1,0)</f>
        <v>1</v>
      </c>
      <c r="W2911" s="7" t="n">
        <f aca="false">IF(AND(T2911=1,P2911&lt;&gt;"",P2911&lt;=Q2911),1,0)</f>
        <v>0</v>
      </c>
    </row>
    <row r="2912" customFormat="false" ht="15" hidden="false" customHeight="false" outlineLevel="0" collapsed="false">
      <c r="A2912" s="7" t="s">
        <v>3432</v>
      </c>
      <c r="B2912" s="7" t="s">
        <v>135</v>
      </c>
      <c r="C2912" s="7" t="s">
        <v>247</v>
      </c>
      <c r="D2912" s="7" t="s">
        <v>104</v>
      </c>
      <c r="E2912" s="7" t="s">
        <v>105</v>
      </c>
      <c r="F2912" s="7" t="s">
        <v>56</v>
      </c>
      <c r="G2912" s="7" t="s">
        <v>19</v>
      </c>
      <c r="H2912" s="9" t="n">
        <v>46210</v>
      </c>
      <c r="I2912" s="9"/>
      <c r="J2912" s="7" t="n">
        <v>9.8</v>
      </c>
      <c r="K2912" s="7" t="s">
        <v>3340</v>
      </c>
      <c r="L2912" s="7" t="s">
        <v>22</v>
      </c>
      <c r="M2912" s="7" t="s">
        <v>3437</v>
      </c>
      <c r="N2912" s="7" t="s">
        <v>58</v>
      </c>
      <c r="O2912" s="10" t="n">
        <f aca="false">'Exec Summary'!$E$2-H2912</f>
        <v>24</v>
      </c>
      <c r="P2912" s="10" t="str">
        <f aca="false">IF(I2912="","",I2912-H2912)</f>
        <v/>
      </c>
      <c r="Q2912" s="10" t="n">
        <f aca="false">VLOOKUP(G2912,$AA$2:$AB$5,2,FALSE())</f>
        <v>15</v>
      </c>
      <c r="R2912" s="7" t="n">
        <f aca="false">IF(OR(F2912="Open",F2912="Reopened"),1,0)</f>
        <v>1</v>
      </c>
      <c r="S2912" s="7" t="n">
        <f aca="false">IF(AND(H2912&gt;='Exec Summary'!$E$1,H2912&lt;='Exec Summary'!$E$2),1,0)</f>
        <v>1</v>
      </c>
      <c r="T2912" s="7" t="n">
        <f aca="false">IF(AND(F2912="Closed",I2912&lt;&gt;"",I2912&gt;='Exec Summary'!$E$1,I2912&lt;='Exec Summary'!$E$2),1,0)</f>
        <v>0</v>
      </c>
      <c r="U2912" s="7" t="n">
        <f aca="false">IF(F2912="Reopened",1,0)</f>
        <v>0</v>
      </c>
      <c r="V2912" s="7" t="n">
        <f aca="false">IF(AND(R2912=1,O2912&gt;Q2912),1,0)</f>
        <v>1</v>
      </c>
      <c r="W2912" s="7" t="n">
        <f aca="false">IF(AND(T2912=1,P2912&lt;&gt;"",P2912&lt;=Q2912),1,0)</f>
        <v>0</v>
      </c>
    </row>
    <row r="2913" customFormat="false" ht="15" hidden="false" customHeight="false" outlineLevel="0" collapsed="false">
      <c r="A2913" s="7" t="s">
        <v>3432</v>
      </c>
      <c r="B2913" s="7" t="s">
        <v>135</v>
      </c>
      <c r="C2913" s="7" t="s">
        <v>247</v>
      </c>
      <c r="D2913" s="7" t="s">
        <v>131</v>
      </c>
      <c r="E2913" s="7" t="s">
        <v>132</v>
      </c>
      <c r="F2913" s="7" t="s">
        <v>50</v>
      </c>
      <c r="G2913" s="7" t="s">
        <v>19</v>
      </c>
      <c r="H2913" s="9" t="n">
        <v>45959</v>
      </c>
      <c r="I2913" s="9" t="n">
        <v>45972</v>
      </c>
      <c r="J2913" s="7" t="n">
        <v>9.8</v>
      </c>
      <c r="K2913" s="7" t="s">
        <v>3340</v>
      </c>
      <c r="L2913" s="7" t="s">
        <v>22</v>
      </c>
      <c r="M2913" s="7" t="s">
        <v>3438</v>
      </c>
      <c r="N2913" s="7" t="s">
        <v>58</v>
      </c>
      <c r="O2913" s="10" t="n">
        <f aca="false">'Exec Summary'!$E$2-H2913</f>
        <v>275</v>
      </c>
      <c r="P2913" s="10" t="n">
        <f aca="false">IF(I2913="","",I2913-H2913)</f>
        <v>13</v>
      </c>
      <c r="Q2913" s="10" t="n">
        <f aca="false">VLOOKUP(G2913,$AA$2:$AB$5,2,FALSE())</f>
        <v>15</v>
      </c>
      <c r="R2913" s="7" t="n">
        <f aca="false">IF(OR(F2913="Open",F2913="Reopened"),1,0)</f>
        <v>0</v>
      </c>
      <c r="S2913" s="7" t="n">
        <f aca="false">IF(AND(H2913&gt;='Exec Summary'!$E$1,H2913&lt;='Exec Summary'!$E$2),1,0)</f>
        <v>0</v>
      </c>
      <c r="T2913" s="7" t="n">
        <f aca="false">IF(AND(F2913="Closed",I2913&lt;&gt;"",I2913&gt;='Exec Summary'!$E$1,I2913&lt;='Exec Summary'!$E$2),1,0)</f>
        <v>0</v>
      </c>
      <c r="U2913" s="7" t="n">
        <f aca="false">IF(F2913="Reopened",1,0)</f>
        <v>0</v>
      </c>
      <c r="V2913" s="7" t="n">
        <f aca="false">IF(AND(R2913=1,O2913&gt;Q2913),1,0)</f>
        <v>0</v>
      </c>
      <c r="W2913" s="7" t="n">
        <f aca="false">IF(AND(T2913=1,P2913&lt;&gt;"",P2913&lt;=Q2913),1,0)</f>
        <v>0</v>
      </c>
    </row>
    <row r="2914" customFormat="false" ht="15" hidden="false" customHeight="false" outlineLevel="0" collapsed="false">
      <c r="A2914" s="7" t="s">
        <v>3439</v>
      </c>
      <c r="B2914" s="7" t="s">
        <v>46</v>
      </c>
      <c r="C2914" s="7" t="s">
        <v>128</v>
      </c>
      <c r="D2914" s="7" t="s">
        <v>74</v>
      </c>
      <c r="E2914" s="7" t="s">
        <v>75</v>
      </c>
      <c r="F2914" s="7" t="s">
        <v>50</v>
      </c>
      <c r="G2914" s="7" t="s">
        <v>21</v>
      </c>
      <c r="H2914" s="9" t="n">
        <v>46040</v>
      </c>
      <c r="I2914" s="9" t="n">
        <v>46089</v>
      </c>
      <c r="J2914" s="7" t="n">
        <v>6.5</v>
      </c>
      <c r="K2914" s="7" t="s">
        <v>3340</v>
      </c>
      <c r="L2914" s="7" t="s">
        <v>21</v>
      </c>
      <c r="M2914" s="7" t="s">
        <v>3440</v>
      </c>
      <c r="N2914" s="7" t="s">
        <v>77</v>
      </c>
      <c r="O2914" s="10" t="n">
        <f aca="false">'Exec Summary'!$E$2-H2914</f>
        <v>194</v>
      </c>
      <c r="P2914" s="10" t="n">
        <f aca="false">IF(I2914="","",I2914-H2914)</f>
        <v>49</v>
      </c>
      <c r="Q2914" s="10" t="n">
        <f aca="false">VLOOKUP(G2914,$AA$2:$AB$5,2,FALSE())</f>
        <v>90</v>
      </c>
      <c r="R2914" s="7" t="n">
        <f aca="false">IF(OR(F2914="Open",F2914="Reopened"),1,0)</f>
        <v>0</v>
      </c>
      <c r="S2914" s="7" t="n">
        <f aca="false">IF(AND(H2914&gt;='Exec Summary'!$E$1,H2914&lt;='Exec Summary'!$E$2),1,0)</f>
        <v>0</v>
      </c>
      <c r="T2914" s="7" t="n">
        <f aca="false">IF(AND(F2914="Closed",I2914&lt;&gt;"",I2914&gt;='Exec Summary'!$E$1,I2914&lt;='Exec Summary'!$E$2),1,0)</f>
        <v>0</v>
      </c>
      <c r="U2914" s="7" t="n">
        <f aca="false">IF(F2914="Reopened",1,0)</f>
        <v>0</v>
      </c>
      <c r="V2914" s="7" t="n">
        <f aca="false">IF(AND(R2914=1,O2914&gt;Q2914),1,0)</f>
        <v>0</v>
      </c>
      <c r="W2914" s="7" t="n">
        <f aca="false">IF(AND(T2914=1,P2914&lt;&gt;"",P2914&lt;=Q2914),1,0)</f>
        <v>0</v>
      </c>
    </row>
    <row r="2915" customFormat="false" ht="15" hidden="false" customHeight="false" outlineLevel="0" collapsed="false">
      <c r="A2915" s="7" t="s">
        <v>3439</v>
      </c>
      <c r="B2915" s="7" t="s">
        <v>46</v>
      </c>
      <c r="C2915" s="7" t="s">
        <v>128</v>
      </c>
      <c r="D2915" s="7" t="s">
        <v>48</v>
      </c>
      <c r="E2915" s="7" t="s">
        <v>49</v>
      </c>
      <c r="F2915" s="7" t="s">
        <v>123</v>
      </c>
      <c r="G2915" s="7" t="s">
        <v>20</v>
      </c>
      <c r="H2915" s="9" t="n">
        <v>45983</v>
      </c>
      <c r="I2915" s="9" t="n">
        <v>46009</v>
      </c>
      <c r="J2915" s="7" t="n">
        <v>7.5</v>
      </c>
      <c r="K2915" s="7" t="s">
        <v>3340</v>
      </c>
      <c r="L2915" s="7" t="s">
        <v>21</v>
      </c>
      <c r="M2915" s="7" t="s">
        <v>3441</v>
      </c>
      <c r="N2915" s="7" t="s">
        <v>53</v>
      </c>
      <c r="O2915" s="10" t="n">
        <f aca="false">'Exec Summary'!$E$2-H2915</f>
        <v>251</v>
      </c>
      <c r="P2915" s="10" t="n">
        <f aca="false">IF(I2915="","",I2915-H2915)</f>
        <v>26</v>
      </c>
      <c r="Q2915" s="10" t="n">
        <f aca="false">VLOOKUP(G2915,$AA$2:$AB$5,2,FALSE())</f>
        <v>30</v>
      </c>
      <c r="R2915" s="7" t="n">
        <f aca="false">IF(OR(F2915="Open",F2915="Reopened"),1,0)</f>
        <v>1</v>
      </c>
      <c r="S2915" s="7" t="n">
        <f aca="false">IF(AND(H2915&gt;='Exec Summary'!$E$1,H2915&lt;='Exec Summary'!$E$2),1,0)</f>
        <v>0</v>
      </c>
      <c r="T2915" s="7" t="n">
        <f aca="false">IF(AND(F2915="Closed",I2915&lt;&gt;"",I2915&gt;='Exec Summary'!$E$1,I2915&lt;='Exec Summary'!$E$2),1,0)</f>
        <v>0</v>
      </c>
      <c r="U2915" s="7" t="n">
        <f aca="false">IF(F2915="Reopened",1,0)</f>
        <v>1</v>
      </c>
      <c r="V2915" s="7" t="n">
        <f aca="false">IF(AND(R2915=1,O2915&gt;Q2915),1,0)</f>
        <v>1</v>
      </c>
      <c r="W2915" s="7" t="n">
        <f aca="false">IF(AND(T2915=1,P2915&lt;&gt;"",P2915&lt;=Q2915),1,0)</f>
        <v>0</v>
      </c>
    </row>
    <row r="2916" customFormat="false" ht="15" hidden="false" customHeight="false" outlineLevel="0" collapsed="false">
      <c r="A2916" s="7" t="s">
        <v>3439</v>
      </c>
      <c r="B2916" s="7" t="s">
        <v>46</v>
      </c>
      <c r="C2916" s="7" t="s">
        <v>128</v>
      </c>
      <c r="D2916" s="7" t="s">
        <v>117</v>
      </c>
      <c r="E2916" s="7" t="s">
        <v>118</v>
      </c>
      <c r="F2916" s="7" t="s">
        <v>50</v>
      </c>
      <c r="G2916" s="7" t="s">
        <v>19</v>
      </c>
      <c r="H2916" s="9" t="n">
        <v>46047</v>
      </c>
      <c r="I2916" s="9" t="n">
        <v>46055</v>
      </c>
      <c r="J2916" s="7" t="n">
        <v>10</v>
      </c>
      <c r="K2916" s="7" t="s">
        <v>3340</v>
      </c>
      <c r="L2916" s="7" t="s">
        <v>21</v>
      </c>
      <c r="M2916" s="7" t="s">
        <v>3442</v>
      </c>
      <c r="N2916" s="7" t="s">
        <v>58</v>
      </c>
      <c r="O2916" s="10" t="n">
        <f aca="false">'Exec Summary'!$E$2-H2916</f>
        <v>187</v>
      </c>
      <c r="P2916" s="10" t="n">
        <f aca="false">IF(I2916="","",I2916-H2916)</f>
        <v>8</v>
      </c>
      <c r="Q2916" s="10" t="n">
        <f aca="false">VLOOKUP(G2916,$AA$2:$AB$5,2,FALSE())</f>
        <v>15</v>
      </c>
      <c r="R2916" s="7" t="n">
        <f aca="false">IF(OR(F2916="Open",F2916="Reopened"),1,0)</f>
        <v>0</v>
      </c>
      <c r="S2916" s="7" t="n">
        <f aca="false">IF(AND(H2916&gt;='Exec Summary'!$E$1,H2916&lt;='Exec Summary'!$E$2),1,0)</f>
        <v>0</v>
      </c>
      <c r="T2916" s="7" t="n">
        <f aca="false">IF(AND(F2916="Closed",I2916&lt;&gt;"",I2916&gt;='Exec Summary'!$E$1,I2916&lt;='Exec Summary'!$E$2),1,0)</f>
        <v>0</v>
      </c>
      <c r="U2916" s="7" t="n">
        <f aca="false">IF(F2916="Reopened",1,0)</f>
        <v>0</v>
      </c>
      <c r="V2916" s="7" t="n">
        <f aca="false">IF(AND(R2916=1,O2916&gt;Q2916),1,0)</f>
        <v>0</v>
      </c>
      <c r="W2916" s="7" t="n">
        <f aca="false">IF(AND(T2916=1,P2916&lt;&gt;"",P2916&lt;=Q2916),1,0)</f>
        <v>0</v>
      </c>
    </row>
    <row r="2917" customFormat="false" ht="15" hidden="false" customHeight="false" outlineLevel="0" collapsed="false">
      <c r="A2917" s="7" t="s">
        <v>3439</v>
      </c>
      <c r="B2917" s="7" t="s">
        <v>46</v>
      </c>
      <c r="C2917" s="7" t="s">
        <v>128</v>
      </c>
      <c r="D2917" s="7" t="s">
        <v>87</v>
      </c>
      <c r="E2917" s="7" t="s">
        <v>88</v>
      </c>
      <c r="F2917" s="7" t="s">
        <v>50</v>
      </c>
      <c r="G2917" s="7" t="s">
        <v>19</v>
      </c>
      <c r="H2917" s="9" t="n">
        <v>46102</v>
      </c>
      <c r="I2917" s="9" t="n">
        <v>46123</v>
      </c>
      <c r="J2917" s="7" t="n">
        <v>10</v>
      </c>
      <c r="K2917" s="7" t="s">
        <v>3340</v>
      </c>
      <c r="L2917" s="7" t="s">
        <v>21</v>
      </c>
      <c r="M2917" s="7" t="s">
        <v>3443</v>
      </c>
      <c r="N2917" s="7" t="s">
        <v>58</v>
      </c>
      <c r="O2917" s="10" t="n">
        <f aca="false">'Exec Summary'!$E$2-H2917</f>
        <v>132</v>
      </c>
      <c r="P2917" s="10" t="n">
        <f aca="false">IF(I2917="","",I2917-H2917)</f>
        <v>21</v>
      </c>
      <c r="Q2917" s="10" t="n">
        <f aca="false">VLOOKUP(G2917,$AA$2:$AB$5,2,FALSE())</f>
        <v>15</v>
      </c>
      <c r="R2917" s="7" t="n">
        <f aca="false">IF(OR(F2917="Open",F2917="Reopened"),1,0)</f>
        <v>0</v>
      </c>
      <c r="S2917" s="7" t="n">
        <f aca="false">IF(AND(H2917&gt;='Exec Summary'!$E$1,H2917&lt;='Exec Summary'!$E$2),1,0)</f>
        <v>0</v>
      </c>
      <c r="T2917" s="7" t="n">
        <f aca="false">IF(AND(F2917="Closed",I2917&lt;&gt;"",I2917&gt;='Exec Summary'!$E$1,I2917&lt;='Exec Summary'!$E$2),1,0)</f>
        <v>0</v>
      </c>
      <c r="U2917" s="7" t="n">
        <f aca="false">IF(F2917="Reopened",1,0)</f>
        <v>0</v>
      </c>
      <c r="V2917" s="7" t="n">
        <f aca="false">IF(AND(R2917=1,O2917&gt;Q2917),1,0)</f>
        <v>0</v>
      </c>
      <c r="W2917" s="7" t="n">
        <f aca="false">IF(AND(T2917=1,P2917&lt;&gt;"",P2917&lt;=Q2917),1,0)</f>
        <v>0</v>
      </c>
    </row>
    <row r="2918" customFormat="false" ht="15" hidden="false" customHeight="false" outlineLevel="0" collapsed="false">
      <c r="A2918" s="7" t="s">
        <v>3439</v>
      </c>
      <c r="B2918" s="7" t="s">
        <v>46</v>
      </c>
      <c r="C2918" s="7" t="s">
        <v>128</v>
      </c>
      <c r="D2918" s="7" t="s">
        <v>95</v>
      </c>
      <c r="E2918" s="7" t="s">
        <v>96</v>
      </c>
      <c r="F2918" s="7" t="s">
        <v>50</v>
      </c>
      <c r="G2918" s="7" t="s">
        <v>20</v>
      </c>
      <c r="H2918" s="9" t="n">
        <v>46109</v>
      </c>
      <c r="I2918" s="9" t="n">
        <v>46123</v>
      </c>
      <c r="J2918" s="7" t="n">
        <v>8.8</v>
      </c>
      <c r="K2918" s="7" t="s">
        <v>3340</v>
      </c>
      <c r="L2918" s="7" t="s">
        <v>21</v>
      </c>
      <c r="M2918" s="7" t="s">
        <v>3444</v>
      </c>
      <c r="N2918" s="7" t="s">
        <v>53</v>
      </c>
      <c r="O2918" s="10" t="n">
        <f aca="false">'Exec Summary'!$E$2-H2918</f>
        <v>125</v>
      </c>
      <c r="P2918" s="10" t="n">
        <f aca="false">IF(I2918="","",I2918-H2918)</f>
        <v>14</v>
      </c>
      <c r="Q2918" s="10" t="n">
        <f aca="false">VLOOKUP(G2918,$AA$2:$AB$5,2,FALSE())</f>
        <v>30</v>
      </c>
      <c r="R2918" s="7" t="n">
        <f aca="false">IF(OR(F2918="Open",F2918="Reopened"),1,0)</f>
        <v>0</v>
      </c>
      <c r="S2918" s="7" t="n">
        <f aca="false">IF(AND(H2918&gt;='Exec Summary'!$E$1,H2918&lt;='Exec Summary'!$E$2),1,0)</f>
        <v>0</v>
      </c>
      <c r="T2918" s="7" t="n">
        <f aca="false">IF(AND(F2918="Closed",I2918&lt;&gt;"",I2918&gt;='Exec Summary'!$E$1,I2918&lt;='Exec Summary'!$E$2),1,0)</f>
        <v>0</v>
      </c>
      <c r="U2918" s="7" t="n">
        <f aca="false">IF(F2918="Reopened",1,0)</f>
        <v>0</v>
      </c>
      <c r="V2918" s="7" t="n">
        <f aca="false">IF(AND(R2918=1,O2918&gt;Q2918),1,0)</f>
        <v>0</v>
      </c>
      <c r="W2918" s="7" t="n">
        <f aca="false">IF(AND(T2918=1,P2918&lt;&gt;"",P2918&lt;=Q2918),1,0)</f>
        <v>0</v>
      </c>
    </row>
    <row r="2919" customFormat="false" ht="15" hidden="false" customHeight="false" outlineLevel="0" collapsed="false">
      <c r="A2919" s="7" t="s">
        <v>3439</v>
      </c>
      <c r="B2919" s="7" t="s">
        <v>46</v>
      </c>
      <c r="C2919" s="7" t="s">
        <v>128</v>
      </c>
      <c r="D2919" s="7" t="s">
        <v>101</v>
      </c>
      <c r="E2919" s="7" t="s">
        <v>102</v>
      </c>
      <c r="F2919" s="7" t="s">
        <v>50</v>
      </c>
      <c r="G2919" s="7" t="s">
        <v>19</v>
      </c>
      <c r="H2919" s="9" t="n">
        <v>46041</v>
      </c>
      <c r="I2919" s="9" t="n">
        <v>46058</v>
      </c>
      <c r="J2919" s="7" t="n">
        <v>10</v>
      </c>
      <c r="K2919" s="7" t="s">
        <v>3340</v>
      </c>
      <c r="L2919" s="7" t="s">
        <v>21</v>
      </c>
      <c r="M2919" s="7" t="s">
        <v>3445</v>
      </c>
      <c r="N2919" s="7" t="s">
        <v>58</v>
      </c>
      <c r="O2919" s="10" t="n">
        <f aca="false">'Exec Summary'!$E$2-H2919</f>
        <v>193</v>
      </c>
      <c r="P2919" s="10" t="n">
        <f aca="false">IF(I2919="","",I2919-H2919)</f>
        <v>17</v>
      </c>
      <c r="Q2919" s="10" t="n">
        <f aca="false">VLOOKUP(G2919,$AA$2:$AB$5,2,FALSE())</f>
        <v>15</v>
      </c>
      <c r="R2919" s="7" t="n">
        <f aca="false">IF(OR(F2919="Open",F2919="Reopened"),1,0)</f>
        <v>0</v>
      </c>
      <c r="S2919" s="7" t="n">
        <f aca="false">IF(AND(H2919&gt;='Exec Summary'!$E$1,H2919&lt;='Exec Summary'!$E$2),1,0)</f>
        <v>0</v>
      </c>
      <c r="T2919" s="7" t="n">
        <f aca="false">IF(AND(F2919="Closed",I2919&lt;&gt;"",I2919&gt;='Exec Summary'!$E$1,I2919&lt;='Exec Summary'!$E$2),1,0)</f>
        <v>0</v>
      </c>
      <c r="U2919" s="7" t="n">
        <f aca="false">IF(F2919="Reopened",1,0)</f>
        <v>0</v>
      </c>
      <c r="V2919" s="7" t="n">
        <f aca="false">IF(AND(R2919=1,O2919&gt;Q2919),1,0)</f>
        <v>0</v>
      </c>
      <c r="W2919" s="7" t="n">
        <f aca="false">IF(AND(T2919=1,P2919&lt;&gt;"",P2919&lt;=Q2919),1,0)</f>
        <v>0</v>
      </c>
    </row>
    <row r="2920" customFormat="false" ht="15" hidden="false" customHeight="false" outlineLevel="0" collapsed="false">
      <c r="A2920" s="7" t="s">
        <v>3439</v>
      </c>
      <c r="B2920" s="7" t="s">
        <v>46</v>
      </c>
      <c r="C2920" s="7" t="s">
        <v>128</v>
      </c>
      <c r="D2920" s="7" t="s">
        <v>62</v>
      </c>
      <c r="E2920" s="7" t="s">
        <v>63</v>
      </c>
      <c r="F2920" s="7" t="s">
        <v>123</v>
      </c>
      <c r="G2920" s="7" t="s">
        <v>20</v>
      </c>
      <c r="H2920" s="9" t="n">
        <v>46064</v>
      </c>
      <c r="I2920" s="9" t="n">
        <v>46077</v>
      </c>
      <c r="J2920" s="7" t="n">
        <v>8.1</v>
      </c>
      <c r="K2920" s="7" t="s">
        <v>3340</v>
      </c>
      <c r="L2920" s="7" t="s">
        <v>21</v>
      </c>
      <c r="M2920" s="7" t="s">
        <v>3446</v>
      </c>
      <c r="N2920" s="7" t="s">
        <v>53</v>
      </c>
      <c r="O2920" s="10" t="n">
        <f aca="false">'Exec Summary'!$E$2-H2920</f>
        <v>170</v>
      </c>
      <c r="P2920" s="10" t="n">
        <f aca="false">IF(I2920="","",I2920-H2920)</f>
        <v>13</v>
      </c>
      <c r="Q2920" s="10" t="n">
        <f aca="false">VLOOKUP(G2920,$AA$2:$AB$5,2,FALSE())</f>
        <v>30</v>
      </c>
      <c r="R2920" s="7" t="n">
        <f aca="false">IF(OR(F2920="Open",F2920="Reopened"),1,0)</f>
        <v>1</v>
      </c>
      <c r="S2920" s="7" t="n">
        <f aca="false">IF(AND(H2920&gt;='Exec Summary'!$E$1,H2920&lt;='Exec Summary'!$E$2),1,0)</f>
        <v>0</v>
      </c>
      <c r="T2920" s="7" t="n">
        <f aca="false">IF(AND(F2920="Closed",I2920&lt;&gt;"",I2920&gt;='Exec Summary'!$E$1,I2920&lt;='Exec Summary'!$E$2),1,0)</f>
        <v>0</v>
      </c>
      <c r="U2920" s="7" t="n">
        <f aca="false">IF(F2920="Reopened",1,0)</f>
        <v>1</v>
      </c>
      <c r="V2920" s="7" t="n">
        <f aca="false">IF(AND(R2920=1,O2920&gt;Q2920),1,0)</f>
        <v>1</v>
      </c>
      <c r="W2920" s="7" t="n">
        <f aca="false">IF(AND(T2920=1,P2920&lt;&gt;"",P2920&lt;=Q2920),1,0)</f>
        <v>0</v>
      </c>
    </row>
    <row r="2921" customFormat="false" ht="15" hidden="false" customHeight="false" outlineLevel="0" collapsed="false">
      <c r="A2921" s="7" t="s">
        <v>3447</v>
      </c>
      <c r="B2921" s="7" t="s">
        <v>46</v>
      </c>
      <c r="C2921" s="7" t="s">
        <v>47</v>
      </c>
      <c r="D2921" s="7" t="s">
        <v>152</v>
      </c>
      <c r="E2921" s="7" t="s">
        <v>153</v>
      </c>
      <c r="F2921" s="7" t="s">
        <v>56</v>
      </c>
      <c r="G2921" s="7" t="s">
        <v>20</v>
      </c>
      <c r="H2921" s="9" t="n">
        <v>46013</v>
      </c>
      <c r="I2921" s="9"/>
      <c r="J2921" s="7" t="n">
        <v>7.5</v>
      </c>
      <c r="K2921" s="7" t="s">
        <v>3340</v>
      </c>
      <c r="L2921" s="7" t="s">
        <v>21</v>
      </c>
      <c r="M2921" s="7" t="s">
        <v>3448</v>
      </c>
      <c r="N2921" s="7" t="s">
        <v>53</v>
      </c>
      <c r="O2921" s="10" t="n">
        <f aca="false">'Exec Summary'!$E$2-H2921</f>
        <v>221</v>
      </c>
      <c r="P2921" s="10" t="str">
        <f aca="false">IF(I2921="","",I2921-H2921)</f>
        <v/>
      </c>
      <c r="Q2921" s="10" t="n">
        <f aca="false">VLOOKUP(G2921,$AA$2:$AB$5,2,FALSE())</f>
        <v>30</v>
      </c>
      <c r="R2921" s="7" t="n">
        <f aca="false">IF(OR(F2921="Open",F2921="Reopened"),1,0)</f>
        <v>1</v>
      </c>
      <c r="S2921" s="7" t="n">
        <f aca="false">IF(AND(H2921&gt;='Exec Summary'!$E$1,H2921&lt;='Exec Summary'!$E$2),1,0)</f>
        <v>0</v>
      </c>
      <c r="T2921" s="7" t="n">
        <f aca="false">IF(AND(F2921="Closed",I2921&lt;&gt;"",I2921&gt;='Exec Summary'!$E$1,I2921&lt;='Exec Summary'!$E$2),1,0)</f>
        <v>0</v>
      </c>
      <c r="U2921" s="7" t="n">
        <f aca="false">IF(F2921="Reopened",1,0)</f>
        <v>0</v>
      </c>
      <c r="V2921" s="7" t="n">
        <f aca="false">IF(AND(R2921=1,O2921&gt;Q2921),1,0)</f>
        <v>1</v>
      </c>
      <c r="W2921" s="7" t="n">
        <f aca="false">IF(AND(T2921=1,P2921&lt;&gt;"",P2921&lt;=Q2921),1,0)</f>
        <v>0</v>
      </c>
    </row>
    <row r="2922" customFormat="false" ht="15" hidden="false" customHeight="false" outlineLevel="0" collapsed="false">
      <c r="A2922" s="7" t="s">
        <v>3447</v>
      </c>
      <c r="B2922" s="7" t="s">
        <v>46</v>
      </c>
      <c r="C2922" s="7" t="s">
        <v>47</v>
      </c>
      <c r="D2922" s="7" t="s">
        <v>163</v>
      </c>
      <c r="E2922" s="7" t="s">
        <v>164</v>
      </c>
      <c r="F2922" s="7" t="s">
        <v>50</v>
      </c>
      <c r="G2922" s="7" t="s">
        <v>19</v>
      </c>
      <c r="H2922" s="9" t="n">
        <v>46114</v>
      </c>
      <c r="I2922" s="9" t="n">
        <v>46117</v>
      </c>
      <c r="J2922" s="7" t="n">
        <v>9.1</v>
      </c>
      <c r="K2922" s="7" t="s">
        <v>3340</v>
      </c>
      <c r="L2922" s="7" t="s">
        <v>21</v>
      </c>
      <c r="M2922" s="7" t="s">
        <v>3449</v>
      </c>
      <c r="N2922" s="7" t="s">
        <v>58</v>
      </c>
      <c r="O2922" s="10" t="n">
        <f aca="false">'Exec Summary'!$E$2-H2922</f>
        <v>120</v>
      </c>
      <c r="P2922" s="10" t="n">
        <f aca="false">IF(I2922="","",I2922-H2922)</f>
        <v>3</v>
      </c>
      <c r="Q2922" s="10" t="n">
        <f aca="false">VLOOKUP(G2922,$AA$2:$AB$5,2,FALSE())</f>
        <v>15</v>
      </c>
      <c r="R2922" s="7" t="n">
        <f aca="false">IF(OR(F2922="Open",F2922="Reopened"),1,0)</f>
        <v>0</v>
      </c>
      <c r="S2922" s="7" t="n">
        <f aca="false">IF(AND(H2922&gt;='Exec Summary'!$E$1,H2922&lt;='Exec Summary'!$E$2),1,0)</f>
        <v>0</v>
      </c>
      <c r="T2922" s="7" t="n">
        <f aca="false">IF(AND(F2922="Closed",I2922&lt;&gt;"",I2922&gt;='Exec Summary'!$E$1,I2922&lt;='Exec Summary'!$E$2),1,0)</f>
        <v>0</v>
      </c>
      <c r="U2922" s="7" t="n">
        <f aca="false">IF(F2922="Reopened",1,0)</f>
        <v>0</v>
      </c>
      <c r="V2922" s="7" t="n">
        <f aca="false">IF(AND(R2922=1,O2922&gt;Q2922),1,0)</f>
        <v>0</v>
      </c>
      <c r="W2922" s="7" t="n">
        <f aca="false">IF(AND(T2922=1,P2922&lt;&gt;"",P2922&lt;=Q2922),1,0)</f>
        <v>0</v>
      </c>
    </row>
    <row r="2923" customFormat="false" ht="15" hidden="false" customHeight="false" outlineLevel="0" collapsed="false">
      <c r="A2923" s="7" t="s">
        <v>3447</v>
      </c>
      <c r="B2923" s="7" t="s">
        <v>46</v>
      </c>
      <c r="C2923" s="7" t="s">
        <v>47</v>
      </c>
      <c r="D2923" s="7" t="s">
        <v>112</v>
      </c>
      <c r="E2923" s="7" t="s">
        <v>113</v>
      </c>
      <c r="F2923" s="7" t="s">
        <v>50</v>
      </c>
      <c r="G2923" s="7" t="s">
        <v>20</v>
      </c>
      <c r="H2923" s="9" t="n">
        <v>46079</v>
      </c>
      <c r="I2923" s="9" t="n">
        <v>46091</v>
      </c>
      <c r="J2923" s="7" t="n">
        <v>7.8</v>
      </c>
      <c r="K2923" s="7" t="s">
        <v>3340</v>
      </c>
      <c r="L2923" s="7" t="s">
        <v>21</v>
      </c>
      <c r="M2923" s="7" t="s">
        <v>3450</v>
      </c>
      <c r="N2923" s="7" t="s">
        <v>53</v>
      </c>
      <c r="O2923" s="10" t="n">
        <f aca="false">'Exec Summary'!$E$2-H2923</f>
        <v>155</v>
      </c>
      <c r="P2923" s="10" t="n">
        <f aca="false">IF(I2923="","",I2923-H2923)</f>
        <v>12</v>
      </c>
      <c r="Q2923" s="10" t="n">
        <f aca="false">VLOOKUP(G2923,$AA$2:$AB$5,2,FALSE())</f>
        <v>30</v>
      </c>
      <c r="R2923" s="7" t="n">
        <f aca="false">IF(OR(F2923="Open",F2923="Reopened"),1,0)</f>
        <v>0</v>
      </c>
      <c r="S2923" s="7" t="n">
        <f aca="false">IF(AND(H2923&gt;='Exec Summary'!$E$1,H2923&lt;='Exec Summary'!$E$2),1,0)</f>
        <v>0</v>
      </c>
      <c r="T2923" s="7" t="n">
        <f aca="false">IF(AND(F2923="Closed",I2923&lt;&gt;"",I2923&gt;='Exec Summary'!$E$1,I2923&lt;='Exec Summary'!$E$2),1,0)</f>
        <v>0</v>
      </c>
      <c r="U2923" s="7" t="n">
        <f aca="false">IF(F2923="Reopened",1,0)</f>
        <v>0</v>
      </c>
      <c r="V2923" s="7" t="n">
        <f aca="false">IF(AND(R2923=1,O2923&gt;Q2923),1,0)</f>
        <v>0</v>
      </c>
      <c r="W2923" s="7" t="n">
        <f aca="false">IF(AND(T2923=1,P2923&lt;&gt;"",P2923&lt;=Q2923),1,0)</f>
        <v>0</v>
      </c>
    </row>
    <row r="2924" customFormat="false" ht="15" hidden="false" customHeight="false" outlineLevel="0" collapsed="false">
      <c r="A2924" s="7" t="s">
        <v>3447</v>
      </c>
      <c r="B2924" s="7" t="s">
        <v>46</v>
      </c>
      <c r="C2924" s="7" t="s">
        <v>47</v>
      </c>
      <c r="D2924" s="7" t="s">
        <v>117</v>
      </c>
      <c r="E2924" s="7" t="s">
        <v>118</v>
      </c>
      <c r="F2924" s="7" t="s">
        <v>56</v>
      </c>
      <c r="G2924" s="7" t="s">
        <v>19</v>
      </c>
      <c r="H2924" s="9" t="n">
        <v>46127</v>
      </c>
      <c r="I2924" s="9"/>
      <c r="J2924" s="7" t="n">
        <v>10</v>
      </c>
      <c r="K2924" s="7" t="s">
        <v>3340</v>
      </c>
      <c r="L2924" s="7" t="s">
        <v>21</v>
      </c>
      <c r="M2924" s="7" t="s">
        <v>3451</v>
      </c>
      <c r="N2924" s="7" t="s">
        <v>58</v>
      </c>
      <c r="O2924" s="10" t="n">
        <f aca="false">'Exec Summary'!$E$2-H2924</f>
        <v>107</v>
      </c>
      <c r="P2924" s="10" t="str">
        <f aca="false">IF(I2924="","",I2924-H2924)</f>
        <v/>
      </c>
      <c r="Q2924" s="10" t="n">
        <f aca="false">VLOOKUP(G2924,$AA$2:$AB$5,2,FALSE())</f>
        <v>15</v>
      </c>
      <c r="R2924" s="7" t="n">
        <f aca="false">IF(OR(F2924="Open",F2924="Reopened"),1,0)</f>
        <v>1</v>
      </c>
      <c r="S2924" s="7" t="n">
        <f aca="false">IF(AND(H2924&gt;='Exec Summary'!$E$1,H2924&lt;='Exec Summary'!$E$2),1,0)</f>
        <v>0</v>
      </c>
      <c r="T2924" s="7" t="n">
        <f aca="false">IF(AND(F2924="Closed",I2924&lt;&gt;"",I2924&gt;='Exec Summary'!$E$1,I2924&lt;='Exec Summary'!$E$2),1,0)</f>
        <v>0</v>
      </c>
      <c r="U2924" s="7" t="n">
        <f aca="false">IF(F2924="Reopened",1,0)</f>
        <v>0</v>
      </c>
      <c r="V2924" s="7" t="n">
        <f aca="false">IF(AND(R2924=1,O2924&gt;Q2924),1,0)</f>
        <v>1</v>
      </c>
      <c r="W2924" s="7" t="n">
        <f aca="false">IF(AND(T2924=1,P2924&lt;&gt;"",P2924&lt;=Q2924),1,0)</f>
        <v>0</v>
      </c>
    </row>
    <row r="2925" customFormat="false" ht="15" hidden="false" customHeight="false" outlineLevel="0" collapsed="false">
      <c r="A2925" s="7" t="s">
        <v>3447</v>
      </c>
      <c r="B2925" s="7" t="s">
        <v>46</v>
      </c>
      <c r="C2925" s="7" t="s">
        <v>47</v>
      </c>
      <c r="D2925" s="7" t="s">
        <v>101</v>
      </c>
      <c r="E2925" s="7" t="s">
        <v>102</v>
      </c>
      <c r="F2925" s="7" t="s">
        <v>50</v>
      </c>
      <c r="G2925" s="7" t="s">
        <v>19</v>
      </c>
      <c r="H2925" s="9" t="n">
        <v>45983</v>
      </c>
      <c r="I2925" s="9" t="n">
        <v>45994</v>
      </c>
      <c r="J2925" s="7" t="n">
        <v>10</v>
      </c>
      <c r="K2925" s="7" t="s">
        <v>3340</v>
      </c>
      <c r="L2925" s="7" t="s">
        <v>21</v>
      </c>
      <c r="M2925" s="7" t="s">
        <v>3452</v>
      </c>
      <c r="N2925" s="7" t="s">
        <v>58</v>
      </c>
      <c r="O2925" s="10" t="n">
        <f aca="false">'Exec Summary'!$E$2-H2925</f>
        <v>251</v>
      </c>
      <c r="P2925" s="10" t="n">
        <f aca="false">IF(I2925="","",I2925-H2925)</f>
        <v>11</v>
      </c>
      <c r="Q2925" s="10" t="n">
        <f aca="false">VLOOKUP(G2925,$AA$2:$AB$5,2,FALSE())</f>
        <v>15</v>
      </c>
      <c r="R2925" s="7" t="n">
        <f aca="false">IF(OR(F2925="Open",F2925="Reopened"),1,0)</f>
        <v>0</v>
      </c>
      <c r="S2925" s="7" t="n">
        <f aca="false">IF(AND(H2925&gt;='Exec Summary'!$E$1,H2925&lt;='Exec Summary'!$E$2),1,0)</f>
        <v>0</v>
      </c>
      <c r="T2925" s="7" t="n">
        <f aca="false">IF(AND(F2925="Closed",I2925&lt;&gt;"",I2925&gt;='Exec Summary'!$E$1,I2925&lt;='Exec Summary'!$E$2),1,0)</f>
        <v>0</v>
      </c>
      <c r="U2925" s="7" t="n">
        <f aca="false">IF(F2925="Reopened",1,0)</f>
        <v>0</v>
      </c>
      <c r="V2925" s="7" t="n">
        <f aca="false">IF(AND(R2925=1,O2925&gt;Q2925),1,0)</f>
        <v>0</v>
      </c>
      <c r="W2925" s="7" t="n">
        <f aca="false">IF(AND(T2925=1,P2925&lt;&gt;"",P2925&lt;=Q2925),1,0)</f>
        <v>0</v>
      </c>
    </row>
    <row r="2926" customFormat="false" ht="15" hidden="false" customHeight="false" outlineLevel="0" collapsed="false">
      <c r="A2926" s="7" t="s">
        <v>3453</v>
      </c>
      <c r="B2926" s="7" t="s">
        <v>46</v>
      </c>
      <c r="C2926" s="7" t="s">
        <v>128</v>
      </c>
      <c r="D2926" s="7" t="s">
        <v>98</v>
      </c>
      <c r="E2926" s="7" t="s">
        <v>99</v>
      </c>
      <c r="F2926" s="7" t="s">
        <v>50</v>
      </c>
      <c r="G2926" s="7" t="s">
        <v>19</v>
      </c>
      <c r="H2926" s="9" t="n">
        <v>46206</v>
      </c>
      <c r="I2926" s="9" t="n">
        <v>46222</v>
      </c>
      <c r="J2926" s="7" t="n">
        <v>10</v>
      </c>
      <c r="K2926" s="7" t="s">
        <v>3340</v>
      </c>
      <c r="L2926" s="7" t="s">
        <v>22</v>
      </c>
      <c r="M2926" s="7" t="s">
        <v>3454</v>
      </c>
      <c r="N2926" s="7" t="s">
        <v>58</v>
      </c>
      <c r="O2926" s="10" t="n">
        <f aca="false">'Exec Summary'!$E$2-H2926</f>
        <v>28</v>
      </c>
      <c r="P2926" s="10" t="n">
        <f aca="false">IF(I2926="","",I2926-H2926)</f>
        <v>16</v>
      </c>
      <c r="Q2926" s="10" t="n">
        <f aca="false">VLOOKUP(G2926,$AA$2:$AB$5,2,FALSE())</f>
        <v>15</v>
      </c>
      <c r="R2926" s="7" t="n">
        <f aca="false">IF(OR(F2926="Open",F2926="Reopened"),1,0)</f>
        <v>0</v>
      </c>
      <c r="S2926" s="7" t="n">
        <f aca="false">IF(AND(H2926&gt;='Exec Summary'!$E$1,H2926&lt;='Exec Summary'!$E$2),1,0)</f>
        <v>1</v>
      </c>
      <c r="T2926" s="7" t="n">
        <f aca="false">IF(AND(F2926="Closed",I2926&lt;&gt;"",I2926&gt;='Exec Summary'!$E$1,I2926&lt;='Exec Summary'!$E$2),1,0)</f>
        <v>1</v>
      </c>
      <c r="U2926" s="7" t="n">
        <f aca="false">IF(F2926="Reopened",1,0)</f>
        <v>0</v>
      </c>
      <c r="V2926" s="7" t="n">
        <f aca="false">IF(AND(R2926=1,O2926&gt;Q2926),1,0)</f>
        <v>0</v>
      </c>
      <c r="W2926" s="7" t="n">
        <f aca="false">IF(AND(T2926=1,P2926&lt;&gt;"",P2926&lt;=Q2926),1,0)</f>
        <v>0</v>
      </c>
    </row>
    <row r="2927" customFormat="false" ht="15" hidden="false" customHeight="false" outlineLevel="0" collapsed="false">
      <c r="A2927" s="7" t="s">
        <v>3453</v>
      </c>
      <c r="B2927" s="7" t="s">
        <v>46</v>
      </c>
      <c r="C2927" s="7" t="s">
        <v>128</v>
      </c>
      <c r="D2927" s="7" t="s">
        <v>62</v>
      </c>
      <c r="E2927" s="7" t="s">
        <v>63</v>
      </c>
      <c r="F2927" s="7" t="s">
        <v>56</v>
      </c>
      <c r="G2927" s="7" t="s">
        <v>20</v>
      </c>
      <c r="H2927" s="9" t="n">
        <v>46014</v>
      </c>
      <c r="I2927" s="9"/>
      <c r="J2927" s="7" t="n">
        <v>8.1</v>
      </c>
      <c r="K2927" s="7" t="s">
        <v>3340</v>
      </c>
      <c r="L2927" s="7" t="s">
        <v>22</v>
      </c>
      <c r="M2927" s="7" t="s">
        <v>3455</v>
      </c>
      <c r="N2927" s="7" t="s">
        <v>53</v>
      </c>
      <c r="O2927" s="10" t="n">
        <f aca="false">'Exec Summary'!$E$2-H2927</f>
        <v>220</v>
      </c>
      <c r="P2927" s="10" t="str">
        <f aca="false">IF(I2927="","",I2927-H2927)</f>
        <v/>
      </c>
      <c r="Q2927" s="10" t="n">
        <f aca="false">VLOOKUP(G2927,$AA$2:$AB$5,2,FALSE())</f>
        <v>30</v>
      </c>
      <c r="R2927" s="7" t="n">
        <f aca="false">IF(OR(F2927="Open",F2927="Reopened"),1,0)</f>
        <v>1</v>
      </c>
      <c r="S2927" s="7" t="n">
        <f aca="false">IF(AND(H2927&gt;='Exec Summary'!$E$1,H2927&lt;='Exec Summary'!$E$2),1,0)</f>
        <v>0</v>
      </c>
      <c r="T2927" s="7" t="n">
        <f aca="false">IF(AND(F2927="Closed",I2927&lt;&gt;"",I2927&gt;='Exec Summary'!$E$1,I2927&lt;='Exec Summary'!$E$2),1,0)</f>
        <v>0</v>
      </c>
      <c r="U2927" s="7" t="n">
        <f aca="false">IF(F2927="Reopened",1,0)</f>
        <v>0</v>
      </c>
      <c r="V2927" s="7" t="n">
        <f aca="false">IF(AND(R2927=1,O2927&gt;Q2927),1,0)</f>
        <v>1</v>
      </c>
      <c r="W2927" s="7" t="n">
        <f aca="false">IF(AND(T2927=1,P2927&lt;&gt;"",P2927&lt;=Q2927),1,0)</f>
        <v>0</v>
      </c>
    </row>
    <row r="2928" customFormat="false" ht="15" hidden="false" customHeight="false" outlineLevel="0" collapsed="false">
      <c r="A2928" s="7" t="s">
        <v>3453</v>
      </c>
      <c r="B2928" s="7" t="s">
        <v>46</v>
      </c>
      <c r="C2928" s="7" t="s">
        <v>128</v>
      </c>
      <c r="D2928" s="7" t="s">
        <v>65</v>
      </c>
      <c r="E2928" s="7" t="s">
        <v>66</v>
      </c>
      <c r="F2928" s="7" t="s">
        <v>50</v>
      </c>
      <c r="G2928" s="7" t="s">
        <v>19</v>
      </c>
      <c r="H2928" s="9" t="n">
        <v>46138</v>
      </c>
      <c r="I2928" s="9" t="n">
        <v>46143</v>
      </c>
      <c r="J2928" s="7" t="n">
        <v>9.8</v>
      </c>
      <c r="K2928" s="7" t="s">
        <v>3340</v>
      </c>
      <c r="L2928" s="7" t="s">
        <v>22</v>
      </c>
      <c r="M2928" s="7" t="s">
        <v>3456</v>
      </c>
      <c r="N2928" s="7" t="s">
        <v>58</v>
      </c>
      <c r="O2928" s="10" t="n">
        <f aca="false">'Exec Summary'!$E$2-H2928</f>
        <v>96</v>
      </c>
      <c r="P2928" s="10" t="n">
        <f aca="false">IF(I2928="","",I2928-H2928)</f>
        <v>5</v>
      </c>
      <c r="Q2928" s="10" t="n">
        <f aca="false">VLOOKUP(G2928,$AA$2:$AB$5,2,FALSE())</f>
        <v>15</v>
      </c>
      <c r="R2928" s="7" t="n">
        <f aca="false">IF(OR(F2928="Open",F2928="Reopened"),1,0)</f>
        <v>0</v>
      </c>
      <c r="S2928" s="7" t="n">
        <f aca="false">IF(AND(H2928&gt;='Exec Summary'!$E$1,H2928&lt;='Exec Summary'!$E$2),1,0)</f>
        <v>0</v>
      </c>
      <c r="T2928" s="7" t="n">
        <f aca="false">IF(AND(F2928="Closed",I2928&lt;&gt;"",I2928&gt;='Exec Summary'!$E$1,I2928&lt;='Exec Summary'!$E$2),1,0)</f>
        <v>0</v>
      </c>
      <c r="U2928" s="7" t="n">
        <f aca="false">IF(F2928="Reopened",1,0)</f>
        <v>0</v>
      </c>
      <c r="V2928" s="7" t="n">
        <f aca="false">IF(AND(R2928=1,O2928&gt;Q2928),1,0)</f>
        <v>0</v>
      </c>
      <c r="W2928" s="7" t="n">
        <f aca="false">IF(AND(T2928=1,P2928&lt;&gt;"",P2928&lt;=Q2928),1,0)</f>
        <v>0</v>
      </c>
    </row>
    <row r="2929" customFormat="false" ht="15" hidden="false" customHeight="false" outlineLevel="0" collapsed="false">
      <c r="A2929" s="7" t="s">
        <v>3453</v>
      </c>
      <c r="B2929" s="7" t="s">
        <v>46</v>
      </c>
      <c r="C2929" s="7" t="s">
        <v>128</v>
      </c>
      <c r="D2929" s="7" t="s">
        <v>95</v>
      </c>
      <c r="E2929" s="7" t="s">
        <v>96</v>
      </c>
      <c r="F2929" s="7" t="s">
        <v>56</v>
      </c>
      <c r="G2929" s="7" t="s">
        <v>20</v>
      </c>
      <c r="H2929" s="9" t="n">
        <v>46171</v>
      </c>
      <c r="I2929" s="9"/>
      <c r="J2929" s="7" t="n">
        <v>8.8</v>
      </c>
      <c r="K2929" s="7" t="s">
        <v>3340</v>
      </c>
      <c r="L2929" s="7" t="s">
        <v>22</v>
      </c>
      <c r="M2929" s="7" t="s">
        <v>3457</v>
      </c>
      <c r="N2929" s="7" t="s">
        <v>53</v>
      </c>
      <c r="O2929" s="10" t="n">
        <f aca="false">'Exec Summary'!$E$2-H2929</f>
        <v>63</v>
      </c>
      <c r="P2929" s="10" t="str">
        <f aca="false">IF(I2929="","",I2929-H2929)</f>
        <v/>
      </c>
      <c r="Q2929" s="10" t="n">
        <f aca="false">VLOOKUP(G2929,$AA$2:$AB$5,2,FALSE())</f>
        <v>30</v>
      </c>
      <c r="R2929" s="7" t="n">
        <f aca="false">IF(OR(F2929="Open",F2929="Reopened"),1,0)</f>
        <v>1</v>
      </c>
      <c r="S2929" s="7" t="n">
        <f aca="false">IF(AND(H2929&gt;='Exec Summary'!$E$1,H2929&lt;='Exec Summary'!$E$2),1,0)</f>
        <v>0</v>
      </c>
      <c r="T2929" s="7" t="n">
        <f aca="false">IF(AND(F2929="Closed",I2929&lt;&gt;"",I2929&gt;='Exec Summary'!$E$1,I2929&lt;='Exec Summary'!$E$2),1,0)</f>
        <v>0</v>
      </c>
      <c r="U2929" s="7" t="n">
        <f aca="false">IF(F2929="Reopened",1,0)</f>
        <v>0</v>
      </c>
      <c r="V2929" s="7" t="n">
        <f aca="false">IF(AND(R2929=1,O2929&gt;Q2929),1,0)</f>
        <v>1</v>
      </c>
      <c r="W2929" s="7" t="n">
        <f aca="false">IF(AND(T2929=1,P2929&lt;&gt;"",P2929&lt;=Q2929),1,0)</f>
        <v>0</v>
      </c>
    </row>
    <row r="2930" customFormat="false" ht="15" hidden="false" customHeight="false" outlineLevel="0" collapsed="false">
      <c r="A2930" s="7" t="s">
        <v>3453</v>
      </c>
      <c r="B2930" s="7" t="s">
        <v>46</v>
      </c>
      <c r="C2930" s="7" t="s">
        <v>128</v>
      </c>
      <c r="D2930" s="7" t="s">
        <v>163</v>
      </c>
      <c r="E2930" s="7" t="s">
        <v>164</v>
      </c>
      <c r="F2930" s="7" t="s">
        <v>56</v>
      </c>
      <c r="G2930" s="7" t="s">
        <v>19</v>
      </c>
      <c r="H2930" s="9" t="n">
        <v>46130</v>
      </c>
      <c r="I2930" s="9"/>
      <c r="J2930" s="7" t="n">
        <v>9.1</v>
      </c>
      <c r="K2930" s="7" t="s">
        <v>3340</v>
      </c>
      <c r="L2930" s="7" t="s">
        <v>22</v>
      </c>
      <c r="M2930" s="7" t="s">
        <v>3458</v>
      </c>
      <c r="N2930" s="7" t="s">
        <v>58</v>
      </c>
      <c r="O2930" s="10" t="n">
        <f aca="false">'Exec Summary'!$E$2-H2930</f>
        <v>104</v>
      </c>
      <c r="P2930" s="10" t="str">
        <f aca="false">IF(I2930="","",I2930-H2930)</f>
        <v/>
      </c>
      <c r="Q2930" s="10" t="n">
        <f aca="false">VLOOKUP(G2930,$AA$2:$AB$5,2,FALSE())</f>
        <v>15</v>
      </c>
      <c r="R2930" s="7" t="n">
        <f aca="false">IF(OR(F2930="Open",F2930="Reopened"),1,0)</f>
        <v>1</v>
      </c>
      <c r="S2930" s="7" t="n">
        <f aca="false">IF(AND(H2930&gt;='Exec Summary'!$E$1,H2930&lt;='Exec Summary'!$E$2),1,0)</f>
        <v>0</v>
      </c>
      <c r="T2930" s="7" t="n">
        <f aca="false">IF(AND(F2930="Closed",I2930&lt;&gt;"",I2930&gt;='Exec Summary'!$E$1,I2930&lt;='Exec Summary'!$E$2),1,0)</f>
        <v>0</v>
      </c>
      <c r="U2930" s="7" t="n">
        <f aca="false">IF(F2930="Reopened",1,0)</f>
        <v>0</v>
      </c>
      <c r="V2930" s="7" t="n">
        <f aca="false">IF(AND(R2930=1,O2930&gt;Q2930),1,0)</f>
        <v>1</v>
      </c>
      <c r="W2930" s="7" t="n">
        <f aca="false">IF(AND(T2930=1,P2930&lt;&gt;"",P2930&lt;=Q2930),1,0)</f>
        <v>0</v>
      </c>
    </row>
    <row r="2931" customFormat="false" ht="15" hidden="false" customHeight="false" outlineLevel="0" collapsed="false">
      <c r="A2931" s="7" t="s">
        <v>3453</v>
      </c>
      <c r="B2931" s="7" t="s">
        <v>46</v>
      </c>
      <c r="C2931" s="7" t="s">
        <v>128</v>
      </c>
      <c r="D2931" s="7" t="s">
        <v>152</v>
      </c>
      <c r="E2931" s="7" t="s">
        <v>153</v>
      </c>
      <c r="F2931" s="7" t="s">
        <v>50</v>
      </c>
      <c r="G2931" s="7" t="s">
        <v>20</v>
      </c>
      <c r="H2931" s="9" t="n">
        <v>46148</v>
      </c>
      <c r="I2931" s="9" t="n">
        <v>46158</v>
      </c>
      <c r="J2931" s="7" t="n">
        <v>7.5</v>
      </c>
      <c r="K2931" s="7" t="s">
        <v>3340</v>
      </c>
      <c r="L2931" s="7" t="s">
        <v>22</v>
      </c>
      <c r="M2931" s="7" t="s">
        <v>3459</v>
      </c>
      <c r="N2931" s="7" t="s">
        <v>53</v>
      </c>
      <c r="O2931" s="10" t="n">
        <f aca="false">'Exec Summary'!$E$2-H2931</f>
        <v>86</v>
      </c>
      <c r="P2931" s="10" t="n">
        <f aca="false">IF(I2931="","",I2931-H2931)</f>
        <v>10</v>
      </c>
      <c r="Q2931" s="10" t="n">
        <f aca="false">VLOOKUP(G2931,$AA$2:$AB$5,2,FALSE())</f>
        <v>30</v>
      </c>
      <c r="R2931" s="7" t="n">
        <f aca="false">IF(OR(F2931="Open",F2931="Reopened"),1,0)</f>
        <v>0</v>
      </c>
      <c r="S2931" s="7" t="n">
        <f aca="false">IF(AND(H2931&gt;='Exec Summary'!$E$1,H2931&lt;='Exec Summary'!$E$2),1,0)</f>
        <v>0</v>
      </c>
      <c r="T2931" s="7" t="n">
        <f aca="false">IF(AND(F2931="Closed",I2931&lt;&gt;"",I2931&gt;='Exec Summary'!$E$1,I2931&lt;='Exec Summary'!$E$2),1,0)</f>
        <v>0</v>
      </c>
      <c r="U2931" s="7" t="n">
        <f aca="false">IF(F2931="Reopened",1,0)</f>
        <v>0</v>
      </c>
      <c r="V2931" s="7" t="n">
        <f aca="false">IF(AND(R2931=1,O2931&gt;Q2931),1,0)</f>
        <v>0</v>
      </c>
      <c r="W2931" s="7" t="n">
        <f aca="false">IF(AND(T2931=1,P2931&lt;&gt;"",P2931&lt;=Q2931),1,0)</f>
        <v>0</v>
      </c>
    </row>
    <row r="2932" customFormat="false" ht="15" hidden="false" customHeight="false" outlineLevel="0" collapsed="false">
      <c r="A2932" s="7" t="s">
        <v>3453</v>
      </c>
      <c r="B2932" s="7" t="s">
        <v>46</v>
      </c>
      <c r="C2932" s="7" t="s">
        <v>128</v>
      </c>
      <c r="D2932" s="7" t="s">
        <v>166</v>
      </c>
      <c r="E2932" s="7" t="s">
        <v>167</v>
      </c>
      <c r="F2932" s="7" t="s">
        <v>56</v>
      </c>
      <c r="G2932" s="7" t="s">
        <v>19</v>
      </c>
      <c r="H2932" s="9" t="n">
        <v>45975</v>
      </c>
      <c r="I2932" s="9"/>
      <c r="J2932" s="7" t="n">
        <v>9.8</v>
      </c>
      <c r="K2932" s="7" t="s">
        <v>3340</v>
      </c>
      <c r="L2932" s="7" t="s">
        <v>22</v>
      </c>
      <c r="M2932" s="7" t="s">
        <v>3460</v>
      </c>
      <c r="N2932" s="7" t="s">
        <v>58</v>
      </c>
      <c r="O2932" s="10" t="n">
        <f aca="false">'Exec Summary'!$E$2-H2932</f>
        <v>259</v>
      </c>
      <c r="P2932" s="10" t="str">
        <f aca="false">IF(I2932="","",I2932-H2932)</f>
        <v/>
      </c>
      <c r="Q2932" s="10" t="n">
        <f aca="false">VLOOKUP(G2932,$AA$2:$AB$5,2,FALSE())</f>
        <v>15</v>
      </c>
      <c r="R2932" s="7" t="n">
        <f aca="false">IF(OR(F2932="Open",F2932="Reopened"),1,0)</f>
        <v>1</v>
      </c>
      <c r="S2932" s="7" t="n">
        <f aca="false">IF(AND(H2932&gt;='Exec Summary'!$E$1,H2932&lt;='Exec Summary'!$E$2),1,0)</f>
        <v>0</v>
      </c>
      <c r="T2932" s="7" t="n">
        <f aca="false">IF(AND(F2932="Closed",I2932&lt;&gt;"",I2932&gt;='Exec Summary'!$E$1,I2932&lt;='Exec Summary'!$E$2),1,0)</f>
        <v>0</v>
      </c>
      <c r="U2932" s="7" t="n">
        <f aca="false">IF(F2932="Reopened",1,0)</f>
        <v>0</v>
      </c>
      <c r="V2932" s="7" t="n">
        <f aca="false">IF(AND(R2932=1,O2932&gt;Q2932),1,0)</f>
        <v>1</v>
      </c>
      <c r="W2932" s="7" t="n">
        <f aca="false">IF(AND(T2932=1,P2932&lt;&gt;"",P2932&lt;=Q2932),1,0)</f>
        <v>0</v>
      </c>
    </row>
    <row r="2933" customFormat="false" ht="15" hidden="false" customHeight="false" outlineLevel="0" collapsed="false">
      <c r="A2933" s="7" t="s">
        <v>3453</v>
      </c>
      <c r="B2933" s="7" t="s">
        <v>46</v>
      </c>
      <c r="C2933" s="7" t="s">
        <v>128</v>
      </c>
      <c r="D2933" s="7" t="s">
        <v>104</v>
      </c>
      <c r="E2933" s="7" t="s">
        <v>105</v>
      </c>
      <c r="F2933" s="7" t="s">
        <v>50</v>
      </c>
      <c r="G2933" s="7" t="s">
        <v>19</v>
      </c>
      <c r="H2933" s="9" t="n">
        <v>45945</v>
      </c>
      <c r="I2933" s="9" t="n">
        <v>45949</v>
      </c>
      <c r="J2933" s="7" t="n">
        <v>9.8</v>
      </c>
      <c r="K2933" s="7" t="s">
        <v>3340</v>
      </c>
      <c r="L2933" s="7" t="s">
        <v>22</v>
      </c>
      <c r="M2933" s="7" t="s">
        <v>3461</v>
      </c>
      <c r="N2933" s="7" t="s">
        <v>58</v>
      </c>
      <c r="O2933" s="10" t="n">
        <f aca="false">'Exec Summary'!$E$2-H2933</f>
        <v>289</v>
      </c>
      <c r="P2933" s="10" t="n">
        <f aca="false">IF(I2933="","",I2933-H2933)</f>
        <v>4</v>
      </c>
      <c r="Q2933" s="10" t="n">
        <f aca="false">VLOOKUP(G2933,$AA$2:$AB$5,2,FALSE())</f>
        <v>15</v>
      </c>
      <c r="R2933" s="7" t="n">
        <f aca="false">IF(OR(F2933="Open",F2933="Reopened"),1,0)</f>
        <v>0</v>
      </c>
      <c r="S2933" s="7" t="n">
        <f aca="false">IF(AND(H2933&gt;='Exec Summary'!$E$1,H2933&lt;='Exec Summary'!$E$2),1,0)</f>
        <v>0</v>
      </c>
      <c r="T2933" s="7" t="n">
        <f aca="false">IF(AND(F2933="Closed",I2933&lt;&gt;"",I2933&gt;='Exec Summary'!$E$1,I2933&lt;='Exec Summary'!$E$2),1,0)</f>
        <v>0</v>
      </c>
      <c r="U2933" s="7" t="n">
        <f aca="false">IF(F2933="Reopened",1,0)</f>
        <v>0</v>
      </c>
      <c r="V2933" s="7" t="n">
        <f aca="false">IF(AND(R2933=1,O2933&gt;Q2933),1,0)</f>
        <v>0</v>
      </c>
      <c r="W2933" s="7" t="n">
        <f aca="false">IF(AND(T2933=1,P2933&lt;&gt;"",P2933&lt;=Q2933),1,0)</f>
        <v>0</v>
      </c>
    </row>
    <row r="2934" customFormat="false" ht="15" hidden="false" customHeight="false" outlineLevel="0" collapsed="false">
      <c r="A2934" s="7" t="s">
        <v>3453</v>
      </c>
      <c r="B2934" s="7" t="s">
        <v>46</v>
      </c>
      <c r="C2934" s="7" t="s">
        <v>128</v>
      </c>
      <c r="D2934" s="7" t="s">
        <v>131</v>
      </c>
      <c r="E2934" s="7" t="s">
        <v>132</v>
      </c>
      <c r="F2934" s="7" t="s">
        <v>56</v>
      </c>
      <c r="G2934" s="7" t="s">
        <v>19</v>
      </c>
      <c r="H2934" s="9" t="n">
        <v>45980</v>
      </c>
      <c r="I2934" s="9"/>
      <c r="J2934" s="7" t="n">
        <v>9.8</v>
      </c>
      <c r="K2934" s="7" t="s">
        <v>3340</v>
      </c>
      <c r="L2934" s="7" t="s">
        <v>22</v>
      </c>
      <c r="M2934" s="7" t="s">
        <v>3462</v>
      </c>
      <c r="N2934" s="7" t="s">
        <v>58</v>
      </c>
      <c r="O2934" s="10" t="n">
        <f aca="false">'Exec Summary'!$E$2-H2934</f>
        <v>254</v>
      </c>
      <c r="P2934" s="10" t="str">
        <f aca="false">IF(I2934="","",I2934-H2934)</f>
        <v/>
      </c>
      <c r="Q2934" s="10" t="n">
        <f aca="false">VLOOKUP(G2934,$AA$2:$AB$5,2,FALSE())</f>
        <v>15</v>
      </c>
      <c r="R2934" s="7" t="n">
        <f aca="false">IF(OR(F2934="Open",F2934="Reopened"),1,0)</f>
        <v>1</v>
      </c>
      <c r="S2934" s="7" t="n">
        <f aca="false">IF(AND(H2934&gt;='Exec Summary'!$E$1,H2934&lt;='Exec Summary'!$E$2),1,0)</f>
        <v>0</v>
      </c>
      <c r="T2934" s="7" t="n">
        <f aca="false">IF(AND(F2934="Closed",I2934&lt;&gt;"",I2934&gt;='Exec Summary'!$E$1,I2934&lt;='Exec Summary'!$E$2),1,0)</f>
        <v>0</v>
      </c>
      <c r="U2934" s="7" t="n">
        <f aca="false">IF(F2934="Reopened",1,0)</f>
        <v>0</v>
      </c>
      <c r="V2934" s="7" t="n">
        <f aca="false">IF(AND(R2934=1,O2934&gt;Q2934),1,0)</f>
        <v>1</v>
      </c>
      <c r="W2934" s="7" t="n">
        <f aca="false">IF(AND(T2934=1,P2934&lt;&gt;"",P2934&lt;=Q2934),1,0)</f>
        <v>0</v>
      </c>
    </row>
    <row r="2935" customFormat="false" ht="15" hidden="false" customHeight="false" outlineLevel="0" collapsed="false">
      <c r="A2935" s="7" t="s">
        <v>3453</v>
      </c>
      <c r="B2935" s="7" t="s">
        <v>46</v>
      </c>
      <c r="C2935" s="7" t="s">
        <v>128</v>
      </c>
      <c r="D2935" s="7" t="s">
        <v>173</v>
      </c>
      <c r="E2935" s="7" t="s">
        <v>174</v>
      </c>
      <c r="F2935" s="7" t="s">
        <v>50</v>
      </c>
      <c r="G2935" s="7" t="s">
        <v>19</v>
      </c>
      <c r="H2935" s="9" t="n">
        <v>46133</v>
      </c>
      <c r="I2935" s="9" t="n">
        <v>46152</v>
      </c>
      <c r="J2935" s="7" t="n">
        <v>9.8</v>
      </c>
      <c r="K2935" s="7" t="s">
        <v>3340</v>
      </c>
      <c r="L2935" s="7" t="s">
        <v>22</v>
      </c>
      <c r="M2935" s="7" t="s">
        <v>3463</v>
      </c>
      <c r="N2935" s="7" t="s">
        <v>58</v>
      </c>
      <c r="O2935" s="10" t="n">
        <f aca="false">'Exec Summary'!$E$2-H2935</f>
        <v>101</v>
      </c>
      <c r="P2935" s="10" t="n">
        <f aca="false">IF(I2935="","",I2935-H2935)</f>
        <v>19</v>
      </c>
      <c r="Q2935" s="10" t="n">
        <f aca="false">VLOOKUP(G2935,$AA$2:$AB$5,2,FALSE())</f>
        <v>15</v>
      </c>
      <c r="R2935" s="7" t="n">
        <f aca="false">IF(OR(F2935="Open",F2935="Reopened"),1,0)</f>
        <v>0</v>
      </c>
      <c r="S2935" s="7" t="n">
        <f aca="false">IF(AND(H2935&gt;='Exec Summary'!$E$1,H2935&lt;='Exec Summary'!$E$2),1,0)</f>
        <v>0</v>
      </c>
      <c r="T2935" s="7" t="n">
        <f aca="false">IF(AND(F2935="Closed",I2935&lt;&gt;"",I2935&gt;='Exec Summary'!$E$1,I2935&lt;='Exec Summary'!$E$2),1,0)</f>
        <v>0</v>
      </c>
      <c r="U2935" s="7" t="n">
        <f aca="false">IF(F2935="Reopened",1,0)</f>
        <v>0</v>
      </c>
      <c r="V2935" s="7" t="n">
        <f aca="false">IF(AND(R2935=1,O2935&gt;Q2935),1,0)</f>
        <v>0</v>
      </c>
      <c r="W2935" s="7" t="n">
        <f aca="false">IF(AND(T2935=1,P2935&lt;&gt;"",P2935&lt;=Q2935),1,0)</f>
        <v>0</v>
      </c>
    </row>
    <row r="2936" customFormat="false" ht="15" hidden="false" customHeight="false" outlineLevel="0" collapsed="false">
      <c r="A2936" s="7" t="s">
        <v>3453</v>
      </c>
      <c r="B2936" s="7" t="s">
        <v>46</v>
      </c>
      <c r="C2936" s="7" t="s">
        <v>128</v>
      </c>
      <c r="D2936" s="7" t="s">
        <v>120</v>
      </c>
      <c r="E2936" s="7" t="s">
        <v>121</v>
      </c>
      <c r="F2936" s="7" t="s">
        <v>50</v>
      </c>
      <c r="G2936" s="7" t="s">
        <v>19</v>
      </c>
      <c r="H2936" s="9" t="n">
        <v>46056</v>
      </c>
      <c r="I2936" s="9" t="n">
        <v>46057</v>
      </c>
      <c r="J2936" s="7" t="n">
        <v>8.8</v>
      </c>
      <c r="K2936" s="7" t="s">
        <v>3340</v>
      </c>
      <c r="L2936" s="7" t="s">
        <v>22</v>
      </c>
      <c r="M2936" s="7" t="s">
        <v>3464</v>
      </c>
      <c r="N2936" s="7" t="s">
        <v>58</v>
      </c>
      <c r="O2936" s="10" t="n">
        <f aca="false">'Exec Summary'!$E$2-H2936</f>
        <v>178</v>
      </c>
      <c r="P2936" s="10" t="n">
        <f aca="false">IF(I2936="","",I2936-H2936)</f>
        <v>1</v>
      </c>
      <c r="Q2936" s="10" t="n">
        <f aca="false">VLOOKUP(G2936,$AA$2:$AB$5,2,FALSE())</f>
        <v>15</v>
      </c>
      <c r="R2936" s="7" t="n">
        <f aca="false">IF(OR(F2936="Open",F2936="Reopened"),1,0)</f>
        <v>0</v>
      </c>
      <c r="S2936" s="7" t="n">
        <f aca="false">IF(AND(H2936&gt;='Exec Summary'!$E$1,H2936&lt;='Exec Summary'!$E$2),1,0)</f>
        <v>0</v>
      </c>
      <c r="T2936" s="7" t="n">
        <f aca="false">IF(AND(F2936="Closed",I2936&lt;&gt;"",I2936&gt;='Exec Summary'!$E$1,I2936&lt;='Exec Summary'!$E$2),1,0)</f>
        <v>0</v>
      </c>
      <c r="U2936" s="7" t="n">
        <f aca="false">IF(F2936="Reopened",1,0)</f>
        <v>0</v>
      </c>
      <c r="V2936" s="7" t="n">
        <f aca="false">IF(AND(R2936=1,O2936&gt;Q2936),1,0)</f>
        <v>0</v>
      </c>
      <c r="W2936" s="7" t="n">
        <f aca="false">IF(AND(T2936=1,P2936&lt;&gt;"",P2936&lt;=Q2936),1,0)</f>
        <v>0</v>
      </c>
    </row>
    <row r="2937" customFormat="false" ht="15" hidden="false" customHeight="false" outlineLevel="0" collapsed="false">
      <c r="A2937" s="7" t="s">
        <v>3453</v>
      </c>
      <c r="B2937" s="7" t="s">
        <v>46</v>
      </c>
      <c r="C2937" s="7" t="s">
        <v>128</v>
      </c>
      <c r="D2937" s="7" t="s">
        <v>108</v>
      </c>
      <c r="E2937" s="7" t="s">
        <v>109</v>
      </c>
      <c r="F2937" s="7" t="s">
        <v>50</v>
      </c>
      <c r="G2937" s="7" t="s">
        <v>20</v>
      </c>
      <c r="H2937" s="9" t="n">
        <v>46099</v>
      </c>
      <c r="I2937" s="9" t="n">
        <v>46124</v>
      </c>
      <c r="J2937" s="7" t="n">
        <v>8.6</v>
      </c>
      <c r="K2937" s="7" t="s">
        <v>3340</v>
      </c>
      <c r="L2937" s="7" t="s">
        <v>22</v>
      </c>
      <c r="M2937" s="7" t="s">
        <v>3465</v>
      </c>
      <c r="N2937" s="7" t="s">
        <v>53</v>
      </c>
      <c r="O2937" s="10" t="n">
        <f aca="false">'Exec Summary'!$E$2-H2937</f>
        <v>135</v>
      </c>
      <c r="P2937" s="10" t="n">
        <f aca="false">IF(I2937="","",I2937-H2937)</f>
        <v>25</v>
      </c>
      <c r="Q2937" s="10" t="n">
        <f aca="false">VLOOKUP(G2937,$AA$2:$AB$5,2,FALSE())</f>
        <v>30</v>
      </c>
      <c r="R2937" s="7" t="n">
        <f aca="false">IF(OR(F2937="Open",F2937="Reopened"),1,0)</f>
        <v>0</v>
      </c>
      <c r="S2937" s="7" t="n">
        <f aca="false">IF(AND(H2937&gt;='Exec Summary'!$E$1,H2937&lt;='Exec Summary'!$E$2),1,0)</f>
        <v>0</v>
      </c>
      <c r="T2937" s="7" t="n">
        <f aca="false">IF(AND(F2937="Closed",I2937&lt;&gt;"",I2937&gt;='Exec Summary'!$E$1,I2937&lt;='Exec Summary'!$E$2),1,0)</f>
        <v>0</v>
      </c>
      <c r="U2937" s="7" t="n">
        <f aca="false">IF(F2937="Reopened",1,0)</f>
        <v>0</v>
      </c>
      <c r="V2937" s="7" t="n">
        <f aca="false">IF(AND(R2937=1,O2937&gt;Q2937),1,0)</f>
        <v>0</v>
      </c>
      <c r="W2937" s="7" t="n">
        <f aca="false">IF(AND(T2937=1,P2937&lt;&gt;"",P2937&lt;=Q2937),1,0)</f>
        <v>0</v>
      </c>
    </row>
    <row r="2938" customFormat="false" ht="15" hidden="false" customHeight="false" outlineLevel="0" collapsed="false">
      <c r="A2938" s="7" t="s">
        <v>3453</v>
      </c>
      <c r="B2938" s="7" t="s">
        <v>46</v>
      </c>
      <c r="C2938" s="7" t="s">
        <v>128</v>
      </c>
      <c r="D2938" s="7" t="s">
        <v>91</v>
      </c>
      <c r="E2938" s="7" t="s">
        <v>92</v>
      </c>
      <c r="F2938" s="7" t="s">
        <v>56</v>
      </c>
      <c r="G2938" s="7" t="s">
        <v>20</v>
      </c>
      <c r="H2938" s="9" t="n">
        <v>46059</v>
      </c>
      <c r="I2938" s="9"/>
      <c r="J2938" s="7" t="n">
        <v>8.1</v>
      </c>
      <c r="K2938" s="7" t="s">
        <v>3340</v>
      </c>
      <c r="L2938" s="7" t="s">
        <v>22</v>
      </c>
      <c r="M2938" s="7" t="s">
        <v>3466</v>
      </c>
      <c r="N2938" s="7" t="s">
        <v>53</v>
      </c>
      <c r="O2938" s="10" t="n">
        <f aca="false">'Exec Summary'!$E$2-H2938</f>
        <v>175</v>
      </c>
      <c r="P2938" s="10" t="str">
        <f aca="false">IF(I2938="","",I2938-H2938)</f>
        <v/>
      </c>
      <c r="Q2938" s="10" t="n">
        <f aca="false">VLOOKUP(G2938,$AA$2:$AB$5,2,FALSE())</f>
        <v>30</v>
      </c>
      <c r="R2938" s="7" t="n">
        <f aca="false">IF(OR(F2938="Open",F2938="Reopened"),1,0)</f>
        <v>1</v>
      </c>
      <c r="S2938" s="7" t="n">
        <f aca="false">IF(AND(H2938&gt;='Exec Summary'!$E$1,H2938&lt;='Exec Summary'!$E$2),1,0)</f>
        <v>0</v>
      </c>
      <c r="T2938" s="7" t="n">
        <f aca="false">IF(AND(F2938="Closed",I2938&lt;&gt;"",I2938&gt;='Exec Summary'!$E$1,I2938&lt;='Exec Summary'!$E$2),1,0)</f>
        <v>0</v>
      </c>
      <c r="U2938" s="7" t="n">
        <f aca="false">IF(F2938="Reopened",1,0)</f>
        <v>0</v>
      </c>
      <c r="V2938" s="7" t="n">
        <f aca="false">IF(AND(R2938=1,O2938&gt;Q2938),1,0)</f>
        <v>1</v>
      </c>
      <c r="W2938" s="7" t="n">
        <f aca="false">IF(AND(T2938=1,P2938&lt;&gt;"",P2938&lt;=Q2938),1,0)</f>
        <v>0</v>
      </c>
    </row>
    <row r="2939" customFormat="false" ht="15" hidden="false" customHeight="false" outlineLevel="0" collapsed="false">
      <c r="A2939" s="7" t="s">
        <v>3467</v>
      </c>
      <c r="B2939" s="7" t="s">
        <v>135</v>
      </c>
      <c r="C2939" s="7" t="s">
        <v>306</v>
      </c>
      <c r="D2939" s="7" t="s">
        <v>54</v>
      </c>
      <c r="E2939" s="7" t="s">
        <v>55</v>
      </c>
      <c r="F2939" s="7" t="s">
        <v>123</v>
      </c>
      <c r="G2939" s="7" t="s">
        <v>19</v>
      </c>
      <c r="H2939" s="9" t="n">
        <v>45969</v>
      </c>
      <c r="I2939" s="9" t="n">
        <v>45980</v>
      </c>
      <c r="J2939" s="7" t="n">
        <v>9.8</v>
      </c>
      <c r="K2939" s="7" t="s">
        <v>3340</v>
      </c>
      <c r="L2939" s="7" t="s">
        <v>19</v>
      </c>
      <c r="M2939" s="7" t="s">
        <v>3468</v>
      </c>
      <c r="N2939" s="7" t="s">
        <v>58</v>
      </c>
      <c r="O2939" s="10" t="n">
        <f aca="false">'Exec Summary'!$E$2-H2939</f>
        <v>265</v>
      </c>
      <c r="P2939" s="10" t="n">
        <f aca="false">IF(I2939="","",I2939-H2939)</f>
        <v>11</v>
      </c>
      <c r="Q2939" s="10" t="n">
        <f aca="false">VLOOKUP(G2939,$AA$2:$AB$5,2,FALSE())</f>
        <v>15</v>
      </c>
      <c r="R2939" s="7" t="n">
        <f aca="false">IF(OR(F2939="Open",F2939="Reopened"),1,0)</f>
        <v>1</v>
      </c>
      <c r="S2939" s="7" t="n">
        <f aca="false">IF(AND(H2939&gt;='Exec Summary'!$E$1,H2939&lt;='Exec Summary'!$E$2),1,0)</f>
        <v>0</v>
      </c>
      <c r="T2939" s="7" t="n">
        <f aca="false">IF(AND(F2939="Closed",I2939&lt;&gt;"",I2939&gt;='Exec Summary'!$E$1,I2939&lt;='Exec Summary'!$E$2),1,0)</f>
        <v>0</v>
      </c>
      <c r="U2939" s="7" t="n">
        <f aca="false">IF(F2939="Reopened",1,0)</f>
        <v>1</v>
      </c>
      <c r="V2939" s="7" t="n">
        <f aca="false">IF(AND(R2939=1,O2939&gt;Q2939),1,0)</f>
        <v>1</v>
      </c>
      <c r="W2939" s="7" t="n">
        <f aca="false">IF(AND(T2939=1,P2939&lt;&gt;"",P2939&lt;=Q2939),1,0)</f>
        <v>0</v>
      </c>
    </row>
    <row r="2940" customFormat="false" ht="15" hidden="false" customHeight="false" outlineLevel="0" collapsed="false">
      <c r="A2940" s="7" t="s">
        <v>3467</v>
      </c>
      <c r="B2940" s="7" t="s">
        <v>135</v>
      </c>
      <c r="C2940" s="7" t="s">
        <v>306</v>
      </c>
      <c r="D2940" s="7" t="s">
        <v>112</v>
      </c>
      <c r="E2940" s="7" t="s">
        <v>113</v>
      </c>
      <c r="F2940" s="7" t="s">
        <v>56</v>
      </c>
      <c r="G2940" s="7" t="s">
        <v>20</v>
      </c>
      <c r="H2940" s="9" t="n">
        <v>46200</v>
      </c>
      <c r="I2940" s="9"/>
      <c r="J2940" s="7" t="n">
        <v>7.8</v>
      </c>
      <c r="K2940" s="7" t="s">
        <v>3340</v>
      </c>
      <c r="L2940" s="7" t="s">
        <v>19</v>
      </c>
      <c r="M2940" s="7" t="s">
        <v>3469</v>
      </c>
      <c r="N2940" s="7" t="s">
        <v>53</v>
      </c>
      <c r="O2940" s="10" t="n">
        <f aca="false">'Exec Summary'!$E$2-H2940</f>
        <v>34</v>
      </c>
      <c r="P2940" s="10" t="str">
        <f aca="false">IF(I2940="","",I2940-H2940)</f>
        <v/>
      </c>
      <c r="Q2940" s="10" t="n">
        <f aca="false">VLOOKUP(G2940,$AA$2:$AB$5,2,FALSE())</f>
        <v>30</v>
      </c>
      <c r="R2940" s="7" t="n">
        <f aca="false">IF(OR(F2940="Open",F2940="Reopened"),1,0)</f>
        <v>1</v>
      </c>
      <c r="S2940" s="7" t="n">
        <f aca="false">IF(AND(H2940&gt;='Exec Summary'!$E$1,H2940&lt;='Exec Summary'!$E$2),1,0)</f>
        <v>0</v>
      </c>
      <c r="T2940" s="7" t="n">
        <f aca="false">IF(AND(F2940="Closed",I2940&lt;&gt;"",I2940&gt;='Exec Summary'!$E$1,I2940&lt;='Exec Summary'!$E$2),1,0)</f>
        <v>0</v>
      </c>
      <c r="U2940" s="7" t="n">
        <f aca="false">IF(F2940="Reopened",1,0)</f>
        <v>0</v>
      </c>
      <c r="V2940" s="7" t="n">
        <f aca="false">IF(AND(R2940=1,O2940&gt;Q2940),1,0)</f>
        <v>1</v>
      </c>
      <c r="W2940" s="7" t="n">
        <f aca="false">IF(AND(T2940=1,P2940&lt;&gt;"",P2940&lt;=Q2940),1,0)</f>
        <v>0</v>
      </c>
    </row>
    <row r="2941" customFormat="false" ht="15" hidden="false" customHeight="false" outlineLevel="0" collapsed="false">
      <c r="A2941" s="7" t="s">
        <v>3467</v>
      </c>
      <c r="B2941" s="7" t="s">
        <v>135</v>
      </c>
      <c r="C2941" s="7" t="s">
        <v>306</v>
      </c>
      <c r="D2941" s="7" t="s">
        <v>206</v>
      </c>
      <c r="E2941" s="7" t="s">
        <v>207</v>
      </c>
      <c r="F2941" s="7" t="s">
        <v>56</v>
      </c>
      <c r="G2941" s="7" t="s">
        <v>20</v>
      </c>
      <c r="H2941" s="9" t="n">
        <v>45970</v>
      </c>
      <c r="I2941" s="9"/>
      <c r="J2941" s="7" t="n">
        <v>8.8</v>
      </c>
      <c r="K2941" s="7" t="s">
        <v>3340</v>
      </c>
      <c r="L2941" s="7" t="s">
        <v>19</v>
      </c>
      <c r="M2941" s="7" t="s">
        <v>3470</v>
      </c>
      <c r="N2941" s="7" t="s">
        <v>53</v>
      </c>
      <c r="O2941" s="10" t="n">
        <f aca="false">'Exec Summary'!$E$2-H2941</f>
        <v>264</v>
      </c>
      <c r="P2941" s="10" t="str">
        <f aca="false">IF(I2941="","",I2941-H2941)</f>
        <v/>
      </c>
      <c r="Q2941" s="10" t="n">
        <f aca="false">VLOOKUP(G2941,$AA$2:$AB$5,2,FALSE())</f>
        <v>30</v>
      </c>
      <c r="R2941" s="7" t="n">
        <f aca="false">IF(OR(F2941="Open",F2941="Reopened"),1,0)</f>
        <v>1</v>
      </c>
      <c r="S2941" s="7" t="n">
        <f aca="false">IF(AND(H2941&gt;='Exec Summary'!$E$1,H2941&lt;='Exec Summary'!$E$2),1,0)</f>
        <v>0</v>
      </c>
      <c r="T2941" s="7" t="n">
        <f aca="false">IF(AND(F2941="Closed",I2941&lt;&gt;"",I2941&gt;='Exec Summary'!$E$1,I2941&lt;='Exec Summary'!$E$2),1,0)</f>
        <v>0</v>
      </c>
      <c r="U2941" s="7" t="n">
        <f aca="false">IF(F2941="Reopened",1,0)</f>
        <v>0</v>
      </c>
      <c r="V2941" s="7" t="n">
        <f aca="false">IF(AND(R2941=1,O2941&gt;Q2941),1,0)</f>
        <v>1</v>
      </c>
      <c r="W2941" s="7" t="n">
        <f aca="false">IF(AND(T2941=1,P2941&lt;&gt;"",P2941&lt;=Q2941),1,0)</f>
        <v>0</v>
      </c>
    </row>
    <row r="2942" customFormat="false" ht="15" hidden="false" customHeight="false" outlineLevel="0" collapsed="false">
      <c r="A2942" s="7" t="s">
        <v>3471</v>
      </c>
      <c r="B2942" s="7" t="s">
        <v>135</v>
      </c>
      <c r="C2942" s="7" t="s">
        <v>247</v>
      </c>
      <c r="D2942" s="7" t="s">
        <v>59</v>
      </c>
      <c r="E2942" s="7" t="s">
        <v>60</v>
      </c>
      <c r="F2942" s="7" t="s">
        <v>50</v>
      </c>
      <c r="G2942" s="7" t="s">
        <v>19</v>
      </c>
      <c r="H2942" s="9" t="n">
        <v>46120</v>
      </c>
      <c r="I2942" s="9" t="n">
        <v>46139</v>
      </c>
      <c r="J2942" s="7" t="n">
        <v>7.8</v>
      </c>
      <c r="K2942" s="7" t="s">
        <v>3340</v>
      </c>
      <c r="L2942" s="7" t="s">
        <v>21</v>
      </c>
      <c r="M2942" s="7" t="s">
        <v>3472</v>
      </c>
      <c r="N2942" s="7" t="s">
        <v>58</v>
      </c>
      <c r="O2942" s="10" t="n">
        <f aca="false">'Exec Summary'!$E$2-H2942</f>
        <v>114</v>
      </c>
      <c r="P2942" s="10" t="n">
        <f aca="false">IF(I2942="","",I2942-H2942)</f>
        <v>19</v>
      </c>
      <c r="Q2942" s="10" t="n">
        <f aca="false">VLOOKUP(G2942,$AA$2:$AB$5,2,FALSE())</f>
        <v>15</v>
      </c>
      <c r="R2942" s="7" t="n">
        <f aca="false">IF(OR(F2942="Open",F2942="Reopened"),1,0)</f>
        <v>0</v>
      </c>
      <c r="S2942" s="7" t="n">
        <f aca="false">IF(AND(H2942&gt;='Exec Summary'!$E$1,H2942&lt;='Exec Summary'!$E$2),1,0)</f>
        <v>0</v>
      </c>
      <c r="T2942" s="7" t="n">
        <f aca="false">IF(AND(F2942="Closed",I2942&lt;&gt;"",I2942&gt;='Exec Summary'!$E$1,I2942&lt;='Exec Summary'!$E$2),1,0)</f>
        <v>0</v>
      </c>
      <c r="U2942" s="7" t="n">
        <f aca="false">IF(F2942="Reopened",1,0)</f>
        <v>0</v>
      </c>
      <c r="V2942" s="7" t="n">
        <f aca="false">IF(AND(R2942=1,O2942&gt;Q2942),1,0)</f>
        <v>0</v>
      </c>
      <c r="W2942" s="7" t="n">
        <f aca="false">IF(AND(T2942=1,P2942&lt;&gt;"",P2942&lt;=Q2942),1,0)</f>
        <v>0</v>
      </c>
    </row>
    <row r="2943" customFormat="false" ht="15" hidden="false" customHeight="false" outlineLevel="0" collapsed="false">
      <c r="A2943" s="7" t="s">
        <v>3471</v>
      </c>
      <c r="B2943" s="7" t="s">
        <v>135</v>
      </c>
      <c r="C2943" s="7" t="s">
        <v>247</v>
      </c>
      <c r="D2943" s="7" t="s">
        <v>206</v>
      </c>
      <c r="E2943" s="7" t="s">
        <v>207</v>
      </c>
      <c r="F2943" s="7" t="s">
        <v>50</v>
      </c>
      <c r="G2943" s="7" t="s">
        <v>20</v>
      </c>
      <c r="H2943" s="9" t="n">
        <v>45987</v>
      </c>
      <c r="I2943" s="9" t="n">
        <v>46001</v>
      </c>
      <c r="J2943" s="7" t="n">
        <v>8.8</v>
      </c>
      <c r="K2943" s="7" t="s">
        <v>3340</v>
      </c>
      <c r="L2943" s="7" t="s">
        <v>21</v>
      </c>
      <c r="M2943" s="7" t="s">
        <v>3473</v>
      </c>
      <c r="N2943" s="7" t="s">
        <v>53</v>
      </c>
      <c r="O2943" s="10" t="n">
        <f aca="false">'Exec Summary'!$E$2-H2943</f>
        <v>247</v>
      </c>
      <c r="P2943" s="10" t="n">
        <f aca="false">IF(I2943="","",I2943-H2943)</f>
        <v>14</v>
      </c>
      <c r="Q2943" s="10" t="n">
        <f aca="false">VLOOKUP(G2943,$AA$2:$AB$5,2,FALSE())</f>
        <v>30</v>
      </c>
      <c r="R2943" s="7" t="n">
        <f aca="false">IF(OR(F2943="Open",F2943="Reopened"),1,0)</f>
        <v>0</v>
      </c>
      <c r="S2943" s="7" t="n">
        <f aca="false">IF(AND(H2943&gt;='Exec Summary'!$E$1,H2943&lt;='Exec Summary'!$E$2),1,0)</f>
        <v>0</v>
      </c>
      <c r="T2943" s="7" t="n">
        <f aca="false">IF(AND(F2943="Closed",I2943&lt;&gt;"",I2943&gt;='Exec Summary'!$E$1,I2943&lt;='Exec Summary'!$E$2),1,0)</f>
        <v>0</v>
      </c>
      <c r="U2943" s="7" t="n">
        <f aca="false">IF(F2943="Reopened",1,0)</f>
        <v>0</v>
      </c>
      <c r="V2943" s="7" t="n">
        <f aca="false">IF(AND(R2943=1,O2943&gt;Q2943),1,0)</f>
        <v>0</v>
      </c>
      <c r="W2943" s="7" t="n">
        <f aca="false">IF(AND(T2943=1,P2943&lt;&gt;"",P2943&lt;=Q2943),1,0)</f>
        <v>0</v>
      </c>
    </row>
    <row r="2944" customFormat="false" ht="15" hidden="false" customHeight="false" outlineLevel="0" collapsed="false">
      <c r="A2944" s="7" t="s">
        <v>3471</v>
      </c>
      <c r="B2944" s="7" t="s">
        <v>135</v>
      </c>
      <c r="C2944" s="7" t="s">
        <v>247</v>
      </c>
      <c r="D2944" s="7" t="s">
        <v>192</v>
      </c>
      <c r="E2944" s="7" t="s">
        <v>193</v>
      </c>
      <c r="F2944" s="7" t="s">
        <v>50</v>
      </c>
      <c r="G2944" s="7" t="s">
        <v>19</v>
      </c>
      <c r="H2944" s="9" t="n">
        <v>46020</v>
      </c>
      <c r="I2944" s="9" t="n">
        <v>46029</v>
      </c>
      <c r="J2944" s="7" t="n">
        <v>9.8</v>
      </c>
      <c r="K2944" s="7" t="s">
        <v>3340</v>
      </c>
      <c r="L2944" s="7" t="s">
        <v>21</v>
      </c>
      <c r="M2944" s="7" t="s">
        <v>3474</v>
      </c>
      <c r="N2944" s="7" t="s">
        <v>58</v>
      </c>
      <c r="O2944" s="10" t="n">
        <f aca="false">'Exec Summary'!$E$2-H2944</f>
        <v>214</v>
      </c>
      <c r="P2944" s="10" t="n">
        <f aca="false">IF(I2944="","",I2944-H2944)</f>
        <v>9</v>
      </c>
      <c r="Q2944" s="10" t="n">
        <f aca="false">VLOOKUP(G2944,$AA$2:$AB$5,2,FALSE())</f>
        <v>15</v>
      </c>
      <c r="R2944" s="7" t="n">
        <f aca="false">IF(OR(F2944="Open",F2944="Reopened"),1,0)</f>
        <v>0</v>
      </c>
      <c r="S2944" s="7" t="n">
        <f aca="false">IF(AND(H2944&gt;='Exec Summary'!$E$1,H2944&lt;='Exec Summary'!$E$2),1,0)</f>
        <v>0</v>
      </c>
      <c r="T2944" s="7" t="n">
        <f aca="false">IF(AND(F2944="Closed",I2944&lt;&gt;"",I2944&gt;='Exec Summary'!$E$1,I2944&lt;='Exec Summary'!$E$2),1,0)</f>
        <v>0</v>
      </c>
      <c r="U2944" s="7" t="n">
        <f aca="false">IF(F2944="Reopened",1,0)</f>
        <v>0</v>
      </c>
      <c r="V2944" s="7" t="n">
        <f aca="false">IF(AND(R2944=1,O2944&gt;Q2944),1,0)</f>
        <v>0</v>
      </c>
      <c r="W2944" s="7" t="n">
        <f aca="false">IF(AND(T2944=1,P2944&lt;&gt;"",P2944&lt;=Q2944),1,0)</f>
        <v>0</v>
      </c>
    </row>
    <row r="2945" customFormat="false" ht="15" hidden="false" customHeight="false" outlineLevel="0" collapsed="false">
      <c r="A2945" s="7" t="s">
        <v>3471</v>
      </c>
      <c r="B2945" s="7" t="s">
        <v>135</v>
      </c>
      <c r="C2945" s="7" t="s">
        <v>247</v>
      </c>
      <c r="D2945" s="7" t="s">
        <v>87</v>
      </c>
      <c r="E2945" s="7" t="s">
        <v>88</v>
      </c>
      <c r="F2945" s="7" t="s">
        <v>50</v>
      </c>
      <c r="G2945" s="7" t="s">
        <v>19</v>
      </c>
      <c r="H2945" s="9" t="n">
        <v>46041</v>
      </c>
      <c r="I2945" s="9" t="n">
        <v>46049</v>
      </c>
      <c r="J2945" s="7" t="n">
        <v>10</v>
      </c>
      <c r="K2945" s="7" t="s">
        <v>3340</v>
      </c>
      <c r="L2945" s="7" t="s">
        <v>21</v>
      </c>
      <c r="M2945" s="7" t="s">
        <v>3475</v>
      </c>
      <c r="N2945" s="7" t="s">
        <v>58</v>
      </c>
      <c r="O2945" s="10" t="n">
        <f aca="false">'Exec Summary'!$E$2-H2945</f>
        <v>193</v>
      </c>
      <c r="P2945" s="10" t="n">
        <f aca="false">IF(I2945="","",I2945-H2945)</f>
        <v>8</v>
      </c>
      <c r="Q2945" s="10" t="n">
        <f aca="false">VLOOKUP(G2945,$AA$2:$AB$5,2,FALSE())</f>
        <v>15</v>
      </c>
      <c r="R2945" s="7" t="n">
        <f aca="false">IF(OR(F2945="Open",F2945="Reopened"),1,0)</f>
        <v>0</v>
      </c>
      <c r="S2945" s="7" t="n">
        <f aca="false">IF(AND(H2945&gt;='Exec Summary'!$E$1,H2945&lt;='Exec Summary'!$E$2),1,0)</f>
        <v>0</v>
      </c>
      <c r="T2945" s="7" t="n">
        <f aca="false">IF(AND(F2945="Closed",I2945&lt;&gt;"",I2945&gt;='Exec Summary'!$E$1,I2945&lt;='Exec Summary'!$E$2),1,0)</f>
        <v>0</v>
      </c>
      <c r="U2945" s="7" t="n">
        <f aca="false">IF(F2945="Reopened",1,0)</f>
        <v>0</v>
      </c>
      <c r="V2945" s="7" t="n">
        <f aca="false">IF(AND(R2945=1,O2945&gt;Q2945),1,0)</f>
        <v>0</v>
      </c>
      <c r="W2945" s="7" t="n">
        <f aca="false">IF(AND(T2945=1,P2945&lt;&gt;"",P2945&lt;=Q2945),1,0)</f>
        <v>0</v>
      </c>
    </row>
    <row r="2946" customFormat="false" ht="15" hidden="false" customHeight="false" outlineLevel="0" collapsed="false">
      <c r="A2946" s="7" t="s">
        <v>3471</v>
      </c>
      <c r="B2946" s="7" t="s">
        <v>135</v>
      </c>
      <c r="C2946" s="7" t="s">
        <v>247</v>
      </c>
      <c r="D2946" s="7" t="s">
        <v>120</v>
      </c>
      <c r="E2946" s="7" t="s">
        <v>121</v>
      </c>
      <c r="F2946" s="7" t="s">
        <v>56</v>
      </c>
      <c r="G2946" s="7" t="s">
        <v>19</v>
      </c>
      <c r="H2946" s="9" t="n">
        <v>46168</v>
      </c>
      <c r="I2946" s="9"/>
      <c r="J2946" s="7" t="n">
        <v>8.8</v>
      </c>
      <c r="K2946" s="7" t="s">
        <v>3340</v>
      </c>
      <c r="L2946" s="7" t="s">
        <v>21</v>
      </c>
      <c r="M2946" s="7" t="s">
        <v>3476</v>
      </c>
      <c r="N2946" s="7" t="s">
        <v>58</v>
      </c>
      <c r="O2946" s="10" t="n">
        <f aca="false">'Exec Summary'!$E$2-H2946</f>
        <v>66</v>
      </c>
      <c r="P2946" s="10" t="str">
        <f aca="false">IF(I2946="","",I2946-H2946)</f>
        <v/>
      </c>
      <c r="Q2946" s="10" t="n">
        <f aca="false">VLOOKUP(G2946,$AA$2:$AB$5,2,FALSE())</f>
        <v>15</v>
      </c>
      <c r="R2946" s="7" t="n">
        <f aca="false">IF(OR(F2946="Open",F2946="Reopened"),1,0)</f>
        <v>1</v>
      </c>
      <c r="S2946" s="7" t="n">
        <f aca="false">IF(AND(H2946&gt;='Exec Summary'!$E$1,H2946&lt;='Exec Summary'!$E$2),1,0)</f>
        <v>0</v>
      </c>
      <c r="T2946" s="7" t="n">
        <f aca="false">IF(AND(F2946="Closed",I2946&lt;&gt;"",I2946&gt;='Exec Summary'!$E$1,I2946&lt;='Exec Summary'!$E$2),1,0)</f>
        <v>0</v>
      </c>
      <c r="U2946" s="7" t="n">
        <f aca="false">IF(F2946="Reopened",1,0)</f>
        <v>0</v>
      </c>
      <c r="V2946" s="7" t="n">
        <f aca="false">IF(AND(R2946=1,O2946&gt;Q2946),1,0)</f>
        <v>1</v>
      </c>
      <c r="W2946" s="7" t="n">
        <f aca="false">IF(AND(T2946=1,P2946&lt;&gt;"",P2946&lt;=Q2946),1,0)</f>
        <v>0</v>
      </c>
    </row>
    <row r="2947" customFormat="false" ht="15" hidden="false" customHeight="false" outlineLevel="0" collapsed="false">
      <c r="A2947" s="7" t="s">
        <v>3471</v>
      </c>
      <c r="B2947" s="7" t="s">
        <v>135</v>
      </c>
      <c r="C2947" s="7" t="s">
        <v>247</v>
      </c>
      <c r="D2947" s="7" t="s">
        <v>145</v>
      </c>
      <c r="E2947" s="7" t="s">
        <v>146</v>
      </c>
      <c r="F2947" s="7" t="s">
        <v>56</v>
      </c>
      <c r="G2947" s="7" t="s">
        <v>19</v>
      </c>
      <c r="H2947" s="9" t="n">
        <v>46059</v>
      </c>
      <c r="I2947" s="9"/>
      <c r="J2947" s="7" t="n">
        <v>9.8</v>
      </c>
      <c r="K2947" s="7" t="s">
        <v>3340</v>
      </c>
      <c r="L2947" s="7" t="s">
        <v>21</v>
      </c>
      <c r="M2947" s="7" t="s">
        <v>3477</v>
      </c>
      <c r="N2947" s="7" t="s">
        <v>58</v>
      </c>
      <c r="O2947" s="10" t="n">
        <f aca="false">'Exec Summary'!$E$2-H2947</f>
        <v>175</v>
      </c>
      <c r="P2947" s="10" t="str">
        <f aca="false">IF(I2947="","",I2947-H2947)</f>
        <v/>
      </c>
      <c r="Q2947" s="10" t="n">
        <f aca="false">VLOOKUP(G2947,$AA$2:$AB$5,2,FALSE())</f>
        <v>15</v>
      </c>
      <c r="R2947" s="7" t="n">
        <f aca="false">IF(OR(F2947="Open",F2947="Reopened"),1,0)</f>
        <v>1</v>
      </c>
      <c r="S2947" s="7" t="n">
        <f aca="false">IF(AND(H2947&gt;='Exec Summary'!$E$1,H2947&lt;='Exec Summary'!$E$2),1,0)</f>
        <v>0</v>
      </c>
      <c r="T2947" s="7" t="n">
        <f aca="false">IF(AND(F2947="Closed",I2947&lt;&gt;"",I2947&gt;='Exec Summary'!$E$1,I2947&lt;='Exec Summary'!$E$2),1,0)</f>
        <v>0</v>
      </c>
      <c r="U2947" s="7" t="n">
        <f aca="false">IF(F2947="Reopened",1,0)</f>
        <v>0</v>
      </c>
      <c r="V2947" s="7" t="n">
        <f aca="false">IF(AND(R2947=1,O2947&gt;Q2947),1,0)</f>
        <v>1</v>
      </c>
      <c r="W2947" s="7" t="n">
        <f aca="false">IF(AND(T2947=1,P2947&lt;&gt;"",P2947&lt;=Q2947),1,0)</f>
        <v>0</v>
      </c>
    </row>
    <row r="2948" customFormat="false" ht="15" hidden="false" customHeight="false" outlineLevel="0" collapsed="false">
      <c r="A2948" s="7" t="s">
        <v>3471</v>
      </c>
      <c r="B2948" s="7" t="s">
        <v>135</v>
      </c>
      <c r="C2948" s="7" t="s">
        <v>247</v>
      </c>
      <c r="D2948" s="7" t="s">
        <v>210</v>
      </c>
      <c r="E2948" s="7" t="s">
        <v>211</v>
      </c>
      <c r="F2948" s="7" t="s">
        <v>56</v>
      </c>
      <c r="G2948" s="7" t="s">
        <v>19</v>
      </c>
      <c r="H2948" s="9" t="n">
        <v>46085</v>
      </c>
      <c r="I2948" s="9"/>
      <c r="J2948" s="7" t="n">
        <v>9.8</v>
      </c>
      <c r="K2948" s="7" t="s">
        <v>3340</v>
      </c>
      <c r="L2948" s="7" t="s">
        <v>21</v>
      </c>
      <c r="M2948" s="7" t="s">
        <v>3478</v>
      </c>
      <c r="N2948" s="7" t="s">
        <v>58</v>
      </c>
      <c r="O2948" s="10" t="n">
        <f aca="false">'Exec Summary'!$E$2-H2948</f>
        <v>149</v>
      </c>
      <c r="P2948" s="10" t="str">
        <f aca="false">IF(I2948="","",I2948-H2948)</f>
        <v/>
      </c>
      <c r="Q2948" s="10" t="n">
        <f aca="false">VLOOKUP(G2948,$AA$2:$AB$5,2,FALSE())</f>
        <v>15</v>
      </c>
      <c r="R2948" s="7" t="n">
        <f aca="false">IF(OR(F2948="Open",F2948="Reopened"),1,0)</f>
        <v>1</v>
      </c>
      <c r="S2948" s="7" t="n">
        <f aca="false">IF(AND(H2948&gt;='Exec Summary'!$E$1,H2948&lt;='Exec Summary'!$E$2),1,0)</f>
        <v>0</v>
      </c>
      <c r="T2948" s="7" t="n">
        <f aca="false">IF(AND(F2948="Closed",I2948&lt;&gt;"",I2948&gt;='Exec Summary'!$E$1,I2948&lt;='Exec Summary'!$E$2),1,0)</f>
        <v>0</v>
      </c>
      <c r="U2948" s="7" t="n">
        <f aca="false">IF(F2948="Reopened",1,0)</f>
        <v>0</v>
      </c>
      <c r="V2948" s="7" t="n">
        <f aca="false">IF(AND(R2948=1,O2948&gt;Q2948),1,0)</f>
        <v>1</v>
      </c>
      <c r="W2948" s="7" t="n">
        <f aca="false">IF(AND(T2948=1,P2948&lt;&gt;"",P2948&lt;=Q2948),1,0)</f>
        <v>0</v>
      </c>
    </row>
    <row r="2949" customFormat="false" ht="15" hidden="false" customHeight="false" outlineLevel="0" collapsed="false">
      <c r="A2949" s="7" t="s">
        <v>3471</v>
      </c>
      <c r="B2949" s="7" t="s">
        <v>135</v>
      </c>
      <c r="C2949" s="7" t="s">
        <v>247</v>
      </c>
      <c r="D2949" s="7" t="s">
        <v>81</v>
      </c>
      <c r="E2949" s="7" t="s">
        <v>82</v>
      </c>
      <c r="F2949" s="7" t="s">
        <v>56</v>
      </c>
      <c r="G2949" s="7" t="s">
        <v>20</v>
      </c>
      <c r="H2949" s="9" t="n">
        <v>46164</v>
      </c>
      <c r="I2949" s="9"/>
      <c r="J2949" s="7" t="n">
        <v>7.8</v>
      </c>
      <c r="K2949" s="7" t="s">
        <v>3340</v>
      </c>
      <c r="L2949" s="7" t="s">
        <v>21</v>
      </c>
      <c r="M2949" s="7" t="s">
        <v>3479</v>
      </c>
      <c r="N2949" s="7" t="s">
        <v>53</v>
      </c>
      <c r="O2949" s="10" t="n">
        <f aca="false">'Exec Summary'!$E$2-H2949</f>
        <v>70</v>
      </c>
      <c r="P2949" s="10" t="str">
        <f aca="false">IF(I2949="","",I2949-H2949)</f>
        <v/>
      </c>
      <c r="Q2949" s="10" t="n">
        <f aca="false">VLOOKUP(G2949,$AA$2:$AB$5,2,FALSE())</f>
        <v>30</v>
      </c>
      <c r="R2949" s="7" t="n">
        <f aca="false">IF(OR(F2949="Open",F2949="Reopened"),1,0)</f>
        <v>1</v>
      </c>
      <c r="S2949" s="7" t="n">
        <f aca="false">IF(AND(H2949&gt;='Exec Summary'!$E$1,H2949&lt;='Exec Summary'!$E$2),1,0)</f>
        <v>0</v>
      </c>
      <c r="T2949" s="7" t="n">
        <f aca="false">IF(AND(F2949="Closed",I2949&lt;&gt;"",I2949&gt;='Exec Summary'!$E$1,I2949&lt;='Exec Summary'!$E$2),1,0)</f>
        <v>0</v>
      </c>
      <c r="U2949" s="7" t="n">
        <f aca="false">IF(F2949="Reopened",1,0)</f>
        <v>0</v>
      </c>
      <c r="V2949" s="7" t="n">
        <f aca="false">IF(AND(R2949=1,O2949&gt;Q2949),1,0)</f>
        <v>1</v>
      </c>
      <c r="W2949" s="7" t="n">
        <f aca="false">IF(AND(T2949=1,P2949&lt;&gt;"",P2949&lt;=Q2949),1,0)</f>
        <v>0</v>
      </c>
    </row>
    <row r="2950" customFormat="false" ht="15" hidden="false" customHeight="false" outlineLevel="0" collapsed="false">
      <c r="A2950" s="7" t="s">
        <v>3480</v>
      </c>
      <c r="B2950" s="7" t="s">
        <v>46</v>
      </c>
      <c r="C2950" s="7" t="s">
        <v>128</v>
      </c>
      <c r="D2950" s="7" t="s">
        <v>71</v>
      </c>
      <c r="E2950" s="7" t="s">
        <v>72</v>
      </c>
      <c r="F2950" s="7" t="s">
        <v>50</v>
      </c>
      <c r="G2950" s="7" t="s">
        <v>19</v>
      </c>
      <c r="H2950" s="9" t="n">
        <v>46015</v>
      </c>
      <c r="I2950" s="9" t="n">
        <v>46022</v>
      </c>
      <c r="J2950" s="7" t="n">
        <v>9.8</v>
      </c>
      <c r="K2950" s="7" t="s">
        <v>3340</v>
      </c>
      <c r="L2950" s="7" t="s">
        <v>21</v>
      </c>
      <c r="M2950" s="7" t="s">
        <v>3481</v>
      </c>
      <c r="N2950" s="7" t="s">
        <v>58</v>
      </c>
      <c r="O2950" s="10" t="n">
        <f aca="false">'Exec Summary'!$E$2-H2950</f>
        <v>219</v>
      </c>
      <c r="P2950" s="10" t="n">
        <f aca="false">IF(I2950="","",I2950-H2950)</f>
        <v>7</v>
      </c>
      <c r="Q2950" s="10" t="n">
        <f aca="false">VLOOKUP(G2950,$AA$2:$AB$5,2,FALSE())</f>
        <v>15</v>
      </c>
      <c r="R2950" s="7" t="n">
        <f aca="false">IF(OR(F2950="Open",F2950="Reopened"),1,0)</f>
        <v>0</v>
      </c>
      <c r="S2950" s="7" t="n">
        <f aca="false">IF(AND(H2950&gt;='Exec Summary'!$E$1,H2950&lt;='Exec Summary'!$E$2),1,0)</f>
        <v>0</v>
      </c>
      <c r="T2950" s="7" t="n">
        <f aca="false">IF(AND(F2950="Closed",I2950&lt;&gt;"",I2950&gt;='Exec Summary'!$E$1,I2950&lt;='Exec Summary'!$E$2),1,0)</f>
        <v>0</v>
      </c>
      <c r="U2950" s="7" t="n">
        <f aca="false">IF(F2950="Reopened",1,0)</f>
        <v>0</v>
      </c>
      <c r="V2950" s="7" t="n">
        <f aca="false">IF(AND(R2950=1,O2950&gt;Q2950),1,0)</f>
        <v>0</v>
      </c>
      <c r="W2950" s="7" t="n">
        <f aca="false">IF(AND(T2950=1,P2950&lt;&gt;"",P2950&lt;=Q2950),1,0)</f>
        <v>0</v>
      </c>
    </row>
    <row r="2951" customFormat="false" ht="15" hidden="false" customHeight="false" outlineLevel="0" collapsed="false">
      <c r="A2951" s="7" t="s">
        <v>3480</v>
      </c>
      <c r="B2951" s="7" t="s">
        <v>46</v>
      </c>
      <c r="C2951" s="7" t="s">
        <v>128</v>
      </c>
      <c r="D2951" s="7" t="s">
        <v>166</v>
      </c>
      <c r="E2951" s="7" t="s">
        <v>167</v>
      </c>
      <c r="F2951" s="7" t="s">
        <v>50</v>
      </c>
      <c r="G2951" s="7" t="s">
        <v>19</v>
      </c>
      <c r="H2951" s="9" t="n">
        <v>45999</v>
      </c>
      <c r="I2951" s="9" t="n">
        <v>46020</v>
      </c>
      <c r="J2951" s="7" t="n">
        <v>9.8</v>
      </c>
      <c r="K2951" s="7" t="s">
        <v>3340</v>
      </c>
      <c r="L2951" s="7" t="s">
        <v>21</v>
      </c>
      <c r="M2951" s="7" t="s">
        <v>3482</v>
      </c>
      <c r="N2951" s="7" t="s">
        <v>58</v>
      </c>
      <c r="O2951" s="10" t="n">
        <f aca="false">'Exec Summary'!$E$2-H2951</f>
        <v>235</v>
      </c>
      <c r="P2951" s="10" t="n">
        <f aca="false">IF(I2951="","",I2951-H2951)</f>
        <v>21</v>
      </c>
      <c r="Q2951" s="10" t="n">
        <f aca="false">VLOOKUP(G2951,$AA$2:$AB$5,2,FALSE())</f>
        <v>15</v>
      </c>
      <c r="R2951" s="7" t="n">
        <f aca="false">IF(OR(F2951="Open",F2951="Reopened"),1,0)</f>
        <v>0</v>
      </c>
      <c r="S2951" s="7" t="n">
        <f aca="false">IF(AND(H2951&gt;='Exec Summary'!$E$1,H2951&lt;='Exec Summary'!$E$2),1,0)</f>
        <v>0</v>
      </c>
      <c r="T2951" s="7" t="n">
        <f aca="false">IF(AND(F2951="Closed",I2951&lt;&gt;"",I2951&gt;='Exec Summary'!$E$1,I2951&lt;='Exec Summary'!$E$2),1,0)</f>
        <v>0</v>
      </c>
      <c r="U2951" s="7" t="n">
        <f aca="false">IF(F2951="Reopened",1,0)</f>
        <v>0</v>
      </c>
      <c r="V2951" s="7" t="n">
        <f aca="false">IF(AND(R2951=1,O2951&gt;Q2951),1,0)</f>
        <v>0</v>
      </c>
      <c r="W2951" s="7" t="n">
        <f aca="false">IF(AND(T2951=1,P2951&lt;&gt;"",P2951&lt;=Q2951),1,0)</f>
        <v>0</v>
      </c>
    </row>
    <row r="2952" customFormat="false" ht="15" hidden="false" customHeight="false" outlineLevel="0" collapsed="false">
      <c r="A2952" s="7" t="s">
        <v>3480</v>
      </c>
      <c r="B2952" s="7" t="s">
        <v>46</v>
      </c>
      <c r="C2952" s="7" t="s">
        <v>128</v>
      </c>
      <c r="D2952" s="7" t="s">
        <v>173</v>
      </c>
      <c r="E2952" s="7" t="s">
        <v>174</v>
      </c>
      <c r="F2952" s="7" t="s">
        <v>56</v>
      </c>
      <c r="G2952" s="7" t="s">
        <v>19</v>
      </c>
      <c r="H2952" s="9" t="n">
        <v>46065</v>
      </c>
      <c r="I2952" s="9"/>
      <c r="J2952" s="7" t="n">
        <v>9.8</v>
      </c>
      <c r="K2952" s="7" t="s">
        <v>3340</v>
      </c>
      <c r="L2952" s="7" t="s">
        <v>21</v>
      </c>
      <c r="M2952" s="7" t="s">
        <v>3483</v>
      </c>
      <c r="N2952" s="7" t="s">
        <v>58</v>
      </c>
      <c r="O2952" s="10" t="n">
        <f aca="false">'Exec Summary'!$E$2-H2952</f>
        <v>169</v>
      </c>
      <c r="P2952" s="10" t="str">
        <f aca="false">IF(I2952="","",I2952-H2952)</f>
        <v/>
      </c>
      <c r="Q2952" s="10" t="n">
        <f aca="false">VLOOKUP(G2952,$AA$2:$AB$5,2,FALSE())</f>
        <v>15</v>
      </c>
      <c r="R2952" s="7" t="n">
        <f aca="false">IF(OR(F2952="Open",F2952="Reopened"),1,0)</f>
        <v>1</v>
      </c>
      <c r="S2952" s="7" t="n">
        <f aca="false">IF(AND(H2952&gt;='Exec Summary'!$E$1,H2952&lt;='Exec Summary'!$E$2),1,0)</f>
        <v>0</v>
      </c>
      <c r="T2952" s="7" t="n">
        <f aca="false">IF(AND(F2952="Closed",I2952&lt;&gt;"",I2952&gt;='Exec Summary'!$E$1,I2952&lt;='Exec Summary'!$E$2),1,0)</f>
        <v>0</v>
      </c>
      <c r="U2952" s="7" t="n">
        <f aca="false">IF(F2952="Reopened",1,0)</f>
        <v>0</v>
      </c>
      <c r="V2952" s="7" t="n">
        <f aca="false">IF(AND(R2952=1,O2952&gt;Q2952),1,0)</f>
        <v>1</v>
      </c>
      <c r="W2952" s="7" t="n">
        <f aca="false">IF(AND(T2952=1,P2952&lt;&gt;"",P2952&lt;=Q2952),1,0)</f>
        <v>0</v>
      </c>
    </row>
    <row r="2953" customFormat="false" ht="15" hidden="false" customHeight="false" outlineLevel="0" collapsed="false">
      <c r="A2953" s="7" t="s">
        <v>3480</v>
      </c>
      <c r="B2953" s="7" t="s">
        <v>46</v>
      </c>
      <c r="C2953" s="7" t="s">
        <v>128</v>
      </c>
      <c r="D2953" s="7" t="s">
        <v>87</v>
      </c>
      <c r="E2953" s="7" t="s">
        <v>88</v>
      </c>
      <c r="F2953" s="7" t="s">
        <v>56</v>
      </c>
      <c r="G2953" s="7" t="s">
        <v>19</v>
      </c>
      <c r="H2953" s="9" t="n">
        <v>46042</v>
      </c>
      <c r="I2953" s="9"/>
      <c r="J2953" s="7" t="n">
        <v>10</v>
      </c>
      <c r="K2953" s="7" t="s">
        <v>3340</v>
      </c>
      <c r="L2953" s="7" t="s">
        <v>21</v>
      </c>
      <c r="M2953" s="7" t="s">
        <v>3484</v>
      </c>
      <c r="N2953" s="7" t="s">
        <v>58</v>
      </c>
      <c r="O2953" s="10" t="n">
        <f aca="false">'Exec Summary'!$E$2-H2953</f>
        <v>192</v>
      </c>
      <c r="P2953" s="10" t="str">
        <f aca="false">IF(I2953="","",I2953-H2953)</f>
        <v/>
      </c>
      <c r="Q2953" s="10" t="n">
        <f aca="false">VLOOKUP(G2953,$AA$2:$AB$5,2,FALSE())</f>
        <v>15</v>
      </c>
      <c r="R2953" s="7" t="n">
        <f aca="false">IF(OR(F2953="Open",F2953="Reopened"),1,0)</f>
        <v>1</v>
      </c>
      <c r="S2953" s="7" t="n">
        <f aca="false">IF(AND(H2953&gt;='Exec Summary'!$E$1,H2953&lt;='Exec Summary'!$E$2),1,0)</f>
        <v>0</v>
      </c>
      <c r="T2953" s="7" t="n">
        <f aca="false">IF(AND(F2953="Closed",I2953&lt;&gt;"",I2953&gt;='Exec Summary'!$E$1,I2953&lt;='Exec Summary'!$E$2),1,0)</f>
        <v>0</v>
      </c>
      <c r="U2953" s="7" t="n">
        <f aca="false">IF(F2953="Reopened",1,0)</f>
        <v>0</v>
      </c>
      <c r="V2953" s="7" t="n">
        <f aca="false">IF(AND(R2953=1,O2953&gt;Q2953),1,0)</f>
        <v>1</v>
      </c>
      <c r="W2953" s="7" t="n">
        <f aca="false">IF(AND(T2953=1,P2953&lt;&gt;"",P2953&lt;=Q2953),1,0)</f>
        <v>0</v>
      </c>
    </row>
    <row r="2954" customFormat="false" ht="15" hidden="false" customHeight="false" outlineLevel="0" collapsed="false">
      <c r="A2954" s="7" t="s">
        <v>3480</v>
      </c>
      <c r="B2954" s="7" t="s">
        <v>46</v>
      </c>
      <c r="C2954" s="7" t="s">
        <v>128</v>
      </c>
      <c r="D2954" s="7" t="s">
        <v>59</v>
      </c>
      <c r="E2954" s="7" t="s">
        <v>60</v>
      </c>
      <c r="F2954" s="7" t="s">
        <v>50</v>
      </c>
      <c r="G2954" s="7" t="s">
        <v>19</v>
      </c>
      <c r="H2954" s="9" t="n">
        <v>45940</v>
      </c>
      <c r="I2954" s="9" t="n">
        <v>45949</v>
      </c>
      <c r="J2954" s="7" t="n">
        <v>7.8</v>
      </c>
      <c r="K2954" s="7" t="s">
        <v>3340</v>
      </c>
      <c r="L2954" s="7" t="s">
        <v>21</v>
      </c>
      <c r="M2954" s="7" t="s">
        <v>3485</v>
      </c>
      <c r="N2954" s="7" t="s">
        <v>58</v>
      </c>
      <c r="O2954" s="10" t="n">
        <f aca="false">'Exec Summary'!$E$2-H2954</f>
        <v>294</v>
      </c>
      <c r="P2954" s="10" t="n">
        <f aca="false">IF(I2954="","",I2954-H2954)</f>
        <v>9</v>
      </c>
      <c r="Q2954" s="10" t="n">
        <f aca="false">VLOOKUP(G2954,$AA$2:$AB$5,2,FALSE())</f>
        <v>15</v>
      </c>
      <c r="R2954" s="7" t="n">
        <f aca="false">IF(OR(F2954="Open",F2954="Reopened"),1,0)</f>
        <v>0</v>
      </c>
      <c r="S2954" s="7" t="n">
        <f aca="false">IF(AND(H2954&gt;='Exec Summary'!$E$1,H2954&lt;='Exec Summary'!$E$2),1,0)</f>
        <v>0</v>
      </c>
      <c r="T2954" s="7" t="n">
        <f aca="false">IF(AND(F2954="Closed",I2954&lt;&gt;"",I2954&gt;='Exec Summary'!$E$1,I2954&lt;='Exec Summary'!$E$2),1,0)</f>
        <v>0</v>
      </c>
      <c r="U2954" s="7" t="n">
        <f aca="false">IF(F2954="Reopened",1,0)</f>
        <v>0</v>
      </c>
      <c r="V2954" s="7" t="n">
        <f aca="false">IF(AND(R2954=1,O2954&gt;Q2954),1,0)</f>
        <v>0</v>
      </c>
      <c r="W2954" s="7" t="n">
        <f aca="false">IF(AND(T2954=1,P2954&lt;&gt;"",P2954&lt;=Q2954),1,0)</f>
        <v>0</v>
      </c>
    </row>
    <row r="2955" customFormat="false" ht="15" hidden="false" customHeight="false" outlineLevel="0" collapsed="false">
      <c r="A2955" s="7" t="s">
        <v>3480</v>
      </c>
      <c r="B2955" s="7" t="s">
        <v>46</v>
      </c>
      <c r="C2955" s="7" t="s">
        <v>128</v>
      </c>
      <c r="D2955" s="7" t="s">
        <v>81</v>
      </c>
      <c r="E2955" s="7" t="s">
        <v>82</v>
      </c>
      <c r="F2955" s="7" t="s">
        <v>56</v>
      </c>
      <c r="G2955" s="7" t="s">
        <v>20</v>
      </c>
      <c r="H2955" s="9" t="n">
        <v>46178</v>
      </c>
      <c r="I2955" s="9"/>
      <c r="J2955" s="7" t="n">
        <v>7.8</v>
      </c>
      <c r="K2955" s="7" t="s">
        <v>3340</v>
      </c>
      <c r="L2955" s="7" t="s">
        <v>21</v>
      </c>
      <c r="M2955" s="7" t="s">
        <v>3486</v>
      </c>
      <c r="N2955" s="7" t="s">
        <v>53</v>
      </c>
      <c r="O2955" s="10" t="n">
        <f aca="false">'Exec Summary'!$E$2-H2955</f>
        <v>56</v>
      </c>
      <c r="P2955" s="10" t="str">
        <f aca="false">IF(I2955="","",I2955-H2955)</f>
        <v/>
      </c>
      <c r="Q2955" s="10" t="n">
        <f aca="false">VLOOKUP(G2955,$AA$2:$AB$5,2,FALSE())</f>
        <v>30</v>
      </c>
      <c r="R2955" s="7" t="n">
        <f aca="false">IF(OR(F2955="Open",F2955="Reopened"),1,0)</f>
        <v>1</v>
      </c>
      <c r="S2955" s="7" t="n">
        <f aca="false">IF(AND(H2955&gt;='Exec Summary'!$E$1,H2955&lt;='Exec Summary'!$E$2),1,0)</f>
        <v>0</v>
      </c>
      <c r="T2955" s="7" t="n">
        <f aca="false">IF(AND(F2955="Closed",I2955&lt;&gt;"",I2955&gt;='Exec Summary'!$E$1,I2955&lt;='Exec Summary'!$E$2),1,0)</f>
        <v>0</v>
      </c>
      <c r="U2955" s="7" t="n">
        <f aca="false">IF(F2955="Reopened",1,0)</f>
        <v>0</v>
      </c>
      <c r="V2955" s="7" t="n">
        <f aca="false">IF(AND(R2955=1,O2955&gt;Q2955),1,0)</f>
        <v>1</v>
      </c>
      <c r="W2955" s="7" t="n">
        <f aca="false">IF(AND(T2955=1,P2955&lt;&gt;"",P2955&lt;=Q2955),1,0)</f>
        <v>0</v>
      </c>
    </row>
    <row r="2956" customFormat="false" ht="15" hidden="false" customHeight="false" outlineLevel="0" collapsed="false">
      <c r="A2956" s="7" t="s">
        <v>3487</v>
      </c>
      <c r="B2956" s="7" t="s">
        <v>135</v>
      </c>
      <c r="C2956" s="7" t="s">
        <v>247</v>
      </c>
      <c r="D2956" s="7" t="s">
        <v>145</v>
      </c>
      <c r="E2956" s="7" t="s">
        <v>146</v>
      </c>
      <c r="F2956" s="7" t="s">
        <v>50</v>
      </c>
      <c r="G2956" s="7" t="s">
        <v>19</v>
      </c>
      <c r="H2956" s="9" t="n">
        <v>46180</v>
      </c>
      <c r="I2956" s="9" t="n">
        <v>46181</v>
      </c>
      <c r="J2956" s="7" t="n">
        <v>9.8</v>
      </c>
      <c r="K2956" s="7" t="s">
        <v>3340</v>
      </c>
      <c r="L2956" s="7" t="s">
        <v>21</v>
      </c>
      <c r="M2956" s="7" t="s">
        <v>3488</v>
      </c>
      <c r="N2956" s="7" t="s">
        <v>58</v>
      </c>
      <c r="O2956" s="10" t="n">
        <f aca="false">'Exec Summary'!$E$2-H2956</f>
        <v>54</v>
      </c>
      <c r="P2956" s="10" t="n">
        <f aca="false">IF(I2956="","",I2956-H2956)</f>
        <v>1</v>
      </c>
      <c r="Q2956" s="10" t="n">
        <f aca="false">VLOOKUP(G2956,$AA$2:$AB$5,2,FALSE())</f>
        <v>15</v>
      </c>
      <c r="R2956" s="7" t="n">
        <f aca="false">IF(OR(F2956="Open",F2956="Reopened"),1,0)</f>
        <v>0</v>
      </c>
      <c r="S2956" s="7" t="n">
        <f aca="false">IF(AND(H2956&gt;='Exec Summary'!$E$1,H2956&lt;='Exec Summary'!$E$2),1,0)</f>
        <v>0</v>
      </c>
      <c r="T2956" s="7" t="n">
        <f aca="false">IF(AND(F2956="Closed",I2956&lt;&gt;"",I2956&gt;='Exec Summary'!$E$1,I2956&lt;='Exec Summary'!$E$2),1,0)</f>
        <v>0</v>
      </c>
      <c r="U2956" s="7" t="n">
        <f aca="false">IF(F2956="Reopened",1,0)</f>
        <v>0</v>
      </c>
      <c r="V2956" s="7" t="n">
        <f aca="false">IF(AND(R2956=1,O2956&gt;Q2956),1,0)</f>
        <v>0</v>
      </c>
      <c r="W2956" s="7" t="n">
        <f aca="false">IF(AND(T2956=1,P2956&lt;&gt;"",P2956&lt;=Q2956),1,0)</f>
        <v>0</v>
      </c>
    </row>
    <row r="2957" customFormat="false" ht="15" hidden="false" customHeight="false" outlineLevel="0" collapsed="false">
      <c r="A2957" s="7" t="s">
        <v>3487</v>
      </c>
      <c r="B2957" s="7" t="s">
        <v>135</v>
      </c>
      <c r="C2957" s="7" t="s">
        <v>247</v>
      </c>
      <c r="D2957" s="7" t="s">
        <v>81</v>
      </c>
      <c r="E2957" s="7" t="s">
        <v>82</v>
      </c>
      <c r="F2957" s="7" t="s">
        <v>50</v>
      </c>
      <c r="G2957" s="7" t="s">
        <v>20</v>
      </c>
      <c r="H2957" s="9" t="n">
        <v>45967</v>
      </c>
      <c r="I2957" s="9" t="n">
        <v>45985</v>
      </c>
      <c r="J2957" s="7" t="n">
        <v>7.8</v>
      </c>
      <c r="K2957" s="7" t="s">
        <v>3340</v>
      </c>
      <c r="L2957" s="7" t="s">
        <v>21</v>
      </c>
      <c r="M2957" s="7" t="s">
        <v>3489</v>
      </c>
      <c r="N2957" s="7" t="s">
        <v>53</v>
      </c>
      <c r="O2957" s="10" t="n">
        <f aca="false">'Exec Summary'!$E$2-H2957</f>
        <v>267</v>
      </c>
      <c r="P2957" s="10" t="n">
        <f aca="false">IF(I2957="","",I2957-H2957)</f>
        <v>18</v>
      </c>
      <c r="Q2957" s="10" t="n">
        <f aca="false">VLOOKUP(G2957,$AA$2:$AB$5,2,FALSE())</f>
        <v>30</v>
      </c>
      <c r="R2957" s="7" t="n">
        <f aca="false">IF(OR(F2957="Open",F2957="Reopened"),1,0)</f>
        <v>0</v>
      </c>
      <c r="S2957" s="7" t="n">
        <f aca="false">IF(AND(H2957&gt;='Exec Summary'!$E$1,H2957&lt;='Exec Summary'!$E$2),1,0)</f>
        <v>0</v>
      </c>
      <c r="T2957" s="7" t="n">
        <f aca="false">IF(AND(F2957="Closed",I2957&lt;&gt;"",I2957&gt;='Exec Summary'!$E$1,I2957&lt;='Exec Summary'!$E$2),1,0)</f>
        <v>0</v>
      </c>
      <c r="U2957" s="7" t="n">
        <f aca="false">IF(F2957="Reopened",1,0)</f>
        <v>0</v>
      </c>
      <c r="V2957" s="7" t="n">
        <f aca="false">IF(AND(R2957=1,O2957&gt;Q2957),1,0)</f>
        <v>0</v>
      </c>
      <c r="W2957" s="7" t="n">
        <f aca="false">IF(AND(T2957=1,P2957&lt;&gt;"",P2957&lt;=Q2957),1,0)</f>
        <v>0</v>
      </c>
    </row>
    <row r="2958" customFormat="false" ht="15" hidden="false" customHeight="false" outlineLevel="0" collapsed="false">
      <c r="A2958" s="7" t="s">
        <v>3487</v>
      </c>
      <c r="B2958" s="7" t="s">
        <v>135</v>
      </c>
      <c r="C2958" s="7" t="s">
        <v>247</v>
      </c>
      <c r="D2958" s="7" t="s">
        <v>139</v>
      </c>
      <c r="E2958" s="7" t="s">
        <v>140</v>
      </c>
      <c r="F2958" s="7" t="s">
        <v>50</v>
      </c>
      <c r="G2958" s="7" t="s">
        <v>19</v>
      </c>
      <c r="H2958" s="9" t="n">
        <v>46034</v>
      </c>
      <c r="I2958" s="9" t="n">
        <v>46049</v>
      </c>
      <c r="J2958" s="7" t="n">
        <v>9.8</v>
      </c>
      <c r="K2958" s="7" t="s">
        <v>3340</v>
      </c>
      <c r="L2958" s="7" t="s">
        <v>21</v>
      </c>
      <c r="M2958" s="7" t="s">
        <v>3490</v>
      </c>
      <c r="N2958" s="7" t="s">
        <v>58</v>
      </c>
      <c r="O2958" s="10" t="n">
        <f aca="false">'Exec Summary'!$E$2-H2958</f>
        <v>200</v>
      </c>
      <c r="P2958" s="10" t="n">
        <f aca="false">IF(I2958="","",I2958-H2958)</f>
        <v>15</v>
      </c>
      <c r="Q2958" s="10" t="n">
        <f aca="false">VLOOKUP(G2958,$AA$2:$AB$5,2,FALSE())</f>
        <v>15</v>
      </c>
      <c r="R2958" s="7" t="n">
        <f aca="false">IF(OR(F2958="Open",F2958="Reopened"),1,0)</f>
        <v>0</v>
      </c>
      <c r="S2958" s="7" t="n">
        <f aca="false">IF(AND(H2958&gt;='Exec Summary'!$E$1,H2958&lt;='Exec Summary'!$E$2),1,0)</f>
        <v>0</v>
      </c>
      <c r="T2958" s="7" t="n">
        <f aca="false">IF(AND(F2958="Closed",I2958&lt;&gt;"",I2958&gt;='Exec Summary'!$E$1,I2958&lt;='Exec Summary'!$E$2),1,0)</f>
        <v>0</v>
      </c>
      <c r="U2958" s="7" t="n">
        <f aca="false">IF(F2958="Reopened",1,0)</f>
        <v>0</v>
      </c>
      <c r="V2958" s="7" t="n">
        <f aca="false">IF(AND(R2958=1,O2958&gt;Q2958),1,0)</f>
        <v>0</v>
      </c>
      <c r="W2958" s="7" t="n">
        <f aca="false">IF(AND(T2958=1,P2958&lt;&gt;"",P2958&lt;=Q2958),1,0)</f>
        <v>0</v>
      </c>
    </row>
    <row r="2959" customFormat="false" ht="15" hidden="false" customHeight="false" outlineLevel="0" collapsed="false">
      <c r="A2959" s="7" t="s">
        <v>3487</v>
      </c>
      <c r="B2959" s="7" t="s">
        <v>135</v>
      </c>
      <c r="C2959" s="7" t="s">
        <v>247</v>
      </c>
      <c r="D2959" s="7" t="s">
        <v>104</v>
      </c>
      <c r="E2959" s="7" t="s">
        <v>105</v>
      </c>
      <c r="F2959" s="7" t="s">
        <v>56</v>
      </c>
      <c r="G2959" s="7" t="s">
        <v>19</v>
      </c>
      <c r="H2959" s="9" t="n">
        <v>46202</v>
      </c>
      <c r="I2959" s="9"/>
      <c r="J2959" s="7" t="n">
        <v>9.8</v>
      </c>
      <c r="K2959" s="7" t="s">
        <v>3340</v>
      </c>
      <c r="L2959" s="7" t="s">
        <v>21</v>
      </c>
      <c r="M2959" s="7" t="s">
        <v>3491</v>
      </c>
      <c r="N2959" s="7" t="s">
        <v>58</v>
      </c>
      <c r="O2959" s="10" t="n">
        <f aca="false">'Exec Summary'!$E$2-H2959</f>
        <v>32</v>
      </c>
      <c r="P2959" s="10" t="str">
        <f aca="false">IF(I2959="","",I2959-H2959)</f>
        <v/>
      </c>
      <c r="Q2959" s="10" t="n">
        <f aca="false">VLOOKUP(G2959,$AA$2:$AB$5,2,FALSE())</f>
        <v>15</v>
      </c>
      <c r="R2959" s="7" t="n">
        <f aca="false">IF(OR(F2959="Open",F2959="Reopened"),1,0)</f>
        <v>1</v>
      </c>
      <c r="S2959" s="7" t="n">
        <f aca="false">IF(AND(H2959&gt;='Exec Summary'!$E$1,H2959&lt;='Exec Summary'!$E$2),1,0)</f>
        <v>0</v>
      </c>
      <c r="T2959" s="7" t="n">
        <f aca="false">IF(AND(F2959="Closed",I2959&lt;&gt;"",I2959&gt;='Exec Summary'!$E$1,I2959&lt;='Exec Summary'!$E$2),1,0)</f>
        <v>0</v>
      </c>
      <c r="U2959" s="7" t="n">
        <f aca="false">IF(F2959="Reopened",1,0)</f>
        <v>0</v>
      </c>
      <c r="V2959" s="7" t="n">
        <f aca="false">IF(AND(R2959=1,O2959&gt;Q2959),1,0)</f>
        <v>1</v>
      </c>
      <c r="W2959" s="7" t="n">
        <f aca="false">IF(AND(T2959=1,P2959&lt;&gt;"",P2959&lt;=Q2959),1,0)</f>
        <v>0</v>
      </c>
    </row>
    <row r="2960" customFormat="false" ht="15" hidden="false" customHeight="false" outlineLevel="0" collapsed="false">
      <c r="A2960" s="7" t="s">
        <v>3487</v>
      </c>
      <c r="B2960" s="7" t="s">
        <v>135</v>
      </c>
      <c r="C2960" s="7" t="s">
        <v>247</v>
      </c>
      <c r="D2960" s="7" t="s">
        <v>48</v>
      </c>
      <c r="E2960" s="7" t="s">
        <v>49</v>
      </c>
      <c r="F2960" s="7" t="s">
        <v>56</v>
      </c>
      <c r="G2960" s="7" t="s">
        <v>20</v>
      </c>
      <c r="H2960" s="9" t="n">
        <v>46120</v>
      </c>
      <c r="I2960" s="9"/>
      <c r="J2960" s="7" t="n">
        <v>7.5</v>
      </c>
      <c r="K2960" s="7" t="s">
        <v>3340</v>
      </c>
      <c r="L2960" s="7" t="s">
        <v>21</v>
      </c>
      <c r="M2960" s="7" t="s">
        <v>3492</v>
      </c>
      <c r="N2960" s="7" t="s">
        <v>53</v>
      </c>
      <c r="O2960" s="10" t="n">
        <f aca="false">'Exec Summary'!$E$2-H2960</f>
        <v>114</v>
      </c>
      <c r="P2960" s="10" t="str">
        <f aca="false">IF(I2960="","",I2960-H2960)</f>
        <v/>
      </c>
      <c r="Q2960" s="10" t="n">
        <f aca="false">VLOOKUP(G2960,$AA$2:$AB$5,2,FALSE())</f>
        <v>30</v>
      </c>
      <c r="R2960" s="7" t="n">
        <f aca="false">IF(OR(F2960="Open",F2960="Reopened"),1,0)</f>
        <v>1</v>
      </c>
      <c r="S2960" s="7" t="n">
        <f aca="false">IF(AND(H2960&gt;='Exec Summary'!$E$1,H2960&lt;='Exec Summary'!$E$2),1,0)</f>
        <v>0</v>
      </c>
      <c r="T2960" s="7" t="n">
        <f aca="false">IF(AND(F2960="Closed",I2960&lt;&gt;"",I2960&gt;='Exec Summary'!$E$1,I2960&lt;='Exec Summary'!$E$2),1,0)</f>
        <v>0</v>
      </c>
      <c r="U2960" s="7" t="n">
        <f aca="false">IF(F2960="Reopened",1,0)</f>
        <v>0</v>
      </c>
      <c r="V2960" s="7" t="n">
        <f aca="false">IF(AND(R2960=1,O2960&gt;Q2960),1,0)</f>
        <v>1</v>
      </c>
      <c r="W2960" s="7" t="n">
        <f aca="false">IF(AND(T2960=1,P2960&lt;&gt;"",P2960&lt;=Q2960),1,0)</f>
        <v>0</v>
      </c>
    </row>
    <row r="2961" customFormat="false" ht="15" hidden="false" customHeight="false" outlineLevel="0" collapsed="false">
      <c r="A2961" s="7" t="s">
        <v>3487</v>
      </c>
      <c r="B2961" s="7" t="s">
        <v>135</v>
      </c>
      <c r="C2961" s="7" t="s">
        <v>247</v>
      </c>
      <c r="D2961" s="7" t="s">
        <v>108</v>
      </c>
      <c r="E2961" s="7" t="s">
        <v>109</v>
      </c>
      <c r="F2961" s="7" t="s">
        <v>56</v>
      </c>
      <c r="G2961" s="7" t="s">
        <v>20</v>
      </c>
      <c r="H2961" s="9" t="n">
        <v>45984</v>
      </c>
      <c r="I2961" s="9"/>
      <c r="J2961" s="7" t="n">
        <v>8.6</v>
      </c>
      <c r="K2961" s="7" t="s">
        <v>3340</v>
      </c>
      <c r="L2961" s="7" t="s">
        <v>21</v>
      </c>
      <c r="M2961" s="7" t="s">
        <v>3493</v>
      </c>
      <c r="N2961" s="7" t="s">
        <v>53</v>
      </c>
      <c r="O2961" s="10" t="n">
        <f aca="false">'Exec Summary'!$E$2-H2961</f>
        <v>250</v>
      </c>
      <c r="P2961" s="10" t="str">
        <f aca="false">IF(I2961="","",I2961-H2961)</f>
        <v/>
      </c>
      <c r="Q2961" s="10" t="n">
        <f aca="false">VLOOKUP(G2961,$AA$2:$AB$5,2,FALSE())</f>
        <v>30</v>
      </c>
      <c r="R2961" s="7" t="n">
        <f aca="false">IF(OR(F2961="Open",F2961="Reopened"),1,0)</f>
        <v>1</v>
      </c>
      <c r="S2961" s="7" t="n">
        <f aca="false">IF(AND(H2961&gt;='Exec Summary'!$E$1,H2961&lt;='Exec Summary'!$E$2),1,0)</f>
        <v>0</v>
      </c>
      <c r="T2961" s="7" t="n">
        <f aca="false">IF(AND(F2961="Closed",I2961&lt;&gt;"",I2961&gt;='Exec Summary'!$E$1,I2961&lt;='Exec Summary'!$E$2),1,0)</f>
        <v>0</v>
      </c>
      <c r="U2961" s="7" t="n">
        <f aca="false">IF(F2961="Reopened",1,0)</f>
        <v>0</v>
      </c>
      <c r="V2961" s="7" t="n">
        <f aca="false">IF(AND(R2961=1,O2961&gt;Q2961),1,0)</f>
        <v>1</v>
      </c>
      <c r="W2961" s="7" t="n">
        <f aca="false">IF(AND(T2961=1,P2961&lt;&gt;"",P2961&lt;=Q2961),1,0)</f>
        <v>0</v>
      </c>
    </row>
    <row r="2962" customFormat="false" ht="15" hidden="false" customHeight="false" outlineLevel="0" collapsed="false">
      <c r="A2962" s="7" t="s">
        <v>3494</v>
      </c>
      <c r="B2962" s="7" t="s">
        <v>46</v>
      </c>
      <c r="C2962" s="7" t="s">
        <v>79</v>
      </c>
      <c r="D2962" s="7" t="s">
        <v>108</v>
      </c>
      <c r="E2962" s="7" t="s">
        <v>109</v>
      </c>
      <c r="F2962" s="7" t="s">
        <v>56</v>
      </c>
      <c r="G2962" s="7" t="s">
        <v>20</v>
      </c>
      <c r="H2962" s="9" t="n">
        <v>46050</v>
      </c>
      <c r="I2962" s="9"/>
      <c r="J2962" s="7" t="n">
        <v>8.6</v>
      </c>
      <c r="K2962" s="7" t="s">
        <v>3340</v>
      </c>
      <c r="L2962" s="7" t="s">
        <v>19</v>
      </c>
      <c r="M2962" s="7" t="s">
        <v>3495</v>
      </c>
      <c r="N2962" s="7" t="s">
        <v>53</v>
      </c>
      <c r="O2962" s="10" t="n">
        <f aca="false">'Exec Summary'!$E$2-H2962</f>
        <v>184</v>
      </c>
      <c r="P2962" s="10" t="str">
        <f aca="false">IF(I2962="","",I2962-H2962)</f>
        <v/>
      </c>
      <c r="Q2962" s="10" t="n">
        <f aca="false">VLOOKUP(G2962,$AA$2:$AB$5,2,FALSE())</f>
        <v>30</v>
      </c>
      <c r="R2962" s="7" t="n">
        <f aca="false">IF(OR(F2962="Open",F2962="Reopened"),1,0)</f>
        <v>1</v>
      </c>
      <c r="S2962" s="7" t="n">
        <f aca="false">IF(AND(H2962&gt;='Exec Summary'!$E$1,H2962&lt;='Exec Summary'!$E$2),1,0)</f>
        <v>0</v>
      </c>
      <c r="T2962" s="7" t="n">
        <f aca="false">IF(AND(F2962="Closed",I2962&lt;&gt;"",I2962&gt;='Exec Summary'!$E$1,I2962&lt;='Exec Summary'!$E$2),1,0)</f>
        <v>0</v>
      </c>
      <c r="U2962" s="7" t="n">
        <f aca="false">IF(F2962="Reopened",1,0)</f>
        <v>0</v>
      </c>
      <c r="V2962" s="7" t="n">
        <f aca="false">IF(AND(R2962=1,O2962&gt;Q2962),1,0)</f>
        <v>1</v>
      </c>
      <c r="W2962" s="7" t="n">
        <f aca="false">IF(AND(T2962=1,P2962&lt;&gt;"",P2962&lt;=Q2962),1,0)</f>
        <v>0</v>
      </c>
    </row>
    <row r="2963" customFormat="false" ht="15" hidden="false" customHeight="false" outlineLevel="0" collapsed="false">
      <c r="A2963" s="7" t="s">
        <v>3494</v>
      </c>
      <c r="B2963" s="7" t="s">
        <v>46</v>
      </c>
      <c r="C2963" s="7" t="s">
        <v>79</v>
      </c>
      <c r="D2963" s="7" t="s">
        <v>54</v>
      </c>
      <c r="E2963" s="7" t="s">
        <v>55</v>
      </c>
      <c r="F2963" s="7" t="s">
        <v>123</v>
      </c>
      <c r="G2963" s="7" t="s">
        <v>19</v>
      </c>
      <c r="H2963" s="9" t="n">
        <v>46024</v>
      </c>
      <c r="I2963" s="9" t="n">
        <v>46028</v>
      </c>
      <c r="J2963" s="7" t="n">
        <v>9.8</v>
      </c>
      <c r="K2963" s="7" t="s">
        <v>3340</v>
      </c>
      <c r="L2963" s="7" t="s">
        <v>19</v>
      </c>
      <c r="M2963" s="7" t="s">
        <v>3496</v>
      </c>
      <c r="N2963" s="7" t="s">
        <v>58</v>
      </c>
      <c r="O2963" s="10" t="n">
        <f aca="false">'Exec Summary'!$E$2-H2963</f>
        <v>210</v>
      </c>
      <c r="P2963" s="10" t="n">
        <f aca="false">IF(I2963="","",I2963-H2963)</f>
        <v>4</v>
      </c>
      <c r="Q2963" s="10" t="n">
        <f aca="false">VLOOKUP(G2963,$AA$2:$AB$5,2,FALSE())</f>
        <v>15</v>
      </c>
      <c r="R2963" s="7" t="n">
        <f aca="false">IF(OR(F2963="Open",F2963="Reopened"),1,0)</f>
        <v>1</v>
      </c>
      <c r="S2963" s="7" t="n">
        <f aca="false">IF(AND(H2963&gt;='Exec Summary'!$E$1,H2963&lt;='Exec Summary'!$E$2),1,0)</f>
        <v>0</v>
      </c>
      <c r="T2963" s="7" t="n">
        <f aca="false">IF(AND(F2963="Closed",I2963&lt;&gt;"",I2963&gt;='Exec Summary'!$E$1,I2963&lt;='Exec Summary'!$E$2),1,0)</f>
        <v>0</v>
      </c>
      <c r="U2963" s="7" t="n">
        <f aca="false">IF(F2963="Reopened",1,0)</f>
        <v>1</v>
      </c>
      <c r="V2963" s="7" t="n">
        <f aca="false">IF(AND(R2963=1,O2963&gt;Q2963),1,0)</f>
        <v>1</v>
      </c>
      <c r="W2963" s="7" t="n">
        <f aca="false">IF(AND(T2963=1,P2963&lt;&gt;"",P2963&lt;=Q2963),1,0)</f>
        <v>0</v>
      </c>
    </row>
    <row r="2964" customFormat="false" ht="15" hidden="false" customHeight="false" outlineLevel="0" collapsed="false">
      <c r="A2964" s="7" t="s">
        <v>3494</v>
      </c>
      <c r="B2964" s="7" t="s">
        <v>46</v>
      </c>
      <c r="C2964" s="7" t="s">
        <v>79</v>
      </c>
      <c r="D2964" s="7" t="s">
        <v>210</v>
      </c>
      <c r="E2964" s="7" t="s">
        <v>211</v>
      </c>
      <c r="F2964" s="7" t="s">
        <v>56</v>
      </c>
      <c r="G2964" s="7" t="s">
        <v>19</v>
      </c>
      <c r="H2964" s="9" t="n">
        <v>45966</v>
      </c>
      <c r="I2964" s="9"/>
      <c r="J2964" s="7" t="n">
        <v>9.8</v>
      </c>
      <c r="K2964" s="7" t="s">
        <v>3340</v>
      </c>
      <c r="L2964" s="7" t="s">
        <v>19</v>
      </c>
      <c r="M2964" s="7" t="s">
        <v>3497</v>
      </c>
      <c r="N2964" s="7" t="s">
        <v>58</v>
      </c>
      <c r="O2964" s="10" t="n">
        <f aca="false">'Exec Summary'!$E$2-H2964</f>
        <v>268</v>
      </c>
      <c r="P2964" s="10" t="str">
        <f aca="false">IF(I2964="","",I2964-H2964)</f>
        <v/>
      </c>
      <c r="Q2964" s="10" t="n">
        <f aca="false">VLOOKUP(G2964,$AA$2:$AB$5,2,FALSE())</f>
        <v>15</v>
      </c>
      <c r="R2964" s="7" t="n">
        <f aca="false">IF(OR(F2964="Open",F2964="Reopened"),1,0)</f>
        <v>1</v>
      </c>
      <c r="S2964" s="7" t="n">
        <f aca="false">IF(AND(H2964&gt;='Exec Summary'!$E$1,H2964&lt;='Exec Summary'!$E$2),1,0)</f>
        <v>0</v>
      </c>
      <c r="T2964" s="7" t="n">
        <f aca="false">IF(AND(F2964="Closed",I2964&lt;&gt;"",I2964&gt;='Exec Summary'!$E$1,I2964&lt;='Exec Summary'!$E$2),1,0)</f>
        <v>0</v>
      </c>
      <c r="U2964" s="7" t="n">
        <f aca="false">IF(F2964="Reopened",1,0)</f>
        <v>0</v>
      </c>
      <c r="V2964" s="7" t="n">
        <f aca="false">IF(AND(R2964=1,O2964&gt;Q2964),1,0)</f>
        <v>1</v>
      </c>
      <c r="W2964" s="7" t="n">
        <f aca="false">IF(AND(T2964=1,P2964&lt;&gt;"",P2964&lt;=Q2964),1,0)</f>
        <v>0</v>
      </c>
    </row>
    <row r="2965" customFormat="false" ht="15" hidden="false" customHeight="false" outlineLevel="0" collapsed="false">
      <c r="A2965" s="7" t="s">
        <v>3494</v>
      </c>
      <c r="B2965" s="7" t="s">
        <v>46</v>
      </c>
      <c r="C2965" s="7" t="s">
        <v>79</v>
      </c>
      <c r="D2965" s="7" t="s">
        <v>95</v>
      </c>
      <c r="E2965" s="7" t="s">
        <v>96</v>
      </c>
      <c r="F2965" s="7" t="s">
        <v>50</v>
      </c>
      <c r="G2965" s="7" t="s">
        <v>20</v>
      </c>
      <c r="H2965" s="9" t="n">
        <v>46201</v>
      </c>
      <c r="I2965" s="9" t="n">
        <v>46212</v>
      </c>
      <c r="J2965" s="7" t="n">
        <v>8.8</v>
      </c>
      <c r="K2965" s="7" t="s">
        <v>3340</v>
      </c>
      <c r="L2965" s="7" t="s">
        <v>19</v>
      </c>
      <c r="M2965" s="7" t="s">
        <v>3498</v>
      </c>
      <c r="N2965" s="7" t="s">
        <v>53</v>
      </c>
      <c r="O2965" s="10" t="n">
        <f aca="false">'Exec Summary'!$E$2-H2965</f>
        <v>33</v>
      </c>
      <c r="P2965" s="10" t="n">
        <f aca="false">IF(I2965="","",I2965-H2965)</f>
        <v>11</v>
      </c>
      <c r="Q2965" s="10" t="n">
        <f aca="false">VLOOKUP(G2965,$AA$2:$AB$5,2,FALSE())</f>
        <v>30</v>
      </c>
      <c r="R2965" s="7" t="n">
        <f aca="false">IF(OR(F2965="Open",F2965="Reopened"),1,0)</f>
        <v>0</v>
      </c>
      <c r="S2965" s="7" t="n">
        <f aca="false">IF(AND(H2965&gt;='Exec Summary'!$E$1,H2965&lt;='Exec Summary'!$E$2),1,0)</f>
        <v>0</v>
      </c>
      <c r="T2965" s="7" t="n">
        <f aca="false">IF(AND(F2965="Closed",I2965&lt;&gt;"",I2965&gt;='Exec Summary'!$E$1,I2965&lt;='Exec Summary'!$E$2),1,0)</f>
        <v>1</v>
      </c>
      <c r="U2965" s="7" t="n">
        <f aca="false">IF(F2965="Reopened",1,0)</f>
        <v>0</v>
      </c>
      <c r="V2965" s="7" t="n">
        <f aca="false">IF(AND(R2965=1,O2965&gt;Q2965),1,0)</f>
        <v>0</v>
      </c>
      <c r="W2965" s="7" t="n">
        <f aca="false">IF(AND(T2965=1,P2965&lt;&gt;"",P2965&lt;=Q2965),1,0)</f>
        <v>1</v>
      </c>
    </row>
    <row r="2966" customFormat="false" ht="15" hidden="false" customHeight="false" outlineLevel="0" collapsed="false">
      <c r="A2966" s="7" t="s">
        <v>3494</v>
      </c>
      <c r="B2966" s="7" t="s">
        <v>46</v>
      </c>
      <c r="C2966" s="7" t="s">
        <v>79</v>
      </c>
      <c r="D2966" s="7" t="s">
        <v>120</v>
      </c>
      <c r="E2966" s="7" t="s">
        <v>121</v>
      </c>
      <c r="F2966" s="7" t="s">
        <v>50</v>
      </c>
      <c r="G2966" s="7" t="s">
        <v>19</v>
      </c>
      <c r="H2966" s="9" t="n">
        <v>46178</v>
      </c>
      <c r="I2966" s="9" t="n">
        <v>46179</v>
      </c>
      <c r="J2966" s="7" t="n">
        <v>8.8</v>
      </c>
      <c r="K2966" s="7" t="s">
        <v>3340</v>
      </c>
      <c r="L2966" s="7" t="s">
        <v>19</v>
      </c>
      <c r="M2966" s="7" t="s">
        <v>3499</v>
      </c>
      <c r="N2966" s="7" t="s">
        <v>58</v>
      </c>
      <c r="O2966" s="10" t="n">
        <f aca="false">'Exec Summary'!$E$2-H2966</f>
        <v>56</v>
      </c>
      <c r="P2966" s="10" t="n">
        <f aca="false">IF(I2966="","",I2966-H2966)</f>
        <v>1</v>
      </c>
      <c r="Q2966" s="10" t="n">
        <f aca="false">VLOOKUP(G2966,$AA$2:$AB$5,2,FALSE())</f>
        <v>15</v>
      </c>
      <c r="R2966" s="7" t="n">
        <f aca="false">IF(OR(F2966="Open",F2966="Reopened"),1,0)</f>
        <v>0</v>
      </c>
      <c r="S2966" s="7" t="n">
        <f aca="false">IF(AND(H2966&gt;='Exec Summary'!$E$1,H2966&lt;='Exec Summary'!$E$2),1,0)</f>
        <v>0</v>
      </c>
      <c r="T2966" s="7" t="n">
        <f aca="false">IF(AND(F2966="Closed",I2966&lt;&gt;"",I2966&gt;='Exec Summary'!$E$1,I2966&lt;='Exec Summary'!$E$2),1,0)</f>
        <v>0</v>
      </c>
      <c r="U2966" s="7" t="n">
        <f aca="false">IF(F2966="Reopened",1,0)</f>
        <v>0</v>
      </c>
      <c r="V2966" s="7" t="n">
        <f aca="false">IF(AND(R2966=1,O2966&gt;Q2966),1,0)</f>
        <v>0</v>
      </c>
      <c r="W2966" s="7" t="n">
        <f aca="false">IF(AND(T2966=1,P2966&lt;&gt;"",P2966&lt;=Q2966),1,0)</f>
        <v>0</v>
      </c>
    </row>
    <row r="2967" customFormat="false" ht="15" hidden="false" customHeight="false" outlineLevel="0" collapsed="false">
      <c r="A2967" s="7" t="s">
        <v>3494</v>
      </c>
      <c r="B2967" s="7" t="s">
        <v>46</v>
      </c>
      <c r="C2967" s="7" t="s">
        <v>79</v>
      </c>
      <c r="D2967" s="7" t="s">
        <v>206</v>
      </c>
      <c r="E2967" s="7" t="s">
        <v>207</v>
      </c>
      <c r="F2967" s="7" t="s">
        <v>50</v>
      </c>
      <c r="G2967" s="7" t="s">
        <v>20</v>
      </c>
      <c r="H2967" s="9" t="n">
        <v>46034</v>
      </c>
      <c r="I2967" s="9" t="n">
        <v>46051</v>
      </c>
      <c r="J2967" s="7" t="n">
        <v>8.8</v>
      </c>
      <c r="K2967" s="7" t="s">
        <v>3340</v>
      </c>
      <c r="L2967" s="7" t="s">
        <v>19</v>
      </c>
      <c r="M2967" s="7" t="s">
        <v>3500</v>
      </c>
      <c r="N2967" s="7" t="s">
        <v>53</v>
      </c>
      <c r="O2967" s="10" t="n">
        <f aca="false">'Exec Summary'!$E$2-H2967</f>
        <v>200</v>
      </c>
      <c r="P2967" s="10" t="n">
        <f aca="false">IF(I2967="","",I2967-H2967)</f>
        <v>17</v>
      </c>
      <c r="Q2967" s="10" t="n">
        <f aca="false">VLOOKUP(G2967,$AA$2:$AB$5,2,FALSE())</f>
        <v>30</v>
      </c>
      <c r="R2967" s="7" t="n">
        <f aca="false">IF(OR(F2967="Open",F2967="Reopened"),1,0)</f>
        <v>0</v>
      </c>
      <c r="S2967" s="7" t="n">
        <f aca="false">IF(AND(H2967&gt;='Exec Summary'!$E$1,H2967&lt;='Exec Summary'!$E$2),1,0)</f>
        <v>0</v>
      </c>
      <c r="T2967" s="7" t="n">
        <f aca="false">IF(AND(F2967="Closed",I2967&lt;&gt;"",I2967&gt;='Exec Summary'!$E$1,I2967&lt;='Exec Summary'!$E$2),1,0)</f>
        <v>0</v>
      </c>
      <c r="U2967" s="7" t="n">
        <f aca="false">IF(F2967="Reopened",1,0)</f>
        <v>0</v>
      </c>
      <c r="V2967" s="7" t="n">
        <f aca="false">IF(AND(R2967=1,O2967&gt;Q2967),1,0)</f>
        <v>0</v>
      </c>
      <c r="W2967" s="7" t="n">
        <f aca="false">IF(AND(T2967=1,P2967&lt;&gt;"",P2967&lt;=Q2967),1,0)</f>
        <v>0</v>
      </c>
    </row>
    <row r="2968" customFormat="false" ht="15" hidden="false" customHeight="false" outlineLevel="0" collapsed="false">
      <c r="A2968" s="7" t="s">
        <v>3494</v>
      </c>
      <c r="B2968" s="7" t="s">
        <v>46</v>
      </c>
      <c r="C2968" s="7" t="s">
        <v>79</v>
      </c>
      <c r="D2968" s="7" t="s">
        <v>48</v>
      </c>
      <c r="E2968" s="7" t="s">
        <v>49</v>
      </c>
      <c r="F2968" s="7" t="s">
        <v>50</v>
      </c>
      <c r="G2968" s="7" t="s">
        <v>20</v>
      </c>
      <c r="H2968" s="9" t="n">
        <v>46035</v>
      </c>
      <c r="I2968" s="9" t="n">
        <v>46042</v>
      </c>
      <c r="J2968" s="7" t="n">
        <v>7.5</v>
      </c>
      <c r="K2968" s="7" t="s">
        <v>3340</v>
      </c>
      <c r="L2968" s="7" t="s">
        <v>19</v>
      </c>
      <c r="M2968" s="7" t="s">
        <v>3501</v>
      </c>
      <c r="N2968" s="7" t="s">
        <v>53</v>
      </c>
      <c r="O2968" s="10" t="n">
        <f aca="false">'Exec Summary'!$E$2-H2968</f>
        <v>199</v>
      </c>
      <c r="P2968" s="10" t="n">
        <f aca="false">IF(I2968="","",I2968-H2968)</f>
        <v>7</v>
      </c>
      <c r="Q2968" s="10" t="n">
        <f aca="false">VLOOKUP(G2968,$AA$2:$AB$5,2,FALSE())</f>
        <v>30</v>
      </c>
      <c r="R2968" s="7" t="n">
        <f aca="false">IF(OR(F2968="Open",F2968="Reopened"),1,0)</f>
        <v>0</v>
      </c>
      <c r="S2968" s="7" t="n">
        <f aca="false">IF(AND(H2968&gt;='Exec Summary'!$E$1,H2968&lt;='Exec Summary'!$E$2),1,0)</f>
        <v>0</v>
      </c>
      <c r="T2968" s="7" t="n">
        <f aca="false">IF(AND(F2968="Closed",I2968&lt;&gt;"",I2968&gt;='Exec Summary'!$E$1,I2968&lt;='Exec Summary'!$E$2),1,0)</f>
        <v>0</v>
      </c>
      <c r="U2968" s="7" t="n">
        <f aca="false">IF(F2968="Reopened",1,0)</f>
        <v>0</v>
      </c>
      <c r="V2968" s="7" t="n">
        <f aca="false">IF(AND(R2968=1,O2968&gt;Q2968),1,0)</f>
        <v>0</v>
      </c>
      <c r="W2968" s="7" t="n">
        <f aca="false">IF(AND(T2968=1,P2968&lt;&gt;"",P2968&lt;=Q2968),1,0)</f>
        <v>0</v>
      </c>
    </row>
    <row r="2969" customFormat="false" ht="15" hidden="false" customHeight="false" outlineLevel="0" collapsed="false">
      <c r="A2969" s="7" t="s">
        <v>3494</v>
      </c>
      <c r="B2969" s="7" t="s">
        <v>46</v>
      </c>
      <c r="C2969" s="7" t="s">
        <v>79</v>
      </c>
      <c r="D2969" s="7" t="s">
        <v>173</v>
      </c>
      <c r="E2969" s="7" t="s">
        <v>174</v>
      </c>
      <c r="F2969" s="7" t="s">
        <v>56</v>
      </c>
      <c r="G2969" s="7" t="s">
        <v>19</v>
      </c>
      <c r="H2969" s="9" t="n">
        <v>46154</v>
      </c>
      <c r="I2969" s="9"/>
      <c r="J2969" s="7" t="n">
        <v>9.8</v>
      </c>
      <c r="K2969" s="7" t="s">
        <v>3340</v>
      </c>
      <c r="L2969" s="7" t="s">
        <v>19</v>
      </c>
      <c r="M2969" s="7" t="s">
        <v>3502</v>
      </c>
      <c r="N2969" s="7" t="s">
        <v>58</v>
      </c>
      <c r="O2969" s="10" t="n">
        <f aca="false">'Exec Summary'!$E$2-H2969</f>
        <v>80</v>
      </c>
      <c r="P2969" s="10" t="str">
        <f aca="false">IF(I2969="","",I2969-H2969)</f>
        <v/>
      </c>
      <c r="Q2969" s="10" t="n">
        <f aca="false">VLOOKUP(G2969,$AA$2:$AB$5,2,FALSE())</f>
        <v>15</v>
      </c>
      <c r="R2969" s="7" t="n">
        <f aca="false">IF(OR(F2969="Open",F2969="Reopened"),1,0)</f>
        <v>1</v>
      </c>
      <c r="S2969" s="7" t="n">
        <f aca="false">IF(AND(H2969&gt;='Exec Summary'!$E$1,H2969&lt;='Exec Summary'!$E$2),1,0)</f>
        <v>0</v>
      </c>
      <c r="T2969" s="7" t="n">
        <f aca="false">IF(AND(F2969="Closed",I2969&lt;&gt;"",I2969&gt;='Exec Summary'!$E$1,I2969&lt;='Exec Summary'!$E$2),1,0)</f>
        <v>0</v>
      </c>
      <c r="U2969" s="7" t="n">
        <f aca="false">IF(F2969="Reopened",1,0)</f>
        <v>0</v>
      </c>
      <c r="V2969" s="7" t="n">
        <f aca="false">IF(AND(R2969=1,O2969&gt;Q2969),1,0)</f>
        <v>1</v>
      </c>
      <c r="W2969" s="7" t="n">
        <f aca="false">IF(AND(T2969=1,P2969&lt;&gt;"",P2969&lt;=Q2969),1,0)</f>
        <v>0</v>
      </c>
    </row>
    <row r="2970" customFormat="false" ht="15" hidden="false" customHeight="false" outlineLevel="0" collapsed="false">
      <c r="A2970" s="7" t="s">
        <v>3494</v>
      </c>
      <c r="B2970" s="7" t="s">
        <v>46</v>
      </c>
      <c r="C2970" s="7" t="s">
        <v>79</v>
      </c>
      <c r="D2970" s="7" t="s">
        <v>104</v>
      </c>
      <c r="E2970" s="7" t="s">
        <v>105</v>
      </c>
      <c r="F2970" s="7" t="s">
        <v>56</v>
      </c>
      <c r="G2970" s="7" t="s">
        <v>19</v>
      </c>
      <c r="H2970" s="9" t="n">
        <v>46160</v>
      </c>
      <c r="I2970" s="9"/>
      <c r="J2970" s="7" t="n">
        <v>9.8</v>
      </c>
      <c r="K2970" s="7" t="s">
        <v>3340</v>
      </c>
      <c r="L2970" s="7" t="s">
        <v>19</v>
      </c>
      <c r="M2970" s="7" t="s">
        <v>3503</v>
      </c>
      <c r="N2970" s="7" t="s">
        <v>58</v>
      </c>
      <c r="O2970" s="10" t="n">
        <f aca="false">'Exec Summary'!$E$2-H2970</f>
        <v>74</v>
      </c>
      <c r="P2970" s="10" t="str">
        <f aca="false">IF(I2970="","",I2970-H2970)</f>
        <v/>
      </c>
      <c r="Q2970" s="10" t="n">
        <f aca="false">VLOOKUP(G2970,$AA$2:$AB$5,2,FALSE())</f>
        <v>15</v>
      </c>
      <c r="R2970" s="7" t="n">
        <f aca="false">IF(OR(F2970="Open",F2970="Reopened"),1,0)</f>
        <v>1</v>
      </c>
      <c r="S2970" s="7" t="n">
        <f aca="false">IF(AND(H2970&gt;='Exec Summary'!$E$1,H2970&lt;='Exec Summary'!$E$2),1,0)</f>
        <v>0</v>
      </c>
      <c r="T2970" s="7" t="n">
        <f aca="false">IF(AND(F2970="Closed",I2970&lt;&gt;"",I2970&gt;='Exec Summary'!$E$1,I2970&lt;='Exec Summary'!$E$2),1,0)</f>
        <v>0</v>
      </c>
      <c r="U2970" s="7" t="n">
        <f aca="false">IF(F2970="Reopened",1,0)</f>
        <v>0</v>
      </c>
      <c r="V2970" s="7" t="n">
        <f aca="false">IF(AND(R2970=1,O2970&gt;Q2970),1,0)</f>
        <v>1</v>
      </c>
      <c r="W2970" s="7" t="n">
        <f aca="false">IF(AND(T2970=1,P2970&lt;&gt;"",P2970&lt;=Q2970),1,0)</f>
        <v>0</v>
      </c>
    </row>
    <row r="2971" customFormat="false" ht="15" hidden="false" customHeight="false" outlineLevel="0" collapsed="false">
      <c r="A2971" s="7" t="s">
        <v>3494</v>
      </c>
      <c r="B2971" s="7" t="s">
        <v>46</v>
      </c>
      <c r="C2971" s="7" t="s">
        <v>79</v>
      </c>
      <c r="D2971" s="7" t="s">
        <v>81</v>
      </c>
      <c r="E2971" s="7" t="s">
        <v>82</v>
      </c>
      <c r="F2971" s="7" t="s">
        <v>56</v>
      </c>
      <c r="G2971" s="7" t="s">
        <v>20</v>
      </c>
      <c r="H2971" s="9" t="n">
        <v>46167</v>
      </c>
      <c r="I2971" s="9"/>
      <c r="J2971" s="7" t="n">
        <v>7.8</v>
      </c>
      <c r="K2971" s="7" t="s">
        <v>3340</v>
      </c>
      <c r="L2971" s="7" t="s">
        <v>19</v>
      </c>
      <c r="M2971" s="7" t="s">
        <v>3504</v>
      </c>
      <c r="N2971" s="7" t="s">
        <v>53</v>
      </c>
      <c r="O2971" s="10" t="n">
        <f aca="false">'Exec Summary'!$E$2-H2971</f>
        <v>67</v>
      </c>
      <c r="P2971" s="10" t="str">
        <f aca="false">IF(I2971="","",I2971-H2971)</f>
        <v/>
      </c>
      <c r="Q2971" s="10" t="n">
        <f aca="false">VLOOKUP(G2971,$AA$2:$AB$5,2,FALSE())</f>
        <v>30</v>
      </c>
      <c r="R2971" s="7" t="n">
        <f aca="false">IF(OR(F2971="Open",F2971="Reopened"),1,0)</f>
        <v>1</v>
      </c>
      <c r="S2971" s="7" t="n">
        <f aca="false">IF(AND(H2971&gt;='Exec Summary'!$E$1,H2971&lt;='Exec Summary'!$E$2),1,0)</f>
        <v>0</v>
      </c>
      <c r="T2971" s="7" t="n">
        <f aca="false">IF(AND(F2971="Closed",I2971&lt;&gt;"",I2971&gt;='Exec Summary'!$E$1,I2971&lt;='Exec Summary'!$E$2),1,0)</f>
        <v>0</v>
      </c>
      <c r="U2971" s="7" t="n">
        <f aca="false">IF(F2971="Reopened",1,0)</f>
        <v>0</v>
      </c>
      <c r="V2971" s="7" t="n">
        <f aca="false">IF(AND(R2971=1,O2971&gt;Q2971),1,0)</f>
        <v>1</v>
      </c>
      <c r="W2971" s="7" t="n">
        <f aca="false">IF(AND(T2971=1,P2971&lt;&gt;"",P2971&lt;=Q2971),1,0)</f>
        <v>0</v>
      </c>
    </row>
    <row r="2972" customFormat="false" ht="15" hidden="false" customHeight="false" outlineLevel="0" collapsed="false">
      <c r="A2972" s="7" t="s">
        <v>3505</v>
      </c>
      <c r="B2972" s="7" t="s">
        <v>135</v>
      </c>
      <c r="C2972" s="7" t="s">
        <v>247</v>
      </c>
      <c r="D2972" s="7" t="s">
        <v>139</v>
      </c>
      <c r="E2972" s="7" t="s">
        <v>140</v>
      </c>
      <c r="F2972" s="7" t="s">
        <v>56</v>
      </c>
      <c r="G2972" s="7" t="s">
        <v>19</v>
      </c>
      <c r="H2972" s="9" t="n">
        <v>46074</v>
      </c>
      <c r="I2972" s="9"/>
      <c r="J2972" s="7" t="n">
        <v>9.8</v>
      </c>
      <c r="K2972" s="7" t="s">
        <v>3340</v>
      </c>
      <c r="L2972" s="7" t="s">
        <v>21</v>
      </c>
      <c r="M2972" s="7" t="s">
        <v>3506</v>
      </c>
      <c r="N2972" s="7" t="s">
        <v>58</v>
      </c>
      <c r="O2972" s="10" t="n">
        <f aca="false">'Exec Summary'!$E$2-H2972</f>
        <v>160</v>
      </c>
      <c r="P2972" s="10" t="str">
        <f aca="false">IF(I2972="","",I2972-H2972)</f>
        <v/>
      </c>
      <c r="Q2972" s="10" t="n">
        <f aca="false">VLOOKUP(G2972,$AA$2:$AB$5,2,FALSE())</f>
        <v>15</v>
      </c>
      <c r="R2972" s="7" t="n">
        <f aca="false">IF(OR(F2972="Open",F2972="Reopened"),1,0)</f>
        <v>1</v>
      </c>
      <c r="S2972" s="7" t="n">
        <f aca="false">IF(AND(H2972&gt;='Exec Summary'!$E$1,H2972&lt;='Exec Summary'!$E$2),1,0)</f>
        <v>0</v>
      </c>
      <c r="T2972" s="7" t="n">
        <f aca="false">IF(AND(F2972="Closed",I2972&lt;&gt;"",I2972&gt;='Exec Summary'!$E$1,I2972&lt;='Exec Summary'!$E$2),1,0)</f>
        <v>0</v>
      </c>
      <c r="U2972" s="7" t="n">
        <f aca="false">IF(F2972="Reopened",1,0)</f>
        <v>0</v>
      </c>
      <c r="V2972" s="7" t="n">
        <f aca="false">IF(AND(R2972=1,O2972&gt;Q2972),1,0)</f>
        <v>1</v>
      </c>
      <c r="W2972" s="7" t="n">
        <f aca="false">IF(AND(T2972=1,P2972&lt;&gt;"",P2972&lt;=Q2972),1,0)</f>
        <v>0</v>
      </c>
    </row>
    <row r="2973" customFormat="false" ht="15" hidden="false" customHeight="false" outlineLevel="0" collapsed="false">
      <c r="A2973" s="7" t="s">
        <v>3505</v>
      </c>
      <c r="B2973" s="7" t="s">
        <v>135</v>
      </c>
      <c r="C2973" s="7" t="s">
        <v>247</v>
      </c>
      <c r="D2973" s="7" t="s">
        <v>108</v>
      </c>
      <c r="E2973" s="7" t="s">
        <v>109</v>
      </c>
      <c r="F2973" s="7" t="s">
        <v>56</v>
      </c>
      <c r="G2973" s="7" t="s">
        <v>20</v>
      </c>
      <c r="H2973" s="9" t="n">
        <v>46092</v>
      </c>
      <c r="I2973" s="9"/>
      <c r="J2973" s="7" t="n">
        <v>8.6</v>
      </c>
      <c r="K2973" s="7" t="s">
        <v>3340</v>
      </c>
      <c r="L2973" s="7" t="s">
        <v>21</v>
      </c>
      <c r="M2973" s="7" t="s">
        <v>3507</v>
      </c>
      <c r="N2973" s="7" t="s">
        <v>53</v>
      </c>
      <c r="O2973" s="10" t="n">
        <f aca="false">'Exec Summary'!$E$2-H2973</f>
        <v>142</v>
      </c>
      <c r="P2973" s="10" t="str">
        <f aca="false">IF(I2973="","",I2973-H2973)</f>
        <v/>
      </c>
      <c r="Q2973" s="10" t="n">
        <f aca="false">VLOOKUP(G2973,$AA$2:$AB$5,2,FALSE())</f>
        <v>30</v>
      </c>
      <c r="R2973" s="7" t="n">
        <f aca="false">IF(OR(F2973="Open",F2973="Reopened"),1,0)</f>
        <v>1</v>
      </c>
      <c r="S2973" s="7" t="n">
        <f aca="false">IF(AND(H2973&gt;='Exec Summary'!$E$1,H2973&lt;='Exec Summary'!$E$2),1,0)</f>
        <v>0</v>
      </c>
      <c r="T2973" s="7" t="n">
        <f aca="false">IF(AND(F2973="Closed",I2973&lt;&gt;"",I2973&gt;='Exec Summary'!$E$1,I2973&lt;='Exec Summary'!$E$2),1,0)</f>
        <v>0</v>
      </c>
      <c r="U2973" s="7" t="n">
        <f aca="false">IF(F2973="Reopened",1,0)</f>
        <v>0</v>
      </c>
      <c r="V2973" s="7" t="n">
        <f aca="false">IF(AND(R2973=1,O2973&gt;Q2973),1,0)</f>
        <v>1</v>
      </c>
      <c r="W2973" s="7" t="n">
        <f aca="false">IF(AND(T2973=1,P2973&lt;&gt;"",P2973&lt;=Q2973),1,0)</f>
        <v>0</v>
      </c>
    </row>
    <row r="2974" customFormat="false" ht="15" hidden="false" customHeight="false" outlineLevel="0" collapsed="false">
      <c r="A2974" s="7" t="s">
        <v>3505</v>
      </c>
      <c r="B2974" s="7" t="s">
        <v>135</v>
      </c>
      <c r="C2974" s="7" t="s">
        <v>247</v>
      </c>
      <c r="D2974" s="7" t="s">
        <v>87</v>
      </c>
      <c r="E2974" s="7" t="s">
        <v>88</v>
      </c>
      <c r="F2974" s="7" t="s">
        <v>50</v>
      </c>
      <c r="G2974" s="7" t="s">
        <v>19</v>
      </c>
      <c r="H2974" s="9" t="n">
        <v>46027</v>
      </c>
      <c r="I2974" s="9" t="n">
        <v>46033</v>
      </c>
      <c r="J2974" s="7" t="n">
        <v>10</v>
      </c>
      <c r="K2974" s="7" t="s">
        <v>3340</v>
      </c>
      <c r="L2974" s="7" t="s">
        <v>21</v>
      </c>
      <c r="M2974" s="7" t="s">
        <v>3508</v>
      </c>
      <c r="N2974" s="7" t="s">
        <v>58</v>
      </c>
      <c r="O2974" s="10" t="n">
        <f aca="false">'Exec Summary'!$E$2-H2974</f>
        <v>207</v>
      </c>
      <c r="P2974" s="10" t="n">
        <f aca="false">IF(I2974="","",I2974-H2974)</f>
        <v>6</v>
      </c>
      <c r="Q2974" s="10" t="n">
        <f aca="false">VLOOKUP(G2974,$AA$2:$AB$5,2,FALSE())</f>
        <v>15</v>
      </c>
      <c r="R2974" s="7" t="n">
        <f aca="false">IF(OR(F2974="Open",F2974="Reopened"),1,0)</f>
        <v>0</v>
      </c>
      <c r="S2974" s="7" t="n">
        <f aca="false">IF(AND(H2974&gt;='Exec Summary'!$E$1,H2974&lt;='Exec Summary'!$E$2),1,0)</f>
        <v>0</v>
      </c>
      <c r="T2974" s="7" t="n">
        <f aca="false">IF(AND(F2974="Closed",I2974&lt;&gt;"",I2974&gt;='Exec Summary'!$E$1,I2974&lt;='Exec Summary'!$E$2),1,0)</f>
        <v>0</v>
      </c>
      <c r="U2974" s="7" t="n">
        <f aca="false">IF(F2974="Reopened",1,0)</f>
        <v>0</v>
      </c>
      <c r="V2974" s="7" t="n">
        <f aca="false">IF(AND(R2974=1,O2974&gt;Q2974),1,0)</f>
        <v>0</v>
      </c>
      <c r="W2974" s="7" t="n">
        <f aca="false">IF(AND(T2974=1,P2974&lt;&gt;"",P2974&lt;=Q2974),1,0)</f>
        <v>0</v>
      </c>
    </row>
    <row r="2975" customFormat="false" ht="15" hidden="false" customHeight="false" outlineLevel="0" collapsed="false">
      <c r="A2975" s="7" t="s">
        <v>3505</v>
      </c>
      <c r="B2975" s="7" t="s">
        <v>135</v>
      </c>
      <c r="C2975" s="7" t="s">
        <v>247</v>
      </c>
      <c r="D2975" s="7" t="s">
        <v>104</v>
      </c>
      <c r="E2975" s="7" t="s">
        <v>105</v>
      </c>
      <c r="F2975" s="7" t="s">
        <v>50</v>
      </c>
      <c r="G2975" s="7" t="s">
        <v>19</v>
      </c>
      <c r="H2975" s="9" t="n">
        <v>46174</v>
      </c>
      <c r="I2975" s="9" t="n">
        <v>46190</v>
      </c>
      <c r="J2975" s="7" t="n">
        <v>9.8</v>
      </c>
      <c r="K2975" s="7" t="s">
        <v>3340</v>
      </c>
      <c r="L2975" s="7" t="s">
        <v>21</v>
      </c>
      <c r="M2975" s="7" t="s">
        <v>3509</v>
      </c>
      <c r="N2975" s="7" t="s">
        <v>58</v>
      </c>
      <c r="O2975" s="10" t="n">
        <f aca="false">'Exec Summary'!$E$2-H2975</f>
        <v>60</v>
      </c>
      <c r="P2975" s="10" t="n">
        <f aca="false">IF(I2975="","",I2975-H2975)</f>
        <v>16</v>
      </c>
      <c r="Q2975" s="10" t="n">
        <f aca="false">VLOOKUP(G2975,$AA$2:$AB$5,2,FALSE())</f>
        <v>15</v>
      </c>
      <c r="R2975" s="7" t="n">
        <f aca="false">IF(OR(F2975="Open",F2975="Reopened"),1,0)</f>
        <v>0</v>
      </c>
      <c r="S2975" s="7" t="n">
        <f aca="false">IF(AND(H2975&gt;='Exec Summary'!$E$1,H2975&lt;='Exec Summary'!$E$2),1,0)</f>
        <v>0</v>
      </c>
      <c r="T2975" s="7" t="n">
        <f aca="false">IF(AND(F2975="Closed",I2975&lt;&gt;"",I2975&gt;='Exec Summary'!$E$1,I2975&lt;='Exec Summary'!$E$2),1,0)</f>
        <v>0</v>
      </c>
      <c r="U2975" s="7" t="n">
        <f aca="false">IF(F2975="Reopened",1,0)</f>
        <v>0</v>
      </c>
      <c r="V2975" s="7" t="n">
        <f aca="false">IF(AND(R2975=1,O2975&gt;Q2975),1,0)</f>
        <v>0</v>
      </c>
      <c r="W2975" s="7" t="n">
        <f aca="false">IF(AND(T2975=1,P2975&lt;&gt;"",P2975&lt;=Q2975),1,0)</f>
        <v>0</v>
      </c>
    </row>
    <row r="2976" customFormat="false" ht="15" hidden="false" customHeight="false" outlineLevel="0" collapsed="false">
      <c r="A2976" s="7" t="s">
        <v>3505</v>
      </c>
      <c r="B2976" s="7" t="s">
        <v>135</v>
      </c>
      <c r="C2976" s="7" t="s">
        <v>247</v>
      </c>
      <c r="D2976" s="7" t="s">
        <v>81</v>
      </c>
      <c r="E2976" s="7" t="s">
        <v>82</v>
      </c>
      <c r="F2976" s="7" t="s">
        <v>50</v>
      </c>
      <c r="G2976" s="7" t="s">
        <v>20</v>
      </c>
      <c r="H2976" s="9" t="n">
        <v>46160</v>
      </c>
      <c r="I2976" s="9" t="n">
        <v>46203</v>
      </c>
      <c r="J2976" s="7" t="n">
        <v>7.8</v>
      </c>
      <c r="K2976" s="7" t="s">
        <v>3340</v>
      </c>
      <c r="L2976" s="7" t="s">
        <v>21</v>
      </c>
      <c r="M2976" s="7" t="s">
        <v>3510</v>
      </c>
      <c r="N2976" s="7" t="s">
        <v>53</v>
      </c>
      <c r="O2976" s="10" t="n">
        <f aca="false">'Exec Summary'!$E$2-H2976</f>
        <v>74</v>
      </c>
      <c r="P2976" s="10" t="n">
        <f aca="false">IF(I2976="","",I2976-H2976)</f>
        <v>43</v>
      </c>
      <c r="Q2976" s="10" t="n">
        <f aca="false">VLOOKUP(G2976,$AA$2:$AB$5,2,FALSE())</f>
        <v>30</v>
      </c>
      <c r="R2976" s="7" t="n">
        <f aca="false">IF(OR(F2976="Open",F2976="Reopened"),1,0)</f>
        <v>0</v>
      </c>
      <c r="S2976" s="7" t="n">
        <f aca="false">IF(AND(H2976&gt;='Exec Summary'!$E$1,H2976&lt;='Exec Summary'!$E$2),1,0)</f>
        <v>0</v>
      </c>
      <c r="T2976" s="7" t="n">
        <f aca="false">IF(AND(F2976="Closed",I2976&lt;&gt;"",I2976&gt;='Exec Summary'!$E$1,I2976&lt;='Exec Summary'!$E$2),1,0)</f>
        <v>0</v>
      </c>
      <c r="U2976" s="7" t="n">
        <f aca="false">IF(F2976="Reopened",1,0)</f>
        <v>0</v>
      </c>
      <c r="V2976" s="7" t="n">
        <f aca="false">IF(AND(R2976=1,O2976&gt;Q2976),1,0)</f>
        <v>0</v>
      </c>
      <c r="W2976" s="7" t="n">
        <f aca="false">IF(AND(T2976=1,P2976&lt;&gt;"",P2976&lt;=Q2976),1,0)</f>
        <v>0</v>
      </c>
    </row>
    <row r="2977" customFormat="false" ht="15" hidden="false" customHeight="false" outlineLevel="0" collapsed="false">
      <c r="A2977" s="7" t="s">
        <v>3505</v>
      </c>
      <c r="B2977" s="7" t="s">
        <v>135</v>
      </c>
      <c r="C2977" s="7" t="s">
        <v>247</v>
      </c>
      <c r="D2977" s="7" t="s">
        <v>95</v>
      </c>
      <c r="E2977" s="7" t="s">
        <v>96</v>
      </c>
      <c r="F2977" s="7" t="s">
        <v>56</v>
      </c>
      <c r="G2977" s="7" t="s">
        <v>20</v>
      </c>
      <c r="H2977" s="9" t="n">
        <v>46033</v>
      </c>
      <c r="I2977" s="9"/>
      <c r="J2977" s="7" t="n">
        <v>8.8</v>
      </c>
      <c r="K2977" s="7" t="s">
        <v>3340</v>
      </c>
      <c r="L2977" s="7" t="s">
        <v>21</v>
      </c>
      <c r="M2977" s="7" t="s">
        <v>3511</v>
      </c>
      <c r="N2977" s="7" t="s">
        <v>53</v>
      </c>
      <c r="O2977" s="10" t="n">
        <f aca="false">'Exec Summary'!$E$2-H2977</f>
        <v>201</v>
      </c>
      <c r="P2977" s="10" t="str">
        <f aca="false">IF(I2977="","",I2977-H2977)</f>
        <v/>
      </c>
      <c r="Q2977" s="10" t="n">
        <f aca="false">VLOOKUP(G2977,$AA$2:$AB$5,2,FALSE())</f>
        <v>30</v>
      </c>
      <c r="R2977" s="7" t="n">
        <f aca="false">IF(OR(F2977="Open",F2977="Reopened"),1,0)</f>
        <v>1</v>
      </c>
      <c r="S2977" s="7" t="n">
        <f aca="false">IF(AND(H2977&gt;='Exec Summary'!$E$1,H2977&lt;='Exec Summary'!$E$2),1,0)</f>
        <v>0</v>
      </c>
      <c r="T2977" s="7" t="n">
        <f aca="false">IF(AND(F2977="Closed",I2977&lt;&gt;"",I2977&gt;='Exec Summary'!$E$1,I2977&lt;='Exec Summary'!$E$2),1,0)</f>
        <v>0</v>
      </c>
      <c r="U2977" s="7" t="n">
        <f aca="false">IF(F2977="Reopened",1,0)</f>
        <v>0</v>
      </c>
      <c r="V2977" s="7" t="n">
        <f aca="false">IF(AND(R2977=1,O2977&gt;Q2977),1,0)</f>
        <v>1</v>
      </c>
      <c r="W2977" s="7" t="n">
        <f aca="false">IF(AND(T2977=1,P2977&lt;&gt;"",P2977&lt;=Q2977),1,0)</f>
        <v>0</v>
      </c>
    </row>
    <row r="2978" customFormat="false" ht="15" hidden="false" customHeight="false" outlineLevel="0" collapsed="false">
      <c r="A2978" s="7" t="s">
        <v>3505</v>
      </c>
      <c r="B2978" s="7" t="s">
        <v>135</v>
      </c>
      <c r="C2978" s="7" t="s">
        <v>247</v>
      </c>
      <c r="D2978" s="7" t="s">
        <v>91</v>
      </c>
      <c r="E2978" s="7" t="s">
        <v>92</v>
      </c>
      <c r="F2978" s="7" t="s">
        <v>50</v>
      </c>
      <c r="G2978" s="7" t="s">
        <v>20</v>
      </c>
      <c r="H2978" s="9" t="n">
        <v>46043</v>
      </c>
      <c r="I2978" s="9" t="n">
        <v>46057</v>
      </c>
      <c r="J2978" s="7" t="n">
        <v>8.1</v>
      </c>
      <c r="K2978" s="7" t="s">
        <v>3340</v>
      </c>
      <c r="L2978" s="7" t="s">
        <v>21</v>
      </c>
      <c r="M2978" s="7" t="s">
        <v>3512</v>
      </c>
      <c r="N2978" s="7" t="s">
        <v>53</v>
      </c>
      <c r="O2978" s="10" t="n">
        <f aca="false">'Exec Summary'!$E$2-H2978</f>
        <v>191</v>
      </c>
      <c r="P2978" s="10" t="n">
        <f aca="false">IF(I2978="","",I2978-H2978)</f>
        <v>14</v>
      </c>
      <c r="Q2978" s="10" t="n">
        <f aca="false">VLOOKUP(G2978,$AA$2:$AB$5,2,FALSE())</f>
        <v>30</v>
      </c>
      <c r="R2978" s="7" t="n">
        <f aca="false">IF(OR(F2978="Open",F2978="Reopened"),1,0)</f>
        <v>0</v>
      </c>
      <c r="S2978" s="7" t="n">
        <f aca="false">IF(AND(H2978&gt;='Exec Summary'!$E$1,H2978&lt;='Exec Summary'!$E$2),1,0)</f>
        <v>0</v>
      </c>
      <c r="T2978" s="7" t="n">
        <f aca="false">IF(AND(F2978="Closed",I2978&lt;&gt;"",I2978&gt;='Exec Summary'!$E$1,I2978&lt;='Exec Summary'!$E$2),1,0)</f>
        <v>0</v>
      </c>
      <c r="U2978" s="7" t="n">
        <f aca="false">IF(F2978="Reopened",1,0)</f>
        <v>0</v>
      </c>
      <c r="V2978" s="7" t="n">
        <f aca="false">IF(AND(R2978=1,O2978&gt;Q2978),1,0)</f>
        <v>0</v>
      </c>
      <c r="W2978" s="7" t="n">
        <f aca="false">IF(AND(T2978=1,P2978&lt;&gt;"",P2978&lt;=Q2978),1,0)</f>
        <v>0</v>
      </c>
    </row>
    <row r="2979" customFormat="false" ht="15" hidden="false" customHeight="false" outlineLevel="0" collapsed="false">
      <c r="A2979" s="7" t="s">
        <v>3505</v>
      </c>
      <c r="B2979" s="7" t="s">
        <v>135</v>
      </c>
      <c r="C2979" s="7" t="s">
        <v>247</v>
      </c>
      <c r="D2979" s="7" t="s">
        <v>54</v>
      </c>
      <c r="E2979" s="7" t="s">
        <v>55</v>
      </c>
      <c r="F2979" s="7" t="s">
        <v>50</v>
      </c>
      <c r="G2979" s="7" t="s">
        <v>19</v>
      </c>
      <c r="H2979" s="9" t="n">
        <v>46041</v>
      </c>
      <c r="I2979" s="9" t="n">
        <v>46063</v>
      </c>
      <c r="J2979" s="7" t="n">
        <v>9.8</v>
      </c>
      <c r="K2979" s="7" t="s">
        <v>3340</v>
      </c>
      <c r="L2979" s="7" t="s">
        <v>21</v>
      </c>
      <c r="M2979" s="7" t="s">
        <v>3513</v>
      </c>
      <c r="N2979" s="7" t="s">
        <v>58</v>
      </c>
      <c r="O2979" s="10" t="n">
        <f aca="false">'Exec Summary'!$E$2-H2979</f>
        <v>193</v>
      </c>
      <c r="P2979" s="10" t="n">
        <f aca="false">IF(I2979="","",I2979-H2979)</f>
        <v>22</v>
      </c>
      <c r="Q2979" s="10" t="n">
        <f aca="false">VLOOKUP(G2979,$AA$2:$AB$5,2,FALSE())</f>
        <v>15</v>
      </c>
      <c r="R2979" s="7" t="n">
        <f aca="false">IF(OR(F2979="Open",F2979="Reopened"),1,0)</f>
        <v>0</v>
      </c>
      <c r="S2979" s="7" t="n">
        <f aca="false">IF(AND(H2979&gt;='Exec Summary'!$E$1,H2979&lt;='Exec Summary'!$E$2),1,0)</f>
        <v>0</v>
      </c>
      <c r="T2979" s="7" t="n">
        <f aca="false">IF(AND(F2979="Closed",I2979&lt;&gt;"",I2979&gt;='Exec Summary'!$E$1,I2979&lt;='Exec Summary'!$E$2),1,0)</f>
        <v>0</v>
      </c>
      <c r="U2979" s="7" t="n">
        <f aca="false">IF(F2979="Reopened",1,0)</f>
        <v>0</v>
      </c>
      <c r="V2979" s="7" t="n">
        <f aca="false">IF(AND(R2979=1,O2979&gt;Q2979),1,0)</f>
        <v>0</v>
      </c>
      <c r="W2979" s="7" t="n">
        <f aca="false">IF(AND(T2979=1,P2979&lt;&gt;"",P2979&lt;=Q2979),1,0)</f>
        <v>0</v>
      </c>
    </row>
    <row r="2980" customFormat="false" ht="15" hidden="false" customHeight="false" outlineLevel="0" collapsed="false">
      <c r="A2980" s="7" t="s">
        <v>3505</v>
      </c>
      <c r="B2980" s="7" t="s">
        <v>135</v>
      </c>
      <c r="C2980" s="7" t="s">
        <v>247</v>
      </c>
      <c r="D2980" s="7" t="s">
        <v>163</v>
      </c>
      <c r="E2980" s="7" t="s">
        <v>164</v>
      </c>
      <c r="F2980" s="7" t="s">
        <v>56</v>
      </c>
      <c r="G2980" s="7" t="s">
        <v>19</v>
      </c>
      <c r="H2980" s="9" t="n">
        <v>46032</v>
      </c>
      <c r="I2980" s="9"/>
      <c r="J2980" s="7" t="n">
        <v>9.1</v>
      </c>
      <c r="K2980" s="7" t="s">
        <v>3340</v>
      </c>
      <c r="L2980" s="7" t="s">
        <v>21</v>
      </c>
      <c r="M2980" s="7" t="s">
        <v>3514</v>
      </c>
      <c r="N2980" s="7" t="s">
        <v>58</v>
      </c>
      <c r="O2980" s="10" t="n">
        <f aca="false">'Exec Summary'!$E$2-H2980</f>
        <v>202</v>
      </c>
      <c r="P2980" s="10" t="str">
        <f aca="false">IF(I2980="","",I2980-H2980)</f>
        <v/>
      </c>
      <c r="Q2980" s="10" t="n">
        <f aca="false">VLOOKUP(G2980,$AA$2:$AB$5,2,FALSE())</f>
        <v>15</v>
      </c>
      <c r="R2980" s="7" t="n">
        <f aca="false">IF(OR(F2980="Open",F2980="Reopened"),1,0)</f>
        <v>1</v>
      </c>
      <c r="S2980" s="7" t="n">
        <f aca="false">IF(AND(H2980&gt;='Exec Summary'!$E$1,H2980&lt;='Exec Summary'!$E$2),1,0)</f>
        <v>0</v>
      </c>
      <c r="T2980" s="7" t="n">
        <f aca="false">IF(AND(F2980="Closed",I2980&lt;&gt;"",I2980&gt;='Exec Summary'!$E$1,I2980&lt;='Exec Summary'!$E$2),1,0)</f>
        <v>0</v>
      </c>
      <c r="U2980" s="7" t="n">
        <f aca="false">IF(F2980="Reopened",1,0)</f>
        <v>0</v>
      </c>
      <c r="V2980" s="7" t="n">
        <f aca="false">IF(AND(R2980=1,O2980&gt;Q2980),1,0)</f>
        <v>1</v>
      </c>
      <c r="W2980" s="7" t="n">
        <f aca="false">IF(AND(T2980=1,P2980&lt;&gt;"",P2980&lt;=Q2980),1,0)</f>
        <v>0</v>
      </c>
    </row>
    <row r="2981" customFormat="false" ht="15" hidden="false" customHeight="false" outlineLevel="0" collapsed="false">
      <c r="A2981" s="7" t="s">
        <v>3515</v>
      </c>
      <c r="B2981" s="7" t="s">
        <v>135</v>
      </c>
      <c r="C2981" s="7" t="s">
        <v>247</v>
      </c>
      <c r="D2981" s="7" t="s">
        <v>120</v>
      </c>
      <c r="E2981" s="7" t="s">
        <v>121</v>
      </c>
      <c r="F2981" s="7" t="s">
        <v>50</v>
      </c>
      <c r="G2981" s="7" t="s">
        <v>19</v>
      </c>
      <c r="H2981" s="9" t="n">
        <v>46008</v>
      </c>
      <c r="I2981" s="9" t="n">
        <v>46017</v>
      </c>
      <c r="J2981" s="7" t="n">
        <v>8.8</v>
      </c>
      <c r="K2981" s="7" t="s">
        <v>3340</v>
      </c>
      <c r="L2981" s="7" t="s">
        <v>21</v>
      </c>
      <c r="M2981" s="7" t="s">
        <v>3516</v>
      </c>
      <c r="N2981" s="7" t="s">
        <v>58</v>
      </c>
      <c r="O2981" s="10" t="n">
        <f aca="false">'Exec Summary'!$E$2-H2981</f>
        <v>226</v>
      </c>
      <c r="P2981" s="10" t="n">
        <f aca="false">IF(I2981="","",I2981-H2981)</f>
        <v>9</v>
      </c>
      <c r="Q2981" s="10" t="n">
        <f aca="false">VLOOKUP(G2981,$AA$2:$AB$5,2,FALSE())</f>
        <v>15</v>
      </c>
      <c r="R2981" s="7" t="n">
        <f aca="false">IF(OR(F2981="Open",F2981="Reopened"),1,0)</f>
        <v>0</v>
      </c>
      <c r="S2981" s="7" t="n">
        <f aca="false">IF(AND(H2981&gt;='Exec Summary'!$E$1,H2981&lt;='Exec Summary'!$E$2),1,0)</f>
        <v>0</v>
      </c>
      <c r="T2981" s="7" t="n">
        <f aca="false">IF(AND(F2981="Closed",I2981&lt;&gt;"",I2981&gt;='Exec Summary'!$E$1,I2981&lt;='Exec Summary'!$E$2),1,0)</f>
        <v>0</v>
      </c>
      <c r="U2981" s="7" t="n">
        <f aca="false">IF(F2981="Reopened",1,0)</f>
        <v>0</v>
      </c>
      <c r="V2981" s="7" t="n">
        <f aca="false">IF(AND(R2981=1,O2981&gt;Q2981),1,0)</f>
        <v>0</v>
      </c>
      <c r="W2981" s="7" t="n">
        <f aca="false">IF(AND(T2981=1,P2981&lt;&gt;"",P2981&lt;=Q2981),1,0)</f>
        <v>0</v>
      </c>
    </row>
    <row r="2982" customFormat="false" ht="15" hidden="false" customHeight="false" outlineLevel="0" collapsed="false">
      <c r="A2982" s="7" t="s">
        <v>3515</v>
      </c>
      <c r="B2982" s="7" t="s">
        <v>135</v>
      </c>
      <c r="C2982" s="7" t="s">
        <v>247</v>
      </c>
      <c r="D2982" s="7" t="s">
        <v>62</v>
      </c>
      <c r="E2982" s="7" t="s">
        <v>63</v>
      </c>
      <c r="F2982" s="7" t="s">
        <v>50</v>
      </c>
      <c r="G2982" s="7" t="s">
        <v>20</v>
      </c>
      <c r="H2982" s="9" t="n">
        <v>46151</v>
      </c>
      <c r="I2982" s="9" t="n">
        <v>46152</v>
      </c>
      <c r="J2982" s="7" t="n">
        <v>8.1</v>
      </c>
      <c r="K2982" s="7" t="s">
        <v>3340</v>
      </c>
      <c r="L2982" s="7" t="s">
        <v>21</v>
      </c>
      <c r="M2982" s="7" t="s">
        <v>3517</v>
      </c>
      <c r="N2982" s="7" t="s">
        <v>53</v>
      </c>
      <c r="O2982" s="10" t="n">
        <f aca="false">'Exec Summary'!$E$2-H2982</f>
        <v>83</v>
      </c>
      <c r="P2982" s="10" t="n">
        <f aca="false">IF(I2982="","",I2982-H2982)</f>
        <v>1</v>
      </c>
      <c r="Q2982" s="10" t="n">
        <f aca="false">VLOOKUP(G2982,$AA$2:$AB$5,2,FALSE())</f>
        <v>30</v>
      </c>
      <c r="R2982" s="7" t="n">
        <f aca="false">IF(OR(F2982="Open",F2982="Reopened"),1,0)</f>
        <v>0</v>
      </c>
      <c r="S2982" s="7" t="n">
        <f aca="false">IF(AND(H2982&gt;='Exec Summary'!$E$1,H2982&lt;='Exec Summary'!$E$2),1,0)</f>
        <v>0</v>
      </c>
      <c r="T2982" s="7" t="n">
        <f aca="false">IF(AND(F2982="Closed",I2982&lt;&gt;"",I2982&gt;='Exec Summary'!$E$1,I2982&lt;='Exec Summary'!$E$2),1,0)</f>
        <v>0</v>
      </c>
      <c r="U2982" s="7" t="n">
        <f aca="false">IF(F2982="Reopened",1,0)</f>
        <v>0</v>
      </c>
      <c r="V2982" s="7" t="n">
        <f aca="false">IF(AND(R2982=1,O2982&gt;Q2982),1,0)</f>
        <v>0</v>
      </c>
      <c r="W2982" s="7" t="n">
        <f aca="false">IF(AND(T2982=1,P2982&lt;&gt;"",P2982&lt;=Q2982),1,0)</f>
        <v>0</v>
      </c>
    </row>
    <row r="2983" customFormat="false" ht="15" hidden="false" customHeight="false" outlineLevel="0" collapsed="false">
      <c r="A2983" s="7" t="s">
        <v>3515</v>
      </c>
      <c r="B2983" s="7" t="s">
        <v>135</v>
      </c>
      <c r="C2983" s="7" t="s">
        <v>247</v>
      </c>
      <c r="D2983" s="7" t="s">
        <v>152</v>
      </c>
      <c r="E2983" s="7" t="s">
        <v>153</v>
      </c>
      <c r="F2983" s="7" t="s">
        <v>50</v>
      </c>
      <c r="G2983" s="7" t="s">
        <v>20</v>
      </c>
      <c r="H2983" s="9" t="n">
        <v>46140</v>
      </c>
      <c r="I2983" s="9" t="n">
        <v>46146</v>
      </c>
      <c r="J2983" s="7" t="n">
        <v>7.5</v>
      </c>
      <c r="K2983" s="7" t="s">
        <v>3340</v>
      </c>
      <c r="L2983" s="7" t="s">
        <v>21</v>
      </c>
      <c r="M2983" s="7" t="s">
        <v>3518</v>
      </c>
      <c r="N2983" s="7" t="s">
        <v>53</v>
      </c>
      <c r="O2983" s="10" t="n">
        <f aca="false">'Exec Summary'!$E$2-H2983</f>
        <v>94</v>
      </c>
      <c r="P2983" s="10" t="n">
        <f aca="false">IF(I2983="","",I2983-H2983)</f>
        <v>6</v>
      </c>
      <c r="Q2983" s="10" t="n">
        <f aca="false">VLOOKUP(G2983,$AA$2:$AB$5,2,FALSE())</f>
        <v>30</v>
      </c>
      <c r="R2983" s="7" t="n">
        <f aca="false">IF(OR(F2983="Open",F2983="Reopened"),1,0)</f>
        <v>0</v>
      </c>
      <c r="S2983" s="7" t="n">
        <f aca="false">IF(AND(H2983&gt;='Exec Summary'!$E$1,H2983&lt;='Exec Summary'!$E$2),1,0)</f>
        <v>0</v>
      </c>
      <c r="T2983" s="7" t="n">
        <f aca="false">IF(AND(F2983="Closed",I2983&lt;&gt;"",I2983&gt;='Exec Summary'!$E$1,I2983&lt;='Exec Summary'!$E$2),1,0)</f>
        <v>0</v>
      </c>
      <c r="U2983" s="7" t="n">
        <f aca="false">IF(F2983="Reopened",1,0)</f>
        <v>0</v>
      </c>
      <c r="V2983" s="7" t="n">
        <f aca="false">IF(AND(R2983=1,O2983&gt;Q2983),1,0)</f>
        <v>0</v>
      </c>
      <c r="W2983" s="7" t="n">
        <f aca="false">IF(AND(T2983=1,P2983&lt;&gt;"",P2983&lt;=Q2983),1,0)</f>
        <v>0</v>
      </c>
    </row>
    <row r="2984" customFormat="false" ht="15" hidden="false" customHeight="false" outlineLevel="0" collapsed="false">
      <c r="A2984" s="7" t="s">
        <v>3515</v>
      </c>
      <c r="B2984" s="7" t="s">
        <v>135</v>
      </c>
      <c r="C2984" s="7" t="s">
        <v>247</v>
      </c>
      <c r="D2984" s="7" t="s">
        <v>206</v>
      </c>
      <c r="E2984" s="7" t="s">
        <v>207</v>
      </c>
      <c r="F2984" s="7" t="s">
        <v>50</v>
      </c>
      <c r="G2984" s="7" t="s">
        <v>20</v>
      </c>
      <c r="H2984" s="9" t="n">
        <v>46074</v>
      </c>
      <c r="I2984" s="9" t="n">
        <v>46107</v>
      </c>
      <c r="J2984" s="7" t="n">
        <v>8.8</v>
      </c>
      <c r="K2984" s="7" t="s">
        <v>3340</v>
      </c>
      <c r="L2984" s="7" t="s">
        <v>21</v>
      </c>
      <c r="M2984" s="7" t="s">
        <v>3519</v>
      </c>
      <c r="N2984" s="7" t="s">
        <v>53</v>
      </c>
      <c r="O2984" s="10" t="n">
        <f aca="false">'Exec Summary'!$E$2-H2984</f>
        <v>160</v>
      </c>
      <c r="P2984" s="10" t="n">
        <f aca="false">IF(I2984="","",I2984-H2984)</f>
        <v>33</v>
      </c>
      <c r="Q2984" s="10" t="n">
        <f aca="false">VLOOKUP(G2984,$AA$2:$AB$5,2,FALSE())</f>
        <v>30</v>
      </c>
      <c r="R2984" s="7" t="n">
        <f aca="false">IF(OR(F2984="Open",F2984="Reopened"),1,0)</f>
        <v>0</v>
      </c>
      <c r="S2984" s="7" t="n">
        <f aca="false">IF(AND(H2984&gt;='Exec Summary'!$E$1,H2984&lt;='Exec Summary'!$E$2),1,0)</f>
        <v>0</v>
      </c>
      <c r="T2984" s="7" t="n">
        <f aca="false">IF(AND(F2984="Closed",I2984&lt;&gt;"",I2984&gt;='Exec Summary'!$E$1,I2984&lt;='Exec Summary'!$E$2),1,0)</f>
        <v>0</v>
      </c>
      <c r="U2984" s="7" t="n">
        <f aca="false">IF(F2984="Reopened",1,0)</f>
        <v>0</v>
      </c>
      <c r="V2984" s="7" t="n">
        <f aca="false">IF(AND(R2984=1,O2984&gt;Q2984),1,0)</f>
        <v>0</v>
      </c>
      <c r="W2984" s="7" t="n">
        <f aca="false">IF(AND(T2984=1,P2984&lt;&gt;"",P2984&lt;=Q2984),1,0)</f>
        <v>0</v>
      </c>
    </row>
    <row r="2985" customFormat="false" ht="15" hidden="false" customHeight="false" outlineLevel="0" collapsed="false">
      <c r="A2985" s="7" t="s">
        <v>3515</v>
      </c>
      <c r="B2985" s="7" t="s">
        <v>135</v>
      </c>
      <c r="C2985" s="7" t="s">
        <v>247</v>
      </c>
      <c r="D2985" s="7" t="s">
        <v>95</v>
      </c>
      <c r="E2985" s="7" t="s">
        <v>96</v>
      </c>
      <c r="F2985" s="7" t="s">
        <v>50</v>
      </c>
      <c r="G2985" s="7" t="s">
        <v>20</v>
      </c>
      <c r="H2985" s="9" t="n">
        <v>46065</v>
      </c>
      <c r="I2985" s="9" t="n">
        <v>46079</v>
      </c>
      <c r="J2985" s="7" t="n">
        <v>8.8</v>
      </c>
      <c r="K2985" s="7" t="s">
        <v>3340</v>
      </c>
      <c r="L2985" s="7" t="s">
        <v>21</v>
      </c>
      <c r="M2985" s="7" t="s">
        <v>3520</v>
      </c>
      <c r="N2985" s="7" t="s">
        <v>53</v>
      </c>
      <c r="O2985" s="10" t="n">
        <f aca="false">'Exec Summary'!$E$2-H2985</f>
        <v>169</v>
      </c>
      <c r="P2985" s="10" t="n">
        <f aca="false">IF(I2985="","",I2985-H2985)</f>
        <v>14</v>
      </c>
      <c r="Q2985" s="10" t="n">
        <f aca="false">VLOOKUP(G2985,$AA$2:$AB$5,2,FALSE())</f>
        <v>30</v>
      </c>
      <c r="R2985" s="7" t="n">
        <f aca="false">IF(OR(F2985="Open",F2985="Reopened"),1,0)</f>
        <v>0</v>
      </c>
      <c r="S2985" s="7" t="n">
        <f aca="false">IF(AND(H2985&gt;='Exec Summary'!$E$1,H2985&lt;='Exec Summary'!$E$2),1,0)</f>
        <v>0</v>
      </c>
      <c r="T2985" s="7" t="n">
        <f aca="false">IF(AND(F2985="Closed",I2985&lt;&gt;"",I2985&gt;='Exec Summary'!$E$1,I2985&lt;='Exec Summary'!$E$2),1,0)</f>
        <v>0</v>
      </c>
      <c r="U2985" s="7" t="n">
        <f aca="false">IF(F2985="Reopened",1,0)</f>
        <v>0</v>
      </c>
      <c r="V2985" s="7" t="n">
        <f aca="false">IF(AND(R2985=1,O2985&gt;Q2985),1,0)</f>
        <v>0</v>
      </c>
      <c r="W2985" s="7" t="n">
        <f aca="false">IF(AND(T2985=1,P2985&lt;&gt;"",P2985&lt;=Q2985),1,0)</f>
        <v>0</v>
      </c>
    </row>
    <row r="2986" customFormat="false" ht="15" hidden="false" customHeight="false" outlineLevel="0" collapsed="false">
      <c r="A2986" s="7" t="s">
        <v>3515</v>
      </c>
      <c r="B2986" s="7" t="s">
        <v>135</v>
      </c>
      <c r="C2986" s="7" t="s">
        <v>247</v>
      </c>
      <c r="D2986" s="7" t="s">
        <v>54</v>
      </c>
      <c r="E2986" s="7" t="s">
        <v>55</v>
      </c>
      <c r="F2986" s="7" t="s">
        <v>50</v>
      </c>
      <c r="G2986" s="7" t="s">
        <v>19</v>
      </c>
      <c r="H2986" s="9" t="n">
        <v>46219</v>
      </c>
      <c r="I2986" s="9" t="n">
        <v>46234</v>
      </c>
      <c r="J2986" s="7" t="n">
        <v>9.8</v>
      </c>
      <c r="K2986" s="7" t="s">
        <v>3340</v>
      </c>
      <c r="L2986" s="7" t="s">
        <v>21</v>
      </c>
      <c r="M2986" s="7" t="s">
        <v>3521</v>
      </c>
      <c r="N2986" s="7" t="s">
        <v>58</v>
      </c>
      <c r="O2986" s="10" t="n">
        <f aca="false">'Exec Summary'!$E$2-H2986</f>
        <v>15</v>
      </c>
      <c r="P2986" s="10" t="n">
        <f aca="false">IF(I2986="","",I2986-H2986)</f>
        <v>15</v>
      </c>
      <c r="Q2986" s="10" t="n">
        <f aca="false">VLOOKUP(G2986,$AA$2:$AB$5,2,FALSE())</f>
        <v>15</v>
      </c>
      <c r="R2986" s="7" t="n">
        <f aca="false">IF(OR(F2986="Open",F2986="Reopened"),1,0)</f>
        <v>0</v>
      </c>
      <c r="S2986" s="7" t="n">
        <f aca="false">IF(AND(H2986&gt;='Exec Summary'!$E$1,H2986&lt;='Exec Summary'!$E$2),1,0)</f>
        <v>1</v>
      </c>
      <c r="T2986" s="7" t="n">
        <f aca="false">IF(AND(F2986="Closed",I2986&lt;&gt;"",I2986&gt;='Exec Summary'!$E$1,I2986&lt;='Exec Summary'!$E$2),1,0)</f>
        <v>1</v>
      </c>
      <c r="U2986" s="7" t="n">
        <f aca="false">IF(F2986="Reopened",1,0)</f>
        <v>0</v>
      </c>
      <c r="V2986" s="7" t="n">
        <f aca="false">IF(AND(R2986=1,O2986&gt;Q2986),1,0)</f>
        <v>0</v>
      </c>
      <c r="W2986" s="7" t="n">
        <f aca="false">IF(AND(T2986=1,P2986&lt;&gt;"",P2986&lt;=Q2986),1,0)</f>
        <v>1</v>
      </c>
    </row>
    <row r="2987" customFormat="false" ht="15" hidden="false" customHeight="false" outlineLevel="0" collapsed="false">
      <c r="A2987" s="7" t="s">
        <v>3515</v>
      </c>
      <c r="B2987" s="7" t="s">
        <v>135</v>
      </c>
      <c r="C2987" s="7" t="s">
        <v>247</v>
      </c>
      <c r="D2987" s="7" t="s">
        <v>74</v>
      </c>
      <c r="E2987" s="7" t="s">
        <v>75</v>
      </c>
      <c r="F2987" s="7" t="s">
        <v>50</v>
      </c>
      <c r="G2987" s="7" t="s">
        <v>21</v>
      </c>
      <c r="H2987" s="9" t="n">
        <v>46191</v>
      </c>
      <c r="I2987" s="9" t="n">
        <v>46234</v>
      </c>
      <c r="J2987" s="7" t="n">
        <v>6.5</v>
      </c>
      <c r="K2987" s="7" t="s">
        <v>3340</v>
      </c>
      <c r="L2987" s="7" t="s">
        <v>21</v>
      </c>
      <c r="M2987" s="7" t="s">
        <v>3522</v>
      </c>
      <c r="N2987" s="7" t="s">
        <v>77</v>
      </c>
      <c r="O2987" s="10" t="n">
        <f aca="false">'Exec Summary'!$E$2-H2987</f>
        <v>43</v>
      </c>
      <c r="P2987" s="10" t="n">
        <f aca="false">IF(I2987="","",I2987-H2987)</f>
        <v>43</v>
      </c>
      <c r="Q2987" s="10" t="n">
        <f aca="false">VLOOKUP(G2987,$AA$2:$AB$5,2,FALSE())</f>
        <v>90</v>
      </c>
      <c r="R2987" s="7" t="n">
        <f aca="false">IF(OR(F2987="Open",F2987="Reopened"),1,0)</f>
        <v>0</v>
      </c>
      <c r="S2987" s="7" t="n">
        <f aca="false">IF(AND(H2987&gt;='Exec Summary'!$E$1,H2987&lt;='Exec Summary'!$E$2),1,0)</f>
        <v>0</v>
      </c>
      <c r="T2987" s="7" t="n">
        <f aca="false">IF(AND(F2987="Closed",I2987&lt;&gt;"",I2987&gt;='Exec Summary'!$E$1,I2987&lt;='Exec Summary'!$E$2),1,0)</f>
        <v>1</v>
      </c>
      <c r="U2987" s="7" t="n">
        <f aca="false">IF(F2987="Reopened",1,0)</f>
        <v>0</v>
      </c>
      <c r="V2987" s="7" t="n">
        <f aca="false">IF(AND(R2987=1,O2987&gt;Q2987),1,0)</f>
        <v>0</v>
      </c>
      <c r="W2987" s="7" t="n">
        <f aca="false">IF(AND(T2987=1,P2987&lt;&gt;"",P2987&lt;=Q2987),1,0)</f>
        <v>1</v>
      </c>
    </row>
    <row r="2988" customFormat="false" ht="15" hidden="false" customHeight="false" outlineLevel="0" collapsed="false">
      <c r="A2988" s="7" t="s">
        <v>3515</v>
      </c>
      <c r="B2988" s="7" t="s">
        <v>135</v>
      </c>
      <c r="C2988" s="7" t="s">
        <v>247</v>
      </c>
      <c r="D2988" s="7" t="s">
        <v>139</v>
      </c>
      <c r="E2988" s="7" t="s">
        <v>140</v>
      </c>
      <c r="F2988" s="7" t="s">
        <v>56</v>
      </c>
      <c r="G2988" s="7" t="s">
        <v>19</v>
      </c>
      <c r="H2988" s="9" t="n">
        <v>46174</v>
      </c>
      <c r="I2988" s="9"/>
      <c r="J2988" s="7" t="n">
        <v>9.8</v>
      </c>
      <c r="K2988" s="7" t="s">
        <v>3340</v>
      </c>
      <c r="L2988" s="7" t="s">
        <v>21</v>
      </c>
      <c r="M2988" s="7" t="s">
        <v>3523</v>
      </c>
      <c r="N2988" s="7" t="s">
        <v>58</v>
      </c>
      <c r="O2988" s="10" t="n">
        <f aca="false">'Exec Summary'!$E$2-H2988</f>
        <v>60</v>
      </c>
      <c r="P2988" s="10" t="str">
        <f aca="false">IF(I2988="","",I2988-H2988)</f>
        <v/>
      </c>
      <c r="Q2988" s="10" t="n">
        <f aca="false">VLOOKUP(G2988,$AA$2:$AB$5,2,FALSE())</f>
        <v>15</v>
      </c>
      <c r="R2988" s="7" t="n">
        <f aca="false">IF(OR(F2988="Open",F2988="Reopened"),1,0)</f>
        <v>1</v>
      </c>
      <c r="S2988" s="7" t="n">
        <f aca="false">IF(AND(H2988&gt;='Exec Summary'!$E$1,H2988&lt;='Exec Summary'!$E$2),1,0)</f>
        <v>0</v>
      </c>
      <c r="T2988" s="7" t="n">
        <f aca="false">IF(AND(F2988="Closed",I2988&lt;&gt;"",I2988&gt;='Exec Summary'!$E$1,I2988&lt;='Exec Summary'!$E$2),1,0)</f>
        <v>0</v>
      </c>
      <c r="U2988" s="7" t="n">
        <f aca="false">IF(F2988="Reopened",1,0)</f>
        <v>0</v>
      </c>
      <c r="V2988" s="7" t="n">
        <f aca="false">IF(AND(R2988=1,O2988&gt;Q2988),1,0)</f>
        <v>1</v>
      </c>
      <c r="W2988" s="7" t="n">
        <f aca="false">IF(AND(T2988=1,P2988&lt;&gt;"",P2988&lt;=Q2988),1,0)</f>
        <v>0</v>
      </c>
    </row>
    <row r="2989" customFormat="false" ht="15" hidden="false" customHeight="false" outlineLevel="0" collapsed="false">
      <c r="A2989" s="7" t="s">
        <v>3515</v>
      </c>
      <c r="B2989" s="7" t="s">
        <v>135</v>
      </c>
      <c r="C2989" s="7" t="s">
        <v>247</v>
      </c>
      <c r="D2989" s="7" t="s">
        <v>87</v>
      </c>
      <c r="E2989" s="7" t="s">
        <v>88</v>
      </c>
      <c r="F2989" s="7" t="s">
        <v>56</v>
      </c>
      <c r="G2989" s="7" t="s">
        <v>19</v>
      </c>
      <c r="H2989" s="9" t="n">
        <v>46133</v>
      </c>
      <c r="I2989" s="9"/>
      <c r="J2989" s="7" t="n">
        <v>10</v>
      </c>
      <c r="K2989" s="7" t="s">
        <v>3340</v>
      </c>
      <c r="L2989" s="7" t="s">
        <v>21</v>
      </c>
      <c r="M2989" s="7" t="s">
        <v>3524</v>
      </c>
      <c r="N2989" s="7" t="s">
        <v>58</v>
      </c>
      <c r="O2989" s="10" t="n">
        <f aca="false">'Exec Summary'!$E$2-H2989</f>
        <v>101</v>
      </c>
      <c r="P2989" s="10" t="str">
        <f aca="false">IF(I2989="","",I2989-H2989)</f>
        <v/>
      </c>
      <c r="Q2989" s="10" t="n">
        <f aca="false">VLOOKUP(G2989,$AA$2:$AB$5,2,FALSE())</f>
        <v>15</v>
      </c>
      <c r="R2989" s="7" t="n">
        <f aca="false">IF(OR(F2989="Open",F2989="Reopened"),1,0)</f>
        <v>1</v>
      </c>
      <c r="S2989" s="7" t="n">
        <f aca="false">IF(AND(H2989&gt;='Exec Summary'!$E$1,H2989&lt;='Exec Summary'!$E$2),1,0)</f>
        <v>0</v>
      </c>
      <c r="T2989" s="7" t="n">
        <f aca="false">IF(AND(F2989="Closed",I2989&lt;&gt;"",I2989&gt;='Exec Summary'!$E$1,I2989&lt;='Exec Summary'!$E$2),1,0)</f>
        <v>0</v>
      </c>
      <c r="U2989" s="7" t="n">
        <f aca="false">IF(F2989="Reopened",1,0)</f>
        <v>0</v>
      </c>
      <c r="V2989" s="7" t="n">
        <f aca="false">IF(AND(R2989=1,O2989&gt;Q2989),1,0)</f>
        <v>1</v>
      </c>
      <c r="W2989" s="7" t="n">
        <f aca="false">IF(AND(T2989=1,P2989&lt;&gt;"",P2989&lt;=Q2989),1,0)</f>
        <v>0</v>
      </c>
    </row>
    <row r="2990" customFormat="false" ht="15" hidden="false" customHeight="false" outlineLevel="0" collapsed="false">
      <c r="A2990" s="7" t="s">
        <v>3515</v>
      </c>
      <c r="B2990" s="7" t="s">
        <v>135</v>
      </c>
      <c r="C2990" s="7" t="s">
        <v>247</v>
      </c>
      <c r="D2990" s="7" t="s">
        <v>166</v>
      </c>
      <c r="E2990" s="7" t="s">
        <v>167</v>
      </c>
      <c r="F2990" s="7" t="s">
        <v>50</v>
      </c>
      <c r="G2990" s="7" t="s">
        <v>19</v>
      </c>
      <c r="H2990" s="9" t="n">
        <v>46061</v>
      </c>
      <c r="I2990" s="9" t="n">
        <v>46074</v>
      </c>
      <c r="J2990" s="7" t="n">
        <v>9.8</v>
      </c>
      <c r="K2990" s="7" t="s">
        <v>3340</v>
      </c>
      <c r="L2990" s="7" t="s">
        <v>21</v>
      </c>
      <c r="M2990" s="7" t="s">
        <v>3525</v>
      </c>
      <c r="N2990" s="7" t="s">
        <v>58</v>
      </c>
      <c r="O2990" s="10" t="n">
        <f aca="false">'Exec Summary'!$E$2-H2990</f>
        <v>173</v>
      </c>
      <c r="P2990" s="10" t="n">
        <f aca="false">IF(I2990="","",I2990-H2990)</f>
        <v>13</v>
      </c>
      <c r="Q2990" s="10" t="n">
        <f aca="false">VLOOKUP(G2990,$AA$2:$AB$5,2,FALSE())</f>
        <v>15</v>
      </c>
      <c r="R2990" s="7" t="n">
        <f aca="false">IF(OR(F2990="Open",F2990="Reopened"),1,0)</f>
        <v>0</v>
      </c>
      <c r="S2990" s="7" t="n">
        <f aca="false">IF(AND(H2990&gt;='Exec Summary'!$E$1,H2990&lt;='Exec Summary'!$E$2),1,0)</f>
        <v>0</v>
      </c>
      <c r="T2990" s="7" t="n">
        <f aca="false">IF(AND(F2990="Closed",I2990&lt;&gt;"",I2990&gt;='Exec Summary'!$E$1,I2990&lt;='Exec Summary'!$E$2),1,0)</f>
        <v>0</v>
      </c>
      <c r="U2990" s="7" t="n">
        <f aca="false">IF(F2990="Reopened",1,0)</f>
        <v>0</v>
      </c>
      <c r="V2990" s="7" t="n">
        <f aca="false">IF(AND(R2990=1,O2990&gt;Q2990),1,0)</f>
        <v>0</v>
      </c>
      <c r="W2990" s="7" t="n">
        <f aca="false">IF(AND(T2990=1,P2990&lt;&gt;"",P2990&lt;=Q2990),1,0)</f>
        <v>0</v>
      </c>
    </row>
    <row r="2991" customFormat="false" ht="15" hidden="false" customHeight="false" outlineLevel="0" collapsed="false">
      <c r="A2991" s="7" t="s">
        <v>3526</v>
      </c>
      <c r="B2991" s="7" t="s">
        <v>46</v>
      </c>
      <c r="C2991" s="7" t="s">
        <v>158</v>
      </c>
      <c r="D2991" s="7" t="s">
        <v>131</v>
      </c>
      <c r="E2991" s="7" t="s">
        <v>132</v>
      </c>
      <c r="F2991" s="7" t="s">
        <v>50</v>
      </c>
      <c r="G2991" s="7" t="s">
        <v>19</v>
      </c>
      <c r="H2991" s="9" t="n">
        <v>45971</v>
      </c>
      <c r="I2991" s="9" t="n">
        <v>45983</v>
      </c>
      <c r="J2991" s="7" t="n">
        <v>9.8</v>
      </c>
      <c r="K2991" s="7" t="s">
        <v>3340</v>
      </c>
      <c r="L2991" s="7" t="s">
        <v>21</v>
      </c>
      <c r="M2991" s="7" t="s">
        <v>3527</v>
      </c>
      <c r="N2991" s="7" t="s">
        <v>58</v>
      </c>
      <c r="O2991" s="10" t="n">
        <f aca="false">'Exec Summary'!$E$2-H2991</f>
        <v>263</v>
      </c>
      <c r="P2991" s="10" t="n">
        <f aca="false">IF(I2991="","",I2991-H2991)</f>
        <v>12</v>
      </c>
      <c r="Q2991" s="10" t="n">
        <f aca="false">VLOOKUP(G2991,$AA$2:$AB$5,2,FALSE())</f>
        <v>15</v>
      </c>
      <c r="R2991" s="7" t="n">
        <f aca="false">IF(OR(F2991="Open",F2991="Reopened"),1,0)</f>
        <v>0</v>
      </c>
      <c r="S2991" s="7" t="n">
        <f aca="false">IF(AND(H2991&gt;='Exec Summary'!$E$1,H2991&lt;='Exec Summary'!$E$2),1,0)</f>
        <v>0</v>
      </c>
      <c r="T2991" s="7" t="n">
        <f aca="false">IF(AND(F2991="Closed",I2991&lt;&gt;"",I2991&gt;='Exec Summary'!$E$1,I2991&lt;='Exec Summary'!$E$2),1,0)</f>
        <v>0</v>
      </c>
      <c r="U2991" s="7" t="n">
        <f aca="false">IF(F2991="Reopened",1,0)</f>
        <v>0</v>
      </c>
      <c r="V2991" s="7" t="n">
        <f aca="false">IF(AND(R2991=1,O2991&gt;Q2991),1,0)</f>
        <v>0</v>
      </c>
      <c r="W2991" s="7" t="n">
        <f aca="false">IF(AND(T2991=1,P2991&lt;&gt;"",P2991&lt;=Q2991),1,0)</f>
        <v>0</v>
      </c>
    </row>
    <row r="2992" customFormat="false" ht="15" hidden="false" customHeight="false" outlineLevel="0" collapsed="false">
      <c r="A2992" s="7" t="s">
        <v>3526</v>
      </c>
      <c r="B2992" s="7" t="s">
        <v>46</v>
      </c>
      <c r="C2992" s="7" t="s">
        <v>158</v>
      </c>
      <c r="D2992" s="7" t="s">
        <v>139</v>
      </c>
      <c r="E2992" s="7" t="s">
        <v>140</v>
      </c>
      <c r="F2992" s="7" t="s">
        <v>50</v>
      </c>
      <c r="G2992" s="7" t="s">
        <v>19</v>
      </c>
      <c r="H2992" s="9" t="n">
        <v>46087</v>
      </c>
      <c r="I2992" s="9" t="n">
        <v>46091</v>
      </c>
      <c r="J2992" s="7" t="n">
        <v>9.8</v>
      </c>
      <c r="K2992" s="7" t="s">
        <v>3340</v>
      </c>
      <c r="L2992" s="7" t="s">
        <v>21</v>
      </c>
      <c r="M2992" s="7" t="s">
        <v>3528</v>
      </c>
      <c r="N2992" s="7" t="s">
        <v>58</v>
      </c>
      <c r="O2992" s="10" t="n">
        <f aca="false">'Exec Summary'!$E$2-H2992</f>
        <v>147</v>
      </c>
      <c r="P2992" s="10" t="n">
        <f aca="false">IF(I2992="","",I2992-H2992)</f>
        <v>4</v>
      </c>
      <c r="Q2992" s="10" t="n">
        <f aca="false">VLOOKUP(G2992,$AA$2:$AB$5,2,FALSE())</f>
        <v>15</v>
      </c>
      <c r="R2992" s="7" t="n">
        <f aca="false">IF(OR(F2992="Open",F2992="Reopened"),1,0)</f>
        <v>0</v>
      </c>
      <c r="S2992" s="7" t="n">
        <f aca="false">IF(AND(H2992&gt;='Exec Summary'!$E$1,H2992&lt;='Exec Summary'!$E$2),1,0)</f>
        <v>0</v>
      </c>
      <c r="T2992" s="7" t="n">
        <f aca="false">IF(AND(F2992="Closed",I2992&lt;&gt;"",I2992&gt;='Exec Summary'!$E$1,I2992&lt;='Exec Summary'!$E$2),1,0)</f>
        <v>0</v>
      </c>
      <c r="U2992" s="7" t="n">
        <f aca="false">IF(F2992="Reopened",1,0)</f>
        <v>0</v>
      </c>
      <c r="V2992" s="7" t="n">
        <f aca="false">IF(AND(R2992=1,O2992&gt;Q2992),1,0)</f>
        <v>0</v>
      </c>
      <c r="W2992" s="7" t="n">
        <f aca="false">IF(AND(T2992=1,P2992&lt;&gt;"",P2992&lt;=Q2992),1,0)</f>
        <v>0</v>
      </c>
    </row>
    <row r="2993" customFormat="false" ht="15" hidden="false" customHeight="false" outlineLevel="0" collapsed="false">
      <c r="A2993" s="7" t="s">
        <v>3526</v>
      </c>
      <c r="B2993" s="7" t="s">
        <v>46</v>
      </c>
      <c r="C2993" s="7" t="s">
        <v>158</v>
      </c>
      <c r="D2993" s="7" t="s">
        <v>68</v>
      </c>
      <c r="E2993" s="7" t="s">
        <v>69</v>
      </c>
      <c r="F2993" s="7" t="s">
        <v>50</v>
      </c>
      <c r="G2993" s="7" t="s">
        <v>19</v>
      </c>
      <c r="H2993" s="9" t="n">
        <v>46059</v>
      </c>
      <c r="I2993" s="9" t="n">
        <v>46060</v>
      </c>
      <c r="J2993" s="7" t="n">
        <v>9.8</v>
      </c>
      <c r="K2993" s="7" t="s">
        <v>3340</v>
      </c>
      <c r="L2993" s="7" t="s">
        <v>21</v>
      </c>
      <c r="M2993" s="7" t="s">
        <v>3529</v>
      </c>
      <c r="N2993" s="7" t="s">
        <v>58</v>
      </c>
      <c r="O2993" s="10" t="n">
        <f aca="false">'Exec Summary'!$E$2-H2993</f>
        <v>175</v>
      </c>
      <c r="P2993" s="10" t="n">
        <f aca="false">IF(I2993="","",I2993-H2993)</f>
        <v>1</v>
      </c>
      <c r="Q2993" s="10" t="n">
        <f aca="false">VLOOKUP(G2993,$AA$2:$AB$5,2,FALSE())</f>
        <v>15</v>
      </c>
      <c r="R2993" s="7" t="n">
        <f aca="false">IF(OR(F2993="Open",F2993="Reopened"),1,0)</f>
        <v>0</v>
      </c>
      <c r="S2993" s="7" t="n">
        <f aca="false">IF(AND(H2993&gt;='Exec Summary'!$E$1,H2993&lt;='Exec Summary'!$E$2),1,0)</f>
        <v>0</v>
      </c>
      <c r="T2993" s="7" t="n">
        <f aca="false">IF(AND(F2993="Closed",I2993&lt;&gt;"",I2993&gt;='Exec Summary'!$E$1,I2993&lt;='Exec Summary'!$E$2),1,0)</f>
        <v>0</v>
      </c>
      <c r="U2993" s="7" t="n">
        <f aca="false">IF(F2993="Reopened",1,0)</f>
        <v>0</v>
      </c>
      <c r="V2993" s="7" t="n">
        <f aca="false">IF(AND(R2993=1,O2993&gt;Q2993),1,0)</f>
        <v>0</v>
      </c>
      <c r="W2993" s="7" t="n">
        <f aca="false">IF(AND(T2993=1,P2993&lt;&gt;"",P2993&lt;=Q2993),1,0)</f>
        <v>0</v>
      </c>
    </row>
    <row r="2994" customFormat="false" ht="15" hidden="false" customHeight="false" outlineLevel="0" collapsed="false">
      <c r="A2994" s="7" t="s">
        <v>3526</v>
      </c>
      <c r="B2994" s="7" t="s">
        <v>46</v>
      </c>
      <c r="C2994" s="7" t="s">
        <v>158</v>
      </c>
      <c r="D2994" s="7" t="s">
        <v>210</v>
      </c>
      <c r="E2994" s="7" t="s">
        <v>211</v>
      </c>
      <c r="F2994" s="7" t="s">
        <v>50</v>
      </c>
      <c r="G2994" s="7" t="s">
        <v>19</v>
      </c>
      <c r="H2994" s="9" t="n">
        <v>45945</v>
      </c>
      <c r="I2994" s="9" t="n">
        <v>45953</v>
      </c>
      <c r="J2994" s="7" t="n">
        <v>9.8</v>
      </c>
      <c r="K2994" s="7" t="s">
        <v>3340</v>
      </c>
      <c r="L2994" s="7" t="s">
        <v>21</v>
      </c>
      <c r="M2994" s="7" t="s">
        <v>3530</v>
      </c>
      <c r="N2994" s="7" t="s">
        <v>58</v>
      </c>
      <c r="O2994" s="10" t="n">
        <f aca="false">'Exec Summary'!$E$2-H2994</f>
        <v>289</v>
      </c>
      <c r="P2994" s="10" t="n">
        <f aca="false">IF(I2994="","",I2994-H2994)</f>
        <v>8</v>
      </c>
      <c r="Q2994" s="10" t="n">
        <f aca="false">VLOOKUP(G2994,$AA$2:$AB$5,2,FALSE())</f>
        <v>15</v>
      </c>
      <c r="R2994" s="7" t="n">
        <f aca="false">IF(OR(F2994="Open",F2994="Reopened"),1,0)</f>
        <v>0</v>
      </c>
      <c r="S2994" s="7" t="n">
        <f aca="false">IF(AND(H2994&gt;='Exec Summary'!$E$1,H2994&lt;='Exec Summary'!$E$2),1,0)</f>
        <v>0</v>
      </c>
      <c r="T2994" s="7" t="n">
        <f aca="false">IF(AND(F2994="Closed",I2994&lt;&gt;"",I2994&gt;='Exec Summary'!$E$1,I2994&lt;='Exec Summary'!$E$2),1,0)</f>
        <v>0</v>
      </c>
      <c r="U2994" s="7" t="n">
        <f aca="false">IF(F2994="Reopened",1,0)</f>
        <v>0</v>
      </c>
      <c r="V2994" s="7" t="n">
        <f aca="false">IF(AND(R2994=1,O2994&gt;Q2994),1,0)</f>
        <v>0</v>
      </c>
      <c r="W2994" s="7" t="n">
        <f aca="false">IF(AND(T2994=1,P2994&lt;&gt;"",P2994&lt;=Q2994),1,0)</f>
        <v>0</v>
      </c>
    </row>
    <row r="2995" customFormat="false" ht="15" hidden="false" customHeight="false" outlineLevel="0" collapsed="false">
      <c r="A2995" s="7" t="s">
        <v>3526</v>
      </c>
      <c r="B2995" s="7" t="s">
        <v>46</v>
      </c>
      <c r="C2995" s="7" t="s">
        <v>158</v>
      </c>
      <c r="D2995" s="7" t="s">
        <v>206</v>
      </c>
      <c r="E2995" s="7" t="s">
        <v>207</v>
      </c>
      <c r="F2995" s="7" t="s">
        <v>56</v>
      </c>
      <c r="G2995" s="7" t="s">
        <v>20</v>
      </c>
      <c r="H2995" s="9" t="n">
        <v>46118</v>
      </c>
      <c r="I2995" s="9"/>
      <c r="J2995" s="7" t="n">
        <v>8.8</v>
      </c>
      <c r="K2995" s="7" t="s">
        <v>3340</v>
      </c>
      <c r="L2995" s="7" t="s">
        <v>21</v>
      </c>
      <c r="M2995" s="7" t="s">
        <v>3531</v>
      </c>
      <c r="N2995" s="7" t="s">
        <v>53</v>
      </c>
      <c r="O2995" s="10" t="n">
        <f aca="false">'Exec Summary'!$E$2-H2995</f>
        <v>116</v>
      </c>
      <c r="P2995" s="10" t="str">
        <f aca="false">IF(I2995="","",I2995-H2995)</f>
        <v/>
      </c>
      <c r="Q2995" s="10" t="n">
        <f aca="false">VLOOKUP(G2995,$AA$2:$AB$5,2,FALSE())</f>
        <v>30</v>
      </c>
      <c r="R2995" s="7" t="n">
        <f aca="false">IF(OR(F2995="Open",F2995="Reopened"),1,0)</f>
        <v>1</v>
      </c>
      <c r="S2995" s="7" t="n">
        <f aca="false">IF(AND(H2995&gt;='Exec Summary'!$E$1,H2995&lt;='Exec Summary'!$E$2),1,0)</f>
        <v>0</v>
      </c>
      <c r="T2995" s="7" t="n">
        <f aca="false">IF(AND(F2995="Closed",I2995&lt;&gt;"",I2995&gt;='Exec Summary'!$E$1,I2995&lt;='Exec Summary'!$E$2),1,0)</f>
        <v>0</v>
      </c>
      <c r="U2995" s="7" t="n">
        <f aca="false">IF(F2995="Reopened",1,0)</f>
        <v>0</v>
      </c>
      <c r="V2995" s="7" t="n">
        <f aca="false">IF(AND(R2995=1,O2995&gt;Q2995),1,0)</f>
        <v>1</v>
      </c>
      <c r="W2995" s="7" t="n">
        <f aca="false">IF(AND(T2995=1,P2995&lt;&gt;"",P2995&lt;=Q2995),1,0)</f>
        <v>0</v>
      </c>
    </row>
    <row r="2996" customFormat="false" ht="15" hidden="false" customHeight="false" outlineLevel="0" collapsed="false">
      <c r="A2996" s="7" t="s">
        <v>3532</v>
      </c>
      <c r="B2996" s="7" t="s">
        <v>46</v>
      </c>
      <c r="C2996" s="7" t="s">
        <v>128</v>
      </c>
      <c r="D2996" s="7" t="s">
        <v>163</v>
      </c>
      <c r="E2996" s="7" t="s">
        <v>164</v>
      </c>
      <c r="F2996" s="7" t="s">
        <v>50</v>
      </c>
      <c r="G2996" s="7" t="s">
        <v>19</v>
      </c>
      <c r="H2996" s="9" t="n">
        <v>45945</v>
      </c>
      <c r="I2996" s="9" t="n">
        <v>45951</v>
      </c>
      <c r="J2996" s="7" t="n">
        <v>9.1</v>
      </c>
      <c r="K2996" s="7" t="s">
        <v>3340</v>
      </c>
      <c r="L2996" s="7" t="s">
        <v>21</v>
      </c>
      <c r="M2996" s="7" t="s">
        <v>3533</v>
      </c>
      <c r="N2996" s="7" t="s">
        <v>58</v>
      </c>
      <c r="O2996" s="10" t="n">
        <f aca="false">'Exec Summary'!$E$2-H2996</f>
        <v>289</v>
      </c>
      <c r="P2996" s="10" t="n">
        <f aca="false">IF(I2996="","",I2996-H2996)</f>
        <v>6</v>
      </c>
      <c r="Q2996" s="10" t="n">
        <f aca="false">VLOOKUP(G2996,$AA$2:$AB$5,2,FALSE())</f>
        <v>15</v>
      </c>
      <c r="R2996" s="7" t="n">
        <f aca="false">IF(OR(F2996="Open",F2996="Reopened"),1,0)</f>
        <v>0</v>
      </c>
      <c r="S2996" s="7" t="n">
        <f aca="false">IF(AND(H2996&gt;='Exec Summary'!$E$1,H2996&lt;='Exec Summary'!$E$2),1,0)</f>
        <v>0</v>
      </c>
      <c r="T2996" s="7" t="n">
        <f aca="false">IF(AND(F2996="Closed",I2996&lt;&gt;"",I2996&gt;='Exec Summary'!$E$1,I2996&lt;='Exec Summary'!$E$2),1,0)</f>
        <v>0</v>
      </c>
      <c r="U2996" s="7" t="n">
        <f aca="false">IF(F2996="Reopened",1,0)</f>
        <v>0</v>
      </c>
      <c r="V2996" s="7" t="n">
        <f aca="false">IF(AND(R2996=1,O2996&gt;Q2996),1,0)</f>
        <v>0</v>
      </c>
      <c r="W2996" s="7" t="n">
        <f aca="false">IF(AND(T2996=1,P2996&lt;&gt;"",P2996&lt;=Q2996),1,0)</f>
        <v>0</v>
      </c>
    </row>
    <row r="2997" customFormat="false" ht="15" hidden="false" customHeight="false" outlineLevel="0" collapsed="false">
      <c r="A2997" s="7" t="s">
        <v>3532</v>
      </c>
      <c r="B2997" s="7" t="s">
        <v>46</v>
      </c>
      <c r="C2997" s="7" t="s">
        <v>128</v>
      </c>
      <c r="D2997" s="7" t="s">
        <v>98</v>
      </c>
      <c r="E2997" s="7" t="s">
        <v>99</v>
      </c>
      <c r="F2997" s="7" t="s">
        <v>50</v>
      </c>
      <c r="G2997" s="7" t="s">
        <v>19</v>
      </c>
      <c r="H2997" s="9" t="n">
        <v>46204</v>
      </c>
      <c r="I2997" s="9" t="n">
        <v>46209</v>
      </c>
      <c r="J2997" s="7" t="n">
        <v>10</v>
      </c>
      <c r="K2997" s="7" t="s">
        <v>3340</v>
      </c>
      <c r="L2997" s="7" t="s">
        <v>21</v>
      </c>
      <c r="M2997" s="7" t="s">
        <v>3534</v>
      </c>
      <c r="N2997" s="7" t="s">
        <v>58</v>
      </c>
      <c r="O2997" s="10" t="n">
        <f aca="false">'Exec Summary'!$E$2-H2997</f>
        <v>30</v>
      </c>
      <c r="P2997" s="10" t="n">
        <f aca="false">IF(I2997="","",I2997-H2997)</f>
        <v>5</v>
      </c>
      <c r="Q2997" s="10" t="n">
        <f aca="false">VLOOKUP(G2997,$AA$2:$AB$5,2,FALSE())</f>
        <v>15</v>
      </c>
      <c r="R2997" s="7" t="n">
        <f aca="false">IF(OR(F2997="Open",F2997="Reopened"),1,0)</f>
        <v>0</v>
      </c>
      <c r="S2997" s="7" t="n">
        <f aca="false">IF(AND(H2997&gt;='Exec Summary'!$E$1,H2997&lt;='Exec Summary'!$E$2),1,0)</f>
        <v>1</v>
      </c>
      <c r="T2997" s="7" t="n">
        <f aca="false">IF(AND(F2997="Closed",I2997&lt;&gt;"",I2997&gt;='Exec Summary'!$E$1,I2997&lt;='Exec Summary'!$E$2),1,0)</f>
        <v>1</v>
      </c>
      <c r="U2997" s="7" t="n">
        <f aca="false">IF(F2997="Reopened",1,0)</f>
        <v>0</v>
      </c>
      <c r="V2997" s="7" t="n">
        <f aca="false">IF(AND(R2997=1,O2997&gt;Q2997),1,0)</f>
        <v>0</v>
      </c>
      <c r="W2997" s="7" t="n">
        <f aca="false">IF(AND(T2997=1,P2997&lt;&gt;"",P2997&lt;=Q2997),1,0)</f>
        <v>1</v>
      </c>
    </row>
    <row r="2998" customFormat="false" ht="15" hidden="false" customHeight="false" outlineLevel="0" collapsed="false">
      <c r="A2998" s="7" t="s">
        <v>3532</v>
      </c>
      <c r="B2998" s="7" t="s">
        <v>46</v>
      </c>
      <c r="C2998" s="7" t="s">
        <v>128</v>
      </c>
      <c r="D2998" s="7" t="s">
        <v>117</v>
      </c>
      <c r="E2998" s="7" t="s">
        <v>118</v>
      </c>
      <c r="F2998" s="7" t="s">
        <v>50</v>
      </c>
      <c r="G2998" s="7" t="s">
        <v>19</v>
      </c>
      <c r="H2998" s="9" t="n">
        <v>45942</v>
      </c>
      <c r="I2998" s="9" t="n">
        <v>45970</v>
      </c>
      <c r="J2998" s="7" t="n">
        <v>10</v>
      </c>
      <c r="K2998" s="7" t="s">
        <v>3340</v>
      </c>
      <c r="L2998" s="7" t="s">
        <v>21</v>
      </c>
      <c r="M2998" s="7" t="s">
        <v>3535</v>
      </c>
      <c r="N2998" s="7" t="s">
        <v>58</v>
      </c>
      <c r="O2998" s="10" t="n">
        <f aca="false">'Exec Summary'!$E$2-H2998</f>
        <v>292</v>
      </c>
      <c r="P2998" s="10" t="n">
        <f aca="false">IF(I2998="","",I2998-H2998)</f>
        <v>28</v>
      </c>
      <c r="Q2998" s="10" t="n">
        <f aca="false">VLOOKUP(G2998,$AA$2:$AB$5,2,FALSE())</f>
        <v>15</v>
      </c>
      <c r="R2998" s="7" t="n">
        <f aca="false">IF(OR(F2998="Open",F2998="Reopened"),1,0)</f>
        <v>0</v>
      </c>
      <c r="S2998" s="7" t="n">
        <f aca="false">IF(AND(H2998&gt;='Exec Summary'!$E$1,H2998&lt;='Exec Summary'!$E$2),1,0)</f>
        <v>0</v>
      </c>
      <c r="T2998" s="7" t="n">
        <f aca="false">IF(AND(F2998="Closed",I2998&lt;&gt;"",I2998&gt;='Exec Summary'!$E$1,I2998&lt;='Exec Summary'!$E$2),1,0)</f>
        <v>0</v>
      </c>
      <c r="U2998" s="7" t="n">
        <f aca="false">IF(F2998="Reopened",1,0)</f>
        <v>0</v>
      </c>
      <c r="V2998" s="7" t="n">
        <f aca="false">IF(AND(R2998=1,O2998&gt;Q2998),1,0)</f>
        <v>0</v>
      </c>
      <c r="W2998" s="7" t="n">
        <f aca="false">IF(AND(T2998=1,P2998&lt;&gt;"",P2998&lt;=Q2998),1,0)</f>
        <v>0</v>
      </c>
    </row>
    <row r="2999" customFormat="false" ht="15" hidden="false" customHeight="false" outlineLevel="0" collapsed="false">
      <c r="A2999" s="7" t="s">
        <v>3532</v>
      </c>
      <c r="B2999" s="7" t="s">
        <v>46</v>
      </c>
      <c r="C2999" s="7" t="s">
        <v>128</v>
      </c>
      <c r="D2999" s="7" t="s">
        <v>173</v>
      </c>
      <c r="E2999" s="7" t="s">
        <v>174</v>
      </c>
      <c r="F2999" s="7" t="s">
        <v>50</v>
      </c>
      <c r="G2999" s="7" t="s">
        <v>19</v>
      </c>
      <c r="H2999" s="9" t="n">
        <v>46209</v>
      </c>
      <c r="I2999" s="9" t="n">
        <v>46219</v>
      </c>
      <c r="J2999" s="7" t="n">
        <v>9.8</v>
      </c>
      <c r="K2999" s="7" t="s">
        <v>3340</v>
      </c>
      <c r="L2999" s="7" t="s">
        <v>21</v>
      </c>
      <c r="M2999" s="7" t="s">
        <v>3536</v>
      </c>
      <c r="N2999" s="7" t="s">
        <v>58</v>
      </c>
      <c r="O2999" s="10" t="n">
        <f aca="false">'Exec Summary'!$E$2-H2999</f>
        <v>25</v>
      </c>
      <c r="P2999" s="10" t="n">
        <f aca="false">IF(I2999="","",I2999-H2999)</f>
        <v>10</v>
      </c>
      <c r="Q2999" s="10" t="n">
        <f aca="false">VLOOKUP(G2999,$AA$2:$AB$5,2,FALSE())</f>
        <v>15</v>
      </c>
      <c r="R2999" s="7" t="n">
        <f aca="false">IF(OR(F2999="Open",F2999="Reopened"),1,0)</f>
        <v>0</v>
      </c>
      <c r="S2999" s="7" t="n">
        <f aca="false">IF(AND(H2999&gt;='Exec Summary'!$E$1,H2999&lt;='Exec Summary'!$E$2),1,0)</f>
        <v>1</v>
      </c>
      <c r="T2999" s="7" t="n">
        <f aca="false">IF(AND(F2999="Closed",I2999&lt;&gt;"",I2999&gt;='Exec Summary'!$E$1,I2999&lt;='Exec Summary'!$E$2),1,0)</f>
        <v>1</v>
      </c>
      <c r="U2999" s="7" t="n">
        <f aca="false">IF(F2999="Reopened",1,0)</f>
        <v>0</v>
      </c>
      <c r="V2999" s="7" t="n">
        <f aca="false">IF(AND(R2999=1,O2999&gt;Q2999),1,0)</f>
        <v>0</v>
      </c>
      <c r="W2999" s="7" t="n">
        <f aca="false">IF(AND(T2999=1,P2999&lt;&gt;"",P2999&lt;=Q2999),1,0)</f>
        <v>1</v>
      </c>
    </row>
    <row r="3000" customFormat="false" ht="15" hidden="false" customHeight="false" outlineLevel="0" collapsed="false">
      <c r="A3000" s="7" t="s">
        <v>3532</v>
      </c>
      <c r="B3000" s="7" t="s">
        <v>46</v>
      </c>
      <c r="C3000" s="7" t="s">
        <v>128</v>
      </c>
      <c r="D3000" s="7" t="s">
        <v>95</v>
      </c>
      <c r="E3000" s="7" t="s">
        <v>96</v>
      </c>
      <c r="F3000" s="7" t="s">
        <v>50</v>
      </c>
      <c r="G3000" s="7" t="s">
        <v>20</v>
      </c>
      <c r="H3000" s="9" t="n">
        <v>45972</v>
      </c>
      <c r="I3000" s="9" t="n">
        <v>46017</v>
      </c>
      <c r="J3000" s="7" t="n">
        <v>8.8</v>
      </c>
      <c r="K3000" s="7" t="s">
        <v>3340</v>
      </c>
      <c r="L3000" s="7" t="s">
        <v>21</v>
      </c>
      <c r="M3000" s="7" t="s">
        <v>3537</v>
      </c>
      <c r="N3000" s="7" t="s">
        <v>53</v>
      </c>
      <c r="O3000" s="10" t="n">
        <f aca="false">'Exec Summary'!$E$2-H3000</f>
        <v>262</v>
      </c>
      <c r="P3000" s="10" t="n">
        <f aca="false">IF(I3000="","",I3000-H3000)</f>
        <v>45</v>
      </c>
      <c r="Q3000" s="10" t="n">
        <f aca="false">VLOOKUP(G3000,$AA$2:$AB$5,2,FALSE())</f>
        <v>30</v>
      </c>
      <c r="R3000" s="7" t="n">
        <f aca="false">IF(OR(F3000="Open",F3000="Reopened"),1,0)</f>
        <v>0</v>
      </c>
      <c r="S3000" s="7" t="n">
        <f aca="false">IF(AND(H3000&gt;='Exec Summary'!$E$1,H3000&lt;='Exec Summary'!$E$2),1,0)</f>
        <v>0</v>
      </c>
      <c r="T3000" s="7" t="n">
        <f aca="false">IF(AND(F3000="Closed",I3000&lt;&gt;"",I3000&gt;='Exec Summary'!$E$1,I3000&lt;='Exec Summary'!$E$2),1,0)</f>
        <v>0</v>
      </c>
      <c r="U3000" s="7" t="n">
        <f aca="false">IF(F3000="Reopened",1,0)</f>
        <v>0</v>
      </c>
      <c r="V3000" s="7" t="n">
        <f aca="false">IF(AND(R3000=1,O3000&gt;Q3000),1,0)</f>
        <v>0</v>
      </c>
      <c r="W3000" s="7" t="n">
        <f aca="false">IF(AND(T3000=1,P3000&lt;&gt;"",P3000&lt;=Q3000),1,0)</f>
        <v>0</v>
      </c>
    </row>
    <row r="3001" customFormat="false" ht="15" hidden="false" customHeight="false" outlineLevel="0" collapsed="false">
      <c r="A3001" s="7" t="s">
        <v>3532</v>
      </c>
      <c r="B3001" s="7" t="s">
        <v>46</v>
      </c>
      <c r="C3001" s="7" t="s">
        <v>128</v>
      </c>
      <c r="D3001" s="7" t="s">
        <v>120</v>
      </c>
      <c r="E3001" s="7" t="s">
        <v>121</v>
      </c>
      <c r="F3001" s="7" t="s">
        <v>50</v>
      </c>
      <c r="G3001" s="7" t="s">
        <v>19</v>
      </c>
      <c r="H3001" s="9" t="n">
        <v>45978</v>
      </c>
      <c r="I3001" s="9" t="n">
        <v>45987</v>
      </c>
      <c r="J3001" s="7" t="n">
        <v>8.8</v>
      </c>
      <c r="K3001" s="7" t="s">
        <v>3340</v>
      </c>
      <c r="L3001" s="7" t="s">
        <v>21</v>
      </c>
      <c r="M3001" s="7" t="s">
        <v>3538</v>
      </c>
      <c r="N3001" s="7" t="s">
        <v>58</v>
      </c>
      <c r="O3001" s="10" t="n">
        <f aca="false">'Exec Summary'!$E$2-H3001</f>
        <v>256</v>
      </c>
      <c r="P3001" s="10" t="n">
        <f aca="false">IF(I3001="","",I3001-H3001)</f>
        <v>9</v>
      </c>
      <c r="Q3001" s="10" t="n">
        <f aca="false">VLOOKUP(G3001,$AA$2:$AB$5,2,FALSE())</f>
        <v>15</v>
      </c>
      <c r="R3001" s="7" t="n">
        <f aca="false">IF(OR(F3001="Open",F3001="Reopened"),1,0)</f>
        <v>0</v>
      </c>
      <c r="S3001" s="7" t="n">
        <f aca="false">IF(AND(H3001&gt;='Exec Summary'!$E$1,H3001&lt;='Exec Summary'!$E$2),1,0)</f>
        <v>0</v>
      </c>
      <c r="T3001" s="7" t="n">
        <f aca="false">IF(AND(F3001="Closed",I3001&lt;&gt;"",I3001&gt;='Exec Summary'!$E$1,I3001&lt;='Exec Summary'!$E$2),1,0)</f>
        <v>0</v>
      </c>
      <c r="U3001" s="7" t="n">
        <f aca="false">IF(F3001="Reopened",1,0)</f>
        <v>0</v>
      </c>
      <c r="V3001" s="7" t="n">
        <f aca="false">IF(AND(R3001=1,O3001&gt;Q3001),1,0)</f>
        <v>0</v>
      </c>
      <c r="W3001" s="7" t="n">
        <f aca="false">IF(AND(T3001=1,P3001&lt;&gt;"",P3001&lt;=Q3001),1,0)</f>
        <v>0</v>
      </c>
    </row>
    <row r="3002" customFormat="false" ht="15" hidden="false" customHeight="false" outlineLevel="0" collapsed="false">
      <c r="A3002" s="7" t="s">
        <v>3539</v>
      </c>
      <c r="B3002" s="7" t="s">
        <v>135</v>
      </c>
      <c r="C3002" s="7" t="s">
        <v>247</v>
      </c>
      <c r="D3002" s="7" t="s">
        <v>68</v>
      </c>
      <c r="E3002" s="7" t="s">
        <v>69</v>
      </c>
      <c r="F3002" s="7" t="s">
        <v>123</v>
      </c>
      <c r="G3002" s="7" t="s">
        <v>19</v>
      </c>
      <c r="H3002" s="9" t="n">
        <v>46139</v>
      </c>
      <c r="I3002" s="9" t="n">
        <v>46162</v>
      </c>
      <c r="J3002" s="7" t="n">
        <v>9.8</v>
      </c>
      <c r="K3002" s="7" t="s">
        <v>3340</v>
      </c>
      <c r="L3002" s="7" t="s">
        <v>21</v>
      </c>
      <c r="M3002" s="7" t="s">
        <v>3540</v>
      </c>
      <c r="N3002" s="7" t="s">
        <v>58</v>
      </c>
      <c r="O3002" s="10" t="n">
        <f aca="false">'Exec Summary'!$E$2-H3002</f>
        <v>95</v>
      </c>
      <c r="P3002" s="10" t="n">
        <f aca="false">IF(I3002="","",I3002-H3002)</f>
        <v>23</v>
      </c>
      <c r="Q3002" s="10" t="n">
        <f aca="false">VLOOKUP(G3002,$AA$2:$AB$5,2,FALSE())</f>
        <v>15</v>
      </c>
      <c r="R3002" s="7" t="n">
        <f aca="false">IF(OR(F3002="Open",F3002="Reopened"),1,0)</f>
        <v>1</v>
      </c>
      <c r="S3002" s="7" t="n">
        <f aca="false">IF(AND(H3002&gt;='Exec Summary'!$E$1,H3002&lt;='Exec Summary'!$E$2),1,0)</f>
        <v>0</v>
      </c>
      <c r="T3002" s="7" t="n">
        <f aca="false">IF(AND(F3002="Closed",I3002&lt;&gt;"",I3002&gt;='Exec Summary'!$E$1,I3002&lt;='Exec Summary'!$E$2),1,0)</f>
        <v>0</v>
      </c>
      <c r="U3002" s="7" t="n">
        <f aca="false">IF(F3002="Reopened",1,0)</f>
        <v>1</v>
      </c>
      <c r="V3002" s="7" t="n">
        <f aca="false">IF(AND(R3002=1,O3002&gt;Q3002),1,0)</f>
        <v>1</v>
      </c>
      <c r="W3002" s="7" t="n">
        <f aca="false">IF(AND(T3002=1,P3002&lt;&gt;"",P3002&lt;=Q3002),1,0)</f>
        <v>0</v>
      </c>
    </row>
    <row r="3003" customFormat="false" ht="15" hidden="false" customHeight="false" outlineLevel="0" collapsed="false">
      <c r="A3003" s="7" t="s">
        <v>3539</v>
      </c>
      <c r="B3003" s="7" t="s">
        <v>135</v>
      </c>
      <c r="C3003" s="7" t="s">
        <v>247</v>
      </c>
      <c r="D3003" s="7" t="s">
        <v>104</v>
      </c>
      <c r="E3003" s="7" t="s">
        <v>105</v>
      </c>
      <c r="F3003" s="7" t="s">
        <v>50</v>
      </c>
      <c r="G3003" s="7" t="s">
        <v>19</v>
      </c>
      <c r="H3003" s="9" t="n">
        <v>46099</v>
      </c>
      <c r="I3003" s="9" t="n">
        <v>46110</v>
      </c>
      <c r="J3003" s="7" t="n">
        <v>9.8</v>
      </c>
      <c r="K3003" s="7" t="s">
        <v>3340</v>
      </c>
      <c r="L3003" s="7" t="s">
        <v>21</v>
      </c>
      <c r="M3003" s="7" t="s">
        <v>3541</v>
      </c>
      <c r="N3003" s="7" t="s">
        <v>58</v>
      </c>
      <c r="O3003" s="10" t="n">
        <f aca="false">'Exec Summary'!$E$2-H3003</f>
        <v>135</v>
      </c>
      <c r="P3003" s="10" t="n">
        <f aca="false">IF(I3003="","",I3003-H3003)</f>
        <v>11</v>
      </c>
      <c r="Q3003" s="10" t="n">
        <f aca="false">VLOOKUP(G3003,$AA$2:$AB$5,2,FALSE())</f>
        <v>15</v>
      </c>
      <c r="R3003" s="7" t="n">
        <f aca="false">IF(OR(F3003="Open",F3003="Reopened"),1,0)</f>
        <v>0</v>
      </c>
      <c r="S3003" s="7" t="n">
        <f aca="false">IF(AND(H3003&gt;='Exec Summary'!$E$1,H3003&lt;='Exec Summary'!$E$2),1,0)</f>
        <v>0</v>
      </c>
      <c r="T3003" s="7" t="n">
        <f aca="false">IF(AND(F3003="Closed",I3003&lt;&gt;"",I3003&gt;='Exec Summary'!$E$1,I3003&lt;='Exec Summary'!$E$2),1,0)</f>
        <v>0</v>
      </c>
      <c r="U3003" s="7" t="n">
        <f aca="false">IF(F3003="Reopened",1,0)</f>
        <v>0</v>
      </c>
      <c r="V3003" s="7" t="n">
        <f aca="false">IF(AND(R3003=1,O3003&gt;Q3003),1,0)</f>
        <v>0</v>
      </c>
      <c r="W3003" s="7" t="n">
        <f aca="false">IF(AND(T3003=1,P3003&lt;&gt;"",P3003&lt;=Q3003),1,0)</f>
        <v>0</v>
      </c>
    </row>
    <row r="3004" customFormat="false" ht="15" hidden="false" customHeight="false" outlineLevel="0" collapsed="false">
      <c r="A3004" s="7" t="s">
        <v>3539</v>
      </c>
      <c r="B3004" s="7" t="s">
        <v>135</v>
      </c>
      <c r="C3004" s="7" t="s">
        <v>247</v>
      </c>
      <c r="D3004" s="7" t="s">
        <v>163</v>
      </c>
      <c r="E3004" s="7" t="s">
        <v>164</v>
      </c>
      <c r="F3004" s="7" t="s">
        <v>50</v>
      </c>
      <c r="G3004" s="7" t="s">
        <v>19</v>
      </c>
      <c r="H3004" s="9" t="n">
        <v>46101</v>
      </c>
      <c r="I3004" s="9" t="n">
        <v>46109</v>
      </c>
      <c r="J3004" s="7" t="n">
        <v>9.1</v>
      </c>
      <c r="K3004" s="7" t="s">
        <v>3340</v>
      </c>
      <c r="L3004" s="7" t="s">
        <v>21</v>
      </c>
      <c r="M3004" s="7" t="s">
        <v>3542</v>
      </c>
      <c r="N3004" s="7" t="s">
        <v>58</v>
      </c>
      <c r="O3004" s="10" t="n">
        <f aca="false">'Exec Summary'!$E$2-H3004</f>
        <v>133</v>
      </c>
      <c r="P3004" s="10" t="n">
        <f aca="false">IF(I3004="","",I3004-H3004)</f>
        <v>8</v>
      </c>
      <c r="Q3004" s="10" t="n">
        <f aca="false">VLOOKUP(G3004,$AA$2:$AB$5,2,FALSE())</f>
        <v>15</v>
      </c>
      <c r="R3004" s="7" t="n">
        <f aca="false">IF(OR(F3004="Open",F3004="Reopened"),1,0)</f>
        <v>0</v>
      </c>
      <c r="S3004" s="7" t="n">
        <f aca="false">IF(AND(H3004&gt;='Exec Summary'!$E$1,H3004&lt;='Exec Summary'!$E$2),1,0)</f>
        <v>0</v>
      </c>
      <c r="T3004" s="7" t="n">
        <f aca="false">IF(AND(F3004="Closed",I3004&lt;&gt;"",I3004&gt;='Exec Summary'!$E$1,I3004&lt;='Exec Summary'!$E$2),1,0)</f>
        <v>0</v>
      </c>
      <c r="U3004" s="7" t="n">
        <f aca="false">IF(F3004="Reopened",1,0)</f>
        <v>0</v>
      </c>
      <c r="V3004" s="7" t="n">
        <f aca="false">IF(AND(R3004=1,O3004&gt;Q3004),1,0)</f>
        <v>0</v>
      </c>
      <c r="W3004" s="7" t="n">
        <f aca="false">IF(AND(T3004=1,P3004&lt;&gt;"",P3004&lt;=Q3004),1,0)</f>
        <v>0</v>
      </c>
    </row>
    <row r="3005" customFormat="false" ht="15" hidden="false" customHeight="false" outlineLevel="0" collapsed="false">
      <c r="A3005" s="7" t="s">
        <v>3539</v>
      </c>
      <c r="B3005" s="7" t="s">
        <v>135</v>
      </c>
      <c r="C3005" s="7" t="s">
        <v>247</v>
      </c>
      <c r="D3005" s="7" t="s">
        <v>84</v>
      </c>
      <c r="E3005" s="7" t="s">
        <v>85</v>
      </c>
      <c r="F3005" s="7" t="s">
        <v>50</v>
      </c>
      <c r="G3005" s="7" t="s">
        <v>20</v>
      </c>
      <c r="H3005" s="9" t="n">
        <v>46012</v>
      </c>
      <c r="I3005" s="9" t="n">
        <v>46027</v>
      </c>
      <c r="J3005" s="7" t="n">
        <v>7.5</v>
      </c>
      <c r="K3005" s="7" t="s">
        <v>3340</v>
      </c>
      <c r="L3005" s="7" t="s">
        <v>21</v>
      </c>
      <c r="M3005" s="7" t="s">
        <v>3543</v>
      </c>
      <c r="N3005" s="7" t="s">
        <v>53</v>
      </c>
      <c r="O3005" s="10" t="n">
        <f aca="false">'Exec Summary'!$E$2-H3005</f>
        <v>222</v>
      </c>
      <c r="P3005" s="10" t="n">
        <f aca="false">IF(I3005="","",I3005-H3005)</f>
        <v>15</v>
      </c>
      <c r="Q3005" s="10" t="n">
        <f aca="false">VLOOKUP(G3005,$AA$2:$AB$5,2,FALSE())</f>
        <v>30</v>
      </c>
      <c r="R3005" s="7" t="n">
        <f aca="false">IF(OR(F3005="Open",F3005="Reopened"),1,0)</f>
        <v>0</v>
      </c>
      <c r="S3005" s="7" t="n">
        <f aca="false">IF(AND(H3005&gt;='Exec Summary'!$E$1,H3005&lt;='Exec Summary'!$E$2),1,0)</f>
        <v>0</v>
      </c>
      <c r="T3005" s="7" t="n">
        <f aca="false">IF(AND(F3005="Closed",I3005&lt;&gt;"",I3005&gt;='Exec Summary'!$E$1,I3005&lt;='Exec Summary'!$E$2),1,0)</f>
        <v>0</v>
      </c>
      <c r="U3005" s="7" t="n">
        <f aca="false">IF(F3005="Reopened",1,0)</f>
        <v>0</v>
      </c>
      <c r="V3005" s="7" t="n">
        <f aca="false">IF(AND(R3005=1,O3005&gt;Q3005),1,0)</f>
        <v>0</v>
      </c>
      <c r="W3005" s="7" t="n">
        <f aca="false">IF(AND(T3005=1,P3005&lt;&gt;"",P3005&lt;=Q3005),1,0)</f>
        <v>0</v>
      </c>
    </row>
    <row r="3006" customFormat="false" ht="15" hidden="false" customHeight="false" outlineLevel="0" collapsed="false">
      <c r="A3006" s="7" t="s">
        <v>3539</v>
      </c>
      <c r="B3006" s="7" t="s">
        <v>135</v>
      </c>
      <c r="C3006" s="7" t="s">
        <v>247</v>
      </c>
      <c r="D3006" s="7" t="s">
        <v>48</v>
      </c>
      <c r="E3006" s="7" t="s">
        <v>49</v>
      </c>
      <c r="F3006" s="7" t="s">
        <v>123</v>
      </c>
      <c r="G3006" s="7" t="s">
        <v>20</v>
      </c>
      <c r="H3006" s="9" t="n">
        <v>46026</v>
      </c>
      <c r="I3006" s="9" t="n">
        <v>46027</v>
      </c>
      <c r="J3006" s="7" t="n">
        <v>7.5</v>
      </c>
      <c r="K3006" s="7" t="s">
        <v>3340</v>
      </c>
      <c r="L3006" s="7" t="s">
        <v>21</v>
      </c>
      <c r="M3006" s="7" t="s">
        <v>3544</v>
      </c>
      <c r="N3006" s="7" t="s">
        <v>53</v>
      </c>
      <c r="O3006" s="10" t="n">
        <f aca="false">'Exec Summary'!$E$2-H3006</f>
        <v>208</v>
      </c>
      <c r="P3006" s="10" t="n">
        <f aca="false">IF(I3006="","",I3006-H3006)</f>
        <v>1</v>
      </c>
      <c r="Q3006" s="10" t="n">
        <f aca="false">VLOOKUP(G3006,$AA$2:$AB$5,2,FALSE())</f>
        <v>30</v>
      </c>
      <c r="R3006" s="7" t="n">
        <f aca="false">IF(OR(F3006="Open",F3006="Reopened"),1,0)</f>
        <v>1</v>
      </c>
      <c r="S3006" s="7" t="n">
        <f aca="false">IF(AND(H3006&gt;='Exec Summary'!$E$1,H3006&lt;='Exec Summary'!$E$2),1,0)</f>
        <v>0</v>
      </c>
      <c r="T3006" s="7" t="n">
        <f aca="false">IF(AND(F3006="Closed",I3006&lt;&gt;"",I3006&gt;='Exec Summary'!$E$1,I3006&lt;='Exec Summary'!$E$2),1,0)</f>
        <v>0</v>
      </c>
      <c r="U3006" s="7" t="n">
        <f aca="false">IF(F3006="Reopened",1,0)</f>
        <v>1</v>
      </c>
      <c r="V3006" s="7" t="n">
        <f aca="false">IF(AND(R3006=1,O3006&gt;Q3006),1,0)</f>
        <v>1</v>
      </c>
      <c r="W3006" s="7" t="n">
        <f aca="false">IF(AND(T3006=1,P3006&lt;&gt;"",P3006&lt;=Q3006),1,0)</f>
        <v>0</v>
      </c>
    </row>
    <row r="3007" customFormat="false" ht="15" hidden="false" customHeight="false" outlineLevel="0" collapsed="false">
      <c r="A3007" s="7" t="s">
        <v>3539</v>
      </c>
      <c r="B3007" s="7" t="s">
        <v>135</v>
      </c>
      <c r="C3007" s="7" t="s">
        <v>247</v>
      </c>
      <c r="D3007" s="7" t="s">
        <v>210</v>
      </c>
      <c r="E3007" s="7" t="s">
        <v>211</v>
      </c>
      <c r="F3007" s="7" t="s">
        <v>123</v>
      </c>
      <c r="G3007" s="7" t="s">
        <v>19</v>
      </c>
      <c r="H3007" s="9" t="n">
        <v>46210</v>
      </c>
      <c r="I3007" s="9" t="n">
        <v>46217</v>
      </c>
      <c r="J3007" s="7" t="n">
        <v>9.8</v>
      </c>
      <c r="K3007" s="7" t="s">
        <v>3340</v>
      </c>
      <c r="L3007" s="7" t="s">
        <v>21</v>
      </c>
      <c r="M3007" s="7" t="s">
        <v>3545</v>
      </c>
      <c r="N3007" s="7" t="s">
        <v>58</v>
      </c>
      <c r="O3007" s="10" t="n">
        <f aca="false">'Exec Summary'!$E$2-H3007</f>
        <v>24</v>
      </c>
      <c r="P3007" s="10" t="n">
        <f aca="false">IF(I3007="","",I3007-H3007)</f>
        <v>7</v>
      </c>
      <c r="Q3007" s="10" t="n">
        <f aca="false">VLOOKUP(G3007,$AA$2:$AB$5,2,FALSE())</f>
        <v>15</v>
      </c>
      <c r="R3007" s="7" t="n">
        <f aca="false">IF(OR(F3007="Open",F3007="Reopened"),1,0)</f>
        <v>1</v>
      </c>
      <c r="S3007" s="7" t="n">
        <f aca="false">IF(AND(H3007&gt;='Exec Summary'!$E$1,H3007&lt;='Exec Summary'!$E$2),1,0)</f>
        <v>1</v>
      </c>
      <c r="T3007" s="7" t="n">
        <f aca="false">IF(AND(F3007="Closed",I3007&lt;&gt;"",I3007&gt;='Exec Summary'!$E$1,I3007&lt;='Exec Summary'!$E$2),1,0)</f>
        <v>0</v>
      </c>
      <c r="U3007" s="7" t="n">
        <f aca="false">IF(F3007="Reopened",1,0)</f>
        <v>1</v>
      </c>
      <c r="V3007" s="7" t="n">
        <f aca="false">IF(AND(R3007=1,O3007&gt;Q3007),1,0)</f>
        <v>1</v>
      </c>
      <c r="W3007" s="7" t="n">
        <f aca="false">IF(AND(T3007=1,P3007&lt;&gt;"",P3007&lt;=Q3007),1,0)</f>
        <v>0</v>
      </c>
    </row>
    <row r="3008" customFormat="false" ht="15" hidden="false" customHeight="false" outlineLevel="0" collapsed="false">
      <c r="A3008" s="7" t="s">
        <v>3539</v>
      </c>
      <c r="B3008" s="7" t="s">
        <v>135</v>
      </c>
      <c r="C3008" s="7" t="s">
        <v>247</v>
      </c>
      <c r="D3008" s="7" t="s">
        <v>71</v>
      </c>
      <c r="E3008" s="7" t="s">
        <v>72</v>
      </c>
      <c r="F3008" s="7" t="s">
        <v>56</v>
      </c>
      <c r="G3008" s="7" t="s">
        <v>19</v>
      </c>
      <c r="H3008" s="9" t="n">
        <v>46051</v>
      </c>
      <c r="I3008" s="9"/>
      <c r="J3008" s="7" t="n">
        <v>9.8</v>
      </c>
      <c r="K3008" s="7" t="s">
        <v>3340</v>
      </c>
      <c r="L3008" s="7" t="s">
        <v>21</v>
      </c>
      <c r="M3008" s="7" t="s">
        <v>3546</v>
      </c>
      <c r="N3008" s="7" t="s">
        <v>58</v>
      </c>
      <c r="O3008" s="10" t="n">
        <f aca="false">'Exec Summary'!$E$2-H3008</f>
        <v>183</v>
      </c>
      <c r="P3008" s="10" t="str">
        <f aca="false">IF(I3008="","",I3008-H3008)</f>
        <v/>
      </c>
      <c r="Q3008" s="10" t="n">
        <f aca="false">VLOOKUP(G3008,$AA$2:$AB$5,2,FALSE())</f>
        <v>15</v>
      </c>
      <c r="R3008" s="7" t="n">
        <f aca="false">IF(OR(F3008="Open",F3008="Reopened"),1,0)</f>
        <v>1</v>
      </c>
      <c r="S3008" s="7" t="n">
        <f aca="false">IF(AND(H3008&gt;='Exec Summary'!$E$1,H3008&lt;='Exec Summary'!$E$2),1,0)</f>
        <v>0</v>
      </c>
      <c r="T3008" s="7" t="n">
        <f aca="false">IF(AND(F3008="Closed",I3008&lt;&gt;"",I3008&gt;='Exec Summary'!$E$1,I3008&lt;='Exec Summary'!$E$2),1,0)</f>
        <v>0</v>
      </c>
      <c r="U3008" s="7" t="n">
        <f aca="false">IF(F3008="Reopened",1,0)</f>
        <v>0</v>
      </c>
      <c r="V3008" s="7" t="n">
        <f aca="false">IF(AND(R3008=1,O3008&gt;Q3008),1,0)</f>
        <v>1</v>
      </c>
      <c r="W3008" s="7" t="n">
        <f aca="false">IF(AND(T3008=1,P3008&lt;&gt;"",P3008&lt;=Q3008),1,0)</f>
        <v>0</v>
      </c>
    </row>
    <row r="3009" customFormat="false" ht="15" hidden="false" customHeight="false" outlineLevel="0" collapsed="false">
      <c r="A3009" s="7" t="s">
        <v>3539</v>
      </c>
      <c r="B3009" s="7" t="s">
        <v>135</v>
      </c>
      <c r="C3009" s="7" t="s">
        <v>247</v>
      </c>
      <c r="D3009" s="7" t="s">
        <v>81</v>
      </c>
      <c r="E3009" s="7" t="s">
        <v>82</v>
      </c>
      <c r="F3009" s="7" t="s">
        <v>50</v>
      </c>
      <c r="G3009" s="7" t="s">
        <v>20</v>
      </c>
      <c r="H3009" s="9" t="n">
        <v>46089</v>
      </c>
      <c r="I3009" s="9" t="n">
        <v>46121</v>
      </c>
      <c r="J3009" s="7" t="n">
        <v>7.8</v>
      </c>
      <c r="K3009" s="7" t="s">
        <v>3340</v>
      </c>
      <c r="L3009" s="7" t="s">
        <v>21</v>
      </c>
      <c r="M3009" s="7" t="s">
        <v>3547</v>
      </c>
      <c r="N3009" s="7" t="s">
        <v>53</v>
      </c>
      <c r="O3009" s="10" t="n">
        <f aca="false">'Exec Summary'!$E$2-H3009</f>
        <v>145</v>
      </c>
      <c r="P3009" s="10" t="n">
        <f aca="false">IF(I3009="","",I3009-H3009)</f>
        <v>32</v>
      </c>
      <c r="Q3009" s="10" t="n">
        <f aca="false">VLOOKUP(G3009,$AA$2:$AB$5,2,FALSE())</f>
        <v>30</v>
      </c>
      <c r="R3009" s="7" t="n">
        <f aca="false">IF(OR(F3009="Open",F3009="Reopened"),1,0)</f>
        <v>0</v>
      </c>
      <c r="S3009" s="7" t="n">
        <f aca="false">IF(AND(H3009&gt;='Exec Summary'!$E$1,H3009&lt;='Exec Summary'!$E$2),1,0)</f>
        <v>0</v>
      </c>
      <c r="T3009" s="7" t="n">
        <f aca="false">IF(AND(F3009="Closed",I3009&lt;&gt;"",I3009&gt;='Exec Summary'!$E$1,I3009&lt;='Exec Summary'!$E$2),1,0)</f>
        <v>0</v>
      </c>
      <c r="U3009" s="7" t="n">
        <f aca="false">IF(F3009="Reopened",1,0)</f>
        <v>0</v>
      </c>
      <c r="V3009" s="7" t="n">
        <f aca="false">IF(AND(R3009=1,O3009&gt;Q3009),1,0)</f>
        <v>0</v>
      </c>
      <c r="W3009" s="7" t="n">
        <f aca="false">IF(AND(T3009=1,P3009&lt;&gt;"",P3009&lt;=Q3009),1,0)</f>
        <v>0</v>
      </c>
    </row>
    <row r="3010" customFormat="false" ht="15" hidden="false" customHeight="false" outlineLevel="0" collapsed="false">
      <c r="A3010" s="7" t="s">
        <v>3539</v>
      </c>
      <c r="B3010" s="7" t="s">
        <v>135</v>
      </c>
      <c r="C3010" s="7" t="s">
        <v>247</v>
      </c>
      <c r="D3010" s="7" t="s">
        <v>112</v>
      </c>
      <c r="E3010" s="7" t="s">
        <v>113</v>
      </c>
      <c r="F3010" s="7" t="s">
        <v>50</v>
      </c>
      <c r="G3010" s="7" t="s">
        <v>20</v>
      </c>
      <c r="H3010" s="9" t="n">
        <v>45947</v>
      </c>
      <c r="I3010" s="9" t="n">
        <v>45968</v>
      </c>
      <c r="J3010" s="7" t="n">
        <v>7.8</v>
      </c>
      <c r="K3010" s="7" t="s">
        <v>3340</v>
      </c>
      <c r="L3010" s="7" t="s">
        <v>21</v>
      </c>
      <c r="M3010" s="7" t="s">
        <v>3548</v>
      </c>
      <c r="N3010" s="7" t="s">
        <v>53</v>
      </c>
      <c r="O3010" s="10" t="n">
        <f aca="false">'Exec Summary'!$E$2-H3010</f>
        <v>287</v>
      </c>
      <c r="P3010" s="10" t="n">
        <f aca="false">IF(I3010="","",I3010-H3010)</f>
        <v>21</v>
      </c>
      <c r="Q3010" s="10" t="n">
        <f aca="false">VLOOKUP(G3010,$AA$2:$AB$5,2,FALSE())</f>
        <v>30</v>
      </c>
      <c r="R3010" s="7" t="n">
        <f aca="false">IF(OR(F3010="Open",F3010="Reopened"),1,0)</f>
        <v>0</v>
      </c>
      <c r="S3010" s="7" t="n">
        <f aca="false">IF(AND(H3010&gt;='Exec Summary'!$E$1,H3010&lt;='Exec Summary'!$E$2),1,0)</f>
        <v>0</v>
      </c>
      <c r="T3010" s="7" t="n">
        <f aca="false">IF(AND(F3010="Closed",I3010&lt;&gt;"",I3010&gt;='Exec Summary'!$E$1,I3010&lt;='Exec Summary'!$E$2),1,0)</f>
        <v>0</v>
      </c>
      <c r="U3010" s="7" t="n">
        <f aca="false">IF(F3010="Reopened",1,0)</f>
        <v>0</v>
      </c>
      <c r="V3010" s="7" t="n">
        <f aca="false">IF(AND(R3010=1,O3010&gt;Q3010),1,0)</f>
        <v>0</v>
      </c>
      <c r="W3010" s="7" t="n">
        <f aca="false">IF(AND(T3010=1,P3010&lt;&gt;"",P3010&lt;=Q3010),1,0)</f>
        <v>0</v>
      </c>
    </row>
    <row r="3011" customFormat="false" ht="15" hidden="false" customHeight="false" outlineLevel="0" collapsed="false">
      <c r="A3011" s="7" t="s">
        <v>3539</v>
      </c>
      <c r="B3011" s="7" t="s">
        <v>135</v>
      </c>
      <c r="C3011" s="7" t="s">
        <v>247</v>
      </c>
      <c r="D3011" s="7" t="s">
        <v>108</v>
      </c>
      <c r="E3011" s="7" t="s">
        <v>109</v>
      </c>
      <c r="F3011" s="7" t="s">
        <v>56</v>
      </c>
      <c r="G3011" s="7" t="s">
        <v>20</v>
      </c>
      <c r="H3011" s="9" t="n">
        <v>45997</v>
      </c>
      <c r="I3011" s="9"/>
      <c r="J3011" s="7" t="n">
        <v>8.6</v>
      </c>
      <c r="K3011" s="7" t="s">
        <v>3340</v>
      </c>
      <c r="L3011" s="7" t="s">
        <v>21</v>
      </c>
      <c r="M3011" s="7" t="s">
        <v>3549</v>
      </c>
      <c r="N3011" s="7" t="s">
        <v>53</v>
      </c>
      <c r="O3011" s="10" t="n">
        <f aca="false">'Exec Summary'!$E$2-H3011</f>
        <v>237</v>
      </c>
      <c r="P3011" s="10" t="str">
        <f aca="false">IF(I3011="","",I3011-H3011)</f>
        <v/>
      </c>
      <c r="Q3011" s="10" t="n">
        <f aca="false">VLOOKUP(G3011,$AA$2:$AB$5,2,FALSE())</f>
        <v>30</v>
      </c>
      <c r="R3011" s="7" t="n">
        <f aca="false">IF(OR(F3011="Open",F3011="Reopened"),1,0)</f>
        <v>1</v>
      </c>
      <c r="S3011" s="7" t="n">
        <f aca="false">IF(AND(H3011&gt;='Exec Summary'!$E$1,H3011&lt;='Exec Summary'!$E$2),1,0)</f>
        <v>0</v>
      </c>
      <c r="T3011" s="7" t="n">
        <f aca="false">IF(AND(F3011="Closed",I3011&lt;&gt;"",I3011&gt;='Exec Summary'!$E$1,I3011&lt;='Exec Summary'!$E$2),1,0)</f>
        <v>0</v>
      </c>
      <c r="U3011" s="7" t="n">
        <f aca="false">IF(F3011="Reopened",1,0)</f>
        <v>0</v>
      </c>
      <c r="V3011" s="7" t="n">
        <f aca="false">IF(AND(R3011=1,O3011&gt;Q3011),1,0)</f>
        <v>1</v>
      </c>
      <c r="W3011" s="7" t="n">
        <f aca="false">IF(AND(T3011=1,P3011&lt;&gt;"",P3011&lt;=Q3011),1,0)</f>
        <v>0</v>
      </c>
    </row>
    <row r="3012" customFormat="false" ht="15" hidden="false" customHeight="false" outlineLevel="0" collapsed="false">
      <c r="A3012" s="7" t="s">
        <v>3539</v>
      </c>
      <c r="B3012" s="7" t="s">
        <v>135</v>
      </c>
      <c r="C3012" s="7" t="s">
        <v>247</v>
      </c>
      <c r="D3012" s="7" t="s">
        <v>62</v>
      </c>
      <c r="E3012" s="7" t="s">
        <v>63</v>
      </c>
      <c r="F3012" s="7" t="s">
        <v>50</v>
      </c>
      <c r="G3012" s="7" t="s">
        <v>20</v>
      </c>
      <c r="H3012" s="9" t="n">
        <v>45947</v>
      </c>
      <c r="I3012" s="9" t="n">
        <v>45968</v>
      </c>
      <c r="J3012" s="7" t="n">
        <v>8.1</v>
      </c>
      <c r="K3012" s="7" t="s">
        <v>3340</v>
      </c>
      <c r="L3012" s="7" t="s">
        <v>21</v>
      </c>
      <c r="M3012" s="7" t="s">
        <v>3550</v>
      </c>
      <c r="N3012" s="7" t="s">
        <v>53</v>
      </c>
      <c r="O3012" s="10" t="n">
        <f aca="false">'Exec Summary'!$E$2-H3012</f>
        <v>287</v>
      </c>
      <c r="P3012" s="10" t="n">
        <f aca="false">IF(I3012="","",I3012-H3012)</f>
        <v>21</v>
      </c>
      <c r="Q3012" s="10" t="n">
        <f aca="false">VLOOKUP(G3012,$AA$2:$AB$5,2,FALSE())</f>
        <v>30</v>
      </c>
      <c r="R3012" s="7" t="n">
        <f aca="false">IF(OR(F3012="Open",F3012="Reopened"),1,0)</f>
        <v>0</v>
      </c>
      <c r="S3012" s="7" t="n">
        <f aca="false">IF(AND(H3012&gt;='Exec Summary'!$E$1,H3012&lt;='Exec Summary'!$E$2),1,0)</f>
        <v>0</v>
      </c>
      <c r="T3012" s="7" t="n">
        <f aca="false">IF(AND(F3012="Closed",I3012&lt;&gt;"",I3012&gt;='Exec Summary'!$E$1,I3012&lt;='Exec Summary'!$E$2),1,0)</f>
        <v>0</v>
      </c>
      <c r="U3012" s="7" t="n">
        <f aca="false">IF(F3012="Reopened",1,0)</f>
        <v>0</v>
      </c>
      <c r="V3012" s="7" t="n">
        <f aca="false">IF(AND(R3012=1,O3012&gt;Q3012),1,0)</f>
        <v>0</v>
      </c>
      <c r="W3012" s="7" t="n">
        <f aca="false">IF(AND(T3012=1,P3012&lt;&gt;"",P3012&lt;=Q3012),1,0)</f>
        <v>0</v>
      </c>
    </row>
    <row r="3013" customFormat="false" ht="15" hidden="false" customHeight="false" outlineLevel="0" collapsed="false">
      <c r="A3013" s="7" t="s">
        <v>3539</v>
      </c>
      <c r="B3013" s="7" t="s">
        <v>135</v>
      </c>
      <c r="C3013" s="7" t="s">
        <v>247</v>
      </c>
      <c r="D3013" s="7" t="s">
        <v>101</v>
      </c>
      <c r="E3013" s="7" t="s">
        <v>102</v>
      </c>
      <c r="F3013" s="7" t="s">
        <v>50</v>
      </c>
      <c r="G3013" s="7" t="s">
        <v>19</v>
      </c>
      <c r="H3013" s="9" t="n">
        <v>46158</v>
      </c>
      <c r="I3013" s="9" t="n">
        <v>46159</v>
      </c>
      <c r="J3013" s="7" t="n">
        <v>10</v>
      </c>
      <c r="K3013" s="7" t="s">
        <v>3340</v>
      </c>
      <c r="L3013" s="7" t="s">
        <v>21</v>
      </c>
      <c r="M3013" s="7" t="s">
        <v>3551</v>
      </c>
      <c r="N3013" s="7" t="s">
        <v>58</v>
      </c>
      <c r="O3013" s="10" t="n">
        <f aca="false">'Exec Summary'!$E$2-H3013</f>
        <v>76</v>
      </c>
      <c r="P3013" s="10" t="n">
        <f aca="false">IF(I3013="","",I3013-H3013)</f>
        <v>1</v>
      </c>
      <c r="Q3013" s="10" t="n">
        <f aca="false">VLOOKUP(G3013,$AA$2:$AB$5,2,FALSE())</f>
        <v>15</v>
      </c>
      <c r="R3013" s="7" t="n">
        <f aca="false">IF(OR(F3013="Open",F3013="Reopened"),1,0)</f>
        <v>0</v>
      </c>
      <c r="S3013" s="7" t="n">
        <f aca="false">IF(AND(H3013&gt;='Exec Summary'!$E$1,H3013&lt;='Exec Summary'!$E$2),1,0)</f>
        <v>0</v>
      </c>
      <c r="T3013" s="7" t="n">
        <f aca="false">IF(AND(F3013="Closed",I3013&lt;&gt;"",I3013&gt;='Exec Summary'!$E$1,I3013&lt;='Exec Summary'!$E$2),1,0)</f>
        <v>0</v>
      </c>
      <c r="U3013" s="7" t="n">
        <f aca="false">IF(F3013="Reopened",1,0)</f>
        <v>0</v>
      </c>
      <c r="V3013" s="7" t="n">
        <f aca="false">IF(AND(R3013=1,O3013&gt;Q3013),1,0)</f>
        <v>0</v>
      </c>
      <c r="W3013" s="7" t="n">
        <f aca="false">IF(AND(T3013=1,P3013&lt;&gt;"",P3013&lt;=Q3013),1,0)</f>
        <v>0</v>
      </c>
    </row>
    <row r="3014" customFormat="false" ht="15" hidden="false" customHeight="false" outlineLevel="0" collapsed="false">
      <c r="A3014" s="7" t="s">
        <v>3552</v>
      </c>
      <c r="B3014" s="7" t="s">
        <v>46</v>
      </c>
      <c r="C3014" s="7" t="s">
        <v>158</v>
      </c>
      <c r="D3014" s="7" t="s">
        <v>98</v>
      </c>
      <c r="E3014" s="7" t="s">
        <v>99</v>
      </c>
      <c r="F3014" s="7" t="s">
        <v>123</v>
      </c>
      <c r="G3014" s="7" t="s">
        <v>19</v>
      </c>
      <c r="H3014" s="9" t="n">
        <v>46118</v>
      </c>
      <c r="I3014" s="9" t="n">
        <v>46119</v>
      </c>
      <c r="J3014" s="7" t="n">
        <v>10</v>
      </c>
      <c r="K3014" s="7" t="s">
        <v>3340</v>
      </c>
      <c r="L3014" s="7" t="s">
        <v>21</v>
      </c>
      <c r="M3014" s="7" t="s">
        <v>3553</v>
      </c>
      <c r="N3014" s="7" t="s">
        <v>58</v>
      </c>
      <c r="O3014" s="10" t="n">
        <f aca="false">'Exec Summary'!$E$2-H3014</f>
        <v>116</v>
      </c>
      <c r="P3014" s="10" t="n">
        <f aca="false">IF(I3014="","",I3014-H3014)</f>
        <v>1</v>
      </c>
      <c r="Q3014" s="10" t="n">
        <f aca="false">VLOOKUP(G3014,$AA$2:$AB$5,2,FALSE())</f>
        <v>15</v>
      </c>
      <c r="R3014" s="7" t="n">
        <f aca="false">IF(OR(F3014="Open",F3014="Reopened"),1,0)</f>
        <v>1</v>
      </c>
      <c r="S3014" s="7" t="n">
        <f aca="false">IF(AND(H3014&gt;='Exec Summary'!$E$1,H3014&lt;='Exec Summary'!$E$2),1,0)</f>
        <v>0</v>
      </c>
      <c r="T3014" s="7" t="n">
        <f aca="false">IF(AND(F3014="Closed",I3014&lt;&gt;"",I3014&gt;='Exec Summary'!$E$1,I3014&lt;='Exec Summary'!$E$2),1,0)</f>
        <v>0</v>
      </c>
      <c r="U3014" s="7" t="n">
        <f aca="false">IF(F3014="Reopened",1,0)</f>
        <v>1</v>
      </c>
      <c r="V3014" s="7" t="n">
        <f aca="false">IF(AND(R3014=1,O3014&gt;Q3014),1,0)</f>
        <v>1</v>
      </c>
      <c r="W3014" s="7" t="n">
        <f aca="false">IF(AND(T3014=1,P3014&lt;&gt;"",P3014&lt;=Q3014),1,0)</f>
        <v>0</v>
      </c>
    </row>
    <row r="3015" customFormat="false" ht="15" hidden="false" customHeight="false" outlineLevel="0" collapsed="false">
      <c r="A3015" s="7" t="s">
        <v>3552</v>
      </c>
      <c r="B3015" s="7" t="s">
        <v>46</v>
      </c>
      <c r="C3015" s="7" t="s">
        <v>158</v>
      </c>
      <c r="D3015" s="7" t="s">
        <v>131</v>
      </c>
      <c r="E3015" s="7" t="s">
        <v>132</v>
      </c>
      <c r="F3015" s="7" t="s">
        <v>50</v>
      </c>
      <c r="G3015" s="7" t="s">
        <v>19</v>
      </c>
      <c r="H3015" s="9" t="n">
        <v>46149</v>
      </c>
      <c r="I3015" s="9" t="n">
        <v>46159</v>
      </c>
      <c r="J3015" s="7" t="n">
        <v>9.8</v>
      </c>
      <c r="K3015" s="7" t="s">
        <v>3340</v>
      </c>
      <c r="L3015" s="7" t="s">
        <v>21</v>
      </c>
      <c r="M3015" s="7" t="s">
        <v>3554</v>
      </c>
      <c r="N3015" s="7" t="s">
        <v>58</v>
      </c>
      <c r="O3015" s="10" t="n">
        <f aca="false">'Exec Summary'!$E$2-H3015</f>
        <v>85</v>
      </c>
      <c r="P3015" s="10" t="n">
        <f aca="false">IF(I3015="","",I3015-H3015)</f>
        <v>10</v>
      </c>
      <c r="Q3015" s="10" t="n">
        <f aca="false">VLOOKUP(G3015,$AA$2:$AB$5,2,FALSE())</f>
        <v>15</v>
      </c>
      <c r="R3015" s="7" t="n">
        <f aca="false">IF(OR(F3015="Open",F3015="Reopened"),1,0)</f>
        <v>0</v>
      </c>
      <c r="S3015" s="7" t="n">
        <f aca="false">IF(AND(H3015&gt;='Exec Summary'!$E$1,H3015&lt;='Exec Summary'!$E$2),1,0)</f>
        <v>0</v>
      </c>
      <c r="T3015" s="7" t="n">
        <f aca="false">IF(AND(F3015="Closed",I3015&lt;&gt;"",I3015&gt;='Exec Summary'!$E$1,I3015&lt;='Exec Summary'!$E$2),1,0)</f>
        <v>0</v>
      </c>
      <c r="U3015" s="7" t="n">
        <f aca="false">IF(F3015="Reopened",1,0)</f>
        <v>0</v>
      </c>
      <c r="V3015" s="7" t="n">
        <f aca="false">IF(AND(R3015=1,O3015&gt;Q3015),1,0)</f>
        <v>0</v>
      </c>
      <c r="W3015" s="7" t="n">
        <f aca="false">IF(AND(T3015=1,P3015&lt;&gt;"",P3015&lt;=Q3015),1,0)</f>
        <v>0</v>
      </c>
    </row>
    <row r="3016" customFormat="false" ht="15" hidden="false" customHeight="false" outlineLevel="0" collapsed="false">
      <c r="A3016" s="7" t="s">
        <v>3552</v>
      </c>
      <c r="B3016" s="7" t="s">
        <v>46</v>
      </c>
      <c r="C3016" s="7" t="s">
        <v>158</v>
      </c>
      <c r="D3016" s="7" t="s">
        <v>139</v>
      </c>
      <c r="E3016" s="7" t="s">
        <v>140</v>
      </c>
      <c r="F3016" s="7" t="s">
        <v>56</v>
      </c>
      <c r="G3016" s="7" t="s">
        <v>19</v>
      </c>
      <c r="H3016" s="9" t="n">
        <v>46118</v>
      </c>
      <c r="I3016" s="9"/>
      <c r="J3016" s="7" t="n">
        <v>9.8</v>
      </c>
      <c r="K3016" s="7" t="s">
        <v>3340</v>
      </c>
      <c r="L3016" s="7" t="s">
        <v>21</v>
      </c>
      <c r="M3016" s="7" t="s">
        <v>3555</v>
      </c>
      <c r="N3016" s="7" t="s">
        <v>58</v>
      </c>
      <c r="O3016" s="10" t="n">
        <f aca="false">'Exec Summary'!$E$2-H3016</f>
        <v>116</v>
      </c>
      <c r="P3016" s="10" t="str">
        <f aca="false">IF(I3016="","",I3016-H3016)</f>
        <v/>
      </c>
      <c r="Q3016" s="10" t="n">
        <f aca="false">VLOOKUP(G3016,$AA$2:$AB$5,2,FALSE())</f>
        <v>15</v>
      </c>
      <c r="R3016" s="7" t="n">
        <f aca="false">IF(OR(F3016="Open",F3016="Reopened"),1,0)</f>
        <v>1</v>
      </c>
      <c r="S3016" s="7" t="n">
        <f aca="false">IF(AND(H3016&gt;='Exec Summary'!$E$1,H3016&lt;='Exec Summary'!$E$2),1,0)</f>
        <v>0</v>
      </c>
      <c r="T3016" s="7" t="n">
        <f aca="false">IF(AND(F3016="Closed",I3016&lt;&gt;"",I3016&gt;='Exec Summary'!$E$1,I3016&lt;='Exec Summary'!$E$2),1,0)</f>
        <v>0</v>
      </c>
      <c r="U3016" s="7" t="n">
        <f aca="false">IF(F3016="Reopened",1,0)</f>
        <v>0</v>
      </c>
      <c r="V3016" s="7" t="n">
        <f aca="false">IF(AND(R3016=1,O3016&gt;Q3016),1,0)</f>
        <v>1</v>
      </c>
      <c r="W3016" s="7" t="n">
        <f aca="false">IF(AND(T3016=1,P3016&lt;&gt;"",P3016&lt;=Q3016),1,0)</f>
        <v>0</v>
      </c>
    </row>
    <row r="3017" customFormat="false" ht="15" hidden="false" customHeight="false" outlineLevel="0" collapsed="false">
      <c r="A3017" s="7" t="s">
        <v>3552</v>
      </c>
      <c r="B3017" s="7" t="s">
        <v>46</v>
      </c>
      <c r="C3017" s="7" t="s">
        <v>158</v>
      </c>
      <c r="D3017" s="7" t="s">
        <v>206</v>
      </c>
      <c r="E3017" s="7" t="s">
        <v>207</v>
      </c>
      <c r="F3017" s="7" t="s">
        <v>56</v>
      </c>
      <c r="G3017" s="7" t="s">
        <v>20</v>
      </c>
      <c r="H3017" s="9" t="n">
        <v>46156</v>
      </c>
      <c r="I3017" s="9"/>
      <c r="J3017" s="7" t="n">
        <v>8.8</v>
      </c>
      <c r="K3017" s="7" t="s">
        <v>3340</v>
      </c>
      <c r="L3017" s="7" t="s">
        <v>21</v>
      </c>
      <c r="M3017" s="7" t="s">
        <v>3556</v>
      </c>
      <c r="N3017" s="7" t="s">
        <v>53</v>
      </c>
      <c r="O3017" s="10" t="n">
        <f aca="false">'Exec Summary'!$E$2-H3017</f>
        <v>78</v>
      </c>
      <c r="P3017" s="10" t="str">
        <f aca="false">IF(I3017="","",I3017-H3017)</f>
        <v/>
      </c>
      <c r="Q3017" s="10" t="n">
        <f aca="false">VLOOKUP(G3017,$AA$2:$AB$5,2,FALSE())</f>
        <v>30</v>
      </c>
      <c r="R3017" s="7" t="n">
        <f aca="false">IF(OR(F3017="Open",F3017="Reopened"),1,0)</f>
        <v>1</v>
      </c>
      <c r="S3017" s="7" t="n">
        <f aca="false">IF(AND(H3017&gt;='Exec Summary'!$E$1,H3017&lt;='Exec Summary'!$E$2),1,0)</f>
        <v>0</v>
      </c>
      <c r="T3017" s="7" t="n">
        <f aca="false">IF(AND(F3017="Closed",I3017&lt;&gt;"",I3017&gt;='Exec Summary'!$E$1,I3017&lt;='Exec Summary'!$E$2),1,0)</f>
        <v>0</v>
      </c>
      <c r="U3017" s="7" t="n">
        <f aca="false">IF(F3017="Reopened",1,0)</f>
        <v>0</v>
      </c>
      <c r="V3017" s="7" t="n">
        <f aca="false">IF(AND(R3017=1,O3017&gt;Q3017),1,0)</f>
        <v>1</v>
      </c>
      <c r="W3017" s="7" t="n">
        <f aca="false">IF(AND(T3017=1,P3017&lt;&gt;"",P3017&lt;=Q3017),1,0)</f>
        <v>0</v>
      </c>
    </row>
    <row r="3018" customFormat="false" ht="15" hidden="false" customHeight="false" outlineLevel="0" collapsed="false">
      <c r="A3018" s="7" t="s">
        <v>3552</v>
      </c>
      <c r="B3018" s="7" t="s">
        <v>46</v>
      </c>
      <c r="C3018" s="7" t="s">
        <v>158</v>
      </c>
      <c r="D3018" s="7" t="s">
        <v>65</v>
      </c>
      <c r="E3018" s="7" t="s">
        <v>66</v>
      </c>
      <c r="F3018" s="7" t="s">
        <v>56</v>
      </c>
      <c r="G3018" s="7" t="s">
        <v>19</v>
      </c>
      <c r="H3018" s="9" t="n">
        <v>46051</v>
      </c>
      <c r="I3018" s="9"/>
      <c r="J3018" s="7" t="n">
        <v>9.8</v>
      </c>
      <c r="K3018" s="7" t="s">
        <v>3340</v>
      </c>
      <c r="L3018" s="7" t="s">
        <v>21</v>
      </c>
      <c r="M3018" s="7" t="s">
        <v>3557</v>
      </c>
      <c r="N3018" s="7" t="s">
        <v>58</v>
      </c>
      <c r="O3018" s="10" t="n">
        <f aca="false">'Exec Summary'!$E$2-H3018</f>
        <v>183</v>
      </c>
      <c r="P3018" s="10" t="str">
        <f aca="false">IF(I3018="","",I3018-H3018)</f>
        <v/>
      </c>
      <c r="Q3018" s="10" t="n">
        <f aca="false">VLOOKUP(G3018,$AA$2:$AB$5,2,FALSE())</f>
        <v>15</v>
      </c>
      <c r="R3018" s="7" t="n">
        <f aca="false">IF(OR(F3018="Open",F3018="Reopened"),1,0)</f>
        <v>1</v>
      </c>
      <c r="S3018" s="7" t="n">
        <f aca="false">IF(AND(H3018&gt;='Exec Summary'!$E$1,H3018&lt;='Exec Summary'!$E$2),1,0)</f>
        <v>0</v>
      </c>
      <c r="T3018" s="7" t="n">
        <f aca="false">IF(AND(F3018="Closed",I3018&lt;&gt;"",I3018&gt;='Exec Summary'!$E$1,I3018&lt;='Exec Summary'!$E$2),1,0)</f>
        <v>0</v>
      </c>
      <c r="U3018" s="7" t="n">
        <f aca="false">IF(F3018="Reopened",1,0)</f>
        <v>0</v>
      </c>
      <c r="V3018" s="7" t="n">
        <f aca="false">IF(AND(R3018=1,O3018&gt;Q3018),1,0)</f>
        <v>1</v>
      </c>
      <c r="W3018" s="7" t="n">
        <f aca="false">IF(AND(T3018=1,P3018&lt;&gt;"",P3018&lt;=Q3018),1,0)</f>
        <v>0</v>
      </c>
    </row>
    <row r="3019" customFormat="false" ht="15" hidden="false" customHeight="false" outlineLevel="0" collapsed="false">
      <c r="A3019" s="7" t="s">
        <v>3552</v>
      </c>
      <c r="B3019" s="7" t="s">
        <v>46</v>
      </c>
      <c r="C3019" s="7" t="s">
        <v>158</v>
      </c>
      <c r="D3019" s="7" t="s">
        <v>166</v>
      </c>
      <c r="E3019" s="7" t="s">
        <v>167</v>
      </c>
      <c r="F3019" s="7" t="s">
        <v>56</v>
      </c>
      <c r="G3019" s="7" t="s">
        <v>19</v>
      </c>
      <c r="H3019" s="9" t="n">
        <v>46133</v>
      </c>
      <c r="I3019" s="9"/>
      <c r="J3019" s="7" t="n">
        <v>9.8</v>
      </c>
      <c r="K3019" s="7" t="s">
        <v>3340</v>
      </c>
      <c r="L3019" s="7" t="s">
        <v>21</v>
      </c>
      <c r="M3019" s="7" t="s">
        <v>3558</v>
      </c>
      <c r="N3019" s="7" t="s">
        <v>58</v>
      </c>
      <c r="O3019" s="10" t="n">
        <f aca="false">'Exec Summary'!$E$2-H3019</f>
        <v>101</v>
      </c>
      <c r="P3019" s="10" t="str">
        <f aca="false">IF(I3019="","",I3019-H3019)</f>
        <v/>
      </c>
      <c r="Q3019" s="10" t="n">
        <f aca="false">VLOOKUP(G3019,$AA$2:$AB$5,2,FALSE())</f>
        <v>15</v>
      </c>
      <c r="R3019" s="7" t="n">
        <f aca="false">IF(OR(F3019="Open",F3019="Reopened"),1,0)</f>
        <v>1</v>
      </c>
      <c r="S3019" s="7" t="n">
        <f aca="false">IF(AND(H3019&gt;='Exec Summary'!$E$1,H3019&lt;='Exec Summary'!$E$2),1,0)</f>
        <v>0</v>
      </c>
      <c r="T3019" s="7" t="n">
        <f aca="false">IF(AND(F3019="Closed",I3019&lt;&gt;"",I3019&gt;='Exec Summary'!$E$1,I3019&lt;='Exec Summary'!$E$2),1,0)</f>
        <v>0</v>
      </c>
      <c r="U3019" s="7" t="n">
        <f aca="false">IF(F3019="Reopened",1,0)</f>
        <v>0</v>
      </c>
      <c r="V3019" s="7" t="n">
        <f aca="false">IF(AND(R3019=1,O3019&gt;Q3019),1,0)</f>
        <v>1</v>
      </c>
      <c r="W3019" s="7" t="n">
        <f aca="false">IF(AND(T3019=1,P3019&lt;&gt;"",P3019&lt;=Q3019),1,0)</f>
        <v>0</v>
      </c>
    </row>
    <row r="3020" customFormat="false" ht="15" hidden="false" customHeight="false" outlineLevel="0" collapsed="false">
      <c r="A3020" s="7" t="s">
        <v>3552</v>
      </c>
      <c r="B3020" s="7" t="s">
        <v>46</v>
      </c>
      <c r="C3020" s="7" t="s">
        <v>158</v>
      </c>
      <c r="D3020" s="7" t="s">
        <v>59</v>
      </c>
      <c r="E3020" s="7" t="s">
        <v>60</v>
      </c>
      <c r="F3020" s="7" t="s">
        <v>56</v>
      </c>
      <c r="G3020" s="7" t="s">
        <v>19</v>
      </c>
      <c r="H3020" s="9" t="n">
        <v>46074</v>
      </c>
      <c r="I3020" s="9"/>
      <c r="J3020" s="7" t="n">
        <v>7.8</v>
      </c>
      <c r="K3020" s="7" t="s">
        <v>3340</v>
      </c>
      <c r="L3020" s="7" t="s">
        <v>21</v>
      </c>
      <c r="M3020" s="7" t="s">
        <v>3559</v>
      </c>
      <c r="N3020" s="7" t="s">
        <v>58</v>
      </c>
      <c r="O3020" s="10" t="n">
        <f aca="false">'Exec Summary'!$E$2-H3020</f>
        <v>160</v>
      </c>
      <c r="P3020" s="10" t="str">
        <f aca="false">IF(I3020="","",I3020-H3020)</f>
        <v/>
      </c>
      <c r="Q3020" s="10" t="n">
        <f aca="false">VLOOKUP(G3020,$AA$2:$AB$5,2,FALSE())</f>
        <v>15</v>
      </c>
      <c r="R3020" s="7" t="n">
        <f aca="false">IF(OR(F3020="Open",F3020="Reopened"),1,0)</f>
        <v>1</v>
      </c>
      <c r="S3020" s="7" t="n">
        <f aca="false">IF(AND(H3020&gt;='Exec Summary'!$E$1,H3020&lt;='Exec Summary'!$E$2),1,0)</f>
        <v>0</v>
      </c>
      <c r="T3020" s="7" t="n">
        <f aca="false">IF(AND(F3020="Closed",I3020&lt;&gt;"",I3020&gt;='Exec Summary'!$E$1,I3020&lt;='Exec Summary'!$E$2),1,0)</f>
        <v>0</v>
      </c>
      <c r="U3020" s="7" t="n">
        <f aca="false">IF(F3020="Reopened",1,0)</f>
        <v>0</v>
      </c>
      <c r="V3020" s="7" t="n">
        <f aca="false">IF(AND(R3020=1,O3020&gt;Q3020),1,0)</f>
        <v>1</v>
      </c>
      <c r="W3020" s="7" t="n">
        <f aca="false">IF(AND(T3020=1,P3020&lt;&gt;"",P3020&lt;=Q3020),1,0)</f>
        <v>0</v>
      </c>
    </row>
    <row r="3021" customFormat="false" ht="15" hidden="false" customHeight="false" outlineLevel="0" collapsed="false">
      <c r="A3021" s="7" t="s">
        <v>3552</v>
      </c>
      <c r="B3021" s="7" t="s">
        <v>46</v>
      </c>
      <c r="C3021" s="7" t="s">
        <v>158</v>
      </c>
      <c r="D3021" s="7" t="s">
        <v>163</v>
      </c>
      <c r="E3021" s="7" t="s">
        <v>164</v>
      </c>
      <c r="F3021" s="7" t="s">
        <v>50</v>
      </c>
      <c r="G3021" s="7" t="s">
        <v>19</v>
      </c>
      <c r="H3021" s="9" t="n">
        <v>45957</v>
      </c>
      <c r="I3021" s="9" t="n">
        <v>45968</v>
      </c>
      <c r="J3021" s="7" t="n">
        <v>9.1</v>
      </c>
      <c r="K3021" s="7" t="s">
        <v>3340</v>
      </c>
      <c r="L3021" s="7" t="s">
        <v>21</v>
      </c>
      <c r="M3021" s="7" t="s">
        <v>3560</v>
      </c>
      <c r="N3021" s="7" t="s">
        <v>58</v>
      </c>
      <c r="O3021" s="10" t="n">
        <f aca="false">'Exec Summary'!$E$2-H3021</f>
        <v>277</v>
      </c>
      <c r="P3021" s="10" t="n">
        <f aca="false">IF(I3021="","",I3021-H3021)</f>
        <v>11</v>
      </c>
      <c r="Q3021" s="10" t="n">
        <f aca="false">VLOOKUP(G3021,$AA$2:$AB$5,2,FALSE())</f>
        <v>15</v>
      </c>
      <c r="R3021" s="7" t="n">
        <f aca="false">IF(OR(F3021="Open",F3021="Reopened"),1,0)</f>
        <v>0</v>
      </c>
      <c r="S3021" s="7" t="n">
        <f aca="false">IF(AND(H3021&gt;='Exec Summary'!$E$1,H3021&lt;='Exec Summary'!$E$2),1,0)</f>
        <v>0</v>
      </c>
      <c r="T3021" s="7" t="n">
        <f aca="false">IF(AND(F3021="Closed",I3021&lt;&gt;"",I3021&gt;='Exec Summary'!$E$1,I3021&lt;='Exec Summary'!$E$2),1,0)</f>
        <v>0</v>
      </c>
      <c r="U3021" s="7" t="n">
        <f aca="false">IF(F3021="Reopened",1,0)</f>
        <v>0</v>
      </c>
      <c r="V3021" s="7" t="n">
        <f aca="false">IF(AND(R3021=1,O3021&gt;Q3021),1,0)</f>
        <v>0</v>
      </c>
      <c r="W3021" s="7" t="n">
        <f aca="false">IF(AND(T3021=1,P3021&lt;&gt;"",P3021&lt;=Q3021),1,0)</f>
        <v>0</v>
      </c>
    </row>
    <row r="3022" customFormat="false" ht="15" hidden="false" customHeight="false" outlineLevel="0" collapsed="false">
      <c r="A3022" s="7" t="s">
        <v>3552</v>
      </c>
      <c r="B3022" s="7" t="s">
        <v>46</v>
      </c>
      <c r="C3022" s="7" t="s">
        <v>158</v>
      </c>
      <c r="D3022" s="7" t="s">
        <v>62</v>
      </c>
      <c r="E3022" s="7" t="s">
        <v>63</v>
      </c>
      <c r="F3022" s="7" t="s">
        <v>56</v>
      </c>
      <c r="G3022" s="7" t="s">
        <v>20</v>
      </c>
      <c r="H3022" s="9" t="n">
        <v>46005</v>
      </c>
      <c r="I3022" s="9"/>
      <c r="J3022" s="7" t="n">
        <v>8.1</v>
      </c>
      <c r="K3022" s="7" t="s">
        <v>3340</v>
      </c>
      <c r="L3022" s="7" t="s">
        <v>21</v>
      </c>
      <c r="M3022" s="7" t="s">
        <v>3561</v>
      </c>
      <c r="N3022" s="7" t="s">
        <v>53</v>
      </c>
      <c r="O3022" s="10" t="n">
        <f aca="false">'Exec Summary'!$E$2-H3022</f>
        <v>229</v>
      </c>
      <c r="P3022" s="10" t="str">
        <f aca="false">IF(I3022="","",I3022-H3022)</f>
        <v/>
      </c>
      <c r="Q3022" s="10" t="n">
        <f aca="false">VLOOKUP(G3022,$AA$2:$AB$5,2,FALSE())</f>
        <v>30</v>
      </c>
      <c r="R3022" s="7" t="n">
        <f aca="false">IF(OR(F3022="Open",F3022="Reopened"),1,0)</f>
        <v>1</v>
      </c>
      <c r="S3022" s="7" t="n">
        <f aca="false">IF(AND(H3022&gt;='Exec Summary'!$E$1,H3022&lt;='Exec Summary'!$E$2),1,0)</f>
        <v>0</v>
      </c>
      <c r="T3022" s="7" t="n">
        <f aca="false">IF(AND(F3022="Closed",I3022&lt;&gt;"",I3022&gt;='Exec Summary'!$E$1,I3022&lt;='Exec Summary'!$E$2),1,0)</f>
        <v>0</v>
      </c>
      <c r="U3022" s="7" t="n">
        <f aca="false">IF(F3022="Reopened",1,0)</f>
        <v>0</v>
      </c>
      <c r="V3022" s="7" t="n">
        <f aca="false">IF(AND(R3022=1,O3022&gt;Q3022),1,0)</f>
        <v>1</v>
      </c>
      <c r="W3022" s="7" t="n">
        <f aca="false">IF(AND(T3022=1,P3022&lt;&gt;"",P3022&lt;=Q3022),1,0)</f>
        <v>0</v>
      </c>
    </row>
    <row r="3023" customFormat="false" ht="15" hidden="false" customHeight="false" outlineLevel="0" collapsed="false">
      <c r="A3023" s="7" t="s">
        <v>3552</v>
      </c>
      <c r="B3023" s="7" t="s">
        <v>46</v>
      </c>
      <c r="C3023" s="7" t="s">
        <v>158</v>
      </c>
      <c r="D3023" s="7" t="s">
        <v>74</v>
      </c>
      <c r="E3023" s="7" t="s">
        <v>75</v>
      </c>
      <c r="F3023" s="7" t="s">
        <v>56</v>
      </c>
      <c r="G3023" s="7" t="s">
        <v>21</v>
      </c>
      <c r="H3023" s="9" t="n">
        <v>45965</v>
      </c>
      <c r="I3023" s="9"/>
      <c r="J3023" s="7" t="n">
        <v>6.5</v>
      </c>
      <c r="K3023" s="7" t="s">
        <v>3340</v>
      </c>
      <c r="L3023" s="7" t="s">
        <v>21</v>
      </c>
      <c r="M3023" s="7" t="s">
        <v>3562</v>
      </c>
      <c r="N3023" s="7" t="s">
        <v>77</v>
      </c>
      <c r="O3023" s="10" t="n">
        <f aca="false">'Exec Summary'!$E$2-H3023</f>
        <v>269</v>
      </c>
      <c r="P3023" s="10" t="str">
        <f aca="false">IF(I3023="","",I3023-H3023)</f>
        <v/>
      </c>
      <c r="Q3023" s="10" t="n">
        <f aca="false">VLOOKUP(G3023,$AA$2:$AB$5,2,FALSE())</f>
        <v>90</v>
      </c>
      <c r="R3023" s="7" t="n">
        <f aca="false">IF(OR(F3023="Open",F3023="Reopened"),1,0)</f>
        <v>1</v>
      </c>
      <c r="S3023" s="7" t="n">
        <f aca="false">IF(AND(H3023&gt;='Exec Summary'!$E$1,H3023&lt;='Exec Summary'!$E$2),1,0)</f>
        <v>0</v>
      </c>
      <c r="T3023" s="7" t="n">
        <f aca="false">IF(AND(F3023="Closed",I3023&lt;&gt;"",I3023&gt;='Exec Summary'!$E$1,I3023&lt;='Exec Summary'!$E$2),1,0)</f>
        <v>0</v>
      </c>
      <c r="U3023" s="7" t="n">
        <f aca="false">IF(F3023="Reopened",1,0)</f>
        <v>0</v>
      </c>
      <c r="V3023" s="7" t="n">
        <f aca="false">IF(AND(R3023=1,O3023&gt;Q3023),1,0)</f>
        <v>1</v>
      </c>
      <c r="W3023" s="7" t="n">
        <f aca="false">IF(AND(T3023=1,P3023&lt;&gt;"",P3023&lt;=Q3023),1,0)</f>
        <v>0</v>
      </c>
    </row>
    <row r="3024" customFormat="false" ht="15" hidden="false" customHeight="false" outlineLevel="0" collapsed="false">
      <c r="A3024" s="7" t="s">
        <v>3552</v>
      </c>
      <c r="B3024" s="7" t="s">
        <v>46</v>
      </c>
      <c r="C3024" s="7" t="s">
        <v>158</v>
      </c>
      <c r="D3024" s="7" t="s">
        <v>104</v>
      </c>
      <c r="E3024" s="7" t="s">
        <v>105</v>
      </c>
      <c r="F3024" s="7" t="s">
        <v>50</v>
      </c>
      <c r="G3024" s="7" t="s">
        <v>19</v>
      </c>
      <c r="H3024" s="9" t="n">
        <v>46084</v>
      </c>
      <c r="I3024" s="9" t="n">
        <v>46103</v>
      </c>
      <c r="J3024" s="7" t="n">
        <v>9.8</v>
      </c>
      <c r="K3024" s="7" t="s">
        <v>3340</v>
      </c>
      <c r="L3024" s="7" t="s">
        <v>21</v>
      </c>
      <c r="M3024" s="7" t="s">
        <v>3563</v>
      </c>
      <c r="N3024" s="7" t="s">
        <v>58</v>
      </c>
      <c r="O3024" s="10" t="n">
        <f aca="false">'Exec Summary'!$E$2-H3024</f>
        <v>150</v>
      </c>
      <c r="P3024" s="10" t="n">
        <f aca="false">IF(I3024="","",I3024-H3024)</f>
        <v>19</v>
      </c>
      <c r="Q3024" s="10" t="n">
        <f aca="false">VLOOKUP(G3024,$AA$2:$AB$5,2,FALSE())</f>
        <v>15</v>
      </c>
      <c r="R3024" s="7" t="n">
        <f aca="false">IF(OR(F3024="Open",F3024="Reopened"),1,0)</f>
        <v>0</v>
      </c>
      <c r="S3024" s="7" t="n">
        <f aca="false">IF(AND(H3024&gt;='Exec Summary'!$E$1,H3024&lt;='Exec Summary'!$E$2),1,0)</f>
        <v>0</v>
      </c>
      <c r="T3024" s="7" t="n">
        <f aca="false">IF(AND(F3024="Closed",I3024&lt;&gt;"",I3024&gt;='Exec Summary'!$E$1,I3024&lt;='Exec Summary'!$E$2),1,0)</f>
        <v>0</v>
      </c>
      <c r="U3024" s="7" t="n">
        <f aca="false">IF(F3024="Reopened",1,0)</f>
        <v>0</v>
      </c>
      <c r="V3024" s="7" t="n">
        <f aca="false">IF(AND(R3024=1,O3024&gt;Q3024),1,0)</f>
        <v>0</v>
      </c>
      <c r="W3024" s="7" t="n">
        <f aca="false">IF(AND(T3024=1,P3024&lt;&gt;"",P3024&lt;=Q3024),1,0)</f>
        <v>0</v>
      </c>
    </row>
    <row r="3025" customFormat="false" ht="15" hidden="false" customHeight="false" outlineLevel="0" collapsed="false">
      <c r="A3025" s="7" t="s">
        <v>3552</v>
      </c>
      <c r="B3025" s="7" t="s">
        <v>46</v>
      </c>
      <c r="C3025" s="7" t="s">
        <v>158</v>
      </c>
      <c r="D3025" s="7" t="s">
        <v>84</v>
      </c>
      <c r="E3025" s="7" t="s">
        <v>85</v>
      </c>
      <c r="F3025" s="7" t="s">
        <v>50</v>
      </c>
      <c r="G3025" s="7" t="s">
        <v>20</v>
      </c>
      <c r="H3025" s="9" t="n">
        <v>46148</v>
      </c>
      <c r="I3025" s="9" t="n">
        <v>46202</v>
      </c>
      <c r="J3025" s="7" t="n">
        <v>7.5</v>
      </c>
      <c r="K3025" s="7" t="s">
        <v>3340</v>
      </c>
      <c r="L3025" s="7" t="s">
        <v>21</v>
      </c>
      <c r="M3025" s="7" t="s">
        <v>3564</v>
      </c>
      <c r="N3025" s="7" t="s">
        <v>53</v>
      </c>
      <c r="O3025" s="10" t="n">
        <f aca="false">'Exec Summary'!$E$2-H3025</f>
        <v>86</v>
      </c>
      <c r="P3025" s="10" t="n">
        <f aca="false">IF(I3025="","",I3025-H3025)</f>
        <v>54</v>
      </c>
      <c r="Q3025" s="10" t="n">
        <f aca="false">VLOOKUP(G3025,$AA$2:$AB$5,2,FALSE())</f>
        <v>30</v>
      </c>
      <c r="R3025" s="7" t="n">
        <f aca="false">IF(OR(F3025="Open",F3025="Reopened"),1,0)</f>
        <v>0</v>
      </c>
      <c r="S3025" s="7" t="n">
        <f aca="false">IF(AND(H3025&gt;='Exec Summary'!$E$1,H3025&lt;='Exec Summary'!$E$2),1,0)</f>
        <v>0</v>
      </c>
      <c r="T3025" s="7" t="n">
        <f aca="false">IF(AND(F3025="Closed",I3025&lt;&gt;"",I3025&gt;='Exec Summary'!$E$1,I3025&lt;='Exec Summary'!$E$2),1,0)</f>
        <v>0</v>
      </c>
      <c r="U3025" s="7" t="n">
        <f aca="false">IF(F3025="Reopened",1,0)</f>
        <v>0</v>
      </c>
      <c r="V3025" s="7" t="n">
        <f aca="false">IF(AND(R3025=1,O3025&gt;Q3025),1,0)</f>
        <v>0</v>
      </c>
      <c r="W3025" s="7" t="n">
        <f aca="false">IF(AND(T3025=1,P3025&lt;&gt;"",P3025&lt;=Q3025),1,0)</f>
        <v>0</v>
      </c>
    </row>
    <row r="3026" customFormat="false" ht="15" hidden="false" customHeight="false" outlineLevel="0" collapsed="false">
      <c r="A3026" s="7" t="s">
        <v>3552</v>
      </c>
      <c r="B3026" s="7" t="s">
        <v>46</v>
      </c>
      <c r="C3026" s="7" t="s">
        <v>158</v>
      </c>
      <c r="D3026" s="7" t="s">
        <v>108</v>
      </c>
      <c r="E3026" s="7" t="s">
        <v>109</v>
      </c>
      <c r="F3026" s="7" t="s">
        <v>56</v>
      </c>
      <c r="G3026" s="7" t="s">
        <v>20</v>
      </c>
      <c r="H3026" s="9" t="n">
        <v>46120</v>
      </c>
      <c r="I3026" s="9"/>
      <c r="J3026" s="7" t="n">
        <v>8.6</v>
      </c>
      <c r="K3026" s="7" t="s">
        <v>3340</v>
      </c>
      <c r="L3026" s="7" t="s">
        <v>21</v>
      </c>
      <c r="M3026" s="7" t="s">
        <v>3565</v>
      </c>
      <c r="N3026" s="7" t="s">
        <v>53</v>
      </c>
      <c r="O3026" s="10" t="n">
        <f aca="false">'Exec Summary'!$E$2-H3026</f>
        <v>114</v>
      </c>
      <c r="P3026" s="10" t="str">
        <f aca="false">IF(I3026="","",I3026-H3026)</f>
        <v/>
      </c>
      <c r="Q3026" s="10" t="n">
        <f aca="false">VLOOKUP(G3026,$AA$2:$AB$5,2,FALSE())</f>
        <v>30</v>
      </c>
      <c r="R3026" s="7" t="n">
        <f aca="false">IF(OR(F3026="Open",F3026="Reopened"),1,0)</f>
        <v>1</v>
      </c>
      <c r="S3026" s="7" t="n">
        <f aca="false">IF(AND(H3026&gt;='Exec Summary'!$E$1,H3026&lt;='Exec Summary'!$E$2),1,0)</f>
        <v>0</v>
      </c>
      <c r="T3026" s="7" t="n">
        <f aca="false">IF(AND(F3026="Closed",I3026&lt;&gt;"",I3026&gt;='Exec Summary'!$E$1,I3026&lt;='Exec Summary'!$E$2),1,0)</f>
        <v>0</v>
      </c>
      <c r="U3026" s="7" t="n">
        <f aca="false">IF(F3026="Reopened",1,0)</f>
        <v>0</v>
      </c>
      <c r="V3026" s="7" t="n">
        <f aca="false">IF(AND(R3026=1,O3026&gt;Q3026),1,0)</f>
        <v>1</v>
      </c>
      <c r="W3026" s="7" t="n">
        <f aca="false">IF(AND(T3026=1,P3026&lt;&gt;"",P3026&lt;=Q3026),1,0)</f>
        <v>0</v>
      </c>
    </row>
    <row r="3027" customFormat="false" ht="15" hidden="false" customHeight="false" outlineLevel="0" collapsed="false">
      <c r="A3027" s="7" t="s">
        <v>3566</v>
      </c>
      <c r="B3027" s="7" t="s">
        <v>135</v>
      </c>
      <c r="C3027" s="7" t="s">
        <v>306</v>
      </c>
      <c r="D3027" s="7" t="s">
        <v>74</v>
      </c>
      <c r="E3027" s="7" t="s">
        <v>75</v>
      </c>
      <c r="F3027" s="7" t="s">
        <v>50</v>
      </c>
      <c r="G3027" s="7" t="s">
        <v>21</v>
      </c>
      <c r="H3027" s="9" t="n">
        <v>45947</v>
      </c>
      <c r="I3027" s="9" t="n">
        <v>45973</v>
      </c>
      <c r="J3027" s="7" t="n">
        <v>6.5</v>
      </c>
      <c r="K3027" s="7" t="s">
        <v>3340</v>
      </c>
      <c r="L3027" s="7" t="s">
        <v>21</v>
      </c>
      <c r="M3027" s="7" t="s">
        <v>3567</v>
      </c>
      <c r="N3027" s="7" t="s">
        <v>77</v>
      </c>
      <c r="O3027" s="10" t="n">
        <f aca="false">'Exec Summary'!$E$2-H3027</f>
        <v>287</v>
      </c>
      <c r="P3027" s="10" t="n">
        <f aca="false">IF(I3027="","",I3027-H3027)</f>
        <v>26</v>
      </c>
      <c r="Q3027" s="10" t="n">
        <f aca="false">VLOOKUP(G3027,$AA$2:$AB$5,2,FALSE())</f>
        <v>90</v>
      </c>
      <c r="R3027" s="7" t="n">
        <f aca="false">IF(OR(F3027="Open",F3027="Reopened"),1,0)</f>
        <v>0</v>
      </c>
      <c r="S3027" s="7" t="n">
        <f aca="false">IF(AND(H3027&gt;='Exec Summary'!$E$1,H3027&lt;='Exec Summary'!$E$2),1,0)</f>
        <v>0</v>
      </c>
      <c r="T3027" s="7" t="n">
        <f aca="false">IF(AND(F3027="Closed",I3027&lt;&gt;"",I3027&gt;='Exec Summary'!$E$1,I3027&lt;='Exec Summary'!$E$2),1,0)</f>
        <v>0</v>
      </c>
      <c r="U3027" s="7" t="n">
        <f aca="false">IF(F3027="Reopened",1,0)</f>
        <v>0</v>
      </c>
      <c r="V3027" s="7" t="n">
        <f aca="false">IF(AND(R3027=1,O3027&gt;Q3027),1,0)</f>
        <v>0</v>
      </c>
      <c r="W3027" s="7" t="n">
        <f aca="false">IF(AND(T3027=1,P3027&lt;&gt;"",P3027&lt;=Q3027),1,0)</f>
        <v>0</v>
      </c>
    </row>
    <row r="3028" customFormat="false" ht="15" hidden="false" customHeight="false" outlineLevel="0" collapsed="false">
      <c r="A3028" s="7" t="s">
        <v>3566</v>
      </c>
      <c r="B3028" s="7" t="s">
        <v>135</v>
      </c>
      <c r="C3028" s="7" t="s">
        <v>306</v>
      </c>
      <c r="D3028" s="7" t="s">
        <v>59</v>
      </c>
      <c r="E3028" s="7" t="s">
        <v>60</v>
      </c>
      <c r="F3028" s="7" t="s">
        <v>56</v>
      </c>
      <c r="G3028" s="7" t="s">
        <v>19</v>
      </c>
      <c r="H3028" s="9" t="n">
        <v>46007</v>
      </c>
      <c r="I3028" s="9"/>
      <c r="J3028" s="7" t="n">
        <v>7.8</v>
      </c>
      <c r="K3028" s="7" t="s">
        <v>3340</v>
      </c>
      <c r="L3028" s="7" t="s">
        <v>21</v>
      </c>
      <c r="M3028" s="7" t="s">
        <v>3568</v>
      </c>
      <c r="N3028" s="7" t="s">
        <v>58</v>
      </c>
      <c r="O3028" s="10" t="n">
        <f aca="false">'Exec Summary'!$E$2-H3028</f>
        <v>227</v>
      </c>
      <c r="P3028" s="10" t="str">
        <f aca="false">IF(I3028="","",I3028-H3028)</f>
        <v/>
      </c>
      <c r="Q3028" s="10" t="n">
        <f aca="false">VLOOKUP(G3028,$AA$2:$AB$5,2,FALSE())</f>
        <v>15</v>
      </c>
      <c r="R3028" s="7" t="n">
        <f aca="false">IF(OR(F3028="Open",F3028="Reopened"),1,0)</f>
        <v>1</v>
      </c>
      <c r="S3028" s="7" t="n">
        <f aca="false">IF(AND(H3028&gt;='Exec Summary'!$E$1,H3028&lt;='Exec Summary'!$E$2),1,0)</f>
        <v>0</v>
      </c>
      <c r="T3028" s="7" t="n">
        <f aca="false">IF(AND(F3028="Closed",I3028&lt;&gt;"",I3028&gt;='Exec Summary'!$E$1,I3028&lt;='Exec Summary'!$E$2),1,0)</f>
        <v>0</v>
      </c>
      <c r="U3028" s="7" t="n">
        <f aca="false">IF(F3028="Reopened",1,0)</f>
        <v>0</v>
      </c>
      <c r="V3028" s="7" t="n">
        <f aca="false">IF(AND(R3028=1,O3028&gt;Q3028),1,0)</f>
        <v>1</v>
      </c>
      <c r="W3028" s="7" t="n">
        <f aca="false">IF(AND(T3028=1,P3028&lt;&gt;"",P3028&lt;=Q3028),1,0)</f>
        <v>0</v>
      </c>
    </row>
    <row r="3029" customFormat="false" ht="15" hidden="false" customHeight="false" outlineLevel="0" collapsed="false">
      <c r="A3029" s="7" t="s">
        <v>3566</v>
      </c>
      <c r="B3029" s="7" t="s">
        <v>135</v>
      </c>
      <c r="C3029" s="7" t="s">
        <v>306</v>
      </c>
      <c r="D3029" s="7" t="s">
        <v>95</v>
      </c>
      <c r="E3029" s="7" t="s">
        <v>96</v>
      </c>
      <c r="F3029" s="7" t="s">
        <v>50</v>
      </c>
      <c r="G3029" s="7" t="s">
        <v>20</v>
      </c>
      <c r="H3029" s="9" t="n">
        <v>46210</v>
      </c>
      <c r="I3029" s="9" t="n">
        <v>46219</v>
      </c>
      <c r="J3029" s="7" t="n">
        <v>8.8</v>
      </c>
      <c r="K3029" s="7" t="s">
        <v>3340</v>
      </c>
      <c r="L3029" s="7" t="s">
        <v>21</v>
      </c>
      <c r="M3029" s="7" t="s">
        <v>3569</v>
      </c>
      <c r="N3029" s="7" t="s">
        <v>53</v>
      </c>
      <c r="O3029" s="10" t="n">
        <f aca="false">'Exec Summary'!$E$2-H3029</f>
        <v>24</v>
      </c>
      <c r="P3029" s="10" t="n">
        <f aca="false">IF(I3029="","",I3029-H3029)</f>
        <v>9</v>
      </c>
      <c r="Q3029" s="10" t="n">
        <f aca="false">VLOOKUP(G3029,$AA$2:$AB$5,2,FALSE())</f>
        <v>30</v>
      </c>
      <c r="R3029" s="7" t="n">
        <f aca="false">IF(OR(F3029="Open",F3029="Reopened"),1,0)</f>
        <v>0</v>
      </c>
      <c r="S3029" s="7" t="n">
        <f aca="false">IF(AND(H3029&gt;='Exec Summary'!$E$1,H3029&lt;='Exec Summary'!$E$2),1,0)</f>
        <v>1</v>
      </c>
      <c r="T3029" s="7" t="n">
        <f aca="false">IF(AND(F3029="Closed",I3029&lt;&gt;"",I3029&gt;='Exec Summary'!$E$1,I3029&lt;='Exec Summary'!$E$2),1,0)</f>
        <v>1</v>
      </c>
      <c r="U3029" s="7" t="n">
        <f aca="false">IF(F3029="Reopened",1,0)</f>
        <v>0</v>
      </c>
      <c r="V3029" s="7" t="n">
        <f aca="false">IF(AND(R3029=1,O3029&gt;Q3029),1,0)</f>
        <v>0</v>
      </c>
      <c r="W3029" s="7" t="n">
        <f aca="false">IF(AND(T3029=1,P3029&lt;&gt;"",P3029&lt;=Q3029),1,0)</f>
        <v>1</v>
      </c>
    </row>
    <row r="3030" customFormat="false" ht="15" hidden="false" customHeight="false" outlineLevel="0" collapsed="false">
      <c r="A3030" s="7" t="s">
        <v>3566</v>
      </c>
      <c r="B3030" s="7" t="s">
        <v>135</v>
      </c>
      <c r="C3030" s="7" t="s">
        <v>306</v>
      </c>
      <c r="D3030" s="7" t="s">
        <v>65</v>
      </c>
      <c r="E3030" s="7" t="s">
        <v>66</v>
      </c>
      <c r="F3030" s="7" t="s">
        <v>56</v>
      </c>
      <c r="G3030" s="7" t="s">
        <v>19</v>
      </c>
      <c r="H3030" s="9" t="n">
        <v>46112</v>
      </c>
      <c r="I3030" s="9"/>
      <c r="J3030" s="7" t="n">
        <v>9.8</v>
      </c>
      <c r="K3030" s="7" t="s">
        <v>3340</v>
      </c>
      <c r="L3030" s="7" t="s">
        <v>21</v>
      </c>
      <c r="M3030" s="7" t="s">
        <v>3570</v>
      </c>
      <c r="N3030" s="7" t="s">
        <v>58</v>
      </c>
      <c r="O3030" s="10" t="n">
        <f aca="false">'Exec Summary'!$E$2-H3030</f>
        <v>122</v>
      </c>
      <c r="P3030" s="10" t="str">
        <f aca="false">IF(I3030="","",I3030-H3030)</f>
        <v/>
      </c>
      <c r="Q3030" s="10" t="n">
        <f aca="false">VLOOKUP(G3030,$AA$2:$AB$5,2,FALSE())</f>
        <v>15</v>
      </c>
      <c r="R3030" s="7" t="n">
        <f aca="false">IF(OR(F3030="Open",F3030="Reopened"),1,0)</f>
        <v>1</v>
      </c>
      <c r="S3030" s="7" t="n">
        <f aca="false">IF(AND(H3030&gt;='Exec Summary'!$E$1,H3030&lt;='Exec Summary'!$E$2),1,0)</f>
        <v>0</v>
      </c>
      <c r="T3030" s="7" t="n">
        <f aca="false">IF(AND(F3030="Closed",I3030&lt;&gt;"",I3030&gt;='Exec Summary'!$E$1,I3030&lt;='Exec Summary'!$E$2),1,0)</f>
        <v>0</v>
      </c>
      <c r="U3030" s="7" t="n">
        <f aca="false">IF(F3030="Reopened",1,0)</f>
        <v>0</v>
      </c>
      <c r="V3030" s="7" t="n">
        <f aca="false">IF(AND(R3030=1,O3030&gt;Q3030),1,0)</f>
        <v>1</v>
      </c>
      <c r="W3030" s="7" t="n">
        <f aca="false">IF(AND(T3030=1,P3030&lt;&gt;"",P3030&lt;=Q3030),1,0)</f>
        <v>0</v>
      </c>
    </row>
    <row r="3031" customFormat="false" ht="15" hidden="false" customHeight="false" outlineLevel="0" collapsed="false">
      <c r="A3031" s="7" t="s">
        <v>3566</v>
      </c>
      <c r="B3031" s="7" t="s">
        <v>135</v>
      </c>
      <c r="C3031" s="7" t="s">
        <v>306</v>
      </c>
      <c r="D3031" s="7" t="s">
        <v>163</v>
      </c>
      <c r="E3031" s="7" t="s">
        <v>164</v>
      </c>
      <c r="F3031" s="7" t="s">
        <v>56</v>
      </c>
      <c r="G3031" s="7" t="s">
        <v>19</v>
      </c>
      <c r="H3031" s="9" t="n">
        <v>46148</v>
      </c>
      <c r="I3031" s="9"/>
      <c r="J3031" s="7" t="n">
        <v>9.1</v>
      </c>
      <c r="K3031" s="7" t="s">
        <v>3340</v>
      </c>
      <c r="L3031" s="7" t="s">
        <v>21</v>
      </c>
      <c r="M3031" s="7" t="s">
        <v>3571</v>
      </c>
      <c r="N3031" s="7" t="s">
        <v>58</v>
      </c>
      <c r="O3031" s="10" t="n">
        <f aca="false">'Exec Summary'!$E$2-H3031</f>
        <v>86</v>
      </c>
      <c r="P3031" s="10" t="str">
        <f aca="false">IF(I3031="","",I3031-H3031)</f>
        <v/>
      </c>
      <c r="Q3031" s="10" t="n">
        <f aca="false">VLOOKUP(G3031,$AA$2:$AB$5,2,FALSE())</f>
        <v>15</v>
      </c>
      <c r="R3031" s="7" t="n">
        <f aca="false">IF(OR(F3031="Open",F3031="Reopened"),1,0)</f>
        <v>1</v>
      </c>
      <c r="S3031" s="7" t="n">
        <f aca="false">IF(AND(H3031&gt;='Exec Summary'!$E$1,H3031&lt;='Exec Summary'!$E$2),1,0)</f>
        <v>0</v>
      </c>
      <c r="T3031" s="7" t="n">
        <f aca="false">IF(AND(F3031="Closed",I3031&lt;&gt;"",I3031&gt;='Exec Summary'!$E$1,I3031&lt;='Exec Summary'!$E$2),1,0)</f>
        <v>0</v>
      </c>
      <c r="U3031" s="7" t="n">
        <f aca="false">IF(F3031="Reopened",1,0)</f>
        <v>0</v>
      </c>
      <c r="V3031" s="7" t="n">
        <f aca="false">IF(AND(R3031=1,O3031&gt;Q3031),1,0)</f>
        <v>1</v>
      </c>
      <c r="W3031" s="7" t="n">
        <f aca="false">IF(AND(T3031=1,P3031&lt;&gt;"",P3031&lt;=Q3031),1,0)</f>
        <v>0</v>
      </c>
    </row>
    <row r="3032" customFormat="false" ht="15" hidden="false" customHeight="false" outlineLevel="0" collapsed="false">
      <c r="A3032" s="7" t="s">
        <v>3566</v>
      </c>
      <c r="B3032" s="7" t="s">
        <v>135</v>
      </c>
      <c r="C3032" s="7" t="s">
        <v>306</v>
      </c>
      <c r="D3032" s="7" t="s">
        <v>101</v>
      </c>
      <c r="E3032" s="7" t="s">
        <v>102</v>
      </c>
      <c r="F3032" s="7" t="s">
        <v>50</v>
      </c>
      <c r="G3032" s="7" t="s">
        <v>19</v>
      </c>
      <c r="H3032" s="9" t="n">
        <v>46177</v>
      </c>
      <c r="I3032" s="9" t="n">
        <v>46183</v>
      </c>
      <c r="J3032" s="7" t="n">
        <v>10</v>
      </c>
      <c r="K3032" s="7" t="s">
        <v>3340</v>
      </c>
      <c r="L3032" s="7" t="s">
        <v>21</v>
      </c>
      <c r="M3032" s="7" t="s">
        <v>3572</v>
      </c>
      <c r="N3032" s="7" t="s">
        <v>58</v>
      </c>
      <c r="O3032" s="10" t="n">
        <f aca="false">'Exec Summary'!$E$2-H3032</f>
        <v>57</v>
      </c>
      <c r="P3032" s="10" t="n">
        <f aca="false">IF(I3032="","",I3032-H3032)</f>
        <v>6</v>
      </c>
      <c r="Q3032" s="10" t="n">
        <f aca="false">VLOOKUP(G3032,$AA$2:$AB$5,2,FALSE())</f>
        <v>15</v>
      </c>
      <c r="R3032" s="7" t="n">
        <f aca="false">IF(OR(F3032="Open",F3032="Reopened"),1,0)</f>
        <v>0</v>
      </c>
      <c r="S3032" s="7" t="n">
        <f aca="false">IF(AND(H3032&gt;='Exec Summary'!$E$1,H3032&lt;='Exec Summary'!$E$2),1,0)</f>
        <v>0</v>
      </c>
      <c r="T3032" s="7" t="n">
        <f aca="false">IF(AND(F3032="Closed",I3032&lt;&gt;"",I3032&gt;='Exec Summary'!$E$1,I3032&lt;='Exec Summary'!$E$2),1,0)</f>
        <v>0</v>
      </c>
      <c r="U3032" s="7" t="n">
        <f aca="false">IF(F3032="Reopened",1,0)</f>
        <v>0</v>
      </c>
      <c r="V3032" s="7" t="n">
        <f aca="false">IF(AND(R3032=1,O3032&gt;Q3032),1,0)</f>
        <v>0</v>
      </c>
      <c r="W3032" s="7" t="n">
        <f aca="false">IF(AND(T3032=1,P3032&lt;&gt;"",P3032&lt;=Q3032),1,0)</f>
        <v>0</v>
      </c>
    </row>
    <row r="3033" customFormat="false" ht="15" hidden="false" customHeight="false" outlineLevel="0" collapsed="false">
      <c r="A3033" s="7" t="s">
        <v>3573</v>
      </c>
      <c r="B3033" s="7" t="s">
        <v>46</v>
      </c>
      <c r="C3033" s="7" t="s">
        <v>79</v>
      </c>
      <c r="D3033" s="7" t="s">
        <v>68</v>
      </c>
      <c r="E3033" s="7" t="s">
        <v>69</v>
      </c>
      <c r="F3033" s="7" t="s">
        <v>50</v>
      </c>
      <c r="G3033" s="7" t="s">
        <v>19</v>
      </c>
      <c r="H3033" s="9" t="n">
        <v>45983</v>
      </c>
      <c r="I3033" s="9" t="n">
        <v>45994</v>
      </c>
      <c r="J3033" s="7" t="n">
        <v>9.8</v>
      </c>
      <c r="K3033" s="7" t="s">
        <v>3340</v>
      </c>
      <c r="L3033" s="7" t="s">
        <v>19</v>
      </c>
      <c r="M3033" s="7" t="s">
        <v>3574</v>
      </c>
      <c r="N3033" s="7" t="s">
        <v>58</v>
      </c>
      <c r="O3033" s="10" t="n">
        <f aca="false">'Exec Summary'!$E$2-H3033</f>
        <v>251</v>
      </c>
      <c r="P3033" s="10" t="n">
        <f aca="false">IF(I3033="","",I3033-H3033)</f>
        <v>11</v>
      </c>
      <c r="Q3033" s="10" t="n">
        <f aca="false">VLOOKUP(G3033,$AA$2:$AB$5,2,FALSE())</f>
        <v>15</v>
      </c>
      <c r="R3033" s="7" t="n">
        <f aca="false">IF(OR(F3033="Open",F3033="Reopened"),1,0)</f>
        <v>0</v>
      </c>
      <c r="S3033" s="7" t="n">
        <f aca="false">IF(AND(H3033&gt;='Exec Summary'!$E$1,H3033&lt;='Exec Summary'!$E$2),1,0)</f>
        <v>0</v>
      </c>
      <c r="T3033" s="7" t="n">
        <f aca="false">IF(AND(F3033="Closed",I3033&lt;&gt;"",I3033&gt;='Exec Summary'!$E$1,I3033&lt;='Exec Summary'!$E$2),1,0)</f>
        <v>0</v>
      </c>
      <c r="U3033" s="7" t="n">
        <f aca="false">IF(F3033="Reopened",1,0)</f>
        <v>0</v>
      </c>
      <c r="V3033" s="7" t="n">
        <f aca="false">IF(AND(R3033=1,O3033&gt;Q3033),1,0)</f>
        <v>0</v>
      </c>
      <c r="W3033" s="7" t="n">
        <f aca="false">IF(AND(T3033=1,P3033&lt;&gt;"",P3033&lt;=Q3033),1,0)</f>
        <v>0</v>
      </c>
    </row>
    <row r="3034" customFormat="false" ht="15" hidden="false" customHeight="false" outlineLevel="0" collapsed="false">
      <c r="A3034" s="7" t="s">
        <v>3573</v>
      </c>
      <c r="B3034" s="7" t="s">
        <v>46</v>
      </c>
      <c r="C3034" s="7" t="s">
        <v>79</v>
      </c>
      <c r="D3034" s="7" t="s">
        <v>163</v>
      </c>
      <c r="E3034" s="7" t="s">
        <v>164</v>
      </c>
      <c r="F3034" s="7" t="s">
        <v>50</v>
      </c>
      <c r="G3034" s="7" t="s">
        <v>19</v>
      </c>
      <c r="H3034" s="9" t="n">
        <v>46197</v>
      </c>
      <c r="I3034" s="9" t="n">
        <v>46198</v>
      </c>
      <c r="J3034" s="7" t="n">
        <v>9.1</v>
      </c>
      <c r="K3034" s="7" t="s">
        <v>3340</v>
      </c>
      <c r="L3034" s="7" t="s">
        <v>19</v>
      </c>
      <c r="M3034" s="7" t="s">
        <v>3575</v>
      </c>
      <c r="N3034" s="7" t="s">
        <v>58</v>
      </c>
      <c r="O3034" s="10" t="n">
        <f aca="false">'Exec Summary'!$E$2-H3034</f>
        <v>37</v>
      </c>
      <c r="P3034" s="10" t="n">
        <f aca="false">IF(I3034="","",I3034-H3034)</f>
        <v>1</v>
      </c>
      <c r="Q3034" s="10" t="n">
        <f aca="false">VLOOKUP(G3034,$AA$2:$AB$5,2,FALSE())</f>
        <v>15</v>
      </c>
      <c r="R3034" s="7" t="n">
        <f aca="false">IF(OR(F3034="Open",F3034="Reopened"),1,0)</f>
        <v>0</v>
      </c>
      <c r="S3034" s="7" t="n">
        <f aca="false">IF(AND(H3034&gt;='Exec Summary'!$E$1,H3034&lt;='Exec Summary'!$E$2),1,0)</f>
        <v>0</v>
      </c>
      <c r="T3034" s="7" t="n">
        <f aca="false">IF(AND(F3034="Closed",I3034&lt;&gt;"",I3034&gt;='Exec Summary'!$E$1,I3034&lt;='Exec Summary'!$E$2),1,0)</f>
        <v>0</v>
      </c>
      <c r="U3034" s="7" t="n">
        <f aca="false">IF(F3034="Reopened",1,0)</f>
        <v>0</v>
      </c>
      <c r="V3034" s="7" t="n">
        <f aca="false">IF(AND(R3034=1,O3034&gt;Q3034),1,0)</f>
        <v>0</v>
      </c>
      <c r="W3034" s="7" t="n">
        <f aca="false">IF(AND(T3034=1,P3034&lt;&gt;"",P3034&lt;=Q3034),1,0)</f>
        <v>0</v>
      </c>
    </row>
    <row r="3035" customFormat="false" ht="15" hidden="false" customHeight="false" outlineLevel="0" collapsed="false">
      <c r="A3035" s="7" t="s">
        <v>3573</v>
      </c>
      <c r="B3035" s="7" t="s">
        <v>46</v>
      </c>
      <c r="C3035" s="7" t="s">
        <v>79</v>
      </c>
      <c r="D3035" s="7" t="s">
        <v>117</v>
      </c>
      <c r="E3035" s="7" t="s">
        <v>118</v>
      </c>
      <c r="F3035" s="7" t="s">
        <v>56</v>
      </c>
      <c r="G3035" s="7" t="s">
        <v>19</v>
      </c>
      <c r="H3035" s="9" t="n">
        <v>45976</v>
      </c>
      <c r="I3035" s="9"/>
      <c r="J3035" s="7" t="n">
        <v>10</v>
      </c>
      <c r="K3035" s="7" t="s">
        <v>3340</v>
      </c>
      <c r="L3035" s="7" t="s">
        <v>19</v>
      </c>
      <c r="M3035" s="7" t="s">
        <v>3576</v>
      </c>
      <c r="N3035" s="7" t="s">
        <v>58</v>
      </c>
      <c r="O3035" s="10" t="n">
        <f aca="false">'Exec Summary'!$E$2-H3035</f>
        <v>258</v>
      </c>
      <c r="P3035" s="10" t="str">
        <f aca="false">IF(I3035="","",I3035-H3035)</f>
        <v/>
      </c>
      <c r="Q3035" s="10" t="n">
        <f aca="false">VLOOKUP(G3035,$AA$2:$AB$5,2,FALSE())</f>
        <v>15</v>
      </c>
      <c r="R3035" s="7" t="n">
        <f aca="false">IF(OR(F3035="Open",F3035="Reopened"),1,0)</f>
        <v>1</v>
      </c>
      <c r="S3035" s="7" t="n">
        <f aca="false">IF(AND(H3035&gt;='Exec Summary'!$E$1,H3035&lt;='Exec Summary'!$E$2),1,0)</f>
        <v>0</v>
      </c>
      <c r="T3035" s="7" t="n">
        <f aca="false">IF(AND(F3035="Closed",I3035&lt;&gt;"",I3035&gt;='Exec Summary'!$E$1,I3035&lt;='Exec Summary'!$E$2),1,0)</f>
        <v>0</v>
      </c>
      <c r="U3035" s="7" t="n">
        <f aca="false">IF(F3035="Reopened",1,0)</f>
        <v>0</v>
      </c>
      <c r="V3035" s="7" t="n">
        <f aca="false">IF(AND(R3035=1,O3035&gt;Q3035),1,0)</f>
        <v>1</v>
      </c>
      <c r="W3035" s="7" t="n">
        <f aca="false">IF(AND(T3035=1,P3035&lt;&gt;"",P3035&lt;=Q3035),1,0)</f>
        <v>0</v>
      </c>
    </row>
    <row r="3036" customFormat="false" ht="15" hidden="false" customHeight="false" outlineLevel="0" collapsed="false">
      <c r="A3036" s="7" t="s">
        <v>3573</v>
      </c>
      <c r="B3036" s="7" t="s">
        <v>46</v>
      </c>
      <c r="C3036" s="7" t="s">
        <v>79</v>
      </c>
      <c r="D3036" s="7" t="s">
        <v>91</v>
      </c>
      <c r="E3036" s="7" t="s">
        <v>92</v>
      </c>
      <c r="F3036" s="7" t="s">
        <v>56</v>
      </c>
      <c r="G3036" s="7" t="s">
        <v>20</v>
      </c>
      <c r="H3036" s="9" t="n">
        <v>46078</v>
      </c>
      <c r="I3036" s="9"/>
      <c r="J3036" s="7" t="n">
        <v>8.1</v>
      </c>
      <c r="K3036" s="7" t="s">
        <v>3340</v>
      </c>
      <c r="L3036" s="7" t="s">
        <v>19</v>
      </c>
      <c r="M3036" s="7" t="s">
        <v>3577</v>
      </c>
      <c r="N3036" s="7" t="s">
        <v>53</v>
      </c>
      <c r="O3036" s="10" t="n">
        <f aca="false">'Exec Summary'!$E$2-H3036</f>
        <v>156</v>
      </c>
      <c r="P3036" s="10" t="str">
        <f aca="false">IF(I3036="","",I3036-H3036)</f>
        <v/>
      </c>
      <c r="Q3036" s="10" t="n">
        <f aca="false">VLOOKUP(G3036,$AA$2:$AB$5,2,FALSE())</f>
        <v>30</v>
      </c>
      <c r="R3036" s="7" t="n">
        <f aca="false">IF(OR(F3036="Open",F3036="Reopened"),1,0)</f>
        <v>1</v>
      </c>
      <c r="S3036" s="7" t="n">
        <f aca="false">IF(AND(H3036&gt;='Exec Summary'!$E$1,H3036&lt;='Exec Summary'!$E$2),1,0)</f>
        <v>0</v>
      </c>
      <c r="T3036" s="7" t="n">
        <f aca="false">IF(AND(F3036="Closed",I3036&lt;&gt;"",I3036&gt;='Exec Summary'!$E$1,I3036&lt;='Exec Summary'!$E$2),1,0)</f>
        <v>0</v>
      </c>
      <c r="U3036" s="7" t="n">
        <f aca="false">IF(F3036="Reopened",1,0)</f>
        <v>0</v>
      </c>
      <c r="V3036" s="7" t="n">
        <f aca="false">IF(AND(R3036=1,O3036&gt;Q3036),1,0)</f>
        <v>1</v>
      </c>
      <c r="W3036" s="7" t="n">
        <f aca="false">IF(AND(T3036=1,P3036&lt;&gt;"",P3036&lt;=Q3036),1,0)</f>
        <v>0</v>
      </c>
    </row>
    <row r="3037" customFormat="false" ht="15" hidden="false" customHeight="false" outlineLevel="0" collapsed="false">
      <c r="A3037" s="7" t="s">
        <v>3573</v>
      </c>
      <c r="B3037" s="7" t="s">
        <v>46</v>
      </c>
      <c r="C3037" s="7" t="s">
        <v>79</v>
      </c>
      <c r="D3037" s="7" t="s">
        <v>166</v>
      </c>
      <c r="E3037" s="7" t="s">
        <v>167</v>
      </c>
      <c r="F3037" s="7" t="s">
        <v>50</v>
      </c>
      <c r="G3037" s="7" t="s">
        <v>19</v>
      </c>
      <c r="H3037" s="9" t="n">
        <v>46061</v>
      </c>
      <c r="I3037" s="9" t="n">
        <v>46076</v>
      </c>
      <c r="J3037" s="7" t="n">
        <v>9.8</v>
      </c>
      <c r="K3037" s="7" t="s">
        <v>3340</v>
      </c>
      <c r="L3037" s="7" t="s">
        <v>19</v>
      </c>
      <c r="M3037" s="7" t="s">
        <v>3578</v>
      </c>
      <c r="N3037" s="7" t="s">
        <v>58</v>
      </c>
      <c r="O3037" s="10" t="n">
        <f aca="false">'Exec Summary'!$E$2-H3037</f>
        <v>173</v>
      </c>
      <c r="P3037" s="10" t="n">
        <f aca="false">IF(I3037="","",I3037-H3037)</f>
        <v>15</v>
      </c>
      <c r="Q3037" s="10" t="n">
        <f aca="false">VLOOKUP(G3037,$AA$2:$AB$5,2,FALSE())</f>
        <v>15</v>
      </c>
      <c r="R3037" s="7" t="n">
        <f aca="false">IF(OR(F3037="Open",F3037="Reopened"),1,0)</f>
        <v>0</v>
      </c>
      <c r="S3037" s="7" t="n">
        <f aca="false">IF(AND(H3037&gt;='Exec Summary'!$E$1,H3037&lt;='Exec Summary'!$E$2),1,0)</f>
        <v>0</v>
      </c>
      <c r="T3037" s="7" t="n">
        <f aca="false">IF(AND(F3037="Closed",I3037&lt;&gt;"",I3037&gt;='Exec Summary'!$E$1,I3037&lt;='Exec Summary'!$E$2),1,0)</f>
        <v>0</v>
      </c>
      <c r="U3037" s="7" t="n">
        <f aca="false">IF(F3037="Reopened",1,0)</f>
        <v>0</v>
      </c>
      <c r="V3037" s="7" t="n">
        <f aca="false">IF(AND(R3037=1,O3037&gt;Q3037),1,0)</f>
        <v>0</v>
      </c>
      <c r="W3037" s="7" t="n">
        <f aca="false">IF(AND(T3037=1,P3037&lt;&gt;"",P3037&lt;=Q3037),1,0)</f>
        <v>0</v>
      </c>
    </row>
    <row r="3038" customFormat="false" ht="15" hidden="false" customHeight="false" outlineLevel="0" collapsed="false">
      <c r="A3038" s="7" t="s">
        <v>3579</v>
      </c>
      <c r="B3038" s="7" t="s">
        <v>46</v>
      </c>
      <c r="C3038" s="7" t="s">
        <v>158</v>
      </c>
      <c r="D3038" s="7" t="s">
        <v>120</v>
      </c>
      <c r="E3038" s="7" t="s">
        <v>121</v>
      </c>
      <c r="F3038" s="7" t="s">
        <v>50</v>
      </c>
      <c r="G3038" s="7" t="s">
        <v>19</v>
      </c>
      <c r="H3038" s="9" t="n">
        <v>45951</v>
      </c>
      <c r="I3038" s="9" t="n">
        <v>45963</v>
      </c>
      <c r="J3038" s="7" t="n">
        <v>8.8</v>
      </c>
      <c r="K3038" s="7" t="s">
        <v>3580</v>
      </c>
      <c r="L3038" s="7" t="s">
        <v>20</v>
      </c>
      <c r="M3038" s="7" t="s">
        <v>3581</v>
      </c>
      <c r="N3038" s="7" t="s">
        <v>58</v>
      </c>
      <c r="O3038" s="10" t="n">
        <f aca="false">'Exec Summary'!$E$2-H3038</f>
        <v>283</v>
      </c>
      <c r="P3038" s="10" t="n">
        <f aca="false">IF(I3038="","",I3038-H3038)</f>
        <v>12</v>
      </c>
      <c r="Q3038" s="10" t="n">
        <f aca="false">VLOOKUP(G3038,$AA$2:$AB$5,2,FALSE())</f>
        <v>15</v>
      </c>
      <c r="R3038" s="7" t="n">
        <f aca="false">IF(OR(F3038="Open",F3038="Reopened"),1,0)</f>
        <v>0</v>
      </c>
      <c r="S3038" s="7" t="n">
        <f aca="false">IF(AND(H3038&gt;='Exec Summary'!$E$1,H3038&lt;='Exec Summary'!$E$2),1,0)</f>
        <v>0</v>
      </c>
      <c r="T3038" s="7" t="n">
        <f aca="false">IF(AND(F3038="Closed",I3038&lt;&gt;"",I3038&gt;='Exec Summary'!$E$1,I3038&lt;='Exec Summary'!$E$2),1,0)</f>
        <v>0</v>
      </c>
      <c r="U3038" s="7" t="n">
        <f aca="false">IF(F3038="Reopened",1,0)</f>
        <v>0</v>
      </c>
      <c r="V3038" s="7" t="n">
        <f aca="false">IF(AND(R3038=1,O3038&gt;Q3038),1,0)</f>
        <v>0</v>
      </c>
      <c r="W3038" s="7" t="n">
        <f aca="false">IF(AND(T3038=1,P3038&lt;&gt;"",P3038&lt;=Q3038),1,0)</f>
        <v>0</v>
      </c>
    </row>
    <row r="3039" customFormat="false" ht="15" hidden="false" customHeight="false" outlineLevel="0" collapsed="false">
      <c r="A3039" s="7" t="s">
        <v>3579</v>
      </c>
      <c r="B3039" s="7" t="s">
        <v>46</v>
      </c>
      <c r="C3039" s="7" t="s">
        <v>158</v>
      </c>
      <c r="D3039" s="7" t="s">
        <v>206</v>
      </c>
      <c r="E3039" s="7" t="s">
        <v>207</v>
      </c>
      <c r="F3039" s="7" t="s">
        <v>56</v>
      </c>
      <c r="G3039" s="7" t="s">
        <v>20</v>
      </c>
      <c r="H3039" s="9" t="n">
        <v>46012</v>
      </c>
      <c r="I3039" s="9"/>
      <c r="J3039" s="7" t="n">
        <v>8.8</v>
      </c>
      <c r="K3039" s="7" t="s">
        <v>3580</v>
      </c>
      <c r="L3039" s="7" t="s">
        <v>20</v>
      </c>
      <c r="M3039" s="7" t="s">
        <v>3582</v>
      </c>
      <c r="N3039" s="7" t="s">
        <v>53</v>
      </c>
      <c r="O3039" s="10" t="n">
        <f aca="false">'Exec Summary'!$E$2-H3039</f>
        <v>222</v>
      </c>
      <c r="P3039" s="10" t="str">
        <f aca="false">IF(I3039="","",I3039-H3039)</f>
        <v/>
      </c>
      <c r="Q3039" s="10" t="n">
        <f aca="false">VLOOKUP(G3039,$AA$2:$AB$5,2,FALSE())</f>
        <v>30</v>
      </c>
      <c r="R3039" s="7" t="n">
        <f aca="false">IF(OR(F3039="Open",F3039="Reopened"),1,0)</f>
        <v>1</v>
      </c>
      <c r="S3039" s="7" t="n">
        <f aca="false">IF(AND(H3039&gt;='Exec Summary'!$E$1,H3039&lt;='Exec Summary'!$E$2),1,0)</f>
        <v>0</v>
      </c>
      <c r="T3039" s="7" t="n">
        <f aca="false">IF(AND(F3039="Closed",I3039&lt;&gt;"",I3039&gt;='Exec Summary'!$E$1,I3039&lt;='Exec Summary'!$E$2),1,0)</f>
        <v>0</v>
      </c>
      <c r="U3039" s="7" t="n">
        <f aca="false">IF(F3039="Reopened",1,0)</f>
        <v>0</v>
      </c>
      <c r="V3039" s="7" t="n">
        <f aca="false">IF(AND(R3039=1,O3039&gt;Q3039),1,0)</f>
        <v>1</v>
      </c>
      <c r="W3039" s="7" t="n">
        <f aca="false">IF(AND(T3039=1,P3039&lt;&gt;"",P3039&lt;=Q3039),1,0)</f>
        <v>0</v>
      </c>
    </row>
    <row r="3040" customFormat="false" ht="15" hidden="false" customHeight="false" outlineLevel="0" collapsed="false">
      <c r="A3040" s="7" t="s">
        <v>3579</v>
      </c>
      <c r="B3040" s="7" t="s">
        <v>46</v>
      </c>
      <c r="C3040" s="7" t="s">
        <v>158</v>
      </c>
      <c r="D3040" s="7" t="s">
        <v>117</v>
      </c>
      <c r="E3040" s="7" t="s">
        <v>118</v>
      </c>
      <c r="F3040" s="7" t="s">
        <v>123</v>
      </c>
      <c r="G3040" s="7" t="s">
        <v>19</v>
      </c>
      <c r="H3040" s="9" t="n">
        <v>46124</v>
      </c>
      <c r="I3040" s="9" t="n">
        <v>46144</v>
      </c>
      <c r="J3040" s="7" t="n">
        <v>10</v>
      </c>
      <c r="K3040" s="7" t="s">
        <v>3580</v>
      </c>
      <c r="L3040" s="7" t="s">
        <v>20</v>
      </c>
      <c r="M3040" s="7" t="s">
        <v>3583</v>
      </c>
      <c r="N3040" s="7" t="s">
        <v>58</v>
      </c>
      <c r="O3040" s="10" t="n">
        <f aca="false">'Exec Summary'!$E$2-H3040</f>
        <v>110</v>
      </c>
      <c r="P3040" s="10" t="n">
        <f aca="false">IF(I3040="","",I3040-H3040)</f>
        <v>20</v>
      </c>
      <c r="Q3040" s="10" t="n">
        <f aca="false">VLOOKUP(G3040,$AA$2:$AB$5,2,FALSE())</f>
        <v>15</v>
      </c>
      <c r="R3040" s="7" t="n">
        <f aca="false">IF(OR(F3040="Open",F3040="Reopened"),1,0)</f>
        <v>1</v>
      </c>
      <c r="S3040" s="7" t="n">
        <f aca="false">IF(AND(H3040&gt;='Exec Summary'!$E$1,H3040&lt;='Exec Summary'!$E$2),1,0)</f>
        <v>0</v>
      </c>
      <c r="T3040" s="7" t="n">
        <f aca="false">IF(AND(F3040="Closed",I3040&lt;&gt;"",I3040&gt;='Exec Summary'!$E$1,I3040&lt;='Exec Summary'!$E$2),1,0)</f>
        <v>0</v>
      </c>
      <c r="U3040" s="7" t="n">
        <f aca="false">IF(F3040="Reopened",1,0)</f>
        <v>1</v>
      </c>
      <c r="V3040" s="7" t="n">
        <f aca="false">IF(AND(R3040=1,O3040&gt;Q3040),1,0)</f>
        <v>1</v>
      </c>
      <c r="W3040" s="7" t="n">
        <f aca="false">IF(AND(T3040=1,P3040&lt;&gt;"",P3040&lt;=Q3040),1,0)</f>
        <v>0</v>
      </c>
    </row>
    <row r="3041" customFormat="false" ht="15" hidden="false" customHeight="false" outlineLevel="0" collapsed="false">
      <c r="A3041" s="7" t="s">
        <v>3579</v>
      </c>
      <c r="B3041" s="7" t="s">
        <v>46</v>
      </c>
      <c r="C3041" s="7" t="s">
        <v>158</v>
      </c>
      <c r="D3041" s="7" t="s">
        <v>48</v>
      </c>
      <c r="E3041" s="7" t="s">
        <v>49</v>
      </c>
      <c r="F3041" s="7" t="s">
        <v>50</v>
      </c>
      <c r="G3041" s="7" t="s">
        <v>20</v>
      </c>
      <c r="H3041" s="9" t="n">
        <v>46205</v>
      </c>
      <c r="I3041" s="9" t="n">
        <v>46223</v>
      </c>
      <c r="J3041" s="7" t="n">
        <v>7.5</v>
      </c>
      <c r="K3041" s="7" t="s">
        <v>3580</v>
      </c>
      <c r="L3041" s="7" t="s">
        <v>20</v>
      </c>
      <c r="M3041" s="7" t="s">
        <v>3584</v>
      </c>
      <c r="N3041" s="7" t="s">
        <v>53</v>
      </c>
      <c r="O3041" s="10" t="n">
        <f aca="false">'Exec Summary'!$E$2-H3041</f>
        <v>29</v>
      </c>
      <c r="P3041" s="10" t="n">
        <f aca="false">IF(I3041="","",I3041-H3041)</f>
        <v>18</v>
      </c>
      <c r="Q3041" s="10" t="n">
        <f aca="false">VLOOKUP(G3041,$AA$2:$AB$5,2,FALSE())</f>
        <v>30</v>
      </c>
      <c r="R3041" s="7" t="n">
        <f aca="false">IF(OR(F3041="Open",F3041="Reopened"),1,0)</f>
        <v>0</v>
      </c>
      <c r="S3041" s="7" t="n">
        <f aca="false">IF(AND(H3041&gt;='Exec Summary'!$E$1,H3041&lt;='Exec Summary'!$E$2),1,0)</f>
        <v>1</v>
      </c>
      <c r="T3041" s="7" t="n">
        <f aca="false">IF(AND(F3041="Closed",I3041&lt;&gt;"",I3041&gt;='Exec Summary'!$E$1,I3041&lt;='Exec Summary'!$E$2),1,0)</f>
        <v>1</v>
      </c>
      <c r="U3041" s="7" t="n">
        <f aca="false">IF(F3041="Reopened",1,0)</f>
        <v>0</v>
      </c>
      <c r="V3041" s="7" t="n">
        <f aca="false">IF(AND(R3041=1,O3041&gt;Q3041),1,0)</f>
        <v>0</v>
      </c>
      <c r="W3041" s="7" t="n">
        <f aca="false">IF(AND(T3041=1,P3041&lt;&gt;"",P3041&lt;=Q3041),1,0)</f>
        <v>1</v>
      </c>
    </row>
    <row r="3042" customFormat="false" ht="15" hidden="false" customHeight="false" outlineLevel="0" collapsed="false">
      <c r="A3042" s="7" t="s">
        <v>3579</v>
      </c>
      <c r="B3042" s="7" t="s">
        <v>46</v>
      </c>
      <c r="C3042" s="7" t="s">
        <v>158</v>
      </c>
      <c r="D3042" s="7" t="s">
        <v>101</v>
      </c>
      <c r="E3042" s="7" t="s">
        <v>102</v>
      </c>
      <c r="F3042" s="7" t="s">
        <v>50</v>
      </c>
      <c r="G3042" s="7" t="s">
        <v>19</v>
      </c>
      <c r="H3042" s="9" t="n">
        <v>46029</v>
      </c>
      <c r="I3042" s="9" t="n">
        <v>46045</v>
      </c>
      <c r="J3042" s="7" t="n">
        <v>10</v>
      </c>
      <c r="K3042" s="7" t="s">
        <v>3580</v>
      </c>
      <c r="L3042" s="7" t="s">
        <v>20</v>
      </c>
      <c r="M3042" s="7" t="s">
        <v>3585</v>
      </c>
      <c r="N3042" s="7" t="s">
        <v>58</v>
      </c>
      <c r="O3042" s="10" t="n">
        <f aca="false">'Exec Summary'!$E$2-H3042</f>
        <v>205</v>
      </c>
      <c r="P3042" s="10" t="n">
        <f aca="false">IF(I3042="","",I3042-H3042)</f>
        <v>16</v>
      </c>
      <c r="Q3042" s="10" t="n">
        <f aca="false">VLOOKUP(G3042,$AA$2:$AB$5,2,FALSE())</f>
        <v>15</v>
      </c>
      <c r="R3042" s="7" t="n">
        <f aca="false">IF(OR(F3042="Open",F3042="Reopened"),1,0)</f>
        <v>0</v>
      </c>
      <c r="S3042" s="7" t="n">
        <f aca="false">IF(AND(H3042&gt;='Exec Summary'!$E$1,H3042&lt;='Exec Summary'!$E$2),1,0)</f>
        <v>0</v>
      </c>
      <c r="T3042" s="7" t="n">
        <f aca="false">IF(AND(F3042="Closed",I3042&lt;&gt;"",I3042&gt;='Exec Summary'!$E$1,I3042&lt;='Exec Summary'!$E$2),1,0)</f>
        <v>0</v>
      </c>
      <c r="U3042" s="7" t="n">
        <f aca="false">IF(F3042="Reopened",1,0)</f>
        <v>0</v>
      </c>
      <c r="V3042" s="7" t="n">
        <f aca="false">IF(AND(R3042=1,O3042&gt;Q3042),1,0)</f>
        <v>0</v>
      </c>
      <c r="W3042" s="7" t="n">
        <f aca="false">IF(AND(T3042=1,P3042&lt;&gt;"",P3042&lt;=Q3042),1,0)</f>
        <v>0</v>
      </c>
    </row>
    <row r="3043" customFormat="false" ht="15" hidden="false" customHeight="false" outlineLevel="0" collapsed="false">
      <c r="A3043" s="7" t="s">
        <v>3579</v>
      </c>
      <c r="B3043" s="7" t="s">
        <v>46</v>
      </c>
      <c r="C3043" s="7" t="s">
        <v>158</v>
      </c>
      <c r="D3043" s="7" t="s">
        <v>68</v>
      </c>
      <c r="E3043" s="7" t="s">
        <v>69</v>
      </c>
      <c r="F3043" s="7" t="s">
        <v>56</v>
      </c>
      <c r="G3043" s="7" t="s">
        <v>19</v>
      </c>
      <c r="H3043" s="9" t="n">
        <v>46068</v>
      </c>
      <c r="I3043" s="9"/>
      <c r="J3043" s="7" t="n">
        <v>9.8</v>
      </c>
      <c r="K3043" s="7" t="s">
        <v>3580</v>
      </c>
      <c r="L3043" s="7" t="s">
        <v>20</v>
      </c>
      <c r="M3043" s="7" t="s">
        <v>3586</v>
      </c>
      <c r="N3043" s="7" t="s">
        <v>58</v>
      </c>
      <c r="O3043" s="10" t="n">
        <f aca="false">'Exec Summary'!$E$2-H3043</f>
        <v>166</v>
      </c>
      <c r="P3043" s="10" t="str">
        <f aca="false">IF(I3043="","",I3043-H3043)</f>
        <v/>
      </c>
      <c r="Q3043" s="10" t="n">
        <f aca="false">VLOOKUP(G3043,$AA$2:$AB$5,2,FALSE())</f>
        <v>15</v>
      </c>
      <c r="R3043" s="7" t="n">
        <f aca="false">IF(OR(F3043="Open",F3043="Reopened"),1,0)</f>
        <v>1</v>
      </c>
      <c r="S3043" s="7" t="n">
        <f aca="false">IF(AND(H3043&gt;='Exec Summary'!$E$1,H3043&lt;='Exec Summary'!$E$2),1,0)</f>
        <v>0</v>
      </c>
      <c r="T3043" s="7" t="n">
        <f aca="false">IF(AND(F3043="Closed",I3043&lt;&gt;"",I3043&gt;='Exec Summary'!$E$1,I3043&lt;='Exec Summary'!$E$2),1,0)</f>
        <v>0</v>
      </c>
      <c r="U3043" s="7" t="n">
        <f aca="false">IF(F3043="Reopened",1,0)</f>
        <v>0</v>
      </c>
      <c r="V3043" s="7" t="n">
        <f aca="false">IF(AND(R3043=1,O3043&gt;Q3043),1,0)</f>
        <v>1</v>
      </c>
      <c r="W3043" s="7" t="n">
        <f aca="false">IF(AND(T3043=1,P3043&lt;&gt;"",P3043&lt;=Q3043),1,0)</f>
        <v>0</v>
      </c>
    </row>
    <row r="3044" customFormat="false" ht="15" hidden="false" customHeight="false" outlineLevel="0" collapsed="false">
      <c r="A3044" s="7" t="s">
        <v>3579</v>
      </c>
      <c r="B3044" s="7" t="s">
        <v>46</v>
      </c>
      <c r="C3044" s="7" t="s">
        <v>158</v>
      </c>
      <c r="D3044" s="7" t="s">
        <v>65</v>
      </c>
      <c r="E3044" s="7" t="s">
        <v>66</v>
      </c>
      <c r="F3044" s="7" t="s">
        <v>56</v>
      </c>
      <c r="G3044" s="7" t="s">
        <v>19</v>
      </c>
      <c r="H3044" s="9" t="n">
        <v>46043</v>
      </c>
      <c r="I3044" s="9"/>
      <c r="J3044" s="7" t="n">
        <v>9.8</v>
      </c>
      <c r="K3044" s="7" t="s">
        <v>3580</v>
      </c>
      <c r="L3044" s="7" t="s">
        <v>20</v>
      </c>
      <c r="M3044" s="7" t="s">
        <v>3587</v>
      </c>
      <c r="N3044" s="7" t="s">
        <v>58</v>
      </c>
      <c r="O3044" s="10" t="n">
        <f aca="false">'Exec Summary'!$E$2-H3044</f>
        <v>191</v>
      </c>
      <c r="P3044" s="10" t="str">
        <f aca="false">IF(I3044="","",I3044-H3044)</f>
        <v/>
      </c>
      <c r="Q3044" s="10" t="n">
        <f aca="false">VLOOKUP(G3044,$AA$2:$AB$5,2,FALSE())</f>
        <v>15</v>
      </c>
      <c r="R3044" s="7" t="n">
        <f aca="false">IF(OR(F3044="Open",F3044="Reopened"),1,0)</f>
        <v>1</v>
      </c>
      <c r="S3044" s="7" t="n">
        <f aca="false">IF(AND(H3044&gt;='Exec Summary'!$E$1,H3044&lt;='Exec Summary'!$E$2),1,0)</f>
        <v>0</v>
      </c>
      <c r="T3044" s="7" t="n">
        <f aca="false">IF(AND(F3044="Closed",I3044&lt;&gt;"",I3044&gt;='Exec Summary'!$E$1,I3044&lt;='Exec Summary'!$E$2),1,0)</f>
        <v>0</v>
      </c>
      <c r="U3044" s="7" t="n">
        <f aca="false">IF(F3044="Reopened",1,0)</f>
        <v>0</v>
      </c>
      <c r="V3044" s="7" t="n">
        <f aca="false">IF(AND(R3044=1,O3044&gt;Q3044),1,0)</f>
        <v>1</v>
      </c>
      <c r="W3044" s="7" t="n">
        <f aca="false">IF(AND(T3044=1,P3044&lt;&gt;"",P3044&lt;=Q3044),1,0)</f>
        <v>0</v>
      </c>
    </row>
    <row r="3045" customFormat="false" ht="15" hidden="false" customHeight="false" outlineLevel="0" collapsed="false">
      <c r="A3045" s="7" t="s">
        <v>3579</v>
      </c>
      <c r="B3045" s="7" t="s">
        <v>46</v>
      </c>
      <c r="C3045" s="7" t="s">
        <v>158</v>
      </c>
      <c r="D3045" s="7" t="s">
        <v>81</v>
      </c>
      <c r="E3045" s="7" t="s">
        <v>82</v>
      </c>
      <c r="F3045" s="7" t="s">
        <v>50</v>
      </c>
      <c r="G3045" s="7" t="s">
        <v>20</v>
      </c>
      <c r="H3045" s="9" t="n">
        <v>46185</v>
      </c>
      <c r="I3045" s="9" t="n">
        <v>46210</v>
      </c>
      <c r="J3045" s="7" t="n">
        <v>7.8</v>
      </c>
      <c r="K3045" s="7" t="s">
        <v>3580</v>
      </c>
      <c r="L3045" s="7" t="s">
        <v>20</v>
      </c>
      <c r="M3045" s="7" t="s">
        <v>3588</v>
      </c>
      <c r="N3045" s="7" t="s">
        <v>53</v>
      </c>
      <c r="O3045" s="10" t="n">
        <f aca="false">'Exec Summary'!$E$2-H3045</f>
        <v>49</v>
      </c>
      <c r="P3045" s="10" t="n">
        <f aca="false">IF(I3045="","",I3045-H3045)</f>
        <v>25</v>
      </c>
      <c r="Q3045" s="10" t="n">
        <f aca="false">VLOOKUP(G3045,$AA$2:$AB$5,2,FALSE())</f>
        <v>30</v>
      </c>
      <c r="R3045" s="7" t="n">
        <f aca="false">IF(OR(F3045="Open",F3045="Reopened"),1,0)</f>
        <v>0</v>
      </c>
      <c r="S3045" s="7" t="n">
        <f aca="false">IF(AND(H3045&gt;='Exec Summary'!$E$1,H3045&lt;='Exec Summary'!$E$2),1,0)</f>
        <v>0</v>
      </c>
      <c r="T3045" s="7" t="n">
        <f aca="false">IF(AND(F3045="Closed",I3045&lt;&gt;"",I3045&gt;='Exec Summary'!$E$1,I3045&lt;='Exec Summary'!$E$2),1,0)</f>
        <v>1</v>
      </c>
      <c r="U3045" s="7" t="n">
        <f aca="false">IF(F3045="Reopened",1,0)</f>
        <v>0</v>
      </c>
      <c r="V3045" s="7" t="n">
        <f aca="false">IF(AND(R3045=1,O3045&gt;Q3045),1,0)</f>
        <v>0</v>
      </c>
      <c r="W3045" s="7" t="n">
        <f aca="false">IF(AND(T3045=1,P3045&lt;&gt;"",P3045&lt;=Q3045),1,0)</f>
        <v>1</v>
      </c>
    </row>
    <row r="3046" customFormat="false" ht="15" hidden="false" customHeight="false" outlineLevel="0" collapsed="false">
      <c r="A3046" s="7" t="s">
        <v>3579</v>
      </c>
      <c r="B3046" s="7" t="s">
        <v>46</v>
      </c>
      <c r="C3046" s="7" t="s">
        <v>158</v>
      </c>
      <c r="D3046" s="7" t="s">
        <v>112</v>
      </c>
      <c r="E3046" s="7" t="s">
        <v>113</v>
      </c>
      <c r="F3046" s="7" t="s">
        <v>56</v>
      </c>
      <c r="G3046" s="7" t="s">
        <v>20</v>
      </c>
      <c r="H3046" s="9" t="n">
        <v>45978</v>
      </c>
      <c r="I3046" s="9"/>
      <c r="J3046" s="7" t="n">
        <v>7.8</v>
      </c>
      <c r="K3046" s="7" t="s">
        <v>3580</v>
      </c>
      <c r="L3046" s="7" t="s">
        <v>20</v>
      </c>
      <c r="M3046" s="7" t="s">
        <v>3589</v>
      </c>
      <c r="N3046" s="7" t="s">
        <v>53</v>
      </c>
      <c r="O3046" s="10" t="n">
        <f aca="false">'Exec Summary'!$E$2-H3046</f>
        <v>256</v>
      </c>
      <c r="P3046" s="10" t="str">
        <f aca="false">IF(I3046="","",I3046-H3046)</f>
        <v/>
      </c>
      <c r="Q3046" s="10" t="n">
        <f aca="false">VLOOKUP(G3046,$AA$2:$AB$5,2,FALSE())</f>
        <v>30</v>
      </c>
      <c r="R3046" s="7" t="n">
        <f aca="false">IF(OR(F3046="Open",F3046="Reopened"),1,0)</f>
        <v>1</v>
      </c>
      <c r="S3046" s="7" t="n">
        <f aca="false">IF(AND(H3046&gt;='Exec Summary'!$E$1,H3046&lt;='Exec Summary'!$E$2),1,0)</f>
        <v>0</v>
      </c>
      <c r="T3046" s="7" t="n">
        <f aca="false">IF(AND(F3046="Closed",I3046&lt;&gt;"",I3046&gt;='Exec Summary'!$E$1,I3046&lt;='Exec Summary'!$E$2),1,0)</f>
        <v>0</v>
      </c>
      <c r="U3046" s="7" t="n">
        <f aca="false">IF(F3046="Reopened",1,0)</f>
        <v>0</v>
      </c>
      <c r="V3046" s="7" t="n">
        <f aca="false">IF(AND(R3046=1,O3046&gt;Q3046),1,0)</f>
        <v>1</v>
      </c>
      <c r="W3046" s="7" t="n">
        <f aca="false">IF(AND(T3046=1,P3046&lt;&gt;"",P3046&lt;=Q3046),1,0)</f>
        <v>0</v>
      </c>
    </row>
    <row r="3047" customFormat="false" ht="15" hidden="false" customHeight="false" outlineLevel="0" collapsed="false">
      <c r="A3047" s="7" t="s">
        <v>3590</v>
      </c>
      <c r="B3047" s="7" t="s">
        <v>46</v>
      </c>
      <c r="C3047" s="7" t="s">
        <v>158</v>
      </c>
      <c r="D3047" s="7" t="s">
        <v>173</v>
      </c>
      <c r="E3047" s="7" t="s">
        <v>174</v>
      </c>
      <c r="F3047" s="7" t="s">
        <v>56</v>
      </c>
      <c r="G3047" s="7" t="s">
        <v>19</v>
      </c>
      <c r="H3047" s="9" t="n">
        <v>46023</v>
      </c>
      <c r="I3047" s="9"/>
      <c r="J3047" s="7" t="n">
        <v>9.8</v>
      </c>
      <c r="K3047" s="7" t="s">
        <v>3580</v>
      </c>
      <c r="L3047" s="7" t="s">
        <v>20</v>
      </c>
      <c r="M3047" s="7" t="s">
        <v>3591</v>
      </c>
      <c r="N3047" s="7" t="s">
        <v>58</v>
      </c>
      <c r="O3047" s="10" t="n">
        <f aca="false">'Exec Summary'!$E$2-H3047</f>
        <v>211</v>
      </c>
      <c r="P3047" s="10" t="str">
        <f aca="false">IF(I3047="","",I3047-H3047)</f>
        <v/>
      </c>
      <c r="Q3047" s="10" t="n">
        <f aca="false">VLOOKUP(G3047,$AA$2:$AB$5,2,FALSE())</f>
        <v>15</v>
      </c>
      <c r="R3047" s="7" t="n">
        <f aca="false">IF(OR(F3047="Open",F3047="Reopened"),1,0)</f>
        <v>1</v>
      </c>
      <c r="S3047" s="7" t="n">
        <f aca="false">IF(AND(H3047&gt;='Exec Summary'!$E$1,H3047&lt;='Exec Summary'!$E$2),1,0)</f>
        <v>0</v>
      </c>
      <c r="T3047" s="7" t="n">
        <f aca="false">IF(AND(F3047="Closed",I3047&lt;&gt;"",I3047&gt;='Exec Summary'!$E$1,I3047&lt;='Exec Summary'!$E$2),1,0)</f>
        <v>0</v>
      </c>
      <c r="U3047" s="7" t="n">
        <f aca="false">IF(F3047="Reopened",1,0)</f>
        <v>0</v>
      </c>
      <c r="V3047" s="7" t="n">
        <f aca="false">IF(AND(R3047=1,O3047&gt;Q3047),1,0)</f>
        <v>1</v>
      </c>
      <c r="W3047" s="7" t="n">
        <f aca="false">IF(AND(T3047=1,P3047&lt;&gt;"",P3047&lt;=Q3047),1,0)</f>
        <v>0</v>
      </c>
    </row>
    <row r="3048" customFormat="false" ht="15" hidden="false" customHeight="false" outlineLevel="0" collapsed="false">
      <c r="A3048" s="7" t="s">
        <v>3590</v>
      </c>
      <c r="B3048" s="7" t="s">
        <v>46</v>
      </c>
      <c r="C3048" s="7" t="s">
        <v>158</v>
      </c>
      <c r="D3048" s="7" t="s">
        <v>74</v>
      </c>
      <c r="E3048" s="7" t="s">
        <v>75</v>
      </c>
      <c r="F3048" s="7" t="s">
        <v>50</v>
      </c>
      <c r="G3048" s="7" t="s">
        <v>21</v>
      </c>
      <c r="H3048" s="9" t="n">
        <v>46048</v>
      </c>
      <c r="I3048" s="9" t="n">
        <v>46127</v>
      </c>
      <c r="J3048" s="7" t="n">
        <v>6.5</v>
      </c>
      <c r="K3048" s="7" t="s">
        <v>3580</v>
      </c>
      <c r="L3048" s="7" t="s">
        <v>20</v>
      </c>
      <c r="M3048" s="7" t="s">
        <v>3592</v>
      </c>
      <c r="N3048" s="7" t="s">
        <v>77</v>
      </c>
      <c r="O3048" s="10" t="n">
        <f aca="false">'Exec Summary'!$E$2-H3048</f>
        <v>186</v>
      </c>
      <c r="P3048" s="10" t="n">
        <f aca="false">IF(I3048="","",I3048-H3048)</f>
        <v>79</v>
      </c>
      <c r="Q3048" s="10" t="n">
        <f aca="false">VLOOKUP(G3048,$AA$2:$AB$5,2,FALSE())</f>
        <v>90</v>
      </c>
      <c r="R3048" s="7" t="n">
        <f aca="false">IF(OR(F3048="Open",F3048="Reopened"),1,0)</f>
        <v>0</v>
      </c>
      <c r="S3048" s="7" t="n">
        <f aca="false">IF(AND(H3048&gt;='Exec Summary'!$E$1,H3048&lt;='Exec Summary'!$E$2),1,0)</f>
        <v>0</v>
      </c>
      <c r="T3048" s="7" t="n">
        <f aca="false">IF(AND(F3048="Closed",I3048&lt;&gt;"",I3048&gt;='Exec Summary'!$E$1,I3048&lt;='Exec Summary'!$E$2),1,0)</f>
        <v>0</v>
      </c>
      <c r="U3048" s="7" t="n">
        <f aca="false">IF(F3048="Reopened",1,0)</f>
        <v>0</v>
      </c>
      <c r="V3048" s="7" t="n">
        <f aca="false">IF(AND(R3048=1,O3048&gt;Q3048),1,0)</f>
        <v>0</v>
      </c>
      <c r="W3048" s="7" t="n">
        <f aca="false">IF(AND(T3048=1,P3048&lt;&gt;"",P3048&lt;=Q3048),1,0)</f>
        <v>0</v>
      </c>
    </row>
    <row r="3049" customFormat="false" ht="15" hidden="false" customHeight="false" outlineLevel="0" collapsed="false">
      <c r="A3049" s="7" t="s">
        <v>3590</v>
      </c>
      <c r="B3049" s="7" t="s">
        <v>46</v>
      </c>
      <c r="C3049" s="7" t="s">
        <v>158</v>
      </c>
      <c r="D3049" s="7" t="s">
        <v>104</v>
      </c>
      <c r="E3049" s="7" t="s">
        <v>105</v>
      </c>
      <c r="F3049" s="7" t="s">
        <v>56</v>
      </c>
      <c r="G3049" s="7" t="s">
        <v>19</v>
      </c>
      <c r="H3049" s="9" t="n">
        <v>46055</v>
      </c>
      <c r="I3049" s="9"/>
      <c r="J3049" s="7" t="n">
        <v>9.8</v>
      </c>
      <c r="K3049" s="7" t="s">
        <v>3580</v>
      </c>
      <c r="L3049" s="7" t="s">
        <v>20</v>
      </c>
      <c r="M3049" s="7" t="s">
        <v>3593</v>
      </c>
      <c r="N3049" s="7" t="s">
        <v>58</v>
      </c>
      <c r="O3049" s="10" t="n">
        <f aca="false">'Exec Summary'!$E$2-H3049</f>
        <v>179</v>
      </c>
      <c r="P3049" s="10" t="str">
        <f aca="false">IF(I3049="","",I3049-H3049)</f>
        <v/>
      </c>
      <c r="Q3049" s="10" t="n">
        <f aca="false">VLOOKUP(G3049,$AA$2:$AB$5,2,FALSE())</f>
        <v>15</v>
      </c>
      <c r="R3049" s="7" t="n">
        <f aca="false">IF(OR(F3049="Open",F3049="Reopened"),1,0)</f>
        <v>1</v>
      </c>
      <c r="S3049" s="7" t="n">
        <f aca="false">IF(AND(H3049&gt;='Exec Summary'!$E$1,H3049&lt;='Exec Summary'!$E$2),1,0)</f>
        <v>0</v>
      </c>
      <c r="T3049" s="7" t="n">
        <f aca="false">IF(AND(F3049="Closed",I3049&lt;&gt;"",I3049&gt;='Exec Summary'!$E$1,I3049&lt;='Exec Summary'!$E$2),1,0)</f>
        <v>0</v>
      </c>
      <c r="U3049" s="7" t="n">
        <f aca="false">IF(F3049="Reopened",1,0)</f>
        <v>0</v>
      </c>
      <c r="V3049" s="7" t="n">
        <f aca="false">IF(AND(R3049=1,O3049&gt;Q3049),1,0)</f>
        <v>1</v>
      </c>
      <c r="W3049" s="7" t="n">
        <f aca="false">IF(AND(T3049=1,P3049&lt;&gt;"",P3049&lt;=Q3049),1,0)</f>
        <v>0</v>
      </c>
    </row>
    <row r="3050" customFormat="false" ht="15" hidden="false" customHeight="false" outlineLevel="0" collapsed="false">
      <c r="A3050" s="7" t="s">
        <v>3594</v>
      </c>
      <c r="B3050" s="7" t="s">
        <v>46</v>
      </c>
      <c r="C3050" s="7" t="s">
        <v>79</v>
      </c>
      <c r="D3050" s="7" t="s">
        <v>84</v>
      </c>
      <c r="E3050" s="7" t="s">
        <v>85</v>
      </c>
      <c r="F3050" s="7" t="s">
        <v>56</v>
      </c>
      <c r="G3050" s="7" t="s">
        <v>20</v>
      </c>
      <c r="H3050" s="9" t="n">
        <v>46137</v>
      </c>
      <c r="I3050" s="9"/>
      <c r="J3050" s="7" t="n">
        <v>7.5</v>
      </c>
      <c r="K3050" s="7" t="s">
        <v>3580</v>
      </c>
      <c r="L3050" s="7" t="s">
        <v>20</v>
      </c>
      <c r="M3050" s="7" t="s">
        <v>3595</v>
      </c>
      <c r="N3050" s="7" t="s">
        <v>53</v>
      </c>
      <c r="O3050" s="10" t="n">
        <f aca="false">'Exec Summary'!$E$2-H3050</f>
        <v>97</v>
      </c>
      <c r="P3050" s="10" t="str">
        <f aca="false">IF(I3050="","",I3050-H3050)</f>
        <v/>
      </c>
      <c r="Q3050" s="10" t="n">
        <f aca="false">VLOOKUP(G3050,$AA$2:$AB$5,2,FALSE())</f>
        <v>30</v>
      </c>
      <c r="R3050" s="7" t="n">
        <f aca="false">IF(OR(F3050="Open",F3050="Reopened"),1,0)</f>
        <v>1</v>
      </c>
      <c r="S3050" s="7" t="n">
        <f aca="false">IF(AND(H3050&gt;='Exec Summary'!$E$1,H3050&lt;='Exec Summary'!$E$2),1,0)</f>
        <v>0</v>
      </c>
      <c r="T3050" s="7" t="n">
        <f aca="false">IF(AND(F3050="Closed",I3050&lt;&gt;"",I3050&gt;='Exec Summary'!$E$1,I3050&lt;='Exec Summary'!$E$2),1,0)</f>
        <v>0</v>
      </c>
      <c r="U3050" s="7" t="n">
        <f aca="false">IF(F3050="Reopened",1,0)</f>
        <v>0</v>
      </c>
      <c r="V3050" s="7" t="n">
        <f aca="false">IF(AND(R3050=1,O3050&gt;Q3050),1,0)</f>
        <v>1</v>
      </c>
      <c r="W3050" s="7" t="n">
        <f aca="false">IF(AND(T3050=1,P3050&lt;&gt;"",P3050&lt;=Q3050),1,0)</f>
        <v>0</v>
      </c>
    </row>
    <row r="3051" customFormat="false" ht="15" hidden="false" customHeight="false" outlineLevel="0" collapsed="false">
      <c r="A3051" s="7" t="s">
        <v>3594</v>
      </c>
      <c r="B3051" s="7" t="s">
        <v>46</v>
      </c>
      <c r="C3051" s="7" t="s">
        <v>79</v>
      </c>
      <c r="D3051" s="7" t="s">
        <v>87</v>
      </c>
      <c r="E3051" s="7" t="s">
        <v>88</v>
      </c>
      <c r="F3051" s="7" t="s">
        <v>50</v>
      </c>
      <c r="G3051" s="7" t="s">
        <v>19</v>
      </c>
      <c r="H3051" s="9" t="n">
        <v>46203</v>
      </c>
      <c r="I3051" s="9" t="n">
        <v>46206</v>
      </c>
      <c r="J3051" s="7" t="n">
        <v>10</v>
      </c>
      <c r="K3051" s="7" t="s">
        <v>3580</v>
      </c>
      <c r="L3051" s="7" t="s">
        <v>20</v>
      </c>
      <c r="M3051" s="7" t="s">
        <v>3596</v>
      </c>
      <c r="N3051" s="7" t="s">
        <v>58</v>
      </c>
      <c r="O3051" s="10" t="n">
        <f aca="false">'Exec Summary'!$E$2-H3051</f>
        <v>31</v>
      </c>
      <c r="P3051" s="10" t="n">
        <f aca="false">IF(I3051="","",I3051-H3051)</f>
        <v>3</v>
      </c>
      <c r="Q3051" s="10" t="n">
        <f aca="false">VLOOKUP(G3051,$AA$2:$AB$5,2,FALSE())</f>
        <v>15</v>
      </c>
      <c r="R3051" s="7" t="n">
        <f aca="false">IF(OR(F3051="Open",F3051="Reopened"),1,0)</f>
        <v>0</v>
      </c>
      <c r="S3051" s="7" t="n">
        <f aca="false">IF(AND(H3051&gt;='Exec Summary'!$E$1,H3051&lt;='Exec Summary'!$E$2),1,0)</f>
        <v>0</v>
      </c>
      <c r="T3051" s="7" t="n">
        <f aca="false">IF(AND(F3051="Closed",I3051&lt;&gt;"",I3051&gt;='Exec Summary'!$E$1,I3051&lt;='Exec Summary'!$E$2),1,0)</f>
        <v>1</v>
      </c>
      <c r="U3051" s="7" t="n">
        <f aca="false">IF(F3051="Reopened",1,0)</f>
        <v>0</v>
      </c>
      <c r="V3051" s="7" t="n">
        <f aca="false">IF(AND(R3051=1,O3051&gt;Q3051),1,0)</f>
        <v>0</v>
      </c>
      <c r="W3051" s="7" t="n">
        <f aca="false">IF(AND(T3051=1,P3051&lt;&gt;"",P3051&lt;=Q3051),1,0)</f>
        <v>1</v>
      </c>
    </row>
    <row r="3052" customFormat="false" ht="15" hidden="false" customHeight="false" outlineLevel="0" collapsed="false">
      <c r="A3052" s="7" t="s">
        <v>3597</v>
      </c>
      <c r="B3052" s="7" t="s">
        <v>46</v>
      </c>
      <c r="C3052" s="7" t="s">
        <v>177</v>
      </c>
      <c r="D3052" s="7" t="s">
        <v>152</v>
      </c>
      <c r="E3052" s="7" t="s">
        <v>153</v>
      </c>
      <c r="F3052" s="7" t="s">
        <v>50</v>
      </c>
      <c r="G3052" s="7" t="s">
        <v>20</v>
      </c>
      <c r="H3052" s="9" t="n">
        <v>46018</v>
      </c>
      <c r="I3052" s="9" t="n">
        <v>46050</v>
      </c>
      <c r="J3052" s="7" t="n">
        <v>7.5</v>
      </c>
      <c r="K3052" s="7" t="s">
        <v>3580</v>
      </c>
      <c r="L3052" s="7" t="s">
        <v>20</v>
      </c>
      <c r="M3052" s="7" t="s">
        <v>3598</v>
      </c>
      <c r="N3052" s="7" t="s">
        <v>53</v>
      </c>
      <c r="O3052" s="10" t="n">
        <f aca="false">'Exec Summary'!$E$2-H3052</f>
        <v>216</v>
      </c>
      <c r="P3052" s="10" t="n">
        <f aca="false">IF(I3052="","",I3052-H3052)</f>
        <v>32</v>
      </c>
      <c r="Q3052" s="10" t="n">
        <f aca="false">VLOOKUP(G3052,$AA$2:$AB$5,2,FALSE())</f>
        <v>30</v>
      </c>
      <c r="R3052" s="7" t="n">
        <f aca="false">IF(OR(F3052="Open",F3052="Reopened"),1,0)</f>
        <v>0</v>
      </c>
      <c r="S3052" s="7" t="n">
        <f aca="false">IF(AND(H3052&gt;='Exec Summary'!$E$1,H3052&lt;='Exec Summary'!$E$2),1,0)</f>
        <v>0</v>
      </c>
      <c r="T3052" s="7" t="n">
        <f aca="false">IF(AND(F3052="Closed",I3052&lt;&gt;"",I3052&gt;='Exec Summary'!$E$1,I3052&lt;='Exec Summary'!$E$2),1,0)</f>
        <v>0</v>
      </c>
      <c r="U3052" s="7" t="n">
        <f aca="false">IF(F3052="Reopened",1,0)</f>
        <v>0</v>
      </c>
      <c r="V3052" s="7" t="n">
        <f aca="false">IF(AND(R3052=1,O3052&gt;Q3052),1,0)</f>
        <v>0</v>
      </c>
      <c r="W3052" s="7" t="n">
        <f aca="false">IF(AND(T3052=1,P3052&lt;&gt;"",P3052&lt;=Q3052),1,0)</f>
        <v>0</v>
      </c>
    </row>
    <row r="3053" customFormat="false" ht="15" hidden="false" customHeight="false" outlineLevel="0" collapsed="false">
      <c r="A3053" s="7" t="s">
        <v>3597</v>
      </c>
      <c r="B3053" s="7" t="s">
        <v>46</v>
      </c>
      <c r="C3053" s="7" t="s">
        <v>177</v>
      </c>
      <c r="D3053" s="7" t="s">
        <v>91</v>
      </c>
      <c r="E3053" s="7" t="s">
        <v>92</v>
      </c>
      <c r="F3053" s="7" t="s">
        <v>56</v>
      </c>
      <c r="G3053" s="7" t="s">
        <v>20</v>
      </c>
      <c r="H3053" s="9" t="n">
        <v>46111</v>
      </c>
      <c r="I3053" s="9"/>
      <c r="J3053" s="7" t="n">
        <v>8.1</v>
      </c>
      <c r="K3053" s="7" t="s">
        <v>3580</v>
      </c>
      <c r="L3053" s="7" t="s">
        <v>20</v>
      </c>
      <c r="M3053" s="7" t="s">
        <v>3599</v>
      </c>
      <c r="N3053" s="7" t="s">
        <v>53</v>
      </c>
      <c r="O3053" s="10" t="n">
        <f aca="false">'Exec Summary'!$E$2-H3053</f>
        <v>123</v>
      </c>
      <c r="P3053" s="10" t="str">
        <f aca="false">IF(I3053="","",I3053-H3053)</f>
        <v/>
      </c>
      <c r="Q3053" s="10" t="n">
        <f aca="false">VLOOKUP(G3053,$AA$2:$AB$5,2,FALSE())</f>
        <v>30</v>
      </c>
      <c r="R3053" s="7" t="n">
        <f aca="false">IF(OR(F3053="Open",F3053="Reopened"),1,0)</f>
        <v>1</v>
      </c>
      <c r="S3053" s="7" t="n">
        <f aca="false">IF(AND(H3053&gt;='Exec Summary'!$E$1,H3053&lt;='Exec Summary'!$E$2),1,0)</f>
        <v>0</v>
      </c>
      <c r="T3053" s="7" t="n">
        <f aca="false">IF(AND(F3053="Closed",I3053&lt;&gt;"",I3053&gt;='Exec Summary'!$E$1,I3053&lt;='Exec Summary'!$E$2),1,0)</f>
        <v>0</v>
      </c>
      <c r="U3053" s="7" t="n">
        <f aca="false">IF(F3053="Reopened",1,0)</f>
        <v>0</v>
      </c>
      <c r="V3053" s="7" t="n">
        <f aca="false">IF(AND(R3053=1,O3053&gt;Q3053),1,0)</f>
        <v>1</v>
      </c>
      <c r="W3053" s="7" t="n">
        <f aca="false">IF(AND(T3053=1,P3053&lt;&gt;"",P3053&lt;=Q3053),1,0)</f>
        <v>0</v>
      </c>
    </row>
    <row r="3054" customFormat="false" ht="15" hidden="false" customHeight="false" outlineLevel="0" collapsed="false">
      <c r="A3054" s="7" t="s">
        <v>3597</v>
      </c>
      <c r="B3054" s="7" t="s">
        <v>46</v>
      </c>
      <c r="C3054" s="7" t="s">
        <v>177</v>
      </c>
      <c r="D3054" s="7" t="s">
        <v>104</v>
      </c>
      <c r="E3054" s="7" t="s">
        <v>105</v>
      </c>
      <c r="F3054" s="7" t="s">
        <v>56</v>
      </c>
      <c r="G3054" s="7" t="s">
        <v>19</v>
      </c>
      <c r="H3054" s="9" t="n">
        <v>46079</v>
      </c>
      <c r="I3054" s="9"/>
      <c r="J3054" s="7" t="n">
        <v>9.8</v>
      </c>
      <c r="K3054" s="7" t="s">
        <v>3580</v>
      </c>
      <c r="L3054" s="7" t="s">
        <v>20</v>
      </c>
      <c r="M3054" s="7" t="s">
        <v>3600</v>
      </c>
      <c r="N3054" s="7" t="s">
        <v>58</v>
      </c>
      <c r="O3054" s="10" t="n">
        <f aca="false">'Exec Summary'!$E$2-H3054</f>
        <v>155</v>
      </c>
      <c r="P3054" s="10" t="str">
        <f aca="false">IF(I3054="","",I3054-H3054)</f>
        <v/>
      </c>
      <c r="Q3054" s="10" t="n">
        <f aca="false">VLOOKUP(G3054,$AA$2:$AB$5,2,FALSE())</f>
        <v>15</v>
      </c>
      <c r="R3054" s="7" t="n">
        <f aca="false">IF(OR(F3054="Open",F3054="Reopened"),1,0)</f>
        <v>1</v>
      </c>
      <c r="S3054" s="7" t="n">
        <f aca="false">IF(AND(H3054&gt;='Exec Summary'!$E$1,H3054&lt;='Exec Summary'!$E$2),1,0)</f>
        <v>0</v>
      </c>
      <c r="T3054" s="7" t="n">
        <f aca="false">IF(AND(F3054="Closed",I3054&lt;&gt;"",I3054&gt;='Exec Summary'!$E$1,I3054&lt;='Exec Summary'!$E$2),1,0)</f>
        <v>0</v>
      </c>
      <c r="U3054" s="7" t="n">
        <f aca="false">IF(F3054="Reopened",1,0)</f>
        <v>0</v>
      </c>
      <c r="V3054" s="7" t="n">
        <f aca="false">IF(AND(R3054=1,O3054&gt;Q3054),1,0)</f>
        <v>1</v>
      </c>
      <c r="W3054" s="7" t="n">
        <f aca="false">IF(AND(T3054=1,P3054&lt;&gt;"",P3054&lt;=Q3054),1,0)</f>
        <v>0</v>
      </c>
    </row>
    <row r="3055" customFormat="false" ht="15" hidden="false" customHeight="false" outlineLevel="0" collapsed="false">
      <c r="A3055" s="7" t="s">
        <v>3597</v>
      </c>
      <c r="B3055" s="7" t="s">
        <v>46</v>
      </c>
      <c r="C3055" s="7" t="s">
        <v>177</v>
      </c>
      <c r="D3055" s="7" t="s">
        <v>71</v>
      </c>
      <c r="E3055" s="7" t="s">
        <v>72</v>
      </c>
      <c r="F3055" s="7" t="s">
        <v>56</v>
      </c>
      <c r="G3055" s="7" t="s">
        <v>19</v>
      </c>
      <c r="H3055" s="9" t="n">
        <v>46034</v>
      </c>
      <c r="I3055" s="9"/>
      <c r="J3055" s="7" t="n">
        <v>9.8</v>
      </c>
      <c r="K3055" s="7" t="s">
        <v>3580</v>
      </c>
      <c r="L3055" s="7" t="s">
        <v>20</v>
      </c>
      <c r="M3055" s="7" t="s">
        <v>3601</v>
      </c>
      <c r="N3055" s="7" t="s">
        <v>58</v>
      </c>
      <c r="O3055" s="10" t="n">
        <f aca="false">'Exec Summary'!$E$2-H3055</f>
        <v>200</v>
      </c>
      <c r="P3055" s="10" t="str">
        <f aca="false">IF(I3055="","",I3055-H3055)</f>
        <v/>
      </c>
      <c r="Q3055" s="10" t="n">
        <f aca="false">VLOOKUP(G3055,$AA$2:$AB$5,2,FALSE())</f>
        <v>15</v>
      </c>
      <c r="R3055" s="7" t="n">
        <f aca="false">IF(OR(F3055="Open",F3055="Reopened"),1,0)</f>
        <v>1</v>
      </c>
      <c r="S3055" s="7" t="n">
        <f aca="false">IF(AND(H3055&gt;='Exec Summary'!$E$1,H3055&lt;='Exec Summary'!$E$2),1,0)</f>
        <v>0</v>
      </c>
      <c r="T3055" s="7" t="n">
        <f aca="false">IF(AND(F3055="Closed",I3055&lt;&gt;"",I3055&gt;='Exec Summary'!$E$1,I3055&lt;='Exec Summary'!$E$2),1,0)</f>
        <v>0</v>
      </c>
      <c r="U3055" s="7" t="n">
        <f aca="false">IF(F3055="Reopened",1,0)</f>
        <v>0</v>
      </c>
      <c r="V3055" s="7" t="n">
        <f aca="false">IF(AND(R3055=1,O3055&gt;Q3055),1,0)</f>
        <v>1</v>
      </c>
      <c r="W3055" s="7" t="n">
        <f aca="false">IF(AND(T3055=1,P3055&lt;&gt;"",P3055&lt;=Q3055),1,0)</f>
        <v>0</v>
      </c>
    </row>
    <row r="3056" customFormat="false" ht="15" hidden="false" customHeight="false" outlineLevel="0" collapsed="false">
      <c r="A3056" s="7" t="s">
        <v>3597</v>
      </c>
      <c r="B3056" s="7" t="s">
        <v>46</v>
      </c>
      <c r="C3056" s="7" t="s">
        <v>177</v>
      </c>
      <c r="D3056" s="7" t="s">
        <v>48</v>
      </c>
      <c r="E3056" s="7" t="s">
        <v>49</v>
      </c>
      <c r="F3056" s="7" t="s">
        <v>56</v>
      </c>
      <c r="G3056" s="7" t="s">
        <v>20</v>
      </c>
      <c r="H3056" s="9" t="n">
        <v>45998</v>
      </c>
      <c r="I3056" s="9"/>
      <c r="J3056" s="7" t="n">
        <v>7.5</v>
      </c>
      <c r="K3056" s="7" t="s">
        <v>3580</v>
      </c>
      <c r="L3056" s="7" t="s">
        <v>20</v>
      </c>
      <c r="M3056" s="7" t="s">
        <v>3602</v>
      </c>
      <c r="N3056" s="7" t="s">
        <v>53</v>
      </c>
      <c r="O3056" s="10" t="n">
        <f aca="false">'Exec Summary'!$E$2-H3056</f>
        <v>236</v>
      </c>
      <c r="P3056" s="10" t="str">
        <f aca="false">IF(I3056="","",I3056-H3056)</f>
        <v/>
      </c>
      <c r="Q3056" s="10" t="n">
        <f aca="false">VLOOKUP(G3056,$AA$2:$AB$5,2,FALSE())</f>
        <v>30</v>
      </c>
      <c r="R3056" s="7" t="n">
        <f aca="false">IF(OR(F3056="Open",F3056="Reopened"),1,0)</f>
        <v>1</v>
      </c>
      <c r="S3056" s="7" t="n">
        <f aca="false">IF(AND(H3056&gt;='Exec Summary'!$E$1,H3056&lt;='Exec Summary'!$E$2),1,0)</f>
        <v>0</v>
      </c>
      <c r="T3056" s="7" t="n">
        <f aca="false">IF(AND(F3056="Closed",I3056&lt;&gt;"",I3056&gt;='Exec Summary'!$E$1,I3056&lt;='Exec Summary'!$E$2),1,0)</f>
        <v>0</v>
      </c>
      <c r="U3056" s="7" t="n">
        <f aca="false">IF(F3056="Reopened",1,0)</f>
        <v>0</v>
      </c>
      <c r="V3056" s="7" t="n">
        <f aca="false">IF(AND(R3056=1,O3056&gt;Q3056),1,0)</f>
        <v>1</v>
      </c>
      <c r="W3056" s="7" t="n">
        <f aca="false">IF(AND(T3056=1,P3056&lt;&gt;"",P3056&lt;=Q3056),1,0)</f>
        <v>0</v>
      </c>
    </row>
    <row r="3057" customFormat="false" ht="15" hidden="false" customHeight="false" outlineLevel="0" collapsed="false">
      <c r="A3057" s="7" t="s">
        <v>3597</v>
      </c>
      <c r="B3057" s="7" t="s">
        <v>46</v>
      </c>
      <c r="C3057" s="7" t="s">
        <v>177</v>
      </c>
      <c r="D3057" s="7" t="s">
        <v>74</v>
      </c>
      <c r="E3057" s="7" t="s">
        <v>75</v>
      </c>
      <c r="F3057" s="7" t="s">
        <v>50</v>
      </c>
      <c r="G3057" s="7" t="s">
        <v>21</v>
      </c>
      <c r="H3057" s="9" t="n">
        <v>45981</v>
      </c>
      <c r="I3057" s="9" t="n">
        <v>46095</v>
      </c>
      <c r="J3057" s="7" t="n">
        <v>6.5</v>
      </c>
      <c r="K3057" s="7" t="s">
        <v>3580</v>
      </c>
      <c r="L3057" s="7" t="s">
        <v>20</v>
      </c>
      <c r="M3057" s="7" t="s">
        <v>3603</v>
      </c>
      <c r="N3057" s="7" t="s">
        <v>77</v>
      </c>
      <c r="O3057" s="10" t="n">
        <f aca="false">'Exec Summary'!$E$2-H3057</f>
        <v>253</v>
      </c>
      <c r="P3057" s="10" t="n">
        <f aca="false">IF(I3057="","",I3057-H3057)</f>
        <v>114</v>
      </c>
      <c r="Q3057" s="10" t="n">
        <f aca="false">VLOOKUP(G3057,$AA$2:$AB$5,2,FALSE())</f>
        <v>90</v>
      </c>
      <c r="R3057" s="7" t="n">
        <f aca="false">IF(OR(F3057="Open",F3057="Reopened"),1,0)</f>
        <v>0</v>
      </c>
      <c r="S3057" s="7" t="n">
        <f aca="false">IF(AND(H3057&gt;='Exec Summary'!$E$1,H3057&lt;='Exec Summary'!$E$2),1,0)</f>
        <v>0</v>
      </c>
      <c r="T3057" s="7" t="n">
        <f aca="false">IF(AND(F3057="Closed",I3057&lt;&gt;"",I3057&gt;='Exec Summary'!$E$1,I3057&lt;='Exec Summary'!$E$2),1,0)</f>
        <v>0</v>
      </c>
      <c r="U3057" s="7" t="n">
        <f aca="false">IF(F3057="Reopened",1,0)</f>
        <v>0</v>
      </c>
      <c r="V3057" s="7" t="n">
        <f aca="false">IF(AND(R3057=1,O3057&gt;Q3057),1,0)</f>
        <v>0</v>
      </c>
      <c r="W3057" s="7" t="n">
        <f aca="false">IF(AND(T3057=1,P3057&lt;&gt;"",P3057&lt;=Q3057),1,0)</f>
        <v>0</v>
      </c>
    </row>
    <row r="3058" customFormat="false" ht="15" hidden="false" customHeight="false" outlineLevel="0" collapsed="false">
      <c r="A3058" s="7" t="s">
        <v>3597</v>
      </c>
      <c r="B3058" s="7" t="s">
        <v>46</v>
      </c>
      <c r="C3058" s="7" t="s">
        <v>177</v>
      </c>
      <c r="D3058" s="7" t="s">
        <v>68</v>
      </c>
      <c r="E3058" s="7" t="s">
        <v>69</v>
      </c>
      <c r="F3058" s="7" t="s">
        <v>50</v>
      </c>
      <c r="G3058" s="7" t="s">
        <v>19</v>
      </c>
      <c r="H3058" s="9" t="n">
        <v>46222</v>
      </c>
      <c r="I3058" s="9" t="n">
        <v>46234</v>
      </c>
      <c r="J3058" s="7" t="n">
        <v>9.8</v>
      </c>
      <c r="K3058" s="7" t="s">
        <v>3580</v>
      </c>
      <c r="L3058" s="7" t="s">
        <v>20</v>
      </c>
      <c r="M3058" s="7" t="s">
        <v>3604</v>
      </c>
      <c r="N3058" s="7" t="s">
        <v>58</v>
      </c>
      <c r="O3058" s="10" t="n">
        <f aca="false">'Exec Summary'!$E$2-H3058</f>
        <v>12</v>
      </c>
      <c r="P3058" s="10" t="n">
        <f aca="false">IF(I3058="","",I3058-H3058)</f>
        <v>12</v>
      </c>
      <c r="Q3058" s="10" t="n">
        <f aca="false">VLOOKUP(G3058,$AA$2:$AB$5,2,FALSE())</f>
        <v>15</v>
      </c>
      <c r="R3058" s="7" t="n">
        <f aca="false">IF(OR(F3058="Open",F3058="Reopened"),1,0)</f>
        <v>0</v>
      </c>
      <c r="S3058" s="7" t="n">
        <f aca="false">IF(AND(H3058&gt;='Exec Summary'!$E$1,H3058&lt;='Exec Summary'!$E$2),1,0)</f>
        <v>1</v>
      </c>
      <c r="T3058" s="7" t="n">
        <f aca="false">IF(AND(F3058="Closed",I3058&lt;&gt;"",I3058&gt;='Exec Summary'!$E$1,I3058&lt;='Exec Summary'!$E$2),1,0)</f>
        <v>1</v>
      </c>
      <c r="U3058" s="7" t="n">
        <f aca="false">IF(F3058="Reopened",1,0)</f>
        <v>0</v>
      </c>
      <c r="V3058" s="7" t="n">
        <f aca="false">IF(AND(R3058=1,O3058&gt;Q3058),1,0)</f>
        <v>0</v>
      </c>
      <c r="W3058" s="7" t="n">
        <f aca="false">IF(AND(T3058=1,P3058&lt;&gt;"",P3058&lt;=Q3058),1,0)</f>
        <v>1</v>
      </c>
    </row>
    <row r="3059" customFormat="false" ht="15" hidden="false" customHeight="false" outlineLevel="0" collapsed="false">
      <c r="A3059" s="7" t="s">
        <v>3597</v>
      </c>
      <c r="B3059" s="7" t="s">
        <v>46</v>
      </c>
      <c r="C3059" s="7" t="s">
        <v>177</v>
      </c>
      <c r="D3059" s="7" t="s">
        <v>62</v>
      </c>
      <c r="E3059" s="7" t="s">
        <v>63</v>
      </c>
      <c r="F3059" s="7" t="s">
        <v>56</v>
      </c>
      <c r="G3059" s="7" t="s">
        <v>20</v>
      </c>
      <c r="H3059" s="9" t="n">
        <v>45957</v>
      </c>
      <c r="I3059" s="9"/>
      <c r="J3059" s="7" t="n">
        <v>8.1</v>
      </c>
      <c r="K3059" s="7" t="s">
        <v>3580</v>
      </c>
      <c r="L3059" s="7" t="s">
        <v>20</v>
      </c>
      <c r="M3059" s="7" t="s">
        <v>3605</v>
      </c>
      <c r="N3059" s="7" t="s">
        <v>53</v>
      </c>
      <c r="O3059" s="10" t="n">
        <f aca="false">'Exec Summary'!$E$2-H3059</f>
        <v>277</v>
      </c>
      <c r="P3059" s="10" t="str">
        <f aca="false">IF(I3059="","",I3059-H3059)</f>
        <v/>
      </c>
      <c r="Q3059" s="10" t="n">
        <f aca="false">VLOOKUP(G3059,$AA$2:$AB$5,2,FALSE())</f>
        <v>30</v>
      </c>
      <c r="R3059" s="7" t="n">
        <f aca="false">IF(OR(F3059="Open",F3059="Reopened"),1,0)</f>
        <v>1</v>
      </c>
      <c r="S3059" s="7" t="n">
        <f aca="false">IF(AND(H3059&gt;='Exec Summary'!$E$1,H3059&lt;='Exec Summary'!$E$2),1,0)</f>
        <v>0</v>
      </c>
      <c r="T3059" s="7" t="n">
        <f aca="false">IF(AND(F3059="Closed",I3059&lt;&gt;"",I3059&gt;='Exec Summary'!$E$1,I3059&lt;='Exec Summary'!$E$2),1,0)</f>
        <v>0</v>
      </c>
      <c r="U3059" s="7" t="n">
        <f aca="false">IF(F3059="Reopened",1,0)</f>
        <v>0</v>
      </c>
      <c r="V3059" s="7" t="n">
        <f aca="false">IF(AND(R3059=1,O3059&gt;Q3059),1,0)</f>
        <v>1</v>
      </c>
      <c r="W3059" s="7" t="n">
        <f aca="false">IF(AND(T3059=1,P3059&lt;&gt;"",P3059&lt;=Q3059),1,0)</f>
        <v>0</v>
      </c>
    </row>
    <row r="3060" customFormat="false" ht="15" hidden="false" customHeight="false" outlineLevel="0" collapsed="false">
      <c r="A3060" s="7" t="s">
        <v>3597</v>
      </c>
      <c r="B3060" s="7" t="s">
        <v>46</v>
      </c>
      <c r="C3060" s="7" t="s">
        <v>177</v>
      </c>
      <c r="D3060" s="7" t="s">
        <v>108</v>
      </c>
      <c r="E3060" s="7" t="s">
        <v>109</v>
      </c>
      <c r="F3060" s="7" t="s">
        <v>56</v>
      </c>
      <c r="G3060" s="7" t="s">
        <v>20</v>
      </c>
      <c r="H3060" s="9" t="n">
        <v>46041</v>
      </c>
      <c r="I3060" s="9"/>
      <c r="J3060" s="7" t="n">
        <v>8.6</v>
      </c>
      <c r="K3060" s="7" t="s">
        <v>3580</v>
      </c>
      <c r="L3060" s="7" t="s">
        <v>20</v>
      </c>
      <c r="M3060" s="7" t="s">
        <v>3606</v>
      </c>
      <c r="N3060" s="7" t="s">
        <v>53</v>
      </c>
      <c r="O3060" s="10" t="n">
        <f aca="false">'Exec Summary'!$E$2-H3060</f>
        <v>193</v>
      </c>
      <c r="P3060" s="10" t="str">
        <f aca="false">IF(I3060="","",I3060-H3060)</f>
        <v/>
      </c>
      <c r="Q3060" s="10" t="n">
        <f aca="false">VLOOKUP(G3060,$AA$2:$AB$5,2,FALSE())</f>
        <v>30</v>
      </c>
      <c r="R3060" s="7" t="n">
        <f aca="false">IF(OR(F3060="Open",F3060="Reopened"),1,0)</f>
        <v>1</v>
      </c>
      <c r="S3060" s="7" t="n">
        <f aca="false">IF(AND(H3060&gt;='Exec Summary'!$E$1,H3060&lt;='Exec Summary'!$E$2),1,0)</f>
        <v>0</v>
      </c>
      <c r="T3060" s="7" t="n">
        <f aca="false">IF(AND(F3060="Closed",I3060&lt;&gt;"",I3060&gt;='Exec Summary'!$E$1,I3060&lt;='Exec Summary'!$E$2),1,0)</f>
        <v>0</v>
      </c>
      <c r="U3060" s="7" t="n">
        <f aca="false">IF(F3060="Reopened",1,0)</f>
        <v>0</v>
      </c>
      <c r="V3060" s="7" t="n">
        <f aca="false">IF(AND(R3060=1,O3060&gt;Q3060),1,0)</f>
        <v>1</v>
      </c>
      <c r="W3060" s="7" t="n">
        <f aca="false">IF(AND(T3060=1,P3060&lt;&gt;"",P3060&lt;=Q3060),1,0)</f>
        <v>0</v>
      </c>
    </row>
    <row r="3061" customFormat="false" ht="15" hidden="false" customHeight="false" outlineLevel="0" collapsed="false">
      <c r="A3061" s="7" t="s">
        <v>3597</v>
      </c>
      <c r="B3061" s="7" t="s">
        <v>46</v>
      </c>
      <c r="C3061" s="7" t="s">
        <v>177</v>
      </c>
      <c r="D3061" s="7" t="s">
        <v>192</v>
      </c>
      <c r="E3061" s="7" t="s">
        <v>193</v>
      </c>
      <c r="F3061" s="7" t="s">
        <v>50</v>
      </c>
      <c r="G3061" s="7" t="s">
        <v>19</v>
      </c>
      <c r="H3061" s="9" t="n">
        <v>45949</v>
      </c>
      <c r="I3061" s="9" t="n">
        <v>45956</v>
      </c>
      <c r="J3061" s="7" t="n">
        <v>9.8</v>
      </c>
      <c r="K3061" s="7" t="s">
        <v>3580</v>
      </c>
      <c r="L3061" s="7" t="s">
        <v>20</v>
      </c>
      <c r="M3061" s="7" t="s">
        <v>3607</v>
      </c>
      <c r="N3061" s="7" t="s">
        <v>58</v>
      </c>
      <c r="O3061" s="10" t="n">
        <f aca="false">'Exec Summary'!$E$2-H3061</f>
        <v>285</v>
      </c>
      <c r="P3061" s="10" t="n">
        <f aca="false">IF(I3061="","",I3061-H3061)</f>
        <v>7</v>
      </c>
      <c r="Q3061" s="10" t="n">
        <f aca="false">VLOOKUP(G3061,$AA$2:$AB$5,2,FALSE())</f>
        <v>15</v>
      </c>
      <c r="R3061" s="7" t="n">
        <f aca="false">IF(OR(F3061="Open",F3061="Reopened"),1,0)</f>
        <v>0</v>
      </c>
      <c r="S3061" s="7" t="n">
        <f aca="false">IF(AND(H3061&gt;='Exec Summary'!$E$1,H3061&lt;='Exec Summary'!$E$2),1,0)</f>
        <v>0</v>
      </c>
      <c r="T3061" s="7" t="n">
        <f aca="false">IF(AND(F3061="Closed",I3061&lt;&gt;"",I3061&gt;='Exec Summary'!$E$1,I3061&lt;='Exec Summary'!$E$2),1,0)</f>
        <v>0</v>
      </c>
      <c r="U3061" s="7" t="n">
        <f aca="false">IF(F3061="Reopened",1,0)</f>
        <v>0</v>
      </c>
      <c r="V3061" s="7" t="n">
        <f aca="false">IF(AND(R3061=1,O3061&gt;Q3061),1,0)</f>
        <v>0</v>
      </c>
      <c r="W3061" s="7" t="n">
        <f aca="false">IF(AND(T3061=1,P3061&lt;&gt;"",P3061&lt;=Q3061),1,0)</f>
        <v>0</v>
      </c>
    </row>
    <row r="3062" customFormat="false" ht="15" hidden="false" customHeight="false" outlineLevel="0" collapsed="false">
      <c r="A3062" s="7" t="s">
        <v>3597</v>
      </c>
      <c r="B3062" s="7" t="s">
        <v>46</v>
      </c>
      <c r="C3062" s="7" t="s">
        <v>177</v>
      </c>
      <c r="D3062" s="7" t="s">
        <v>131</v>
      </c>
      <c r="E3062" s="7" t="s">
        <v>132</v>
      </c>
      <c r="F3062" s="7" t="s">
        <v>56</v>
      </c>
      <c r="G3062" s="7" t="s">
        <v>19</v>
      </c>
      <c r="H3062" s="9" t="n">
        <v>46059</v>
      </c>
      <c r="I3062" s="9"/>
      <c r="J3062" s="7" t="n">
        <v>9.8</v>
      </c>
      <c r="K3062" s="7" t="s">
        <v>3580</v>
      </c>
      <c r="L3062" s="7" t="s">
        <v>20</v>
      </c>
      <c r="M3062" s="7" t="s">
        <v>3608</v>
      </c>
      <c r="N3062" s="7" t="s">
        <v>58</v>
      </c>
      <c r="O3062" s="10" t="n">
        <f aca="false">'Exec Summary'!$E$2-H3062</f>
        <v>175</v>
      </c>
      <c r="P3062" s="10" t="str">
        <f aca="false">IF(I3062="","",I3062-H3062)</f>
        <v/>
      </c>
      <c r="Q3062" s="10" t="n">
        <f aca="false">VLOOKUP(G3062,$AA$2:$AB$5,2,FALSE())</f>
        <v>15</v>
      </c>
      <c r="R3062" s="7" t="n">
        <f aca="false">IF(OR(F3062="Open",F3062="Reopened"),1,0)</f>
        <v>1</v>
      </c>
      <c r="S3062" s="7" t="n">
        <f aca="false">IF(AND(H3062&gt;='Exec Summary'!$E$1,H3062&lt;='Exec Summary'!$E$2),1,0)</f>
        <v>0</v>
      </c>
      <c r="T3062" s="7" t="n">
        <f aca="false">IF(AND(F3062="Closed",I3062&lt;&gt;"",I3062&gt;='Exec Summary'!$E$1,I3062&lt;='Exec Summary'!$E$2),1,0)</f>
        <v>0</v>
      </c>
      <c r="U3062" s="7" t="n">
        <f aca="false">IF(F3062="Reopened",1,0)</f>
        <v>0</v>
      </c>
      <c r="V3062" s="7" t="n">
        <f aca="false">IF(AND(R3062=1,O3062&gt;Q3062),1,0)</f>
        <v>1</v>
      </c>
      <c r="W3062" s="7" t="n">
        <f aca="false">IF(AND(T3062=1,P3062&lt;&gt;"",P3062&lt;=Q3062),1,0)</f>
        <v>0</v>
      </c>
    </row>
    <row r="3063" customFormat="false" ht="15" hidden="false" customHeight="false" outlineLevel="0" collapsed="false">
      <c r="A3063" s="7" t="s">
        <v>3597</v>
      </c>
      <c r="B3063" s="7" t="s">
        <v>46</v>
      </c>
      <c r="C3063" s="7" t="s">
        <v>177</v>
      </c>
      <c r="D3063" s="7" t="s">
        <v>117</v>
      </c>
      <c r="E3063" s="7" t="s">
        <v>118</v>
      </c>
      <c r="F3063" s="7" t="s">
        <v>50</v>
      </c>
      <c r="G3063" s="7" t="s">
        <v>19</v>
      </c>
      <c r="H3063" s="9" t="n">
        <v>46086</v>
      </c>
      <c r="I3063" s="9" t="n">
        <v>46093</v>
      </c>
      <c r="J3063" s="7" t="n">
        <v>10</v>
      </c>
      <c r="K3063" s="7" t="s">
        <v>3580</v>
      </c>
      <c r="L3063" s="7" t="s">
        <v>20</v>
      </c>
      <c r="M3063" s="7" t="s">
        <v>3609</v>
      </c>
      <c r="N3063" s="7" t="s">
        <v>58</v>
      </c>
      <c r="O3063" s="10" t="n">
        <f aca="false">'Exec Summary'!$E$2-H3063</f>
        <v>148</v>
      </c>
      <c r="P3063" s="10" t="n">
        <f aca="false">IF(I3063="","",I3063-H3063)</f>
        <v>7</v>
      </c>
      <c r="Q3063" s="10" t="n">
        <f aca="false">VLOOKUP(G3063,$AA$2:$AB$5,2,FALSE())</f>
        <v>15</v>
      </c>
      <c r="R3063" s="7" t="n">
        <f aca="false">IF(OR(F3063="Open",F3063="Reopened"),1,0)</f>
        <v>0</v>
      </c>
      <c r="S3063" s="7" t="n">
        <f aca="false">IF(AND(H3063&gt;='Exec Summary'!$E$1,H3063&lt;='Exec Summary'!$E$2),1,0)</f>
        <v>0</v>
      </c>
      <c r="T3063" s="7" t="n">
        <f aca="false">IF(AND(F3063="Closed",I3063&lt;&gt;"",I3063&gt;='Exec Summary'!$E$1,I3063&lt;='Exec Summary'!$E$2),1,0)</f>
        <v>0</v>
      </c>
      <c r="U3063" s="7" t="n">
        <f aca="false">IF(F3063="Reopened",1,0)</f>
        <v>0</v>
      </c>
      <c r="V3063" s="7" t="n">
        <f aca="false">IF(AND(R3063=1,O3063&gt;Q3063),1,0)</f>
        <v>0</v>
      </c>
      <c r="W3063" s="7" t="n">
        <f aca="false">IF(AND(T3063=1,P3063&lt;&gt;"",P3063&lt;=Q3063),1,0)</f>
        <v>0</v>
      </c>
    </row>
    <row r="3064" customFormat="false" ht="15" hidden="false" customHeight="false" outlineLevel="0" collapsed="false">
      <c r="A3064" s="7" t="s">
        <v>3597</v>
      </c>
      <c r="B3064" s="7" t="s">
        <v>46</v>
      </c>
      <c r="C3064" s="7" t="s">
        <v>177</v>
      </c>
      <c r="D3064" s="7" t="s">
        <v>206</v>
      </c>
      <c r="E3064" s="7" t="s">
        <v>207</v>
      </c>
      <c r="F3064" s="7" t="s">
        <v>50</v>
      </c>
      <c r="G3064" s="7" t="s">
        <v>20</v>
      </c>
      <c r="H3064" s="9" t="n">
        <v>46159</v>
      </c>
      <c r="I3064" s="9" t="n">
        <v>46169</v>
      </c>
      <c r="J3064" s="7" t="n">
        <v>8.8</v>
      </c>
      <c r="K3064" s="7" t="s">
        <v>3580</v>
      </c>
      <c r="L3064" s="7" t="s">
        <v>20</v>
      </c>
      <c r="M3064" s="7" t="s">
        <v>3610</v>
      </c>
      <c r="N3064" s="7" t="s">
        <v>53</v>
      </c>
      <c r="O3064" s="10" t="n">
        <f aca="false">'Exec Summary'!$E$2-H3064</f>
        <v>75</v>
      </c>
      <c r="P3064" s="10" t="n">
        <f aca="false">IF(I3064="","",I3064-H3064)</f>
        <v>10</v>
      </c>
      <c r="Q3064" s="10" t="n">
        <f aca="false">VLOOKUP(G3064,$AA$2:$AB$5,2,FALSE())</f>
        <v>30</v>
      </c>
      <c r="R3064" s="7" t="n">
        <f aca="false">IF(OR(F3064="Open",F3064="Reopened"),1,0)</f>
        <v>0</v>
      </c>
      <c r="S3064" s="7" t="n">
        <f aca="false">IF(AND(H3064&gt;='Exec Summary'!$E$1,H3064&lt;='Exec Summary'!$E$2),1,0)</f>
        <v>0</v>
      </c>
      <c r="T3064" s="7" t="n">
        <f aca="false">IF(AND(F3064="Closed",I3064&lt;&gt;"",I3064&gt;='Exec Summary'!$E$1,I3064&lt;='Exec Summary'!$E$2),1,0)</f>
        <v>0</v>
      </c>
      <c r="U3064" s="7" t="n">
        <f aca="false">IF(F3064="Reopened",1,0)</f>
        <v>0</v>
      </c>
      <c r="V3064" s="7" t="n">
        <f aca="false">IF(AND(R3064=1,O3064&gt;Q3064),1,0)</f>
        <v>0</v>
      </c>
      <c r="W3064" s="7" t="n">
        <f aca="false">IF(AND(T3064=1,P3064&lt;&gt;"",P3064&lt;=Q3064),1,0)</f>
        <v>0</v>
      </c>
    </row>
    <row r="3065" customFormat="false" ht="15" hidden="false" customHeight="false" outlineLevel="0" collapsed="false">
      <c r="A3065" s="7" t="s">
        <v>3597</v>
      </c>
      <c r="B3065" s="7" t="s">
        <v>46</v>
      </c>
      <c r="C3065" s="7" t="s">
        <v>177</v>
      </c>
      <c r="D3065" s="7" t="s">
        <v>87</v>
      </c>
      <c r="E3065" s="7" t="s">
        <v>88</v>
      </c>
      <c r="F3065" s="7" t="s">
        <v>56</v>
      </c>
      <c r="G3065" s="7" t="s">
        <v>19</v>
      </c>
      <c r="H3065" s="9" t="n">
        <v>46110</v>
      </c>
      <c r="I3065" s="9"/>
      <c r="J3065" s="7" t="n">
        <v>10</v>
      </c>
      <c r="K3065" s="7" t="s">
        <v>3580</v>
      </c>
      <c r="L3065" s="7" t="s">
        <v>20</v>
      </c>
      <c r="M3065" s="7" t="s">
        <v>3611</v>
      </c>
      <c r="N3065" s="7" t="s">
        <v>58</v>
      </c>
      <c r="O3065" s="10" t="n">
        <f aca="false">'Exec Summary'!$E$2-H3065</f>
        <v>124</v>
      </c>
      <c r="P3065" s="10" t="str">
        <f aca="false">IF(I3065="","",I3065-H3065)</f>
        <v/>
      </c>
      <c r="Q3065" s="10" t="n">
        <f aca="false">VLOOKUP(G3065,$AA$2:$AB$5,2,FALSE())</f>
        <v>15</v>
      </c>
      <c r="R3065" s="7" t="n">
        <f aca="false">IF(OR(F3065="Open",F3065="Reopened"),1,0)</f>
        <v>1</v>
      </c>
      <c r="S3065" s="7" t="n">
        <f aca="false">IF(AND(H3065&gt;='Exec Summary'!$E$1,H3065&lt;='Exec Summary'!$E$2),1,0)</f>
        <v>0</v>
      </c>
      <c r="T3065" s="7" t="n">
        <f aca="false">IF(AND(F3065="Closed",I3065&lt;&gt;"",I3065&gt;='Exec Summary'!$E$1,I3065&lt;='Exec Summary'!$E$2),1,0)</f>
        <v>0</v>
      </c>
      <c r="U3065" s="7" t="n">
        <f aca="false">IF(F3065="Reopened",1,0)</f>
        <v>0</v>
      </c>
      <c r="V3065" s="7" t="n">
        <f aca="false">IF(AND(R3065=1,O3065&gt;Q3065),1,0)</f>
        <v>1</v>
      </c>
      <c r="W3065" s="7" t="n">
        <f aca="false">IF(AND(T3065=1,P3065&lt;&gt;"",P3065&lt;=Q3065),1,0)</f>
        <v>0</v>
      </c>
    </row>
    <row r="3066" customFormat="false" ht="15" hidden="false" customHeight="false" outlineLevel="0" collapsed="false">
      <c r="A3066" s="7" t="s">
        <v>3612</v>
      </c>
      <c r="B3066" s="7" t="s">
        <v>135</v>
      </c>
      <c r="C3066" s="7" t="s">
        <v>247</v>
      </c>
      <c r="D3066" s="7" t="s">
        <v>95</v>
      </c>
      <c r="E3066" s="7" t="s">
        <v>96</v>
      </c>
      <c r="F3066" s="7" t="s">
        <v>123</v>
      </c>
      <c r="G3066" s="7" t="s">
        <v>20</v>
      </c>
      <c r="H3066" s="9" t="n">
        <v>46060</v>
      </c>
      <c r="I3066" s="9" t="n">
        <v>46085</v>
      </c>
      <c r="J3066" s="7" t="n">
        <v>8.8</v>
      </c>
      <c r="K3066" s="7" t="s">
        <v>3580</v>
      </c>
      <c r="L3066" s="7" t="s">
        <v>20</v>
      </c>
      <c r="M3066" s="7" t="s">
        <v>3613</v>
      </c>
      <c r="N3066" s="7" t="s">
        <v>53</v>
      </c>
      <c r="O3066" s="10" t="n">
        <f aca="false">'Exec Summary'!$E$2-H3066</f>
        <v>174</v>
      </c>
      <c r="P3066" s="10" t="n">
        <f aca="false">IF(I3066="","",I3066-H3066)</f>
        <v>25</v>
      </c>
      <c r="Q3066" s="10" t="n">
        <f aca="false">VLOOKUP(G3066,$AA$2:$AB$5,2,FALSE())</f>
        <v>30</v>
      </c>
      <c r="R3066" s="7" t="n">
        <f aca="false">IF(OR(F3066="Open",F3066="Reopened"),1,0)</f>
        <v>1</v>
      </c>
      <c r="S3066" s="7" t="n">
        <f aca="false">IF(AND(H3066&gt;='Exec Summary'!$E$1,H3066&lt;='Exec Summary'!$E$2),1,0)</f>
        <v>0</v>
      </c>
      <c r="T3066" s="7" t="n">
        <f aca="false">IF(AND(F3066="Closed",I3066&lt;&gt;"",I3066&gt;='Exec Summary'!$E$1,I3066&lt;='Exec Summary'!$E$2),1,0)</f>
        <v>0</v>
      </c>
      <c r="U3066" s="7" t="n">
        <f aca="false">IF(F3066="Reopened",1,0)</f>
        <v>1</v>
      </c>
      <c r="V3066" s="7" t="n">
        <f aca="false">IF(AND(R3066=1,O3066&gt;Q3066),1,0)</f>
        <v>1</v>
      </c>
      <c r="W3066" s="7" t="n">
        <f aca="false">IF(AND(T3066=1,P3066&lt;&gt;"",P3066&lt;=Q3066),1,0)</f>
        <v>0</v>
      </c>
    </row>
    <row r="3067" customFormat="false" ht="15" hidden="false" customHeight="false" outlineLevel="0" collapsed="false">
      <c r="A3067" s="7" t="s">
        <v>3612</v>
      </c>
      <c r="B3067" s="7" t="s">
        <v>135</v>
      </c>
      <c r="C3067" s="7" t="s">
        <v>247</v>
      </c>
      <c r="D3067" s="7" t="s">
        <v>112</v>
      </c>
      <c r="E3067" s="7" t="s">
        <v>113</v>
      </c>
      <c r="F3067" s="7" t="s">
        <v>50</v>
      </c>
      <c r="G3067" s="7" t="s">
        <v>20</v>
      </c>
      <c r="H3067" s="9" t="n">
        <v>46148</v>
      </c>
      <c r="I3067" s="9" t="n">
        <v>46175</v>
      </c>
      <c r="J3067" s="7" t="n">
        <v>7.8</v>
      </c>
      <c r="K3067" s="7" t="s">
        <v>3580</v>
      </c>
      <c r="L3067" s="7" t="s">
        <v>20</v>
      </c>
      <c r="M3067" s="7" t="s">
        <v>3614</v>
      </c>
      <c r="N3067" s="7" t="s">
        <v>53</v>
      </c>
      <c r="O3067" s="10" t="n">
        <f aca="false">'Exec Summary'!$E$2-H3067</f>
        <v>86</v>
      </c>
      <c r="P3067" s="10" t="n">
        <f aca="false">IF(I3067="","",I3067-H3067)</f>
        <v>27</v>
      </c>
      <c r="Q3067" s="10" t="n">
        <f aca="false">VLOOKUP(G3067,$AA$2:$AB$5,2,FALSE())</f>
        <v>30</v>
      </c>
      <c r="R3067" s="7" t="n">
        <f aca="false">IF(OR(F3067="Open",F3067="Reopened"),1,0)</f>
        <v>0</v>
      </c>
      <c r="S3067" s="7" t="n">
        <f aca="false">IF(AND(H3067&gt;='Exec Summary'!$E$1,H3067&lt;='Exec Summary'!$E$2),1,0)</f>
        <v>0</v>
      </c>
      <c r="T3067" s="7" t="n">
        <f aca="false">IF(AND(F3067="Closed",I3067&lt;&gt;"",I3067&gt;='Exec Summary'!$E$1,I3067&lt;='Exec Summary'!$E$2),1,0)</f>
        <v>0</v>
      </c>
      <c r="U3067" s="7" t="n">
        <f aca="false">IF(F3067="Reopened",1,0)</f>
        <v>0</v>
      </c>
      <c r="V3067" s="7" t="n">
        <f aca="false">IF(AND(R3067=1,O3067&gt;Q3067),1,0)</f>
        <v>0</v>
      </c>
      <c r="W3067" s="7" t="n">
        <f aca="false">IF(AND(T3067=1,P3067&lt;&gt;"",P3067&lt;=Q3067),1,0)</f>
        <v>0</v>
      </c>
    </row>
    <row r="3068" customFormat="false" ht="15" hidden="false" customHeight="false" outlineLevel="0" collapsed="false">
      <c r="A3068" s="7" t="s">
        <v>3615</v>
      </c>
      <c r="B3068" s="7" t="s">
        <v>46</v>
      </c>
      <c r="C3068" s="7" t="s">
        <v>128</v>
      </c>
      <c r="D3068" s="7" t="s">
        <v>139</v>
      </c>
      <c r="E3068" s="7" t="s">
        <v>140</v>
      </c>
      <c r="F3068" s="7" t="s">
        <v>56</v>
      </c>
      <c r="G3068" s="7" t="s">
        <v>19</v>
      </c>
      <c r="H3068" s="9" t="n">
        <v>46168</v>
      </c>
      <c r="I3068" s="9"/>
      <c r="J3068" s="7" t="n">
        <v>9.8</v>
      </c>
      <c r="K3068" s="7" t="s">
        <v>3580</v>
      </c>
      <c r="L3068" s="7" t="s">
        <v>20</v>
      </c>
      <c r="M3068" s="7" t="s">
        <v>3616</v>
      </c>
      <c r="N3068" s="7" t="s">
        <v>58</v>
      </c>
      <c r="O3068" s="10" t="n">
        <f aca="false">'Exec Summary'!$E$2-H3068</f>
        <v>66</v>
      </c>
      <c r="P3068" s="10" t="str">
        <f aca="false">IF(I3068="","",I3068-H3068)</f>
        <v/>
      </c>
      <c r="Q3068" s="10" t="n">
        <f aca="false">VLOOKUP(G3068,$AA$2:$AB$5,2,FALSE())</f>
        <v>15</v>
      </c>
      <c r="R3068" s="7" t="n">
        <f aca="false">IF(OR(F3068="Open",F3068="Reopened"),1,0)</f>
        <v>1</v>
      </c>
      <c r="S3068" s="7" t="n">
        <f aca="false">IF(AND(H3068&gt;='Exec Summary'!$E$1,H3068&lt;='Exec Summary'!$E$2),1,0)</f>
        <v>0</v>
      </c>
      <c r="T3068" s="7" t="n">
        <f aca="false">IF(AND(F3068="Closed",I3068&lt;&gt;"",I3068&gt;='Exec Summary'!$E$1,I3068&lt;='Exec Summary'!$E$2),1,0)</f>
        <v>0</v>
      </c>
      <c r="U3068" s="7" t="n">
        <f aca="false">IF(F3068="Reopened",1,0)</f>
        <v>0</v>
      </c>
      <c r="V3068" s="7" t="n">
        <f aca="false">IF(AND(R3068=1,O3068&gt;Q3068),1,0)</f>
        <v>1</v>
      </c>
      <c r="W3068" s="7" t="n">
        <f aca="false">IF(AND(T3068=1,P3068&lt;&gt;"",P3068&lt;=Q3068),1,0)</f>
        <v>0</v>
      </c>
    </row>
    <row r="3069" customFormat="false" ht="15" hidden="false" customHeight="false" outlineLevel="0" collapsed="false">
      <c r="A3069" s="7" t="s">
        <v>3615</v>
      </c>
      <c r="B3069" s="7" t="s">
        <v>46</v>
      </c>
      <c r="C3069" s="7" t="s">
        <v>128</v>
      </c>
      <c r="D3069" s="7" t="s">
        <v>101</v>
      </c>
      <c r="E3069" s="7" t="s">
        <v>102</v>
      </c>
      <c r="F3069" s="7" t="s">
        <v>50</v>
      </c>
      <c r="G3069" s="7" t="s">
        <v>19</v>
      </c>
      <c r="H3069" s="9" t="n">
        <v>46114</v>
      </c>
      <c r="I3069" s="9" t="n">
        <v>46122</v>
      </c>
      <c r="J3069" s="7" t="n">
        <v>10</v>
      </c>
      <c r="K3069" s="7" t="s">
        <v>3580</v>
      </c>
      <c r="L3069" s="7" t="s">
        <v>20</v>
      </c>
      <c r="M3069" s="7" t="s">
        <v>3617</v>
      </c>
      <c r="N3069" s="7" t="s">
        <v>58</v>
      </c>
      <c r="O3069" s="10" t="n">
        <f aca="false">'Exec Summary'!$E$2-H3069</f>
        <v>120</v>
      </c>
      <c r="P3069" s="10" t="n">
        <f aca="false">IF(I3069="","",I3069-H3069)</f>
        <v>8</v>
      </c>
      <c r="Q3069" s="10" t="n">
        <f aca="false">VLOOKUP(G3069,$AA$2:$AB$5,2,FALSE())</f>
        <v>15</v>
      </c>
      <c r="R3069" s="7" t="n">
        <f aca="false">IF(OR(F3069="Open",F3069="Reopened"),1,0)</f>
        <v>0</v>
      </c>
      <c r="S3069" s="7" t="n">
        <f aca="false">IF(AND(H3069&gt;='Exec Summary'!$E$1,H3069&lt;='Exec Summary'!$E$2),1,0)</f>
        <v>0</v>
      </c>
      <c r="T3069" s="7" t="n">
        <f aca="false">IF(AND(F3069="Closed",I3069&lt;&gt;"",I3069&gt;='Exec Summary'!$E$1,I3069&lt;='Exec Summary'!$E$2),1,0)</f>
        <v>0</v>
      </c>
      <c r="U3069" s="7" t="n">
        <f aca="false">IF(F3069="Reopened",1,0)</f>
        <v>0</v>
      </c>
      <c r="V3069" s="7" t="n">
        <f aca="false">IF(AND(R3069=1,O3069&gt;Q3069),1,0)</f>
        <v>0</v>
      </c>
      <c r="W3069" s="7" t="n">
        <f aca="false">IF(AND(T3069=1,P3069&lt;&gt;"",P3069&lt;=Q3069),1,0)</f>
        <v>0</v>
      </c>
    </row>
    <row r="3070" customFormat="false" ht="15" hidden="false" customHeight="false" outlineLevel="0" collapsed="false">
      <c r="A3070" s="7" t="s">
        <v>3615</v>
      </c>
      <c r="B3070" s="7" t="s">
        <v>46</v>
      </c>
      <c r="C3070" s="7" t="s">
        <v>128</v>
      </c>
      <c r="D3070" s="7" t="s">
        <v>84</v>
      </c>
      <c r="E3070" s="7" t="s">
        <v>85</v>
      </c>
      <c r="F3070" s="7" t="s">
        <v>50</v>
      </c>
      <c r="G3070" s="7" t="s">
        <v>20</v>
      </c>
      <c r="H3070" s="9" t="n">
        <v>46080</v>
      </c>
      <c r="I3070" s="9" t="n">
        <v>46110</v>
      </c>
      <c r="J3070" s="7" t="n">
        <v>7.5</v>
      </c>
      <c r="K3070" s="7" t="s">
        <v>3580</v>
      </c>
      <c r="L3070" s="7" t="s">
        <v>20</v>
      </c>
      <c r="M3070" s="7" t="s">
        <v>3618</v>
      </c>
      <c r="N3070" s="7" t="s">
        <v>53</v>
      </c>
      <c r="O3070" s="10" t="n">
        <f aca="false">'Exec Summary'!$E$2-H3070</f>
        <v>154</v>
      </c>
      <c r="P3070" s="10" t="n">
        <f aca="false">IF(I3070="","",I3070-H3070)</f>
        <v>30</v>
      </c>
      <c r="Q3070" s="10" t="n">
        <f aca="false">VLOOKUP(G3070,$AA$2:$AB$5,2,FALSE())</f>
        <v>30</v>
      </c>
      <c r="R3070" s="7" t="n">
        <f aca="false">IF(OR(F3070="Open",F3070="Reopened"),1,0)</f>
        <v>0</v>
      </c>
      <c r="S3070" s="7" t="n">
        <f aca="false">IF(AND(H3070&gt;='Exec Summary'!$E$1,H3070&lt;='Exec Summary'!$E$2),1,0)</f>
        <v>0</v>
      </c>
      <c r="T3070" s="7" t="n">
        <f aca="false">IF(AND(F3070="Closed",I3070&lt;&gt;"",I3070&gt;='Exec Summary'!$E$1,I3070&lt;='Exec Summary'!$E$2),1,0)</f>
        <v>0</v>
      </c>
      <c r="U3070" s="7" t="n">
        <f aca="false">IF(F3070="Reopened",1,0)</f>
        <v>0</v>
      </c>
      <c r="V3070" s="7" t="n">
        <f aca="false">IF(AND(R3070=1,O3070&gt;Q3070),1,0)</f>
        <v>0</v>
      </c>
      <c r="W3070" s="7" t="n">
        <f aca="false">IF(AND(T3070=1,P3070&lt;&gt;"",P3070&lt;=Q3070),1,0)</f>
        <v>0</v>
      </c>
    </row>
    <row r="3071" customFormat="false" ht="15" hidden="false" customHeight="false" outlineLevel="0" collapsed="false">
      <c r="A3071" s="7" t="s">
        <v>3615</v>
      </c>
      <c r="B3071" s="7" t="s">
        <v>46</v>
      </c>
      <c r="C3071" s="7" t="s">
        <v>128</v>
      </c>
      <c r="D3071" s="7" t="s">
        <v>145</v>
      </c>
      <c r="E3071" s="7" t="s">
        <v>146</v>
      </c>
      <c r="F3071" s="7" t="s">
        <v>50</v>
      </c>
      <c r="G3071" s="7" t="s">
        <v>19</v>
      </c>
      <c r="H3071" s="9" t="n">
        <v>46140</v>
      </c>
      <c r="I3071" s="9" t="n">
        <v>46145</v>
      </c>
      <c r="J3071" s="7" t="n">
        <v>9.8</v>
      </c>
      <c r="K3071" s="7" t="s">
        <v>3580</v>
      </c>
      <c r="L3071" s="7" t="s">
        <v>20</v>
      </c>
      <c r="M3071" s="7" t="s">
        <v>3619</v>
      </c>
      <c r="N3071" s="7" t="s">
        <v>58</v>
      </c>
      <c r="O3071" s="10" t="n">
        <f aca="false">'Exec Summary'!$E$2-H3071</f>
        <v>94</v>
      </c>
      <c r="P3071" s="10" t="n">
        <f aca="false">IF(I3071="","",I3071-H3071)</f>
        <v>5</v>
      </c>
      <c r="Q3071" s="10" t="n">
        <f aca="false">VLOOKUP(G3071,$AA$2:$AB$5,2,FALSE())</f>
        <v>15</v>
      </c>
      <c r="R3071" s="7" t="n">
        <f aca="false">IF(OR(F3071="Open",F3071="Reopened"),1,0)</f>
        <v>0</v>
      </c>
      <c r="S3071" s="7" t="n">
        <f aca="false">IF(AND(H3071&gt;='Exec Summary'!$E$1,H3071&lt;='Exec Summary'!$E$2),1,0)</f>
        <v>0</v>
      </c>
      <c r="T3071" s="7" t="n">
        <f aca="false">IF(AND(F3071="Closed",I3071&lt;&gt;"",I3071&gt;='Exec Summary'!$E$1,I3071&lt;='Exec Summary'!$E$2),1,0)</f>
        <v>0</v>
      </c>
      <c r="U3071" s="7" t="n">
        <f aca="false">IF(F3071="Reopened",1,0)</f>
        <v>0</v>
      </c>
      <c r="V3071" s="7" t="n">
        <f aca="false">IF(AND(R3071=1,O3071&gt;Q3071),1,0)</f>
        <v>0</v>
      </c>
      <c r="W3071" s="7" t="n">
        <f aca="false">IF(AND(T3071=1,P3071&lt;&gt;"",P3071&lt;=Q3071),1,0)</f>
        <v>0</v>
      </c>
    </row>
    <row r="3072" customFormat="false" ht="15" hidden="false" customHeight="false" outlineLevel="0" collapsed="false">
      <c r="A3072" s="7" t="s">
        <v>3615</v>
      </c>
      <c r="B3072" s="7" t="s">
        <v>46</v>
      </c>
      <c r="C3072" s="7" t="s">
        <v>128</v>
      </c>
      <c r="D3072" s="7" t="s">
        <v>108</v>
      </c>
      <c r="E3072" s="7" t="s">
        <v>109</v>
      </c>
      <c r="F3072" s="7" t="s">
        <v>50</v>
      </c>
      <c r="G3072" s="7" t="s">
        <v>20</v>
      </c>
      <c r="H3072" s="9" t="n">
        <v>46119</v>
      </c>
      <c r="I3072" s="9" t="n">
        <v>46155</v>
      </c>
      <c r="J3072" s="7" t="n">
        <v>8.6</v>
      </c>
      <c r="K3072" s="7" t="s">
        <v>3580</v>
      </c>
      <c r="L3072" s="7" t="s">
        <v>20</v>
      </c>
      <c r="M3072" s="7" t="s">
        <v>3620</v>
      </c>
      <c r="N3072" s="7" t="s">
        <v>53</v>
      </c>
      <c r="O3072" s="10" t="n">
        <f aca="false">'Exec Summary'!$E$2-H3072</f>
        <v>115</v>
      </c>
      <c r="P3072" s="10" t="n">
        <f aca="false">IF(I3072="","",I3072-H3072)</f>
        <v>36</v>
      </c>
      <c r="Q3072" s="10" t="n">
        <f aca="false">VLOOKUP(G3072,$AA$2:$AB$5,2,FALSE())</f>
        <v>30</v>
      </c>
      <c r="R3072" s="7" t="n">
        <f aca="false">IF(OR(F3072="Open",F3072="Reopened"),1,0)</f>
        <v>0</v>
      </c>
      <c r="S3072" s="7" t="n">
        <f aca="false">IF(AND(H3072&gt;='Exec Summary'!$E$1,H3072&lt;='Exec Summary'!$E$2),1,0)</f>
        <v>0</v>
      </c>
      <c r="T3072" s="7" t="n">
        <f aca="false">IF(AND(F3072="Closed",I3072&lt;&gt;"",I3072&gt;='Exec Summary'!$E$1,I3072&lt;='Exec Summary'!$E$2),1,0)</f>
        <v>0</v>
      </c>
      <c r="U3072" s="7" t="n">
        <f aca="false">IF(F3072="Reopened",1,0)</f>
        <v>0</v>
      </c>
      <c r="V3072" s="7" t="n">
        <f aca="false">IF(AND(R3072=1,O3072&gt;Q3072),1,0)</f>
        <v>0</v>
      </c>
      <c r="W3072" s="7" t="n">
        <f aca="false">IF(AND(T3072=1,P3072&lt;&gt;"",P3072&lt;=Q3072),1,0)</f>
        <v>0</v>
      </c>
    </row>
    <row r="3073" customFormat="false" ht="15" hidden="false" customHeight="false" outlineLevel="0" collapsed="false">
      <c r="A3073" s="7" t="s">
        <v>3621</v>
      </c>
      <c r="B3073" s="7" t="s">
        <v>135</v>
      </c>
      <c r="C3073" s="7" t="s">
        <v>247</v>
      </c>
      <c r="D3073" s="7" t="s">
        <v>120</v>
      </c>
      <c r="E3073" s="7" t="s">
        <v>121</v>
      </c>
      <c r="F3073" s="7" t="s">
        <v>56</v>
      </c>
      <c r="G3073" s="7" t="s">
        <v>19</v>
      </c>
      <c r="H3073" s="9" t="n">
        <v>46035</v>
      </c>
      <c r="I3073" s="9"/>
      <c r="J3073" s="7" t="n">
        <v>8.8</v>
      </c>
      <c r="K3073" s="7" t="s">
        <v>3580</v>
      </c>
      <c r="L3073" s="7" t="s">
        <v>19</v>
      </c>
      <c r="M3073" s="7" t="s">
        <v>3622</v>
      </c>
      <c r="N3073" s="7" t="s">
        <v>58</v>
      </c>
      <c r="O3073" s="10" t="n">
        <f aca="false">'Exec Summary'!$E$2-H3073</f>
        <v>199</v>
      </c>
      <c r="P3073" s="10" t="str">
        <f aca="false">IF(I3073="","",I3073-H3073)</f>
        <v/>
      </c>
      <c r="Q3073" s="10" t="n">
        <f aca="false">VLOOKUP(G3073,$AA$2:$AB$5,2,FALSE())</f>
        <v>15</v>
      </c>
      <c r="R3073" s="7" t="n">
        <f aca="false">IF(OR(F3073="Open",F3073="Reopened"),1,0)</f>
        <v>1</v>
      </c>
      <c r="S3073" s="7" t="n">
        <f aca="false">IF(AND(H3073&gt;='Exec Summary'!$E$1,H3073&lt;='Exec Summary'!$E$2),1,0)</f>
        <v>0</v>
      </c>
      <c r="T3073" s="7" t="n">
        <f aca="false">IF(AND(F3073="Closed",I3073&lt;&gt;"",I3073&gt;='Exec Summary'!$E$1,I3073&lt;='Exec Summary'!$E$2),1,0)</f>
        <v>0</v>
      </c>
      <c r="U3073" s="7" t="n">
        <f aca="false">IF(F3073="Reopened",1,0)</f>
        <v>0</v>
      </c>
      <c r="V3073" s="7" t="n">
        <f aca="false">IF(AND(R3073=1,O3073&gt;Q3073),1,0)</f>
        <v>1</v>
      </c>
      <c r="W3073" s="7" t="n">
        <f aca="false">IF(AND(T3073=1,P3073&lt;&gt;"",P3073&lt;=Q3073),1,0)</f>
        <v>0</v>
      </c>
    </row>
    <row r="3074" customFormat="false" ht="15" hidden="false" customHeight="false" outlineLevel="0" collapsed="false">
      <c r="A3074" s="7" t="s">
        <v>3621</v>
      </c>
      <c r="B3074" s="7" t="s">
        <v>135</v>
      </c>
      <c r="C3074" s="7" t="s">
        <v>247</v>
      </c>
      <c r="D3074" s="7" t="s">
        <v>163</v>
      </c>
      <c r="E3074" s="7" t="s">
        <v>164</v>
      </c>
      <c r="F3074" s="7" t="s">
        <v>123</v>
      </c>
      <c r="G3074" s="7" t="s">
        <v>19</v>
      </c>
      <c r="H3074" s="9" t="n">
        <v>46190</v>
      </c>
      <c r="I3074" s="9" t="n">
        <v>46204</v>
      </c>
      <c r="J3074" s="7" t="n">
        <v>9.1</v>
      </c>
      <c r="K3074" s="7" t="s">
        <v>3580</v>
      </c>
      <c r="L3074" s="7" t="s">
        <v>19</v>
      </c>
      <c r="M3074" s="7" t="s">
        <v>3623</v>
      </c>
      <c r="N3074" s="7" t="s">
        <v>58</v>
      </c>
      <c r="O3074" s="10" t="n">
        <f aca="false">'Exec Summary'!$E$2-H3074</f>
        <v>44</v>
      </c>
      <c r="P3074" s="10" t="n">
        <f aca="false">IF(I3074="","",I3074-H3074)</f>
        <v>14</v>
      </c>
      <c r="Q3074" s="10" t="n">
        <f aca="false">VLOOKUP(G3074,$AA$2:$AB$5,2,FALSE())</f>
        <v>15</v>
      </c>
      <c r="R3074" s="7" t="n">
        <f aca="false">IF(OR(F3074="Open",F3074="Reopened"),1,0)</f>
        <v>1</v>
      </c>
      <c r="S3074" s="7" t="n">
        <f aca="false">IF(AND(H3074&gt;='Exec Summary'!$E$1,H3074&lt;='Exec Summary'!$E$2),1,0)</f>
        <v>0</v>
      </c>
      <c r="T3074" s="7" t="n">
        <f aca="false">IF(AND(F3074="Closed",I3074&lt;&gt;"",I3074&gt;='Exec Summary'!$E$1,I3074&lt;='Exec Summary'!$E$2),1,0)</f>
        <v>0</v>
      </c>
      <c r="U3074" s="7" t="n">
        <f aca="false">IF(F3074="Reopened",1,0)</f>
        <v>1</v>
      </c>
      <c r="V3074" s="7" t="n">
        <f aca="false">IF(AND(R3074=1,O3074&gt;Q3074),1,0)</f>
        <v>1</v>
      </c>
      <c r="W3074" s="7" t="n">
        <f aca="false">IF(AND(T3074=1,P3074&lt;&gt;"",P3074&lt;=Q3074),1,0)</f>
        <v>0</v>
      </c>
    </row>
    <row r="3075" customFormat="false" ht="15" hidden="false" customHeight="false" outlineLevel="0" collapsed="false">
      <c r="A3075" s="7" t="s">
        <v>3621</v>
      </c>
      <c r="B3075" s="7" t="s">
        <v>135</v>
      </c>
      <c r="C3075" s="7" t="s">
        <v>247</v>
      </c>
      <c r="D3075" s="7" t="s">
        <v>91</v>
      </c>
      <c r="E3075" s="7" t="s">
        <v>92</v>
      </c>
      <c r="F3075" s="7" t="s">
        <v>50</v>
      </c>
      <c r="G3075" s="7" t="s">
        <v>20</v>
      </c>
      <c r="H3075" s="9" t="n">
        <v>46176</v>
      </c>
      <c r="I3075" s="9" t="n">
        <v>46215</v>
      </c>
      <c r="J3075" s="7" t="n">
        <v>8.1</v>
      </c>
      <c r="K3075" s="7" t="s">
        <v>3580</v>
      </c>
      <c r="L3075" s="7" t="s">
        <v>19</v>
      </c>
      <c r="M3075" s="7" t="s">
        <v>3624</v>
      </c>
      <c r="N3075" s="7" t="s">
        <v>53</v>
      </c>
      <c r="O3075" s="10" t="n">
        <f aca="false">'Exec Summary'!$E$2-H3075</f>
        <v>58</v>
      </c>
      <c r="P3075" s="10" t="n">
        <f aca="false">IF(I3075="","",I3075-H3075)</f>
        <v>39</v>
      </c>
      <c r="Q3075" s="10" t="n">
        <f aca="false">VLOOKUP(G3075,$AA$2:$AB$5,2,FALSE())</f>
        <v>30</v>
      </c>
      <c r="R3075" s="7" t="n">
        <f aca="false">IF(OR(F3075="Open",F3075="Reopened"),1,0)</f>
        <v>0</v>
      </c>
      <c r="S3075" s="7" t="n">
        <f aca="false">IF(AND(H3075&gt;='Exec Summary'!$E$1,H3075&lt;='Exec Summary'!$E$2),1,0)</f>
        <v>0</v>
      </c>
      <c r="T3075" s="7" t="n">
        <f aca="false">IF(AND(F3075="Closed",I3075&lt;&gt;"",I3075&gt;='Exec Summary'!$E$1,I3075&lt;='Exec Summary'!$E$2),1,0)</f>
        <v>1</v>
      </c>
      <c r="U3075" s="7" t="n">
        <f aca="false">IF(F3075="Reopened",1,0)</f>
        <v>0</v>
      </c>
      <c r="V3075" s="7" t="n">
        <f aca="false">IF(AND(R3075=1,O3075&gt;Q3075),1,0)</f>
        <v>0</v>
      </c>
      <c r="W3075" s="7" t="n">
        <f aca="false">IF(AND(T3075=1,P3075&lt;&gt;"",P3075&lt;=Q3075),1,0)</f>
        <v>0</v>
      </c>
    </row>
    <row r="3076" customFormat="false" ht="15" hidden="false" customHeight="false" outlineLevel="0" collapsed="false">
      <c r="A3076" s="7" t="s">
        <v>3621</v>
      </c>
      <c r="B3076" s="7" t="s">
        <v>135</v>
      </c>
      <c r="C3076" s="7" t="s">
        <v>247</v>
      </c>
      <c r="D3076" s="7" t="s">
        <v>166</v>
      </c>
      <c r="E3076" s="7" t="s">
        <v>167</v>
      </c>
      <c r="F3076" s="7" t="s">
        <v>50</v>
      </c>
      <c r="G3076" s="7" t="s">
        <v>19</v>
      </c>
      <c r="H3076" s="9" t="n">
        <v>46017</v>
      </c>
      <c r="I3076" s="9" t="n">
        <v>46039</v>
      </c>
      <c r="J3076" s="7" t="n">
        <v>9.8</v>
      </c>
      <c r="K3076" s="7" t="s">
        <v>3580</v>
      </c>
      <c r="L3076" s="7" t="s">
        <v>19</v>
      </c>
      <c r="M3076" s="7" t="s">
        <v>3625</v>
      </c>
      <c r="N3076" s="7" t="s">
        <v>58</v>
      </c>
      <c r="O3076" s="10" t="n">
        <f aca="false">'Exec Summary'!$E$2-H3076</f>
        <v>217</v>
      </c>
      <c r="P3076" s="10" t="n">
        <f aca="false">IF(I3076="","",I3076-H3076)</f>
        <v>22</v>
      </c>
      <c r="Q3076" s="10" t="n">
        <f aca="false">VLOOKUP(G3076,$AA$2:$AB$5,2,FALSE())</f>
        <v>15</v>
      </c>
      <c r="R3076" s="7" t="n">
        <f aca="false">IF(OR(F3076="Open",F3076="Reopened"),1,0)</f>
        <v>0</v>
      </c>
      <c r="S3076" s="7" t="n">
        <f aca="false">IF(AND(H3076&gt;='Exec Summary'!$E$1,H3076&lt;='Exec Summary'!$E$2),1,0)</f>
        <v>0</v>
      </c>
      <c r="T3076" s="7" t="n">
        <f aca="false">IF(AND(F3076="Closed",I3076&lt;&gt;"",I3076&gt;='Exec Summary'!$E$1,I3076&lt;='Exec Summary'!$E$2),1,0)</f>
        <v>0</v>
      </c>
      <c r="U3076" s="7" t="n">
        <f aca="false">IF(F3076="Reopened",1,0)</f>
        <v>0</v>
      </c>
      <c r="V3076" s="7" t="n">
        <f aca="false">IF(AND(R3076=1,O3076&gt;Q3076),1,0)</f>
        <v>0</v>
      </c>
      <c r="W3076" s="7" t="n">
        <f aca="false">IF(AND(T3076=1,P3076&lt;&gt;"",P3076&lt;=Q3076),1,0)</f>
        <v>0</v>
      </c>
    </row>
    <row r="3077" customFormat="false" ht="15" hidden="false" customHeight="false" outlineLevel="0" collapsed="false">
      <c r="A3077" s="7" t="s">
        <v>3621</v>
      </c>
      <c r="B3077" s="7" t="s">
        <v>135</v>
      </c>
      <c r="C3077" s="7" t="s">
        <v>247</v>
      </c>
      <c r="D3077" s="7" t="s">
        <v>152</v>
      </c>
      <c r="E3077" s="7" t="s">
        <v>153</v>
      </c>
      <c r="F3077" s="7" t="s">
        <v>50</v>
      </c>
      <c r="G3077" s="7" t="s">
        <v>20</v>
      </c>
      <c r="H3077" s="9" t="n">
        <v>46106</v>
      </c>
      <c r="I3077" s="9" t="n">
        <v>46112</v>
      </c>
      <c r="J3077" s="7" t="n">
        <v>7.5</v>
      </c>
      <c r="K3077" s="7" t="s">
        <v>3580</v>
      </c>
      <c r="L3077" s="7" t="s">
        <v>19</v>
      </c>
      <c r="M3077" s="7" t="s">
        <v>3626</v>
      </c>
      <c r="N3077" s="7" t="s">
        <v>53</v>
      </c>
      <c r="O3077" s="10" t="n">
        <f aca="false">'Exec Summary'!$E$2-H3077</f>
        <v>128</v>
      </c>
      <c r="P3077" s="10" t="n">
        <f aca="false">IF(I3077="","",I3077-H3077)</f>
        <v>6</v>
      </c>
      <c r="Q3077" s="10" t="n">
        <f aca="false">VLOOKUP(G3077,$AA$2:$AB$5,2,FALSE())</f>
        <v>30</v>
      </c>
      <c r="R3077" s="7" t="n">
        <f aca="false">IF(OR(F3077="Open",F3077="Reopened"),1,0)</f>
        <v>0</v>
      </c>
      <c r="S3077" s="7" t="n">
        <f aca="false">IF(AND(H3077&gt;='Exec Summary'!$E$1,H3077&lt;='Exec Summary'!$E$2),1,0)</f>
        <v>0</v>
      </c>
      <c r="T3077" s="7" t="n">
        <f aca="false">IF(AND(F3077="Closed",I3077&lt;&gt;"",I3077&gt;='Exec Summary'!$E$1,I3077&lt;='Exec Summary'!$E$2),1,0)</f>
        <v>0</v>
      </c>
      <c r="U3077" s="7" t="n">
        <f aca="false">IF(F3077="Reopened",1,0)</f>
        <v>0</v>
      </c>
      <c r="V3077" s="7" t="n">
        <f aca="false">IF(AND(R3077=1,O3077&gt;Q3077),1,0)</f>
        <v>0</v>
      </c>
      <c r="W3077" s="7" t="n">
        <f aca="false">IF(AND(T3077=1,P3077&lt;&gt;"",P3077&lt;=Q3077),1,0)</f>
        <v>0</v>
      </c>
    </row>
    <row r="3078" customFormat="false" ht="15" hidden="false" customHeight="false" outlineLevel="0" collapsed="false">
      <c r="A3078" s="7" t="s">
        <v>3621</v>
      </c>
      <c r="B3078" s="7" t="s">
        <v>135</v>
      </c>
      <c r="C3078" s="7" t="s">
        <v>247</v>
      </c>
      <c r="D3078" s="7" t="s">
        <v>68</v>
      </c>
      <c r="E3078" s="7" t="s">
        <v>69</v>
      </c>
      <c r="F3078" s="7" t="s">
        <v>50</v>
      </c>
      <c r="G3078" s="7" t="s">
        <v>19</v>
      </c>
      <c r="H3078" s="9" t="n">
        <v>45942</v>
      </c>
      <c r="I3078" s="9" t="n">
        <v>45952</v>
      </c>
      <c r="J3078" s="7" t="n">
        <v>9.8</v>
      </c>
      <c r="K3078" s="7" t="s">
        <v>3580</v>
      </c>
      <c r="L3078" s="7" t="s">
        <v>19</v>
      </c>
      <c r="M3078" s="7" t="s">
        <v>3627</v>
      </c>
      <c r="N3078" s="7" t="s">
        <v>58</v>
      </c>
      <c r="O3078" s="10" t="n">
        <f aca="false">'Exec Summary'!$E$2-H3078</f>
        <v>292</v>
      </c>
      <c r="P3078" s="10" t="n">
        <f aca="false">IF(I3078="","",I3078-H3078)</f>
        <v>10</v>
      </c>
      <c r="Q3078" s="10" t="n">
        <f aca="false">VLOOKUP(G3078,$AA$2:$AB$5,2,FALSE())</f>
        <v>15</v>
      </c>
      <c r="R3078" s="7" t="n">
        <f aca="false">IF(OR(F3078="Open",F3078="Reopened"),1,0)</f>
        <v>0</v>
      </c>
      <c r="S3078" s="7" t="n">
        <f aca="false">IF(AND(H3078&gt;='Exec Summary'!$E$1,H3078&lt;='Exec Summary'!$E$2),1,0)</f>
        <v>0</v>
      </c>
      <c r="T3078" s="7" t="n">
        <f aca="false">IF(AND(F3078="Closed",I3078&lt;&gt;"",I3078&gt;='Exec Summary'!$E$1,I3078&lt;='Exec Summary'!$E$2),1,0)</f>
        <v>0</v>
      </c>
      <c r="U3078" s="7" t="n">
        <f aca="false">IF(F3078="Reopened",1,0)</f>
        <v>0</v>
      </c>
      <c r="V3078" s="7" t="n">
        <f aca="false">IF(AND(R3078=1,O3078&gt;Q3078),1,0)</f>
        <v>0</v>
      </c>
      <c r="W3078" s="7" t="n">
        <f aca="false">IF(AND(T3078=1,P3078&lt;&gt;"",P3078&lt;=Q3078),1,0)</f>
        <v>0</v>
      </c>
    </row>
    <row r="3079" customFormat="false" ht="15" hidden="false" customHeight="false" outlineLevel="0" collapsed="false">
      <c r="A3079" s="7" t="s">
        <v>3628</v>
      </c>
      <c r="B3079" s="7" t="s">
        <v>46</v>
      </c>
      <c r="C3079" s="7" t="s">
        <v>158</v>
      </c>
      <c r="D3079" s="7" t="s">
        <v>71</v>
      </c>
      <c r="E3079" s="7" t="s">
        <v>72</v>
      </c>
      <c r="F3079" s="7" t="s">
        <v>50</v>
      </c>
      <c r="G3079" s="7" t="s">
        <v>19</v>
      </c>
      <c r="H3079" s="9" t="n">
        <v>46179</v>
      </c>
      <c r="I3079" s="9" t="n">
        <v>46183</v>
      </c>
      <c r="J3079" s="7" t="n">
        <v>9.8</v>
      </c>
      <c r="K3079" s="7" t="s">
        <v>3580</v>
      </c>
      <c r="L3079" s="7" t="s">
        <v>20</v>
      </c>
      <c r="M3079" s="7" t="s">
        <v>3629</v>
      </c>
      <c r="N3079" s="7" t="s">
        <v>58</v>
      </c>
      <c r="O3079" s="10" t="n">
        <f aca="false">'Exec Summary'!$E$2-H3079</f>
        <v>55</v>
      </c>
      <c r="P3079" s="10" t="n">
        <f aca="false">IF(I3079="","",I3079-H3079)</f>
        <v>4</v>
      </c>
      <c r="Q3079" s="10" t="n">
        <f aca="false">VLOOKUP(G3079,$AA$2:$AB$5,2,FALSE())</f>
        <v>15</v>
      </c>
      <c r="R3079" s="7" t="n">
        <f aca="false">IF(OR(F3079="Open",F3079="Reopened"),1,0)</f>
        <v>0</v>
      </c>
      <c r="S3079" s="7" t="n">
        <f aca="false">IF(AND(H3079&gt;='Exec Summary'!$E$1,H3079&lt;='Exec Summary'!$E$2),1,0)</f>
        <v>0</v>
      </c>
      <c r="T3079" s="7" t="n">
        <f aca="false">IF(AND(F3079="Closed",I3079&lt;&gt;"",I3079&gt;='Exec Summary'!$E$1,I3079&lt;='Exec Summary'!$E$2),1,0)</f>
        <v>0</v>
      </c>
      <c r="U3079" s="7" t="n">
        <f aca="false">IF(F3079="Reopened",1,0)</f>
        <v>0</v>
      </c>
      <c r="V3079" s="7" t="n">
        <f aca="false">IF(AND(R3079=1,O3079&gt;Q3079),1,0)</f>
        <v>0</v>
      </c>
      <c r="W3079" s="7" t="n">
        <f aca="false">IF(AND(T3079=1,P3079&lt;&gt;"",P3079&lt;=Q3079),1,0)</f>
        <v>0</v>
      </c>
    </row>
    <row r="3080" customFormat="false" ht="15" hidden="false" customHeight="false" outlineLevel="0" collapsed="false">
      <c r="A3080" s="7" t="s">
        <v>3630</v>
      </c>
      <c r="B3080" s="7" t="s">
        <v>135</v>
      </c>
      <c r="C3080" s="7" t="s">
        <v>306</v>
      </c>
      <c r="D3080" s="7" t="s">
        <v>112</v>
      </c>
      <c r="E3080" s="7" t="s">
        <v>113</v>
      </c>
      <c r="F3080" s="7" t="s">
        <v>50</v>
      </c>
      <c r="G3080" s="7" t="s">
        <v>20</v>
      </c>
      <c r="H3080" s="9" t="n">
        <v>46094</v>
      </c>
      <c r="I3080" s="9" t="n">
        <v>46102</v>
      </c>
      <c r="J3080" s="7" t="n">
        <v>7.8</v>
      </c>
      <c r="K3080" s="7" t="s">
        <v>3580</v>
      </c>
      <c r="L3080" s="7" t="s">
        <v>20</v>
      </c>
      <c r="M3080" s="7" t="s">
        <v>3631</v>
      </c>
      <c r="N3080" s="7" t="s">
        <v>53</v>
      </c>
      <c r="O3080" s="10" t="n">
        <f aca="false">'Exec Summary'!$E$2-H3080</f>
        <v>140</v>
      </c>
      <c r="P3080" s="10" t="n">
        <f aca="false">IF(I3080="","",I3080-H3080)</f>
        <v>8</v>
      </c>
      <c r="Q3080" s="10" t="n">
        <f aca="false">VLOOKUP(G3080,$AA$2:$AB$5,2,FALSE())</f>
        <v>30</v>
      </c>
      <c r="R3080" s="7" t="n">
        <f aca="false">IF(OR(F3080="Open",F3080="Reopened"),1,0)</f>
        <v>0</v>
      </c>
      <c r="S3080" s="7" t="n">
        <f aca="false">IF(AND(H3080&gt;='Exec Summary'!$E$1,H3080&lt;='Exec Summary'!$E$2),1,0)</f>
        <v>0</v>
      </c>
      <c r="T3080" s="7" t="n">
        <f aca="false">IF(AND(F3080="Closed",I3080&lt;&gt;"",I3080&gt;='Exec Summary'!$E$1,I3080&lt;='Exec Summary'!$E$2),1,0)</f>
        <v>0</v>
      </c>
      <c r="U3080" s="7" t="n">
        <f aca="false">IF(F3080="Reopened",1,0)</f>
        <v>0</v>
      </c>
      <c r="V3080" s="7" t="n">
        <f aca="false">IF(AND(R3080=1,O3080&gt;Q3080),1,0)</f>
        <v>0</v>
      </c>
      <c r="W3080" s="7" t="n">
        <f aca="false">IF(AND(T3080=1,P3080&lt;&gt;"",P3080&lt;=Q3080),1,0)</f>
        <v>0</v>
      </c>
    </row>
    <row r="3081" customFormat="false" ht="15" hidden="false" customHeight="false" outlineLevel="0" collapsed="false">
      <c r="A3081" s="7" t="s">
        <v>3632</v>
      </c>
      <c r="B3081" s="7" t="s">
        <v>46</v>
      </c>
      <c r="C3081" s="7" t="s">
        <v>79</v>
      </c>
      <c r="D3081" s="7" t="s">
        <v>91</v>
      </c>
      <c r="E3081" s="7" t="s">
        <v>92</v>
      </c>
      <c r="F3081" s="7" t="s">
        <v>50</v>
      </c>
      <c r="G3081" s="7" t="s">
        <v>20</v>
      </c>
      <c r="H3081" s="9" t="n">
        <v>46203</v>
      </c>
      <c r="I3081" s="9" t="n">
        <v>46234</v>
      </c>
      <c r="J3081" s="7" t="n">
        <v>8.1</v>
      </c>
      <c r="K3081" s="7" t="s">
        <v>3580</v>
      </c>
      <c r="L3081" s="7" t="s">
        <v>19</v>
      </c>
      <c r="M3081" s="7" t="s">
        <v>3633</v>
      </c>
      <c r="N3081" s="7" t="s">
        <v>53</v>
      </c>
      <c r="O3081" s="10" t="n">
        <f aca="false">'Exec Summary'!$E$2-H3081</f>
        <v>31</v>
      </c>
      <c r="P3081" s="10" t="n">
        <f aca="false">IF(I3081="","",I3081-H3081)</f>
        <v>31</v>
      </c>
      <c r="Q3081" s="10" t="n">
        <f aca="false">VLOOKUP(G3081,$AA$2:$AB$5,2,FALSE())</f>
        <v>30</v>
      </c>
      <c r="R3081" s="7" t="n">
        <f aca="false">IF(OR(F3081="Open",F3081="Reopened"),1,0)</f>
        <v>0</v>
      </c>
      <c r="S3081" s="7" t="n">
        <f aca="false">IF(AND(H3081&gt;='Exec Summary'!$E$1,H3081&lt;='Exec Summary'!$E$2),1,0)</f>
        <v>0</v>
      </c>
      <c r="T3081" s="7" t="n">
        <f aca="false">IF(AND(F3081="Closed",I3081&lt;&gt;"",I3081&gt;='Exec Summary'!$E$1,I3081&lt;='Exec Summary'!$E$2),1,0)</f>
        <v>1</v>
      </c>
      <c r="U3081" s="7" t="n">
        <f aca="false">IF(F3081="Reopened",1,0)</f>
        <v>0</v>
      </c>
      <c r="V3081" s="7" t="n">
        <f aca="false">IF(AND(R3081=1,O3081&gt;Q3081),1,0)</f>
        <v>0</v>
      </c>
      <c r="W3081" s="7" t="n">
        <f aca="false">IF(AND(T3081=1,P3081&lt;&gt;"",P3081&lt;=Q3081),1,0)</f>
        <v>0</v>
      </c>
    </row>
    <row r="3082" customFormat="false" ht="15" hidden="false" customHeight="false" outlineLevel="0" collapsed="false">
      <c r="A3082" s="7" t="s">
        <v>3632</v>
      </c>
      <c r="B3082" s="7" t="s">
        <v>46</v>
      </c>
      <c r="C3082" s="7" t="s">
        <v>79</v>
      </c>
      <c r="D3082" s="7" t="s">
        <v>163</v>
      </c>
      <c r="E3082" s="7" t="s">
        <v>164</v>
      </c>
      <c r="F3082" s="7" t="s">
        <v>56</v>
      </c>
      <c r="G3082" s="7" t="s">
        <v>19</v>
      </c>
      <c r="H3082" s="9" t="n">
        <v>46069</v>
      </c>
      <c r="I3082" s="9"/>
      <c r="J3082" s="7" t="n">
        <v>9.1</v>
      </c>
      <c r="K3082" s="7" t="s">
        <v>3580</v>
      </c>
      <c r="L3082" s="7" t="s">
        <v>19</v>
      </c>
      <c r="M3082" s="7" t="s">
        <v>3634</v>
      </c>
      <c r="N3082" s="7" t="s">
        <v>58</v>
      </c>
      <c r="O3082" s="10" t="n">
        <f aca="false">'Exec Summary'!$E$2-H3082</f>
        <v>165</v>
      </c>
      <c r="P3082" s="10" t="str">
        <f aca="false">IF(I3082="","",I3082-H3082)</f>
        <v/>
      </c>
      <c r="Q3082" s="10" t="n">
        <f aca="false">VLOOKUP(G3082,$AA$2:$AB$5,2,FALSE())</f>
        <v>15</v>
      </c>
      <c r="R3082" s="7" t="n">
        <f aca="false">IF(OR(F3082="Open",F3082="Reopened"),1,0)</f>
        <v>1</v>
      </c>
      <c r="S3082" s="7" t="n">
        <f aca="false">IF(AND(H3082&gt;='Exec Summary'!$E$1,H3082&lt;='Exec Summary'!$E$2),1,0)</f>
        <v>0</v>
      </c>
      <c r="T3082" s="7" t="n">
        <f aca="false">IF(AND(F3082="Closed",I3082&lt;&gt;"",I3082&gt;='Exec Summary'!$E$1,I3082&lt;='Exec Summary'!$E$2),1,0)</f>
        <v>0</v>
      </c>
      <c r="U3082" s="7" t="n">
        <f aca="false">IF(F3082="Reopened",1,0)</f>
        <v>0</v>
      </c>
      <c r="V3082" s="7" t="n">
        <f aca="false">IF(AND(R3082=1,O3082&gt;Q3082),1,0)</f>
        <v>1</v>
      </c>
      <c r="W3082" s="7" t="n">
        <f aca="false">IF(AND(T3082=1,P3082&lt;&gt;"",P3082&lt;=Q3082),1,0)</f>
        <v>0</v>
      </c>
    </row>
    <row r="3083" customFormat="false" ht="15" hidden="false" customHeight="false" outlineLevel="0" collapsed="false">
      <c r="A3083" s="7" t="s">
        <v>3632</v>
      </c>
      <c r="B3083" s="7" t="s">
        <v>46</v>
      </c>
      <c r="C3083" s="7" t="s">
        <v>79</v>
      </c>
      <c r="D3083" s="7" t="s">
        <v>117</v>
      </c>
      <c r="E3083" s="7" t="s">
        <v>118</v>
      </c>
      <c r="F3083" s="7" t="s">
        <v>50</v>
      </c>
      <c r="G3083" s="7" t="s">
        <v>19</v>
      </c>
      <c r="H3083" s="9" t="n">
        <v>46060</v>
      </c>
      <c r="I3083" s="9" t="n">
        <v>46069</v>
      </c>
      <c r="J3083" s="7" t="n">
        <v>10</v>
      </c>
      <c r="K3083" s="7" t="s">
        <v>3580</v>
      </c>
      <c r="L3083" s="7" t="s">
        <v>19</v>
      </c>
      <c r="M3083" s="7" t="s">
        <v>3635</v>
      </c>
      <c r="N3083" s="7" t="s">
        <v>58</v>
      </c>
      <c r="O3083" s="10" t="n">
        <f aca="false">'Exec Summary'!$E$2-H3083</f>
        <v>174</v>
      </c>
      <c r="P3083" s="10" t="n">
        <f aca="false">IF(I3083="","",I3083-H3083)</f>
        <v>9</v>
      </c>
      <c r="Q3083" s="10" t="n">
        <f aca="false">VLOOKUP(G3083,$AA$2:$AB$5,2,FALSE())</f>
        <v>15</v>
      </c>
      <c r="R3083" s="7" t="n">
        <f aca="false">IF(OR(F3083="Open",F3083="Reopened"),1,0)</f>
        <v>0</v>
      </c>
      <c r="S3083" s="7" t="n">
        <f aca="false">IF(AND(H3083&gt;='Exec Summary'!$E$1,H3083&lt;='Exec Summary'!$E$2),1,0)</f>
        <v>0</v>
      </c>
      <c r="T3083" s="7" t="n">
        <f aca="false">IF(AND(F3083="Closed",I3083&lt;&gt;"",I3083&gt;='Exec Summary'!$E$1,I3083&lt;='Exec Summary'!$E$2),1,0)</f>
        <v>0</v>
      </c>
      <c r="U3083" s="7" t="n">
        <f aca="false">IF(F3083="Reopened",1,0)</f>
        <v>0</v>
      </c>
      <c r="V3083" s="7" t="n">
        <f aca="false">IF(AND(R3083=1,O3083&gt;Q3083),1,0)</f>
        <v>0</v>
      </c>
      <c r="W3083" s="7" t="n">
        <f aca="false">IF(AND(T3083=1,P3083&lt;&gt;"",P3083&lt;=Q3083),1,0)</f>
        <v>0</v>
      </c>
    </row>
    <row r="3084" customFormat="false" ht="15" hidden="false" customHeight="false" outlineLevel="0" collapsed="false">
      <c r="A3084" s="7" t="s">
        <v>3632</v>
      </c>
      <c r="B3084" s="7" t="s">
        <v>46</v>
      </c>
      <c r="C3084" s="7" t="s">
        <v>79</v>
      </c>
      <c r="D3084" s="7" t="s">
        <v>139</v>
      </c>
      <c r="E3084" s="7" t="s">
        <v>140</v>
      </c>
      <c r="F3084" s="7" t="s">
        <v>56</v>
      </c>
      <c r="G3084" s="7" t="s">
        <v>19</v>
      </c>
      <c r="H3084" s="9" t="n">
        <v>46081</v>
      </c>
      <c r="I3084" s="9"/>
      <c r="J3084" s="7" t="n">
        <v>9.8</v>
      </c>
      <c r="K3084" s="7" t="s">
        <v>3580</v>
      </c>
      <c r="L3084" s="7" t="s">
        <v>19</v>
      </c>
      <c r="M3084" s="7" t="s">
        <v>3636</v>
      </c>
      <c r="N3084" s="7" t="s">
        <v>58</v>
      </c>
      <c r="O3084" s="10" t="n">
        <f aca="false">'Exec Summary'!$E$2-H3084</f>
        <v>153</v>
      </c>
      <c r="P3084" s="10" t="str">
        <f aca="false">IF(I3084="","",I3084-H3084)</f>
        <v/>
      </c>
      <c r="Q3084" s="10" t="n">
        <f aca="false">VLOOKUP(G3084,$AA$2:$AB$5,2,FALSE())</f>
        <v>15</v>
      </c>
      <c r="R3084" s="7" t="n">
        <f aca="false">IF(OR(F3084="Open",F3084="Reopened"),1,0)</f>
        <v>1</v>
      </c>
      <c r="S3084" s="7" t="n">
        <f aca="false">IF(AND(H3084&gt;='Exec Summary'!$E$1,H3084&lt;='Exec Summary'!$E$2),1,0)</f>
        <v>0</v>
      </c>
      <c r="T3084" s="7" t="n">
        <f aca="false">IF(AND(F3084="Closed",I3084&lt;&gt;"",I3084&gt;='Exec Summary'!$E$1,I3084&lt;='Exec Summary'!$E$2),1,0)</f>
        <v>0</v>
      </c>
      <c r="U3084" s="7" t="n">
        <f aca="false">IF(F3084="Reopened",1,0)</f>
        <v>0</v>
      </c>
      <c r="V3084" s="7" t="n">
        <f aca="false">IF(AND(R3084=1,O3084&gt;Q3084),1,0)</f>
        <v>1</v>
      </c>
      <c r="W3084" s="7" t="n">
        <f aca="false">IF(AND(T3084=1,P3084&lt;&gt;"",P3084&lt;=Q3084),1,0)</f>
        <v>0</v>
      </c>
    </row>
    <row r="3085" customFormat="false" ht="15" hidden="false" customHeight="false" outlineLevel="0" collapsed="false">
      <c r="A3085" s="7" t="s">
        <v>3637</v>
      </c>
      <c r="B3085" s="7" t="s">
        <v>46</v>
      </c>
      <c r="C3085" s="7" t="s">
        <v>47</v>
      </c>
      <c r="D3085" s="7" t="s">
        <v>71</v>
      </c>
      <c r="E3085" s="7" t="s">
        <v>72</v>
      </c>
      <c r="F3085" s="7" t="s">
        <v>50</v>
      </c>
      <c r="G3085" s="7" t="s">
        <v>19</v>
      </c>
      <c r="H3085" s="9" t="n">
        <v>46212</v>
      </c>
      <c r="I3085" s="9" t="n">
        <v>46234</v>
      </c>
      <c r="J3085" s="7" t="n">
        <v>9.8</v>
      </c>
      <c r="K3085" s="7" t="s">
        <v>3580</v>
      </c>
      <c r="L3085" s="7" t="s">
        <v>20</v>
      </c>
      <c r="M3085" s="7" t="s">
        <v>3638</v>
      </c>
      <c r="N3085" s="7" t="s">
        <v>58</v>
      </c>
      <c r="O3085" s="10" t="n">
        <f aca="false">'Exec Summary'!$E$2-H3085</f>
        <v>22</v>
      </c>
      <c r="P3085" s="10" t="n">
        <f aca="false">IF(I3085="","",I3085-H3085)</f>
        <v>22</v>
      </c>
      <c r="Q3085" s="10" t="n">
        <f aca="false">VLOOKUP(G3085,$AA$2:$AB$5,2,FALSE())</f>
        <v>15</v>
      </c>
      <c r="R3085" s="7" t="n">
        <f aca="false">IF(OR(F3085="Open",F3085="Reopened"),1,0)</f>
        <v>0</v>
      </c>
      <c r="S3085" s="7" t="n">
        <f aca="false">IF(AND(H3085&gt;='Exec Summary'!$E$1,H3085&lt;='Exec Summary'!$E$2),1,0)</f>
        <v>1</v>
      </c>
      <c r="T3085" s="7" t="n">
        <f aca="false">IF(AND(F3085="Closed",I3085&lt;&gt;"",I3085&gt;='Exec Summary'!$E$1,I3085&lt;='Exec Summary'!$E$2),1,0)</f>
        <v>1</v>
      </c>
      <c r="U3085" s="7" t="n">
        <f aca="false">IF(F3085="Reopened",1,0)</f>
        <v>0</v>
      </c>
      <c r="V3085" s="7" t="n">
        <f aca="false">IF(AND(R3085=1,O3085&gt;Q3085),1,0)</f>
        <v>0</v>
      </c>
      <c r="W3085" s="7" t="n">
        <f aca="false">IF(AND(T3085=1,P3085&lt;&gt;"",P3085&lt;=Q3085),1,0)</f>
        <v>0</v>
      </c>
    </row>
    <row r="3086" customFormat="false" ht="15" hidden="false" customHeight="false" outlineLevel="0" collapsed="false">
      <c r="A3086" s="7" t="s">
        <v>3637</v>
      </c>
      <c r="B3086" s="7" t="s">
        <v>46</v>
      </c>
      <c r="C3086" s="7" t="s">
        <v>47</v>
      </c>
      <c r="D3086" s="7" t="s">
        <v>117</v>
      </c>
      <c r="E3086" s="7" t="s">
        <v>118</v>
      </c>
      <c r="F3086" s="7" t="s">
        <v>50</v>
      </c>
      <c r="G3086" s="7" t="s">
        <v>19</v>
      </c>
      <c r="H3086" s="9" t="n">
        <v>46082</v>
      </c>
      <c r="I3086" s="9" t="n">
        <v>46091</v>
      </c>
      <c r="J3086" s="7" t="n">
        <v>10</v>
      </c>
      <c r="K3086" s="7" t="s">
        <v>3580</v>
      </c>
      <c r="L3086" s="7" t="s">
        <v>20</v>
      </c>
      <c r="M3086" s="7" t="s">
        <v>3639</v>
      </c>
      <c r="N3086" s="7" t="s">
        <v>58</v>
      </c>
      <c r="O3086" s="10" t="n">
        <f aca="false">'Exec Summary'!$E$2-H3086</f>
        <v>152</v>
      </c>
      <c r="P3086" s="10" t="n">
        <f aca="false">IF(I3086="","",I3086-H3086)</f>
        <v>9</v>
      </c>
      <c r="Q3086" s="10" t="n">
        <f aca="false">VLOOKUP(G3086,$AA$2:$AB$5,2,FALSE())</f>
        <v>15</v>
      </c>
      <c r="R3086" s="7" t="n">
        <f aca="false">IF(OR(F3086="Open",F3086="Reopened"),1,0)</f>
        <v>0</v>
      </c>
      <c r="S3086" s="7" t="n">
        <f aca="false">IF(AND(H3086&gt;='Exec Summary'!$E$1,H3086&lt;='Exec Summary'!$E$2),1,0)</f>
        <v>0</v>
      </c>
      <c r="T3086" s="7" t="n">
        <f aca="false">IF(AND(F3086="Closed",I3086&lt;&gt;"",I3086&gt;='Exec Summary'!$E$1,I3086&lt;='Exec Summary'!$E$2),1,0)</f>
        <v>0</v>
      </c>
      <c r="U3086" s="7" t="n">
        <f aca="false">IF(F3086="Reopened",1,0)</f>
        <v>0</v>
      </c>
      <c r="V3086" s="7" t="n">
        <f aca="false">IF(AND(R3086=1,O3086&gt;Q3086),1,0)</f>
        <v>0</v>
      </c>
      <c r="W3086" s="7" t="n">
        <f aca="false">IF(AND(T3086=1,P3086&lt;&gt;"",P3086&lt;=Q3086),1,0)</f>
        <v>0</v>
      </c>
    </row>
    <row r="3087" customFormat="false" ht="15" hidden="false" customHeight="false" outlineLevel="0" collapsed="false">
      <c r="A3087" s="7" t="s">
        <v>3640</v>
      </c>
      <c r="B3087" s="7" t="s">
        <v>46</v>
      </c>
      <c r="C3087" s="7" t="s">
        <v>177</v>
      </c>
      <c r="D3087" s="7" t="s">
        <v>95</v>
      </c>
      <c r="E3087" s="7" t="s">
        <v>96</v>
      </c>
      <c r="F3087" s="7" t="s">
        <v>50</v>
      </c>
      <c r="G3087" s="7" t="s">
        <v>20</v>
      </c>
      <c r="H3087" s="9" t="n">
        <v>46058</v>
      </c>
      <c r="I3087" s="9" t="n">
        <v>46088</v>
      </c>
      <c r="J3087" s="7" t="n">
        <v>8.8</v>
      </c>
      <c r="K3087" s="7" t="s">
        <v>3580</v>
      </c>
      <c r="L3087" s="7" t="s">
        <v>22</v>
      </c>
      <c r="M3087" s="7" t="s">
        <v>3641</v>
      </c>
      <c r="N3087" s="7" t="s">
        <v>53</v>
      </c>
      <c r="O3087" s="10" t="n">
        <f aca="false">'Exec Summary'!$E$2-H3087</f>
        <v>176</v>
      </c>
      <c r="P3087" s="10" t="n">
        <f aca="false">IF(I3087="","",I3087-H3087)</f>
        <v>30</v>
      </c>
      <c r="Q3087" s="10" t="n">
        <f aca="false">VLOOKUP(G3087,$AA$2:$AB$5,2,FALSE())</f>
        <v>30</v>
      </c>
      <c r="R3087" s="7" t="n">
        <f aca="false">IF(OR(F3087="Open",F3087="Reopened"),1,0)</f>
        <v>0</v>
      </c>
      <c r="S3087" s="7" t="n">
        <f aca="false">IF(AND(H3087&gt;='Exec Summary'!$E$1,H3087&lt;='Exec Summary'!$E$2),1,0)</f>
        <v>0</v>
      </c>
      <c r="T3087" s="7" t="n">
        <f aca="false">IF(AND(F3087="Closed",I3087&lt;&gt;"",I3087&gt;='Exec Summary'!$E$1,I3087&lt;='Exec Summary'!$E$2),1,0)</f>
        <v>0</v>
      </c>
      <c r="U3087" s="7" t="n">
        <f aca="false">IF(F3087="Reopened",1,0)</f>
        <v>0</v>
      </c>
      <c r="V3087" s="7" t="n">
        <f aca="false">IF(AND(R3087=1,O3087&gt;Q3087),1,0)</f>
        <v>0</v>
      </c>
      <c r="W3087" s="7" t="n">
        <f aca="false">IF(AND(T3087=1,P3087&lt;&gt;"",P3087&lt;=Q3087),1,0)</f>
        <v>0</v>
      </c>
    </row>
    <row r="3088" customFormat="false" ht="15" hidden="false" customHeight="false" outlineLevel="0" collapsed="false">
      <c r="A3088" s="7" t="s">
        <v>3640</v>
      </c>
      <c r="B3088" s="7" t="s">
        <v>46</v>
      </c>
      <c r="C3088" s="7" t="s">
        <v>177</v>
      </c>
      <c r="D3088" s="7" t="s">
        <v>91</v>
      </c>
      <c r="E3088" s="7" t="s">
        <v>92</v>
      </c>
      <c r="F3088" s="7" t="s">
        <v>50</v>
      </c>
      <c r="G3088" s="7" t="s">
        <v>20</v>
      </c>
      <c r="H3088" s="9" t="n">
        <v>46145</v>
      </c>
      <c r="I3088" s="9" t="n">
        <v>46162</v>
      </c>
      <c r="J3088" s="7" t="n">
        <v>8.1</v>
      </c>
      <c r="K3088" s="7" t="s">
        <v>3580</v>
      </c>
      <c r="L3088" s="7" t="s">
        <v>22</v>
      </c>
      <c r="M3088" s="7" t="s">
        <v>3642</v>
      </c>
      <c r="N3088" s="7" t="s">
        <v>53</v>
      </c>
      <c r="O3088" s="10" t="n">
        <f aca="false">'Exec Summary'!$E$2-H3088</f>
        <v>89</v>
      </c>
      <c r="P3088" s="10" t="n">
        <f aca="false">IF(I3088="","",I3088-H3088)</f>
        <v>17</v>
      </c>
      <c r="Q3088" s="10" t="n">
        <f aca="false">VLOOKUP(G3088,$AA$2:$AB$5,2,FALSE())</f>
        <v>30</v>
      </c>
      <c r="R3088" s="7" t="n">
        <f aca="false">IF(OR(F3088="Open",F3088="Reopened"),1,0)</f>
        <v>0</v>
      </c>
      <c r="S3088" s="7" t="n">
        <f aca="false">IF(AND(H3088&gt;='Exec Summary'!$E$1,H3088&lt;='Exec Summary'!$E$2),1,0)</f>
        <v>0</v>
      </c>
      <c r="T3088" s="7" t="n">
        <f aca="false">IF(AND(F3088="Closed",I3088&lt;&gt;"",I3088&gt;='Exec Summary'!$E$1,I3088&lt;='Exec Summary'!$E$2),1,0)</f>
        <v>0</v>
      </c>
      <c r="U3088" s="7" t="n">
        <f aca="false">IF(F3088="Reopened",1,0)</f>
        <v>0</v>
      </c>
      <c r="V3088" s="7" t="n">
        <f aca="false">IF(AND(R3088=1,O3088&gt;Q3088),1,0)</f>
        <v>0</v>
      </c>
      <c r="W3088" s="7" t="n">
        <f aca="false">IF(AND(T3088=1,P3088&lt;&gt;"",P3088&lt;=Q3088),1,0)</f>
        <v>0</v>
      </c>
    </row>
    <row r="3089" customFormat="false" ht="15" hidden="false" customHeight="false" outlineLevel="0" collapsed="false">
      <c r="A3089" s="7" t="s">
        <v>3640</v>
      </c>
      <c r="B3089" s="7" t="s">
        <v>46</v>
      </c>
      <c r="C3089" s="7" t="s">
        <v>177</v>
      </c>
      <c r="D3089" s="7" t="s">
        <v>173</v>
      </c>
      <c r="E3089" s="7" t="s">
        <v>174</v>
      </c>
      <c r="F3089" s="7" t="s">
        <v>56</v>
      </c>
      <c r="G3089" s="7" t="s">
        <v>19</v>
      </c>
      <c r="H3089" s="9" t="n">
        <v>45936</v>
      </c>
      <c r="I3089" s="9"/>
      <c r="J3089" s="7" t="n">
        <v>9.8</v>
      </c>
      <c r="K3089" s="7" t="s">
        <v>3580</v>
      </c>
      <c r="L3089" s="7" t="s">
        <v>22</v>
      </c>
      <c r="M3089" s="7" t="s">
        <v>3643</v>
      </c>
      <c r="N3089" s="7" t="s">
        <v>58</v>
      </c>
      <c r="O3089" s="10" t="n">
        <f aca="false">'Exec Summary'!$E$2-H3089</f>
        <v>298</v>
      </c>
      <c r="P3089" s="10" t="str">
        <f aca="false">IF(I3089="","",I3089-H3089)</f>
        <v/>
      </c>
      <c r="Q3089" s="10" t="n">
        <f aca="false">VLOOKUP(G3089,$AA$2:$AB$5,2,FALSE())</f>
        <v>15</v>
      </c>
      <c r="R3089" s="7" t="n">
        <f aca="false">IF(OR(F3089="Open",F3089="Reopened"),1,0)</f>
        <v>1</v>
      </c>
      <c r="S3089" s="7" t="n">
        <f aca="false">IF(AND(H3089&gt;='Exec Summary'!$E$1,H3089&lt;='Exec Summary'!$E$2),1,0)</f>
        <v>0</v>
      </c>
      <c r="T3089" s="7" t="n">
        <f aca="false">IF(AND(F3089="Closed",I3089&lt;&gt;"",I3089&gt;='Exec Summary'!$E$1,I3089&lt;='Exec Summary'!$E$2),1,0)</f>
        <v>0</v>
      </c>
      <c r="U3089" s="7" t="n">
        <f aca="false">IF(F3089="Reopened",1,0)</f>
        <v>0</v>
      </c>
      <c r="V3089" s="7" t="n">
        <f aca="false">IF(AND(R3089=1,O3089&gt;Q3089),1,0)</f>
        <v>1</v>
      </c>
      <c r="W3089" s="7" t="n">
        <f aca="false">IF(AND(T3089=1,P3089&lt;&gt;"",P3089&lt;=Q3089),1,0)</f>
        <v>0</v>
      </c>
    </row>
    <row r="3090" customFormat="false" ht="15" hidden="false" customHeight="false" outlineLevel="0" collapsed="false">
      <c r="A3090" s="7" t="s">
        <v>3640</v>
      </c>
      <c r="B3090" s="7" t="s">
        <v>46</v>
      </c>
      <c r="C3090" s="7" t="s">
        <v>177</v>
      </c>
      <c r="D3090" s="7" t="s">
        <v>74</v>
      </c>
      <c r="E3090" s="7" t="s">
        <v>75</v>
      </c>
      <c r="F3090" s="7" t="s">
        <v>56</v>
      </c>
      <c r="G3090" s="7" t="s">
        <v>21</v>
      </c>
      <c r="H3090" s="9" t="n">
        <v>46142</v>
      </c>
      <c r="I3090" s="9"/>
      <c r="J3090" s="7" t="n">
        <v>6.5</v>
      </c>
      <c r="K3090" s="7" t="s">
        <v>3580</v>
      </c>
      <c r="L3090" s="7" t="s">
        <v>22</v>
      </c>
      <c r="M3090" s="7" t="s">
        <v>3644</v>
      </c>
      <c r="N3090" s="7" t="s">
        <v>77</v>
      </c>
      <c r="O3090" s="10" t="n">
        <f aca="false">'Exec Summary'!$E$2-H3090</f>
        <v>92</v>
      </c>
      <c r="P3090" s="10" t="str">
        <f aca="false">IF(I3090="","",I3090-H3090)</f>
        <v/>
      </c>
      <c r="Q3090" s="10" t="n">
        <f aca="false">VLOOKUP(G3090,$AA$2:$AB$5,2,FALSE())</f>
        <v>90</v>
      </c>
      <c r="R3090" s="7" t="n">
        <f aca="false">IF(OR(F3090="Open",F3090="Reopened"),1,0)</f>
        <v>1</v>
      </c>
      <c r="S3090" s="7" t="n">
        <f aca="false">IF(AND(H3090&gt;='Exec Summary'!$E$1,H3090&lt;='Exec Summary'!$E$2),1,0)</f>
        <v>0</v>
      </c>
      <c r="T3090" s="7" t="n">
        <f aca="false">IF(AND(F3090="Closed",I3090&lt;&gt;"",I3090&gt;='Exec Summary'!$E$1,I3090&lt;='Exec Summary'!$E$2),1,0)</f>
        <v>0</v>
      </c>
      <c r="U3090" s="7" t="n">
        <f aca="false">IF(F3090="Reopened",1,0)</f>
        <v>0</v>
      </c>
      <c r="V3090" s="7" t="n">
        <f aca="false">IF(AND(R3090=1,O3090&gt;Q3090),1,0)</f>
        <v>1</v>
      </c>
      <c r="W3090" s="7" t="n">
        <f aca="false">IF(AND(T3090=1,P3090&lt;&gt;"",P3090&lt;=Q3090),1,0)</f>
        <v>0</v>
      </c>
    </row>
    <row r="3091" customFormat="false" ht="15" hidden="false" customHeight="false" outlineLevel="0" collapsed="false">
      <c r="A3091" s="7" t="s">
        <v>3640</v>
      </c>
      <c r="B3091" s="7" t="s">
        <v>46</v>
      </c>
      <c r="C3091" s="7" t="s">
        <v>177</v>
      </c>
      <c r="D3091" s="7" t="s">
        <v>68</v>
      </c>
      <c r="E3091" s="7" t="s">
        <v>69</v>
      </c>
      <c r="F3091" s="7" t="s">
        <v>56</v>
      </c>
      <c r="G3091" s="7" t="s">
        <v>19</v>
      </c>
      <c r="H3091" s="9" t="n">
        <v>46178</v>
      </c>
      <c r="I3091" s="9"/>
      <c r="J3091" s="7" t="n">
        <v>9.8</v>
      </c>
      <c r="K3091" s="7" t="s">
        <v>3580</v>
      </c>
      <c r="L3091" s="7" t="s">
        <v>22</v>
      </c>
      <c r="M3091" s="7" t="s">
        <v>3645</v>
      </c>
      <c r="N3091" s="7" t="s">
        <v>58</v>
      </c>
      <c r="O3091" s="10" t="n">
        <f aca="false">'Exec Summary'!$E$2-H3091</f>
        <v>56</v>
      </c>
      <c r="P3091" s="10" t="str">
        <f aca="false">IF(I3091="","",I3091-H3091)</f>
        <v/>
      </c>
      <c r="Q3091" s="10" t="n">
        <f aca="false">VLOOKUP(G3091,$AA$2:$AB$5,2,FALSE())</f>
        <v>15</v>
      </c>
      <c r="R3091" s="7" t="n">
        <f aca="false">IF(OR(F3091="Open",F3091="Reopened"),1,0)</f>
        <v>1</v>
      </c>
      <c r="S3091" s="7" t="n">
        <f aca="false">IF(AND(H3091&gt;='Exec Summary'!$E$1,H3091&lt;='Exec Summary'!$E$2),1,0)</f>
        <v>0</v>
      </c>
      <c r="T3091" s="7" t="n">
        <f aca="false">IF(AND(F3091="Closed",I3091&lt;&gt;"",I3091&gt;='Exec Summary'!$E$1,I3091&lt;='Exec Summary'!$E$2),1,0)</f>
        <v>0</v>
      </c>
      <c r="U3091" s="7" t="n">
        <f aca="false">IF(F3091="Reopened",1,0)</f>
        <v>0</v>
      </c>
      <c r="V3091" s="7" t="n">
        <f aca="false">IF(AND(R3091=1,O3091&gt;Q3091),1,0)</f>
        <v>1</v>
      </c>
      <c r="W3091" s="7" t="n">
        <f aca="false">IF(AND(T3091=1,P3091&lt;&gt;"",P3091&lt;=Q3091),1,0)</f>
        <v>0</v>
      </c>
    </row>
    <row r="3092" customFormat="false" ht="15" hidden="false" customHeight="false" outlineLevel="0" collapsed="false">
      <c r="A3092" s="7" t="s">
        <v>3640</v>
      </c>
      <c r="B3092" s="7" t="s">
        <v>46</v>
      </c>
      <c r="C3092" s="7" t="s">
        <v>177</v>
      </c>
      <c r="D3092" s="7" t="s">
        <v>131</v>
      </c>
      <c r="E3092" s="7" t="s">
        <v>132</v>
      </c>
      <c r="F3092" s="7" t="s">
        <v>50</v>
      </c>
      <c r="G3092" s="7" t="s">
        <v>19</v>
      </c>
      <c r="H3092" s="9" t="n">
        <v>46098</v>
      </c>
      <c r="I3092" s="9" t="n">
        <v>46120</v>
      </c>
      <c r="J3092" s="7" t="n">
        <v>9.8</v>
      </c>
      <c r="K3092" s="7" t="s">
        <v>3580</v>
      </c>
      <c r="L3092" s="7" t="s">
        <v>22</v>
      </c>
      <c r="M3092" s="7" t="s">
        <v>3646</v>
      </c>
      <c r="N3092" s="7" t="s">
        <v>58</v>
      </c>
      <c r="O3092" s="10" t="n">
        <f aca="false">'Exec Summary'!$E$2-H3092</f>
        <v>136</v>
      </c>
      <c r="P3092" s="10" t="n">
        <f aca="false">IF(I3092="","",I3092-H3092)</f>
        <v>22</v>
      </c>
      <c r="Q3092" s="10" t="n">
        <f aca="false">VLOOKUP(G3092,$AA$2:$AB$5,2,FALSE())</f>
        <v>15</v>
      </c>
      <c r="R3092" s="7" t="n">
        <f aca="false">IF(OR(F3092="Open",F3092="Reopened"),1,0)</f>
        <v>0</v>
      </c>
      <c r="S3092" s="7" t="n">
        <f aca="false">IF(AND(H3092&gt;='Exec Summary'!$E$1,H3092&lt;='Exec Summary'!$E$2),1,0)</f>
        <v>0</v>
      </c>
      <c r="T3092" s="7" t="n">
        <f aca="false">IF(AND(F3092="Closed",I3092&lt;&gt;"",I3092&gt;='Exec Summary'!$E$1,I3092&lt;='Exec Summary'!$E$2),1,0)</f>
        <v>0</v>
      </c>
      <c r="U3092" s="7" t="n">
        <f aca="false">IF(F3092="Reopened",1,0)</f>
        <v>0</v>
      </c>
      <c r="V3092" s="7" t="n">
        <f aca="false">IF(AND(R3092=1,O3092&gt;Q3092),1,0)</f>
        <v>0</v>
      </c>
      <c r="W3092" s="7" t="n">
        <f aca="false">IF(AND(T3092=1,P3092&lt;&gt;"",P3092&lt;=Q3092),1,0)</f>
        <v>0</v>
      </c>
    </row>
    <row r="3093" customFormat="false" ht="15" hidden="false" customHeight="false" outlineLevel="0" collapsed="false">
      <c r="A3093" s="7" t="s">
        <v>3640</v>
      </c>
      <c r="B3093" s="7" t="s">
        <v>46</v>
      </c>
      <c r="C3093" s="7" t="s">
        <v>177</v>
      </c>
      <c r="D3093" s="7" t="s">
        <v>65</v>
      </c>
      <c r="E3093" s="7" t="s">
        <v>66</v>
      </c>
      <c r="F3093" s="7" t="s">
        <v>56</v>
      </c>
      <c r="G3093" s="7" t="s">
        <v>19</v>
      </c>
      <c r="H3093" s="9" t="n">
        <v>46207</v>
      </c>
      <c r="I3093" s="9"/>
      <c r="J3093" s="7" t="n">
        <v>9.8</v>
      </c>
      <c r="K3093" s="7" t="s">
        <v>3580</v>
      </c>
      <c r="L3093" s="7" t="s">
        <v>22</v>
      </c>
      <c r="M3093" s="7" t="s">
        <v>3647</v>
      </c>
      <c r="N3093" s="7" t="s">
        <v>58</v>
      </c>
      <c r="O3093" s="10" t="n">
        <f aca="false">'Exec Summary'!$E$2-H3093</f>
        <v>27</v>
      </c>
      <c r="P3093" s="10" t="str">
        <f aca="false">IF(I3093="","",I3093-H3093)</f>
        <v/>
      </c>
      <c r="Q3093" s="10" t="n">
        <f aca="false">VLOOKUP(G3093,$AA$2:$AB$5,2,FALSE())</f>
        <v>15</v>
      </c>
      <c r="R3093" s="7" t="n">
        <f aca="false">IF(OR(F3093="Open",F3093="Reopened"),1,0)</f>
        <v>1</v>
      </c>
      <c r="S3093" s="7" t="n">
        <f aca="false">IF(AND(H3093&gt;='Exec Summary'!$E$1,H3093&lt;='Exec Summary'!$E$2),1,0)</f>
        <v>1</v>
      </c>
      <c r="T3093" s="7" t="n">
        <f aca="false">IF(AND(F3093="Closed",I3093&lt;&gt;"",I3093&gt;='Exec Summary'!$E$1,I3093&lt;='Exec Summary'!$E$2),1,0)</f>
        <v>0</v>
      </c>
      <c r="U3093" s="7" t="n">
        <f aca="false">IF(F3093="Reopened",1,0)</f>
        <v>0</v>
      </c>
      <c r="V3093" s="7" t="n">
        <f aca="false">IF(AND(R3093=1,O3093&gt;Q3093),1,0)</f>
        <v>1</v>
      </c>
      <c r="W3093" s="7" t="n">
        <f aca="false">IF(AND(T3093=1,P3093&lt;&gt;"",P3093&lt;=Q3093),1,0)</f>
        <v>0</v>
      </c>
    </row>
    <row r="3094" customFormat="false" ht="15" hidden="false" customHeight="false" outlineLevel="0" collapsed="false">
      <c r="A3094" s="7" t="s">
        <v>3640</v>
      </c>
      <c r="B3094" s="7" t="s">
        <v>46</v>
      </c>
      <c r="C3094" s="7" t="s">
        <v>177</v>
      </c>
      <c r="D3094" s="7" t="s">
        <v>71</v>
      </c>
      <c r="E3094" s="7" t="s">
        <v>72</v>
      </c>
      <c r="F3094" s="7" t="s">
        <v>50</v>
      </c>
      <c r="G3094" s="7" t="s">
        <v>19</v>
      </c>
      <c r="H3094" s="9" t="n">
        <v>46023</v>
      </c>
      <c r="I3094" s="9" t="n">
        <v>46038</v>
      </c>
      <c r="J3094" s="7" t="n">
        <v>9.8</v>
      </c>
      <c r="K3094" s="7" t="s">
        <v>3580</v>
      </c>
      <c r="L3094" s="7" t="s">
        <v>22</v>
      </c>
      <c r="M3094" s="7" t="s">
        <v>3648</v>
      </c>
      <c r="N3094" s="7" t="s">
        <v>58</v>
      </c>
      <c r="O3094" s="10" t="n">
        <f aca="false">'Exec Summary'!$E$2-H3094</f>
        <v>211</v>
      </c>
      <c r="P3094" s="10" t="n">
        <f aca="false">IF(I3094="","",I3094-H3094)</f>
        <v>15</v>
      </c>
      <c r="Q3094" s="10" t="n">
        <f aca="false">VLOOKUP(G3094,$AA$2:$AB$5,2,FALSE())</f>
        <v>15</v>
      </c>
      <c r="R3094" s="7" t="n">
        <f aca="false">IF(OR(F3094="Open",F3094="Reopened"),1,0)</f>
        <v>0</v>
      </c>
      <c r="S3094" s="7" t="n">
        <f aca="false">IF(AND(H3094&gt;='Exec Summary'!$E$1,H3094&lt;='Exec Summary'!$E$2),1,0)</f>
        <v>0</v>
      </c>
      <c r="T3094" s="7" t="n">
        <f aca="false">IF(AND(F3094="Closed",I3094&lt;&gt;"",I3094&gt;='Exec Summary'!$E$1,I3094&lt;='Exec Summary'!$E$2),1,0)</f>
        <v>0</v>
      </c>
      <c r="U3094" s="7" t="n">
        <f aca="false">IF(F3094="Reopened",1,0)</f>
        <v>0</v>
      </c>
      <c r="V3094" s="7" t="n">
        <f aca="false">IF(AND(R3094=1,O3094&gt;Q3094),1,0)</f>
        <v>0</v>
      </c>
      <c r="W3094" s="7" t="n">
        <f aca="false">IF(AND(T3094=1,P3094&lt;&gt;"",P3094&lt;=Q3094),1,0)</f>
        <v>0</v>
      </c>
    </row>
    <row r="3095" customFormat="false" ht="15" hidden="false" customHeight="false" outlineLevel="0" collapsed="false">
      <c r="A3095" s="7" t="s">
        <v>3640</v>
      </c>
      <c r="B3095" s="7" t="s">
        <v>46</v>
      </c>
      <c r="C3095" s="7" t="s">
        <v>177</v>
      </c>
      <c r="D3095" s="7" t="s">
        <v>54</v>
      </c>
      <c r="E3095" s="7" t="s">
        <v>55</v>
      </c>
      <c r="F3095" s="7" t="s">
        <v>56</v>
      </c>
      <c r="G3095" s="7" t="s">
        <v>19</v>
      </c>
      <c r="H3095" s="9" t="n">
        <v>46137</v>
      </c>
      <c r="I3095" s="9"/>
      <c r="J3095" s="7" t="n">
        <v>9.8</v>
      </c>
      <c r="K3095" s="7" t="s">
        <v>3580</v>
      </c>
      <c r="L3095" s="7" t="s">
        <v>22</v>
      </c>
      <c r="M3095" s="7" t="s">
        <v>3649</v>
      </c>
      <c r="N3095" s="7" t="s">
        <v>58</v>
      </c>
      <c r="O3095" s="10" t="n">
        <f aca="false">'Exec Summary'!$E$2-H3095</f>
        <v>97</v>
      </c>
      <c r="P3095" s="10" t="str">
        <f aca="false">IF(I3095="","",I3095-H3095)</f>
        <v/>
      </c>
      <c r="Q3095" s="10" t="n">
        <f aca="false">VLOOKUP(G3095,$AA$2:$AB$5,2,FALSE())</f>
        <v>15</v>
      </c>
      <c r="R3095" s="7" t="n">
        <f aca="false">IF(OR(F3095="Open",F3095="Reopened"),1,0)</f>
        <v>1</v>
      </c>
      <c r="S3095" s="7" t="n">
        <f aca="false">IF(AND(H3095&gt;='Exec Summary'!$E$1,H3095&lt;='Exec Summary'!$E$2),1,0)</f>
        <v>0</v>
      </c>
      <c r="T3095" s="7" t="n">
        <f aca="false">IF(AND(F3095="Closed",I3095&lt;&gt;"",I3095&gt;='Exec Summary'!$E$1,I3095&lt;='Exec Summary'!$E$2),1,0)</f>
        <v>0</v>
      </c>
      <c r="U3095" s="7" t="n">
        <f aca="false">IF(F3095="Reopened",1,0)</f>
        <v>0</v>
      </c>
      <c r="V3095" s="7" t="n">
        <f aca="false">IF(AND(R3095=1,O3095&gt;Q3095),1,0)</f>
        <v>1</v>
      </c>
      <c r="W3095" s="7" t="n">
        <f aca="false">IF(AND(T3095=1,P3095&lt;&gt;"",P3095&lt;=Q3095),1,0)</f>
        <v>0</v>
      </c>
    </row>
    <row r="3096" customFormat="false" ht="15" hidden="false" customHeight="false" outlineLevel="0" collapsed="false">
      <c r="A3096" s="7" t="s">
        <v>3650</v>
      </c>
      <c r="B3096" s="7" t="s">
        <v>135</v>
      </c>
      <c r="C3096" s="7" t="s">
        <v>136</v>
      </c>
      <c r="D3096" s="7" t="s">
        <v>87</v>
      </c>
      <c r="E3096" s="7" t="s">
        <v>88</v>
      </c>
      <c r="F3096" s="7" t="s">
        <v>56</v>
      </c>
      <c r="G3096" s="7" t="s">
        <v>19</v>
      </c>
      <c r="H3096" s="9" t="n">
        <v>46002</v>
      </c>
      <c r="I3096" s="9"/>
      <c r="J3096" s="7" t="n">
        <v>10</v>
      </c>
      <c r="K3096" s="7" t="s">
        <v>3580</v>
      </c>
      <c r="L3096" s="7" t="s">
        <v>19</v>
      </c>
      <c r="M3096" s="7" t="s">
        <v>3651</v>
      </c>
      <c r="N3096" s="7" t="s">
        <v>58</v>
      </c>
      <c r="O3096" s="10" t="n">
        <f aca="false">'Exec Summary'!$E$2-H3096</f>
        <v>232</v>
      </c>
      <c r="P3096" s="10" t="str">
        <f aca="false">IF(I3096="","",I3096-H3096)</f>
        <v/>
      </c>
      <c r="Q3096" s="10" t="n">
        <f aca="false">VLOOKUP(G3096,$AA$2:$AB$5,2,FALSE())</f>
        <v>15</v>
      </c>
      <c r="R3096" s="7" t="n">
        <f aca="false">IF(OR(F3096="Open",F3096="Reopened"),1,0)</f>
        <v>1</v>
      </c>
      <c r="S3096" s="7" t="n">
        <f aca="false">IF(AND(H3096&gt;='Exec Summary'!$E$1,H3096&lt;='Exec Summary'!$E$2),1,0)</f>
        <v>0</v>
      </c>
      <c r="T3096" s="7" t="n">
        <f aca="false">IF(AND(F3096="Closed",I3096&lt;&gt;"",I3096&gt;='Exec Summary'!$E$1,I3096&lt;='Exec Summary'!$E$2),1,0)</f>
        <v>0</v>
      </c>
      <c r="U3096" s="7" t="n">
        <f aca="false">IF(F3096="Reopened",1,0)</f>
        <v>0</v>
      </c>
      <c r="V3096" s="7" t="n">
        <f aca="false">IF(AND(R3096=1,O3096&gt;Q3096),1,0)</f>
        <v>1</v>
      </c>
      <c r="W3096" s="7" t="n">
        <f aca="false">IF(AND(T3096=1,P3096&lt;&gt;"",P3096&lt;=Q3096),1,0)</f>
        <v>0</v>
      </c>
    </row>
    <row r="3097" customFormat="false" ht="15" hidden="false" customHeight="false" outlineLevel="0" collapsed="false">
      <c r="A3097" s="7" t="s">
        <v>3650</v>
      </c>
      <c r="B3097" s="7" t="s">
        <v>135</v>
      </c>
      <c r="C3097" s="7" t="s">
        <v>136</v>
      </c>
      <c r="D3097" s="7" t="s">
        <v>112</v>
      </c>
      <c r="E3097" s="7" t="s">
        <v>113</v>
      </c>
      <c r="F3097" s="7" t="s">
        <v>50</v>
      </c>
      <c r="G3097" s="7" t="s">
        <v>20</v>
      </c>
      <c r="H3097" s="9" t="n">
        <v>46073</v>
      </c>
      <c r="I3097" s="9" t="n">
        <v>46101</v>
      </c>
      <c r="J3097" s="7" t="n">
        <v>7.8</v>
      </c>
      <c r="K3097" s="7" t="s">
        <v>3580</v>
      </c>
      <c r="L3097" s="7" t="s">
        <v>19</v>
      </c>
      <c r="M3097" s="7" t="s">
        <v>3652</v>
      </c>
      <c r="N3097" s="7" t="s">
        <v>53</v>
      </c>
      <c r="O3097" s="10" t="n">
        <f aca="false">'Exec Summary'!$E$2-H3097</f>
        <v>161</v>
      </c>
      <c r="P3097" s="10" t="n">
        <f aca="false">IF(I3097="","",I3097-H3097)</f>
        <v>28</v>
      </c>
      <c r="Q3097" s="10" t="n">
        <f aca="false">VLOOKUP(G3097,$AA$2:$AB$5,2,FALSE())</f>
        <v>30</v>
      </c>
      <c r="R3097" s="7" t="n">
        <f aca="false">IF(OR(F3097="Open",F3097="Reopened"),1,0)</f>
        <v>0</v>
      </c>
      <c r="S3097" s="7" t="n">
        <f aca="false">IF(AND(H3097&gt;='Exec Summary'!$E$1,H3097&lt;='Exec Summary'!$E$2),1,0)</f>
        <v>0</v>
      </c>
      <c r="T3097" s="7" t="n">
        <f aca="false">IF(AND(F3097="Closed",I3097&lt;&gt;"",I3097&gt;='Exec Summary'!$E$1,I3097&lt;='Exec Summary'!$E$2),1,0)</f>
        <v>0</v>
      </c>
      <c r="U3097" s="7" t="n">
        <f aca="false">IF(F3097="Reopened",1,0)</f>
        <v>0</v>
      </c>
      <c r="V3097" s="7" t="n">
        <f aca="false">IF(AND(R3097=1,O3097&gt;Q3097),1,0)</f>
        <v>0</v>
      </c>
      <c r="W3097" s="7" t="n">
        <f aca="false">IF(AND(T3097=1,P3097&lt;&gt;"",P3097&lt;=Q3097),1,0)</f>
        <v>0</v>
      </c>
    </row>
    <row r="3098" customFormat="false" ht="15" hidden="false" customHeight="false" outlineLevel="0" collapsed="false">
      <c r="A3098" s="7" t="s">
        <v>3650</v>
      </c>
      <c r="B3098" s="7" t="s">
        <v>135</v>
      </c>
      <c r="C3098" s="7" t="s">
        <v>136</v>
      </c>
      <c r="D3098" s="7" t="s">
        <v>104</v>
      </c>
      <c r="E3098" s="7" t="s">
        <v>105</v>
      </c>
      <c r="F3098" s="7" t="s">
        <v>50</v>
      </c>
      <c r="G3098" s="7" t="s">
        <v>19</v>
      </c>
      <c r="H3098" s="9" t="n">
        <v>46029</v>
      </c>
      <c r="I3098" s="9" t="n">
        <v>46042</v>
      </c>
      <c r="J3098" s="7" t="n">
        <v>9.8</v>
      </c>
      <c r="K3098" s="7" t="s">
        <v>3580</v>
      </c>
      <c r="L3098" s="7" t="s">
        <v>19</v>
      </c>
      <c r="M3098" s="7" t="s">
        <v>3653</v>
      </c>
      <c r="N3098" s="7" t="s">
        <v>58</v>
      </c>
      <c r="O3098" s="10" t="n">
        <f aca="false">'Exec Summary'!$E$2-H3098</f>
        <v>205</v>
      </c>
      <c r="P3098" s="10" t="n">
        <f aca="false">IF(I3098="","",I3098-H3098)</f>
        <v>13</v>
      </c>
      <c r="Q3098" s="10" t="n">
        <f aca="false">VLOOKUP(G3098,$AA$2:$AB$5,2,FALSE())</f>
        <v>15</v>
      </c>
      <c r="R3098" s="7" t="n">
        <f aca="false">IF(OR(F3098="Open",F3098="Reopened"),1,0)</f>
        <v>0</v>
      </c>
      <c r="S3098" s="7" t="n">
        <f aca="false">IF(AND(H3098&gt;='Exec Summary'!$E$1,H3098&lt;='Exec Summary'!$E$2),1,0)</f>
        <v>0</v>
      </c>
      <c r="T3098" s="7" t="n">
        <f aca="false">IF(AND(F3098="Closed",I3098&lt;&gt;"",I3098&gt;='Exec Summary'!$E$1,I3098&lt;='Exec Summary'!$E$2),1,0)</f>
        <v>0</v>
      </c>
      <c r="U3098" s="7" t="n">
        <f aca="false">IF(F3098="Reopened",1,0)</f>
        <v>0</v>
      </c>
      <c r="V3098" s="7" t="n">
        <f aca="false">IF(AND(R3098=1,O3098&gt;Q3098),1,0)</f>
        <v>0</v>
      </c>
      <c r="W3098" s="7" t="n">
        <f aca="false">IF(AND(T3098=1,P3098&lt;&gt;"",P3098&lt;=Q3098),1,0)</f>
        <v>0</v>
      </c>
    </row>
    <row r="3099" customFormat="false" ht="15" hidden="false" customHeight="false" outlineLevel="0" collapsed="false">
      <c r="A3099" s="7" t="s">
        <v>3650</v>
      </c>
      <c r="B3099" s="7" t="s">
        <v>135</v>
      </c>
      <c r="C3099" s="7" t="s">
        <v>136</v>
      </c>
      <c r="D3099" s="7" t="s">
        <v>91</v>
      </c>
      <c r="E3099" s="7" t="s">
        <v>92</v>
      </c>
      <c r="F3099" s="7" t="s">
        <v>56</v>
      </c>
      <c r="G3099" s="7" t="s">
        <v>20</v>
      </c>
      <c r="H3099" s="9" t="n">
        <v>46224</v>
      </c>
      <c r="I3099" s="9"/>
      <c r="J3099" s="7" t="n">
        <v>8.1</v>
      </c>
      <c r="K3099" s="7" t="s">
        <v>3580</v>
      </c>
      <c r="L3099" s="7" t="s">
        <v>19</v>
      </c>
      <c r="M3099" s="7" t="s">
        <v>3654</v>
      </c>
      <c r="N3099" s="7" t="s">
        <v>53</v>
      </c>
      <c r="O3099" s="10" t="n">
        <f aca="false">'Exec Summary'!$E$2-H3099</f>
        <v>10</v>
      </c>
      <c r="P3099" s="10" t="str">
        <f aca="false">IF(I3099="","",I3099-H3099)</f>
        <v/>
      </c>
      <c r="Q3099" s="10" t="n">
        <f aca="false">VLOOKUP(G3099,$AA$2:$AB$5,2,FALSE())</f>
        <v>30</v>
      </c>
      <c r="R3099" s="7" t="n">
        <f aca="false">IF(OR(F3099="Open",F3099="Reopened"),1,0)</f>
        <v>1</v>
      </c>
      <c r="S3099" s="7" t="n">
        <f aca="false">IF(AND(H3099&gt;='Exec Summary'!$E$1,H3099&lt;='Exec Summary'!$E$2),1,0)</f>
        <v>1</v>
      </c>
      <c r="T3099" s="7" t="n">
        <f aca="false">IF(AND(F3099="Closed",I3099&lt;&gt;"",I3099&gt;='Exec Summary'!$E$1,I3099&lt;='Exec Summary'!$E$2),1,0)</f>
        <v>0</v>
      </c>
      <c r="U3099" s="7" t="n">
        <f aca="false">IF(F3099="Reopened",1,0)</f>
        <v>0</v>
      </c>
      <c r="V3099" s="7" t="n">
        <f aca="false">IF(AND(R3099=1,O3099&gt;Q3099),1,0)</f>
        <v>0</v>
      </c>
      <c r="W3099" s="7" t="n">
        <f aca="false">IF(AND(T3099=1,P3099&lt;&gt;"",P3099&lt;=Q3099),1,0)</f>
        <v>0</v>
      </c>
    </row>
    <row r="3100" customFormat="false" ht="15" hidden="false" customHeight="false" outlineLevel="0" collapsed="false">
      <c r="A3100" s="7" t="s">
        <v>3650</v>
      </c>
      <c r="B3100" s="7" t="s">
        <v>135</v>
      </c>
      <c r="C3100" s="7" t="s">
        <v>136</v>
      </c>
      <c r="D3100" s="7" t="s">
        <v>108</v>
      </c>
      <c r="E3100" s="7" t="s">
        <v>109</v>
      </c>
      <c r="F3100" s="7" t="s">
        <v>56</v>
      </c>
      <c r="G3100" s="7" t="s">
        <v>20</v>
      </c>
      <c r="H3100" s="9" t="n">
        <v>46023</v>
      </c>
      <c r="I3100" s="9"/>
      <c r="J3100" s="7" t="n">
        <v>8.6</v>
      </c>
      <c r="K3100" s="7" t="s">
        <v>3580</v>
      </c>
      <c r="L3100" s="7" t="s">
        <v>19</v>
      </c>
      <c r="M3100" s="7" t="s">
        <v>3655</v>
      </c>
      <c r="N3100" s="7" t="s">
        <v>53</v>
      </c>
      <c r="O3100" s="10" t="n">
        <f aca="false">'Exec Summary'!$E$2-H3100</f>
        <v>211</v>
      </c>
      <c r="P3100" s="10" t="str">
        <f aca="false">IF(I3100="","",I3100-H3100)</f>
        <v/>
      </c>
      <c r="Q3100" s="10" t="n">
        <f aca="false">VLOOKUP(G3100,$AA$2:$AB$5,2,FALSE())</f>
        <v>30</v>
      </c>
      <c r="R3100" s="7" t="n">
        <f aca="false">IF(OR(F3100="Open",F3100="Reopened"),1,0)</f>
        <v>1</v>
      </c>
      <c r="S3100" s="7" t="n">
        <f aca="false">IF(AND(H3100&gt;='Exec Summary'!$E$1,H3100&lt;='Exec Summary'!$E$2),1,0)</f>
        <v>0</v>
      </c>
      <c r="T3100" s="7" t="n">
        <f aca="false">IF(AND(F3100="Closed",I3100&lt;&gt;"",I3100&gt;='Exec Summary'!$E$1,I3100&lt;='Exec Summary'!$E$2),1,0)</f>
        <v>0</v>
      </c>
      <c r="U3100" s="7" t="n">
        <f aca="false">IF(F3100="Reopened",1,0)</f>
        <v>0</v>
      </c>
      <c r="V3100" s="7" t="n">
        <f aca="false">IF(AND(R3100=1,O3100&gt;Q3100),1,0)</f>
        <v>1</v>
      </c>
      <c r="W3100" s="7" t="n">
        <f aca="false">IF(AND(T3100=1,P3100&lt;&gt;"",P3100&lt;=Q3100),1,0)</f>
        <v>0</v>
      </c>
    </row>
    <row r="3101" customFormat="false" ht="15" hidden="false" customHeight="false" outlineLevel="0" collapsed="false">
      <c r="A3101" s="7" t="s">
        <v>3650</v>
      </c>
      <c r="B3101" s="7" t="s">
        <v>135</v>
      </c>
      <c r="C3101" s="7" t="s">
        <v>136</v>
      </c>
      <c r="D3101" s="7" t="s">
        <v>139</v>
      </c>
      <c r="E3101" s="7" t="s">
        <v>140</v>
      </c>
      <c r="F3101" s="7" t="s">
        <v>50</v>
      </c>
      <c r="G3101" s="7" t="s">
        <v>19</v>
      </c>
      <c r="H3101" s="9" t="n">
        <v>46152</v>
      </c>
      <c r="I3101" s="9" t="n">
        <v>46171</v>
      </c>
      <c r="J3101" s="7" t="n">
        <v>9.8</v>
      </c>
      <c r="K3101" s="7" t="s">
        <v>3580</v>
      </c>
      <c r="L3101" s="7" t="s">
        <v>19</v>
      </c>
      <c r="M3101" s="7" t="s">
        <v>3656</v>
      </c>
      <c r="N3101" s="7" t="s">
        <v>58</v>
      </c>
      <c r="O3101" s="10" t="n">
        <f aca="false">'Exec Summary'!$E$2-H3101</f>
        <v>82</v>
      </c>
      <c r="P3101" s="10" t="n">
        <f aca="false">IF(I3101="","",I3101-H3101)</f>
        <v>19</v>
      </c>
      <c r="Q3101" s="10" t="n">
        <f aca="false">VLOOKUP(G3101,$AA$2:$AB$5,2,FALSE())</f>
        <v>15</v>
      </c>
      <c r="R3101" s="7" t="n">
        <f aca="false">IF(OR(F3101="Open",F3101="Reopened"),1,0)</f>
        <v>0</v>
      </c>
      <c r="S3101" s="7" t="n">
        <f aca="false">IF(AND(H3101&gt;='Exec Summary'!$E$1,H3101&lt;='Exec Summary'!$E$2),1,0)</f>
        <v>0</v>
      </c>
      <c r="T3101" s="7" t="n">
        <f aca="false">IF(AND(F3101="Closed",I3101&lt;&gt;"",I3101&gt;='Exec Summary'!$E$1,I3101&lt;='Exec Summary'!$E$2),1,0)</f>
        <v>0</v>
      </c>
      <c r="U3101" s="7" t="n">
        <f aca="false">IF(F3101="Reopened",1,0)</f>
        <v>0</v>
      </c>
      <c r="V3101" s="7" t="n">
        <f aca="false">IF(AND(R3101=1,O3101&gt;Q3101),1,0)</f>
        <v>0</v>
      </c>
      <c r="W3101" s="7" t="n">
        <f aca="false">IF(AND(T3101=1,P3101&lt;&gt;"",P3101&lt;=Q3101),1,0)</f>
        <v>0</v>
      </c>
    </row>
    <row r="3102" customFormat="false" ht="15" hidden="false" customHeight="false" outlineLevel="0" collapsed="false">
      <c r="A3102" s="7" t="s">
        <v>3657</v>
      </c>
      <c r="B3102" s="7" t="s">
        <v>46</v>
      </c>
      <c r="C3102" s="7" t="s">
        <v>128</v>
      </c>
      <c r="D3102" s="7" t="s">
        <v>95</v>
      </c>
      <c r="E3102" s="7" t="s">
        <v>96</v>
      </c>
      <c r="F3102" s="7" t="s">
        <v>50</v>
      </c>
      <c r="G3102" s="7" t="s">
        <v>20</v>
      </c>
      <c r="H3102" s="9" t="n">
        <v>46172</v>
      </c>
      <c r="I3102" s="9" t="n">
        <v>46204</v>
      </c>
      <c r="J3102" s="7" t="n">
        <v>8.8</v>
      </c>
      <c r="K3102" s="7" t="s">
        <v>3580</v>
      </c>
      <c r="L3102" s="7" t="s">
        <v>20</v>
      </c>
      <c r="M3102" s="7" t="s">
        <v>3658</v>
      </c>
      <c r="N3102" s="7" t="s">
        <v>53</v>
      </c>
      <c r="O3102" s="10" t="n">
        <f aca="false">'Exec Summary'!$E$2-H3102</f>
        <v>62</v>
      </c>
      <c r="P3102" s="10" t="n">
        <f aca="false">IF(I3102="","",I3102-H3102)</f>
        <v>32</v>
      </c>
      <c r="Q3102" s="10" t="n">
        <f aca="false">VLOOKUP(G3102,$AA$2:$AB$5,2,FALSE())</f>
        <v>30</v>
      </c>
      <c r="R3102" s="7" t="n">
        <f aca="false">IF(OR(F3102="Open",F3102="Reopened"),1,0)</f>
        <v>0</v>
      </c>
      <c r="S3102" s="7" t="n">
        <f aca="false">IF(AND(H3102&gt;='Exec Summary'!$E$1,H3102&lt;='Exec Summary'!$E$2),1,0)</f>
        <v>0</v>
      </c>
      <c r="T3102" s="7" t="n">
        <f aca="false">IF(AND(F3102="Closed",I3102&lt;&gt;"",I3102&gt;='Exec Summary'!$E$1,I3102&lt;='Exec Summary'!$E$2),1,0)</f>
        <v>1</v>
      </c>
      <c r="U3102" s="7" t="n">
        <f aca="false">IF(F3102="Reopened",1,0)</f>
        <v>0</v>
      </c>
      <c r="V3102" s="7" t="n">
        <f aca="false">IF(AND(R3102=1,O3102&gt;Q3102),1,0)</f>
        <v>0</v>
      </c>
      <c r="W3102" s="7" t="n">
        <f aca="false">IF(AND(T3102=1,P3102&lt;&gt;"",P3102&lt;=Q3102),1,0)</f>
        <v>0</v>
      </c>
    </row>
    <row r="3103" customFormat="false" ht="15" hidden="false" customHeight="false" outlineLevel="0" collapsed="false">
      <c r="A3103" s="7" t="s">
        <v>3657</v>
      </c>
      <c r="B3103" s="7" t="s">
        <v>46</v>
      </c>
      <c r="C3103" s="7" t="s">
        <v>128</v>
      </c>
      <c r="D3103" s="7" t="s">
        <v>163</v>
      </c>
      <c r="E3103" s="7" t="s">
        <v>164</v>
      </c>
      <c r="F3103" s="7" t="s">
        <v>56</v>
      </c>
      <c r="G3103" s="7" t="s">
        <v>19</v>
      </c>
      <c r="H3103" s="9" t="n">
        <v>46093</v>
      </c>
      <c r="I3103" s="9"/>
      <c r="J3103" s="7" t="n">
        <v>9.1</v>
      </c>
      <c r="K3103" s="7" t="s">
        <v>3580</v>
      </c>
      <c r="L3103" s="7" t="s">
        <v>20</v>
      </c>
      <c r="M3103" s="7" t="s">
        <v>3659</v>
      </c>
      <c r="N3103" s="7" t="s">
        <v>58</v>
      </c>
      <c r="O3103" s="10" t="n">
        <f aca="false">'Exec Summary'!$E$2-H3103</f>
        <v>141</v>
      </c>
      <c r="P3103" s="10" t="str">
        <f aca="false">IF(I3103="","",I3103-H3103)</f>
        <v/>
      </c>
      <c r="Q3103" s="10" t="n">
        <f aca="false">VLOOKUP(G3103,$AA$2:$AB$5,2,FALSE())</f>
        <v>15</v>
      </c>
      <c r="R3103" s="7" t="n">
        <f aca="false">IF(OR(F3103="Open",F3103="Reopened"),1,0)</f>
        <v>1</v>
      </c>
      <c r="S3103" s="7" t="n">
        <f aca="false">IF(AND(H3103&gt;='Exec Summary'!$E$1,H3103&lt;='Exec Summary'!$E$2),1,0)</f>
        <v>0</v>
      </c>
      <c r="T3103" s="7" t="n">
        <f aca="false">IF(AND(F3103="Closed",I3103&lt;&gt;"",I3103&gt;='Exec Summary'!$E$1,I3103&lt;='Exec Summary'!$E$2),1,0)</f>
        <v>0</v>
      </c>
      <c r="U3103" s="7" t="n">
        <f aca="false">IF(F3103="Reopened",1,0)</f>
        <v>0</v>
      </c>
      <c r="V3103" s="7" t="n">
        <f aca="false">IF(AND(R3103=1,O3103&gt;Q3103),1,0)</f>
        <v>1</v>
      </c>
      <c r="W3103" s="7" t="n">
        <f aca="false">IF(AND(T3103=1,P3103&lt;&gt;"",P3103&lt;=Q3103),1,0)</f>
        <v>0</v>
      </c>
    </row>
    <row r="3104" customFormat="false" ht="15" hidden="false" customHeight="false" outlineLevel="0" collapsed="false">
      <c r="A3104" s="7" t="s">
        <v>3657</v>
      </c>
      <c r="B3104" s="7" t="s">
        <v>46</v>
      </c>
      <c r="C3104" s="7" t="s">
        <v>128</v>
      </c>
      <c r="D3104" s="7" t="s">
        <v>87</v>
      </c>
      <c r="E3104" s="7" t="s">
        <v>88</v>
      </c>
      <c r="F3104" s="7" t="s">
        <v>56</v>
      </c>
      <c r="G3104" s="7" t="s">
        <v>19</v>
      </c>
      <c r="H3104" s="9" t="n">
        <v>46122</v>
      </c>
      <c r="I3104" s="9"/>
      <c r="J3104" s="7" t="n">
        <v>10</v>
      </c>
      <c r="K3104" s="7" t="s">
        <v>3580</v>
      </c>
      <c r="L3104" s="7" t="s">
        <v>20</v>
      </c>
      <c r="M3104" s="7" t="s">
        <v>3660</v>
      </c>
      <c r="N3104" s="7" t="s">
        <v>58</v>
      </c>
      <c r="O3104" s="10" t="n">
        <f aca="false">'Exec Summary'!$E$2-H3104</f>
        <v>112</v>
      </c>
      <c r="P3104" s="10" t="str">
        <f aca="false">IF(I3104="","",I3104-H3104)</f>
        <v/>
      </c>
      <c r="Q3104" s="10" t="n">
        <f aca="false">VLOOKUP(G3104,$AA$2:$AB$5,2,FALSE())</f>
        <v>15</v>
      </c>
      <c r="R3104" s="7" t="n">
        <f aca="false">IF(OR(F3104="Open",F3104="Reopened"),1,0)</f>
        <v>1</v>
      </c>
      <c r="S3104" s="7" t="n">
        <f aca="false">IF(AND(H3104&gt;='Exec Summary'!$E$1,H3104&lt;='Exec Summary'!$E$2),1,0)</f>
        <v>0</v>
      </c>
      <c r="T3104" s="7" t="n">
        <f aca="false">IF(AND(F3104="Closed",I3104&lt;&gt;"",I3104&gt;='Exec Summary'!$E$1,I3104&lt;='Exec Summary'!$E$2),1,0)</f>
        <v>0</v>
      </c>
      <c r="U3104" s="7" t="n">
        <f aca="false">IF(F3104="Reopened",1,0)</f>
        <v>0</v>
      </c>
      <c r="V3104" s="7" t="n">
        <f aca="false">IF(AND(R3104=1,O3104&gt;Q3104),1,0)</f>
        <v>1</v>
      </c>
      <c r="W3104" s="7" t="n">
        <f aca="false">IF(AND(T3104=1,P3104&lt;&gt;"",P3104&lt;=Q3104),1,0)</f>
        <v>0</v>
      </c>
    </row>
    <row r="3105" customFormat="false" ht="15" hidden="false" customHeight="false" outlineLevel="0" collapsed="false">
      <c r="A3105" s="7" t="s">
        <v>3657</v>
      </c>
      <c r="B3105" s="7" t="s">
        <v>46</v>
      </c>
      <c r="C3105" s="7" t="s">
        <v>128</v>
      </c>
      <c r="D3105" s="7" t="s">
        <v>71</v>
      </c>
      <c r="E3105" s="7" t="s">
        <v>72</v>
      </c>
      <c r="F3105" s="7" t="s">
        <v>50</v>
      </c>
      <c r="G3105" s="7" t="s">
        <v>19</v>
      </c>
      <c r="H3105" s="9" t="n">
        <v>46002</v>
      </c>
      <c r="I3105" s="9" t="n">
        <v>46003</v>
      </c>
      <c r="J3105" s="7" t="n">
        <v>9.8</v>
      </c>
      <c r="K3105" s="7" t="s">
        <v>3580</v>
      </c>
      <c r="L3105" s="7" t="s">
        <v>20</v>
      </c>
      <c r="M3105" s="7" t="s">
        <v>3661</v>
      </c>
      <c r="N3105" s="7" t="s">
        <v>58</v>
      </c>
      <c r="O3105" s="10" t="n">
        <f aca="false">'Exec Summary'!$E$2-H3105</f>
        <v>232</v>
      </c>
      <c r="P3105" s="10" t="n">
        <f aca="false">IF(I3105="","",I3105-H3105)</f>
        <v>1</v>
      </c>
      <c r="Q3105" s="10" t="n">
        <f aca="false">VLOOKUP(G3105,$AA$2:$AB$5,2,FALSE())</f>
        <v>15</v>
      </c>
      <c r="R3105" s="7" t="n">
        <f aca="false">IF(OR(F3105="Open",F3105="Reopened"),1,0)</f>
        <v>0</v>
      </c>
      <c r="S3105" s="7" t="n">
        <f aca="false">IF(AND(H3105&gt;='Exec Summary'!$E$1,H3105&lt;='Exec Summary'!$E$2),1,0)</f>
        <v>0</v>
      </c>
      <c r="T3105" s="7" t="n">
        <f aca="false">IF(AND(F3105="Closed",I3105&lt;&gt;"",I3105&gt;='Exec Summary'!$E$1,I3105&lt;='Exec Summary'!$E$2),1,0)</f>
        <v>0</v>
      </c>
      <c r="U3105" s="7" t="n">
        <f aca="false">IF(F3105="Reopened",1,0)</f>
        <v>0</v>
      </c>
      <c r="V3105" s="7" t="n">
        <f aca="false">IF(AND(R3105=1,O3105&gt;Q3105),1,0)</f>
        <v>0</v>
      </c>
      <c r="W3105" s="7" t="n">
        <f aca="false">IF(AND(T3105=1,P3105&lt;&gt;"",P3105&lt;=Q3105),1,0)</f>
        <v>0</v>
      </c>
    </row>
    <row r="3106" customFormat="false" ht="15" hidden="false" customHeight="false" outlineLevel="0" collapsed="false">
      <c r="A3106" s="7" t="s">
        <v>3657</v>
      </c>
      <c r="B3106" s="7" t="s">
        <v>46</v>
      </c>
      <c r="C3106" s="7" t="s">
        <v>128</v>
      </c>
      <c r="D3106" s="7" t="s">
        <v>206</v>
      </c>
      <c r="E3106" s="7" t="s">
        <v>207</v>
      </c>
      <c r="F3106" s="7" t="s">
        <v>56</v>
      </c>
      <c r="G3106" s="7" t="s">
        <v>20</v>
      </c>
      <c r="H3106" s="9" t="n">
        <v>46209</v>
      </c>
      <c r="I3106" s="9"/>
      <c r="J3106" s="7" t="n">
        <v>8.8</v>
      </c>
      <c r="K3106" s="7" t="s">
        <v>3580</v>
      </c>
      <c r="L3106" s="7" t="s">
        <v>20</v>
      </c>
      <c r="M3106" s="7" t="s">
        <v>3662</v>
      </c>
      <c r="N3106" s="7" t="s">
        <v>53</v>
      </c>
      <c r="O3106" s="10" t="n">
        <f aca="false">'Exec Summary'!$E$2-H3106</f>
        <v>25</v>
      </c>
      <c r="P3106" s="10" t="str">
        <f aca="false">IF(I3106="","",I3106-H3106)</f>
        <v/>
      </c>
      <c r="Q3106" s="10" t="n">
        <f aca="false">VLOOKUP(G3106,$AA$2:$AB$5,2,FALSE())</f>
        <v>30</v>
      </c>
      <c r="R3106" s="7" t="n">
        <f aca="false">IF(OR(F3106="Open",F3106="Reopened"),1,0)</f>
        <v>1</v>
      </c>
      <c r="S3106" s="7" t="n">
        <f aca="false">IF(AND(H3106&gt;='Exec Summary'!$E$1,H3106&lt;='Exec Summary'!$E$2),1,0)</f>
        <v>1</v>
      </c>
      <c r="T3106" s="7" t="n">
        <f aca="false">IF(AND(F3106="Closed",I3106&lt;&gt;"",I3106&gt;='Exec Summary'!$E$1,I3106&lt;='Exec Summary'!$E$2),1,0)</f>
        <v>0</v>
      </c>
      <c r="U3106" s="7" t="n">
        <f aca="false">IF(F3106="Reopened",1,0)</f>
        <v>0</v>
      </c>
      <c r="V3106" s="7" t="n">
        <f aca="false">IF(AND(R3106=1,O3106&gt;Q3106),1,0)</f>
        <v>0</v>
      </c>
      <c r="W3106" s="7" t="n">
        <f aca="false">IF(AND(T3106=1,P3106&lt;&gt;"",P3106&lt;=Q3106),1,0)</f>
        <v>0</v>
      </c>
    </row>
    <row r="3107" customFormat="false" ht="15" hidden="false" customHeight="false" outlineLevel="0" collapsed="false">
      <c r="A3107" s="7" t="s">
        <v>3657</v>
      </c>
      <c r="B3107" s="7" t="s">
        <v>46</v>
      </c>
      <c r="C3107" s="7" t="s">
        <v>128</v>
      </c>
      <c r="D3107" s="7" t="s">
        <v>59</v>
      </c>
      <c r="E3107" s="7" t="s">
        <v>60</v>
      </c>
      <c r="F3107" s="7" t="s">
        <v>56</v>
      </c>
      <c r="G3107" s="7" t="s">
        <v>19</v>
      </c>
      <c r="H3107" s="9" t="n">
        <v>46060</v>
      </c>
      <c r="I3107" s="9"/>
      <c r="J3107" s="7" t="n">
        <v>7.8</v>
      </c>
      <c r="K3107" s="7" t="s">
        <v>3580</v>
      </c>
      <c r="L3107" s="7" t="s">
        <v>20</v>
      </c>
      <c r="M3107" s="7" t="s">
        <v>3663</v>
      </c>
      <c r="N3107" s="7" t="s">
        <v>58</v>
      </c>
      <c r="O3107" s="10" t="n">
        <f aca="false">'Exec Summary'!$E$2-H3107</f>
        <v>174</v>
      </c>
      <c r="P3107" s="10" t="str">
        <f aca="false">IF(I3107="","",I3107-H3107)</f>
        <v/>
      </c>
      <c r="Q3107" s="10" t="n">
        <f aca="false">VLOOKUP(G3107,$AA$2:$AB$5,2,FALSE())</f>
        <v>15</v>
      </c>
      <c r="R3107" s="7" t="n">
        <f aca="false">IF(OR(F3107="Open",F3107="Reopened"),1,0)</f>
        <v>1</v>
      </c>
      <c r="S3107" s="7" t="n">
        <f aca="false">IF(AND(H3107&gt;='Exec Summary'!$E$1,H3107&lt;='Exec Summary'!$E$2),1,0)</f>
        <v>0</v>
      </c>
      <c r="T3107" s="7" t="n">
        <f aca="false">IF(AND(F3107="Closed",I3107&lt;&gt;"",I3107&gt;='Exec Summary'!$E$1,I3107&lt;='Exec Summary'!$E$2),1,0)</f>
        <v>0</v>
      </c>
      <c r="U3107" s="7" t="n">
        <f aca="false">IF(F3107="Reopened",1,0)</f>
        <v>0</v>
      </c>
      <c r="V3107" s="7" t="n">
        <f aca="false">IF(AND(R3107=1,O3107&gt;Q3107),1,0)</f>
        <v>1</v>
      </c>
      <c r="W3107" s="7" t="n">
        <f aca="false">IF(AND(T3107=1,P3107&lt;&gt;"",P3107&lt;=Q3107),1,0)</f>
        <v>0</v>
      </c>
    </row>
    <row r="3108" customFormat="false" ht="15" hidden="false" customHeight="false" outlineLevel="0" collapsed="false">
      <c r="A3108" s="7" t="s">
        <v>3657</v>
      </c>
      <c r="B3108" s="7" t="s">
        <v>46</v>
      </c>
      <c r="C3108" s="7" t="s">
        <v>128</v>
      </c>
      <c r="D3108" s="7" t="s">
        <v>101</v>
      </c>
      <c r="E3108" s="7" t="s">
        <v>102</v>
      </c>
      <c r="F3108" s="7" t="s">
        <v>50</v>
      </c>
      <c r="G3108" s="7" t="s">
        <v>19</v>
      </c>
      <c r="H3108" s="9" t="n">
        <v>46203</v>
      </c>
      <c r="I3108" s="9" t="n">
        <v>46219</v>
      </c>
      <c r="J3108" s="7" t="n">
        <v>10</v>
      </c>
      <c r="K3108" s="7" t="s">
        <v>3580</v>
      </c>
      <c r="L3108" s="7" t="s">
        <v>20</v>
      </c>
      <c r="M3108" s="7" t="s">
        <v>3664</v>
      </c>
      <c r="N3108" s="7" t="s">
        <v>58</v>
      </c>
      <c r="O3108" s="10" t="n">
        <f aca="false">'Exec Summary'!$E$2-H3108</f>
        <v>31</v>
      </c>
      <c r="P3108" s="10" t="n">
        <f aca="false">IF(I3108="","",I3108-H3108)</f>
        <v>16</v>
      </c>
      <c r="Q3108" s="10" t="n">
        <f aca="false">VLOOKUP(G3108,$AA$2:$AB$5,2,FALSE())</f>
        <v>15</v>
      </c>
      <c r="R3108" s="7" t="n">
        <f aca="false">IF(OR(F3108="Open",F3108="Reopened"),1,0)</f>
        <v>0</v>
      </c>
      <c r="S3108" s="7" t="n">
        <f aca="false">IF(AND(H3108&gt;='Exec Summary'!$E$1,H3108&lt;='Exec Summary'!$E$2),1,0)</f>
        <v>0</v>
      </c>
      <c r="T3108" s="7" t="n">
        <f aca="false">IF(AND(F3108="Closed",I3108&lt;&gt;"",I3108&gt;='Exec Summary'!$E$1,I3108&lt;='Exec Summary'!$E$2),1,0)</f>
        <v>1</v>
      </c>
      <c r="U3108" s="7" t="n">
        <f aca="false">IF(F3108="Reopened",1,0)</f>
        <v>0</v>
      </c>
      <c r="V3108" s="7" t="n">
        <f aca="false">IF(AND(R3108=1,O3108&gt;Q3108),1,0)</f>
        <v>0</v>
      </c>
      <c r="W3108" s="7" t="n">
        <f aca="false">IF(AND(T3108=1,P3108&lt;&gt;"",P3108&lt;=Q3108),1,0)</f>
        <v>0</v>
      </c>
    </row>
    <row r="3109" customFormat="false" ht="15" hidden="false" customHeight="false" outlineLevel="0" collapsed="false">
      <c r="A3109" s="7" t="s">
        <v>3657</v>
      </c>
      <c r="B3109" s="7" t="s">
        <v>46</v>
      </c>
      <c r="C3109" s="7" t="s">
        <v>128</v>
      </c>
      <c r="D3109" s="7" t="s">
        <v>74</v>
      </c>
      <c r="E3109" s="7" t="s">
        <v>75</v>
      </c>
      <c r="F3109" s="7" t="s">
        <v>50</v>
      </c>
      <c r="G3109" s="7" t="s">
        <v>21</v>
      </c>
      <c r="H3109" s="9" t="n">
        <v>46222</v>
      </c>
      <c r="I3109" s="9" t="n">
        <v>46234</v>
      </c>
      <c r="J3109" s="7" t="n">
        <v>6.5</v>
      </c>
      <c r="K3109" s="7" t="s">
        <v>3580</v>
      </c>
      <c r="L3109" s="7" t="s">
        <v>20</v>
      </c>
      <c r="M3109" s="7" t="s">
        <v>3665</v>
      </c>
      <c r="N3109" s="7" t="s">
        <v>77</v>
      </c>
      <c r="O3109" s="10" t="n">
        <f aca="false">'Exec Summary'!$E$2-H3109</f>
        <v>12</v>
      </c>
      <c r="P3109" s="10" t="n">
        <f aca="false">IF(I3109="","",I3109-H3109)</f>
        <v>12</v>
      </c>
      <c r="Q3109" s="10" t="n">
        <f aca="false">VLOOKUP(G3109,$AA$2:$AB$5,2,FALSE())</f>
        <v>90</v>
      </c>
      <c r="R3109" s="7" t="n">
        <f aca="false">IF(OR(F3109="Open",F3109="Reopened"),1,0)</f>
        <v>0</v>
      </c>
      <c r="S3109" s="7" t="n">
        <f aca="false">IF(AND(H3109&gt;='Exec Summary'!$E$1,H3109&lt;='Exec Summary'!$E$2),1,0)</f>
        <v>1</v>
      </c>
      <c r="T3109" s="7" t="n">
        <f aca="false">IF(AND(F3109="Closed",I3109&lt;&gt;"",I3109&gt;='Exec Summary'!$E$1,I3109&lt;='Exec Summary'!$E$2),1,0)</f>
        <v>1</v>
      </c>
      <c r="U3109" s="7" t="n">
        <f aca="false">IF(F3109="Reopened",1,0)</f>
        <v>0</v>
      </c>
      <c r="V3109" s="7" t="n">
        <f aca="false">IF(AND(R3109=1,O3109&gt;Q3109),1,0)</f>
        <v>0</v>
      </c>
      <c r="W3109" s="7" t="n">
        <f aca="false">IF(AND(T3109=1,P3109&lt;&gt;"",P3109&lt;=Q3109),1,0)</f>
        <v>1</v>
      </c>
    </row>
    <row r="3110" customFormat="false" ht="15" hidden="false" customHeight="false" outlineLevel="0" collapsed="false">
      <c r="A3110" s="7" t="s">
        <v>3657</v>
      </c>
      <c r="B3110" s="7" t="s">
        <v>46</v>
      </c>
      <c r="C3110" s="7" t="s">
        <v>128</v>
      </c>
      <c r="D3110" s="7" t="s">
        <v>104</v>
      </c>
      <c r="E3110" s="7" t="s">
        <v>105</v>
      </c>
      <c r="F3110" s="7" t="s">
        <v>50</v>
      </c>
      <c r="G3110" s="7" t="s">
        <v>19</v>
      </c>
      <c r="H3110" s="9" t="n">
        <v>46018</v>
      </c>
      <c r="I3110" s="9" t="n">
        <v>46019</v>
      </c>
      <c r="J3110" s="7" t="n">
        <v>9.8</v>
      </c>
      <c r="K3110" s="7" t="s">
        <v>3580</v>
      </c>
      <c r="L3110" s="7" t="s">
        <v>20</v>
      </c>
      <c r="M3110" s="7" t="s">
        <v>3666</v>
      </c>
      <c r="N3110" s="7" t="s">
        <v>58</v>
      </c>
      <c r="O3110" s="10" t="n">
        <f aca="false">'Exec Summary'!$E$2-H3110</f>
        <v>216</v>
      </c>
      <c r="P3110" s="10" t="n">
        <f aca="false">IF(I3110="","",I3110-H3110)</f>
        <v>1</v>
      </c>
      <c r="Q3110" s="10" t="n">
        <f aca="false">VLOOKUP(G3110,$AA$2:$AB$5,2,FALSE())</f>
        <v>15</v>
      </c>
      <c r="R3110" s="7" t="n">
        <f aca="false">IF(OR(F3110="Open",F3110="Reopened"),1,0)</f>
        <v>0</v>
      </c>
      <c r="S3110" s="7" t="n">
        <f aca="false">IF(AND(H3110&gt;='Exec Summary'!$E$1,H3110&lt;='Exec Summary'!$E$2),1,0)</f>
        <v>0</v>
      </c>
      <c r="T3110" s="7" t="n">
        <f aca="false">IF(AND(F3110="Closed",I3110&lt;&gt;"",I3110&gt;='Exec Summary'!$E$1,I3110&lt;='Exec Summary'!$E$2),1,0)</f>
        <v>0</v>
      </c>
      <c r="U3110" s="7" t="n">
        <f aca="false">IF(F3110="Reopened",1,0)</f>
        <v>0</v>
      </c>
      <c r="V3110" s="7" t="n">
        <f aca="false">IF(AND(R3110=1,O3110&gt;Q3110),1,0)</f>
        <v>0</v>
      </c>
      <c r="W3110" s="7" t="n">
        <f aca="false">IF(AND(T3110=1,P3110&lt;&gt;"",P3110&lt;=Q3110),1,0)</f>
        <v>0</v>
      </c>
    </row>
    <row r="3111" customFormat="false" ht="15" hidden="false" customHeight="false" outlineLevel="0" collapsed="false">
      <c r="A3111" s="7" t="s">
        <v>3657</v>
      </c>
      <c r="B3111" s="7" t="s">
        <v>46</v>
      </c>
      <c r="C3111" s="7" t="s">
        <v>128</v>
      </c>
      <c r="D3111" s="7" t="s">
        <v>166</v>
      </c>
      <c r="E3111" s="7" t="s">
        <v>167</v>
      </c>
      <c r="F3111" s="7" t="s">
        <v>56</v>
      </c>
      <c r="G3111" s="7" t="s">
        <v>19</v>
      </c>
      <c r="H3111" s="9" t="n">
        <v>46039</v>
      </c>
      <c r="I3111" s="9"/>
      <c r="J3111" s="7" t="n">
        <v>9.8</v>
      </c>
      <c r="K3111" s="7" t="s">
        <v>3580</v>
      </c>
      <c r="L3111" s="7" t="s">
        <v>20</v>
      </c>
      <c r="M3111" s="7" t="s">
        <v>3667</v>
      </c>
      <c r="N3111" s="7" t="s">
        <v>58</v>
      </c>
      <c r="O3111" s="10" t="n">
        <f aca="false">'Exec Summary'!$E$2-H3111</f>
        <v>195</v>
      </c>
      <c r="P3111" s="10" t="str">
        <f aca="false">IF(I3111="","",I3111-H3111)</f>
        <v/>
      </c>
      <c r="Q3111" s="10" t="n">
        <f aca="false">VLOOKUP(G3111,$AA$2:$AB$5,2,FALSE())</f>
        <v>15</v>
      </c>
      <c r="R3111" s="7" t="n">
        <f aca="false">IF(OR(F3111="Open",F3111="Reopened"),1,0)</f>
        <v>1</v>
      </c>
      <c r="S3111" s="7" t="n">
        <f aca="false">IF(AND(H3111&gt;='Exec Summary'!$E$1,H3111&lt;='Exec Summary'!$E$2),1,0)</f>
        <v>0</v>
      </c>
      <c r="T3111" s="7" t="n">
        <f aca="false">IF(AND(F3111="Closed",I3111&lt;&gt;"",I3111&gt;='Exec Summary'!$E$1,I3111&lt;='Exec Summary'!$E$2),1,0)</f>
        <v>0</v>
      </c>
      <c r="U3111" s="7" t="n">
        <f aca="false">IF(F3111="Reopened",1,0)</f>
        <v>0</v>
      </c>
      <c r="V3111" s="7" t="n">
        <f aca="false">IF(AND(R3111=1,O3111&gt;Q3111),1,0)</f>
        <v>1</v>
      </c>
      <c r="W3111" s="7" t="n">
        <f aca="false">IF(AND(T3111=1,P3111&lt;&gt;"",P3111&lt;=Q3111),1,0)</f>
        <v>0</v>
      </c>
    </row>
    <row r="3112" customFormat="false" ht="15" hidden="false" customHeight="false" outlineLevel="0" collapsed="false">
      <c r="A3112" s="7" t="s">
        <v>3657</v>
      </c>
      <c r="B3112" s="7" t="s">
        <v>46</v>
      </c>
      <c r="C3112" s="7" t="s">
        <v>128</v>
      </c>
      <c r="D3112" s="7" t="s">
        <v>54</v>
      </c>
      <c r="E3112" s="7" t="s">
        <v>55</v>
      </c>
      <c r="F3112" s="7" t="s">
        <v>56</v>
      </c>
      <c r="G3112" s="7" t="s">
        <v>19</v>
      </c>
      <c r="H3112" s="9" t="n">
        <v>45980</v>
      </c>
      <c r="I3112" s="9"/>
      <c r="J3112" s="7" t="n">
        <v>9.8</v>
      </c>
      <c r="K3112" s="7" t="s">
        <v>3580</v>
      </c>
      <c r="L3112" s="7" t="s">
        <v>20</v>
      </c>
      <c r="M3112" s="7" t="s">
        <v>3668</v>
      </c>
      <c r="N3112" s="7" t="s">
        <v>58</v>
      </c>
      <c r="O3112" s="10" t="n">
        <f aca="false">'Exec Summary'!$E$2-H3112</f>
        <v>254</v>
      </c>
      <c r="P3112" s="10" t="str">
        <f aca="false">IF(I3112="","",I3112-H3112)</f>
        <v/>
      </c>
      <c r="Q3112" s="10" t="n">
        <f aca="false">VLOOKUP(G3112,$AA$2:$AB$5,2,FALSE())</f>
        <v>15</v>
      </c>
      <c r="R3112" s="7" t="n">
        <f aca="false">IF(OR(F3112="Open",F3112="Reopened"),1,0)</f>
        <v>1</v>
      </c>
      <c r="S3112" s="7" t="n">
        <f aca="false">IF(AND(H3112&gt;='Exec Summary'!$E$1,H3112&lt;='Exec Summary'!$E$2),1,0)</f>
        <v>0</v>
      </c>
      <c r="T3112" s="7" t="n">
        <f aca="false">IF(AND(F3112="Closed",I3112&lt;&gt;"",I3112&gt;='Exec Summary'!$E$1,I3112&lt;='Exec Summary'!$E$2),1,0)</f>
        <v>0</v>
      </c>
      <c r="U3112" s="7" t="n">
        <f aca="false">IF(F3112="Reopened",1,0)</f>
        <v>0</v>
      </c>
      <c r="V3112" s="7" t="n">
        <f aca="false">IF(AND(R3112=1,O3112&gt;Q3112),1,0)</f>
        <v>1</v>
      </c>
      <c r="W3112" s="7" t="n">
        <f aca="false">IF(AND(T3112=1,P3112&lt;&gt;"",P3112&lt;=Q3112),1,0)</f>
        <v>0</v>
      </c>
    </row>
    <row r="3113" customFormat="false" ht="15" hidden="false" customHeight="false" outlineLevel="0" collapsed="false">
      <c r="A3113" s="7" t="s">
        <v>3657</v>
      </c>
      <c r="B3113" s="7" t="s">
        <v>46</v>
      </c>
      <c r="C3113" s="7" t="s">
        <v>128</v>
      </c>
      <c r="D3113" s="7" t="s">
        <v>192</v>
      </c>
      <c r="E3113" s="7" t="s">
        <v>193</v>
      </c>
      <c r="F3113" s="7" t="s">
        <v>123</v>
      </c>
      <c r="G3113" s="7" t="s">
        <v>19</v>
      </c>
      <c r="H3113" s="9" t="n">
        <v>45962</v>
      </c>
      <c r="I3113" s="9" t="n">
        <v>45965</v>
      </c>
      <c r="J3113" s="7" t="n">
        <v>9.8</v>
      </c>
      <c r="K3113" s="7" t="s">
        <v>3580</v>
      </c>
      <c r="L3113" s="7" t="s">
        <v>20</v>
      </c>
      <c r="M3113" s="7" t="s">
        <v>3669</v>
      </c>
      <c r="N3113" s="7" t="s">
        <v>58</v>
      </c>
      <c r="O3113" s="10" t="n">
        <f aca="false">'Exec Summary'!$E$2-H3113</f>
        <v>272</v>
      </c>
      <c r="P3113" s="10" t="n">
        <f aca="false">IF(I3113="","",I3113-H3113)</f>
        <v>3</v>
      </c>
      <c r="Q3113" s="10" t="n">
        <f aca="false">VLOOKUP(G3113,$AA$2:$AB$5,2,FALSE())</f>
        <v>15</v>
      </c>
      <c r="R3113" s="7" t="n">
        <f aca="false">IF(OR(F3113="Open",F3113="Reopened"),1,0)</f>
        <v>1</v>
      </c>
      <c r="S3113" s="7" t="n">
        <f aca="false">IF(AND(H3113&gt;='Exec Summary'!$E$1,H3113&lt;='Exec Summary'!$E$2),1,0)</f>
        <v>0</v>
      </c>
      <c r="T3113" s="7" t="n">
        <f aca="false">IF(AND(F3113="Closed",I3113&lt;&gt;"",I3113&gt;='Exec Summary'!$E$1,I3113&lt;='Exec Summary'!$E$2),1,0)</f>
        <v>0</v>
      </c>
      <c r="U3113" s="7" t="n">
        <f aca="false">IF(F3113="Reopened",1,0)</f>
        <v>1</v>
      </c>
      <c r="V3113" s="7" t="n">
        <f aca="false">IF(AND(R3113=1,O3113&gt;Q3113),1,0)</f>
        <v>1</v>
      </c>
      <c r="W3113" s="7" t="n">
        <f aca="false">IF(AND(T3113=1,P3113&lt;&gt;"",P3113&lt;=Q3113),1,0)</f>
        <v>0</v>
      </c>
    </row>
    <row r="3114" customFormat="false" ht="15" hidden="false" customHeight="false" outlineLevel="0" collapsed="false">
      <c r="A3114" s="7" t="s">
        <v>3657</v>
      </c>
      <c r="B3114" s="7" t="s">
        <v>46</v>
      </c>
      <c r="C3114" s="7" t="s">
        <v>128</v>
      </c>
      <c r="D3114" s="7" t="s">
        <v>131</v>
      </c>
      <c r="E3114" s="7" t="s">
        <v>132</v>
      </c>
      <c r="F3114" s="7" t="s">
        <v>56</v>
      </c>
      <c r="G3114" s="7" t="s">
        <v>19</v>
      </c>
      <c r="H3114" s="9" t="n">
        <v>46091</v>
      </c>
      <c r="I3114" s="9"/>
      <c r="J3114" s="7" t="n">
        <v>9.8</v>
      </c>
      <c r="K3114" s="7" t="s">
        <v>3580</v>
      </c>
      <c r="L3114" s="7" t="s">
        <v>20</v>
      </c>
      <c r="M3114" s="7" t="s">
        <v>3670</v>
      </c>
      <c r="N3114" s="7" t="s">
        <v>58</v>
      </c>
      <c r="O3114" s="10" t="n">
        <f aca="false">'Exec Summary'!$E$2-H3114</f>
        <v>143</v>
      </c>
      <c r="P3114" s="10" t="str">
        <f aca="false">IF(I3114="","",I3114-H3114)</f>
        <v/>
      </c>
      <c r="Q3114" s="10" t="n">
        <f aca="false">VLOOKUP(G3114,$AA$2:$AB$5,2,FALSE())</f>
        <v>15</v>
      </c>
      <c r="R3114" s="7" t="n">
        <f aca="false">IF(OR(F3114="Open",F3114="Reopened"),1,0)</f>
        <v>1</v>
      </c>
      <c r="S3114" s="7" t="n">
        <f aca="false">IF(AND(H3114&gt;='Exec Summary'!$E$1,H3114&lt;='Exec Summary'!$E$2),1,0)</f>
        <v>0</v>
      </c>
      <c r="T3114" s="7" t="n">
        <f aca="false">IF(AND(F3114="Closed",I3114&lt;&gt;"",I3114&gt;='Exec Summary'!$E$1,I3114&lt;='Exec Summary'!$E$2),1,0)</f>
        <v>0</v>
      </c>
      <c r="U3114" s="7" t="n">
        <f aca="false">IF(F3114="Reopened",1,0)</f>
        <v>0</v>
      </c>
      <c r="V3114" s="7" t="n">
        <f aca="false">IF(AND(R3114=1,O3114&gt;Q3114),1,0)</f>
        <v>1</v>
      </c>
      <c r="W3114" s="7" t="n">
        <f aca="false">IF(AND(T3114=1,P3114&lt;&gt;"",P3114&lt;=Q3114),1,0)</f>
        <v>0</v>
      </c>
    </row>
    <row r="3115" customFormat="false" ht="15" hidden="false" customHeight="false" outlineLevel="0" collapsed="false">
      <c r="A3115" s="7" t="s">
        <v>3671</v>
      </c>
      <c r="B3115" s="7" t="s">
        <v>46</v>
      </c>
      <c r="C3115" s="7" t="s">
        <v>158</v>
      </c>
      <c r="D3115" s="7" t="s">
        <v>84</v>
      </c>
      <c r="E3115" s="7" t="s">
        <v>85</v>
      </c>
      <c r="F3115" s="7" t="s">
        <v>50</v>
      </c>
      <c r="G3115" s="7" t="s">
        <v>20</v>
      </c>
      <c r="H3115" s="9" t="n">
        <v>46129</v>
      </c>
      <c r="I3115" s="9" t="n">
        <v>46150</v>
      </c>
      <c r="J3115" s="7" t="n">
        <v>7.5</v>
      </c>
      <c r="K3115" s="7" t="s">
        <v>3580</v>
      </c>
      <c r="L3115" s="7" t="s">
        <v>19</v>
      </c>
      <c r="M3115" s="7" t="s">
        <v>3672</v>
      </c>
      <c r="N3115" s="7" t="s">
        <v>53</v>
      </c>
      <c r="O3115" s="10" t="n">
        <f aca="false">'Exec Summary'!$E$2-H3115</f>
        <v>105</v>
      </c>
      <c r="P3115" s="10" t="n">
        <f aca="false">IF(I3115="","",I3115-H3115)</f>
        <v>21</v>
      </c>
      <c r="Q3115" s="10" t="n">
        <f aca="false">VLOOKUP(G3115,$AA$2:$AB$5,2,FALSE())</f>
        <v>30</v>
      </c>
      <c r="R3115" s="7" t="n">
        <f aca="false">IF(OR(F3115="Open",F3115="Reopened"),1,0)</f>
        <v>0</v>
      </c>
      <c r="S3115" s="7" t="n">
        <f aca="false">IF(AND(H3115&gt;='Exec Summary'!$E$1,H3115&lt;='Exec Summary'!$E$2),1,0)</f>
        <v>0</v>
      </c>
      <c r="T3115" s="7" t="n">
        <f aca="false">IF(AND(F3115="Closed",I3115&lt;&gt;"",I3115&gt;='Exec Summary'!$E$1,I3115&lt;='Exec Summary'!$E$2),1,0)</f>
        <v>0</v>
      </c>
      <c r="U3115" s="7" t="n">
        <f aca="false">IF(F3115="Reopened",1,0)</f>
        <v>0</v>
      </c>
      <c r="V3115" s="7" t="n">
        <f aca="false">IF(AND(R3115=1,O3115&gt;Q3115),1,0)</f>
        <v>0</v>
      </c>
      <c r="W3115" s="7" t="n">
        <f aca="false">IF(AND(T3115=1,P3115&lt;&gt;"",P3115&lt;=Q3115),1,0)</f>
        <v>0</v>
      </c>
    </row>
    <row r="3116" customFormat="false" ht="15" hidden="false" customHeight="false" outlineLevel="0" collapsed="false">
      <c r="A3116" s="7" t="s">
        <v>3671</v>
      </c>
      <c r="B3116" s="7" t="s">
        <v>46</v>
      </c>
      <c r="C3116" s="7" t="s">
        <v>158</v>
      </c>
      <c r="D3116" s="7" t="s">
        <v>91</v>
      </c>
      <c r="E3116" s="7" t="s">
        <v>92</v>
      </c>
      <c r="F3116" s="7" t="s">
        <v>50</v>
      </c>
      <c r="G3116" s="7" t="s">
        <v>20</v>
      </c>
      <c r="H3116" s="9" t="n">
        <v>46126</v>
      </c>
      <c r="I3116" s="9" t="n">
        <v>46175</v>
      </c>
      <c r="J3116" s="7" t="n">
        <v>8.1</v>
      </c>
      <c r="K3116" s="7" t="s">
        <v>3580</v>
      </c>
      <c r="L3116" s="7" t="s">
        <v>19</v>
      </c>
      <c r="M3116" s="7" t="s">
        <v>3673</v>
      </c>
      <c r="N3116" s="7" t="s">
        <v>53</v>
      </c>
      <c r="O3116" s="10" t="n">
        <f aca="false">'Exec Summary'!$E$2-H3116</f>
        <v>108</v>
      </c>
      <c r="P3116" s="10" t="n">
        <f aca="false">IF(I3116="","",I3116-H3116)</f>
        <v>49</v>
      </c>
      <c r="Q3116" s="10" t="n">
        <f aca="false">VLOOKUP(G3116,$AA$2:$AB$5,2,FALSE())</f>
        <v>30</v>
      </c>
      <c r="R3116" s="7" t="n">
        <f aca="false">IF(OR(F3116="Open",F3116="Reopened"),1,0)</f>
        <v>0</v>
      </c>
      <c r="S3116" s="7" t="n">
        <f aca="false">IF(AND(H3116&gt;='Exec Summary'!$E$1,H3116&lt;='Exec Summary'!$E$2),1,0)</f>
        <v>0</v>
      </c>
      <c r="T3116" s="7" t="n">
        <f aca="false">IF(AND(F3116="Closed",I3116&lt;&gt;"",I3116&gt;='Exec Summary'!$E$1,I3116&lt;='Exec Summary'!$E$2),1,0)</f>
        <v>0</v>
      </c>
      <c r="U3116" s="7" t="n">
        <f aca="false">IF(F3116="Reopened",1,0)</f>
        <v>0</v>
      </c>
      <c r="V3116" s="7" t="n">
        <f aca="false">IF(AND(R3116=1,O3116&gt;Q3116),1,0)</f>
        <v>0</v>
      </c>
      <c r="W3116" s="7" t="n">
        <f aca="false">IF(AND(T3116=1,P3116&lt;&gt;"",P3116&lt;=Q3116),1,0)</f>
        <v>0</v>
      </c>
    </row>
    <row r="3117" customFormat="false" ht="15" hidden="false" customHeight="false" outlineLevel="0" collapsed="false">
      <c r="A3117" s="7" t="s">
        <v>3671</v>
      </c>
      <c r="B3117" s="7" t="s">
        <v>46</v>
      </c>
      <c r="C3117" s="7" t="s">
        <v>158</v>
      </c>
      <c r="D3117" s="7" t="s">
        <v>192</v>
      </c>
      <c r="E3117" s="7" t="s">
        <v>193</v>
      </c>
      <c r="F3117" s="7" t="s">
        <v>50</v>
      </c>
      <c r="G3117" s="7" t="s">
        <v>19</v>
      </c>
      <c r="H3117" s="9" t="n">
        <v>45994</v>
      </c>
      <c r="I3117" s="9" t="n">
        <v>46002</v>
      </c>
      <c r="J3117" s="7" t="n">
        <v>9.8</v>
      </c>
      <c r="K3117" s="7" t="s">
        <v>3580</v>
      </c>
      <c r="L3117" s="7" t="s">
        <v>19</v>
      </c>
      <c r="M3117" s="7" t="s">
        <v>3674</v>
      </c>
      <c r="N3117" s="7" t="s">
        <v>58</v>
      </c>
      <c r="O3117" s="10" t="n">
        <f aca="false">'Exec Summary'!$E$2-H3117</f>
        <v>240</v>
      </c>
      <c r="P3117" s="10" t="n">
        <f aca="false">IF(I3117="","",I3117-H3117)</f>
        <v>8</v>
      </c>
      <c r="Q3117" s="10" t="n">
        <f aca="false">VLOOKUP(G3117,$AA$2:$AB$5,2,FALSE())</f>
        <v>15</v>
      </c>
      <c r="R3117" s="7" t="n">
        <f aca="false">IF(OR(F3117="Open",F3117="Reopened"),1,0)</f>
        <v>0</v>
      </c>
      <c r="S3117" s="7" t="n">
        <f aca="false">IF(AND(H3117&gt;='Exec Summary'!$E$1,H3117&lt;='Exec Summary'!$E$2),1,0)</f>
        <v>0</v>
      </c>
      <c r="T3117" s="7" t="n">
        <f aca="false">IF(AND(F3117="Closed",I3117&lt;&gt;"",I3117&gt;='Exec Summary'!$E$1,I3117&lt;='Exec Summary'!$E$2),1,0)</f>
        <v>0</v>
      </c>
      <c r="U3117" s="7" t="n">
        <f aca="false">IF(F3117="Reopened",1,0)</f>
        <v>0</v>
      </c>
      <c r="V3117" s="7" t="n">
        <f aca="false">IF(AND(R3117=1,O3117&gt;Q3117),1,0)</f>
        <v>0</v>
      </c>
      <c r="W3117" s="7" t="n">
        <f aca="false">IF(AND(T3117=1,P3117&lt;&gt;"",P3117&lt;=Q3117),1,0)</f>
        <v>0</v>
      </c>
    </row>
    <row r="3118" customFormat="false" ht="15" hidden="false" customHeight="false" outlineLevel="0" collapsed="false">
      <c r="A3118" s="7" t="s">
        <v>3671</v>
      </c>
      <c r="B3118" s="7" t="s">
        <v>46</v>
      </c>
      <c r="C3118" s="7" t="s">
        <v>158</v>
      </c>
      <c r="D3118" s="7" t="s">
        <v>74</v>
      </c>
      <c r="E3118" s="7" t="s">
        <v>75</v>
      </c>
      <c r="F3118" s="7" t="s">
        <v>56</v>
      </c>
      <c r="G3118" s="7" t="s">
        <v>21</v>
      </c>
      <c r="H3118" s="9" t="n">
        <v>45999</v>
      </c>
      <c r="I3118" s="9"/>
      <c r="J3118" s="7" t="n">
        <v>6.5</v>
      </c>
      <c r="K3118" s="7" t="s">
        <v>3580</v>
      </c>
      <c r="L3118" s="7" t="s">
        <v>19</v>
      </c>
      <c r="M3118" s="7" t="s">
        <v>3675</v>
      </c>
      <c r="N3118" s="7" t="s">
        <v>77</v>
      </c>
      <c r="O3118" s="10" t="n">
        <f aca="false">'Exec Summary'!$E$2-H3118</f>
        <v>235</v>
      </c>
      <c r="P3118" s="10" t="str">
        <f aca="false">IF(I3118="","",I3118-H3118)</f>
        <v/>
      </c>
      <c r="Q3118" s="10" t="n">
        <f aca="false">VLOOKUP(G3118,$AA$2:$AB$5,2,FALSE())</f>
        <v>90</v>
      </c>
      <c r="R3118" s="7" t="n">
        <f aca="false">IF(OR(F3118="Open",F3118="Reopened"),1,0)</f>
        <v>1</v>
      </c>
      <c r="S3118" s="7" t="n">
        <f aca="false">IF(AND(H3118&gt;='Exec Summary'!$E$1,H3118&lt;='Exec Summary'!$E$2),1,0)</f>
        <v>0</v>
      </c>
      <c r="T3118" s="7" t="n">
        <f aca="false">IF(AND(F3118="Closed",I3118&lt;&gt;"",I3118&gt;='Exec Summary'!$E$1,I3118&lt;='Exec Summary'!$E$2),1,0)</f>
        <v>0</v>
      </c>
      <c r="U3118" s="7" t="n">
        <f aca="false">IF(F3118="Reopened",1,0)</f>
        <v>0</v>
      </c>
      <c r="V3118" s="7" t="n">
        <f aca="false">IF(AND(R3118=1,O3118&gt;Q3118),1,0)</f>
        <v>1</v>
      </c>
      <c r="W3118" s="7" t="n">
        <f aca="false">IF(AND(T3118=1,P3118&lt;&gt;"",P3118&lt;=Q3118),1,0)</f>
        <v>0</v>
      </c>
    </row>
    <row r="3119" customFormat="false" ht="15" hidden="false" customHeight="false" outlineLevel="0" collapsed="false">
      <c r="A3119" s="7" t="s">
        <v>3671</v>
      </c>
      <c r="B3119" s="7" t="s">
        <v>46</v>
      </c>
      <c r="C3119" s="7" t="s">
        <v>158</v>
      </c>
      <c r="D3119" s="7" t="s">
        <v>139</v>
      </c>
      <c r="E3119" s="7" t="s">
        <v>140</v>
      </c>
      <c r="F3119" s="7" t="s">
        <v>56</v>
      </c>
      <c r="G3119" s="7" t="s">
        <v>19</v>
      </c>
      <c r="H3119" s="9" t="n">
        <v>45935</v>
      </c>
      <c r="I3119" s="9"/>
      <c r="J3119" s="7" t="n">
        <v>9.8</v>
      </c>
      <c r="K3119" s="7" t="s">
        <v>3580</v>
      </c>
      <c r="L3119" s="7" t="s">
        <v>19</v>
      </c>
      <c r="M3119" s="7" t="s">
        <v>3676</v>
      </c>
      <c r="N3119" s="7" t="s">
        <v>58</v>
      </c>
      <c r="O3119" s="10" t="n">
        <f aca="false">'Exec Summary'!$E$2-H3119</f>
        <v>299</v>
      </c>
      <c r="P3119" s="10" t="str">
        <f aca="false">IF(I3119="","",I3119-H3119)</f>
        <v/>
      </c>
      <c r="Q3119" s="10" t="n">
        <f aca="false">VLOOKUP(G3119,$AA$2:$AB$5,2,FALSE())</f>
        <v>15</v>
      </c>
      <c r="R3119" s="7" t="n">
        <f aca="false">IF(OR(F3119="Open",F3119="Reopened"),1,0)</f>
        <v>1</v>
      </c>
      <c r="S3119" s="7" t="n">
        <f aca="false">IF(AND(H3119&gt;='Exec Summary'!$E$1,H3119&lt;='Exec Summary'!$E$2),1,0)</f>
        <v>0</v>
      </c>
      <c r="T3119" s="7" t="n">
        <f aca="false">IF(AND(F3119="Closed",I3119&lt;&gt;"",I3119&gt;='Exec Summary'!$E$1,I3119&lt;='Exec Summary'!$E$2),1,0)</f>
        <v>0</v>
      </c>
      <c r="U3119" s="7" t="n">
        <f aca="false">IF(F3119="Reopened",1,0)</f>
        <v>0</v>
      </c>
      <c r="V3119" s="7" t="n">
        <f aca="false">IF(AND(R3119=1,O3119&gt;Q3119),1,0)</f>
        <v>1</v>
      </c>
      <c r="W3119" s="7" t="n">
        <f aca="false">IF(AND(T3119=1,P3119&lt;&gt;"",P3119&lt;=Q3119),1,0)</f>
        <v>0</v>
      </c>
    </row>
    <row r="3120" customFormat="false" ht="15" hidden="false" customHeight="false" outlineLevel="0" collapsed="false">
      <c r="A3120" s="7" t="s">
        <v>3671</v>
      </c>
      <c r="B3120" s="7" t="s">
        <v>46</v>
      </c>
      <c r="C3120" s="7" t="s">
        <v>158</v>
      </c>
      <c r="D3120" s="7" t="s">
        <v>81</v>
      </c>
      <c r="E3120" s="7" t="s">
        <v>82</v>
      </c>
      <c r="F3120" s="7" t="s">
        <v>56</v>
      </c>
      <c r="G3120" s="7" t="s">
        <v>20</v>
      </c>
      <c r="H3120" s="9" t="n">
        <v>46171</v>
      </c>
      <c r="I3120" s="9"/>
      <c r="J3120" s="7" t="n">
        <v>7.8</v>
      </c>
      <c r="K3120" s="7" t="s">
        <v>3580</v>
      </c>
      <c r="L3120" s="7" t="s">
        <v>19</v>
      </c>
      <c r="M3120" s="7" t="s">
        <v>3677</v>
      </c>
      <c r="N3120" s="7" t="s">
        <v>53</v>
      </c>
      <c r="O3120" s="10" t="n">
        <f aca="false">'Exec Summary'!$E$2-H3120</f>
        <v>63</v>
      </c>
      <c r="P3120" s="10" t="str">
        <f aca="false">IF(I3120="","",I3120-H3120)</f>
        <v/>
      </c>
      <c r="Q3120" s="10" t="n">
        <f aca="false">VLOOKUP(G3120,$AA$2:$AB$5,2,FALSE())</f>
        <v>30</v>
      </c>
      <c r="R3120" s="7" t="n">
        <f aca="false">IF(OR(F3120="Open",F3120="Reopened"),1,0)</f>
        <v>1</v>
      </c>
      <c r="S3120" s="7" t="n">
        <f aca="false">IF(AND(H3120&gt;='Exec Summary'!$E$1,H3120&lt;='Exec Summary'!$E$2),1,0)</f>
        <v>0</v>
      </c>
      <c r="T3120" s="7" t="n">
        <f aca="false">IF(AND(F3120="Closed",I3120&lt;&gt;"",I3120&gt;='Exec Summary'!$E$1,I3120&lt;='Exec Summary'!$E$2),1,0)</f>
        <v>0</v>
      </c>
      <c r="U3120" s="7" t="n">
        <f aca="false">IF(F3120="Reopened",1,0)</f>
        <v>0</v>
      </c>
      <c r="V3120" s="7" t="n">
        <f aca="false">IF(AND(R3120=1,O3120&gt;Q3120),1,0)</f>
        <v>1</v>
      </c>
      <c r="W3120" s="7" t="n">
        <f aca="false">IF(AND(T3120=1,P3120&lt;&gt;"",P3120&lt;=Q3120),1,0)</f>
        <v>0</v>
      </c>
    </row>
    <row r="3121" customFormat="false" ht="15" hidden="false" customHeight="false" outlineLevel="0" collapsed="false">
      <c r="A3121" s="7" t="s">
        <v>3671</v>
      </c>
      <c r="B3121" s="7" t="s">
        <v>46</v>
      </c>
      <c r="C3121" s="7" t="s">
        <v>158</v>
      </c>
      <c r="D3121" s="7" t="s">
        <v>87</v>
      </c>
      <c r="E3121" s="7" t="s">
        <v>88</v>
      </c>
      <c r="F3121" s="7" t="s">
        <v>50</v>
      </c>
      <c r="G3121" s="7" t="s">
        <v>19</v>
      </c>
      <c r="H3121" s="9" t="n">
        <v>46206</v>
      </c>
      <c r="I3121" s="9" t="n">
        <v>46218</v>
      </c>
      <c r="J3121" s="7" t="n">
        <v>10</v>
      </c>
      <c r="K3121" s="7" t="s">
        <v>3580</v>
      </c>
      <c r="L3121" s="7" t="s">
        <v>19</v>
      </c>
      <c r="M3121" s="7" t="s">
        <v>3678</v>
      </c>
      <c r="N3121" s="7" t="s">
        <v>58</v>
      </c>
      <c r="O3121" s="10" t="n">
        <f aca="false">'Exec Summary'!$E$2-H3121</f>
        <v>28</v>
      </c>
      <c r="P3121" s="10" t="n">
        <f aca="false">IF(I3121="","",I3121-H3121)</f>
        <v>12</v>
      </c>
      <c r="Q3121" s="10" t="n">
        <f aca="false">VLOOKUP(G3121,$AA$2:$AB$5,2,FALSE())</f>
        <v>15</v>
      </c>
      <c r="R3121" s="7" t="n">
        <f aca="false">IF(OR(F3121="Open",F3121="Reopened"),1,0)</f>
        <v>0</v>
      </c>
      <c r="S3121" s="7" t="n">
        <f aca="false">IF(AND(H3121&gt;='Exec Summary'!$E$1,H3121&lt;='Exec Summary'!$E$2),1,0)</f>
        <v>1</v>
      </c>
      <c r="T3121" s="7" t="n">
        <f aca="false">IF(AND(F3121="Closed",I3121&lt;&gt;"",I3121&gt;='Exec Summary'!$E$1,I3121&lt;='Exec Summary'!$E$2),1,0)</f>
        <v>1</v>
      </c>
      <c r="U3121" s="7" t="n">
        <f aca="false">IF(F3121="Reopened",1,0)</f>
        <v>0</v>
      </c>
      <c r="V3121" s="7" t="n">
        <f aca="false">IF(AND(R3121=1,O3121&gt;Q3121),1,0)</f>
        <v>0</v>
      </c>
      <c r="W3121" s="7" t="n">
        <f aca="false">IF(AND(T3121=1,P3121&lt;&gt;"",P3121&lt;=Q3121),1,0)</f>
        <v>1</v>
      </c>
    </row>
    <row r="3122" customFormat="false" ht="15" hidden="false" customHeight="false" outlineLevel="0" collapsed="false">
      <c r="A3122" s="7" t="s">
        <v>3671</v>
      </c>
      <c r="B3122" s="7" t="s">
        <v>46</v>
      </c>
      <c r="C3122" s="7" t="s">
        <v>158</v>
      </c>
      <c r="D3122" s="7" t="s">
        <v>62</v>
      </c>
      <c r="E3122" s="7" t="s">
        <v>63</v>
      </c>
      <c r="F3122" s="7" t="s">
        <v>50</v>
      </c>
      <c r="G3122" s="7" t="s">
        <v>20</v>
      </c>
      <c r="H3122" s="9" t="n">
        <v>45991</v>
      </c>
      <c r="I3122" s="9" t="n">
        <v>46028</v>
      </c>
      <c r="J3122" s="7" t="n">
        <v>8.1</v>
      </c>
      <c r="K3122" s="7" t="s">
        <v>3580</v>
      </c>
      <c r="L3122" s="7" t="s">
        <v>19</v>
      </c>
      <c r="M3122" s="7" t="s">
        <v>3679</v>
      </c>
      <c r="N3122" s="7" t="s">
        <v>53</v>
      </c>
      <c r="O3122" s="10" t="n">
        <f aca="false">'Exec Summary'!$E$2-H3122</f>
        <v>243</v>
      </c>
      <c r="P3122" s="10" t="n">
        <f aca="false">IF(I3122="","",I3122-H3122)</f>
        <v>37</v>
      </c>
      <c r="Q3122" s="10" t="n">
        <f aca="false">VLOOKUP(G3122,$AA$2:$AB$5,2,FALSE())</f>
        <v>30</v>
      </c>
      <c r="R3122" s="7" t="n">
        <f aca="false">IF(OR(F3122="Open",F3122="Reopened"),1,0)</f>
        <v>0</v>
      </c>
      <c r="S3122" s="7" t="n">
        <f aca="false">IF(AND(H3122&gt;='Exec Summary'!$E$1,H3122&lt;='Exec Summary'!$E$2),1,0)</f>
        <v>0</v>
      </c>
      <c r="T3122" s="7" t="n">
        <f aca="false">IF(AND(F3122="Closed",I3122&lt;&gt;"",I3122&gt;='Exec Summary'!$E$1,I3122&lt;='Exec Summary'!$E$2),1,0)</f>
        <v>0</v>
      </c>
      <c r="U3122" s="7" t="n">
        <f aca="false">IF(F3122="Reopened",1,0)</f>
        <v>0</v>
      </c>
      <c r="V3122" s="7" t="n">
        <f aca="false">IF(AND(R3122=1,O3122&gt;Q3122),1,0)</f>
        <v>0</v>
      </c>
      <c r="W3122" s="7" t="n">
        <f aca="false">IF(AND(T3122=1,P3122&lt;&gt;"",P3122&lt;=Q3122),1,0)</f>
        <v>0</v>
      </c>
    </row>
    <row r="3123" customFormat="false" ht="15" hidden="false" customHeight="false" outlineLevel="0" collapsed="false">
      <c r="A3123" s="7" t="s">
        <v>3671</v>
      </c>
      <c r="B3123" s="7" t="s">
        <v>46</v>
      </c>
      <c r="C3123" s="7" t="s">
        <v>158</v>
      </c>
      <c r="D3123" s="7" t="s">
        <v>48</v>
      </c>
      <c r="E3123" s="7" t="s">
        <v>49</v>
      </c>
      <c r="F3123" s="7" t="s">
        <v>50</v>
      </c>
      <c r="G3123" s="7" t="s">
        <v>20</v>
      </c>
      <c r="H3123" s="9" t="n">
        <v>46057</v>
      </c>
      <c r="I3123" s="9" t="n">
        <v>46082</v>
      </c>
      <c r="J3123" s="7" t="n">
        <v>7.5</v>
      </c>
      <c r="K3123" s="7" t="s">
        <v>3580</v>
      </c>
      <c r="L3123" s="7" t="s">
        <v>19</v>
      </c>
      <c r="M3123" s="7" t="s">
        <v>3680</v>
      </c>
      <c r="N3123" s="7" t="s">
        <v>53</v>
      </c>
      <c r="O3123" s="10" t="n">
        <f aca="false">'Exec Summary'!$E$2-H3123</f>
        <v>177</v>
      </c>
      <c r="P3123" s="10" t="n">
        <f aca="false">IF(I3123="","",I3123-H3123)</f>
        <v>25</v>
      </c>
      <c r="Q3123" s="10" t="n">
        <f aca="false">VLOOKUP(G3123,$AA$2:$AB$5,2,FALSE())</f>
        <v>30</v>
      </c>
      <c r="R3123" s="7" t="n">
        <f aca="false">IF(OR(F3123="Open",F3123="Reopened"),1,0)</f>
        <v>0</v>
      </c>
      <c r="S3123" s="7" t="n">
        <f aca="false">IF(AND(H3123&gt;='Exec Summary'!$E$1,H3123&lt;='Exec Summary'!$E$2),1,0)</f>
        <v>0</v>
      </c>
      <c r="T3123" s="7" t="n">
        <f aca="false">IF(AND(F3123="Closed",I3123&lt;&gt;"",I3123&gt;='Exec Summary'!$E$1,I3123&lt;='Exec Summary'!$E$2),1,0)</f>
        <v>0</v>
      </c>
      <c r="U3123" s="7" t="n">
        <f aca="false">IF(F3123="Reopened",1,0)</f>
        <v>0</v>
      </c>
      <c r="V3123" s="7" t="n">
        <f aca="false">IF(AND(R3123=1,O3123&gt;Q3123),1,0)</f>
        <v>0</v>
      </c>
      <c r="W3123" s="7" t="n">
        <f aca="false">IF(AND(T3123=1,P3123&lt;&gt;"",P3123&lt;=Q3123),1,0)</f>
        <v>0</v>
      </c>
    </row>
    <row r="3124" customFormat="false" ht="15" hidden="false" customHeight="false" outlineLevel="0" collapsed="false">
      <c r="A3124" s="7" t="s">
        <v>3671</v>
      </c>
      <c r="B3124" s="7" t="s">
        <v>46</v>
      </c>
      <c r="C3124" s="7" t="s">
        <v>158</v>
      </c>
      <c r="D3124" s="7" t="s">
        <v>68</v>
      </c>
      <c r="E3124" s="7" t="s">
        <v>69</v>
      </c>
      <c r="F3124" s="7" t="s">
        <v>56</v>
      </c>
      <c r="G3124" s="7" t="s">
        <v>19</v>
      </c>
      <c r="H3124" s="9" t="n">
        <v>46059</v>
      </c>
      <c r="I3124" s="9"/>
      <c r="J3124" s="7" t="n">
        <v>9.8</v>
      </c>
      <c r="K3124" s="7" t="s">
        <v>3580</v>
      </c>
      <c r="L3124" s="7" t="s">
        <v>19</v>
      </c>
      <c r="M3124" s="7" t="s">
        <v>3681</v>
      </c>
      <c r="N3124" s="7" t="s">
        <v>58</v>
      </c>
      <c r="O3124" s="10" t="n">
        <f aca="false">'Exec Summary'!$E$2-H3124</f>
        <v>175</v>
      </c>
      <c r="P3124" s="10" t="str">
        <f aca="false">IF(I3124="","",I3124-H3124)</f>
        <v/>
      </c>
      <c r="Q3124" s="10" t="n">
        <f aca="false">VLOOKUP(G3124,$AA$2:$AB$5,2,FALSE())</f>
        <v>15</v>
      </c>
      <c r="R3124" s="7" t="n">
        <f aca="false">IF(OR(F3124="Open",F3124="Reopened"),1,0)</f>
        <v>1</v>
      </c>
      <c r="S3124" s="7" t="n">
        <f aca="false">IF(AND(H3124&gt;='Exec Summary'!$E$1,H3124&lt;='Exec Summary'!$E$2),1,0)</f>
        <v>0</v>
      </c>
      <c r="T3124" s="7" t="n">
        <f aca="false">IF(AND(F3124="Closed",I3124&lt;&gt;"",I3124&gt;='Exec Summary'!$E$1,I3124&lt;='Exec Summary'!$E$2),1,0)</f>
        <v>0</v>
      </c>
      <c r="U3124" s="7" t="n">
        <f aca="false">IF(F3124="Reopened",1,0)</f>
        <v>0</v>
      </c>
      <c r="V3124" s="7" t="n">
        <f aca="false">IF(AND(R3124=1,O3124&gt;Q3124),1,0)</f>
        <v>1</v>
      </c>
      <c r="W3124" s="7" t="n">
        <f aca="false">IF(AND(T3124=1,P3124&lt;&gt;"",P3124&lt;=Q3124),1,0)</f>
        <v>0</v>
      </c>
    </row>
    <row r="3125" customFormat="false" ht="15" hidden="false" customHeight="false" outlineLevel="0" collapsed="false">
      <c r="A3125" s="7" t="s">
        <v>3671</v>
      </c>
      <c r="B3125" s="7" t="s">
        <v>46</v>
      </c>
      <c r="C3125" s="7" t="s">
        <v>158</v>
      </c>
      <c r="D3125" s="7" t="s">
        <v>173</v>
      </c>
      <c r="E3125" s="7" t="s">
        <v>174</v>
      </c>
      <c r="F3125" s="7" t="s">
        <v>50</v>
      </c>
      <c r="G3125" s="7" t="s">
        <v>19</v>
      </c>
      <c r="H3125" s="9" t="n">
        <v>46158</v>
      </c>
      <c r="I3125" s="9" t="n">
        <v>46170</v>
      </c>
      <c r="J3125" s="7" t="n">
        <v>9.8</v>
      </c>
      <c r="K3125" s="7" t="s">
        <v>3580</v>
      </c>
      <c r="L3125" s="7" t="s">
        <v>19</v>
      </c>
      <c r="M3125" s="7" t="s">
        <v>3682</v>
      </c>
      <c r="N3125" s="7" t="s">
        <v>58</v>
      </c>
      <c r="O3125" s="10" t="n">
        <f aca="false">'Exec Summary'!$E$2-H3125</f>
        <v>76</v>
      </c>
      <c r="P3125" s="10" t="n">
        <f aca="false">IF(I3125="","",I3125-H3125)</f>
        <v>12</v>
      </c>
      <c r="Q3125" s="10" t="n">
        <f aca="false">VLOOKUP(G3125,$AA$2:$AB$5,2,FALSE())</f>
        <v>15</v>
      </c>
      <c r="R3125" s="7" t="n">
        <f aca="false">IF(OR(F3125="Open",F3125="Reopened"),1,0)</f>
        <v>0</v>
      </c>
      <c r="S3125" s="7" t="n">
        <f aca="false">IF(AND(H3125&gt;='Exec Summary'!$E$1,H3125&lt;='Exec Summary'!$E$2),1,0)</f>
        <v>0</v>
      </c>
      <c r="T3125" s="7" t="n">
        <f aca="false">IF(AND(F3125="Closed",I3125&lt;&gt;"",I3125&gt;='Exec Summary'!$E$1,I3125&lt;='Exec Summary'!$E$2),1,0)</f>
        <v>0</v>
      </c>
      <c r="U3125" s="7" t="n">
        <f aca="false">IF(F3125="Reopened",1,0)</f>
        <v>0</v>
      </c>
      <c r="V3125" s="7" t="n">
        <f aca="false">IF(AND(R3125=1,O3125&gt;Q3125),1,0)</f>
        <v>0</v>
      </c>
      <c r="W3125" s="7" t="n">
        <f aca="false">IF(AND(T3125=1,P3125&lt;&gt;"",P3125&lt;=Q3125),1,0)</f>
        <v>0</v>
      </c>
    </row>
    <row r="3126" customFormat="false" ht="15" hidden="false" customHeight="false" outlineLevel="0" collapsed="false">
      <c r="A3126" s="7" t="s">
        <v>3671</v>
      </c>
      <c r="B3126" s="7" t="s">
        <v>46</v>
      </c>
      <c r="C3126" s="7" t="s">
        <v>158</v>
      </c>
      <c r="D3126" s="7" t="s">
        <v>166</v>
      </c>
      <c r="E3126" s="7" t="s">
        <v>167</v>
      </c>
      <c r="F3126" s="7" t="s">
        <v>50</v>
      </c>
      <c r="G3126" s="7" t="s">
        <v>19</v>
      </c>
      <c r="H3126" s="9" t="n">
        <v>46005</v>
      </c>
      <c r="I3126" s="9" t="n">
        <v>46013</v>
      </c>
      <c r="J3126" s="7" t="n">
        <v>9.8</v>
      </c>
      <c r="K3126" s="7" t="s">
        <v>3580</v>
      </c>
      <c r="L3126" s="7" t="s">
        <v>19</v>
      </c>
      <c r="M3126" s="7" t="s">
        <v>3683</v>
      </c>
      <c r="N3126" s="7" t="s">
        <v>58</v>
      </c>
      <c r="O3126" s="10" t="n">
        <f aca="false">'Exec Summary'!$E$2-H3126</f>
        <v>229</v>
      </c>
      <c r="P3126" s="10" t="n">
        <f aca="false">IF(I3126="","",I3126-H3126)</f>
        <v>8</v>
      </c>
      <c r="Q3126" s="10" t="n">
        <f aca="false">VLOOKUP(G3126,$AA$2:$AB$5,2,FALSE())</f>
        <v>15</v>
      </c>
      <c r="R3126" s="7" t="n">
        <f aca="false">IF(OR(F3126="Open",F3126="Reopened"),1,0)</f>
        <v>0</v>
      </c>
      <c r="S3126" s="7" t="n">
        <f aca="false">IF(AND(H3126&gt;='Exec Summary'!$E$1,H3126&lt;='Exec Summary'!$E$2),1,0)</f>
        <v>0</v>
      </c>
      <c r="T3126" s="7" t="n">
        <f aca="false">IF(AND(F3126="Closed",I3126&lt;&gt;"",I3126&gt;='Exec Summary'!$E$1,I3126&lt;='Exec Summary'!$E$2),1,0)</f>
        <v>0</v>
      </c>
      <c r="U3126" s="7" t="n">
        <f aca="false">IF(F3126="Reopened",1,0)</f>
        <v>0</v>
      </c>
      <c r="V3126" s="7" t="n">
        <f aca="false">IF(AND(R3126=1,O3126&gt;Q3126),1,0)</f>
        <v>0</v>
      </c>
      <c r="W3126" s="7" t="n">
        <f aca="false">IF(AND(T3126=1,P3126&lt;&gt;"",P3126&lt;=Q3126),1,0)</f>
        <v>0</v>
      </c>
    </row>
    <row r="3127" customFormat="false" ht="15" hidden="false" customHeight="false" outlineLevel="0" collapsed="false">
      <c r="A3127" s="7" t="s">
        <v>3684</v>
      </c>
      <c r="B3127" s="7" t="s">
        <v>46</v>
      </c>
      <c r="C3127" s="7" t="s">
        <v>47</v>
      </c>
      <c r="D3127" s="7" t="s">
        <v>108</v>
      </c>
      <c r="E3127" s="7" t="s">
        <v>109</v>
      </c>
      <c r="F3127" s="7" t="s">
        <v>50</v>
      </c>
      <c r="G3127" s="7" t="s">
        <v>20</v>
      </c>
      <c r="H3127" s="9" t="n">
        <v>46218</v>
      </c>
      <c r="I3127" s="9" t="n">
        <v>46234</v>
      </c>
      <c r="J3127" s="7" t="n">
        <v>8.6</v>
      </c>
      <c r="K3127" s="7" t="s">
        <v>3580</v>
      </c>
      <c r="L3127" s="7" t="s">
        <v>20</v>
      </c>
      <c r="M3127" s="7" t="s">
        <v>3685</v>
      </c>
      <c r="N3127" s="7" t="s">
        <v>53</v>
      </c>
      <c r="O3127" s="10" t="n">
        <f aca="false">'Exec Summary'!$E$2-H3127</f>
        <v>16</v>
      </c>
      <c r="P3127" s="10" t="n">
        <f aca="false">IF(I3127="","",I3127-H3127)</f>
        <v>16</v>
      </c>
      <c r="Q3127" s="10" t="n">
        <f aca="false">VLOOKUP(G3127,$AA$2:$AB$5,2,FALSE())</f>
        <v>30</v>
      </c>
      <c r="R3127" s="7" t="n">
        <f aca="false">IF(OR(F3127="Open",F3127="Reopened"),1,0)</f>
        <v>0</v>
      </c>
      <c r="S3127" s="7" t="n">
        <f aca="false">IF(AND(H3127&gt;='Exec Summary'!$E$1,H3127&lt;='Exec Summary'!$E$2),1,0)</f>
        <v>1</v>
      </c>
      <c r="T3127" s="7" t="n">
        <f aca="false">IF(AND(F3127="Closed",I3127&lt;&gt;"",I3127&gt;='Exec Summary'!$E$1,I3127&lt;='Exec Summary'!$E$2),1,0)</f>
        <v>1</v>
      </c>
      <c r="U3127" s="7" t="n">
        <f aca="false">IF(F3127="Reopened",1,0)</f>
        <v>0</v>
      </c>
      <c r="V3127" s="7" t="n">
        <f aca="false">IF(AND(R3127=1,O3127&gt;Q3127),1,0)</f>
        <v>0</v>
      </c>
      <c r="W3127" s="7" t="n">
        <f aca="false">IF(AND(T3127=1,P3127&lt;&gt;"",P3127&lt;=Q3127),1,0)</f>
        <v>1</v>
      </c>
    </row>
    <row r="3128" customFormat="false" ht="15" hidden="false" customHeight="false" outlineLevel="0" collapsed="false">
      <c r="A3128" s="7" t="s">
        <v>3684</v>
      </c>
      <c r="B3128" s="7" t="s">
        <v>46</v>
      </c>
      <c r="C3128" s="7" t="s">
        <v>47</v>
      </c>
      <c r="D3128" s="7" t="s">
        <v>54</v>
      </c>
      <c r="E3128" s="7" t="s">
        <v>55</v>
      </c>
      <c r="F3128" s="7" t="s">
        <v>50</v>
      </c>
      <c r="G3128" s="7" t="s">
        <v>19</v>
      </c>
      <c r="H3128" s="9" t="n">
        <v>46202</v>
      </c>
      <c r="I3128" s="9" t="n">
        <v>46209</v>
      </c>
      <c r="J3128" s="7" t="n">
        <v>9.8</v>
      </c>
      <c r="K3128" s="7" t="s">
        <v>3580</v>
      </c>
      <c r="L3128" s="7" t="s">
        <v>20</v>
      </c>
      <c r="M3128" s="7" t="s">
        <v>3686</v>
      </c>
      <c r="N3128" s="7" t="s">
        <v>58</v>
      </c>
      <c r="O3128" s="10" t="n">
        <f aca="false">'Exec Summary'!$E$2-H3128</f>
        <v>32</v>
      </c>
      <c r="P3128" s="10" t="n">
        <f aca="false">IF(I3128="","",I3128-H3128)</f>
        <v>7</v>
      </c>
      <c r="Q3128" s="10" t="n">
        <f aca="false">VLOOKUP(G3128,$AA$2:$AB$5,2,FALSE())</f>
        <v>15</v>
      </c>
      <c r="R3128" s="7" t="n">
        <f aca="false">IF(OR(F3128="Open",F3128="Reopened"),1,0)</f>
        <v>0</v>
      </c>
      <c r="S3128" s="7" t="n">
        <f aca="false">IF(AND(H3128&gt;='Exec Summary'!$E$1,H3128&lt;='Exec Summary'!$E$2),1,0)</f>
        <v>0</v>
      </c>
      <c r="T3128" s="7" t="n">
        <f aca="false">IF(AND(F3128="Closed",I3128&lt;&gt;"",I3128&gt;='Exec Summary'!$E$1,I3128&lt;='Exec Summary'!$E$2),1,0)</f>
        <v>1</v>
      </c>
      <c r="U3128" s="7" t="n">
        <f aca="false">IF(F3128="Reopened",1,0)</f>
        <v>0</v>
      </c>
      <c r="V3128" s="7" t="n">
        <f aca="false">IF(AND(R3128=1,O3128&gt;Q3128),1,0)</f>
        <v>0</v>
      </c>
      <c r="W3128" s="7" t="n">
        <f aca="false">IF(AND(T3128=1,P3128&lt;&gt;"",P3128&lt;=Q3128),1,0)</f>
        <v>1</v>
      </c>
    </row>
    <row r="3129" customFormat="false" ht="15" hidden="false" customHeight="false" outlineLevel="0" collapsed="false">
      <c r="A3129" s="7" t="s">
        <v>3684</v>
      </c>
      <c r="B3129" s="7" t="s">
        <v>46</v>
      </c>
      <c r="C3129" s="7" t="s">
        <v>47</v>
      </c>
      <c r="D3129" s="7" t="s">
        <v>62</v>
      </c>
      <c r="E3129" s="7" t="s">
        <v>63</v>
      </c>
      <c r="F3129" s="7" t="s">
        <v>56</v>
      </c>
      <c r="G3129" s="7" t="s">
        <v>20</v>
      </c>
      <c r="H3129" s="9" t="n">
        <v>46057</v>
      </c>
      <c r="I3129" s="9"/>
      <c r="J3129" s="7" t="n">
        <v>8.1</v>
      </c>
      <c r="K3129" s="7" t="s">
        <v>3580</v>
      </c>
      <c r="L3129" s="7" t="s">
        <v>20</v>
      </c>
      <c r="M3129" s="7" t="s">
        <v>3687</v>
      </c>
      <c r="N3129" s="7" t="s">
        <v>53</v>
      </c>
      <c r="O3129" s="10" t="n">
        <f aca="false">'Exec Summary'!$E$2-H3129</f>
        <v>177</v>
      </c>
      <c r="P3129" s="10" t="str">
        <f aca="false">IF(I3129="","",I3129-H3129)</f>
        <v/>
      </c>
      <c r="Q3129" s="10" t="n">
        <f aca="false">VLOOKUP(G3129,$AA$2:$AB$5,2,FALSE())</f>
        <v>30</v>
      </c>
      <c r="R3129" s="7" t="n">
        <f aca="false">IF(OR(F3129="Open",F3129="Reopened"),1,0)</f>
        <v>1</v>
      </c>
      <c r="S3129" s="7" t="n">
        <f aca="false">IF(AND(H3129&gt;='Exec Summary'!$E$1,H3129&lt;='Exec Summary'!$E$2),1,0)</f>
        <v>0</v>
      </c>
      <c r="T3129" s="7" t="n">
        <f aca="false">IF(AND(F3129="Closed",I3129&lt;&gt;"",I3129&gt;='Exec Summary'!$E$1,I3129&lt;='Exec Summary'!$E$2),1,0)</f>
        <v>0</v>
      </c>
      <c r="U3129" s="7" t="n">
        <f aca="false">IF(F3129="Reopened",1,0)</f>
        <v>0</v>
      </c>
      <c r="V3129" s="7" t="n">
        <f aca="false">IF(AND(R3129=1,O3129&gt;Q3129),1,0)</f>
        <v>1</v>
      </c>
      <c r="W3129" s="7" t="n">
        <f aca="false">IF(AND(T3129=1,P3129&lt;&gt;"",P3129&lt;=Q3129),1,0)</f>
        <v>0</v>
      </c>
    </row>
    <row r="3130" customFormat="false" ht="15" hidden="false" customHeight="false" outlineLevel="0" collapsed="false">
      <c r="A3130" s="7" t="s">
        <v>3684</v>
      </c>
      <c r="B3130" s="7" t="s">
        <v>46</v>
      </c>
      <c r="C3130" s="7" t="s">
        <v>47</v>
      </c>
      <c r="D3130" s="7" t="s">
        <v>87</v>
      </c>
      <c r="E3130" s="7" t="s">
        <v>88</v>
      </c>
      <c r="F3130" s="7" t="s">
        <v>56</v>
      </c>
      <c r="G3130" s="7" t="s">
        <v>19</v>
      </c>
      <c r="H3130" s="9" t="n">
        <v>46007</v>
      </c>
      <c r="I3130" s="9"/>
      <c r="J3130" s="7" t="n">
        <v>10</v>
      </c>
      <c r="K3130" s="7" t="s">
        <v>3580</v>
      </c>
      <c r="L3130" s="7" t="s">
        <v>20</v>
      </c>
      <c r="M3130" s="7" t="s">
        <v>3688</v>
      </c>
      <c r="N3130" s="7" t="s">
        <v>58</v>
      </c>
      <c r="O3130" s="10" t="n">
        <f aca="false">'Exec Summary'!$E$2-H3130</f>
        <v>227</v>
      </c>
      <c r="P3130" s="10" t="str">
        <f aca="false">IF(I3130="","",I3130-H3130)</f>
        <v/>
      </c>
      <c r="Q3130" s="10" t="n">
        <f aca="false">VLOOKUP(G3130,$AA$2:$AB$5,2,FALSE())</f>
        <v>15</v>
      </c>
      <c r="R3130" s="7" t="n">
        <f aca="false">IF(OR(F3130="Open",F3130="Reopened"),1,0)</f>
        <v>1</v>
      </c>
      <c r="S3130" s="7" t="n">
        <f aca="false">IF(AND(H3130&gt;='Exec Summary'!$E$1,H3130&lt;='Exec Summary'!$E$2),1,0)</f>
        <v>0</v>
      </c>
      <c r="T3130" s="7" t="n">
        <f aca="false">IF(AND(F3130="Closed",I3130&lt;&gt;"",I3130&gt;='Exec Summary'!$E$1,I3130&lt;='Exec Summary'!$E$2),1,0)</f>
        <v>0</v>
      </c>
      <c r="U3130" s="7" t="n">
        <f aca="false">IF(F3130="Reopened",1,0)</f>
        <v>0</v>
      </c>
      <c r="V3130" s="7" t="n">
        <f aca="false">IF(AND(R3130=1,O3130&gt;Q3130),1,0)</f>
        <v>1</v>
      </c>
      <c r="W3130" s="7" t="n">
        <f aca="false">IF(AND(T3130=1,P3130&lt;&gt;"",P3130&lt;=Q3130),1,0)</f>
        <v>0</v>
      </c>
    </row>
    <row r="3131" customFormat="false" ht="15" hidden="false" customHeight="false" outlineLevel="0" collapsed="false">
      <c r="A3131" s="7" t="s">
        <v>3684</v>
      </c>
      <c r="B3131" s="7" t="s">
        <v>46</v>
      </c>
      <c r="C3131" s="7" t="s">
        <v>47</v>
      </c>
      <c r="D3131" s="7" t="s">
        <v>95</v>
      </c>
      <c r="E3131" s="7" t="s">
        <v>96</v>
      </c>
      <c r="F3131" s="7" t="s">
        <v>50</v>
      </c>
      <c r="G3131" s="7" t="s">
        <v>20</v>
      </c>
      <c r="H3131" s="9" t="n">
        <v>46221</v>
      </c>
      <c r="I3131" s="9" t="n">
        <v>46234</v>
      </c>
      <c r="J3131" s="7" t="n">
        <v>8.8</v>
      </c>
      <c r="K3131" s="7" t="s">
        <v>3580</v>
      </c>
      <c r="L3131" s="7" t="s">
        <v>20</v>
      </c>
      <c r="M3131" s="7" t="s">
        <v>3689</v>
      </c>
      <c r="N3131" s="7" t="s">
        <v>53</v>
      </c>
      <c r="O3131" s="10" t="n">
        <f aca="false">'Exec Summary'!$E$2-H3131</f>
        <v>13</v>
      </c>
      <c r="P3131" s="10" t="n">
        <f aca="false">IF(I3131="","",I3131-H3131)</f>
        <v>13</v>
      </c>
      <c r="Q3131" s="10" t="n">
        <f aca="false">VLOOKUP(G3131,$AA$2:$AB$5,2,FALSE())</f>
        <v>30</v>
      </c>
      <c r="R3131" s="7" t="n">
        <f aca="false">IF(OR(F3131="Open",F3131="Reopened"),1,0)</f>
        <v>0</v>
      </c>
      <c r="S3131" s="7" t="n">
        <f aca="false">IF(AND(H3131&gt;='Exec Summary'!$E$1,H3131&lt;='Exec Summary'!$E$2),1,0)</f>
        <v>1</v>
      </c>
      <c r="T3131" s="7" t="n">
        <f aca="false">IF(AND(F3131="Closed",I3131&lt;&gt;"",I3131&gt;='Exec Summary'!$E$1,I3131&lt;='Exec Summary'!$E$2),1,0)</f>
        <v>1</v>
      </c>
      <c r="U3131" s="7" t="n">
        <f aca="false">IF(F3131="Reopened",1,0)</f>
        <v>0</v>
      </c>
      <c r="V3131" s="7" t="n">
        <f aca="false">IF(AND(R3131=1,O3131&gt;Q3131),1,0)</f>
        <v>0</v>
      </c>
      <c r="W3131" s="7" t="n">
        <f aca="false">IF(AND(T3131=1,P3131&lt;&gt;"",P3131&lt;=Q3131),1,0)</f>
        <v>1</v>
      </c>
    </row>
    <row r="3132" customFormat="false" ht="15" hidden="false" customHeight="false" outlineLevel="0" collapsed="false">
      <c r="A3132" s="7" t="s">
        <v>3684</v>
      </c>
      <c r="B3132" s="7" t="s">
        <v>46</v>
      </c>
      <c r="C3132" s="7" t="s">
        <v>47</v>
      </c>
      <c r="D3132" s="7" t="s">
        <v>192</v>
      </c>
      <c r="E3132" s="7" t="s">
        <v>193</v>
      </c>
      <c r="F3132" s="7" t="s">
        <v>123</v>
      </c>
      <c r="G3132" s="7" t="s">
        <v>19</v>
      </c>
      <c r="H3132" s="9" t="n">
        <v>46002</v>
      </c>
      <c r="I3132" s="9" t="n">
        <v>46013</v>
      </c>
      <c r="J3132" s="7" t="n">
        <v>9.8</v>
      </c>
      <c r="K3132" s="7" t="s">
        <v>3580</v>
      </c>
      <c r="L3132" s="7" t="s">
        <v>20</v>
      </c>
      <c r="M3132" s="7" t="s">
        <v>3690</v>
      </c>
      <c r="N3132" s="7" t="s">
        <v>58</v>
      </c>
      <c r="O3132" s="10" t="n">
        <f aca="false">'Exec Summary'!$E$2-H3132</f>
        <v>232</v>
      </c>
      <c r="P3132" s="10" t="n">
        <f aca="false">IF(I3132="","",I3132-H3132)</f>
        <v>11</v>
      </c>
      <c r="Q3132" s="10" t="n">
        <f aca="false">VLOOKUP(G3132,$AA$2:$AB$5,2,FALSE())</f>
        <v>15</v>
      </c>
      <c r="R3132" s="7" t="n">
        <f aca="false">IF(OR(F3132="Open",F3132="Reopened"),1,0)</f>
        <v>1</v>
      </c>
      <c r="S3132" s="7" t="n">
        <f aca="false">IF(AND(H3132&gt;='Exec Summary'!$E$1,H3132&lt;='Exec Summary'!$E$2),1,0)</f>
        <v>0</v>
      </c>
      <c r="T3132" s="7" t="n">
        <f aca="false">IF(AND(F3132="Closed",I3132&lt;&gt;"",I3132&gt;='Exec Summary'!$E$1,I3132&lt;='Exec Summary'!$E$2),1,0)</f>
        <v>0</v>
      </c>
      <c r="U3132" s="7" t="n">
        <f aca="false">IF(F3132="Reopened",1,0)</f>
        <v>1</v>
      </c>
      <c r="V3132" s="7" t="n">
        <f aca="false">IF(AND(R3132=1,O3132&gt;Q3132),1,0)</f>
        <v>1</v>
      </c>
      <c r="W3132" s="7" t="n">
        <f aca="false">IF(AND(T3132=1,P3132&lt;&gt;"",P3132&lt;=Q3132),1,0)</f>
        <v>0</v>
      </c>
    </row>
    <row r="3133" customFormat="false" ht="15" hidden="false" customHeight="false" outlineLevel="0" collapsed="false">
      <c r="A3133" s="7" t="s">
        <v>3684</v>
      </c>
      <c r="B3133" s="7" t="s">
        <v>46</v>
      </c>
      <c r="C3133" s="7" t="s">
        <v>47</v>
      </c>
      <c r="D3133" s="7" t="s">
        <v>91</v>
      </c>
      <c r="E3133" s="7" t="s">
        <v>92</v>
      </c>
      <c r="F3133" s="7" t="s">
        <v>50</v>
      </c>
      <c r="G3133" s="7" t="s">
        <v>20</v>
      </c>
      <c r="H3133" s="9" t="n">
        <v>46123</v>
      </c>
      <c r="I3133" s="9" t="n">
        <v>46157</v>
      </c>
      <c r="J3133" s="7" t="n">
        <v>8.1</v>
      </c>
      <c r="K3133" s="7" t="s">
        <v>3580</v>
      </c>
      <c r="L3133" s="7" t="s">
        <v>20</v>
      </c>
      <c r="M3133" s="7" t="s">
        <v>3691</v>
      </c>
      <c r="N3133" s="7" t="s">
        <v>53</v>
      </c>
      <c r="O3133" s="10" t="n">
        <f aca="false">'Exec Summary'!$E$2-H3133</f>
        <v>111</v>
      </c>
      <c r="P3133" s="10" t="n">
        <f aca="false">IF(I3133="","",I3133-H3133)</f>
        <v>34</v>
      </c>
      <c r="Q3133" s="10" t="n">
        <f aca="false">VLOOKUP(G3133,$AA$2:$AB$5,2,FALSE())</f>
        <v>30</v>
      </c>
      <c r="R3133" s="7" t="n">
        <f aca="false">IF(OR(F3133="Open",F3133="Reopened"),1,0)</f>
        <v>0</v>
      </c>
      <c r="S3133" s="7" t="n">
        <f aca="false">IF(AND(H3133&gt;='Exec Summary'!$E$1,H3133&lt;='Exec Summary'!$E$2),1,0)</f>
        <v>0</v>
      </c>
      <c r="T3133" s="7" t="n">
        <f aca="false">IF(AND(F3133="Closed",I3133&lt;&gt;"",I3133&gt;='Exec Summary'!$E$1,I3133&lt;='Exec Summary'!$E$2),1,0)</f>
        <v>0</v>
      </c>
      <c r="U3133" s="7" t="n">
        <f aca="false">IF(F3133="Reopened",1,0)</f>
        <v>0</v>
      </c>
      <c r="V3133" s="7" t="n">
        <f aca="false">IF(AND(R3133=1,O3133&gt;Q3133),1,0)</f>
        <v>0</v>
      </c>
      <c r="W3133" s="7" t="n">
        <f aca="false">IF(AND(T3133=1,P3133&lt;&gt;"",P3133&lt;=Q3133),1,0)</f>
        <v>0</v>
      </c>
    </row>
    <row r="3134" customFormat="false" ht="15" hidden="false" customHeight="false" outlineLevel="0" collapsed="false">
      <c r="A3134" s="7" t="s">
        <v>3684</v>
      </c>
      <c r="B3134" s="7" t="s">
        <v>46</v>
      </c>
      <c r="C3134" s="7" t="s">
        <v>47</v>
      </c>
      <c r="D3134" s="7" t="s">
        <v>71</v>
      </c>
      <c r="E3134" s="7" t="s">
        <v>72</v>
      </c>
      <c r="F3134" s="7" t="s">
        <v>50</v>
      </c>
      <c r="G3134" s="7" t="s">
        <v>19</v>
      </c>
      <c r="H3134" s="9" t="n">
        <v>45960</v>
      </c>
      <c r="I3134" s="9" t="n">
        <v>45967</v>
      </c>
      <c r="J3134" s="7" t="n">
        <v>9.8</v>
      </c>
      <c r="K3134" s="7" t="s">
        <v>3580</v>
      </c>
      <c r="L3134" s="7" t="s">
        <v>20</v>
      </c>
      <c r="M3134" s="7" t="s">
        <v>3692</v>
      </c>
      <c r="N3134" s="7" t="s">
        <v>58</v>
      </c>
      <c r="O3134" s="10" t="n">
        <f aca="false">'Exec Summary'!$E$2-H3134</f>
        <v>274</v>
      </c>
      <c r="P3134" s="10" t="n">
        <f aca="false">IF(I3134="","",I3134-H3134)</f>
        <v>7</v>
      </c>
      <c r="Q3134" s="10" t="n">
        <f aca="false">VLOOKUP(G3134,$AA$2:$AB$5,2,FALSE())</f>
        <v>15</v>
      </c>
      <c r="R3134" s="7" t="n">
        <f aca="false">IF(OR(F3134="Open",F3134="Reopened"),1,0)</f>
        <v>0</v>
      </c>
      <c r="S3134" s="7" t="n">
        <f aca="false">IF(AND(H3134&gt;='Exec Summary'!$E$1,H3134&lt;='Exec Summary'!$E$2),1,0)</f>
        <v>0</v>
      </c>
      <c r="T3134" s="7" t="n">
        <f aca="false">IF(AND(F3134="Closed",I3134&lt;&gt;"",I3134&gt;='Exec Summary'!$E$1,I3134&lt;='Exec Summary'!$E$2),1,0)</f>
        <v>0</v>
      </c>
      <c r="U3134" s="7" t="n">
        <f aca="false">IF(F3134="Reopened",1,0)</f>
        <v>0</v>
      </c>
      <c r="V3134" s="7" t="n">
        <f aca="false">IF(AND(R3134=1,O3134&gt;Q3134),1,0)</f>
        <v>0</v>
      </c>
      <c r="W3134" s="7" t="n">
        <f aca="false">IF(AND(T3134=1,P3134&lt;&gt;"",P3134&lt;=Q3134),1,0)</f>
        <v>0</v>
      </c>
    </row>
    <row r="3135" customFormat="false" ht="15" hidden="false" customHeight="false" outlineLevel="0" collapsed="false">
      <c r="A3135" s="7" t="s">
        <v>3684</v>
      </c>
      <c r="B3135" s="7" t="s">
        <v>46</v>
      </c>
      <c r="C3135" s="7" t="s">
        <v>47</v>
      </c>
      <c r="D3135" s="7" t="s">
        <v>48</v>
      </c>
      <c r="E3135" s="7" t="s">
        <v>49</v>
      </c>
      <c r="F3135" s="7" t="s">
        <v>50</v>
      </c>
      <c r="G3135" s="7" t="s">
        <v>20</v>
      </c>
      <c r="H3135" s="9" t="n">
        <v>46220</v>
      </c>
      <c r="I3135" s="9" t="n">
        <v>46226</v>
      </c>
      <c r="J3135" s="7" t="n">
        <v>7.5</v>
      </c>
      <c r="K3135" s="7" t="s">
        <v>3580</v>
      </c>
      <c r="L3135" s="7" t="s">
        <v>20</v>
      </c>
      <c r="M3135" s="7" t="s">
        <v>3693</v>
      </c>
      <c r="N3135" s="7" t="s">
        <v>53</v>
      </c>
      <c r="O3135" s="10" t="n">
        <f aca="false">'Exec Summary'!$E$2-H3135</f>
        <v>14</v>
      </c>
      <c r="P3135" s="10" t="n">
        <f aca="false">IF(I3135="","",I3135-H3135)</f>
        <v>6</v>
      </c>
      <c r="Q3135" s="10" t="n">
        <f aca="false">VLOOKUP(G3135,$AA$2:$AB$5,2,FALSE())</f>
        <v>30</v>
      </c>
      <c r="R3135" s="7" t="n">
        <f aca="false">IF(OR(F3135="Open",F3135="Reopened"),1,0)</f>
        <v>0</v>
      </c>
      <c r="S3135" s="7" t="n">
        <f aca="false">IF(AND(H3135&gt;='Exec Summary'!$E$1,H3135&lt;='Exec Summary'!$E$2),1,0)</f>
        <v>1</v>
      </c>
      <c r="T3135" s="7" t="n">
        <f aca="false">IF(AND(F3135="Closed",I3135&lt;&gt;"",I3135&gt;='Exec Summary'!$E$1,I3135&lt;='Exec Summary'!$E$2),1,0)</f>
        <v>1</v>
      </c>
      <c r="U3135" s="7" t="n">
        <f aca="false">IF(F3135="Reopened",1,0)</f>
        <v>0</v>
      </c>
      <c r="V3135" s="7" t="n">
        <f aca="false">IF(AND(R3135=1,O3135&gt;Q3135),1,0)</f>
        <v>0</v>
      </c>
      <c r="W3135" s="7" t="n">
        <f aca="false">IF(AND(T3135=1,P3135&lt;&gt;"",P3135&lt;=Q3135),1,0)</f>
        <v>1</v>
      </c>
    </row>
    <row r="3136" customFormat="false" ht="15" hidden="false" customHeight="false" outlineLevel="0" collapsed="false">
      <c r="A3136" s="7" t="s">
        <v>3684</v>
      </c>
      <c r="B3136" s="7" t="s">
        <v>46</v>
      </c>
      <c r="C3136" s="7" t="s">
        <v>47</v>
      </c>
      <c r="D3136" s="7" t="s">
        <v>104</v>
      </c>
      <c r="E3136" s="7" t="s">
        <v>105</v>
      </c>
      <c r="F3136" s="7" t="s">
        <v>56</v>
      </c>
      <c r="G3136" s="7" t="s">
        <v>19</v>
      </c>
      <c r="H3136" s="9" t="n">
        <v>46089</v>
      </c>
      <c r="I3136" s="9"/>
      <c r="J3136" s="7" t="n">
        <v>9.8</v>
      </c>
      <c r="K3136" s="7" t="s">
        <v>3580</v>
      </c>
      <c r="L3136" s="7" t="s">
        <v>20</v>
      </c>
      <c r="M3136" s="7" t="s">
        <v>3694</v>
      </c>
      <c r="N3136" s="7" t="s">
        <v>58</v>
      </c>
      <c r="O3136" s="10" t="n">
        <f aca="false">'Exec Summary'!$E$2-H3136</f>
        <v>145</v>
      </c>
      <c r="P3136" s="10" t="str">
        <f aca="false">IF(I3136="","",I3136-H3136)</f>
        <v/>
      </c>
      <c r="Q3136" s="10" t="n">
        <f aca="false">VLOOKUP(G3136,$AA$2:$AB$5,2,FALSE())</f>
        <v>15</v>
      </c>
      <c r="R3136" s="7" t="n">
        <f aca="false">IF(OR(F3136="Open",F3136="Reopened"),1,0)</f>
        <v>1</v>
      </c>
      <c r="S3136" s="7" t="n">
        <f aca="false">IF(AND(H3136&gt;='Exec Summary'!$E$1,H3136&lt;='Exec Summary'!$E$2),1,0)</f>
        <v>0</v>
      </c>
      <c r="T3136" s="7" t="n">
        <f aca="false">IF(AND(F3136="Closed",I3136&lt;&gt;"",I3136&gt;='Exec Summary'!$E$1,I3136&lt;='Exec Summary'!$E$2),1,0)</f>
        <v>0</v>
      </c>
      <c r="U3136" s="7" t="n">
        <f aca="false">IF(F3136="Reopened",1,0)</f>
        <v>0</v>
      </c>
      <c r="V3136" s="7" t="n">
        <f aca="false">IF(AND(R3136=1,O3136&gt;Q3136),1,0)</f>
        <v>1</v>
      </c>
      <c r="W3136" s="7" t="n">
        <f aca="false">IF(AND(T3136=1,P3136&lt;&gt;"",P3136&lt;=Q3136),1,0)</f>
        <v>0</v>
      </c>
    </row>
    <row r="3137" customFormat="false" ht="15" hidden="false" customHeight="false" outlineLevel="0" collapsed="false">
      <c r="A3137" s="7" t="s">
        <v>3684</v>
      </c>
      <c r="B3137" s="7" t="s">
        <v>46</v>
      </c>
      <c r="C3137" s="7" t="s">
        <v>47</v>
      </c>
      <c r="D3137" s="7" t="s">
        <v>81</v>
      </c>
      <c r="E3137" s="7" t="s">
        <v>82</v>
      </c>
      <c r="F3137" s="7" t="s">
        <v>56</v>
      </c>
      <c r="G3137" s="7" t="s">
        <v>20</v>
      </c>
      <c r="H3137" s="9" t="n">
        <v>46042</v>
      </c>
      <c r="I3137" s="9"/>
      <c r="J3137" s="7" t="n">
        <v>7.8</v>
      </c>
      <c r="K3137" s="7" t="s">
        <v>3580</v>
      </c>
      <c r="L3137" s="7" t="s">
        <v>20</v>
      </c>
      <c r="M3137" s="7" t="s">
        <v>3695</v>
      </c>
      <c r="N3137" s="7" t="s">
        <v>53</v>
      </c>
      <c r="O3137" s="10" t="n">
        <f aca="false">'Exec Summary'!$E$2-H3137</f>
        <v>192</v>
      </c>
      <c r="P3137" s="10" t="str">
        <f aca="false">IF(I3137="","",I3137-H3137)</f>
        <v/>
      </c>
      <c r="Q3137" s="10" t="n">
        <f aca="false">VLOOKUP(G3137,$AA$2:$AB$5,2,FALSE())</f>
        <v>30</v>
      </c>
      <c r="R3137" s="7" t="n">
        <f aca="false">IF(OR(F3137="Open",F3137="Reopened"),1,0)</f>
        <v>1</v>
      </c>
      <c r="S3137" s="7" t="n">
        <f aca="false">IF(AND(H3137&gt;='Exec Summary'!$E$1,H3137&lt;='Exec Summary'!$E$2),1,0)</f>
        <v>0</v>
      </c>
      <c r="T3137" s="7" t="n">
        <f aca="false">IF(AND(F3137="Closed",I3137&lt;&gt;"",I3137&gt;='Exec Summary'!$E$1,I3137&lt;='Exec Summary'!$E$2),1,0)</f>
        <v>0</v>
      </c>
      <c r="U3137" s="7" t="n">
        <f aca="false">IF(F3137="Reopened",1,0)</f>
        <v>0</v>
      </c>
      <c r="V3137" s="7" t="n">
        <f aca="false">IF(AND(R3137=1,O3137&gt;Q3137),1,0)</f>
        <v>1</v>
      </c>
      <c r="W3137" s="7" t="n">
        <f aca="false">IF(AND(T3137=1,P3137&lt;&gt;"",P3137&lt;=Q3137),1,0)</f>
        <v>0</v>
      </c>
    </row>
    <row r="3138" customFormat="false" ht="15" hidden="false" customHeight="false" outlineLevel="0" collapsed="false">
      <c r="A3138" s="7" t="s">
        <v>3696</v>
      </c>
      <c r="B3138" s="7" t="s">
        <v>46</v>
      </c>
      <c r="C3138" s="7" t="s">
        <v>177</v>
      </c>
      <c r="D3138" s="7" t="s">
        <v>152</v>
      </c>
      <c r="E3138" s="7" t="s">
        <v>153</v>
      </c>
      <c r="F3138" s="7" t="s">
        <v>50</v>
      </c>
      <c r="G3138" s="7" t="s">
        <v>20</v>
      </c>
      <c r="H3138" s="9" t="n">
        <v>46117</v>
      </c>
      <c r="I3138" s="9" t="n">
        <v>46121</v>
      </c>
      <c r="J3138" s="7" t="n">
        <v>7.5</v>
      </c>
      <c r="K3138" s="7" t="s">
        <v>3580</v>
      </c>
      <c r="L3138" s="7" t="s">
        <v>20</v>
      </c>
      <c r="M3138" s="7" t="s">
        <v>3697</v>
      </c>
      <c r="N3138" s="7" t="s">
        <v>53</v>
      </c>
      <c r="O3138" s="10" t="n">
        <f aca="false">'Exec Summary'!$E$2-H3138</f>
        <v>117</v>
      </c>
      <c r="P3138" s="10" t="n">
        <f aca="false">IF(I3138="","",I3138-H3138)</f>
        <v>4</v>
      </c>
      <c r="Q3138" s="10" t="n">
        <f aca="false">VLOOKUP(G3138,$AA$2:$AB$5,2,FALSE())</f>
        <v>30</v>
      </c>
      <c r="R3138" s="7" t="n">
        <f aca="false">IF(OR(F3138="Open",F3138="Reopened"),1,0)</f>
        <v>0</v>
      </c>
      <c r="S3138" s="7" t="n">
        <f aca="false">IF(AND(H3138&gt;='Exec Summary'!$E$1,H3138&lt;='Exec Summary'!$E$2),1,0)</f>
        <v>0</v>
      </c>
      <c r="T3138" s="7" t="n">
        <f aca="false">IF(AND(F3138="Closed",I3138&lt;&gt;"",I3138&gt;='Exec Summary'!$E$1,I3138&lt;='Exec Summary'!$E$2),1,0)</f>
        <v>0</v>
      </c>
      <c r="U3138" s="7" t="n">
        <f aca="false">IF(F3138="Reopened",1,0)</f>
        <v>0</v>
      </c>
      <c r="V3138" s="7" t="n">
        <f aca="false">IF(AND(R3138=1,O3138&gt;Q3138),1,0)</f>
        <v>0</v>
      </c>
      <c r="W3138" s="7" t="n">
        <f aca="false">IF(AND(T3138=1,P3138&lt;&gt;"",P3138&lt;=Q3138),1,0)</f>
        <v>0</v>
      </c>
    </row>
    <row r="3139" customFormat="false" ht="15" hidden="false" customHeight="false" outlineLevel="0" collapsed="false">
      <c r="A3139" s="7" t="s">
        <v>3696</v>
      </c>
      <c r="B3139" s="7" t="s">
        <v>46</v>
      </c>
      <c r="C3139" s="7" t="s">
        <v>177</v>
      </c>
      <c r="D3139" s="7" t="s">
        <v>87</v>
      </c>
      <c r="E3139" s="7" t="s">
        <v>88</v>
      </c>
      <c r="F3139" s="7" t="s">
        <v>56</v>
      </c>
      <c r="G3139" s="7" t="s">
        <v>19</v>
      </c>
      <c r="H3139" s="9" t="n">
        <v>46097</v>
      </c>
      <c r="I3139" s="9"/>
      <c r="J3139" s="7" t="n">
        <v>10</v>
      </c>
      <c r="K3139" s="7" t="s">
        <v>3580</v>
      </c>
      <c r="L3139" s="7" t="s">
        <v>20</v>
      </c>
      <c r="M3139" s="7" t="s">
        <v>3698</v>
      </c>
      <c r="N3139" s="7" t="s">
        <v>58</v>
      </c>
      <c r="O3139" s="10" t="n">
        <f aca="false">'Exec Summary'!$E$2-H3139</f>
        <v>137</v>
      </c>
      <c r="P3139" s="10" t="str">
        <f aca="false">IF(I3139="","",I3139-H3139)</f>
        <v/>
      </c>
      <c r="Q3139" s="10" t="n">
        <f aca="false">VLOOKUP(G3139,$AA$2:$AB$5,2,FALSE())</f>
        <v>15</v>
      </c>
      <c r="R3139" s="7" t="n">
        <f aca="false">IF(OR(F3139="Open",F3139="Reopened"),1,0)</f>
        <v>1</v>
      </c>
      <c r="S3139" s="7" t="n">
        <f aca="false">IF(AND(H3139&gt;='Exec Summary'!$E$1,H3139&lt;='Exec Summary'!$E$2),1,0)</f>
        <v>0</v>
      </c>
      <c r="T3139" s="7" t="n">
        <f aca="false">IF(AND(F3139="Closed",I3139&lt;&gt;"",I3139&gt;='Exec Summary'!$E$1,I3139&lt;='Exec Summary'!$E$2),1,0)</f>
        <v>0</v>
      </c>
      <c r="U3139" s="7" t="n">
        <f aca="false">IF(F3139="Reopened",1,0)</f>
        <v>0</v>
      </c>
      <c r="V3139" s="7" t="n">
        <f aca="false">IF(AND(R3139=1,O3139&gt;Q3139),1,0)</f>
        <v>1</v>
      </c>
      <c r="W3139" s="7" t="n">
        <f aca="false">IF(AND(T3139=1,P3139&lt;&gt;"",P3139&lt;=Q3139),1,0)</f>
        <v>0</v>
      </c>
    </row>
    <row r="3140" customFormat="false" ht="15" hidden="false" customHeight="false" outlineLevel="0" collapsed="false">
      <c r="A3140" s="7" t="s">
        <v>3696</v>
      </c>
      <c r="B3140" s="7" t="s">
        <v>46</v>
      </c>
      <c r="C3140" s="7" t="s">
        <v>177</v>
      </c>
      <c r="D3140" s="7" t="s">
        <v>145</v>
      </c>
      <c r="E3140" s="7" t="s">
        <v>146</v>
      </c>
      <c r="F3140" s="7" t="s">
        <v>50</v>
      </c>
      <c r="G3140" s="7" t="s">
        <v>19</v>
      </c>
      <c r="H3140" s="9" t="n">
        <v>46094</v>
      </c>
      <c r="I3140" s="9" t="n">
        <v>46116</v>
      </c>
      <c r="J3140" s="7" t="n">
        <v>9.8</v>
      </c>
      <c r="K3140" s="7" t="s">
        <v>3580</v>
      </c>
      <c r="L3140" s="7" t="s">
        <v>20</v>
      </c>
      <c r="M3140" s="7" t="s">
        <v>3699</v>
      </c>
      <c r="N3140" s="7" t="s">
        <v>58</v>
      </c>
      <c r="O3140" s="10" t="n">
        <f aca="false">'Exec Summary'!$E$2-H3140</f>
        <v>140</v>
      </c>
      <c r="P3140" s="10" t="n">
        <f aca="false">IF(I3140="","",I3140-H3140)</f>
        <v>22</v>
      </c>
      <c r="Q3140" s="10" t="n">
        <f aca="false">VLOOKUP(G3140,$AA$2:$AB$5,2,FALSE())</f>
        <v>15</v>
      </c>
      <c r="R3140" s="7" t="n">
        <f aca="false">IF(OR(F3140="Open",F3140="Reopened"),1,0)</f>
        <v>0</v>
      </c>
      <c r="S3140" s="7" t="n">
        <f aca="false">IF(AND(H3140&gt;='Exec Summary'!$E$1,H3140&lt;='Exec Summary'!$E$2),1,0)</f>
        <v>0</v>
      </c>
      <c r="T3140" s="7" t="n">
        <f aca="false">IF(AND(F3140="Closed",I3140&lt;&gt;"",I3140&gt;='Exec Summary'!$E$1,I3140&lt;='Exec Summary'!$E$2),1,0)</f>
        <v>0</v>
      </c>
      <c r="U3140" s="7" t="n">
        <f aca="false">IF(F3140="Reopened",1,0)</f>
        <v>0</v>
      </c>
      <c r="V3140" s="7" t="n">
        <f aca="false">IF(AND(R3140=1,O3140&gt;Q3140),1,0)</f>
        <v>0</v>
      </c>
      <c r="W3140" s="7" t="n">
        <f aca="false">IF(AND(T3140=1,P3140&lt;&gt;"",P3140&lt;=Q3140),1,0)</f>
        <v>0</v>
      </c>
    </row>
    <row r="3141" customFormat="false" ht="15" hidden="false" customHeight="false" outlineLevel="0" collapsed="false">
      <c r="A3141" s="7" t="s">
        <v>3696</v>
      </c>
      <c r="B3141" s="7" t="s">
        <v>46</v>
      </c>
      <c r="C3141" s="7" t="s">
        <v>177</v>
      </c>
      <c r="D3141" s="7" t="s">
        <v>112</v>
      </c>
      <c r="E3141" s="7" t="s">
        <v>113</v>
      </c>
      <c r="F3141" s="7" t="s">
        <v>50</v>
      </c>
      <c r="G3141" s="7" t="s">
        <v>20</v>
      </c>
      <c r="H3141" s="9" t="n">
        <v>46008</v>
      </c>
      <c r="I3141" s="9" t="n">
        <v>46013</v>
      </c>
      <c r="J3141" s="7" t="n">
        <v>7.8</v>
      </c>
      <c r="K3141" s="7" t="s">
        <v>3580</v>
      </c>
      <c r="L3141" s="7" t="s">
        <v>20</v>
      </c>
      <c r="M3141" s="7" t="s">
        <v>3700</v>
      </c>
      <c r="N3141" s="7" t="s">
        <v>53</v>
      </c>
      <c r="O3141" s="10" t="n">
        <f aca="false">'Exec Summary'!$E$2-H3141</f>
        <v>226</v>
      </c>
      <c r="P3141" s="10" t="n">
        <f aca="false">IF(I3141="","",I3141-H3141)</f>
        <v>5</v>
      </c>
      <c r="Q3141" s="10" t="n">
        <f aca="false">VLOOKUP(G3141,$AA$2:$AB$5,2,FALSE())</f>
        <v>30</v>
      </c>
      <c r="R3141" s="7" t="n">
        <f aca="false">IF(OR(F3141="Open",F3141="Reopened"),1,0)</f>
        <v>0</v>
      </c>
      <c r="S3141" s="7" t="n">
        <f aca="false">IF(AND(H3141&gt;='Exec Summary'!$E$1,H3141&lt;='Exec Summary'!$E$2),1,0)</f>
        <v>0</v>
      </c>
      <c r="T3141" s="7" t="n">
        <f aca="false">IF(AND(F3141="Closed",I3141&lt;&gt;"",I3141&gt;='Exec Summary'!$E$1,I3141&lt;='Exec Summary'!$E$2),1,0)</f>
        <v>0</v>
      </c>
      <c r="U3141" s="7" t="n">
        <f aca="false">IF(F3141="Reopened",1,0)</f>
        <v>0</v>
      </c>
      <c r="V3141" s="7" t="n">
        <f aca="false">IF(AND(R3141=1,O3141&gt;Q3141),1,0)</f>
        <v>0</v>
      </c>
      <c r="W3141" s="7" t="n">
        <f aca="false">IF(AND(T3141=1,P3141&lt;&gt;"",P3141&lt;=Q3141),1,0)</f>
        <v>0</v>
      </c>
    </row>
    <row r="3142" customFormat="false" ht="15" hidden="false" customHeight="false" outlineLevel="0" collapsed="false">
      <c r="A3142" s="7" t="s">
        <v>3696</v>
      </c>
      <c r="B3142" s="7" t="s">
        <v>46</v>
      </c>
      <c r="C3142" s="7" t="s">
        <v>177</v>
      </c>
      <c r="D3142" s="7" t="s">
        <v>91</v>
      </c>
      <c r="E3142" s="7" t="s">
        <v>92</v>
      </c>
      <c r="F3142" s="7" t="s">
        <v>50</v>
      </c>
      <c r="G3142" s="7" t="s">
        <v>20</v>
      </c>
      <c r="H3142" s="9" t="n">
        <v>46012</v>
      </c>
      <c r="I3142" s="9" t="n">
        <v>46028</v>
      </c>
      <c r="J3142" s="7" t="n">
        <v>8.1</v>
      </c>
      <c r="K3142" s="7" t="s">
        <v>3580</v>
      </c>
      <c r="L3142" s="7" t="s">
        <v>20</v>
      </c>
      <c r="M3142" s="7" t="s">
        <v>3701</v>
      </c>
      <c r="N3142" s="7" t="s">
        <v>53</v>
      </c>
      <c r="O3142" s="10" t="n">
        <f aca="false">'Exec Summary'!$E$2-H3142</f>
        <v>222</v>
      </c>
      <c r="P3142" s="10" t="n">
        <f aca="false">IF(I3142="","",I3142-H3142)</f>
        <v>16</v>
      </c>
      <c r="Q3142" s="10" t="n">
        <f aca="false">VLOOKUP(G3142,$AA$2:$AB$5,2,FALSE())</f>
        <v>30</v>
      </c>
      <c r="R3142" s="7" t="n">
        <f aca="false">IF(OR(F3142="Open",F3142="Reopened"),1,0)</f>
        <v>0</v>
      </c>
      <c r="S3142" s="7" t="n">
        <f aca="false">IF(AND(H3142&gt;='Exec Summary'!$E$1,H3142&lt;='Exec Summary'!$E$2),1,0)</f>
        <v>0</v>
      </c>
      <c r="T3142" s="7" t="n">
        <f aca="false">IF(AND(F3142="Closed",I3142&lt;&gt;"",I3142&gt;='Exec Summary'!$E$1,I3142&lt;='Exec Summary'!$E$2),1,0)</f>
        <v>0</v>
      </c>
      <c r="U3142" s="7" t="n">
        <f aca="false">IF(F3142="Reopened",1,0)</f>
        <v>0</v>
      </c>
      <c r="V3142" s="7" t="n">
        <f aca="false">IF(AND(R3142=1,O3142&gt;Q3142),1,0)</f>
        <v>0</v>
      </c>
      <c r="W3142" s="7" t="n">
        <f aca="false">IF(AND(T3142=1,P3142&lt;&gt;"",P3142&lt;=Q3142),1,0)</f>
        <v>0</v>
      </c>
    </row>
    <row r="3143" customFormat="false" ht="15" hidden="false" customHeight="false" outlineLevel="0" collapsed="false">
      <c r="A3143" s="7" t="s">
        <v>3696</v>
      </c>
      <c r="B3143" s="7" t="s">
        <v>46</v>
      </c>
      <c r="C3143" s="7" t="s">
        <v>177</v>
      </c>
      <c r="D3143" s="7" t="s">
        <v>104</v>
      </c>
      <c r="E3143" s="7" t="s">
        <v>105</v>
      </c>
      <c r="F3143" s="7" t="s">
        <v>50</v>
      </c>
      <c r="G3143" s="7" t="s">
        <v>19</v>
      </c>
      <c r="H3143" s="9" t="n">
        <v>46189</v>
      </c>
      <c r="I3143" s="9" t="n">
        <v>46205</v>
      </c>
      <c r="J3143" s="7" t="n">
        <v>9.8</v>
      </c>
      <c r="K3143" s="7" t="s">
        <v>3580</v>
      </c>
      <c r="L3143" s="7" t="s">
        <v>20</v>
      </c>
      <c r="M3143" s="7" t="s">
        <v>3702</v>
      </c>
      <c r="N3143" s="7" t="s">
        <v>58</v>
      </c>
      <c r="O3143" s="10" t="n">
        <f aca="false">'Exec Summary'!$E$2-H3143</f>
        <v>45</v>
      </c>
      <c r="P3143" s="10" t="n">
        <f aca="false">IF(I3143="","",I3143-H3143)</f>
        <v>16</v>
      </c>
      <c r="Q3143" s="10" t="n">
        <f aca="false">VLOOKUP(G3143,$AA$2:$AB$5,2,FALSE())</f>
        <v>15</v>
      </c>
      <c r="R3143" s="7" t="n">
        <f aca="false">IF(OR(F3143="Open",F3143="Reopened"),1,0)</f>
        <v>0</v>
      </c>
      <c r="S3143" s="7" t="n">
        <f aca="false">IF(AND(H3143&gt;='Exec Summary'!$E$1,H3143&lt;='Exec Summary'!$E$2),1,0)</f>
        <v>0</v>
      </c>
      <c r="T3143" s="7" t="n">
        <f aca="false">IF(AND(F3143="Closed",I3143&lt;&gt;"",I3143&gt;='Exec Summary'!$E$1,I3143&lt;='Exec Summary'!$E$2),1,0)</f>
        <v>1</v>
      </c>
      <c r="U3143" s="7" t="n">
        <f aca="false">IF(F3143="Reopened",1,0)</f>
        <v>0</v>
      </c>
      <c r="V3143" s="7" t="n">
        <f aca="false">IF(AND(R3143=1,O3143&gt;Q3143),1,0)</f>
        <v>0</v>
      </c>
      <c r="W3143" s="7" t="n">
        <f aca="false">IF(AND(T3143=1,P3143&lt;&gt;"",P3143&lt;=Q3143),1,0)</f>
        <v>0</v>
      </c>
    </row>
    <row r="3144" customFormat="false" ht="15" hidden="false" customHeight="false" outlineLevel="0" collapsed="false">
      <c r="A3144" s="7" t="s">
        <v>3703</v>
      </c>
      <c r="B3144" s="7" t="s">
        <v>135</v>
      </c>
      <c r="C3144" s="7" t="s">
        <v>247</v>
      </c>
      <c r="D3144" s="7" t="s">
        <v>206</v>
      </c>
      <c r="E3144" s="7" t="s">
        <v>207</v>
      </c>
      <c r="F3144" s="7" t="s">
        <v>56</v>
      </c>
      <c r="G3144" s="7" t="s">
        <v>20</v>
      </c>
      <c r="H3144" s="9" t="n">
        <v>46028</v>
      </c>
      <c r="I3144" s="9"/>
      <c r="J3144" s="7" t="n">
        <v>8.8</v>
      </c>
      <c r="K3144" s="7" t="s">
        <v>3580</v>
      </c>
      <c r="L3144" s="7" t="s">
        <v>22</v>
      </c>
      <c r="M3144" s="7" t="s">
        <v>3704</v>
      </c>
      <c r="N3144" s="7" t="s">
        <v>53</v>
      </c>
      <c r="O3144" s="10" t="n">
        <f aca="false">'Exec Summary'!$E$2-H3144</f>
        <v>206</v>
      </c>
      <c r="P3144" s="10" t="str">
        <f aca="false">IF(I3144="","",I3144-H3144)</f>
        <v/>
      </c>
      <c r="Q3144" s="10" t="n">
        <f aca="false">VLOOKUP(G3144,$AA$2:$AB$5,2,FALSE())</f>
        <v>30</v>
      </c>
      <c r="R3144" s="7" t="n">
        <f aca="false">IF(OR(F3144="Open",F3144="Reopened"),1,0)</f>
        <v>1</v>
      </c>
      <c r="S3144" s="7" t="n">
        <f aca="false">IF(AND(H3144&gt;='Exec Summary'!$E$1,H3144&lt;='Exec Summary'!$E$2),1,0)</f>
        <v>0</v>
      </c>
      <c r="T3144" s="7" t="n">
        <f aca="false">IF(AND(F3144="Closed",I3144&lt;&gt;"",I3144&gt;='Exec Summary'!$E$1,I3144&lt;='Exec Summary'!$E$2),1,0)</f>
        <v>0</v>
      </c>
      <c r="U3144" s="7" t="n">
        <f aca="false">IF(F3144="Reopened",1,0)</f>
        <v>0</v>
      </c>
      <c r="V3144" s="7" t="n">
        <f aca="false">IF(AND(R3144=1,O3144&gt;Q3144),1,0)</f>
        <v>1</v>
      </c>
      <c r="W3144" s="7" t="n">
        <f aca="false">IF(AND(T3144=1,P3144&lt;&gt;"",P3144&lt;=Q3144),1,0)</f>
        <v>0</v>
      </c>
    </row>
    <row r="3145" customFormat="false" ht="15" hidden="false" customHeight="false" outlineLevel="0" collapsed="false">
      <c r="A3145" s="7" t="s">
        <v>3703</v>
      </c>
      <c r="B3145" s="7" t="s">
        <v>135</v>
      </c>
      <c r="C3145" s="7" t="s">
        <v>247</v>
      </c>
      <c r="D3145" s="7" t="s">
        <v>91</v>
      </c>
      <c r="E3145" s="7" t="s">
        <v>92</v>
      </c>
      <c r="F3145" s="7" t="s">
        <v>50</v>
      </c>
      <c r="G3145" s="7" t="s">
        <v>20</v>
      </c>
      <c r="H3145" s="9" t="n">
        <v>46202</v>
      </c>
      <c r="I3145" s="9" t="n">
        <v>46220</v>
      </c>
      <c r="J3145" s="7" t="n">
        <v>8.1</v>
      </c>
      <c r="K3145" s="7" t="s">
        <v>3580</v>
      </c>
      <c r="L3145" s="7" t="s">
        <v>22</v>
      </c>
      <c r="M3145" s="7" t="s">
        <v>3705</v>
      </c>
      <c r="N3145" s="7" t="s">
        <v>53</v>
      </c>
      <c r="O3145" s="10" t="n">
        <f aca="false">'Exec Summary'!$E$2-H3145</f>
        <v>32</v>
      </c>
      <c r="P3145" s="10" t="n">
        <f aca="false">IF(I3145="","",I3145-H3145)</f>
        <v>18</v>
      </c>
      <c r="Q3145" s="10" t="n">
        <f aca="false">VLOOKUP(G3145,$AA$2:$AB$5,2,FALSE())</f>
        <v>30</v>
      </c>
      <c r="R3145" s="7" t="n">
        <f aca="false">IF(OR(F3145="Open",F3145="Reopened"),1,0)</f>
        <v>0</v>
      </c>
      <c r="S3145" s="7" t="n">
        <f aca="false">IF(AND(H3145&gt;='Exec Summary'!$E$1,H3145&lt;='Exec Summary'!$E$2),1,0)</f>
        <v>0</v>
      </c>
      <c r="T3145" s="7" t="n">
        <f aca="false">IF(AND(F3145="Closed",I3145&lt;&gt;"",I3145&gt;='Exec Summary'!$E$1,I3145&lt;='Exec Summary'!$E$2),1,0)</f>
        <v>1</v>
      </c>
      <c r="U3145" s="7" t="n">
        <f aca="false">IF(F3145="Reopened",1,0)</f>
        <v>0</v>
      </c>
      <c r="V3145" s="7" t="n">
        <f aca="false">IF(AND(R3145=1,O3145&gt;Q3145),1,0)</f>
        <v>0</v>
      </c>
      <c r="W3145" s="7" t="n">
        <f aca="false">IF(AND(T3145=1,P3145&lt;&gt;"",P3145&lt;=Q3145),1,0)</f>
        <v>1</v>
      </c>
    </row>
    <row r="3146" customFormat="false" ht="15" hidden="false" customHeight="false" outlineLevel="0" collapsed="false">
      <c r="A3146" s="7" t="s">
        <v>3703</v>
      </c>
      <c r="B3146" s="7" t="s">
        <v>135</v>
      </c>
      <c r="C3146" s="7" t="s">
        <v>247</v>
      </c>
      <c r="D3146" s="7" t="s">
        <v>139</v>
      </c>
      <c r="E3146" s="7" t="s">
        <v>140</v>
      </c>
      <c r="F3146" s="7" t="s">
        <v>50</v>
      </c>
      <c r="G3146" s="7" t="s">
        <v>19</v>
      </c>
      <c r="H3146" s="9" t="n">
        <v>45937</v>
      </c>
      <c r="I3146" s="9" t="n">
        <v>45950</v>
      </c>
      <c r="J3146" s="7" t="n">
        <v>9.8</v>
      </c>
      <c r="K3146" s="7" t="s">
        <v>3580</v>
      </c>
      <c r="L3146" s="7" t="s">
        <v>22</v>
      </c>
      <c r="M3146" s="7" t="s">
        <v>3706</v>
      </c>
      <c r="N3146" s="7" t="s">
        <v>58</v>
      </c>
      <c r="O3146" s="10" t="n">
        <f aca="false">'Exec Summary'!$E$2-H3146</f>
        <v>297</v>
      </c>
      <c r="P3146" s="10" t="n">
        <f aca="false">IF(I3146="","",I3146-H3146)</f>
        <v>13</v>
      </c>
      <c r="Q3146" s="10" t="n">
        <f aca="false">VLOOKUP(G3146,$AA$2:$AB$5,2,FALSE())</f>
        <v>15</v>
      </c>
      <c r="R3146" s="7" t="n">
        <f aca="false">IF(OR(F3146="Open",F3146="Reopened"),1,0)</f>
        <v>0</v>
      </c>
      <c r="S3146" s="7" t="n">
        <f aca="false">IF(AND(H3146&gt;='Exec Summary'!$E$1,H3146&lt;='Exec Summary'!$E$2),1,0)</f>
        <v>0</v>
      </c>
      <c r="T3146" s="7" t="n">
        <f aca="false">IF(AND(F3146="Closed",I3146&lt;&gt;"",I3146&gt;='Exec Summary'!$E$1,I3146&lt;='Exec Summary'!$E$2),1,0)</f>
        <v>0</v>
      </c>
      <c r="U3146" s="7" t="n">
        <f aca="false">IF(F3146="Reopened",1,0)</f>
        <v>0</v>
      </c>
      <c r="V3146" s="7" t="n">
        <f aca="false">IF(AND(R3146=1,O3146&gt;Q3146),1,0)</f>
        <v>0</v>
      </c>
      <c r="W3146" s="7" t="n">
        <f aca="false">IF(AND(T3146=1,P3146&lt;&gt;"",P3146&lt;=Q3146),1,0)</f>
        <v>0</v>
      </c>
    </row>
    <row r="3147" customFormat="false" ht="15" hidden="false" customHeight="false" outlineLevel="0" collapsed="false">
      <c r="A3147" s="7" t="s">
        <v>3707</v>
      </c>
      <c r="B3147" s="7" t="s">
        <v>46</v>
      </c>
      <c r="C3147" s="7" t="s">
        <v>177</v>
      </c>
      <c r="D3147" s="7" t="s">
        <v>101</v>
      </c>
      <c r="E3147" s="7" t="s">
        <v>102</v>
      </c>
      <c r="F3147" s="7" t="s">
        <v>50</v>
      </c>
      <c r="G3147" s="7" t="s">
        <v>19</v>
      </c>
      <c r="H3147" s="9" t="n">
        <v>46074</v>
      </c>
      <c r="I3147" s="9" t="n">
        <v>46081</v>
      </c>
      <c r="J3147" s="7" t="n">
        <v>10</v>
      </c>
      <c r="K3147" s="7" t="s">
        <v>3580</v>
      </c>
      <c r="L3147" s="7" t="s">
        <v>20</v>
      </c>
      <c r="M3147" s="7" t="s">
        <v>3708</v>
      </c>
      <c r="N3147" s="7" t="s">
        <v>58</v>
      </c>
      <c r="O3147" s="10" t="n">
        <f aca="false">'Exec Summary'!$E$2-H3147</f>
        <v>160</v>
      </c>
      <c r="P3147" s="10" t="n">
        <f aca="false">IF(I3147="","",I3147-H3147)</f>
        <v>7</v>
      </c>
      <c r="Q3147" s="10" t="n">
        <f aca="false">VLOOKUP(G3147,$AA$2:$AB$5,2,FALSE())</f>
        <v>15</v>
      </c>
      <c r="R3147" s="7" t="n">
        <f aca="false">IF(OR(F3147="Open",F3147="Reopened"),1,0)</f>
        <v>0</v>
      </c>
      <c r="S3147" s="7" t="n">
        <f aca="false">IF(AND(H3147&gt;='Exec Summary'!$E$1,H3147&lt;='Exec Summary'!$E$2),1,0)</f>
        <v>0</v>
      </c>
      <c r="T3147" s="7" t="n">
        <f aca="false">IF(AND(F3147="Closed",I3147&lt;&gt;"",I3147&gt;='Exec Summary'!$E$1,I3147&lt;='Exec Summary'!$E$2),1,0)</f>
        <v>0</v>
      </c>
      <c r="U3147" s="7" t="n">
        <f aca="false">IF(F3147="Reopened",1,0)</f>
        <v>0</v>
      </c>
      <c r="V3147" s="7" t="n">
        <f aca="false">IF(AND(R3147=1,O3147&gt;Q3147),1,0)</f>
        <v>0</v>
      </c>
      <c r="W3147" s="7" t="n">
        <f aca="false">IF(AND(T3147=1,P3147&lt;&gt;"",P3147&lt;=Q3147),1,0)</f>
        <v>0</v>
      </c>
    </row>
    <row r="3148" customFormat="false" ht="15" hidden="false" customHeight="false" outlineLevel="0" collapsed="false">
      <c r="A3148" s="7" t="s">
        <v>3707</v>
      </c>
      <c r="B3148" s="7" t="s">
        <v>46</v>
      </c>
      <c r="C3148" s="7" t="s">
        <v>177</v>
      </c>
      <c r="D3148" s="7" t="s">
        <v>74</v>
      </c>
      <c r="E3148" s="7" t="s">
        <v>75</v>
      </c>
      <c r="F3148" s="7" t="s">
        <v>56</v>
      </c>
      <c r="G3148" s="7" t="s">
        <v>21</v>
      </c>
      <c r="H3148" s="9" t="n">
        <v>46154</v>
      </c>
      <c r="I3148" s="9"/>
      <c r="J3148" s="7" t="n">
        <v>6.5</v>
      </c>
      <c r="K3148" s="7" t="s">
        <v>3580</v>
      </c>
      <c r="L3148" s="7" t="s">
        <v>20</v>
      </c>
      <c r="M3148" s="7" t="s">
        <v>3709</v>
      </c>
      <c r="N3148" s="7" t="s">
        <v>77</v>
      </c>
      <c r="O3148" s="10" t="n">
        <f aca="false">'Exec Summary'!$E$2-H3148</f>
        <v>80</v>
      </c>
      <c r="P3148" s="10" t="str">
        <f aca="false">IF(I3148="","",I3148-H3148)</f>
        <v/>
      </c>
      <c r="Q3148" s="10" t="n">
        <f aca="false">VLOOKUP(G3148,$AA$2:$AB$5,2,FALSE())</f>
        <v>90</v>
      </c>
      <c r="R3148" s="7" t="n">
        <f aca="false">IF(OR(F3148="Open",F3148="Reopened"),1,0)</f>
        <v>1</v>
      </c>
      <c r="S3148" s="7" t="n">
        <f aca="false">IF(AND(H3148&gt;='Exec Summary'!$E$1,H3148&lt;='Exec Summary'!$E$2),1,0)</f>
        <v>0</v>
      </c>
      <c r="T3148" s="7" t="n">
        <f aca="false">IF(AND(F3148="Closed",I3148&lt;&gt;"",I3148&gt;='Exec Summary'!$E$1,I3148&lt;='Exec Summary'!$E$2),1,0)</f>
        <v>0</v>
      </c>
      <c r="U3148" s="7" t="n">
        <f aca="false">IF(F3148="Reopened",1,0)</f>
        <v>0</v>
      </c>
      <c r="V3148" s="7" t="n">
        <f aca="false">IF(AND(R3148=1,O3148&gt;Q3148),1,0)</f>
        <v>0</v>
      </c>
      <c r="W3148" s="7" t="n">
        <f aca="false">IF(AND(T3148=1,P3148&lt;&gt;"",P3148&lt;=Q3148),1,0)</f>
        <v>0</v>
      </c>
    </row>
    <row r="3149" customFormat="false" ht="15" hidden="false" customHeight="false" outlineLevel="0" collapsed="false">
      <c r="A3149" s="7" t="s">
        <v>3707</v>
      </c>
      <c r="B3149" s="7" t="s">
        <v>46</v>
      </c>
      <c r="C3149" s="7" t="s">
        <v>177</v>
      </c>
      <c r="D3149" s="7" t="s">
        <v>91</v>
      </c>
      <c r="E3149" s="7" t="s">
        <v>92</v>
      </c>
      <c r="F3149" s="7" t="s">
        <v>56</v>
      </c>
      <c r="G3149" s="7" t="s">
        <v>20</v>
      </c>
      <c r="H3149" s="9" t="n">
        <v>45988</v>
      </c>
      <c r="I3149" s="9"/>
      <c r="J3149" s="7" t="n">
        <v>8.1</v>
      </c>
      <c r="K3149" s="7" t="s">
        <v>3580</v>
      </c>
      <c r="L3149" s="7" t="s">
        <v>20</v>
      </c>
      <c r="M3149" s="7" t="s">
        <v>3710</v>
      </c>
      <c r="N3149" s="7" t="s">
        <v>53</v>
      </c>
      <c r="O3149" s="10" t="n">
        <f aca="false">'Exec Summary'!$E$2-H3149</f>
        <v>246</v>
      </c>
      <c r="P3149" s="10" t="str">
        <f aca="false">IF(I3149="","",I3149-H3149)</f>
        <v/>
      </c>
      <c r="Q3149" s="10" t="n">
        <f aca="false">VLOOKUP(G3149,$AA$2:$AB$5,2,FALSE())</f>
        <v>30</v>
      </c>
      <c r="R3149" s="7" t="n">
        <f aca="false">IF(OR(F3149="Open",F3149="Reopened"),1,0)</f>
        <v>1</v>
      </c>
      <c r="S3149" s="7" t="n">
        <f aca="false">IF(AND(H3149&gt;='Exec Summary'!$E$1,H3149&lt;='Exec Summary'!$E$2),1,0)</f>
        <v>0</v>
      </c>
      <c r="T3149" s="7" t="n">
        <f aca="false">IF(AND(F3149="Closed",I3149&lt;&gt;"",I3149&gt;='Exec Summary'!$E$1,I3149&lt;='Exec Summary'!$E$2),1,0)</f>
        <v>0</v>
      </c>
      <c r="U3149" s="7" t="n">
        <f aca="false">IF(F3149="Reopened",1,0)</f>
        <v>0</v>
      </c>
      <c r="V3149" s="7" t="n">
        <f aca="false">IF(AND(R3149=1,O3149&gt;Q3149),1,0)</f>
        <v>1</v>
      </c>
      <c r="W3149" s="7" t="n">
        <f aca="false">IF(AND(T3149=1,P3149&lt;&gt;"",P3149&lt;=Q3149),1,0)</f>
        <v>0</v>
      </c>
    </row>
    <row r="3150" customFormat="false" ht="15" hidden="false" customHeight="false" outlineLevel="0" collapsed="false">
      <c r="A3150" s="7" t="s">
        <v>3707</v>
      </c>
      <c r="B3150" s="7" t="s">
        <v>46</v>
      </c>
      <c r="C3150" s="7" t="s">
        <v>177</v>
      </c>
      <c r="D3150" s="7" t="s">
        <v>81</v>
      </c>
      <c r="E3150" s="7" t="s">
        <v>82</v>
      </c>
      <c r="F3150" s="7" t="s">
        <v>50</v>
      </c>
      <c r="G3150" s="7" t="s">
        <v>20</v>
      </c>
      <c r="H3150" s="9" t="n">
        <v>46010</v>
      </c>
      <c r="I3150" s="9" t="n">
        <v>46024</v>
      </c>
      <c r="J3150" s="7" t="n">
        <v>7.8</v>
      </c>
      <c r="K3150" s="7" t="s">
        <v>3580</v>
      </c>
      <c r="L3150" s="7" t="s">
        <v>20</v>
      </c>
      <c r="M3150" s="7" t="s">
        <v>3711</v>
      </c>
      <c r="N3150" s="7" t="s">
        <v>53</v>
      </c>
      <c r="O3150" s="10" t="n">
        <f aca="false">'Exec Summary'!$E$2-H3150</f>
        <v>224</v>
      </c>
      <c r="P3150" s="10" t="n">
        <f aca="false">IF(I3150="","",I3150-H3150)</f>
        <v>14</v>
      </c>
      <c r="Q3150" s="10" t="n">
        <f aca="false">VLOOKUP(G3150,$AA$2:$AB$5,2,FALSE())</f>
        <v>30</v>
      </c>
      <c r="R3150" s="7" t="n">
        <f aca="false">IF(OR(F3150="Open",F3150="Reopened"),1,0)</f>
        <v>0</v>
      </c>
      <c r="S3150" s="7" t="n">
        <f aca="false">IF(AND(H3150&gt;='Exec Summary'!$E$1,H3150&lt;='Exec Summary'!$E$2),1,0)</f>
        <v>0</v>
      </c>
      <c r="T3150" s="7" t="n">
        <f aca="false">IF(AND(F3150="Closed",I3150&lt;&gt;"",I3150&gt;='Exec Summary'!$E$1,I3150&lt;='Exec Summary'!$E$2),1,0)</f>
        <v>0</v>
      </c>
      <c r="U3150" s="7" t="n">
        <f aca="false">IF(F3150="Reopened",1,0)</f>
        <v>0</v>
      </c>
      <c r="V3150" s="7" t="n">
        <f aca="false">IF(AND(R3150=1,O3150&gt;Q3150),1,0)</f>
        <v>0</v>
      </c>
      <c r="W3150" s="7" t="n">
        <f aca="false">IF(AND(T3150=1,P3150&lt;&gt;"",P3150&lt;=Q3150),1,0)</f>
        <v>0</v>
      </c>
    </row>
    <row r="3151" customFormat="false" ht="15" hidden="false" customHeight="false" outlineLevel="0" collapsed="false">
      <c r="A3151" s="7" t="s">
        <v>3707</v>
      </c>
      <c r="B3151" s="7" t="s">
        <v>46</v>
      </c>
      <c r="C3151" s="7" t="s">
        <v>177</v>
      </c>
      <c r="D3151" s="7" t="s">
        <v>62</v>
      </c>
      <c r="E3151" s="7" t="s">
        <v>63</v>
      </c>
      <c r="F3151" s="7" t="s">
        <v>50</v>
      </c>
      <c r="G3151" s="7" t="s">
        <v>20</v>
      </c>
      <c r="H3151" s="9" t="n">
        <v>45974</v>
      </c>
      <c r="I3151" s="9" t="n">
        <v>45989</v>
      </c>
      <c r="J3151" s="7" t="n">
        <v>8.1</v>
      </c>
      <c r="K3151" s="7" t="s">
        <v>3580</v>
      </c>
      <c r="L3151" s="7" t="s">
        <v>20</v>
      </c>
      <c r="M3151" s="7" t="s">
        <v>3712</v>
      </c>
      <c r="N3151" s="7" t="s">
        <v>53</v>
      </c>
      <c r="O3151" s="10" t="n">
        <f aca="false">'Exec Summary'!$E$2-H3151</f>
        <v>260</v>
      </c>
      <c r="P3151" s="10" t="n">
        <f aca="false">IF(I3151="","",I3151-H3151)</f>
        <v>15</v>
      </c>
      <c r="Q3151" s="10" t="n">
        <f aca="false">VLOOKUP(G3151,$AA$2:$AB$5,2,FALSE())</f>
        <v>30</v>
      </c>
      <c r="R3151" s="7" t="n">
        <f aca="false">IF(OR(F3151="Open",F3151="Reopened"),1,0)</f>
        <v>0</v>
      </c>
      <c r="S3151" s="7" t="n">
        <f aca="false">IF(AND(H3151&gt;='Exec Summary'!$E$1,H3151&lt;='Exec Summary'!$E$2),1,0)</f>
        <v>0</v>
      </c>
      <c r="T3151" s="7" t="n">
        <f aca="false">IF(AND(F3151="Closed",I3151&lt;&gt;"",I3151&gt;='Exec Summary'!$E$1,I3151&lt;='Exec Summary'!$E$2),1,0)</f>
        <v>0</v>
      </c>
      <c r="U3151" s="7" t="n">
        <f aca="false">IF(F3151="Reopened",1,0)</f>
        <v>0</v>
      </c>
      <c r="V3151" s="7" t="n">
        <f aca="false">IF(AND(R3151=1,O3151&gt;Q3151),1,0)</f>
        <v>0</v>
      </c>
      <c r="W3151" s="7" t="n">
        <f aca="false">IF(AND(T3151=1,P3151&lt;&gt;"",P3151&lt;=Q3151),1,0)</f>
        <v>0</v>
      </c>
    </row>
    <row r="3152" customFormat="false" ht="15" hidden="false" customHeight="false" outlineLevel="0" collapsed="false">
      <c r="A3152" s="7" t="s">
        <v>3707</v>
      </c>
      <c r="B3152" s="7" t="s">
        <v>46</v>
      </c>
      <c r="C3152" s="7" t="s">
        <v>177</v>
      </c>
      <c r="D3152" s="7" t="s">
        <v>210</v>
      </c>
      <c r="E3152" s="7" t="s">
        <v>211</v>
      </c>
      <c r="F3152" s="7" t="s">
        <v>50</v>
      </c>
      <c r="G3152" s="7" t="s">
        <v>19</v>
      </c>
      <c r="H3152" s="9" t="n">
        <v>46049</v>
      </c>
      <c r="I3152" s="9" t="n">
        <v>46061</v>
      </c>
      <c r="J3152" s="7" t="n">
        <v>9.8</v>
      </c>
      <c r="K3152" s="7" t="s">
        <v>3580</v>
      </c>
      <c r="L3152" s="7" t="s">
        <v>20</v>
      </c>
      <c r="M3152" s="7" t="s">
        <v>3713</v>
      </c>
      <c r="N3152" s="7" t="s">
        <v>58</v>
      </c>
      <c r="O3152" s="10" t="n">
        <f aca="false">'Exec Summary'!$E$2-H3152</f>
        <v>185</v>
      </c>
      <c r="P3152" s="10" t="n">
        <f aca="false">IF(I3152="","",I3152-H3152)</f>
        <v>12</v>
      </c>
      <c r="Q3152" s="10" t="n">
        <f aca="false">VLOOKUP(G3152,$AA$2:$AB$5,2,FALSE())</f>
        <v>15</v>
      </c>
      <c r="R3152" s="7" t="n">
        <f aca="false">IF(OR(F3152="Open",F3152="Reopened"),1,0)</f>
        <v>0</v>
      </c>
      <c r="S3152" s="7" t="n">
        <f aca="false">IF(AND(H3152&gt;='Exec Summary'!$E$1,H3152&lt;='Exec Summary'!$E$2),1,0)</f>
        <v>0</v>
      </c>
      <c r="T3152" s="7" t="n">
        <f aca="false">IF(AND(F3152="Closed",I3152&lt;&gt;"",I3152&gt;='Exec Summary'!$E$1,I3152&lt;='Exec Summary'!$E$2),1,0)</f>
        <v>0</v>
      </c>
      <c r="U3152" s="7" t="n">
        <f aca="false">IF(F3152="Reopened",1,0)</f>
        <v>0</v>
      </c>
      <c r="V3152" s="7" t="n">
        <f aca="false">IF(AND(R3152=1,O3152&gt;Q3152),1,0)</f>
        <v>0</v>
      </c>
      <c r="W3152" s="7" t="n">
        <f aca="false">IF(AND(T3152=1,P3152&lt;&gt;"",P3152&lt;=Q3152),1,0)</f>
        <v>0</v>
      </c>
    </row>
    <row r="3153" customFormat="false" ht="15" hidden="false" customHeight="false" outlineLevel="0" collapsed="false">
      <c r="A3153" s="7" t="s">
        <v>3707</v>
      </c>
      <c r="B3153" s="7" t="s">
        <v>46</v>
      </c>
      <c r="C3153" s="7" t="s">
        <v>177</v>
      </c>
      <c r="D3153" s="7" t="s">
        <v>152</v>
      </c>
      <c r="E3153" s="7" t="s">
        <v>153</v>
      </c>
      <c r="F3153" s="7" t="s">
        <v>50</v>
      </c>
      <c r="G3153" s="7" t="s">
        <v>20</v>
      </c>
      <c r="H3153" s="9" t="n">
        <v>45981</v>
      </c>
      <c r="I3153" s="9" t="n">
        <v>45998</v>
      </c>
      <c r="J3153" s="7" t="n">
        <v>7.5</v>
      </c>
      <c r="K3153" s="7" t="s">
        <v>3580</v>
      </c>
      <c r="L3153" s="7" t="s">
        <v>20</v>
      </c>
      <c r="M3153" s="7" t="s">
        <v>3714</v>
      </c>
      <c r="N3153" s="7" t="s">
        <v>53</v>
      </c>
      <c r="O3153" s="10" t="n">
        <f aca="false">'Exec Summary'!$E$2-H3153</f>
        <v>253</v>
      </c>
      <c r="P3153" s="10" t="n">
        <f aca="false">IF(I3153="","",I3153-H3153)</f>
        <v>17</v>
      </c>
      <c r="Q3153" s="10" t="n">
        <f aca="false">VLOOKUP(G3153,$AA$2:$AB$5,2,FALSE())</f>
        <v>30</v>
      </c>
      <c r="R3153" s="7" t="n">
        <f aca="false">IF(OR(F3153="Open",F3153="Reopened"),1,0)</f>
        <v>0</v>
      </c>
      <c r="S3153" s="7" t="n">
        <f aca="false">IF(AND(H3153&gt;='Exec Summary'!$E$1,H3153&lt;='Exec Summary'!$E$2),1,0)</f>
        <v>0</v>
      </c>
      <c r="T3153" s="7" t="n">
        <f aca="false">IF(AND(F3153="Closed",I3153&lt;&gt;"",I3153&gt;='Exec Summary'!$E$1,I3153&lt;='Exec Summary'!$E$2),1,0)</f>
        <v>0</v>
      </c>
      <c r="U3153" s="7" t="n">
        <f aca="false">IF(F3153="Reopened",1,0)</f>
        <v>0</v>
      </c>
      <c r="V3153" s="7" t="n">
        <f aca="false">IF(AND(R3153=1,O3153&gt;Q3153),1,0)</f>
        <v>0</v>
      </c>
      <c r="W3153" s="7" t="n">
        <f aca="false">IF(AND(T3153=1,P3153&lt;&gt;"",P3153&lt;=Q3153),1,0)</f>
        <v>0</v>
      </c>
    </row>
    <row r="3154" customFormat="false" ht="15" hidden="false" customHeight="false" outlineLevel="0" collapsed="false">
      <c r="A3154" s="7" t="s">
        <v>3707</v>
      </c>
      <c r="B3154" s="7" t="s">
        <v>46</v>
      </c>
      <c r="C3154" s="7" t="s">
        <v>177</v>
      </c>
      <c r="D3154" s="7" t="s">
        <v>108</v>
      </c>
      <c r="E3154" s="7" t="s">
        <v>109</v>
      </c>
      <c r="F3154" s="7" t="s">
        <v>56</v>
      </c>
      <c r="G3154" s="7" t="s">
        <v>20</v>
      </c>
      <c r="H3154" s="9" t="n">
        <v>45962</v>
      </c>
      <c r="I3154" s="9"/>
      <c r="J3154" s="7" t="n">
        <v>8.6</v>
      </c>
      <c r="K3154" s="7" t="s">
        <v>3580</v>
      </c>
      <c r="L3154" s="7" t="s">
        <v>20</v>
      </c>
      <c r="M3154" s="7" t="s">
        <v>3715</v>
      </c>
      <c r="N3154" s="7" t="s">
        <v>53</v>
      </c>
      <c r="O3154" s="10" t="n">
        <f aca="false">'Exec Summary'!$E$2-H3154</f>
        <v>272</v>
      </c>
      <c r="P3154" s="10" t="str">
        <f aca="false">IF(I3154="","",I3154-H3154)</f>
        <v/>
      </c>
      <c r="Q3154" s="10" t="n">
        <f aca="false">VLOOKUP(G3154,$AA$2:$AB$5,2,FALSE())</f>
        <v>30</v>
      </c>
      <c r="R3154" s="7" t="n">
        <f aca="false">IF(OR(F3154="Open",F3154="Reopened"),1,0)</f>
        <v>1</v>
      </c>
      <c r="S3154" s="7" t="n">
        <f aca="false">IF(AND(H3154&gt;='Exec Summary'!$E$1,H3154&lt;='Exec Summary'!$E$2),1,0)</f>
        <v>0</v>
      </c>
      <c r="T3154" s="7" t="n">
        <f aca="false">IF(AND(F3154="Closed",I3154&lt;&gt;"",I3154&gt;='Exec Summary'!$E$1,I3154&lt;='Exec Summary'!$E$2),1,0)</f>
        <v>0</v>
      </c>
      <c r="U3154" s="7" t="n">
        <f aca="false">IF(F3154="Reopened",1,0)</f>
        <v>0</v>
      </c>
      <c r="V3154" s="7" t="n">
        <f aca="false">IF(AND(R3154=1,O3154&gt;Q3154),1,0)</f>
        <v>1</v>
      </c>
      <c r="W3154" s="7" t="n">
        <f aca="false">IF(AND(T3154=1,P3154&lt;&gt;"",P3154&lt;=Q3154),1,0)</f>
        <v>0</v>
      </c>
    </row>
    <row r="3155" customFormat="false" ht="15" hidden="false" customHeight="false" outlineLevel="0" collapsed="false">
      <c r="A3155" s="7" t="s">
        <v>3716</v>
      </c>
      <c r="B3155" s="7" t="s">
        <v>46</v>
      </c>
      <c r="C3155" s="7" t="s">
        <v>177</v>
      </c>
      <c r="D3155" s="7" t="s">
        <v>74</v>
      </c>
      <c r="E3155" s="7" t="s">
        <v>75</v>
      </c>
      <c r="F3155" s="7" t="s">
        <v>56</v>
      </c>
      <c r="G3155" s="7" t="s">
        <v>21</v>
      </c>
      <c r="H3155" s="9" t="n">
        <v>45972</v>
      </c>
      <c r="I3155" s="9"/>
      <c r="J3155" s="7" t="n">
        <v>6.5</v>
      </c>
      <c r="K3155" s="7" t="s">
        <v>3580</v>
      </c>
      <c r="L3155" s="7" t="s">
        <v>20</v>
      </c>
      <c r="M3155" s="7" t="s">
        <v>3717</v>
      </c>
      <c r="N3155" s="7" t="s">
        <v>77</v>
      </c>
      <c r="O3155" s="10" t="n">
        <f aca="false">'Exec Summary'!$E$2-H3155</f>
        <v>262</v>
      </c>
      <c r="P3155" s="10" t="str">
        <f aca="false">IF(I3155="","",I3155-H3155)</f>
        <v/>
      </c>
      <c r="Q3155" s="10" t="n">
        <f aca="false">VLOOKUP(G3155,$AA$2:$AB$5,2,FALSE())</f>
        <v>90</v>
      </c>
      <c r="R3155" s="7" t="n">
        <f aca="false">IF(OR(F3155="Open",F3155="Reopened"),1,0)</f>
        <v>1</v>
      </c>
      <c r="S3155" s="7" t="n">
        <f aca="false">IF(AND(H3155&gt;='Exec Summary'!$E$1,H3155&lt;='Exec Summary'!$E$2),1,0)</f>
        <v>0</v>
      </c>
      <c r="T3155" s="7" t="n">
        <f aca="false">IF(AND(F3155="Closed",I3155&lt;&gt;"",I3155&gt;='Exec Summary'!$E$1,I3155&lt;='Exec Summary'!$E$2),1,0)</f>
        <v>0</v>
      </c>
      <c r="U3155" s="7" t="n">
        <f aca="false">IF(F3155="Reopened",1,0)</f>
        <v>0</v>
      </c>
      <c r="V3155" s="7" t="n">
        <f aca="false">IF(AND(R3155=1,O3155&gt;Q3155),1,0)</f>
        <v>1</v>
      </c>
      <c r="W3155" s="7" t="n">
        <f aca="false">IF(AND(T3155=1,P3155&lt;&gt;"",P3155&lt;=Q3155),1,0)</f>
        <v>0</v>
      </c>
    </row>
    <row r="3156" customFormat="false" ht="15" hidden="false" customHeight="false" outlineLevel="0" collapsed="false">
      <c r="A3156" s="7" t="s">
        <v>3716</v>
      </c>
      <c r="B3156" s="7" t="s">
        <v>46</v>
      </c>
      <c r="C3156" s="7" t="s">
        <v>177</v>
      </c>
      <c r="D3156" s="7" t="s">
        <v>192</v>
      </c>
      <c r="E3156" s="7" t="s">
        <v>193</v>
      </c>
      <c r="F3156" s="7" t="s">
        <v>50</v>
      </c>
      <c r="G3156" s="7" t="s">
        <v>19</v>
      </c>
      <c r="H3156" s="9" t="n">
        <v>46212</v>
      </c>
      <c r="I3156" s="9" t="n">
        <v>46234</v>
      </c>
      <c r="J3156" s="7" t="n">
        <v>9.8</v>
      </c>
      <c r="K3156" s="7" t="s">
        <v>3580</v>
      </c>
      <c r="L3156" s="7" t="s">
        <v>20</v>
      </c>
      <c r="M3156" s="7" t="s">
        <v>3718</v>
      </c>
      <c r="N3156" s="7" t="s">
        <v>58</v>
      </c>
      <c r="O3156" s="10" t="n">
        <f aca="false">'Exec Summary'!$E$2-H3156</f>
        <v>22</v>
      </c>
      <c r="P3156" s="10" t="n">
        <f aca="false">IF(I3156="","",I3156-H3156)</f>
        <v>22</v>
      </c>
      <c r="Q3156" s="10" t="n">
        <f aca="false">VLOOKUP(G3156,$AA$2:$AB$5,2,FALSE())</f>
        <v>15</v>
      </c>
      <c r="R3156" s="7" t="n">
        <f aca="false">IF(OR(F3156="Open",F3156="Reopened"),1,0)</f>
        <v>0</v>
      </c>
      <c r="S3156" s="7" t="n">
        <f aca="false">IF(AND(H3156&gt;='Exec Summary'!$E$1,H3156&lt;='Exec Summary'!$E$2),1,0)</f>
        <v>1</v>
      </c>
      <c r="T3156" s="7" t="n">
        <f aca="false">IF(AND(F3156="Closed",I3156&lt;&gt;"",I3156&gt;='Exec Summary'!$E$1,I3156&lt;='Exec Summary'!$E$2),1,0)</f>
        <v>1</v>
      </c>
      <c r="U3156" s="7" t="n">
        <f aca="false">IF(F3156="Reopened",1,0)</f>
        <v>0</v>
      </c>
      <c r="V3156" s="7" t="n">
        <f aca="false">IF(AND(R3156=1,O3156&gt;Q3156),1,0)</f>
        <v>0</v>
      </c>
      <c r="W3156" s="7" t="n">
        <f aca="false">IF(AND(T3156=1,P3156&lt;&gt;"",P3156&lt;=Q3156),1,0)</f>
        <v>0</v>
      </c>
    </row>
    <row r="3157" customFormat="false" ht="15" hidden="false" customHeight="false" outlineLevel="0" collapsed="false">
      <c r="A3157" s="7" t="s">
        <v>3716</v>
      </c>
      <c r="B3157" s="7" t="s">
        <v>46</v>
      </c>
      <c r="C3157" s="7" t="s">
        <v>177</v>
      </c>
      <c r="D3157" s="7" t="s">
        <v>54</v>
      </c>
      <c r="E3157" s="7" t="s">
        <v>55</v>
      </c>
      <c r="F3157" s="7" t="s">
        <v>56</v>
      </c>
      <c r="G3157" s="7" t="s">
        <v>19</v>
      </c>
      <c r="H3157" s="9" t="n">
        <v>46007</v>
      </c>
      <c r="I3157" s="9"/>
      <c r="J3157" s="7" t="n">
        <v>9.8</v>
      </c>
      <c r="K3157" s="7" t="s">
        <v>3580</v>
      </c>
      <c r="L3157" s="7" t="s">
        <v>20</v>
      </c>
      <c r="M3157" s="7" t="s">
        <v>3719</v>
      </c>
      <c r="N3157" s="7" t="s">
        <v>58</v>
      </c>
      <c r="O3157" s="10" t="n">
        <f aca="false">'Exec Summary'!$E$2-H3157</f>
        <v>227</v>
      </c>
      <c r="P3157" s="10" t="str">
        <f aca="false">IF(I3157="","",I3157-H3157)</f>
        <v/>
      </c>
      <c r="Q3157" s="10" t="n">
        <f aca="false">VLOOKUP(G3157,$AA$2:$AB$5,2,FALSE())</f>
        <v>15</v>
      </c>
      <c r="R3157" s="7" t="n">
        <f aca="false">IF(OR(F3157="Open",F3157="Reopened"),1,0)</f>
        <v>1</v>
      </c>
      <c r="S3157" s="7" t="n">
        <f aca="false">IF(AND(H3157&gt;='Exec Summary'!$E$1,H3157&lt;='Exec Summary'!$E$2),1,0)</f>
        <v>0</v>
      </c>
      <c r="T3157" s="7" t="n">
        <f aca="false">IF(AND(F3157="Closed",I3157&lt;&gt;"",I3157&gt;='Exec Summary'!$E$1,I3157&lt;='Exec Summary'!$E$2),1,0)</f>
        <v>0</v>
      </c>
      <c r="U3157" s="7" t="n">
        <f aca="false">IF(F3157="Reopened",1,0)</f>
        <v>0</v>
      </c>
      <c r="V3157" s="7" t="n">
        <f aca="false">IF(AND(R3157=1,O3157&gt;Q3157),1,0)</f>
        <v>1</v>
      </c>
      <c r="W3157" s="7" t="n">
        <f aca="false">IF(AND(T3157=1,P3157&lt;&gt;"",P3157&lt;=Q3157),1,0)</f>
        <v>0</v>
      </c>
    </row>
    <row r="3158" customFormat="false" ht="15" hidden="false" customHeight="false" outlineLevel="0" collapsed="false">
      <c r="A3158" s="7" t="s">
        <v>3716</v>
      </c>
      <c r="B3158" s="7" t="s">
        <v>46</v>
      </c>
      <c r="C3158" s="7" t="s">
        <v>177</v>
      </c>
      <c r="D3158" s="7" t="s">
        <v>98</v>
      </c>
      <c r="E3158" s="7" t="s">
        <v>99</v>
      </c>
      <c r="F3158" s="7" t="s">
        <v>50</v>
      </c>
      <c r="G3158" s="7" t="s">
        <v>19</v>
      </c>
      <c r="H3158" s="9" t="n">
        <v>45973</v>
      </c>
      <c r="I3158" s="9" t="n">
        <v>45987</v>
      </c>
      <c r="J3158" s="7" t="n">
        <v>10</v>
      </c>
      <c r="K3158" s="7" t="s">
        <v>3580</v>
      </c>
      <c r="L3158" s="7" t="s">
        <v>20</v>
      </c>
      <c r="M3158" s="7" t="s">
        <v>3720</v>
      </c>
      <c r="N3158" s="7" t="s">
        <v>58</v>
      </c>
      <c r="O3158" s="10" t="n">
        <f aca="false">'Exec Summary'!$E$2-H3158</f>
        <v>261</v>
      </c>
      <c r="P3158" s="10" t="n">
        <f aca="false">IF(I3158="","",I3158-H3158)</f>
        <v>14</v>
      </c>
      <c r="Q3158" s="10" t="n">
        <f aca="false">VLOOKUP(G3158,$AA$2:$AB$5,2,FALSE())</f>
        <v>15</v>
      </c>
      <c r="R3158" s="7" t="n">
        <f aca="false">IF(OR(F3158="Open",F3158="Reopened"),1,0)</f>
        <v>0</v>
      </c>
      <c r="S3158" s="7" t="n">
        <f aca="false">IF(AND(H3158&gt;='Exec Summary'!$E$1,H3158&lt;='Exec Summary'!$E$2),1,0)</f>
        <v>0</v>
      </c>
      <c r="T3158" s="7" t="n">
        <f aca="false">IF(AND(F3158="Closed",I3158&lt;&gt;"",I3158&gt;='Exec Summary'!$E$1,I3158&lt;='Exec Summary'!$E$2),1,0)</f>
        <v>0</v>
      </c>
      <c r="U3158" s="7" t="n">
        <f aca="false">IF(F3158="Reopened",1,0)</f>
        <v>0</v>
      </c>
      <c r="V3158" s="7" t="n">
        <f aca="false">IF(AND(R3158=1,O3158&gt;Q3158),1,0)</f>
        <v>0</v>
      </c>
      <c r="W3158" s="7" t="n">
        <f aca="false">IF(AND(T3158=1,P3158&lt;&gt;"",P3158&lt;=Q3158),1,0)</f>
        <v>0</v>
      </c>
    </row>
    <row r="3159" customFormat="false" ht="15" hidden="false" customHeight="false" outlineLevel="0" collapsed="false">
      <c r="A3159" s="7" t="s">
        <v>3716</v>
      </c>
      <c r="B3159" s="7" t="s">
        <v>46</v>
      </c>
      <c r="C3159" s="7" t="s">
        <v>177</v>
      </c>
      <c r="D3159" s="7" t="s">
        <v>173</v>
      </c>
      <c r="E3159" s="7" t="s">
        <v>174</v>
      </c>
      <c r="F3159" s="7" t="s">
        <v>50</v>
      </c>
      <c r="G3159" s="7" t="s">
        <v>19</v>
      </c>
      <c r="H3159" s="9" t="n">
        <v>46210</v>
      </c>
      <c r="I3159" s="9" t="n">
        <v>46221</v>
      </c>
      <c r="J3159" s="7" t="n">
        <v>9.8</v>
      </c>
      <c r="K3159" s="7" t="s">
        <v>3580</v>
      </c>
      <c r="L3159" s="7" t="s">
        <v>20</v>
      </c>
      <c r="M3159" s="7" t="s">
        <v>3721</v>
      </c>
      <c r="N3159" s="7" t="s">
        <v>58</v>
      </c>
      <c r="O3159" s="10" t="n">
        <f aca="false">'Exec Summary'!$E$2-H3159</f>
        <v>24</v>
      </c>
      <c r="P3159" s="10" t="n">
        <f aca="false">IF(I3159="","",I3159-H3159)</f>
        <v>11</v>
      </c>
      <c r="Q3159" s="10" t="n">
        <f aca="false">VLOOKUP(G3159,$AA$2:$AB$5,2,FALSE())</f>
        <v>15</v>
      </c>
      <c r="R3159" s="7" t="n">
        <f aca="false">IF(OR(F3159="Open",F3159="Reopened"),1,0)</f>
        <v>0</v>
      </c>
      <c r="S3159" s="7" t="n">
        <f aca="false">IF(AND(H3159&gt;='Exec Summary'!$E$1,H3159&lt;='Exec Summary'!$E$2),1,0)</f>
        <v>1</v>
      </c>
      <c r="T3159" s="7" t="n">
        <f aca="false">IF(AND(F3159="Closed",I3159&lt;&gt;"",I3159&gt;='Exec Summary'!$E$1,I3159&lt;='Exec Summary'!$E$2),1,0)</f>
        <v>1</v>
      </c>
      <c r="U3159" s="7" t="n">
        <f aca="false">IF(F3159="Reopened",1,0)</f>
        <v>0</v>
      </c>
      <c r="V3159" s="7" t="n">
        <f aca="false">IF(AND(R3159=1,O3159&gt;Q3159),1,0)</f>
        <v>0</v>
      </c>
      <c r="W3159" s="7" t="n">
        <f aca="false">IF(AND(T3159=1,P3159&lt;&gt;"",P3159&lt;=Q3159),1,0)</f>
        <v>1</v>
      </c>
    </row>
    <row r="3160" customFormat="false" ht="15" hidden="false" customHeight="false" outlineLevel="0" collapsed="false">
      <c r="A3160" s="7" t="s">
        <v>3716</v>
      </c>
      <c r="B3160" s="7" t="s">
        <v>46</v>
      </c>
      <c r="C3160" s="7" t="s">
        <v>177</v>
      </c>
      <c r="D3160" s="7" t="s">
        <v>71</v>
      </c>
      <c r="E3160" s="7" t="s">
        <v>72</v>
      </c>
      <c r="F3160" s="7" t="s">
        <v>56</v>
      </c>
      <c r="G3160" s="7" t="s">
        <v>19</v>
      </c>
      <c r="H3160" s="9" t="n">
        <v>46190</v>
      </c>
      <c r="I3160" s="9"/>
      <c r="J3160" s="7" t="n">
        <v>9.8</v>
      </c>
      <c r="K3160" s="7" t="s">
        <v>3580</v>
      </c>
      <c r="L3160" s="7" t="s">
        <v>20</v>
      </c>
      <c r="M3160" s="7" t="s">
        <v>3722</v>
      </c>
      <c r="N3160" s="7" t="s">
        <v>58</v>
      </c>
      <c r="O3160" s="10" t="n">
        <f aca="false">'Exec Summary'!$E$2-H3160</f>
        <v>44</v>
      </c>
      <c r="P3160" s="10" t="str">
        <f aca="false">IF(I3160="","",I3160-H3160)</f>
        <v/>
      </c>
      <c r="Q3160" s="10" t="n">
        <f aca="false">VLOOKUP(G3160,$AA$2:$AB$5,2,FALSE())</f>
        <v>15</v>
      </c>
      <c r="R3160" s="7" t="n">
        <f aca="false">IF(OR(F3160="Open",F3160="Reopened"),1,0)</f>
        <v>1</v>
      </c>
      <c r="S3160" s="7" t="n">
        <f aca="false">IF(AND(H3160&gt;='Exec Summary'!$E$1,H3160&lt;='Exec Summary'!$E$2),1,0)</f>
        <v>0</v>
      </c>
      <c r="T3160" s="7" t="n">
        <f aca="false">IF(AND(F3160="Closed",I3160&lt;&gt;"",I3160&gt;='Exec Summary'!$E$1,I3160&lt;='Exec Summary'!$E$2),1,0)</f>
        <v>0</v>
      </c>
      <c r="U3160" s="7" t="n">
        <f aca="false">IF(F3160="Reopened",1,0)</f>
        <v>0</v>
      </c>
      <c r="V3160" s="7" t="n">
        <f aca="false">IF(AND(R3160=1,O3160&gt;Q3160),1,0)</f>
        <v>1</v>
      </c>
      <c r="W3160" s="7" t="n">
        <f aca="false">IF(AND(T3160=1,P3160&lt;&gt;"",P3160&lt;=Q3160),1,0)</f>
        <v>0</v>
      </c>
    </row>
    <row r="3161" customFormat="false" ht="15" hidden="false" customHeight="false" outlineLevel="0" collapsed="false">
      <c r="A3161" s="7" t="s">
        <v>3716</v>
      </c>
      <c r="B3161" s="7" t="s">
        <v>46</v>
      </c>
      <c r="C3161" s="7" t="s">
        <v>177</v>
      </c>
      <c r="D3161" s="7" t="s">
        <v>139</v>
      </c>
      <c r="E3161" s="7" t="s">
        <v>140</v>
      </c>
      <c r="F3161" s="7" t="s">
        <v>50</v>
      </c>
      <c r="G3161" s="7" t="s">
        <v>19</v>
      </c>
      <c r="H3161" s="9" t="n">
        <v>45961</v>
      </c>
      <c r="I3161" s="9" t="n">
        <v>45968</v>
      </c>
      <c r="J3161" s="7" t="n">
        <v>9.8</v>
      </c>
      <c r="K3161" s="7" t="s">
        <v>3580</v>
      </c>
      <c r="L3161" s="7" t="s">
        <v>20</v>
      </c>
      <c r="M3161" s="7" t="s">
        <v>3723</v>
      </c>
      <c r="N3161" s="7" t="s">
        <v>58</v>
      </c>
      <c r="O3161" s="10" t="n">
        <f aca="false">'Exec Summary'!$E$2-H3161</f>
        <v>273</v>
      </c>
      <c r="P3161" s="10" t="n">
        <f aca="false">IF(I3161="","",I3161-H3161)</f>
        <v>7</v>
      </c>
      <c r="Q3161" s="10" t="n">
        <f aca="false">VLOOKUP(G3161,$AA$2:$AB$5,2,FALSE())</f>
        <v>15</v>
      </c>
      <c r="R3161" s="7" t="n">
        <f aca="false">IF(OR(F3161="Open",F3161="Reopened"),1,0)</f>
        <v>0</v>
      </c>
      <c r="S3161" s="7" t="n">
        <f aca="false">IF(AND(H3161&gt;='Exec Summary'!$E$1,H3161&lt;='Exec Summary'!$E$2),1,0)</f>
        <v>0</v>
      </c>
      <c r="T3161" s="7" t="n">
        <f aca="false">IF(AND(F3161="Closed",I3161&lt;&gt;"",I3161&gt;='Exec Summary'!$E$1,I3161&lt;='Exec Summary'!$E$2),1,0)</f>
        <v>0</v>
      </c>
      <c r="U3161" s="7" t="n">
        <f aca="false">IF(F3161="Reopened",1,0)</f>
        <v>0</v>
      </c>
      <c r="V3161" s="7" t="n">
        <f aca="false">IF(AND(R3161=1,O3161&gt;Q3161),1,0)</f>
        <v>0</v>
      </c>
      <c r="W3161" s="7" t="n">
        <f aca="false">IF(AND(T3161=1,P3161&lt;&gt;"",P3161&lt;=Q3161),1,0)</f>
        <v>0</v>
      </c>
    </row>
    <row r="3162" customFormat="false" ht="15" hidden="false" customHeight="false" outlineLevel="0" collapsed="false">
      <c r="A3162" s="7" t="s">
        <v>3716</v>
      </c>
      <c r="B3162" s="7" t="s">
        <v>46</v>
      </c>
      <c r="C3162" s="7" t="s">
        <v>177</v>
      </c>
      <c r="D3162" s="7" t="s">
        <v>95</v>
      </c>
      <c r="E3162" s="7" t="s">
        <v>96</v>
      </c>
      <c r="F3162" s="7" t="s">
        <v>56</v>
      </c>
      <c r="G3162" s="7" t="s">
        <v>20</v>
      </c>
      <c r="H3162" s="9" t="n">
        <v>46108</v>
      </c>
      <c r="I3162" s="9"/>
      <c r="J3162" s="7" t="n">
        <v>8.8</v>
      </c>
      <c r="K3162" s="7" t="s">
        <v>3580</v>
      </c>
      <c r="L3162" s="7" t="s">
        <v>20</v>
      </c>
      <c r="M3162" s="7" t="s">
        <v>3724</v>
      </c>
      <c r="N3162" s="7" t="s">
        <v>53</v>
      </c>
      <c r="O3162" s="10" t="n">
        <f aca="false">'Exec Summary'!$E$2-H3162</f>
        <v>126</v>
      </c>
      <c r="P3162" s="10" t="str">
        <f aca="false">IF(I3162="","",I3162-H3162)</f>
        <v/>
      </c>
      <c r="Q3162" s="10" t="n">
        <f aca="false">VLOOKUP(G3162,$AA$2:$AB$5,2,FALSE())</f>
        <v>30</v>
      </c>
      <c r="R3162" s="7" t="n">
        <f aca="false">IF(OR(F3162="Open",F3162="Reopened"),1,0)</f>
        <v>1</v>
      </c>
      <c r="S3162" s="7" t="n">
        <f aca="false">IF(AND(H3162&gt;='Exec Summary'!$E$1,H3162&lt;='Exec Summary'!$E$2),1,0)</f>
        <v>0</v>
      </c>
      <c r="T3162" s="7" t="n">
        <f aca="false">IF(AND(F3162="Closed",I3162&lt;&gt;"",I3162&gt;='Exec Summary'!$E$1,I3162&lt;='Exec Summary'!$E$2),1,0)</f>
        <v>0</v>
      </c>
      <c r="U3162" s="7" t="n">
        <f aca="false">IF(F3162="Reopened",1,0)</f>
        <v>0</v>
      </c>
      <c r="V3162" s="7" t="n">
        <f aca="false">IF(AND(R3162=1,O3162&gt;Q3162),1,0)</f>
        <v>1</v>
      </c>
      <c r="W3162" s="7" t="n">
        <f aca="false">IF(AND(T3162=1,P3162&lt;&gt;"",P3162&lt;=Q3162),1,0)</f>
        <v>0</v>
      </c>
    </row>
    <row r="3163" customFormat="false" ht="15" hidden="false" customHeight="false" outlineLevel="0" collapsed="false">
      <c r="A3163" s="7" t="s">
        <v>3716</v>
      </c>
      <c r="B3163" s="7" t="s">
        <v>46</v>
      </c>
      <c r="C3163" s="7" t="s">
        <v>177</v>
      </c>
      <c r="D3163" s="7" t="s">
        <v>210</v>
      </c>
      <c r="E3163" s="7" t="s">
        <v>211</v>
      </c>
      <c r="F3163" s="7" t="s">
        <v>50</v>
      </c>
      <c r="G3163" s="7" t="s">
        <v>19</v>
      </c>
      <c r="H3163" s="9" t="n">
        <v>46101</v>
      </c>
      <c r="I3163" s="9" t="n">
        <v>46109</v>
      </c>
      <c r="J3163" s="7" t="n">
        <v>9.8</v>
      </c>
      <c r="K3163" s="7" t="s">
        <v>3580</v>
      </c>
      <c r="L3163" s="7" t="s">
        <v>20</v>
      </c>
      <c r="M3163" s="7" t="s">
        <v>3725</v>
      </c>
      <c r="N3163" s="7" t="s">
        <v>58</v>
      </c>
      <c r="O3163" s="10" t="n">
        <f aca="false">'Exec Summary'!$E$2-H3163</f>
        <v>133</v>
      </c>
      <c r="P3163" s="10" t="n">
        <f aca="false">IF(I3163="","",I3163-H3163)</f>
        <v>8</v>
      </c>
      <c r="Q3163" s="10" t="n">
        <f aca="false">VLOOKUP(G3163,$AA$2:$AB$5,2,FALSE())</f>
        <v>15</v>
      </c>
      <c r="R3163" s="7" t="n">
        <f aca="false">IF(OR(F3163="Open",F3163="Reopened"),1,0)</f>
        <v>0</v>
      </c>
      <c r="S3163" s="7" t="n">
        <f aca="false">IF(AND(H3163&gt;='Exec Summary'!$E$1,H3163&lt;='Exec Summary'!$E$2),1,0)</f>
        <v>0</v>
      </c>
      <c r="T3163" s="7" t="n">
        <f aca="false">IF(AND(F3163="Closed",I3163&lt;&gt;"",I3163&gt;='Exec Summary'!$E$1,I3163&lt;='Exec Summary'!$E$2),1,0)</f>
        <v>0</v>
      </c>
      <c r="U3163" s="7" t="n">
        <f aca="false">IF(F3163="Reopened",1,0)</f>
        <v>0</v>
      </c>
      <c r="V3163" s="7" t="n">
        <f aca="false">IF(AND(R3163=1,O3163&gt;Q3163),1,0)</f>
        <v>0</v>
      </c>
      <c r="W3163" s="7" t="n">
        <f aca="false">IF(AND(T3163=1,P3163&lt;&gt;"",P3163&lt;=Q3163),1,0)</f>
        <v>0</v>
      </c>
    </row>
    <row r="3164" customFormat="false" ht="15" hidden="false" customHeight="false" outlineLevel="0" collapsed="false">
      <c r="A3164" s="7" t="s">
        <v>3726</v>
      </c>
      <c r="B3164" s="7" t="s">
        <v>46</v>
      </c>
      <c r="C3164" s="7" t="s">
        <v>177</v>
      </c>
      <c r="D3164" s="7" t="s">
        <v>65</v>
      </c>
      <c r="E3164" s="7" t="s">
        <v>66</v>
      </c>
      <c r="F3164" s="7" t="s">
        <v>123</v>
      </c>
      <c r="G3164" s="7" t="s">
        <v>19</v>
      </c>
      <c r="H3164" s="9" t="n">
        <v>46118</v>
      </c>
      <c r="I3164" s="9" t="n">
        <v>46150</v>
      </c>
      <c r="J3164" s="7" t="n">
        <v>9.8</v>
      </c>
      <c r="K3164" s="7" t="s">
        <v>3580</v>
      </c>
      <c r="L3164" s="7" t="s">
        <v>20</v>
      </c>
      <c r="M3164" s="7" t="s">
        <v>3727</v>
      </c>
      <c r="N3164" s="7" t="s">
        <v>58</v>
      </c>
      <c r="O3164" s="10" t="n">
        <f aca="false">'Exec Summary'!$E$2-H3164</f>
        <v>116</v>
      </c>
      <c r="P3164" s="10" t="n">
        <f aca="false">IF(I3164="","",I3164-H3164)</f>
        <v>32</v>
      </c>
      <c r="Q3164" s="10" t="n">
        <f aca="false">VLOOKUP(G3164,$AA$2:$AB$5,2,FALSE())</f>
        <v>15</v>
      </c>
      <c r="R3164" s="7" t="n">
        <f aca="false">IF(OR(F3164="Open",F3164="Reopened"),1,0)</f>
        <v>1</v>
      </c>
      <c r="S3164" s="7" t="n">
        <f aca="false">IF(AND(H3164&gt;='Exec Summary'!$E$1,H3164&lt;='Exec Summary'!$E$2),1,0)</f>
        <v>0</v>
      </c>
      <c r="T3164" s="7" t="n">
        <f aca="false">IF(AND(F3164="Closed",I3164&lt;&gt;"",I3164&gt;='Exec Summary'!$E$1,I3164&lt;='Exec Summary'!$E$2),1,0)</f>
        <v>0</v>
      </c>
      <c r="U3164" s="7" t="n">
        <f aca="false">IF(F3164="Reopened",1,0)</f>
        <v>1</v>
      </c>
      <c r="V3164" s="7" t="n">
        <f aca="false">IF(AND(R3164=1,O3164&gt;Q3164),1,0)</f>
        <v>1</v>
      </c>
      <c r="W3164" s="7" t="n">
        <f aca="false">IF(AND(T3164=1,P3164&lt;&gt;"",P3164&lt;=Q3164),1,0)</f>
        <v>0</v>
      </c>
    </row>
    <row r="3165" customFormat="false" ht="15" hidden="false" customHeight="false" outlineLevel="0" collapsed="false">
      <c r="A3165" s="7" t="s">
        <v>3726</v>
      </c>
      <c r="B3165" s="7" t="s">
        <v>46</v>
      </c>
      <c r="C3165" s="7" t="s">
        <v>177</v>
      </c>
      <c r="D3165" s="7" t="s">
        <v>87</v>
      </c>
      <c r="E3165" s="7" t="s">
        <v>88</v>
      </c>
      <c r="F3165" s="7" t="s">
        <v>50</v>
      </c>
      <c r="G3165" s="7" t="s">
        <v>19</v>
      </c>
      <c r="H3165" s="9" t="n">
        <v>46161</v>
      </c>
      <c r="I3165" s="9" t="n">
        <v>46171</v>
      </c>
      <c r="J3165" s="7" t="n">
        <v>10</v>
      </c>
      <c r="K3165" s="7" t="s">
        <v>3580</v>
      </c>
      <c r="L3165" s="7" t="s">
        <v>20</v>
      </c>
      <c r="M3165" s="7" t="s">
        <v>3728</v>
      </c>
      <c r="N3165" s="7" t="s">
        <v>58</v>
      </c>
      <c r="O3165" s="10" t="n">
        <f aca="false">'Exec Summary'!$E$2-H3165</f>
        <v>73</v>
      </c>
      <c r="P3165" s="10" t="n">
        <f aca="false">IF(I3165="","",I3165-H3165)</f>
        <v>10</v>
      </c>
      <c r="Q3165" s="10" t="n">
        <f aca="false">VLOOKUP(G3165,$AA$2:$AB$5,2,FALSE())</f>
        <v>15</v>
      </c>
      <c r="R3165" s="7" t="n">
        <f aca="false">IF(OR(F3165="Open",F3165="Reopened"),1,0)</f>
        <v>0</v>
      </c>
      <c r="S3165" s="7" t="n">
        <f aca="false">IF(AND(H3165&gt;='Exec Summary'!$E$1,H3165&lt;='Exec Summary'!$E$2),1,0)</f>
        <v>0</v>
      </c>
      <c r="T3165" s="7" t="n">
        <f aca="false">IF(AND(F3165="Closed",I3165&lt;&gt;"",I3165&gt;='Exec Summary'!$E$1,I3165&lt;='Exec Summary'!$E$2),1,0)</f>
        <v>0</v>
      </c>
      <c r="U3165" s="7" t="n">
        <f aca="false">IF(F3165="Reopened",1,0)</f>
        <v>0</v>
      </c>
      <c r="V3165" s="7" t="n">
        <f aca="false">IF(AND(R3165=1,O3165&gt;Q3165),1,0)</f>
        <v>0</v>
      </c>
      <c r="W3165" s="7" t="n">
        <f aca="false">IF(AND(T3165=1,P3165&lt;&gt;"",P3165&lt;=Q3165),1,0)</f>
        <v>0</v>
      </c>
    </row>
    <row r="3166" customFormat="false" ht="15" hidden="false" customHeight="false" outlineLevel="0" collapsed="false">
      <c r="A3166" s="7" t="s">
        <v>3726</v>
      </c>
      <c r="B3166" s="7" t="s">
        <v>46</v>
      </c>
      <c r="C3166" s="7" t="s">
        <v>177</v>
      </c>
      <c r="D3166" s="7" t="s">
        <v>120</v>
      </c>
      <c r="E3166" s="7" t="s">
        <v>121</v>
      </c>
      <c r="F3166" s="7" t="s">
        <v>50</v>
      </c>
      <c r="G3166" s="7" t="s">
        <v>19</v>
      </c>
      <c r="H3166" s="9" t="n">
        <v>46219</v>
      </c>
      <c r="I3166" s="9" t="n">
        <v>46233</v>
      </c>
      <c r="J3166" s="7" t="n">
        <v>8.8</v>
      </c>
      <c r="K3166" s="7" t="s">
        <v>3580</v>
      </c>
      <c r="L3166" s="7" t="s">
        <v>20</v>
      </c>
      <c r="M3166" s="7" t="s">
        <v>3729</v>
      </c>
      <c r="N3166" s="7" t="s">
        <v>58</v>
      </c>
      <c r="O3166" s="10" t="n">
        <f aca="false">'Exec Summary'!$E$2-H3166</f>
        <v>15</v>
      </c>
      <c r="P3166" s="10" t="n">
        <f aca="false">IF(I3166="","",I3166-H3166)</f>
        <v>14</v>
      </c>
      <c r="Q3166" s="10" t="n">
        <f aca="false">VLOOKUP(G3166,$AA$2:$AB$5,2,FALSE())</f>
        <v>15</v>
      </c>
      <c r="R3166" s="7" t="n">
        <f aca="false">IF(OR(F3166="Open",F3166="Reopened"),1,0)</f>
        <v>0</v>
      </c>
      <c r="S3166" s="7" t="n">
        <f aca="false">IF(AND(H3166&gt;='Exec Summary'!$E$1,H3166&lt;='Exec Summary'!$E$2),1,0)</f>
        <v>1</v>
      </c>
      <c r="T3166" s="7" t="n">
        <f aca="false">IF(AND(F3166="Closed",I3166&lt;&gt;"",I3166&gt;='Exec Summary'!$E$1,I3166&lt;='Exec Summary'!$E$2),1,0)</f>
        <v>1</v>
      </c>
      <c r="U3166" s="7" t="n">
        <f aca="false">IF(F3166="Reopened",1,0)</f>
        <v>0</v>
      </c>
      <c r="V3166" s="7" t="n">
        <f aca="false">IF(AND(R3166=1,O3166&gt;Q3166),1,0)</f>
        <v>0</v>
      </c>
      <c r="W3166" s="7" t="n">
        <f aca="false">IF(AND(T3166=1,P3166&lt;&gt;"",P3166&lt;=Q3166),1,0)</f>
        <v>1</v>
      </c>
    </row>
    <row r="3167" customFormat="false" ht="15" hidden="false" customHeight="false" outlineLevel="0" collapsed="false">
      <c r="A3167" s="7" t="s">
        <v>3726</v>
      </c>
      <c r="B3167" s="7" t="s">
        <v>46</v>
      </c>
      <c r="C3167" s="7" t="s">
        <v>177</v>
      </c>
      <c r="D3167" s="7" t="s">
        <v>54</v>
      </c>
      <c r="E3167" s="7" t="s">
        <v>55</v>
      </c>
      <c r="F3167" s="7" t="s">
        <v>50</v>
      </c>
      <c r="G3167" s="7" t="s">
        <v>19</v>
      </c>
      <c r="H3167" s="9" t="n">
        <v>45979</v>
      </c>
      <c r="I3167" s="9" t="n">
        <v>45997</v>
      </c>
      <c r="J3167" s="7" t="n">
        <v>9.8</v>
      </c>
      <c r="K3167" s="7" t="s">
        <v>3580</v>
      </c>
      <c r="L3167" s="7" t="s">
        <v>20</v>
      </c>
      <c r="M3167" s="7" t="s">
        <v>3730</v>
      </c>
      <c r="N3167" s="7" t="s">
        <v>58</v>
      </c>
      <c r="O3167" s="10" t="n">
        <f aca="false">'Exec Summary'!$E$2-H3167</f>
        <v>255</v>
      </c>
      <c r="P3167" s="10" t="n">
        <f aca="false">IF(I3167="","",I3167-H3167)</f>
        <v>18</v>
      </c>
      <c r="Q3167" s="10" t="n">
        <f aca="false">VLOOKUP(G3167,$AA$2:$AB$5,2,FALSE())</f>
        <v>15</v>
      </c>
      <c r="R3167" s="7" t="n">
        <f aca="false">IF(OR(F3167="Open",F3167="Reopened"),1,0)</f>
        <v>0</v>
      </c>
      <c r="S3167" s="7" t="n">
        <f aca="false">IF(AND(H3167&gt;='Exec Summary'!$E$1,H3167&lt;='Exec Summary'!$E$2),1,0)</f>
        <v>0</v>
      </c>
      <c r="T3167" s="7" t="n">
        <f aca="false">IF(AND(F3167="Closed",I3167&lt;&gt;"",I3167&gt;='Exec Summary'!$E$1,I3167&lt;='Exec Summary'!$E$2),1,0)</f>
        <v>0</v>
      </c>
      <c r="U3167" s="7" t="n">
        <f aca="false">IF(F3167="Reopened",1,0)</f>
        <v>0</v>
      </c>
      <c r="V3167" s="7" t="n">
        <f aca="false">IF(AND(R3167=1,O3167&gt;Q3167),1,0)</f>
        <v>0</v>
      </c>
      <c r="W3167" s="7" t="n">
        <f aca="false">IF(AND(T3167=1,P3167&lt;&gt;"",P3167&lt;=Q3167),1,0)</f>
        <v>0</v>
      </c>
    </row>
    <row r="3168" customFormat="false" ht="15" hidden="false" customHeight="false" outlineLevel="0" collapsed="false">
      <c r="A3168" s="7" t="s">
        <v>3726</v>
      </c>
      <c r="B3168" s="7" t="s">
        <v>46</v>
      </c>
      <c r="C3168" s="7" t="s">
        <v>177</v>
      </c>
      <c r="D3168" s="7" t="s">
        <v>173</v>
      </c>
      <c r="E3168" s="7" t="s">
        <v>174</v>
      </c>
      <c r="F3168" s="7" t="s">
        <v>50</v>
      </c>
      <c r="G3168" s="7" t="s">
        <v>19</v>
      </c>
      <c r="H3168" s="9" t="n">
        <v>45940</v>
      </c>
      <c r="I3168" s="9" t="n">
        <v>45956</v>
      </c>
      <c r="J3168" s="7" t="n">
        <v>9.8</v>
      </c>
      <c r="K3168" s="7" t="s">
        <v>3580</v>
      </c>
      <c r="L3168" s="7" t="s">
        <v>20</v>
      </c>
      <c r="M3168" s="7" t="s">
        <v>3731</v>
      </c>
      <c r="N3168" s="7" t="s">
        <v>58</v>
      </c>
      <c r="O3168" s="10" t="n">
        <f aca="false">'Exec Summary'!$E$2-H3168</f>
        <v>294</v>
      </c>
      <c r="P3168" s="10" t="n">
        <f aca="false">IF(I3168="","",I3168-H3168)</f>
        <v>16</v>
      </c>
      <c r="Q3168" s="10" t="n">
        <f aca="false">VLOOKUP(G3168,$AA$2:$AB$5,2,FALSE())</f>
        <v>15</v>
      </c>
      <c r="R3168" s="7" t="n">
        <f aca="false">IF(OR(F3168="Open",F3168="Reopened"),1,0)</f>
        <v>0</v>
      </c>
      <c r="S3168" s="7" t="n">
        <f aca="false">IF(AND(H3168&gt;='Exec Summary'!$E$1,H3168&lt;='Exec Summary'!$E$2),1,0)</f>
        <v>0</v>
      </c>
      <c r="T3168" s="7" t="n">
        <f aca="false">IF(AND(F3168="Closed",I3168&lt;&gt;"",I3168&gt;='Exec Summary'!$E$1,I3168&lt;='Exec Summary'!$E$2),1,0)</f>
        <v>0</v>
      </c>
      <c r="U3168" s="7" t="n">
        <f aca="false">IF(F3168="Reopened",1,0)</f>
        <v>0</v>
      </c>
      <c r="V3168" s="7" t="n">
        <f aca="false">IF(AND(R3168=1,O3168&gt;Q3168),1,0)</f>
        <v>0</v>
      </c>
      <c r="W3168" s="7" t="n">
        <f aca="false">IF(AND(T3168=1,P3168&lt;&gt;"",P3168&lt;=Q3168),1,0)</f>
        <v>0</v>
      </c>
    </row>
    <row r="3169" customFormat="false" ht="15" hidden="false" customHeight="false" outlineLevel="0" collapsed="false">
      <c r="A3169" s="7" t="s">
        <v>3726</v>
      </c>
      <c r="B3169" s="7" t="s">
        <v>46</v>
      </c>
      <c r="C3169" s="7" t="s">
        <v>177</v>
      </c>
      <c r="D3169" s="7" t="s">
        <v>84</v>
      </c>
      <c r="E3169" s="7" t="s">
        <v>85</v>
      </c>
      <c r="F3169" s="7" t="s">
        <v>56</v>
      </c>
      <c r="G3169" s="7" t="s">
        <v>20</v>
      </c>
      <c r="H3169" s="9" t="n">
        <v>46220</v>
      </c>
      <c r="I3169" s="9"/>
      <c r="J3169" s="7" t="n">
        <v>7.5</v>
      </c>
      <c r="K3169" s="7" t="s">
        <v>3580</v>
      </c>
      <c r="L3169" s="7" t="s">
        <v>20</v>
      </c>
      <c r="M3169" s="7" t="s">
        <v>3732</v>
      </c>
      <c r="N3169" s="7" t="s">
        <v>53</v>
      </c>
      <c r="O3169" s="10" t="n">
        <f aca="false">'Exec Summary'!$E$2-H3169</f>
        <v>14</v>
      </c>
      <c r="P3169" s="10" t="str">
        <f aca="false">IF(I3169="","",I3169-H3169)</f>
        <v/>
      </c>
      <c r="Q3169" s="10" t="n">
        <f aca="false">VLOOKUP(G3169,$AA$2:$AB$5,2,FALSE())</f>
        <v>30</v>
      </c>
      <c r="R3169" s="7" t="n">
        <f aca="false">IF(OR(F3169="Open",F3169="Reopened"),1,0)</f>
        <v>1</v>
      </c>
      <c r="S3169" s="7" t="n">
        <f aca="false">IF(AND(H3169&gt;='Exec Summary'!$E$1,H3169&lt;='Exec Summary'!$E$2),1,0)</f>
        <v>1</v>
      </c>
      <c r="T3169" s="7" t="n">
        <f aca="false">IF(AND(F3169="Closed",I3169&lt;&gt;"",I3169&gt;='Exec Summary'!$E$1,I3169&lt;='Exec Summary'!$E$2),1,0)</f>
        <v>0</v>
      </c>
      <c r="U3169" s="7" t="n">
        <f aca="false">IF(F3169="Reopened",1,0)</f>
        <v>0</v>
      </c>
      <c r="V3169" s="7" t="n">
        <f aca="false">IF(AND(R3169=1,O3169&gt;Q3169),1,0)</f>
        <v>0</v>
      </c>
      <c r="W3169" s="7" t="n">
        <f aca="false">IF(AND(T3169=1,P3169&lt;&gt;"",P3169&lt;=Q3169),1,0)</f>
        <v>0</v>
      </c>
    </row>
    <row r="3170" customFormat="false" ht="15" hidden="false" customHeight="false" outlineLevel="0" collapsed="false">
      <c r="A3170" s="7" t="s">
        <v>3726</v>
      </c>
      <c r="B3170" s="7" t="s">
        <v>46</v>
      </c>
      <c r="C3170" s="7" t="s">
        <v>177</v>
      </c>
      <c r="D3170" s="7" t="s">
        <v>152</v>
      </c>
      <c r="E3170" s="7" t="s">
        <v>153</v>
      </c>
      <c r="F3170" s="7" t="s">
        <v>50</v>
      </c>
      <c r="G3170" s="7" t="s">
        <v>20</v>
      </c>
      <c r="H3170" s="9" t="n">
        <v>46200</v>
      </c>
      <c r="I3170" s="9" t="n">
        <v>46217</v>
      </c>
      <c r="J3170" s="7" t="n">
        <v>7.5</v>
      </c>
      <c r="K3170" s="7" t="s">
        <v>3580</v>
      </c>
      <c r="L3170" s="7" t="s">
        <v>20</v>
      </c>
      <c r="M3170" s="7" t="s">
        <v>3733</v>
      </c>
      <c r="N3170" s="7" t="s">
        <v>53</v>
      </c>
      <c r="O3170" s="10" t="n">
        <f aca="false">'Exec Summary'!$E$2-H3170</f>
        <v>34</v>
      </c>
      <c r="P3170" s="10" t="n">
        <f aca="false">IF(I3170="","",I3170-H3170)</f>
        <v>17</v>
      </c>
      <c r="Q3170" s="10" t="n">
        <f aca="false">VLOOKUP(G3170,$AA$2:$AB$5,2,FALSE())</f>
        <v>30</v>
      </c>
      <c r="R3170" s="7" t="n">
        <f aca="false">IF(OR(F3170="Open",F3170="Reopened"),1,0)</f>
        <v>0</v>
      </c>
      <c r="S3170" s="7" t="n">
        <f aca="false">IF(AND(H3170&gt;='Exec Summary'!$E$1,H3170&lt;='Exec Summary'!$E$2),1,0)</f>
        <v>0</v>
      </c>
      <c r="T3170" s="7" t="n">
        <f aca="false">IF(AND(F3170="Closed",I3170&lt;&gt;"",I3170&gt;='Exec Summary'!$E$1,I3170&lt;='Exec Summary'!$E$2),1,0)</f>
        <v>1</v>
      </c>
      <c r="U3170" s="7" t="n">
        <f aca="false">IF(F3170="Reopened",1,0)</f>
        <v>0</v>
      </c>
      <c r="V3170" s="7" t="n">
        <f aca="false">IF(AND(R3170=1,O3170&gt;Q3170),1,0)</f>
        <v>0</v>
      </c>
      <c r="W3170" s="7" t="n">
        <f aca="false">IF(AND(T3170=1,P3170&lt;&gt;"",P3170&lt;=Q3170),1,0)</f>
        <v>1</v>
      </c>
    </row>
    <row r="3171" customFormat="false" ht="15" hidden="false" customHeight="false" outlineLevel="0" collapsed="false">
      <c r="A3171" s="7" t="s">
        <v>3726</v>
      </c>
      <c r="B3171" s="7" t="s">
        <v>46</v>
      </c>
      <c r="C3171" s="7" t="s">
        <v>177</v>
      </c>
      <c r="D3171" s="7" t="s">
        <v>95</v>
      </c>
      <c r="E3171" s="7" t="s">
        <v>96</v>
      </c>
      <c r="F3171" s="7" t="s">
        <v>50</v>
      </c>
      <c r="G3171" s="7" t="s">
        <v>20</v>
      </c>
      <c r="H3171" s="9" t="n">
        <v>46008</v>
      </c>
      <c r="I3171" s="9" t="n">
        <v>46035</v>
      </c>
      <c r="J3171" s="7" t="n">
        <v>8.8</v>
      </c>
      <c r="K3171" s="7" t="s">
        <v>3580</v>
      </c>
      <c r="L3171" s="7" t="s">
        <v>20</v>
      </c>
      <c r="M3171" s="7" t="s">
        <v>3734</v>
      </c>
      <c r="N3171" s="7" t="s">
        <v>53</v>
      </c>
      <c r="O3171" s="10" t="n">
        <f aca="false">'Exec Summary'!$E$2-H3171</f>
        <v>226</v>
      </c>
      <c r="P3171" s="10" t="n">
        <f aca="false">IF(I3171="","",I3171-H3171)</f>
        <v>27</v>
      </c>
      <c r="Q3171" s="10" t="n">
        <f aca="false">VLOOKUP(G3171,$AA$2:$AB$5,2,FALSE())</f>
        <v>30</v>
      </c>
      <c r="R3171" s="7" t="n">
        <f aca="false">IF(OR(F3171="Open",F3171="Reopened"),1,0)</f>
        <v>0</v>
      </c>
      <c r="S3171" s="7" t="n">
        <f aca="false">IF(AND(H3171&gt;='Exec Summary'!$E$1,H3171&lt;='Exec Summary'!$E$2),1,0)</f>
        <v>0</v>
      </c>
      <c r="T3171" s="7" t="n">
        <f aca="false">IF(AND(F3171="Closed",I3171&lt;&gt;"",I3171&gt;='Exec Summary'!$E$1,I3171&lt;='Exec Summary'!$E$2),1,0)</f>
        <v>0</v>
      </c>
      <c r="U3171" s="7" t="n">
        <f aca="false">IF(F3171="Reopened",1,0)</f>
        <v>0</v>
      </c>
      <c r="V3171" s="7" t="n">
        <f aca="false">IF(AND(R3171=1,O3171&gt;Q3171),1,0)</f>
        <v>0</v>
      </c>
      <c r="W3171" s="7" t="n">
        <f aca="false">IF(AND(T3171=1,P3171&lt;&gt;"",P3171&lt;=Q3171),1,0)</f>
        <v>0</v>
      </c>
    </row>
    <row r="3172" customFormat="false" ht="15" hidden="false" customHeight="false" outlineLevel="0" collapsed="false">
      <c r="A3172" s="7" t="s">
        <v>3726</v>
      </c>
      <c r="B3172" s="7" t="s">
        <v>46</v>
      </c>
      <c r="C3172" s="7" t="s">
        <v>177</v>
      </c>
      <c r="D3172" s="7" t="s">
        <v>68</v>
      </c>
      <c r="E3172" s="7" t="s">
        <v>69</v>
      </c>
      <c r="F3172" s="7" t="s">
        <v>50</v>
      </c>
      <c r="G3172" s="7" t="s">
        <v>19</v>
      </c>
      <c r="H3172" s="9" t="n">
        <v>46087</v>
      </c>
      <c r="I3172" s="9" t="n">
        <v>46102</v>
      </c>
      <c r="J3172" s="7" t="n">
        <v>9.8</v>
      </c>
      <c r="K3172" s="7" t="s">
        <v>3580</v>
      </c>
      <c r="L3172" s="7" t="s">
        <v>20</v>
      </c>
      <c r="M3172" s="7" t="s">
        <v>3735</v>
      </c>
      <c r="N3172" s="7" t="s">
        <v>58</v>
      </c>
      <c r="O3172" s="10" t="n">
        <f aca="false">'Exec Summary'!$E$2-H3172</f>
        <v>147</v>
      </c>
      <c r="P3172" s="10" t="n">
        <f aca="false">IF(I3172="","",I3172-H3172)</f>
        <v>15</v>
      </c>
      <c r="Q3172" s="10" t="n">
        <f aca="false">VLOOKUP(G3172,$AA$2:$AB$5,2,FALSE())</f>
        <v>15</v>
      </c>
      <c r="R3172" s="7" t="n">
        <f aca="false">IF(OR(F3172="Open",F3172="Reopened"),1,0)</f>
        <v>0</v>
      </c>
      <c r="S3172" s="7" t="n">
        <f aca="false">IF(AND(H3172&gt;='Exec Summary'!$E$1,H3172&lt;='Exec Summary'!$E$2),1,0)</f>
        <v>0</v>
      </c>
      <c r="T3172" s="7" t="n">
        <f aca="false">IF(AND(F3172="Closed",I3172&lt;&gt;"",I3172&gt;='Exec Summary'!$E$1,I3172&lt;='Exec Summary'!$E$2),1,0)</f>
        <v>0</v>
      </c>
      <c r="U3172" s="7" t="n">
        <f aca="false">IF(F3172="Reopened",1,0)</f>
        <v>0</v>
      </c>
      <c r="V3172" s="7" t="n">
        <f aca="false">IF(AND(R3172=1,O3172&gt;Q3172),1,0)</f>
        <v>0</v>
      </c>
      <c r="W3172" s="7" t="n">
        <f aca="false">IF(AND(T3172=1,P3172&lt;&gt;"",P3172&lt;=Q3172),1,0)</f>
        <v>0</v>
      </c>
    </row>
    <row r="3173" customFormat="false" ht="15" hidden="false" customHeight="false" outlineLevel="0" collapsed="false">
      <c r="A3173" s="7" t="s">
        <v>3726</v>
      </c>
      <c r="B3173" s="7" t="s">
        <v>46</v>
      </c>
      <c r="C3173" s="7" t="s">
        <v>177</v>
      </c>
      <c r="D3173" s="7" t="s">
        <v>145</v>
      </c>
      <c r="E3173" s="7" t="s">
        <v>146</v>
      </c>
      <c r="F3173" s="7" t="s">
        <v>50</v>
      </c>
      <c r="G3173" s="7" t="s">
        <v>19</v>
      </c>
      <c r="H3173" s="9" t="n">
        <v>46034</v>
      </c>
      <c r="I3173" s="9" t="n">
        <v>46047</v>
      </c>
      <c r="J3173" s="7" t="n">
        <v>9.8</v>
      </c>
      <c r="K3173" s="7" t="s">
        <v>3580</v>
      </c>
      <c r="L3173" s="7" t="s">
        <v>20</v>
      </c>
      <c r="M3173" s="7" t="s">
        <v>3736</v>
      </c>
      <c r="N3173" s="7" t="s">
        <v>58</v>
      </c>
      <c r="O3173" s="10" t="n">
        <f aca="false">'Exec Summary'!$E$2-H3173</f>
        <v>200</v>
      </c>
      <c r="P3173" s="10" t="n">
        <f aca="false">IF(I3173="","",I3173-H3173)</f>
        <v>13</v>
      </c>
      <c r="Q3173" s="10" t="n">
        <f aca="false">VLOOKUP(G3173,$AA$2:$AB$5,2,FALSE())</f>
        <v>15</v>
      </c>
      <c r="R3173" s="7" t="n">
        <f aca="false">IF(OR(F3173="Open",F3173="Reopened"),1,0)</f>
        <v>0</v>
      </c>
      <c r="S3173" s="7" t="n">
        <f aca="false">IF(AND(H3173&gt;='Exec Summary'!$E$1,H3173&lt;='Exec Summary'!$E$2),1,0)</f>
        <v>0</v>
      </c>
      <c r="T3173" s="7" t="n">
        <f aca="false">IF(AND(F3173="Closed",I3173&lt;&gt;"",I3173&gt;='Exec Summary'!$E$1,I3173&lt;='Exec Summary'!$E$2),1,0)</f>
        <v>0</v>
      </c>
      <c r="U3173" s="7" t="n">
        <f aca="false">IF(F3173="Reopened",1,0)</f>
        <v>0</v>
      </c>
      <c r="V3173" s="7" t="n">
        <f aca="false">IF(AND(R3173=1,O3173&gt;Q3173),1,0)</f>
        <v>0</v>
      </c>
      <c r="W3173" s="7" t="n">
        <f aca="false">IF(AND(T3173=1,P3173&lt;&gt;"",P3173&lt;=Q3173),1,0)</f>
        <v>0</v>
      </c>
    </row>
    <row r="3174" customFormat="false" ht="15" hidden="false" customHeight="false" outlineLevel="0" collapsed="false">
      <c r="A3174" s="7" t="s">
        <v>3726</v>
      </c>
      <c r="B3174" s="7" t="s">
        <v>46</v>
      </c>
      <c r="C3174" s="7" t="s">
        <v>177</v>
      </c>
      <c r="D3174" s="7" t="s">
        <v>117</v>
      </c>
      <c r="E3174" s="7" t="s">
        <v>118</v>
      </c>
      <c r="F3174" s="7" t="s">
        <v>50</v>
      </c>
      <c r="G3174" s="7" t="s">
        <v>19</v>
      </c>
      <c r="H3174" s="9" t="n">
        <v>46136</v>
      </c>
      <c r="I3174" s="9" t="n">
        <v>46138</v>
      </c>
      <c r="J3174" s="7" t="n">
        <v>10</v>
      </c>
      <c r="K3174" s="7" t="s">
        <v>3580</v>
      </c>
      <c r="L3174" s="7" t="s">
        <v>20</v>
      </c>
      <c r="M3174" s="7" t="s">
        <v>3737</v>
      </c>
      <c r="N3174" s="7" t="s">
        <v>58</v>
      </c>
      <c r="O3174" s="10" t="n">
        <f aca="false">'Exec Summary'!$E$2-H3174</f>
        <v>98</v>
      </c>
      <c r="P3174" s="10" t="n">
        <f aca="false">IF(I3174="","",I3174-H3174)</f>
        <v>2</v>
      </c>
      <c r="Q3174" s="10" t="n">
        <f aca="false">VLOOKUP(G3174,$AA$2:$AB$5,2,FALSE())</f>
        <v>15</v>
      </c>
      <c r="R3174" s="7" t="n">
        <f aca="false">IF(OR(F3174="Open",F3174="Reopened"),1,0)</f>
        <v>0</v>
      </c>
      <c r="S3174" s="7" t="n">
        <f aca="false">IF(AND(H3174&gt;='Exec Summary'!$E$1,H3174&lt;='Exec Summary'!$E$2),1,0)</f>
        <v>0</v>
      </c>
      <c r="T3174" s="7" t="n">
        <f aca="false">IF(AND(F3174="Closed",I3174&lt;&gt;"",I3174&gt;='Exec Summary'!$E$1,I3174&lt;='Exec Summary'!$E$2),1,0)</f>
        <v>0</v>
      </c>
      <c r="U3174" s="7" t="n">
        <f aca="false">IF(F3174="Reopened",1,0)</f>
        <v>0</v>
      </c>
      <c r="V3174" s="7" t="n">
        <f aca="false">IF(AND(R3174=1,O3174&gt;Q3174),1,0)</f>
        <v>0</v>
      </c>
      <c r="W3174" s="7" t="n">
        <f aca="false">IF(AND(T3174=1,P3174&lt;&gt;"",P3174&lt;=Q3174),1,0)</f>
        <v>0</v>
      </c>
    </row>
    <row r="3175" customFormat="false" ht="15" hidden="false" customHeight="false" outlineLevel="0" collapsed="false">
      <c r="A3175" s="7" t="s">
        <v>3726</v>
      </c>
      <c r="B3175" s="7" t="s">
        <v>46</v>
      </c>
      <c r="C3175" s="7" t="s">
        <v>177</v>
      </c>
      <c r="D3175" s="7" t="s">
        <v>104</v>
      </c>
      <c r="E3175" s="7" t="s">
        <v>105</v>
      </c>
      <c r="F3175" s="7" t="s">
        <v>56</v>
      </c>
      <c r="G3175" s="7" t="s">
        <v>19</v>
      </c>
      <c r="H3175" s="9" t="n">
        <v>46154</v>
      </c>
      <c r="I3175" s="9"/>
      <c r="J3175" s="7" t="n">
        <v>9.8</v>
      </c>
      <c r="K3175" s="7" t="s">
        <v>3580</v>
      </c>
      <c r="L3175" s="7" t="s">
        <v>20</v>
      </c>
      <c r="M3175" s="7" t="s">
        <v>3738</v>
      </c>
      <c r="N3175" s="7" t="s">
        <v>58</v>
      </c>
      <c r="O3175" s="10" t="n">
        <f aca="false">'Exec Summary'!$E$2-H3175</f>
        <v>80</v>
      </c>
      <c r="P3175" s="10" t="str">
        <f aca="false">IF(I3175="","",I3175-H3175)</f>
        <v/>
      </c>
      <c r="Q3175" s="10" t="n">
        <f aca="false">VLOOKUP(G3175,$AA$2:$AB$5,2,FALSE())</f>
        <v>15</v>
      </c>
      <c r="R3175" s="7" t="n">
        <f aca="false">IF(OR(F3175="Open",F3175="Reopened"),1,0)</f>
        <v>1</v>
      </c>
      <c r="S3175" s="7" t="n">
        <f aca="false">IF(AND(H3175&gt;='Exec Summary'!$E$1,H3175&lt;='Exec Summary'!$E$2),1,0)</f>
        <v>0</v>
      </c>
      <c r="T3175" s="7" t="n">
        <f aca="false">IF(AND(F3175="Closed",I3175&lt;&gt;"",I3175&gt;='Exec Summary'!$E$1,I3175&lt;='Exec Summary'!$E$2),1,0)</f>
        <v>0</v>
      </c>
      <c r="U3175" s="7" t="n">
        <f aca="false">IF(F3175="Reopened",1,0)</f>
        <v>0</v>
      </c>
      <c r="V3175" s="7" t="n">
        <f aca="false">IF(AND(R3175=1,O3175&gt;Q3175),1,0)</f>
        <v>1</v>
      </c>
      <c r="W3175" s="7" t="n">
        <f aca="false">IF(AND(T3175=1,P3175&lt;&gt;"",P3175&lt;=Q3175),1,0)</f>
        <v>0</v>
      </c>
    </row>
    <row r="3176" customFormat="false" ht="15" hidden="false" customHeight="false" outlineLevel="0" collapsed="false">
      <c r="A3176" s="7" t="s">
        <v>3726</v>
      </c>
      <c r="B3176" s="7" t="s">
        <v>46</v>
      </c>
      <c r="C3176" s="7" t="s">
        <v>177</v>
      </c>
      <c r="D3176" s="7" t="s">
        <v>163</v>
      </c>
      <c r="E3176" s="7" t="s">
        <v>164</v>
      </c>
      <c r="F3176" s="7" t="s">
        <v>50</v>
      </c>
      <c r="G3176" s="7" t="s">
        <v>19</v>
      </c>
      <c r="H3176" s="9" t="n">
        <v>46087</v>
      </c>
      <c r="I3176" s="9" t="n">
        <v>46089</v>
      </c>
      <c r="J3176" s="7" t="n">
        <v>9.1</v>
      </c>
      <c r="K3176" s="7" t="s">
        <v>3580</v>
      </c>
      <c r="L3176" s="7" t="s">
        <v>20</v>
      </c>
      <c r="M3176" s="7" t="s">
        <v>3739</v>
      </c>
      <c r="N3176" s="7" t="s">
        <v>58</v>
      </c>
      <c r="O3176" s="10" t="n">
        <f aca="false">'Exec Summary'!$E$2-H3176</f>
        <v>147</v>
      </c>
      <c r="P3176" s="10" t="n">
        <f aca="false">IF(I3176="","",I3176-H3176)</f>
        <v>2</v>
      </c>
      <c r="Q3176" s="10" t="n">
        <f aca="false">VLOOKUP(G3176,$AA$2:$AB$5,2,FALSE())</f>
        <v>15</v>
      </c>
      <c r="R3176" s="7" t="n">
        <f aca="false">IF(OR(F3176="Open",F3176="Reopened"),1,0)</f>
        <v>0</v>
      </c>
      <c r="S3176" s="7" t="n">
        <f aca="false">IF(AND(H3176&gt;='Exec Summary'!$E$1,H3176&lt;='Exec Summary'!$E$2),1,0)</f>
        <v>0</v>
      </c>
      <c r="T3176" s="7" t="n">
        <f aca="false">IF(AND(F3176="Closed",I3176&lt;&gt;"",I3176&gt;='Exec Summary'!$E$1,I3176&lt;='Exec Summary'!$E$2),1,0)</f>
        <v>0</v>
      </c>
      <c r="U3176" s="7" t="n">
        <f aca="false">IF(F3176="Reopened",1,0)</f>
        <v>0</v>
      </c>
      <c r="V3176" s="7" t="n">
        <f aca="false">IF(AND(R3176=1,O3176&gt;Q3176),1,0)</f>
        <v>0</v>
      </c>
      <c r="W3176" s="7" t="n">
        <f aca="false">IF(AND(T3176=1,P3176&lt;&gt;"",P3176&lt;=Q3176),1,0)</f>
        <v>0</v>
      </c>
    </row>
    <row r="3177" customFormat="false" ht="15" hidden="false" customHeight="false" outlineLevel="0" collapsed="false">
      <c r="A3177" s="7" t="s">
        <v>3740</v>
      </c>
      <c r="B3177" s="7" t="s">
        <v>46</v>
      </c>
      <c r="C3177" s="7" t="s">
        <v>128</v>
      </c>
      <c r="D3177" s="7" t="s">
        <v>120</v>
      </c>
      <c r="E3177" s="7" t="s">
        <v>121</v>
      </c>
      <c r="F3177" s="7" t="s">
        <v>50</v>
      </c>
      <c r="G3177" s="7" t="s">
        <v>19</v>
      </c>
      <c r="H3177" s="9" t="n">
        <v>46213</v>
      </c>
      <c r="I3177" s="9" t="n">
        <v>46224</v>
      </c>
      <c r="J3177" s="7" t="n">
        <v>8.8</v>
      </c>
      <c r="K3177" s="7" t="s">
        <v>3580</v>
      </c>
      <c r="L3177" s="7" t="s">
        <v>21</v>
      </c>
      <c r="M3177" s="7" t="s">
        <v>3741</v>
      </c>
      <c r="N3177" s="7" t="s">
        <v>58</v>
      </c>
      <c r="O3177" s="10" t="n">
        <f aca="false">'Exec Summary'!$E$2-H3177</f>
        <v>21</v>
      </c>
      <c r="P3177" s="10" t="n">
        <f aca="false">IF(I3177="","",I3177-H3177)</f>
        <v>11</v>
      </c>
      <c r="Q3177" s="10" t="n">
        <f aca="false">VLOOKUP(G3177,$AA$2:$AB$5,2,FALSE())</f>
        <v>15</v>
      </c>
      <c r="R3177" s="7" t="n">
        <f aca="false">IF(OR(F3177="Open",F3177="Reopened"),1,0)</f>
        <v>0</v>
      </c>
      <c r="S3177" s="7" t="n">
        <f aca="false">IF(AND(H3177&gt;='Exec Summary'!$E$1,H3177&lt;='Exec Summary'!$E$2),1,0)</f>
        <v>1</v>
      </c>
      <c r="T3177" s="7" t="n">
        <f aca="false">IF(AND(F3177="Closed",I3177&lt;&gt;"",I3177&gt;='Exec Summary'!$E$1,I3177&lt;='Exec Summary'!$E$2),1,0)</f>
        <v>1</v>
      </c>
      <c r="U3177" s="7" t="n">
        <f aca="false">IF(F3177="Reopened",1,0)</f>
        <v>0</v>
      </c>
      <c r="V3177" s="7" t="n">
        <f aca="false">IF(AND(R3177=1,O3177&gt;Q3177),1,0)</f>
        <v>0</v>
      </c>
      <c r="W3177" s="7" t="n">
        <f aca="false">IF(AND(T3177=1,P3177&lt;&gt;"",P3177&lt;=Q3177),1,0)</f>
        <v>1</v>
      </c>
    </row>
    <row r="3178" customFormat="false" ht="15" hidden="false" customHeight="false" outlineLevel="0" collapsed="false">
      <c r="A3178" s="7" t="s">
        <v>3740</v>
      </c>
      <c r="B3178" s="7" t="s">
        <v>46</v>
      </c>
      <c r="C3178" s="7" t="s">
        <v>128</v>
      </c>
      <c r="D3178" s="7" t="s">
        <v>54</v>
      </c>
      <c r="E3178" s="7" t="s">
        <v>55</v>
      </c>
      <c r="F3178" s="7" t="s">
        <v>56</v>
      </c>
      <c r="G3178" s="7" t="s">
        <v>19</v>
      </c>
      <c r="H3178" s="9" t="n">
        <v>46158</v>
      </c>
      <c r="I3178" s="9"/>
      <c r="J3178" s="7" t="n">
        <v>9.8</v>
      </c>
      <c r="K3178" s="7" t="s">
        <v>3580</v>
      </c>
      <c r="L3178" s="7" t="s">
        <v>21</v>
      </c>
      <c r="M3178" s="7" t="s">
        <v>3742</v>
      </c>
      <c r="N3178" s="7" t="s">
        <v>58</v>
      </c>
      <c r="O3178" s="10" t="n">
        <f aca="false">'Exec Summary'!$E$2-H3178</f>
        <v>76</v>
      </c>
      <c r="P3178" s="10" t="str">
        <f aca="false">IF(I3178="","",I3178-H3178)</f>
        <v/>
      </c>
      <c r="Q3178" s="10" t="n">
        <f aca="false">VLOOKUP(G3178,$AA$2:$AB$5,2,FALSE())</f>
        <v>15</v>
      </c>
      <c r="R3178" s="7" t="n">
        <f aca="false">IF(OR(F3178="Open",F3178="Reopened"),1,0)</f>
        <v>1</v>
      </c>
      <c r="S3178" s="7" t="n">
        <f aca="false">IF(AND(H3178&gt;='Exec Summary'!$E$1,H3178&lt;='Exec Summary'!$E$2),1,0)</f>
        <v>0</v>
      </c>
      <c r="T3178" s="7" t="n">
        <f aca="false">IF(AND(F3178="Closed",I3178&lt;&gt;"",I3178&gt;='Exec Summary'!$E$1,I3178&lt;='Exec Summary'!$E$2),1,0)</f>
        <v>0</v>
      </c>
      <c r="U3178" s="7" t="n">
        <f aca="false">IF(F3178="Reopened",1,0)</f>
        <v>0</v>
      </c>
      <c r="V3178" s="7" t="n">
        <f aca="false">IF(AND(R3178=1,O3178&gt;Q3178),1,0)</f>
        <v>1</v>
      </c>
      <c r="W3178" s="7" t="n">
        <f aca="false">IF(AND(T3178=1,P3178&lt;&gt;"",P3178&lt;=Q3178),1,0)</f>
        <v>0</v>
      </c>
    </row>
    <row r="3179" customFormat="false" ht="15" hidden="false" customHeight="false" outlineLevel="0" collapsed="false">
      <c r="A3179" s="7" t="s">
        <v>3740</v>
      </c>
      <c r="B3179" s="7" t="s">
        <v>46</v>
      </c>
      <c r="C3179" s="7" t="s">
        <v>128</v>
      </c>
      <c r="D3179" s="7" t="s">
        <v>163</v>
      </c>
      <c r="E3179" s="7" t="s">
        <v>164</v>
      </c>
      <c r="F3179" s="7" t="s">
        <v>56</v>
      </c>
      <c r="G3179" s="7" t="s">
        <v>19</v>
      </c>
      <c r="H3179" s="9" t="n">
        <v>46143</v>
      </c>
      <c r="I3179" s="9"/>
      <c r="J3179" s="7" t="n">
        <v>9.1</v>
      </c>
      <c r="K3179" s="7" t="s">
        <v>3580</v>
      </c>
      <c r="L3179" s="7" t="s">
        <v>21</v>
      </c>
      <c r="M3179" s="7" t="s">
        <v>3743</v>
      </c>
      <c r="N3179" s="7" t="s">
        <v>58</v>
      </c>
      <c r="O3179" s="10" t="n">
        <f aca="false">'Exec Summary'!$E$2-H3179</f>
        <v>91</v>
      </c>
      <c r="P3179" s="10" t="str">
        <f aca="false">IF(I3179="","",I3179-H3179)</f>
        <v/>
      </c>
      <c r="Q3179" s="10" t="n">
        <f aca="false">VLOOKUP(G3179,$AA$2:$AB$5,2,FALSE())</f>
        <v>15</v>
      </c>
      <c r="R3179" s="7" t="n">
        <f aca="false">IF(OR(F3179="Open",F3179="Reopened"),1,0)</f>
        <v>1</v>
      </c>
      <c r="S3179" s="7" t="n">
        <f aca="false">IF(AND(H3179&gt;='Exec Summary'!$E$1,H3179&lt;='Exec Summary'!$E$2),1,0)</f>
        <v>0</v>
      </c>
      <c r="T3179" s="7" t="n">
        <f aca="false">IF(AND(F3179="Closed",I3179&lt;&gt;"",I3179&gt;='Exec Summary'!$E$1,I3179&lt;='Exec Summary'!$E$2),1,0)</f>
        <v>0</v>
      </c>
      <c r="U3179" s="7" t="n">
        <f aca="false">IF(F3179="Reopened",1,0)</f>
        <v>0</v>
      </c>
      <c r="V3179" s="7" t="n">
        <f aca="false">IF(AND(R3179=1,O3179&gt;Q3179),1,0)</f>
        <v>1</v>
      </c>
      <c r="W3179" s="7" t="n">
        <f aca="false">IF(AND(T3179=1,P3179&lt;&gt;"",P3179&lt;=Q3179),1,0)</f>
        <v>0</v>
      </c>
    </row>
    <row r="3180" customFormat="false" ht="15" hidden="false" customHeight="false" outlineLevel="0" collapsed="false">
      <c r="A3180" s="7" t="s">
        <v>3740</v>
      </c>
      <c r="B3180" s="7" t="s">
        <v>46</v>
      </c>
      <c r="C3180" s="7" t="s">
        <v>128</v>
      </c>
      <c r="D3180" s="7" t="s">
        <v>145</v>
      </c>
      <c r="E3180" s="7" t="s">
        <v>146</v>
      </c>
      <c r="F3180" s="7" t="s">
        <v>50</v>
      </c>
      <c r="G3180" s="7" t="s">
        <v>19</v>
      </c>
      <c r="H3180" s="9" t="n">
        <v>46089</v>
      </c>
      <c r="I3180" s="9" t="n">
        <v>46098</v>
      </c>
      <c r="J3180" s="7" t="n">
        <v>9.8</v>
      </c>
      <c r="K3180" s="7" t="s">
        <v>3580</v>
      </c>
      <c r="L3180" s="7" t="s">
        <v>21</v>
      </c>
      <c r="M3180" s="7" t="s">
        <v>3744</v>
      </c>
      <c r="N3180" s="7" t="s">
        <v>58</v>
      </c>
      <c r="O3180" s="10" t="n">
        <f aca="false">'Exec Summary'!$E$2-H3180</f>
        <v>145</v>
      </c>
      <c r="P3180" s="10" t="n">
        <f aca="false">IF(I3180="","",I3180-H3180)</f>
        <v>9</v>
      </c>
      <c r="Q3180" s="10" t="n">
        <f aca="false">VLOOKUP(G3180,$AA$2:$AB$5,2,FALSE())</f>
        <v>15</v>
      </c>
      <c r="R3180" s="7" t="n">
        <f aca="false">IF(OR(F3180="Open",F3180="Reopened"),1,0)</f>
        <v>0</v>
      </c>
      <c r="S3180" s="7" t="n">
        <f aca="false">IF(AND(H3180&gt;='Exec Summary'!$E$1,H3180&lt;='Exec Summary'!$E$2),1,0)</f>
        <v>0</v>
      </c>
      <c r="T3180" s="7" t="n">
        <f aca="false">IF(AND(F3180="Closed",I3180&lt;&gt;"",I3180&gt;='Exec Summary'!$E$1,I3180&lt;='Exec Summary'!$E$2),1,0)</f>
        <v>0</v>
      </c>
      <c r="U3180" s="7" t="n">
        <f aca="false">IF(F3180="Reopened",1,0)</f>
        <v>0</v>
      </c>
      <c r="V3180" s="7" t="n">
        <f aca="false">IF(AND(R3180=1,O3180&gt;Q3180),1,0)</f>
        <v>0</v>
      </c>
      <c r="W3180" s="7" t="n">
        <f aca="false">IF(AND(T3180=1,P3180&lt;&gt;"",P3180&lt;=Q3180),1,0)</f>
        <v>0</v>
      </c>
    </row>
    <row r="3181" customFormat="false" ht="15" hidden="false" customHeight="false" outlineLevel="0" collapsed="false">
      <c r="A3181" s="7" t="s">
        <v>3740</v>
      </c>
      <c r="B3181" s="7" t="s">
        <v>46</v>
      </c>
      <c r="C3181" s="7" t="s">
        <v>128</v>
      </c>
      <c r="D3181" s="7" t="s">
        <v>95</v>
      </c>
      <c r="E3181" s="7" t="s">
        <v>96</v>
      </c>
      <c r="F3181" s="7" t="s">
        <v>50</v>
      </c>
      <c r="G3181" s="7" t="s">
        <v>20</v>
      </c>
      <c r="H3181" s="9" t="n">
        <v>46127</v>
      </c>
      <c r="I3181" s="9" t="n">
        <v>46164</v>
      </c>
      <c r="J3181" s="7" t="n">
        <v>8.8</v>
      </c>
      <c r="K3181" s="7" t="s">
        <v>3580</v>
      </c>
      <c r="L3181" s="7" t="s">
        <v>21</v>
      </c>
      <c r="M3181" s="7" t="s">
        <v>3745</v>
      </c>
      <c r="N3181" s="7" t="s">
        <v>53</v>
      </c>
      <c r="O3181" s="10" t="n">
        <f aca="false">'Exec Summary'!$E$2-H3181</f>
        <v>107</v>
      </c>
      <c r="P3181" s="10" t="n">
        <f aca="false">IF(I3181="","",I3181-H3181)</f>
        <v>37</v>
      </c>
      <c r="Q3181" s="10" t="n">
        <f aca="false">VLOOKUP(G3181,$AA$2:$AB$5,2,FALSE())</f>
        <v>30</v>
      </c>
      <c r="R3181" s="7" t="n">
        <f aca="false">IF(OR(F3181="Open",F3181="Reopened"),1,0)</f>
        <v>0</v>
      </c>
      <c r="S3181" s="7" t="n">
        <f aca="false">IF(AND(H3181&gt;='Exec Summary'!$E$1,H3181&lt;='Exec Summary'!$E$2),1,0)</f>
        <v>0</v>
      </c>
      <c r="T3181" s="7" t="n">
        <f aca="false">IF(AND(F3181="Closed",I3181&lt;&gt;"",I3181&gt;='Exec Summary'!$E$1,I3181&lt;='Exec Summary'!$E$2),1,0)</f>
        <v>0</v>
      </c>
      <c r="U3181" s="7" t="n">
        <f aca="false">IF(F3181="Reopened",1,0)</f>
        <v>0</v>
      </c>
      <c r="V3181" s="7" t="n">
        <f aca="false">IF(AND(R3181=1,O3181&gt;Q3181),1,0)</f>
        <v>0</v>
      </c>
      <c r="W3181" s="7" t="n">
        <f aca="false">IF(AND(T3181=1,P3181&lt;&gt;"",P3181&lt;=Q3181),1,0)</f>
        <v>0</v>
      </c>
    </row>
    <row r="3182" customFormat="false" ht="15" hidden="false" customHeight="false" outlineLevel="0" collapsed="false">
      <c r="A3182" s="7" t="s">
        <v>3740</v>
      </c>
      <c r="B3182" s="7" t="s">
        <v>46</v>
      </c>
      <c r="C3182" s="7" t="s">
        <v>128</v>
      </c>
      <c r="D3182" s="7" t="s">
        <v>59</v>
      </c>
      <c r="E3182" s="7" t="s">
        <v>60</v>
      </c>
      <c r="F3182" s="7" t="s">
        <v>50</v>
      </c>
      <c r="G3182" s="7" t="s">
        <v>19</v>
      </c>
      <c r="H3182" s="9" t="n">
        <v>46148</v>
      </c>
      <c r="I3182" s="9" t="n">
        <v>46158</v>
      </c>
      <c r="J3182" s="7" t="n">
        <v>7.8</v>
      </c>
      <c r="K3182" s="7" t="s">
        <v>3580</v>
      </c>
      <c r="L3182" s="7" t="s">
        <v>21</v>
      </c>
      <c r="M3182" s="7" t="s">
        <v>3746</v>
      </c>
      <c r="N3182" s="7" t="s">
        <v>58</v>
      </c>
      <c r="O3182" s="10" t="n">
        <f aca="false">'Exec Summary'!$E$2-H3182</f>
        <v>86</v>
      </c>
      <c r="P3182" s="10" t="n">
        <f aca="false">IF(I3182="","",I3182-H3182)</f>
        <v>10</v>
      </c>
      <c r="Q3182" s="10" t="n">
        <f aca="false">VLOOKUP(G3182,$AA$2:$AB$5,2,FALSE())</f>
        <v>15</v>
      </c>
      <c r="R3182" s="7" t="n">
        <f aca="false">IF(OR(F3182="Open",F3182="Reopened"),1,0)</f>
        <v>0</v>
      </c>
      <c r="S3182" s="7" t="n">
        <f aca="false">IF(AND(H3182&gt;='Exec Summary'!$E$1,H3182&lt;='Exec Summary'!$E$2),1,0)</f>
        <v>0</v>
      </c>
      <c r="T3182" s="7" t="n">
        <f aca="false">IF(AND(F3182="Closed",I3182&lt;&gt;"",I3182&gt;='Exec Summary'!$E$1,I3182&lt;='Exec Summary'!$E$2),1,0)</f>
        <v>0</v>
      </c>
      <c r="U3182" s="7" t="n">
        <f aca="false">IF(F3182="Reopened",1,0)</f>
        <v>0</v>
      </c>
      <c r="V3182" s="7" t="n">
        <f aca="false">IF(AND(R3182=1,O3182&gt;Q3182),1,0)</f>
        <v>0</v>
      </c>
      <c r="W3182" s="7" t="n">
        <f aca="false">IF(AND(T3182=1,P3182&lt;&gt;"",P3182&lt;=Q3182),1,0)</f>
        <v>0</v>
      </c>
    </row>
    <row r="3183" customFormat="false" ht="15" hidden="false" customHeight="false" outlineLevel="0" collapsed="false">
      <c r="A3183" s="7" t="s">
        <v>3740</v>
      </c>
      <c r="B3183" s="7" t="s">
        <v>46</v>
      </c>
      <c r="C3183" s="7" t="s">
        <v>128</v>
      </c>
      <c r="D3183" s="7" t="s">
        <v>166</v>
      </c>
      <c r="E3183" s="7" t="s">
        <v>167</v>
      </c>
      <c r="F3183" s="7" t="s">
        <v>56</v>
      </c>
      <c r="G3183" s="7" t="s">
        <v>19</v>
      </c>
      <c r="H3183" s="9" t="n">
        <v>46208</v>
      </c>
      <c r="I3183" s="9"/>
      <c r="J3183" s="7" t="n">
        <v>9.8</v>
      </c>
      <c r="K3183" s="7" t="s">
        <v>3580</v>
      </c>
      <c r="L3183" s="7" t="s">
        <v>21</v>
      </c>
      <c r="M3183" s="7" t="s">
        <v>3747</v>
      </c>
      <c r="N3183" s="7" t="s">
        <v>58</v>
      </c>
      <c r="O3183" s="10" t="n">
        <f aca="false">'Exec Summary'!$E$2-H3183</f>
        <v>26</v>
      </c>
      <c r="P3183" s="10" t="str">
        <f aca="false">IF(I3183="","",I3183-H3183)</f>
        <v/>
      </c>
      <c r="Q3183" s="10" t="n">
        <f aca="false">VLOOKUP(G3183,$AA$2:$AB$5,2,FALSE())</f>
        <v>15</v>
      </c>
      <c r="R3183" s="7" t="n">
        <f aca="false">IF(OR(F3183="Open",F3183="Reopened"),1,0)</f>
        <v>1</v>
      </c>
      <c r="S3183" s="7" t="n">
        <f aca="false">IF(AND(H3183&gt;='Exec Summary'!$E$1,H3183&lt;='Exec Summary'!$E$2),1,0)</f>
        <v>1</v>
      </c>
      <c r="T3183" s="7" t="n">
        <f aca="false">IF(AND(F3183="Closed",I3183&lt;&gt;"",I3183&gt;='Exec Summary'!$E$1,I3183&lt;='Exec Summary'!$E$2),1,0)</f>
        <v>0</v>
      </c>
      <c r="U3183" s="7" t="n">
        <f aca="false">IF(F3183="Reopened",1,0)</f>
        <v>0</v>
      </c>
      <c r="V3183" s="7" t="n">
        <f aca="false">IF(AND(R3183=1,O3183&gt;Q3183),1,0)</f>
        <v>1</v>
      </c>
      <c r="W3183" s="7" t="n">
        <f aca="false">IF(AND(T3183=1,P3183&lt;&gt;"",P3183&lt;=Q3183),1,0)</f>
        <v>0</v>
      </c>
    </row>
    <row r="3184" customFormat="false" ht="15" hidden="false" customHeight="false" outlineLevel="0" collapsed="false">
      <c r="A3184" s="7" t="s">
        <v>3740</v>
      </c>
      <c r="B3184" s="7" t="s">
        <v>46</v>
      </c>
      <c r="C3184" s="7" t="s">
        <v>128</v>
      </c>
      <c r="D3184" s="7" t="s">
        <v>131</v>
      </c>
      <c r="E3184" s="7" t="s">
        <v>132</v>
      </c>
      <c r="F3184" s="7" t="s">
        <v>56</v>
      </c>
      <c r="G3184" s="7" t="s">
        <v>19</v>
      </c>
      <c r="H3184" s="9" t="n">
        <v>45989</v>
      </c>
      <c r="I3184" s="9"/>
      <c r="J3184" s="7" t="n">
        <v>9.8</v>
      </c>
      <c r="K3184" s="7" t="s">
        <v>3580</v>
      </c>
      <c r="L3184" s="7" t="s">
        <v>21</v>
      </c>
      <c r="M3184" s="7" t="s">
        <v>3748</v>
      </c>
      <c r="N3184" s="7" t="s">
        <v>58</v>
      </c>
      <c r="O3184" s="10" t="n">
        <f aca="false">'Exec Summary'!$E$2-H3184</f>
        <v>245</v>
      </c>
      <c r="P3184" s="10" t="str">
        <f aca="false">IF(I3184="","",I3184-H3184)</f>
        <v/>
      </c>
      <c r="Q3184" s="10" t="n">
        <f aca="false">VLOOKUP(G3184,$AA$2:$AB$5,2,FALSE())</f>
        <v>15</v>
      </c>
      <c r="R3184" s="7" t="n">
        <f aca="false">IF(OR(F3184="Open",F3184="Reopened"),1,0)</f>
        <v>1</v>
      </c>
      <c r="S3184" s="7" t="n">
        <f aca="false">IF(AND(H3184&gt;='Exec Summary'!$E$1,H3184&lt;='Exec Summary'!$E$2),1,0)</f>
        <v>0</v>
      </c>
      <c r="T3184" s="7" t="n">
        <f aca="false">IF(AND(F3184="Closed",I3184&lt;&gt;"",I3184&gt;='Exec Summary'!$E$1,I3184&lt;='Exec Summary'!$E$2),1,0)</f>
        <v>0</v>
      </c>
      <c r="U3184" s="7" t="n">
        <f aca="false">IF(F3184="Reopened",1,0)</f>
        <v>0</v>
      </c>
      <c r="V3184" s="7" t="n">
        <f aca="false">IF(AND(R3184=1,O3184&gt;Q3184),1,0)</f>
        <v>1</v>
      </c>
      <c r="W3184" s="7" t="n">
        <f aca="false">IF(AND(T3184=1,P3184&lt;&gt;"",P3184&lt;=Q3184),1,0)</f>
        <v>0</v>
      </c>
    </row>
    <row r="3185" customFormat="false" ht="15" hidden="false" customHeight="false" outlineLevel="0" collapsed="false">
      <c r="A3185" s="7" t="s">
        <v>3740</v>
      </c>
      <c r="B3185" s="7" t="s">
        <v>46</v>
      </c>
      <c r="C3185" s="7" t="s">
        <v>128</v>
      </c>
      <c r="D3185" s="7" t="s">
        <v>71</v>
      </c>
      <c r="E3185" s="7" t="s">
        <v>72</v>
      </c>
      <c r="F3185" s="7" t="s">
        <v>56</v>
      </c>
      <c r="G3185" s="7" t="s">
        <v>19</v>
      </c>
      <c r="H3185" s="9" t="n">
        <v>46019</v>
      </c>
      <c r="I3185" s="9"/>
      <c r="J3185" s="7" t="n">
        <v>9.8</v>
      </c>
      <c r="K3185" s="7" t="s">
        <v>3580</v>
      </c>
      <c r="L3185" s="7" t="s">
        <v>21</v>
      </c>
      <c r="M3185" s="7" t="s">
        <v>3749</v>
      </c>
      <c r="N3185" s="7" t="s">
        <v>58</v>
      </c>
      <c r="O3185" s="10" t="n">
        <f aca="false">'Exec Summary'!$E$2-H3185</f>
        <v>215</v>
      </c>
      <c r="P3185" s="10" t="str">
        <f aca="false">IF(I3185="","",I3185-H3185)</f>
        <v/>
      </c>
      <c r="Q3185" s="10" t="n">
        <f aca="false">VLOOKUP(G3185,$AA$2:$AB$5,2,FALSE())</f>
        <v>15</v>
      </c>
      <c r="R3185" s="7" t="n">
        <f aca="false">IF(OR(F3185="Open",F3185="Reopened"),1,0)</f>
        <v>1</v>
      </c>
      <c r="S3185" s="7" t="n">
        <f aca="false">IF(AND(H3185&gt;='Exec Summary'!$E$1,H3185&lt;='Exec Summary'!$E$2),1,0)</f>
        <v>0</v>
      </c>
      <c r="T3185" s="7" t="n">
        <f aca="false">IF(AND(F3185="Closed",I3185&lt;&gt;"",I3185&gt;='Exec Summary'!$E$1,I3185&lt;='Exec Summary'!$E$2),1,0)</f>
        <v>0</v>
      </c>
      <c r="U3185" s="7" t="n">
        <f aca="false">IF(F3185="Reopened",1,0)</f>
        <v>0</v>
      </c>
      <c r="V3185" s="7" t="n">
        <f aca="false">IF(AND(R3185=1,O3185&gt;Q3185),1,0)</f>
        <v>1</v>
      </c>
      <c r="W3185" s="7" t="n">
        <f aca="false">IF(AND(T3185=1,P3185&lt;&gt;"",P3185&lt;=Q3185),1,0)</f>
        <v>0</v>
      </c>
    </row>
    <row r="3186" customFormat="false" ht="15" hidden="false" customHeight="false" outlineLevel="0" collapsed="false">
      <c r="A3186" s="7" t="s">
        <v>3740</v>
      </c>
      <c r="B3186" s="7" t="s">
        <v>46</v>
      </c>
      <c r="C3186" s="7" t="s">
        <v>128</v>
      </c>
      <c r="D3186" s="7" t="s">
        <v>98</v>
      </c>
      <c r="E3186" s="7" t="s">
        <v>99</v>
      </c>
      <c r="F3186" s="7" t="s">
        <v>56</v>
      </c>
      <c r="G3186" s="7" t="s">
        <v>19</v>
      </c>
      <c r="H3186" s="9" t="n">
        <v>46222</v>
      </c>
      <c r="I3186" s="9"/>
      <c r="J3186" s="7" t="n">
        <v>10</v>
      </c>
      <c r="K3186" s="7" t="s">
        <v>3580</v>
      </c>
      <c r="L3186" s="7" t="s">
        <v>21</v>
      </c>
      <c r="M3186" s="7" t="s">
        <v>3750</v>
      </c>
      <c r="N3186" s="7" t="s">
        <v>58</v>
      </c>
      <c r="O3186" s="10" t="n">
        <f aca="false">'Exec Summary'!$E$2-H3186</f>
        <v>12</v>
      </c>
      <c r="P3186" s="10" t="str">
        <f aca="false">IF(I3186="","",I3186-H3186)</f>
        <v/>
      </c>
      <c r="Q3186" s="10" t="n">
        <f aca="false">VLOOKUP(G3186,$AA$2:$AB$5,2,FALSE())</f>
        <v>15</v>
      </c>
      <c r="R3186" s="7" t="n">
        <f aca="false">IF(OR(F3186="Open",F3186="Reopened"),1,0)</f>
        <v>1</v>
      </c>
      <c r="S3186" s="7" t="n">
        <f aca="false">IF(AND(H3186&gt;='Exec Summary'!$E$1,H3186&lt;='Exec Summary'!$E$2),1,0)</f>
        <v>1</v>
      </c>
      <c r="T3186" s="7" t="n">
        <f aca="false">IF(AND(F3186="Closed",I3186&lt;&gt;"",I3186&gt;='Exec Summary'!$E$1,I3186&lt;='Exec Summary'!$E$2),1,0)</f>
        <v>0</v>
      </c>
      <c r="U3186" s="7" t="n">
        <f aca="false">IF(F3186="Reopened",1,0)</f>
        <v>0</v>
      </c>
      <c r="V3186" s="7" t="n">
        <f aca="false">IF(AND(R3186=1,O3186&gt;Q3186),1,0)</f>
        <v>0</v>
      </c>
      <c r="W3186" s="7" t="n">
        <f aca="false">IF(AND(T3186=1,P3186&lt;&gt;"",P3186&lt;=Q3186),1,0)</f>
        <v>0</v>
      </c>
    </row>
    <row r="3187" customFormat="false" ht="15" hidden="false" customHeight="false" outlineLevel="0" collapsed="false">
      <c r="A3187" s="7" t="s">
        <v>3751</v>
      </c>
      <c r="B3187" s="7" t="s">
        <v>135</v>
      </c>
      <c r="C3187" s="7" t="s">
        <v>136</v>
      </c>
      <c r="D3187" s="7" t="s">
        <v>54</v>
      </c>
      <c r="E3187" s="7" t="s">
        <v>55</v>
      </c>
      <c r="F3187" s="7" t="s">
        <v>50</v>
      </c>
      <c r="G3187" s="7" t="s">
        <v>19</v>
      </c>
      <c r="H3187" s="9" t="n">
        <v>46047</v>
      </c>
      <c r="I3187" s="9" t="n">
        <v>46049</v>
      </c>
      <c r="J3187" s="7" t="n">
        <v>9.8</v>
      </c>
      <c r="K3187" s="7" t="s">
        <v>3580</v>
      </c>
      <c r="L3187" s="7" t="s">
        <v>22</v>
      </c>
      <c r="M3187" s="7" t="s">
        <v>3752</v>
      </c>
      <c r="N3187" s="7" t="s">
        <v>58</v>
      </c>
      <c r="O3187" s="10" t="n">
        <f aca="false">'Exec Summary'!$E$2-H3187</f>
        <v>187</v>
      </c>
      <c r="P3187" s="10" t="n">
        <f aca="false">IF(I3187="","",I3187-H3187)</f>
        <v>2</v>
      </c>
      <c r="Q3187" s="10" t="n">
        <f aca="false">VLOOKUP(G3187,$AA$2:$AB$5,2,FALSE())</f>
        <v>15</v>
      </c>
      <c r="R3187" s="7" t="n">
        <f aca="false">IF(OR(F3187="Open",F3187="Reopened"),1,0)</f>
        <v>0</v>
      </c>
      <c r="S3187" s="7" t="n">
        <f aca="false">IF(AND(H3187&gt;='Exec Summary'!$E$1,H3187&lt;='Exec Summary'!$E$2),1,0)</f>
        <v>0</v>
      </c>
      <c r="T3187" s="7" t="n">
        <f aca="false">IF(AND(F3187="Closed",I3187&lt;&gt;"",I3187&gt;='Exec Summary'!$E$1,I3187&lt;='Exec Summary'!$E$2),1,0)</f>
        <v>0</v>
      </c>
      <c r="U3187" s="7" t="n">
        <f aca="false">IF(F3187="Reopened",1,0)</f>
        <v>0</v>
      </c>
      <c r="V3187" s="7" t="n">
        <f aca="false">IF(AND(R3187=1,O3187&gt;Q3187),1,0)</f>
        <v>0</v>
      </c>
      <c r="W3187" s="7" t="n">
        <f aca="false">IF(AND(T3187=1,P3187&lt;&gt;"",P3187&lt;=Q3187),1,0)</f>
        <v>0</v>
      </c>
    </row>
    <row r="3188" customFormat="false" ht="15" hidden="false" customHeight="false" outlineLevel="0" collapsed="false">
      <c r="A3188" s="7" t="s">
        <v>3751</v>
      </c>
      <c r="B3188" s="7" t="s">
        <v>135</v>
      </c>
      <c r="C3188" s="7" t="s">
        <v>136</v>
      </c>
      <c r="D3188" s="7" t="s">
        <v>108</v>
      </c>
      <c r="E3188" s="7" t="s">
        <v>109</v>
      </c>
      <c r="F3188" s="7" t="s">
        <v>123</v>
      </c>
      <c r="G3188" s="7" t="s">
        <v>20</v>
      </c>
      <c r="H3188" s="9" t="n">
        <v>46011</v>
      </c>
      <c r="I3188" s="9" t="n">
        <v>46048</v>
      </c>
      <c r="J3188" s="7" t="n">
        <v>8.6</v>
      </c>
      <c r="K3188" s="7" t="s">
        <v>3580</v>
      </c>
      <c r="L3188" s="7" t="s">
        <v>22</v>
      </c>
      <c r="M3188" s="7" t="s">
        <v>3753</v>
      </c>
      <c r="N3188" s="7" t="s">
        <v>53</v>
      </c>
      <c r="O3188" s="10" t="n">
        <f aca="false">'Exec Summary'!$E$2-H3188</f>
        <v>223</v>
      </c>
      <c r="P3188" s="10" t="n">
        <f aca="false">IF(I3188="","",I3188-H3188)</f>
        <v>37</v>
      </c>
      <c r="Q3188" s="10" t="n">
        <f aca="false">VLOOKUP(G3188,$AA$2:$AB$5,2,FALSE())</f>
        <v>30</v>
      </c>
      <c r="R3188" s="7" t="n">
        <f aca="false">IF(OR(F3188="Open",F3188="Reopened"),1,0)</f>
        <v>1</v>
      </c>
      <c r="S3188" s="7" t="n">
        <f aca="false">IF(AND(H3188&gt;='Exec Summary'!$E$1,H3188&lt;='Exec Summary'!$E$2),1,0)</f>
        <v>0</v>
      </c>
      <c r="T3188" s="7" t="n">
        <f aca="false">IF(AND(F3188="Closed",I3188&lt;&gt;"",I3188&gt;='Exec Summary'!$E$1,I3188&lt;='Exec Summary'!$E$2),1,0)</f>
        <v>0</v>
      </c>
      <c r="U3188" s="7" t="n">
        <f aca="false">IF(F3188="Reopened",1,0)</f>
        <v>1</v>
      </c>
      <c r="V3188" s="7" t="n">
        <f aca="false">IF(AND(R3188=1,O3188&gt;Q3188),1,0)</f>
        <v>1</v>
      </c>
      <c r="W3188" s="7" t="n">
        <f aca="false">IF(AND(T3188=1,P3188&lt;&gt;"",P3188&lt;=Q3188),1,0)</f>
        <v>0</v>
      </c>
    </row>
    <row r="3189" customFormat="false" ht="15" hidden="false" customHeight="false" outlineLevel="0" collapsed="false">
      <c r="A3189" s="7" t="s">
        <v>3751</v>
      </c>
      <c r="B3189" s="7" t="s">
        <v>135</v>
      </c>
      <c r="C3189" s="7" t="s">
        <v>136</v>
      </c>
      <c r="D3189" s="7" t="s">
        <v>206</v>
      </c>
      <c r="E3189" s="7" t="s">
        <v>207</v>
      </c>
      <c r="F3189" s="7" t="s">
        <v>50</v>
      </c>
      <c r="G3189" s="7" t="s">
        <v>20</v>
      </c>
      <c r="H3189" s="9" t="n">
        <v>46085</v>
      </c>
      <c r="I3189" s="9" t="n">
        <v>46114</v>
      </c>
      <c r="J3189" s="7" t="n">
        <v>8.8</v>
      </c>
      <c r="K3189" s="7" t="s">
        <v>3580</v>
      </c>
      <c r="L3189" s="7" t="s">
        <v>22</v>
      </c>
      <c r="M3189" s="7" t="s">
        <v>3754</v>
      </c>
      <c r="N3189" s="7" t="s">
        <v>53</v>
      </c>
      <c r="O3189" s="10" t="n">
        <f aca="false">'Exec Summary'!$E$2-H3189</f>
        <v>149</v>
      </c>
      <c r="P3189" s="10" t="n">
        <f aca="false">IF(I3189="","",I3189-H3189)</f>
        <v>29</v>
      </c>
      <c r="Q3189" s="10" t="n">
        <f aca="false">VLOOKUP(G3189,$AA$2:$AB$5,2,FALSE())</f>
        <v>30</v>
      </c>
      <c r="R3189" s="7" t="n">
        <f aca="false">IF(OR(F3189="Open",F3189="Reopened"),1,0)</f>
        <v>0</v>
      </c>
      <c r="S3189" s="7" t="n">
        <f aca="false">IF(AND(H3189&gt;='Exec Summary'!$E$1,H3189&lt;='Exec Summary'!$E$2),1,0)</f>
        <v>0</v>
      </c>
      <c r="T3189" s="7" t="n">
        <f aca="false">IF(AND(F3189="Closed",I3189&lt;&gt;"",I3189&gt;='Exec Summary'!$E$1,I3189&lt;='Exec Summary'!$E$2),1,0)</f>
        <v>0</v>
      </c>
      <c r="U3189" s="7" t="n">
        <f aca="false">IF(F3189="Reopened",1,0)</f>
        <v>0</v>
      </c>
      <c r="V3189" s="7" t="n">
        <f aca="false">IF(AND(R3189=1,O3189&gt;Q3189),1,0)</f>
        <v>0</v>
      </c>
      <c r="W3189" s="7" t="n">
        <f aca="false">IF(AND(T3189=1,P3189&lt;&gt;"",P3189&lt;=Q3189),1,0)</f>
        <v>0</v>
      </c>
    </row>
    <row r="3190" customFormat="false" ht="15" hidden="false" customHeight="false" outlineLevel="0" collapsed="false">
      <c r="A3190" s="7" t="s">
        <v>3751</v>
      </c>
      <c r="B3190" s="7" t="s">
        <v>135</v>
      </c>
      <c r="C3190" s="7" t="s">
        <v>136</v>
      </c>
      <c r="D3190" s="7" t="s">
        <v>91</v>
      </c>
      <c r="E3190" s="7" t="s">
        <v>92</v>
      </c>
      <c r="F3190" s="7" t="s">
        <v>50</v>
      </c>
      <c r="G3190" s="7" t="s">
        <v>20</v>
      </c>
      <c r="H3190" s="9" t="n">
        <v>46112</v>
      </c>
      <c r="I3190" s="9" t="n">
        <v>46132</v>
      </c>
      <c r="J3190" s="7" t="n">
        <v>8.1</v>
      </c>
      <c r="K3190" s="7" t="s">
        <v>3580</v>
      </c>
      <c r="L3190" s="7" t="s">
        <v>22</v>
      </c>
      <c r="M3190" s="7" t="s">
        <v>3755</v>
      </c>
      <c r="N3190" s="7" t="s">
        <v>53</v>
      </c>
      <c r="O3190" s="10" t="n">
        <f aca="false">'Exec Summary'!$E$2-H3190</f>
        <v>122</v>
      </c>
      <c r="P3190" s="10" t="n">
        <f aca="false">IF(I3190="","",I3190-H3190)</f>
        <v>20</v>
      </c>
      <c r="Q3190" s="10" t="n">
        <f aca="false">VLOOKUP(G3190,$AA$2:$AB$5,2,FALSE())</f>
        <v>30</v>
      </c>
      <c r="R3190" s="7" t="n">
        <f aca="false">IF(OR(F3190="Open",F3190="Reopened"),1,0)</f>
        <v>0</v>
      </c>
      <c r="S3190" s="7" t="n">
        <f aca="false">IF(AND(H3190&gt;='Exec Summary'!$E$1,H3190&lt;='Exec Summary'!$E$2),1,0)</f>
        <v>0</v>
      </c>
      <c r="T3190" s="7" t="n">
        <f aca="false">IF(AND(F3190="Closed",I3190&lt;&gt;"",I3190&gt;='Exec Summary'!$E$1,I3190&lt;='Exec Summary'!$E$2),1,0)</f>
        <v>0</v>
      </c>
      <c r="U3190" s="7" t="n">
        <f aca="false">IF(F3190="Reopened",1,0)</f>
        <v>0</v>
      </c>
      <c r="V3190" s="7" t="n">
        <f aca="false">IF(AND(R3190=1,O3190&gt;Q3190),1,0)</f>
        <v>0</v>
      </c>
      <c r="W3190" s="7" t="n">
        <f aca="false">IF(AND(T3190=1,P3190&lt;&gt;"",P3190&lt;=Q3190),1,0)</f>
        <v>0</v>
      </c>
    </row>
    <row r="3191" customFormat="false" ht="15" hidden="false" customHeight="false" outlineLevel="0" collapsed="false">
      <c r="A3191" s="7" t="s">
        <v>3751</v>
      </c>
      <c r="B3191" s="7" t="s">
        <v>135</v>
      </c>
      <c r="C3191" s="7" t="s">
        <v>136</v>
      </c>
      <c r="D3191" s="7" t="s">
        <v>71</v>
      </c>
      <c r="E3191" s="7" t="s">
        <v>72</v>
      </c>
      <c r="F3191" s="7" t="s">
        <v>50</v>
      </c>
      <c r="G3191" s="7" t="s">
        <v>19</v>
      </c>
      <c r="H3191" s="9" t="n">
        <v>46200</v>
      </c>
      <c r="I3191" s="9" t="n">
        <v>46204</v>
      </c>
      <c r="J3191" s="7" t="n">
        <v>9.8</v>
      </c>
      <c r="K3191" s="7" t="s">
        <v>3580</v>
      </c>
      <c r="L3191" s="7" t="s">
        <v>22</v>
      </c>
      <c r="M3191" s="7" t="s">
        <v>3756</v>
      </c>
      <c r="N3191" s="7" t="s">
        <v>58</v>
      </c>
      <c r="O3191" s="10" t="n">
        <f aca="false">'Exec Summary'!$E$2-H3191</f>
        <v>34</v>
      </c>
      <c r="P3191" s="10" t="n">
        <f aca="false">IF(I3191="","",I3191-H3191)</f>
        <v>4</v>
      </c>
      <c r="Q3191" s="10" t="n">
        <f aca="false">VLOOKUP(G3191,$AA$2:$AB$5,2,FALSE())</f>
        <v>15</v>
      </c>
      <c r="R3191" s="7" t="n">
        <f aca="false">IF(OR(F3191="Open",F3191="Reopened"),1,0)</f>
        <v>0</v>
      </c>
      <c r="S3191" s="7" t="n">
        <f aca="false">IF(AND(H3191&gt;='Exec Summary'!$E$1,H3191&lt;='Exec Summary'!$E$2),1,0)</f>
        <v>0</v>
      </c>
      <c r="T3191" s="7" t="n">
        <f aca="false">IF(AND(F3191="Closed",I3191&lt;&gt;"",I3191&gt;='Exec Summary'!$E$1,I3191&lt;='Exec Summary'!$E$2),1,0)</f>
        <v>1</v>
      </c>
      <c r="U3191" s="7" t="n">
        <f aca="false">IF(F3191="Reopened",1,0)</f>
        <v>0</v>
      </c>
      <c r="V3191" s="7" t="n">
        <f aca="false">IF(AND(R3191=1,O3191&gt;Q3191),1,0)</f>
        <v>0</v>
      </c>
      <c r="W3191" s="7" t="n">
        <f aca="false">IF(AND(T3191=1,P3191&lt;&gt;"",P3191&lt;=Q3191),1,0)</f>
        <v>1</v>
      </c>
    </row>
    <row r="3192" customFormat="false" ht="15" hidden="false" customHeight="false" outlineLevel="0" collapsed="false">
      <c r="A3192" s="7" t="s">
        <v>3757</v>
      </c>
      <c r="B3192" s="7" t="s">
        <v>46</v>
      </c>
      <c r="C3192" s="7" t="s">
        <v>158</v>
      </c>
      <c r="D3192" s="7" t="s">
        <v>117</v>
      </c>
      <c r="E3192" s="7" t="s">
        <v>118</v>
      </c>
      <c r="F3192" s="7" t="s">
        <v>56</v>
      </c>
      <c r="G3192" s="7" t="s">
        <v>19</v>
      </c>
      <c r="H3192" s="9" t="n">
        <v>46018</v>
      </c>
      <c r="I3192" s="9"/>
      <c r="J3192" s="7" t="n">
        <v>10</v>
      </c>
      <c r="K3192" s="7" t="s">
        <v>3580</v>
      </c>
      <c r="L3192" s="7" t="s">
        <v>19</v>
      </c>
      <c r="M3192" s="7" t="s">
        <v>3758</v>
      </c>
      <c r="N3192" s="7" t="s">
        <v>58</v>
      </c>
      <c r="O3192" s="10" t="n">
        <f aca="false">'Exec Summary'!$E$2-H3192</f>
        <v>216</v>
      </c>
      <c r="P3192" s="10" t="str">
        <f aca="false">IF(I3192="","",I3192-H3192)</f>
        <v/>
      </c>
      <c r="Q3192" s="10" t="n">
        <f aca="false">VLOOKUP(G3192,$AA$2:$AB$5,2,FALSE())</f>
        <v>15</v>
      </c>
      <c r="R3192" s="7" t="n">
        <f aca="false">IF(OR(F3192="Open",F3192="Reopened"),1,0)</f>
        <v>1</v>
      </c>
      <c r="S3192" s="7" t="n">
        <f aca="false">IF(AND(H3192&gt;='Exec Summary'!$E$1,H3192&lt;='Exec Summary'!$E$2),1,0)</f>
        <v>0</v>
      </c>
      <c r="T3192" s="7" t="n">
        <f aca="false">IF(AND(F3192="Closed",I3192&lt;&gt;"",I3192&gt;='Exec Summary'!$E$1,I3192&lt;='Exec Summary'!$E$2),1,0)</f>
        <v>0</v>
      </c>
      <c r="U3192" s="7" t="n">
        <f aca="false">IF(F3192="Reopened",1,0)</f>
        <v>0</v>
      </c>
      <c r="V3192" s="7" t="n">
        <f aca="false">IF(AND(R3192=1,O3192&gt;Q3192),1,0)</f>
        <v>1</v>
      </c>
      <c r="W3192" s="7" t="n">
        <f aca="false">IF(AND(T3192=1,P3192&lt;&gt;"",P3192&lt;=Q3192),1,0)</f>
        <v>0</v>
      </c>
    </row>
    <row r="3193" customFormat="false" ht="15" hidden="false" customHeight="false" outlineLevel="0" collapsed="false">
      <c r="A3193" s="7" t="s">
        <v>3757</v>
      </c>
      <c r="B3193" s="7" t="s">
        <v>46</v>
      </c>
      <c r="C3193" s="7" t="s">
        <v>158</v>
      </c>
      <c r="D3193" s="7" t="s">
        <v>120</v>
      </c>
      <c r="E3193" s="7" t="s">
        <v>121</v>
      </c>
      <c r="F3193" s="7" t="s">
        <v>50</v>
      </c>
      <c r="G3193" s="7" t="s">
        <v>19</v>
      </c>
      <c r="H3193" s="9" t="n">
        <v>46198</v>
      </c>
      <c r="I3193" s="9" t="n">
        <v>46210</v>
      </c>
      <c r="J3193" s="7" t="n">
        <v>8.8</v>
      </c>
      <c r="K3193" s="7" t="s">
        <v>3580</v>
      </c>
      <c r="L3193" s="7" t="s">
        <v>19</v>
      </c>
      <c r="M3193" s="7" t="s">
        <v>3759</v>
      </c>
      <c r="N3193" s="7" t="s">
        <v>58</v>
      </c>
      <c r="O3193" s="10" t="n">
        <f aca="false">'Exec Summary'!$E$2-H3193</f>
        <v>36</v>
      </c>
      <c r="P3193" s="10" t="n">
        <f aca="false">IF(I3193="","",I3193-H3193)</f>
        <v>12</v>
      </c>
      <c r="Q3193" s="10" t="n">
        <f aca="false">VLOOKUP(G3193,$AA$2:$AB$5,2,FALSE())</f>
        <v>15</v>
      </c>
      <c r="R3193" s="7" t="n">
        <f aca="false">IF(OR(F3193="Open",F3193="Reopened"),1,0)</f>
        <v>0</v>
      </c>
      <c r="S3193" s="7" t="n">
        <f aca="false">IF(AND(H3193&gt;='Exec Summary'!$E$1,H3193&lt;='Exec Summary'!$E$2),1,0)</f>
        <v>0</v>
      </c>
      <c r="T3193" s="7" t="n">
        <f aca="false">IF(AND(F3193="Closed",I3193&lt;&gt;"",I3193&gt;='Exec Summary'!$E$1,I3193&lt;='Exec Summary'!$E$2),1,0)</f>
        <v>1</v>
      </c>
      <c r="U3193" s="7" t="n">
        <f aca="false">IF(F3193="Reopened",1,0)</f>
        <v>0</v>
      </c>
      <c r="V3193" s="7" t="n">
        <f aca="false">IF(AND(R3193=1,O3193&gt;Q3193),1,0)</f>
        <v>0</v>
      </c>
      <c r="W3193" s="7" t="n">
        <f aca="false">IF(AND(T3193=1,P3193&lt;&gt;"",P3193&lt;=Q3193),1,0)</f>
        <v>1</v>
      </c>
    </row>
    <row r="3194" customFormat="false" ht="15" hidden="false" customHeight="false" outlineLevel="0" collapsed="false">
      <c r="A3194" s="7" t="s">
        <v>3760</v>
      </c>
      <c r="B3194" s="7" t="s">
        <v>135</v>
      </c>
      <c r="C3194" s="7" t="s">
        <v>306</v>
      </c>
      <c r="D3194" s="7" t="s">
        <v>206</v>
      </c>
      <c r="E3194" s="7" t="s">
        <v>207</v>
      </c>
      <c r="F3194" s="7" t="s">
        <v>50</v>
      </c>
      <c r="G3194" s="7" t="s">
        <v>20</v>
      </c>
      <c r="H3194" s="9" t="n">
        <v>46035</v>
      </c>
      <c r="I3194" s="9" t="n">
        <v>46056</v>
      </c>
      <c r="J3194" s="7" t="n">
        <v>8.8</v>
      </c>
      <c r="K3194" s="7" t="s">
        <v>3580</v>
      </c>
      <c r="L3194" s="7" t="s">
        <v>20</v>
      </c>
      <c r="M3194" s="7" t="s">
        <v>3761</v>
      </c>
      <c r="N3194" s="7" t="s">
        <v>53</v>
      </c>
      <c r="O3194" s="10" t="n">
        <f aca="false">'Exec Summary'!$E$2-H3194</f>
        <v>199</v>
      </c>
      <c r="P3194" s="10" t="n">
        <f aca="false">IF(I3194="","",I3194-H3194)</f>
        <v>21</v>
      </c>
      <c r="Q3194" s="10" t="n">
        <f aca="false">VLOOKUP(G3194,$AA$2:$AB$5,2,FALSE())</f>
        <v>30</v>
      </c>
      <c r="R3194" s="7" t="n">
        <f aca="false">IF(OR(F3194="Open",F3194="Reopened"),1,0)</f>
        <v>0</v>
      </c>
      <c r="S3194" s="7" t="n">
        <f aca="false">IF(AND(H3194&gt;='Exec Summary'!$E$1,H3194&lt;='Exec Summary'!$E$2),1,0)</f>
        <v>0</v>
      </c>
      <c r="T3194" s="7" t="n">
        <f aca="false">IF(AND(F3194="Closed",I3194&lt;&gt;"",I3194&gt;='Exec Summary'!$E$1,I3194&lt;='Exec Summary'!$E$2),1,0)</f>
        <v>0</v>
      </c>
      <c r="U3194" s="7" t="n">
        <f aca="false">IF(F3194="Reopened",1,0)</f>
        <v>0</v>
      </c>
      <c r="V3194" s="7" t="n">
        <f aca="false">IF(AND(R3194=1,O3194&gt;Q3194),1,0)</f>
        <v>0</v>
      </c>
      <c r="W3194" s="7" t="n">
        <f aca="false">IF(AND(T3194=1,P3194&lt;&gt;"",P3194&lt;=Q3194),1,0)</f>
        <v>0</v>
      </c>
    </row>
    <row r="3195" customFormat="false" ht="15" hidden="false" customHeight="false" outlineLevel="0" collapsed="false">
      <c r="A3195" s="7" t="s">
        <v>3762</v>
      </c>
      <c r="B3195" s="7" t="s">
        <v>135</v>
      </c>
      <c r="C3195" s="7" t="s">
        <v>306</v>
      </c>
      <c r="D3195" s="7" t="s">
        <v>98</v>
      </c>
      <c r="E3195" s="7" t="s">
        <v>99</v>
      </c>
      <c r="F3195" s="7" t="s">
        <v>56</v>
      </c>
      <c r="G3195" s="7" t="s">
        <v>19</v>
      </c>
      <c r="H3195" s="9" t="n">
        <v>46204</v>
      </c>
      <c r="I3195" s="9"/>
      <c r="J3195" s="7" t="n">
        <v>10</v>
      </c>
      <c r="K3195" s="7" t="s">
        <v>3580</v>
      </c>
      <c r="L3195" s="7" t="s">
        <v>20</v>
      </c>
      <c r="M3195" s="7" t="s">
        <v>3763</v>
      </c>
      <c r="N3195" s="7" t="s">
        <v>58</v>
      </c>
      <c r="O3195" s="10" t="n">
        <f aca="false">'Exec Summary'!$E$2-H3195</f>
        <v>30</v>
      </c>
      <c r="P3195" s="10" t="str">
        <f aca="false">IF(I3195="","",I3195-H3195)</f>
        <v/>
      </c>
      <c r="Q3195" s="10" t="n">
        <f aca="false">VLOOKUP(G3195,$AA$2:$AB$5,2,FALSE())</f>
        <v>15</v>
      </c>
      <c r="R3195" s="7" t="n">
        <f aca="false">IF(OR(F3195="Open",F3195="Reopened"),1,0)</f>
        <v>1</v>
      </c>
      <c r="S3195" s="7" t="n">
        <f aca="false">IF(AND(H3195&gt;='Exec Summary'!$E$1,H3195&lt;='Exec Summary'!$E$2),1,0)</f>
        <v>1</v>
      </c>
      <c r="T3195" s="7" t="n">
        <f aca="false">IF(AND(F3195="Closed",I3195&lt;&gt;"",I3195&gt;='Exec Summary'!$E$1,I3195&lt;='Exec Summary'!$E$2),1,0)</f>
        <v>0</v>
      </c>
      <c r="U3195" s="7" t="n">
        <f aca="false">IF(F3195="Reopened",1,0)</f>
        <v>0</v>
      </c>
      <c r="V3195" s="7" t="n">
        <f aca="false">IF(AND(R3195=1,O3195&gt;Q3195),1,0)</f>
        <v>1</v>
      </c>
      <c r="W3195" s="7" t="n">
        <f aca="false">IF(AND(T3195=1,P3195&lt;&gt;"",P3195&lt;=Q3195),1,0)</f>
        <v>0</v>
      </c>
    </row>
    <row r="3196" customFormat="false" ht="15" hidden="false" customHeight="false" outlineLevel="0" collapsed="false">
      <c r="A3196" s="7" t="s">
        <v>3762</v>
      </c>
      <c r="B3196" s="7" t="s">
        <v>135</v>
      </c>
      <c r="C3196" s="7" t="s">
        <v>306</v>
      </c>
      <c r="D3196" s="7" t="s">
        <v>112</v>
      </c>
      <c r="E3196" s="7" t="s">
        <v>113</v>
      </c>
      <c r="F3196" s="7" t="s">
        <v>56</v>
      </c>
      <c r="G3196" s="7" t="s">
        <v>20</v>
      </c>
      <c r="H3196" s="9" t="n">
        <v>46132</v>
      </c>
      <c r="I3196" s="9"/>
      <c r="J3196" s="7" t="n">
        <v>7.8</v>
      </c>
      <c r="K3196" s="7" t="s">
        <v>3580</v>
      </c>
      <c r="L3196" s="7" t="s">
        <v>20</v>
      </c>
      <c r="M3196" s="7" t="s">
        <v>3764</v>
      </c>
      <c r="N3196" s="7" t="s">
        <v>53</v>
      </c>
      <c r="O3196" s="10" t="n">
        <f aca="false">'Exec Summary'!$E$2-H3196</f>
        <v>102</v>
      </c>
      <c r="P3196" s="10" t="str">
        <f aca="false">IF(I3196="","",I3196-H3196)</f>
        <v/>
      </c>
      <c r="Q3196" s="10" t="n">
        <f aca="false">VLOOKUP(G3196,$AA$2:$AB$5,2,FALSE())</f>
        <v>30</v>
      </c>
      <c r="R3196" s="7" t="n">
        <f aca="false">IF(OR(F3196="Open",F3196="Reopened"),1,0)</f>
        <v>1</v>
      </c>
      <c r="S3196" s="7" t="n">
        <f aca="false">IF(AND(H3196&gt;='Exec Summary'!$E$1,H3196&lt;='Exec Summary'!$E$2),1,0)</f>
        <v>0</v>
      </c>
      <c r="T3196" s="7" t="n">
        <f aca="false">IF(AND(F3196="Closed",I3196&lt;&gt;"",I3196&gt;='Exec Summary'!$E$1,I3196&lt;='Exec Summary'!$E$2),1,0)</f>
        <v>0</v>
      </c>
      <c r="U3196" s="7" t="n">
        <f aca="false">IF(F3196="Reopened",1,0)</f>
        <v>0</v>
      </c>
      <c r="V3196" s="7" t="n">
        <f aca="false">IF(AND(R3196=1,O3196&gt;Q3196),1,0)</f>
        <v>1</v>
      </c>
      <c r="W3196" s="7" t="n">
        <f aca="false">IF(AND(T3196=1,P3196&lt;&gt;"",P3196&lt;=Q3196),1,0)</f>
        <v>0</v>
      </c>
    </row>
    <row r="3197" customFormat="false" ht="15" hidden="false" customHeight="false" outlineLevel="0" collapsed="false">
      <c r="A3197" s="7" t="s">
        <v>3762</v>
      </c>
      <c r="B3197" s="7" t="s">
        <v>135</v>
      </c>
      <c r="C3197" s="7" t="s">
        <v>306</v>
      </c>
      <c r="D3197" s="7" t="s">
        <v>131</v>
      </c>
      <c r="E3197" s="7" t="s">
        <v>132</v>
      </c>
      <c r="F3197" s="7" t="s">
        <v>50</v>
      </c>
      <c r="G3197" s="7" t="s">
        <v>19</v>
      </c>
      <c r="H3197" s="9" t="n">
        <v>46112</v>
      </c>
      <c r="I3197" s="9" t="n">
        <v>46123</v>
      </c>
      <c r="J3197" s="7" t="n">
        <v>9.8</v>
      </c>
      <c r="K3197" s="7" t="s">
        <v>3580</v>
      </c>
      <c r="L3197" s="7" t="s">
        <v>20</v>
      </c>
      <c r="M3197" s="7" t="s">
        <v>3765</v>
      </c>
      <c r="N3197" s="7" t="s">
        <v>58</v>
      </c>
      <c r="O3197" s="10" t="n">
        <f aca="false">'Exec Summary'!$E$2-H3197</f>
        <v>122</v>
      </c>
      <c r="P3197" s="10" t="n">
        <f aca="false">IF(I3197="","",I3197-H3197)</f>
        <v>11</v>
      </c>
      <c r="Q3197" s="10" t="n">
        <f aca="false">VLOOKUP(G3197,$AA$2:$AB$5,2,FALSE())</f>
        <v>15</v>
      </c>
      <c r="R3197" s="7" t="n">
        <f aca="false">IF(OR(F3197="Open",F3197="Reopened"),1,0)</f>
        <v>0</v>
      </c>
      <c r="S3197" s="7" t="n">
        <f aca="false">IF(AND(H3197&gt;='Exec Summary'!$E$1,H3197&lt;='Exec Summary'!$E$2),1,0)</f>
        <v>0</v>
      </c>
      <c r="T3197" s="7" t="n">
        <f aca="false">IF(AND(F3197="Closed",I3197&lt;&gt;"",I3197&gt;='Exec Summary'!$E$1,I3197&lt;='Exec Summary'!$E$2),1,0)</f>
        <v>0</v>
      </c>
      <c r="U3197" s="7" t="n">
        <f aca="false">IF(F3197="Reopened",1,0)</f>
        <v>0</v>
      </c>
      <c r="V3197" s="7" t="n">
        <f aca="false">IF(AND(R3197=1,O3197&gt;Q3197),1,0)</f>
        <v>0</v>
      </c>
      <c r="W3197" s="7" t="n">
        <f aca="false">IF(AND(T3197=1,P3197&lt;&gt;"",P3197&lt;=Q3197),1,0)</f>
        <v>0</v>
      </c>
    </row>
    <row r="3198" customFormat="false" ht="15" hidden="false" customHeight="false" outlineLevel="0" collapsed="false">
      <c r="A3198" s="7" t="s">
        <v>3762</v>
      </c>
      <c r="B3198" s="7" t="s">
        <v>135</v>
      </c>
      <c r="C3198" s="7" t="s">
        <v>306</v>
      </c>
      <c r="D3198" s="7" t="s">
        <v>95</v>
      </c>
      <c r="E3198" s="7" t="s">
        <v>96</v>
      </c>
      <c r="F3198" s="7" t="s">
        <v>56</v>
      </c>
      <c r="G3198" s="7" t="s">
        <v>20</v>
      </c>
      <c r="H3198" s="9" t="n">
        <v>46086</v>
      </c>
      <c r="I3198" s="9"/>
      <c r="J3198" s="7" t="n">
        <v>8.8</v>
      </c>
      <c r="K3198" s="7" t="s">
        <v>3580</v>
      </c>
      <c r="L3198" s="7" t="s">
        <v>20</v>
      </c>
      <c r="M3198" s="7" t="s">
        <v>3766</v>
      </c>
      <c r="N3198" s="7" t="s">
        <v>53</v>
      </c>
      <c r="O3198" s="10" t="n">
        <f aca="false">'Exec Summary'!$E$2-H3198</f>
        <v>148</v>
      </c>
      <c r="P3198" s="10" t="str">
        <f aca="false">IF(I3198="","",I3198-H3198)</f>
        <v/>
      </c>
      <c r="Q3198" s="10" t="n">
        <f aca="false">VLOOKUP(G3198,$AA$2:$AB$5,2,FALSE())</f>
        <v>30</v>
      </c>
      <c r="R3198" s="7" t="n">
        <f aca="false">IF(OR(F3198="Open",F3198="Reopened"),1,0)</f>
        <v>1</v>
      </c>
      <c r="S3198" s="7" t="n">
        <f aca="false">IF(AND(H3198&gt;='Exec Summary'!$E$1,H3198&lt;='Exec Summary'!$E$2),1,0)</f>
        <v>0</v>
      </c>
      <c r="T3198" s="7" t="n">
        <f aca="false">IF(AND(F3198="Closed",I3198&lt;&gt;"",I3198&gt;='Exec Summary'!$E$1,I3198&lt;='Exec Summary'!$E$2),1,0)</f>
        <v>0</v>
      </c>
      <c r="U3198" s="7" t="n">
        <f aca="false">IF(F3198="Reopened",1,0)</f>
        <v>0</v>
      </c>
      <c r="V3198" s="7" t="n">
        <f aca="false">IF(AND(R3198=1,O3198&gt;Q3198),1,0)</f>
        <v>1</v>
      </c>
      <c r="W3198" s="7" t="n">
        <f aca="false">IF(AND(T3198=1,P3198&lt;&gt;"",P3198&lt;=Q3198),1,0)</f>
        <v>0</v>
      </c>
    </row>
    <row r="3199" customFormat="false" ht="15" hidden="false" customHeight="false" outlineLevel="0" collapsed="false">
      <c r="A3199" s="7" t="s">
        <v>3762</v>
      </c>
      <c r="B3199" s="7" t="s">
        <v>135</v>
      </c>
      <c r="C3199" s="7" t="s">
        <v>306</v>
      </c>
      <c r="D3199" s="7" t="s">
        <v>117</v>
      </c>
      <c r="E3199" s="7" t="s">
        <v>118</v>
      </c>
      <c r="F3199" s="7" t="s">
        <v>50</v>
      </c>
      <c r="G3199" s="7" t="s">
        <v>19</v>
      </c>
      <c r="H3199" s="9" t="n">
        <v>46002</v>
      </c>
      <c r="I3199" s="9" t="n">
        <v>46013</v>
      </c>
      <c r="J3199" s="7" t="n">
        <v>10</v>
      </c>
      <c r="K3199" s="7" t="s">
        <v>3580</v>
      </c>
      <c r="L3199" s="7" t="s">
        <v>20</v>
      </c>
      <c r="M3199" s="7" t="s">
        <v>3767</v>
      </c>
      <c r="N3199" s="7" t="s">
        <v>58</v>
      </c>
      <c r="O3199" s="10" t="n">
        <f aca="false">'Exec Summary'!$E$2-H3199</f>
        <v>232</v>
      </c>
      <c r="P3199" s="10" t="n">
        <f aca="false">IF(I3199="","",I3199-H3199)</f>
        <v>11</v>
      </c>
      <c r="Q3199" s="10" t="n">
        <f aca="false">VLOOKUP(G3199,$AA$2:$AB$5,2,FALSE())</f>
        <v>15</v>
      </c>
      <c r="R3199" s="7" t="n">
        <f aca="false">IF(OR(F3199="Open",F3199="Reopened"),1,0)</f>
        <v>0</v>
      </c>
      <c r="S3199" s="7" t="n">
        <f aca="false">IF(AND(H3199&gt;='Exec Summary'!$E$1,H3199&lt;='Exec Summary'!$E$2),1,0)</f>
        <v>0</v>
      </c>
      <c r="T3199" s="7" t="n">
        <f aca="false">IF(AND(F3199="Closed",I3199&lt;&gt;"",I3199&gt;='Exec Summary'!$E$1,I3199&lt;='Exec Summary'!$E$2),1,0)</f>
        <v>0</v>
      </c>
      <c r="U3199" s="7" t="n">
        <f aca="false">IF(F3199="Reopened",1,0)</f>
        <v>0</v>
      </c>
      <c r="V3199" s="7" t="n">
        <f aca="false">IF(AND(R3199=1,O3199&gt;Q3199),1,0)</f>
        <v>0</v>
      </c>
      <c r="W3199" s="7" t="n">
        <f aca="false">IF(AND(T3199=1,P3199&lt;&gt;"",P3199&lt;=Q3199),1,0)</f>
        <v>0</v>
      </c>
    </row>
    <row r="3200" customFormat="false" ht="15" hidden="false" customHeight="false" outlineLevel="0" collapsed="false">
      <c r="A3200" s="7" t="s">
        <v>3762</v>
      </c>
      <c r="B3200" s="7" t="s">
        <v>135</v>
      </c>
      <c r="C3200" s="7" t="s">
        <v>306</v>
      </c>
      <c r="D3200" s="7" t="s">
        <v>139</v>
      </c>
      <c r="E3200" s="7" t="s">
        <v>140</v>
      </c>
      <c r="F3200" s="7" t="s">
        <v>50</v>
      </c>
      <c r="G3200" s="7" t="s">
        <v>19</v>
      </c>
      <c r="H3200" s="9" t="n">
        <v>46195</v>
      </c>
      <c r="I3200" s="9" t="n">
        <v>46209</v>
      </c>
      <c r="J3200" s="7" t="n">
        <v>9.8</v>
      </c>
      <c r="K3200" s="7" t="s">
        <v>3580</v>
      </c>
      <c r="L3200" s="7" t="s">
        <v>20</v>
      </c>
      <c r="M3200" s="7" t="s">
        <v>3768</v>
      </c>
      <c r="N3200" s="7" t="s">
        <v>58</v>
      </c>
      <c r="O3200" s="10" t="n">
        <f aca="false">'Exec Summary'!$E$2-H3200</f>
        <v>39</v>
      </c>
      <c r="P3200" s="10" t="n">
        <f aca="false">IF(I3200="","",I3200-H3200)</f>
        <v>14</v>
      </c>
      <c r="Q3200" s="10" t="n">
        <f aca="false">VLOOKUP(G3200,$AA$2:$AB$5,2,FALSE())</f>
        <v>15</v>
      </c>
      <c r="R3200" s="7" t="n">
        <f aca="false">IF(OR(F3200="Open",F3200="Reopened"),1,0)</f>
        <v>0</v>
      </c>
      <c r="S3200" s="7" t="n">
        <f aca="false">IF(AND(H3200&gt;='Exec Summary'!$E$1,H3200&lt;='Exec Summary'!$E$2),1,0)</f>
        <v>0</v>
      </c>
      <c r="T3200" s="7" t="n">
        <f aca="false">IF(AND(F3200="Closed",I3200&lt;&gt;"",I3200&gt;='Exec Summary'!$E$1,I3200&lt;='Exec Summary'!$E$2),1,0)</f>
        <v>1</v>
      </c>
      <c r="U3200" s="7" t="n">
        <f aca="false">IF(F3200="Reopened",1,0)</f>
        <v>0</v>
      </c>
      <c r="V3200" s="7" t="n">
        <f aca="false">IF(AND(R3200=1,O3200&gt;Q3200),1,0)</f>
        <v>0</v>
      </c>
      <c r="W3200" s="7" t="n">
        <f aca="false">IF(AND(T3200=1,P3200&lt;&gt;"",P3200&lt;=Q3200),1,0)</f>
        <v>1</v>
      </c>
    </row>
    <row r="3201" customFormat="false" ht="15" hidden="false" customHeight="false" outlineLevel="0" collapsed="false">
      <c r="A3201" s="7" t="s">
        <v>3769</v>
      </c>
      <c r="B3201" s="7" t="s">
        <v>46</v>
      </c>
      <c r="C3201" s="7" t="s">
        <v>177</v>
      </c>
      <c r="D3201" s="7" t="s">
        <v>139</v>
      </c>
      <c r="E3201" s="7" t="s">
        <v>140</v>
      </c>
      <c r="F3201" s="7" t="s">
        <v>50</v>
      </c>
      <c r="G3201" s="7" t="s">
        <v>19</v>
      </c>
      <c r="H3201" s="9" t="n">
        <v>46029</v>
      </c>
      <c r="I3201" s="9" t="n">
        <v>46038</v>
      </c>
      <c r="J3201" s="7" t="n">
        <v>9.8</v>
      </c>
      <c r="K3201" s="7" t="s">
        <v>3580</v>
      </c>
      <c r="L3201" s="7" t="s">
        <v>20</v>
      </c>
      <c r="M3201" s="7" t="s">
        <v>3770</v>
      </c>
      <c r="N3201" s="7" t="s">
        <v>58</v>
      </c>
      <c r="O3201" s="10" t="n">
        <f aca="false">'Exec Summary'!$E$2-H3201</f>
        <v>205</v>
      </c>
      <c r="P3201" s="10" t="n">
        <f aca="false">IF(I3201="","",I3201-H3201)</f>
        <v>9</v>
      </c>
      <c r="Q3201" s="10" t="n">
        <f aca="false">VLOOKUP(G3201,$AA$2:$AB$5,2,FALSE())</f>
        <v>15</v>
      </c>
      <c r="R3201" s="7" t="n">
        <f aca="false">IF(OR(F3201="Open",F3201="Reopened"),1,0)</f>
        <v>0</v>
      </c>
      <c r="S3201" s="7" t="n">
        <f aca="false">IF(AND(H3201&gt;='Exec Summary'!$E$1,H3201&lt;='Exec Summary'!$E$2),1,0)</f>
        <v>0</v>
      </c>
      <c r="T3201" s="7" t="n">
        <f aca="false">IF(AND(F3201="Closed",I3201&lt;&gt;"",I3201&gt;='Exec Summary'!$E$1,I3201&lt;='Exec Summary'!$E$2),1,0)</f>
        <v>0</v>
      </c>
      <c r="U3201" s="7" t="n">
        <f aca="false">IF(F3201="Reopened",1,0)</f>
        <v>0</v>
      </c>
      <c r="V3201" s="7" t="n">
        <f aca="false">IF(AND(R3201=1,O3201&gt;Q3201),1,0)</f>
        <v>0</v>
      </c>
      <c r="W3201" s="7" t="n">
        <f aca="false">IF(AND(T3201=1,P3201&lt;&gt;"",P3201&lt;=Q3201),1,0)</f>
        <v>0</v>
      </c>
    </row>
    <row r="3202" customFormat="false" ht="15" hidden="false" customHeight="false" outlineLevel="0" collapsed="false">
      <c r="A3202" s="7" t="s">
        <v>3769</v>
      </c>
      <c r="B3202" s="7" t="s">
        <v>46</v>
      </c>
      <c r="C3202" s="7" t="s">
        <v>177</v>
      </c>
      <c r="D3202" s="7" t="s">
        <v>87</v>
      </c>
      <c r="E3202" s="7" t="s">
        <v>88</v>
      </c>
      <c r="F3202" s="7" t="s">
        <v>50</v>
      </c>
      <c r="G3202" s="7" t="s">
        <v>19</v>
      </c>
      <c r="H3202" s="9" t="n">
        <v>46182</v>
      </c>
      <c r="I3202" s="9" t="n">
        <v>46193</v>
      </c>
      <c r="J3202" s="7" t="n">
        <v>10</v>
      </c>
      <c r="K3202" s="7" t="s">
        <v>3580</v>
      </c>
      <c r="L3202" s="7" t="s">
        <v>20</v>
      </c>
      <c r="M3202" s="7" t="s">
        <v>3771</v>
      </c>
      <c r="N3202" s="7" t="s">
        <v>58</v>
      </c>
      <c r="O3202" s="10" t="n">
        <f aca="false">'Exec Summary'!$E$2-H3202</f>
        <v>52</v>
      </c>
      <c r="P3202" s="10" t="n">
        <f aca="false">IF(I3202="","",I3202-H3202)</f>
        <v>11</v>
      </c>
      <c r="Q3202" s="10" t="n">
        <f aca="false">VLOOKUP(G3202,$AA$2:$AB$5,2,FALSE())</f>
        <v>15</v>
      </c>
      <c r="R3202" s="7" t="n">
        <f aca="false">IF(OR(F3202="Open",F3202="Reopened"),1,0)</f>
        <v>0</v>
      </c>
      <c r="S3202" s="7" t="n">
        <f aca="false">IF(AND(H3202&gt;='Exec Summary'!$E$1,H3202&lt;='Exec Summary'!$E$2),1,0)</f>
        <v>0</v>
      </c>
      <c r="T3202" s="7" t="n">
        <f aca="false">IF(AND(F3202="Closed",I3202&lt;&gt;"",I3202&gt;='Exec Summary'!$E$1,I3202&lt;='Exec Summary'!$E$2),1,0)</f>
        <v>0</v>
      </c>
      <c r="U3202" s="7" t="n">
        <f aca="false">IF(F3202="Reopened",1,0)</f>
        <v>0</v>
      </c>
      <c r="V3202" s="7" t="n">
        <f aca="false">IF(AND(R3202=1,O3202&gt;Q3202),1,0)</f>
        <v>0</v>
      </c>
      <c r="W3202" s="7" t="n">
        <f aca="false">IF(AND(T3202=1,P3202&lt;&gt;"",P3202&lt;=Q3202),1,0)</f>
        <v>0</v>
      </c>
    </row>
    <row r="3203" customFormat="false" ht="15" hidden="false" customHeight="false" outlineLevel="0" collapsed="false">
      <c r="A3203" s="7" t="s">
        <v>3769</v>
      </c>
      <c r="B3203" s="7" t="s">
        <v>46</v>
      </c>
      <c r="C3203" s="7" t="s">
        <v>177</v>
      </c>
      <c r="D3203" s="7" t="s">
        <v>68</v>
      </c>
      <c r="E3203" s="7" t="s">
        <v>69</v>
      </c>
      <c r="F3203" s="7" t="s">
        <v>50</v>
      </c>
      <c r="G3203" s="7" t="s">
        <v>19</v>
      </c>
      <c r="H3203" s="9" t="n">
        <v>46187</v>
      </c>
      <c r="I3203" s="9" t="n">
        <v>46188</v>
      </c>
      <c r="J3203" s="7" t="n">
        <v>9.8</v>
      </c>
      <c r="K3203" s="7" t="s">
        <v>3580</v>
      </c>
      <c r="L3203" s="7" t="s">
        <v>20</v>
      </c>
      <c r="M3203" s="7" t="s">
        <v>3772</v>
      </c>
      <c r="N3203" s="7" t="s">
        <v>58</v>
      </c>
      <c r="O3203" s="10" t="n">
        <f aca="false">'Exec Summary'!$E$2-H3203</f>
        <v>47</v>
      </c>
      <c r="P3203" s="10" t="n">
        <f aca="false">IF(I3203="","",I3203-H3203)</f>
        <v>1</v>
      </c>
      <c r="Q3203" s="10" t="n">
        <f aca="false">VLOOKUP(G3203,$AA$2:$AB$5,2,FALSE())</f>
        <v>15</v>
      </c>
      <c r="R3203" s="7" t="n">
        <f aca="false">IF(OR(F3203="Open",F3203="Reopened"),1,0)</f>
        <v>0</v>
      </c>
      <c r="S3203" s="7" t="n">
        <f aca="false">IF(AND(H3203&gt;='Exec Summary'!$E$1,H3203&lt;='Exec Summary'!$E$2),1,0)</f>
        <v>0</v>
      </c>
      <c r="T3203" s="7" t="n">
        <f aca="false">IF(AND(F3203="Closed",I3203&lt;&gt;"",I3203&gt;='Exec Summary'!$E$1,I3203&lt;='Exec Summary'!$E$2),1,0)</f>
        <v>0</v>
      </c>
      <c r="U3203" s="7" t="n">
        <f aca="false">IF(F3203="Reopened",1,0)</f>
        <v>0</v>
      </c>
      <c r="V3203" s="7" t="n">
        <f aca="false">IF(AND(R3203=1,O3203&gt;Q3203),1,0)</f>
        <v>0</v>
      </c>
      <c r="W3203" s="7" t="n">
        <f aca="false">IF(AND(T3203=1,P3203&lt;&gt;"",P3203&lt;=Q3203),1,0)</f>
        <v>0</v>
      </c>
    </row>
    <row r="3204" customFormat="false" ht="15" hidden="false" customHeight="false" outlineLevel="0" collapsed="false">
      <c r="A3204" s="7" t="s">
        <v>3773</v>
      </c>
      <c r="B3204" s="7" t="s">
        <v>46</v>
      </c>
      <c r="C3204" s="7" t="s">
        <v>158</v>
      </c>
      <c r="D3204" s="7" t="s">
        <v>91</v>
      </c>
      <c r="E3204" s="7" t="s">
        <v>92</v>
      </c>
      <c r="F3204" s="7" t="s">
        <v>50</v>
      </c>
      <c r="G3204" s="7" t="s">
        <v>20</v>
      </c>
      <c r="H3204" s="9" t="n">
        <v>46168</v>
      </c>
      <c r="I3204" s="9" t="n">
        <v>46191</v>
      </c>
      <c r="J3204" s="7" t="n">
        <v>8.1</v>
      </c>
      <c r="K3204" s="7" t="s">
        <v>3580</v>
      </c>
      <c r="L3204" s="7" t="s">
        <v>20</v>
      </c>
      <c r="M3204" s="7" t="s">
        <v>3774</v>
      </c>
      <c r="N3204" s="7" t="s">
        <v>53</v>
      </c>
      <c r="O3204" s="10" t="n">
        <f aca="false">'Exec Summary'!$E$2-H3204</f>
        <v>66</v>
      </c>
      <c r="P3204" s="10" t="n">
        <f aca="false">IF(I3204="","",I3204-H3204)</f>
        <v>23</v>
      </c>
      <c r="Q3204" s="10" t="n">
        <f aca="false">VLOOKUP(G3204,$AA$2:$AB$5,2,FALSE())</f>
        <v>30</v>
      </c>
      <c r="R3204" s="7" t="n">
        <f aca="false">IF(OR(F3204="Open",F3204="Reopened"),1,0)</f>
        <v>0</v>
      </c>
      <c r="S3204" s="7" t="n">
        <f aca="false">IF(AND(H3204&gt;='Exec Summary'!$E$1,H3204&lt;='Exec Summary'!$E$2),1,0)</f>
        <v>0</v>
      </c>
      <c r="T3204" s="7" t="n">
        <f aca="false">IF(AND(F3204="Closed",I3204&lt;&gt;"",I3204&gt;='Exec Summary'!$E$1,I3204&lt;='Exec Summary'!$E$2),1,0)</f>
        <v>0</v>
      </c>
      <c r="U3204" s="7" t="n">
        <f aca="false">IF(F3204="Reopened",1,0)</f>
        <v>0</v>
      </c>
      <c r="V3204" s="7" t="n">
        <f aca="false">IF(AND(R3204=1,O3204&gt;Q3204),1,0)</f>
        <v>0</v>
      </c>
      <c r="W3204" s="7" t="n">
        <f aca="false">IF(AND(T3204=1,P3204&lt;&gt;"",P3204&lt;=Q3204),1,0)</f>
        <v>0</v>
      </c>
    </row>
    <row r="3205" customFormat="false" ht="15" hidden="false" customHeight="false" outlineLevel="0" collapsed="false">
      <c r="A3205" s="7" t="s">
        <v>3773</v>
      </c>
      <c r="B3205" s="7" t="s">
        <v>46</v>
      </c>
      <c r="C3205" s="7" t="s">
        <v>158</v>
      </c>
      <c r="D3205" s="7" t="s">
        <v>87</v>
      </c>
      <c r="E3205" s="7" t="s">
        <v>88</v>
      </c>
      <c r="F3205" s="7" t="s">
        <v>50</v>
      </c>
      <c r="G3205" s="7" t="s">
        <v>19</v>
      </c>
      <c r="H3205" s="9" t="n">
        <v>46215</v>
      </c>
      <c r="I3205" s="9" t="n">
        <v>46221</v>
      </c>
      <c r="J3205" s="7" t="n">
        <v>10</v>
      </c>
      <c r="K3205" s="7" t="s">
        <v>3580</v>
      </c>
      <c r="L3205" s="7" t="s">
        <v>20</v>
      </c>
      <c r="M3205" s="7" t="s">
        <v>3775</v>
      </c>
      <c r="N3205" s="7" t="s">
        <v>58</v>
      </c>
      <c r="O3205" s="10" t="n">
        <f aca="false">'Exec Summary'!$E$2-H3205</f>
        <v>19</v>
      </c>
      <c r="P3205" s="10" t="n">
        <f aca="false">IF(I3205="","",I3205-H3205)</f>
        <v>6</v>
      </c>
      <c r="Q3205" s="10" t="n">
        <f aca="false">VLOOKUP(G3205,$AA$2:$AB$5,2,FALSE())</f>
        <v>15</v>
      </c>
      <c r="R3205" s="7" t="n">
        <f aca="false">IF(OR(F3205="Open",F3205="Reopened"),1,0)</f>
        <v>0</v>
      </c>
      <c r="S3205" s="7" t="n">
        <f aca="false">IF(AND(H3205&gt;='Exec Summary'!$E$1,H3205&lt;='Exec Summary'!$E$2),1,0)</f>
        <v>1</v>
      </c>
      <c r="T3205" s="7" t="n">
        <f aca="false">IF(AND(F3205="Closed",I3205&lt;&gt;"",I3205&gt;='Exec Summary'!$E$1,I3205&lt;='Exec Summary'!$E$2),1,0)</f>
        <v>1</v>
      </c>
      <c r="U3205" s="7" t="n">
        <f aca="false">IF(F3205="Reopened",1,0)</f>
        <v>0</v>
      </c>
      <c r="V3205" s="7" t="n">
        <f aca="false">IF(AND(R3205=1,O3205&gt;Q3205),1,0)</f>
        <v>0</v>
      </c>
      <c r="W3205" s="7" t="n">
        <f aca="false">IF(AND(T3205=1,P3205&lt;&gt;"",P3205&lt;=Q3205),1,0)</f>
        <v>1</v>
      </c>
    </row>
    <row r="3206" customFormat="false" ht="15" hidden="false" customHeight="false" outlineLevel="0" collapsed="false">
      <c r="A3206" s="7" t="s">
        <v>3773</v>
      </c>
      <c r="B3206" s="7" t="s">
        <v>46</v>
      </c>
      <c r="C3206" s="7" t="s">
        <v>158</v>
      </c>
      <c r="D3206" s="7" t="s">
        <v>48</v>
      </c>
      <c r="E3206" s="7" t="s">
        <v>49</v>
      </c>
      <c r="F3206" s="7" t="s">
        <v>56</v>
      </c>
      <c r="G3206" s="7" t="s">
        <v>20</v>
      </c>
      <c r="H3206" s="9" t="n">
        <v>46211</v>
      </c>
      <c r="I3206" s="9"/>
      <c r="J3206" s="7" t="n">
        <v>7.5</v>
      </c>
      <c r="K3206" s="7" t="s">
        <v>3580</v>
      </c>
      <c r="L3206" s="7" t="s">
        <v>20</v>
      </c>
      <c r="M3206" s="7" t="s">
        <v>3776</v>
      </c>
      <c r="N3206" s="7" t="s">
        <v>53</v>
      </c>
      <c r="O3206" s="10" t="n">
        <f aca="false">'Exec Summary'!$E$2-H3206</f>
        <v>23</v>
      </c>
      <c r="P3206" s="10" t="str">
        <f aca="false">IF(I3206="","",I3206-H3206)</f>
        <v/>
      </c>
      <c r="Q3206" s="10" t="n">
        <f aca="false">VLOOKUP(G3206,$AA$2:$AB$5,2,FALSE())</f>
        <v>30</v>
      </c>
      <c r="R3206" s="7" t="n">
        <f aca="false">IF(OR(F3206="Open",F3206="Reopened"),1,0)</f>
        <v>1</v>
      </c>
      <c r="S3206" s="7" t="n">
        <f aca="false">IF(AND(H3206&gt;='Exec Summary'!$E$1,H3206&lt;='Exec Summary'!$E$2),1,0)</f>
        <v>1</v>
      </c>
      <c r="T3206" s="7" t="n">
        <f aca="false">IF(AND(F3206="Closed",I3206&lt;&gt;"",I3206&gt;='Exec Summary'!$E$1,I3206&lt;='Exec Summary'!$E$2),1,0)</f>
        <v>0</v>
      </c>
      <c r="U3206" s="7" t="n">
        <f aca="false">IF(F3206="Reopened",1,0)</f>
        <v>0</v>
      </c>
      <c r="V3206" s="7" t="n">
        <f aca="false">IF(AND(R3206=1,O3206&gt;Q3206),1,0)</f>
        <v>0</v>
      </c>
      <c r="W3206" s="7" t="n">
        <f aca="false">IF(AND(T3206=1,P3206&lt;&gt;"",P3206&lt;=Q3206),1,0)</f>
        <v>0</v>
      </c>
    </row>
    <row r="3207" customFormat="false" ht="15" hidden="false" customHeight="false" outlineLevel="0" collapsed="false">
      <c r="A3207" s="7" t="s">
        <v>3773</v>
      </c>
      <c r="B3207" s="7" t="s">
        <v>46</v>
      </c>
      <c r="C3207" s="7" t="s">
        <v>158</v>
      </c>
      <c r="D3207" s="7" t="s">
        <v>152</v>
      </c>
      <c r="E3207" s="7" t="s">
        <v>153</v>
      </c>
      <c r="F3207" s="7" t="s">
        <v>50</v>
      </c>
      <c r="G3207" s="7" t="s">
        <v>20</v>
      </c>
      <c r="H3207" s="9" t="n">
        <v>46159</v>
      </c>
      <c r="I3207" s="9" t="n">
        <v>46176</v>
      </c>
      <c r="J3207" s="7" t="n">
        <v>7.5</v>
      </c>
      <c r="K3207" s="7" t="s">
        <v>3580</v>
      </c>
      <c r="L3207" s="7" t="s">
        <v>20</v>
      </c>
      <c r="M3207" s="7" t="s">
        <v>3777</v>
      </c>
      <c r="N3207" s="7" t="s">
        <v>53</v>
      </c>
      <c r="O3207" s="10" t="n">
        <f aca="false">'Exec Summary'!$E$2-H3207</f>
        <v>75</v>
      </c>
      <c r="P3207" s="10" t="n">
        <f aca="false">IF(I3207="","",I3207-H3207)</f>
        <v>17</v>
      </c>
      <c r="Q3207" s="10" t="n">
        <f aca="false">VLOOKUP(G3207,$AA$2:$AB$5,2,FALSE())</f>
        <v>30</v>
      </c>
      <c r="R3207" s="7" t="n">
        <f aca="false">IF(OR(F3207="Open",F3207="Reopened"),1,0)</f>
        <v>0</v>
      </c>
      <c r="S3207" s="7" t="n">
        <f aca="false">IF(AND(H3207&gt;='Exec Summary'!$E$1,H3207&lt;='Exec Summary'!$E$2),1,0)</f>
        <v>0</v>
      </c>
      <c r="T3207" s="7" t="n">
        <f aca="false">IF(AND(F3207="Closed",I3207&lt;&gt;"",I3207&gt;='Exec Summary'!$E$1,I3207&lt;='Exec Summary'!$E$2),1,0)</f>
        <v>0</v>
      </c>
      <c r="U3207" s="7" t="n">
        <f aca="false">IF(F3207="Reopened",1,0)</f>
        <v>0</v>
      </c>
      <c r="V3207" s="7" t="n">
        <f aca="false">IF(AND(R3207=1,O3207&gt;Q3207),1,0)</f>
        <v>0</v>
      </c>
      <c r="W3207" s="7" t="n">
        <f aca="false">IF(AND(T3207=1,P3207&lt;&gt;"",P3207&lt;=Q3207),1,0)</f>
        <v>0</v>
      </c>
    </row>
    <row r="3208" customFormat="false" ht="15" hidden="false" customHeight="false" outlineLevel="0" collapsed="false">
      <c r="A3208" s="7" t="s">
        <v>3778</v>
      </c>
      <c r="B3208" s="7" t="s">
        <v>46</v>
      </c>
      <c r="C3208" s="7" t="s">
        <v>128</v>
      </c>
      <c r="D3208" s="7" t="s">
        <v>81</v>
      </c>
      <c r="E3208" s="7" t="s">
        <v>82</v>
      </c>
      <c r="F3208" s="7" t="s">
        <v>50</v>
      </c>
      <c r="G3208" s="7" t="s">
        <v>20</v>
      </c>
      <c r="H3208" s="9" t="n">
        <v>46055</v>
      </c>
      <c r="I3208" s="9" t="n">
        <v>46075</v>
      </c>
      <c r="J3208" s="7" t="n">
        <v>7.8</v>
      </c>
      <c r="K3208" s="7" t="s">
        <v>3580</v>
      </c>
      <c r="L3208" s="7" t="s">
        <v>20</v>
      </c>
      <c r="M3208" s="7" t="s">
        <v>3779</v>
      </c>
      <c r="N3208" s="7" t="s">
        <v>53</v>
      </c>
      <c r="O3208" s="10" t="n">
        <f aca="false">'Exec Summary'!$E$2-H3208</f>
        <v>179</v>
      </c>
      <c r="P3208" s="10" t="n">
        <f aca="false">IF(I3208="","",I3208-H3208)</f>
        <v>20</v>
      </c>
      <c r="Q3208" s="10" t="n">
        <f aca="false">VLOOKUP(G3208,$AA$2:$AB$5,2,FALSE())</f>
        <v>30</v>
      </c>
      <c r="R3208" s="7" t="n">
        <f aca="false">IF(OR(F3208="Open",F3208="Reopened"),1,0)</f>
        <v>0</v>
      </c>
      <c r="S3208" s="7" t="n">
        <f aca="false">IF(AND(H3208&gt;='Exec Summary'!$E$1,H3208&lt;='Exec Summary'!$E$2),1,0)</f>
        <v>0</v>
      </c>
      <c r="T3208" s="7" t="n">
        <f aca="false">IF(AND(F3208="Closed",I3208&lt;&gt;"",I3208&gt;='Exec Summary'!$E$1,I3208&lt;='Exec Summary'!$E$2),1,0)</f>
        <v>0</v>
      </c>
      <c r="U3208" s="7" t="n">
        <f aca="false">IF(F3208="Reopened",1,0)</f>
        <v>0</v>
      </c>
      <c r="V3208" s="7" t="n">
        <f aca="false">IF(AND(R3208=1,O3208&gt;Q3208),1,0)</f>
        <v>0</v>
      </c>
      <c r="W3208" s="7" t="n">
        <f aca="false">IF(AND(T3208=1,P3208&lt;&gt;"",P3208&lt;=Q3208),1,0)</f>
        <v>0</v>
      </c>
    </row>
    <row r="3209" customFormat="false" ht="15" hidden="false" customHeight="false" outlineLevel="0" collapsed="false">
      <c r="A3209" s="7" t="s">
        <v>3778</v>
      </c>
      <c r="B3209" s="7" t="s">
        <v>46</v>
      </c>
      <c r="C3209" s="7" t="s">
        <v>128</v>
      </c>
      <c r="D3209" s="7" t="s">
        <v>59</v>
      </c>
      <c r="E3209" s="7" t="s">
        <v>60</v>
      </c>
      <c r="F3209" s="7" t="s">
        <v>56</v>
      </c>
      <c r="G3209" s="7" t="s">
        <v>19</v>
      </c>
      <c r="H3209" s="9" t="n">
        <v>46018</v>
      </c>
      <c r="I3209" s="9"/>
      <c r="J3209" s="7" t="n">
        <v>7.8</v>
      </c>
      <c r="K3209" s="7" t="s">
        <v>3580</v>
      </c>
      <c r="L3209" s="7" t="s">
        <v>20</v>
      </c>
      <c r="M3209" s="7" t="s">
        <v>3780</v>
      </c>
      <c r="N3209" s="7" t="s">
        <v>58</v>
      </c>
      <c r="O3209" s="10" t="n">
        <f aca="false">'Exec Summary'!$E$2-H3209</f>
        <v>216</v>
      </c>
      <c r="P3209" s="10" t="str">
        <f aca="false">IF(I3209="","",I3209-H3209)</f>
        <v/>
      </c>
      <c r="Q3209" s="10" t="n">
        <f aca="false">VLOOKUP(G3209,$AA$2:$AB$5,2,FALSE())</f>
        <v>15</v>
      </c>
      <c r="R3209" s="7" t="n">
        <f aca="false">IF(OR(F3209="Open",F3209="Reopened"),1,0)</f>
        <v>1</v>
      </c>
      <c r="S3209" s="7" t="n">
        <f aca="false">IF(AND(H3209&gt;='Exec Summary'!$E$1,H3209&lt;='Exec Summary'!$E$2),1,0)</f>
        <v>0</v>
      </c>
      <c r="T3209" s="7" t="n">
        <f aca="false">IF(AND(F3209="Closed",I3209&lt;&gt;"",I3209&gt;='Exec Summary'!$E$1,I3209&lt;='Exec Summary'!$E$2),1,0)</f>
        <v>0</v>
      </c>
      <c r="U3209" s="7" t="n">
        <f aca="false">IF(F3209="Reopened",1,0)</f>
        <v>0</v>
      </c>
      <c r="V3209" s="7" t="n">
        <f aca="false">IF(AND(R3209=1,O3209&gt;Q3209),1,0)</f>
        <v>1</v>
      </c>
      <c r="W3209" s="7" t="n">
        <f aca="false">IF(AND(T3209=1,P3209&lt;&gt;"",P3209&lt;=Q3209),1,0)</f>
        <v>0</v>
      </c>
    </row>
    <row r="3210" customFormat="false" ht="15" hidden="false" customHeight="false" outlineLevel="0" collapsed="false">
      <c r="A3210" s="7" t="s">
        <v>3778</v>
      </c>
      <c r="B3210" s="7" t="s">
        <v>46</v>
      </c>
      <c r="C3210" s="7" t="s">
        <v>128</v>
      </c>
      <c r="D3210" s="7" t="s">
        <v>84</v>
      </c>
      <c r="E3210" s="7" t="s">
        <v>85</v>
      </c>
      <c r="F3210" s="7" t="s">
        <v>56</v>
      </c>
      <c r="G3210" s="7" t="s">
        <v>20</v>
      </c>
      <c r="H3210" s="9" t="n">
        <v>46039</v>
      </c>
      <c r="I3210" s="9"/>
      <c r="J3210" s="7" t="n">
        <v>7.5</v>
      </c>
      <c r="K3210" s="7" t="s">
        <v>3580</v>
      </c>
      <c r="L3210" s="7" t="s">
        <v>20</v>
      </c>
      <c r="M3210" s="7" t="s">
        <v>3781</v>
      </c>
      <c r="N3210" s="7" t="s">
        <v>53</v>
      </c>
      <c r="O3210" s="10" t="n">
        <f aca="false">'Exec Summary'!$E$2-H3210</f>
        <v>195</v>
      </c>
      <c r="P3210" s="10" t="str">
        <f aca="false">IF(I3210="","",I3210-H3210)</f>
        <v/>
      </c>
      <c r="Q3210" s="10" t="n">
        <f aca="false">VLOOKUP(G3210,$AA$2:$AB$5,2,FALSE())</f>
        <v>30</v>
      </c>
      <c r="R3210" s="7" t="n">
        <f aca="false">IF(OR(F3210="Open",F3210="Reopened"),1,0)</f>
        <v>1</v>
      </c>
      <c r="S3210" s="7" t="n">
        <f aca="false">IF(AND(H3210&gt;='Exec Summary'!$E$1,H3210&lt;='Exec Summary'!$E$2),1,0)</f>
        <v>0</v>
      </c>
      <c r="T3210" s="7" t="n">
        <f aca="false">IF(AND(F3210="Closed",I3210&lt;&gt;"",I3210&gt;='Exec Summary'!$E$1,I3210&lt;='Exec Summary'!$E$2),1,0)</f>
        <v>0</v>
      </c>
      <c r="U3210" s="7" t="n">
        <f aca="false">IF(F3210="Reopened",1,0)</f>
        <v>0</v>
      </c>
      <c r="V3210" s="7" t="n">
        <f aca="false">IF(AND(R3210=1,O3210&gt;Q3210),1,0)</f>
        <v>1</v>
      </c>
      <c r="W3210" s="7" t="n">
        <f aca="false">IF(AND(T3210=1,P3210&lt;&gt;"",P3210&lt;=Q3210),1,0)</f>
        <v>0</v>
      </c>
    </row>
    <row r="3211" customFormat="false" ht="15" hidden="false" customHeight="false" outlineLevel="0" collapsed="false">
      <c r="A3211" s="7" t="s">
        <v>3778</v>
      </c>
      <c r="B3211" s="7" t="s">
        <v>46</v>
      </c>
      <c r="C3211" s="7" t="s">
        <v>128</v>
      </c>
      <c r="D3211" s="7" t="s">
        <v>112</v>
      </c>
      <c r="E3211" s="7" t="s">
        <v>113</v>
      </c>
      <c r="F3211" s="7" t="s">
        <v>50</v>
      </c>
      <c r="G3211" s="7" t="s">
        <v>20</v>
      </c>
      <c r="H3211" s="9" t="n">
        <v>46206</v>
      </c>
      <c r="I3211" s="9" t="n">
        <v>46207</v>
      </c>
      <c r="J3211" s="7" t="n">
        <v>7.8</v>
      </c>
      <c r="K3211" s="7" t="s">
        <v>3580</v>
      </c>
      <c r="L3211" s="7" t="s">
        <v>20</v>
      </c>
      <c r="M3211" s="7" t="s">
        <v>3782</v>
      </c>
      <c r="N3211" s="7" t="s">
        <v>53</v>
      </c>
      <c r="O3211" s="10" t="n">
        <f aca="false">'Exec Summary'!$E$2-H3211</f>
        <v>28</v>
      </c>
      <c r="P3211" s="10" t="n">
        <f aca="false">IF(I3211="","",I3211-H3211)</f>
        <v>1</v>
      </c>
      <c r="Q3211" s="10" t="n">
        <f aca="false">VLOOKUP(G3211,$AA$2:$AB$5,2,FALSE())</f>
        <v>30</v>
      </c>
      <c r="R3211" s="7" t="n">
        <f aca="false">IF(OR(F3211="Open",F3211="Reopened"),1,0)</f>
        <v>0</v>
      </c>
      <c r="S3211" s="7" t="n">
        <f aca="false">IF(AND(H3211&gt;='Exec Summary'!$E$1,H3211&lt;='Exec Summary'!$E$2),1,0)</f>
        <v>1</v>
      </c>
      <c r="T3211" s="7" t="n">
        <f aca="false">IF(AND(F3211="Closed",I3211&lt;&gt;"",I3211&gt;='Exec Summary'!$E$1,I3211&lt;='Exec Summary'!$E$2),1,0)</f>
        <v>1</v>
      </c>
      <c r="U3211" s="7" t="n">
        <f aca="false">IF(F3211="Reopened",1,0)</f>
        <v>0</v>
      </c>
      <c r="V3211" s="7" t="n">
        <f aca="false">IF(AND(R3211=1,O3211&gt;Q3211),1,0)</f>
        <v>0</v>
      </c>
      <c r="W3211" s="7" t="n">
        <f aca="false">IF(AND(T3211=1,P3211&lt;&gt;"",P3211&lt;=Q3211),1,0)</f>
        <v>1</v>
      </c>
    </row>
    <row r="3212" customFormat="false" ht="15" hidden="false" customHeight="false" outlineLevel="0" collapsed="false">
      <c r="A3212" s="7" t="s">
        <v>3778</v>
      </c>
      <c r="B3212" s="7" t="s">
        <v>46</v>
      </c>
      <c r="C3212" s="7" t="s">
        <v>128</v>
      </c>
      <c r="D3212" s="7" t="s">
        <v>131</v>
      </c>
      <c r="E3212" s="7" t="s">
        <v>132</v>
      </c>
      <c r="F3212" s="7" t="s">
        <v>50</v>
      </c>
      <c r="G3212" s="7" t="s">
        <v>19</v>
      </c>
      <c r="H3212" s="9" t="n">
        <v>46083</v>
      </c>
      <c r="I3212" s="9" t="n">
        <v>46092</v>
      </c>
      <c r="J3212" s="7" t="n">
        <v>9.8</v>
      </c>
      <c r="K3212" s="7" t="s">
        <v>3580</v>
      </c>
      <c r="L3212" s="7" t="s">
        <v>20</v>
      </c>
      <c r="M3212" s="7" t="s">
        <v>3783</v>
      </c>
      <c r="N3212" s="7" t="s">
        <v>58</v>
      </c>
      <c r="O3212" s="10" t="n">
        <f aca="false">'Exec Summary'!$E$2-H3212</f>
        <v>151</v>
      </c>
      <c r="P3212" s="10" t="n">
        <f aca="false">IF(I3212="","",I3212-H3212)</f>
        <v>9</v>
      </c>
      <c r="Q3212" s="10" t="n">
        <f aca="false">VLOOKUP(G3212,$AA$2:$AB$5,2,FALSE())</f>
        <v>15</v>
      </c>
      <c r="R3212" s="7" t="n">
        <f aca="false">IF(OR(F3212="Open",F3212="Reopened"),1,0)</f>
        <v>0</v>
      </c>
      <c r="S3212" s="7" t="n">
        <f aca="false">IF(AND(H3212&gt;='Exec Summary'!$E$1,H3212&lt;='Exec Summary'!$E$2),1,0)</f>
        <v>0</v>
      </c>
      <c r="T3212" s="7" t="n">
        <f aca="false">IF(AND(F3212="Closed",I3212&lt;&gt;"",I3212&gt;='Exec Summary'!$E$1,I3212&lt;='Exec Summary'!$E$2),1,0)</f>
        <v>0</v>
      </c>
      <c r="U3212" s="7" t="n">
        <f aca="false">IF(F3212="Reopened",1,0)</f>
        <v>0</v>
      </c>
      <c r="V3212" s="7" t="n">
        <f aca="false">IF(AND(R3212=1,O3212&gt;Q3212),1,0)</f>
        <v>0</v>
      </c>
      <c r="W3212" s="7" t="n">
        <f aca="false">IF(AND(T3212=1,P3212&lt;&gt;"",P3212&lt;=Q3212),1,0)</f>
        <v>0</v>
      </c>
    </row>
    <row r="3213" customFormat="false" ht="15" hidden="false" customHeight="false" outlineLevel="0" collapsed="false">
      <c r="A3213" s="7" t="s">
        <v>3778</v>
      </c>
      <c r="B3213" s="7" t="s">
        <v>46</v>
      </c>
      <c r="C3213" s="7" t="s">
        <v>128</v>
      </c>
      <c r="D3213" s="7" t="s">
        <v>152</v>
      </c>
      <c r="E3213" s="7" t="s">
        <v>153</v>
      </c>
      <c r="F3213" s="7" t="s">
        <v>56</v>
      </c>
      <c r="G3213" s="7" t="s">
        <v>20</v>
      </c>
      <c r="H3213" s="9" t="n">
        <v>46003</v>
      </c>
      <c r="I3213" s="9"/>
      <c r="J3213" s="7" t="n">
        <v>7.5</v>
      </c>
      <c r="K3213" s="7" t="s">
        <v>3580</v>
      </c>
      <c r="L3213" s="7" t="s">
        <v>20</v>
      </c>
      <c r="M3213" s="7" t="s">
        <v>3784</v>
      </c>
      <c r="N3213" s="7" t="s">
        <v>53</v>
      </c>
      <c r="O3213" s="10" t="n">
        <f aca="false">'Exec Summary'!$E$2-H3213</f>
        <v>231</v>
      </c>
      <c r="P3213" s="10" t="str">
        <f aca="false">IF(I3213="","",I3213-H3213)</f>
        <v/>
      </c>
      <c r="Q3213" s="10" t="n">
        <f aca="false">VLOOKUP(G3213,$AA$2:$AB$5,2,FALSE())</f>
        <v>30</v>
      </c>
      <c r="R3213" s="7" t="n">
        <f aca="false">IF(OR(F3213="Open",F3213="Reopened"),1,0)</f>
        <v>1</v>
      </c>
      <c r="S3213" s="7" t="n">
        <f aca="false">IF(AND(H3213&gt;='Exec Summary'!$E$1,H3213&lt;='Exec Summary'!$E$2),1,0)</f>
        <v>0</v>
      </c>
      <c r="T3213" s="7" t="n">
        <f aca="false">IF(AND(F3213="Closed",I3213&lt;&gt;"",I3213&gt;='Exec Summary'!$E$1,I3213&lt;='Exec Summary'!$E$2),1,0)</f>
        <v>0</v>
      </c>
      <c r="U3213" s="7" t="n">
        <f aca="false">IF(F3213="Reopened",1,0)</f>
        <v>0</v>
      </c>
      <c r="V3213" s="7" t="n">
        <f aca="false">IF(AND(R3213=1,O3213&gt;Q3213),1,0)</f>
        <v>1</v>
      </c>
      <c r="W3213" s="7" t="n">
        <f aca="false">IF(AND(T3213=1,P3213&lt;&gt;"",P3213&lt;=Q3213),1,0)</f>
        <v>0</v>
      </c>
    </row>
    <row r="3214" customFormat="false" ht="15" hidden="false" customHeight="false" outlineLevel="0" collapsed="false">
      <c r="A3214" s="7" t="s">
        <v>3785</v>
      </c>
      <c r="B3214" s="7" t="s">
        <v>135</v>
      </c>
      <c r="C3214" s="7" t="s">
        <v>136</v>
      </c>
      <c r="D3214" s="7" t="s">
        <v>173</v>
      </c>
      <c r="E3214" s="7" t="s">
        <v>174</v>
      </c>
      <c r="F3214" s="7" t="s">
        <v>56</v>
      </c>
      <c r="G3214" s="7" t="s">
        <v>19</v>
      </c>
      <c r="H3214" s="9" t="n">
        <v>46060</v>
      </c>
      <c r="I3214" s="9"/>
      <c r="J3214" s="7" t="n">
        <v>9.8</v>
      </c>
      <c r="K3214" s="7" t="s">
        <v>3580</v>
      </c>
      <c r="L3214" s="7" t="s">
        <v>20</v>
      </c>
      <c r="M3214" s="7" t="s">
        <v>3786</v>
      </c>
      <c r="N3214" s="7" t="s">
        <v>58</v>
      </c>
      <c r="O3214" s="10" t="n">
        <f aca="false">'Exec Summary'!$E$2-H3214</f>
        <v>174</v>
      </c>
      <c r="P3214" s="10" t="str">
        <f aca="false">IF(I3214="","",I3214-H3214)</f>
        <v/>
      </c>
      <c r="Q3214" s="10" t="n">
        <f aca="false">VLOOKUP(G3214,$AA$2:$AB$5,2,FALSE())</f>
        <v>15</v>
      </c>
      <c r="R3214" s="7" t="n">
        <f aca="false">IF(OR(F3214="Open",F3214="Reopened"),1,0)</f>
        <v>1</v>
      </c>
      <c r="S3214" s="7" t="n">
        <f aca="false">IF(AND(H3214&gt;='Exec Summary'!$E$1,H3214&lt;='Exec Summary'!$E$2),1,0)</f>
        <v>0</v>
      </c>
      <c r="T3214" s="7" t="n">
        <f aca="false">IF(AND(F3214="Closed",I3214&lt;&gt;"",I3214&gt;='Exec Summary'!$E$1,I3214&lt;='Exec Summary'!$E$2),1,0)</f>
        <v>0</v>
      </c>
      <c r="U3214" s="7" t="n">
        <f aca="false">IF(F3214="Reopened",1,0)</f>
        <v>0</v>
      </c>
      <c r="V3214" s="7" t="n">
        <f aca="false">IF(AND(R3214=1,O3214&gt;Q3214),1,0)</f>
        <v>1</v>
      </c>
      <c r="W3214" s="7" t="n">
        <f aca="false">IF(AND(T3214=1,P3214&lt;&gt;"",P3214&lt;=Q3214),1,0)</f>
        <v>0</v>
      </c>
    </row>
    <row r="3215" customFormat="false" ht="15" hidden="false" customHeight="false" outlineLevel="0" collapsed="false">
      <c r="A3215" s="7" t="s">
        <v>3785</v>
      </c>
      <c r="B3215" s="7" t="s">
        <v>135</v>
      </c>
      <c r="C3215" s="7" t="s">
        <v>136</v>
      </c>
      <c r="D3215" s="7" t="s">
        <v>163</v>
      </c>
      <c r="E3215" s="7" t="s">
        <v>164</v>
      </c>
      <c r="F3215" s="7" t="s">
        <v>50</v>
      </c>
      <c r="G3215" s="7" t="s">
        <v>19</v>
      </c>
      <c r="H3215" s="9" t="n">
        <v>46184</v>
      </c>
      <c r="I3215" s="9" t="n">
        <v>46208</v>
      </c>
      <c r="J3215" s="7" t="n">
        <v>9.1</v>
      </c>
      <c r="K3215" s="7" t="s">
        <v>3580</v>
      </c>
      <c r="L3215" s="7" t="s">
        <v>20</v>
      </c>
      <c r="M3215" s="7" t="s">
        <v>3787</v>
      </c>
      <c r="N3215" s="7" t="s">
        <v>58</v>
      </c>
      <c r="O3215" s="10" t="n">
        <f aca="false">'Exec Summary'!$E$2-H3215</f>
        <v>50</v>
      </c>
      <c r="P3215" s="10" t="n">
        <f aca="false">IF(I3215="","",I3215-H3215)</f>
        <v>24</v>
      </c>
      <c r="Q3215" s="10" t="n">
        <f aca="false">VLOOKUP(G3215,$AA$2:$AB$5,2,FALSE())</f>
        <v>15</v>
      </c>
      <c r="R3215" s="7" t="n">
        <f aca="false">IF(OR(F3215="Open",F3215="Reopened"),1,0)</f>
        <v>0</v>
      </c>
      <c r="S3215" s="7" t="n">
        <f aca="false">IF(AND(H3215&gt;='Exec Summary'!$E$1,H3215&lt;='Exec Summary'!$E$2),1,0)</f>
        <v>0</v>
      </c>
      <c r="T3215" s="7" t="n">
        <f aca="false">IF(AND(F3215="Closed",I3215&lt;&gt;"",I3215&gt;='Exec Summary'!$E$1,I3215&lt;='Exec Summary'!$E$2),1,0)</f>
        <v>1</v>
      </c>
      <c r="U3215" s="7" t="n">
        <f aca="false">IF(F3215="Reopened",1,0)</f>
        <v>0</v>
      </c>
      <c r="V3215" s="7" t="n">
        <f aca="false">IF(AND(R3215=1,O3215&gt;Q3215),1,0)</f>
        <v>0</v>
      </c>
      <c r="W3215" s="7" t="n">
        <f aca="false">IF(AND(T3215=1,P3215&lt;&gt;"",P3215&lt;=Q3215),1,0)</f>
        <v>0</v>
      </c>
    </row>
    <row r="3216" customFormat="false" ht="15" hidden="false" customHeight="false" outlineLevel="0" collapsed="false">
      <c r="A3216" s="7" t="s">
        <v>3785</v>
      </c>
      <c r="B3216" s="7" t="s">
        <v>135</v>
      </c>
      <c r="C3216" s="7" t="s">
        <v>136</v>
      </c>
      <c r="D3216" s="7" t="s">
        <v>59</v>
      </c>
      <c r="E3216" s="7" t="s">
        <v>60</v>
      </c>
      <c r="F3216" s="7" t="s">
        <v>123</v>
      </c>
      <c r="G3216" s="7" t="s">
        <v>19</v>
      </c>
      <c r="H3216" s="9" t="n">
        <v>46126</v>
      </c>
      <c r="I3216" s="9" t="n">
        <v>46127</v>
      </c>
      <c r="J3216" s="7" t="n">
        <v>7.8</v>
      </c>
      <c r="K3216" s="7" t="s">
        <v>3580</v>
      </c>
      <c r="L3216" s="7" t="s">
        <v>20</v>
      </c>
      <c r="M3216" s="7" t="s">
        <v>3788</v>
      </c>
      <c r="N3216" s="7" t="s">
        <v>58</v>
      </c>
      <c r="O3216" s="10" t="n">
        <f aca="false">'Exec Summary'!$E$2-H3216</f>
        <v>108</v>
      </c>
      <c r="P3216" s="10" t="n">
        <f aca="false">IF(I3216="","",I3216-H3216)</f>
        <v>1</v>
      </c>
      <c r="Q3216" s="10" t="n">
        <f aca="false">VLOOKUP(G3216,$AA$2:$AB$5,2,FALSE())</f>
        <v>15</v>
      </c>
      <c r="R3216" s="7" t="n">
        <f aca="false">IF(OR(F3216="Open",F3216="Reopened"),1,0)</f>
        <v>1</v>
      </c>
      <c r="S3216" s="7" t="n">
        <f aca="false">IF(AND(H3216&gt;='Exec Summary'!$E$1,H3216&lt;='Exec Summary'!$E$2),1,0)</f>
        <v>0</v>
      </c>
      <c r="T3216" s="7" t="n">
        <f aca="false">IF(AND(F3216="Closed",I3216&lt;&gt;"",I3216&gt;='Exec Summary'!$E$1,I3216&lt;='Exec Summary'!$E$2),1,0)</f>
        <v>0</v>
      </c>
      <c r="U3216" s="7" t="n">
        <f aca="false">IF(F3216="Reopened",1,0)</f>
        <v>1</v>
      </c>
      <c r="V3216" s="7" t="n">
        <f aca="false">IF(AND(R3216=1,O3216&gt;Q3216),1,0)</f>
        <v>1</v>
      </c>
      <c r="W3216" s="7" t="n">
        <f aca="false">IF(AND(T3216=1,P3216&lt;&gt;"",P3216&lt;=Q3216),1,0)</f>
        <v>0</v>
      </c>
    </row>
    <row r="3217" customFormat="false" ht="15" hidden="false" customHeight="false" outlineLevel="0" collapsed="false">
      <c r="A3217" s="7" t="s">
        <v>3789</v>
      </c>
      <c r="B3217" s="7" t="s">
        <v>46</v>
      </c>
      <c r="C3217" s="7" t="s">
        <v>47</v>
      </c>
      <c r="D3217" s="7" t="s">
        <v>81</v>
      </c>
      <c r="E3217" s="7" t="s">
        <v>82</v>
      </c>
      <c r="F3217" s="7" t="s">
        <v>56</v>
      </c>
      <c r="G3217" s="7" t="s">
        <v>20</v>
      </c>
      <c r="H3217" s="9" t="n">
        <v>45981</v>
      </c>
      <c r="I3217" s="9"/>
      <c r="J3217" s="7" t="n">
        <v>7.8</v>
      </c>
      <c r="K3217" s="7" t="s">
        <v>3580</v>
      </c>
      <c r="L3217" s="7" t="s">
        <v>20</v>
      </c>
      <c r="M3217" s="7" t="s">
        <v>3790</v>
      </c>
      <c r="N3217" s="7" t="s">
        <v>53</v>
      </c>
      <c r="O3217" s="10" t="n">
        <f aca="false">'Exec Summary'!$E$2-H3217</f>
        <v>253</v>
      </c>
      <c r="P3217" s="10" t="str">
        <f aca="false">IF(I3217="","",I3217-H3217)</f>
        <v/>
      </c>
      <c r="Q3217" s="10" t="n">
        <f aca="false">VLOOKUP(G3217,$AA$2:$AB$5,2,FALSE())</f>
        <v>30</v>
      </c>
      <c r="R3217" s="7" t="n">
        <f aca="false">IF(OR(F3217="Open",F3217="Reopened"),1,0)</f>
        <v>1</v>
      </c>
      <c r="S3217" s="7" t="n">
        <f aca="false">IF(AND(H3217&gt;='Exec Summary'!$E$1,H3217&lt;='Exec Summary'!$E$2),1,0)</f>
        <v>0</v>
      </c>
      <c r="T3217" s="7" t="n">
        <f aca="false">IF(AND(F3217="Closed",I3217&lt;&gt;"",I3217&gt;='Exec Summary'!$E$1,I3217&lt;='Exec Summary'!$E$2),1,0)</f>
        <v>0</v>
      </c>
      <c r="U3217" s="7" t="n">
        <f aca="false">IF(F3217="Reopened",1,0)</f>
        <v>0</v>
      </c>
      <c r="V3217" s="7" t="n">
        <f aca="false">IF(AND(R3217=1,O3217&gt;Q3217),1,0)</f>
        <v>1</v>
      </c>
      <c r="W3217" s="7" t="n">
        <f aca="false">IF(AND(T3217=1,P3217&lt;&gt;"",P3217&lt;=Q3217),1,0)</f>
        <v>0</v>
      </c>
    </row>
    <row r="3218" customFormat="false" ht="15" hidden="false" customHeight="false" outlineLevel="0" collapsed="false">
      <c r="A3218" s="7" t="s">
        <v>3791</v>
      </c>
      <c r="B3218" s="7" t="s">
        <v>46</v>
      </c>
      <c r="C3218" s="7" t="s">
        <v>47</v>
      </c>
      <c r="D3218" s="7" t="s">
        <v>139</v>
      </c>
      <c r="E3218" s="7" t="s">
        <v>140</v>
      </c>
      <c r="F3218" s="7" t="s">
        <v>50</v>
      </c>
      <c r="G3218" s="7" t="s">
        <v>19</v>
      </c>
      <c r="H3218" s="9" t="n">
        <v>46079</v>
      </c>
      <c r="I3218" s="9" t="n">
        <v>46080</v>
      </c>
      <c r="J3218" s="7" t="n">
        <v>9.8</v>
      </c>
      <c r="K3218" s="7" t="s">
        <v>3580</v>
      </c>
      <c r="L3218" s="7" t="s">
        <v>22</v>
      </c>
      <c r="M3218" s="7" t="s">
        <v>3792</v>
      </c>
      <c r="N3218" s="7" t="s">
        <v>58</v>
      </c>
      <c r="O3218" s="10" t="n">
        <f aca="false">'Exec Summary'!$E$2-H3218</f>
        <v>155</v>
      </c>
      <c r="P3218" s="10" t="n">
        <f aca="false">IF(I3218="","",I3218-H3218)</f>
        <v>1</v>
      </c>
      <c r="Q3218" s="10" t="n">
        <f aca="false">VLOOKUP(G3218,$AA$2:$AB$5,2,FALSE())</f>
        <v>15</v>
      </c>
      <c r="R3218" s="7" t="n">
        <f aca="false">IF(OR(F3218="Open",F3218="Reopened"),1,0)</f>
        <v>0</v>
      </c>
      <c r="S3218" s="7" t="n">
        <f aca="false">IF(AND(H3218&gt;='Exec Summary'!$E$1,H3218&lt;='Exec Summary'!$E$2),1,0)</f>
        <v>0</v>
      </c>
      <c r="T3218" s="7" t="n">
        <f aca="false">IF(AND(F3218="Closed",I3218&lt;&gt;"",I3218&gt;='Exec Summary'!$E$1,I3218&lt;='Exec Summary'!$E$2),1,0)</f>
        <v>0</v>
      </c>
      <c r="U3218" s="7" t="n">
        <f aca="false">IF(F3218="Reopened",1,0)</f>
        <v>0</v>
      </c>
      <c r="V3218" s="7" t="n">
        <f aca="false">IF(AND(R3218=1,O3218&gt;Q3218),1,0)</f>
        <v>0</v>
      </c>
      <c r="W3218" s="7" t="n">
        <f aca="false">IF(AND(T3218=1,P3218&lt;&gt;"",P3218&lt;=Q3218),1,0)</f>
        <v>0</v>
      </c>
    </row>
    <row r="3219" customFormat="false" ht="15" hidden="false" customHeight="false" outlineLevel="0" collapsed="false">
      <c r="A3219" s="7" t="s">
        <v>3791</v>
      </c>
      <c r="B3219" s="7" t="s">
        <v>46</v>
      </c>
      <c r="C3219" s="7" t="s">
        <v>47</v>
      </c>
      <c r="D3219" s="7" t="s">
        <v>95</v>
      </c>
      <c r="E3219" s="7" t="s">
        <v>96</v>
      </c>
      <c r="F3219" s="7" t="s">
        <v>56</v>
      </c>
      <c r="G3219" s="7" t="s">
        <v>20</v>
      </c>
      <c r="H3219" s="9" t="n">
        <v>46109</v>
      </c>
      <c r="I3219" s="9"/>
      <c r="J3219" s="7" t="n">
        <v>8.8</v>
      </c>
      <c r="K3219" s="7" t="s">
        <v>3580</v>
      </c>
      <c r="L3219" s="7" t="s">
        <v>22</v>
      </c>
      <c r="M3219" s="7" t="s">
        <v>3793</v>
      </c>
      <c r="N3219" s="7" t="s">
        <v>53</v>
      </c>
      <c r="O3219" s="10" t="n">
        <f aca="false">'Exec Summary'!$E$2-H3219</f>
        <v>125</v>
      </c>
      <c r="P3219" s="10" t="str">
        <f aca="false">IF(I3219="","",I3219-H3219)</f>
        <v/>
      </c>
      <c r="Q3219" s="10" t="n">
        <f aca="false">VLOOKUP(G3219,$AA$2:$AB$5,2,FALSE())</f>
        <v>30</v>
      </c>
      <c r="R3219" s="7" t="n">
        <f aca="false">IF(OR(F3219="Open",F3219="Reopened"),1,0)</f>
        <v>1</v>
      </c>
      <c r="S3219" s="7" t="n">
        <f aca="false">IF(AND(H3219&gt;='Exec Summary'!$E$1,H3219&lt;='Exec Summary'!$E$2),1,0)</f>
        <v>0</v>
      </c>
      <c r="T3219" s="7" t="n">
        <f aca="false">IF(AND(F3219="Closed",I3219&lt;&gt;"",I3219&gt;='Exec Summary'!$E$1,I3219&lt;='Exec Summary'!$E$2),1,0)</f>
        <v>0</v>
      </c>
      <c r="U3219" s="7" t="n">
        <f aca="false">IF(F3219="Reopened",1,0)</f>
        <v>0</v>
      </c>
      <c r="V3219" s="7" t="n">
        <f aca="false">IF(AND(R3219=1,O3219&gt;Q3219),1,0)</f>
        <v>1</v>
      </c>
      <c r="W3219" s="7" t="n">
        <f aca="false">IF(AND(T3219=1,P3219&lt;&gt;"",P3219&lt;=Q3219),1,0)</f>
        <v>0</v>
      </c>
    </row>
    <row r="3220" customFormat="false" ht="15" hidden="false" customHeight="false" outlineLevel="0" collapsed="false">
      <c r="A3220" s="7" t="s">
        <v>3791</v>
      </c>
      <c r="B3220" s="7" t="s">
        <v>46</v>
      </c>
      <c r="C3220" s="7" t="s">
        <v>47</v>
      </c>
      <c r="D3220" s="7" t="s">
        <v>163</v>
      </c>
      <c r="E3220" s="7" t="s">
        <v>164</v>
      </c>
      <c r="F3220" s="7" t="s">
        <v>50</v>
      </c>
      <c r="G3220" s="7" t="s">
        <v>19</v>
      </c>
      <c r="H3220" s="9" t="n">
        <v>45957</v>
      </c>
      <c r="I3220" s="9" t="n">
        <v>45969</v>
      </c>
      <c r="J3220" s="7" t="n">
        <v>9.1</v>
      </c>
      <c r="K3220" s="7" t="s">
        <v>3580</v>
      </c>
      <c r="L3220" s="7" t="s">
        <v>22</v>
      </c>
      <c r="M3220" s="7" t="s">
        <v>3794</v>
      </c>
      <c r="N3220" s="7" t="s">
        <v>58</v>
      </c>
      <c r="O3220" s="10" t="n">
        <f aca="false">'Exec Summary'!$E$2-H3220</f>
        <v>277</v>
      </c>
      <c r="P3220" s="10" t="n">
        <f aca="false">IF(I3220="","",I3220-H3220)</f>
        <v>12</v>
      </c>
      <c r="Q3220" s="10" t="n">
        <f aca="false">VLOOKUP(G3220,$AA$2:$AB$5,2,FALSE())</f>
        <v>15</v>
      </c>
      <c r="R3220" s="7" t="n">
        <f aca="false">IF(OR(F3220="Open",F3220="Reopened"),1,0)</f>
        <v>0</v>
      </c>
      <c r="S3220" s="7" t="n">
        <f aca="false">IF(AND(H3220&gt;='Exec Summary'!$E$1,H3220&lt;='Exec Summary'!$E$2),1,0)</f>
        <v>0</v>
      </c>
      <c r="T3220" s="7" t="n">
        <f aca="false">IF(AND(F3220="Closed",I3220&lt;&gt;"",I3220&gt;='Exec Summary'!$E$1,I3220&lt;='Exec Summary'!$E$2),1,0)</f>
        <v>0</v>
      </c>
      <c r="U3220" s="7" t="n">
        <f aca="false">IF(F3220="Reopened",1,0)</f>
        <v>0</v>
      </c>
      <c r="V3220" s="7" t="n">
        <f aca="false">IF(AND(R3220=1,O3220&gt;Q3220),1,0)</f>
        <v>0</v>
      </c>
      <c r="W3220" s="7" t="n">
        <f aca="false">IF(AND(T3220=1,P3220&lt;&gt;"",P3220&lt;=Q3220),1,0)</f>
        <v>0</v>
      </c>
    </row>
    <row r="3221" customFormat="false" ht="15" hidden="false" customHeight="false" outlineLevel="0" collapsed="false">
      <c r="A3221" s="7" t="s">
        <v>3791</v>
      </c>
      <c r="B3221" s="7" t="s">
        <v>46</v>
      </c>
      <c r="C3221" s="7" t="s">
        <v>47</v>
      </c>
      <c r="D3221" s="7" t="s">
        <v>59</v>
      </c>
      <c r="E3221" s="7" t="s">
        <v>60</v>
      </c>
      <c r="F3221" s="7" t="s">
        <v>50</v>
      </c>
      <c r="G3221" s="7" t="s">
        <v>19</v>
      </c>
      <c r="H3221" s="9" t="n">
        <v>46159</v>
      </c>
      <c r="I3221" s="9" t="n">
        <v>46162</v>
      </c>
      <c r="J3221" s="7" t="n">
        <v>7.8</v>
      </c>
      <c r="K3221" s="7" t="s">
        <v>3580</v>
      </c>
      <c r="L3221" s="7" t="s">
        <v>22</v>
      </c>
      <c r="M3221" s="7" t="s">
        <v>3795</v>
      </c>
      <c r="N3221" s="7" t="s">
        <v>58</v>
      </c>
      <c r="O3221" s="10" t="n">
        <f aca="false">'Exec Summary'!$E$2-H3221</f>
        <v>75</v>
      </c>
      <c r="P3221" s="10" t="n">
        <f aca="false">IF(I3221="","",I3221-H3221)</f>
        <v>3</v>
      </c>
      <c r="Q3221" s="10" t="n">
        <f aca="false">VLOOKUP(G3221,$AA$2:$AB$5,2,FALSE())</f>
        <v>15</v>
      </c>
      <c r="R3221" s="7" t="n">
        <f aca="false">IF(OR(F3221="Open",F3221="Reopened"),1,0)</f>
        <v>0</v>
      </c>
      <c r="S3221" s="7" t="n">
        <f aca="false">IF(AND(H3221&gt;='Exec Summary'!$E$1,H3221&lt;='Exec Summary'!$E$2),1,0)</f>
        <v>0</v>
      </c>
      <c r="T3221" s="7" t="n">
        <f aca="false">IF(AND(F3221="Closed",I3221&lt;&gt;"",I3221&gt;='Exec Summary'!$E$1,I3221&lt;='Exec Summary'!$E$2),1,0)</f>
        <v>0</v>
      </c>
      <c r="U3221" s="7" t="n">
        <f aca="false">IF(F3221="Reopened",1,0)</f>
        <v>0</v>
      </c>
      <c r="V3221" s="7" t="n">
        <f aca="false">IF(AND(R3221=1,O3221&gt;Q3221),1,0)</f>
        <v>0</v>
      </c>
      <c r="W3221" s="7" t="n">
        <f aca="false">IF(AND(T3221=1,P3221&lt;&gt;"",P3221&lt;=Q3221),1,0)</f>
        <v>0</v>
      </c>
    </row>
    <row r="3222" customFormat="false" ht="15" hidden="false" customHeight="false" outlineLevel="0" collapsed="false">
      <c r="A3222" s="7" t="s">
        <v>3796</v>
      </c>
      <c r="B3222" s="7" t="s">
        <v>46</v>
      </c>
      <c r="C3222" s="7" t="s">
        <v>128</v>
      </c>
      <c r="D3222" s="7" t="s">
        <v>166</v>
      </c>
      <c r="E3222" s="7" t="s">
        <v>167</v>
      </c>
      <c r="F3222" s="7" t="s">
        <v>50</v>
      </c>
      <c r="G3222" s="7" t="s">
        <v>19</v>
      </c>
      <c r="H3222" s="9" t="n">
        <v>46053</v>
      </c>
      <c r="I3222" s="9" t="n">
        <v>46066</v>
      </c>
      <c r="J3222" s="7" t="n">
        <v>9.8</v>
      </c>
      <c r="K3222" s="7" t="s">
        <v>3580</v>
      </c>
      <c r="L3222" s="7" t="s">
        <v>21</v>
      </c>
      <c r="M3222" s="7" t="s">
        <v>3797</v>
      </c>
      <c r="N3222" s="7" t="s">
        <v>58</v>
      </c>
      <c r="O3222" s="10" t="n">
        <f aca="false">'Exec Summary'!$E$2-H3222</f>
        <v>181</v>
      </c>
      <c r="P3222" s="10" t="n">
        <f aca="false">IF(I3222="","",I3222-H3222)</f>
        <v>13</v>
      </c>
      <c r="Q3222" s="10" t="n">
        <f aca="false">VLOOKUP(G3222,$AA$2:$AB$5,2,FALSE())</f>
        <v>15</v>
      </c>
      <c r="R3222" s="7" t="n">
        <f aca="false">IF(OR(F3222="Open",F3222="Reopened"),1,0)</f>
        <v>0</v>
      </c>
      <c r="S3222" s="7" t="n">
        <f aca="false">IF(AND(H3222&gt;='Exec Summary'!$E$1,H3222&lt;='Exec Summary'!$E$2),1,0)</f>
        <v>0</v>
      </c>
      <c r="T3222" s="7" t="n">
        <f aca="false">IF(AND(F3222="Closed",I3222&lt;&gt;"",I3222&gt;='Exec Summary'!$E$1,I3222&lt;='Exec Summary'!$E$2),1,0)</f>
        <v>0</v>
      </c>
      <c r="U3222" s="7" t="n">
        <f aca="false">IF(F3222="Reopened",1,0)</f>
        <v>0</v>
      </c>
      <c r="V3222" s="7" t="n">
        <f aca="false">IF(AND(R3222=1,O3222&gt;Q3222),1,0)</f>
        <v>0</v>
      </c>
      <c r="W3222" s="7" t="n">
        <f aca="false">IF(AND(T3222=1,P3222&lt;&gt;"",P3222&lt;=Q3222),1,0)</f>
        <v>0</v>
      </c>
    </row>
    <row r="3223" customFormat="false" ht="15" hidden="false" customHeight="false" outlineLevel="0" collapsed="false">
      <c r="A3223" s="7" t="s">
        <v>3796</v>
      </c>
      <c r="B3223" s="7" t="s">
        <v>46</v>
      </c>
      <c r="C3223" s="7" t="s">
        <v>128</v>
      </c>
      <c r="D3223" s="7" t="s">
        <v>95</v>
      </c>
      <c r="E3223" s="7" t="s">
        <v>96</v>
      </c>
      <c r="F3223" s="7" t="s">
        <v>56</v>
      </c>
      <c r="G3223" s="7" t="s">
        <v>20</v>
      </c>
      <c r="H3223" s="9" t="n">
        <v>46001</v>
      </c>
      <c r="I3223" s="9"/>
      <c r="J3223" s="7" t="n">
        <v>8.8</v>
      </c>
      <c r="K3223" s="7" t="s">
        <v>3580</v>
      </c>
      <c r="L3223" s="7" t="s">
        <v>21</v>
      </c>
      <c r="M3223" s="7" t="s">
        <v>3798</v>
      </c>
      <c r="N3223" s="7" t="s">
        <v>53</v>
      </c>
      <c r="O3223" s="10" t="n">
        <f aca="false">'Exec Summary'!$E$2-H3223</f>
        <v>233</v>
      </c>
      <c r="P3223" s="10" t="str">
        <f aca="false">IF(I3223="","",I3223-H3223)</f>
        <v/>
      </c>
      <c r="Q3223" s="10" t="n">
        <f aca="false">VLOOKUP(G3223,$AA$2:$AB$5,2,FALSE())</f>
        <v>30</v>
      </c>
      <c r="R3223" s="7" t="n">
        <f aca="false">IF(OR(F3223="Open",F3223="Reopened"),1,0)</f>
        <v>1</v>
      </c>
      <c r="S3223" s="7" t="n">
        <f aca="false">IF(AND(H3223&gt;='Exec Summary'!$E$1,H3223&lt;='Exec Summary'!$E$2),1,0)</f>
        <v>0</v>
      </c>
      <c r="T3223" s="7" t="n">
        <f aca="false">IF(AND(F3223="Closed",I3223&lt;&gt;"",I3223&gt;='Exec Summary'!$E$1,I3223&lt;='Exec Summary'!$E$2),1,0)</f>
        <v>0</v>
      </c>
      <c r="U3223" s="7" t="n">
        <f aca="false">IF(F3223="Reopened",1,0)</f>
        <v>0</v>
      </c>
      <c r="V3223" s="7" t="n">
        <f aca="false">IF(AND(R3223=1,O3223&gt;Q3223),1,0)</f>
        <v>1</v>
      </c>
      <c r="W3223" s="7" t="n">
        <f aca="false">IF(AND(T3223=1,P3223&lt;&gt;"",P3223&lt;=Q3223),1,0)</f>
        <v>0</v>
      </c>
    </row>
    <row r="3224" customFormat="false" ht="15" hidden="false" customHeight="false" outlineLevel="0" collapsed="false">
      <c r="A3224" s="7" t="s">
        <v>3796</v>
      </c>
      <c r="B3224" s="7" t="s">
        <v>46</v>
      </c>
      <c r="C3224" s="7" t="s">
        <v>128</v>
      </c>
      <c r="D3224" s="7" t="s">
        <v>84</v>
      </c>
      <c r="E3224" s="7" t="s">
        <v>85</v>
      </c>
      <c r="F3224" s="7" t="s">
        <v>50</v>
      </c>
      <c r="G3224" s="7" t="s">
        <v>20</v>
      </c>
      <c r="H3224" s="9" t="n">
        <v>46161</v>
      </c>
      <c r="I3224" s="9" t="n">
        <v>46186</v>
      </c>
      <c r="J3224" s="7" t="n">
        <v>7.5</v>
      </c>
      <c r="K3224" s="7" t="s">
        <v>3580</v>
      </c>
      <c r="L3224" s="7" t="s">
        <v>21</v>
      </c>
      <c r="M3224" s="7" t="s">
        <v>3799</v>
      </c>
      <c r="N3224" s="7" t="s">
        <v>53</v>
      </c>
      <c r="O3224" s="10" t="n">
        <f aca="false">'Exec Summary'!$E$2-H3224</f>
        <v>73</v>
      </c>
      <c r="P3224" s="10" t="n">
        <f aca="false">IF(I3224="","",I3224-H3224)</f>
        <v>25</v>
      </c>
      <c r="Q3224" s="10" t="n">
        <f aca="false">VLOOKUP(G3224,$AA$2:$AB$5,2,FALSE())</f>
        <v>30</v>
      </c>
      <c r="R3224" s="7" t="n">
        <f aca="false">IF(OR(F3224="Open",F3224="Reopened"),1,0)</f>
        <v>0</v>
      </c>
      <c r="S3224" s="7" t="n">
        <f aca="false">IF(AND(H3224&gt;='Exec Summary'!$E$1,H3224&lt;='Exec Summary'!$E$2),1,0)</f>
        <v>0</v>
      </c>
      <c r="T3224" s="7" t="n">
        <f aca="false">IF(AND(F3224="Closed",I3224&lt;&gt;"",I3224&gt;='Exec Summary'!$E$1,I3224&lt;='Exec Summary'!$E$2),1,0)</f>
        <v>0</v>
      </c>
      <c r="U3224" s="7" t="n">
        <f aca="false">IF(F3224="Reopened",1,0)</f>
        <v>0</v>
      </c>
      <c r="V3224" s="7" t="n">
        <f aca="false">IF(AND(R3224=1,O3224&gt;Q3224),1,0)</f>
        <v>0</v>
      </c>
      <c r="W3224" s="7" t="n">
        <f aca="false">IF(AND(T3224=1,P3224&lt;&gt;"",P3224&lt;=Q3224),1,0)</f>
        <v>0</v>
      </c>
    </row>
    <row r="3225" customFormat="false" ht="15" hidden="false" customHeight="false" outlineLevel="0" collapsed="false">
      <c r="A3225" s="7" t="s">
        <v>3796</v>
      </c>
      <c r="B3225" s="7" t="s">
        <v>46</v>
      </c>
      <c r="C3225" s="7" t="s">
        <v>128</v>
      </c>
      <c r="D3225" s="7" t="s">
        <v>74</v>
      </c>
      <c r="E3225" s="7" t="s">
        <v>75</v>
      </c>
      <c r="F3225" s="7" t="s">
        <v>56</v>
      </c>
      <c r="G3225" s="7" t="s">
        <v>21</v>
      </c>
      <c r="H3225" s="9" t="n">
        <v>46150</v>
      </c>
      <c r="I3225" s="9"/>
      <c r="J3225" s="7" t="n">
        <v>6.5</v>
      </c>
      <c r="K3225" s="7" t="s">
        <v>3580</v>
      </c>
      <c r="L3225" s="7" t="s">
        <v>21</v>
      </c>
      <c r="M3225" s="7" t="s">
        <v>3800</v>
      </c>
      <c r="N3225" s="7" t="s">
        <v>77</v>
      </c>
      <c r="O3225" s="10" t="n">
        <f aca="false">'Exec Summary'!$E$2-H3225</f>
        <v>84</v>
      </c>
      <c r="P3225" s="10" t="str">
        <f aca="false">IF(I3225="","",I3225-H3225)</f>
        <v/>
      </c>
      <c r="Q3225" s="10" t="n">
        <f aca="false">VLOOKUP(G3225,$AA$2:$AB$5,2,FALSE())</f>
        <v>90</v>
      </c>
      <c r="R3225" s="7" t="n">
        <f aca="false">IF(OR(F3225="Open",F3225="Reopened"),1,0)</f>
        <v>1</v>
      </c>
      <c r="S3225" s="7" t="n">
        <f aca="false">IF(AND(H3225&gt;='Exec Summary'!$E$1,H3225&lt;='Exec Summary'!$E$2),1,0)</f>
        <v>0</v>
      </c>
      <c r="T3225" s="7" t="n">
        <f aca="false">IF(AND(F3225="Closed",I3225&lt;&gt;"",I3225&gt;='Exec Summary'!$E$1,I3225&lt;='Exec Summary'!$E$2),1,0)</f>
        <v>0</v>
      </c>
      <c r="U3225" s="7" t="n">
        <f aca="false">IF(F3225="Reopened",1,0)</f>
        <v>0</v>
      </c>
      <c r="V3225" s="7" t="n">
        <f aca="false">IF(AND(R3225=1,O3225&gt;Q3225),1,0)</f>
        <v>0</v>
      </c>
      <c r="W3225" s="7" t="n">
        <f aca="false">IF(AND(T3225=1,P3225&lt;&gt;"",P3225&lt;=Q3225),1,0)</f>
        <v>0</v>
      </c>
    </row>
    <row r="3226" customFormat="false" ht="15" hidden="false" customHeight="false" outlineLevel="0" collapsed="false">
      <c r="A3226" s="7" t="s">
        <v>3796</v>
      </c>
      <c r="B3226" s="7" t="s">
        <v>46</v>
      </c>
      <c r="C3226" s="7" t="s">
        <v>128</v>
      </c>
      <c r="D3226" s="7" t="s">
        <v>117</v>
      </c>
      <c r="E3226" s="7" t="s">
        <v>118</v>
      </c>
      <c r="F3226" s="7" t="s">
        <v>50</v>
      </c>
      <c r="G3226" s="7" t="s">
        <v>19</v>
      </c>
      <c r="H3226" s="9" t="n">
        <v>45970</v>
      </c>
      <c r="I3226" s="9" t="n">
        <v>45991</v>
      </c>
      <c r="J3226" s="7" t="n">
        <v>10</v>
      </c>
      <c r="K3226" s="7" t="s">
        <v>3580</v>
      </c>
      <c r="L3226" s="7" t="s">
        <v>21</v>
      </c>
      <c r="M3226" s="7" t="s">
        <v>3801</v>
      </c>
      <c r="N3226" s="7" t="s">
        <v>58</v>
      </c>
      <c r="O3226" s="10" t="n">
        <f aca="false">'Exec Summary'!$E$2-H3226</f>
        <v>264</v>
      </c>
      <c r="P3226" s="10" t="n">
        <f aca="false">IF(I3226="","",I3226-H3226)</f>
        <v>21</v>
      </c>
      <c r="Q3226" s="10" t="n">
        <f aca="false">VLOOKUP(G3226,$AA$2:$AB$5,2,FALSE())</f>
        <v>15</v>
      </c>
      <c r="R3226" s="7" t="n">
        <f aca="false">IF(OR(F3226="Open",F3226="Reopened"),1,0)</f>
        <v>0</v>
      </c>
      <c r="S3226" s="7" t="n">
        <f aca="false">IF(AND(H3226&gt;='Exec Summary'!$E$1,H3226&lt;='Exec Summary'!$E$2),1,0)</f>
        <v>0</v>
      </c>
      <c r="T3226" s="7" t="n">
        <f aca="false">IF(AND(F3226="Closed",I3226&lt;&gt;"",I3226&gt;='Exec Summary'!$E$1,I3226&lt;='Exec Summary'!$E$2),1,0)</f>
        <v>0</v>
      </c>
      <c r="U3226" s="7" t="n">
        <f aca="false">IF(F3226="Reopened",1,0)</f>
        <v>0</v>
      </c>
      <c r="V3226" s="7" t="n">
        <f aca="false">IF(AND(R3226=1,O3226&gt;Q3226),1,0)</f>
        <v>0</v>
      </c>
      <c r="W3226" s="7" t="n">
        <f aca="false">IF(AND(T3226=1,P3226&lt;&gt;"",P3226&lt;=Q3226),1,0)</f>
        <v>0</v>
      </c>
    </row>
    <row r="3227" customFormat="false" ht="15" hidden="false" customHeight="false" outlineLevel="0" collapsed="false">
      <c r="A3227" s="7" t="s">
        <v>3796</v>
      </c>
      <c r="B3227" s="7" t="s">
        <v>46</v>
      </c>
      <c r="C3227" s="7" t="s">
        <v>128</v>
      </c>
      <c r="D3227" s="7" t="s">
        <v>104</v>
      </c>
      <c r="E3227" s="7" t="s">
        <v>105</v>
      </c>
      <c r="F3227" s="7" t="s">
        <v>50</v>
      </c>
      <c r="G3227" s="7" t="s">
        <v>19</v>
      </c>
      <c r="H3227" s="9" t="n">
        <v>46087</v>
      </c>
      <c r="I3227" s="9" t="n">
        <v>46104</v>
      </c>
      <c r="J3227" s="7" t="n">
        <v>9.8</v>
      </c>
      <c r="K3227" s="7" t="s">
        <v>3580</v>
      </c>
      <c r="L3227" s="7" t="s">
        <v>21</v>
      </c>
      <c r="M3227" s="7" t="s">
        <v>3802</v>
      </c>
      <c r="N3227" s="7" t="s">
        <v>58</v>
      </c>
      <c r="O3227" s="10" t="n">
        <f aca="false">'Exec Summary'!$E$2-H3227</f>
        <v>147</v>
      </c>
      <c r="P3227" s="10" t="n">
        <f aca="false">IF(I3227="","",I3227-H3227)</f>
        <v>17</v>
      </c>
      <c r="Q3227" s="10" t="n">
        <f aca="false">VLOOKUP(G3227,$AA$2:$AB$5,2,FALSE())</f>
        <v>15</v>
      </c>
      <c r="R3227" s="7" t="n">
        <f aca="false">IF(OR(F3227="Open",F3227="Reopened"),1,0)</f>
        <v>0</v>
      </c>
      <c r="S3227" s="7" t="n">
        <f aca="false">IF(AND(H3227&gt;='Exec Summary'!$E$1,H3227&lt;='Exec Summary'!$E$2),1,0)</f>
        <v>0</v>
      </c>
      <c r="T3227" s="7" t="n">
        <f aca="false">IF(AND(F3227="Closed",I3227&lt;&gt;"",I3227&gt;='Exec Summary'!$E$1,I3227&lt;='Exec Summary'!$E$2),1,0)</f>
        <v>0</v>
      </c>
      <c r="U3227" s="7" t="n">
        <f aca="false">IF(F3227="Reopened",1,0)</f>
        <v>0</v>
      </c>
      <c r="V3227" s="7" t="n">
        <f aca="false">IF(AND(R3227=1,O3227&gt;Q3227),1,0)</f>
        <v>0</v>
      </c>
      <c r="W3227" s="7" t="n">
        <f aca="false">IF(AND(T3227=1,P3227&lt;&gt;"",P3227&lt;=Q3227),1,0)</f>
        <v>0</v>
      </c>
    </row>
    <row r="3228" customFormat="false" ht="15" hidden="false" customHeight="false" outlineLevel="0" collapsed="false">
      <c r="A3228" s="7" t="s">
        <v>3796</v>
      </c>
      <c r="B3228" s="7" t="s">
        <v>46</v>
      </c>
      <c r="C3228" s="7" t="s">
        <v>128</v>
      </c>
      <c r="D3228" s="7" t="s">
        <v>48</v>
      </c>
      <c r="E3228" s="7" t="s">
        <v>49</v>
      </c>
      <c r="F3228" s="7" t="s">
        <v>50</v>
      </c>
      <c r="G3228" s="7" t="s">
        <v>20</v>
      </c>
      <c r="H3228" s="9" t="n">
        <v>46007</v>
      </c>
      <c r="I3228" s="9" t="n">
        <v>46012</v>
      </c>
      <c r="J3228" s="7" t="n">
        <v>7.5</v>
      </c>
      <c r="K3228" s="7" t="s">
        <v>3580</v>
      </c>
      <c r="L3228" s="7" t="s">
        <v>21</v>
      </c>
      <c r="M3228" s="7" t="s">
        <v>3803</v>
      </c>
      <c r="N3228" s="7" t="s">
        <v>53</v>
      </c>
      <c r="O3228" s="10" t="n">
        <f aca="false">'Exec Summary'!$E$2-H3228</f>
        <v>227</v>
      </c>
      <c r="P3228" s="10" t="n">
        <f aca="false">IF(I3228="","",I3228-H3228)</f>
        <v>5</v>
      </c>
      <c r="Q3228" s="10" t="n">
        <f aca="false">VLOOKUP(G3228,$AA$2:$AB$5,2,FALSE())</f>
        <v>30</v>
      </c>
      <c r="R3228" s="7" t="n">
        <f aca="false">IF(OR(F3228="Open",F3228="Reopened"),1,0)</f>
        <v>0</v>
      </c>
      <c r="S3228" s="7" t="n">
        <f aca="false">IF(AND(H3228&gt;='Exec Summary'!$E$1,H3228&lt;='Exec Summary'!$E$2),1,0)</f>
        <v>0</v>
      </c>
      <c r="T3228" s="7" t="n">
        <f aca="false">IF(AND(F3228="Closed",I3228&lt;&gt;"",I3228&gt;='Exec Summary'!$E$1,I3228&lt;='Exec Summary'!$E$2),1,0)</f>
        <v>0</v>
      </c>
      <c r="U3228" s="7" t="n">
        <f aca="false">IF(F3228="Reopened",1,0)</f>
        <v>0</v>
      </c>
      <c r="V3228" s="7" t="n">
        <f aca="false">IF(AND(R3228=1,O3228&gt;Q3228),1,0)</f>
        <v>0</v>
      </c>
      <c r="W3228" s="7" t="n">
        <f aca="false">IF(AND(T3228=1,P3228&lt;&gt;"",P3228&lt;=Q3228),1,0)</f>
        <v>0</v>
      </c>
    </row>
    <row r="3229" customFormat="false" ht="15" hidden="false" customHeight="false" outlineLevel="0" collapsed="false">
      <c r="A3229" s="7" t="s">
        <v>3796</v>
      </c>
      <c r="B3229" s="7" t="s">
        <v>46</v>
      </c>
      <c r="C3229" s="7" t="s">
        <v>128</v>
      </c>
      <c r="D3229" s="7" t="s">
        <v>192</v>
      </c>
      <c r="E3229" s="7" t="s">
        <v>193</v>
      </c>
      <c r="F3229" s="7" t="s">
        <v>56</v>
      </c>
      <c r="G3229" s="7" t="s">
        <v>19</v>
      </c>
      <c r="H3229" s="9" t="n">
        <v>46043</v>
      </c>
      <c r="I3229" s="9"/>
      <c r="J3229" s="7" t="n">
        <v>9.8</v>
      </c>
      <c r="K3229" s="7" t="s">
        <v>3580</v>
      </c>
      <c r="L3229" s="7" t="s">
        <v>21</v>
      </c>
      <c r="M3229" s="7" t="s">
        <v>3804</v>
      </c>
      <c r="N3229" s="7" t="s">
        <v>58</v>
      </c>
      <c r="O3229" s="10" t="n">
        <f aca="false">'Exec Summary'!$E$2-H3229</f>
        <v>191</v>
      </c>
      <c r="P3229" s="10" t="str">
        <f aca="false">IF(I3229="","",I3229-H3229)</f>
        <v/>
      </c>
      <c r="Q3229" s="10" t="n">
        <f aca="false">VLOOKUP(G3229,$AA$2:$AB$5,2,FALSE())</f>
        <v>15</v>
      </c>
      <c r="R3229" s="7" t="n">
        <f aca="false">IF(OR(F3229="Open",F3229="Reopened"),1,0)</f>
        <v>1</v>
      </c>
      <c r="S3229" s="7" t="n">
        <f aca="false">IF(AND(H3229&gt;='Exec Summary'!$E$1,H3229&lt;='Exec Summary'!$E$2),1,0)</f>
        <v>0</v>
      </c>
      <c r="T3229" s="7" t="n">
        <f aca="false">IF(AND(F3229="Closed",I3229&lt;&gt;"",I3229&gt;='Exec Summary'!$E$1,I3229&lt;='Exec Summary'!$E$2),1,0)</f>
        <v>0</v>
      </c>
      <c r="U3229" s="7" t="n">
        <f aca="false">IF(F3229="Reopened",1,0)</f>
        <v>0</v>
      </c>
      <c r="V3229" s="7" t="n">
        <f aca="false">IF(AND(R3229=1,O3229&gt;Q3229),1,0)</f>
        <v>1</v>
      </c>
      <c r="W3229" s="7" t="n">
        <f aca="false">IF(AND(T3229=1,P3229&lt;&gt;"",P3229&lt;=Q3229),1,0)</f>
        <v>0</v>
      </c>
    </row>
    <row r="3230" customFormat="false" ht="15" hidden="false" customHeight="false" outlineLevel="0" collapsed="false">
      <c r="A3230" s="7" t="s">
        <v>3796</v>
      </c>
      <c r="B3230" s="7" t="s">
        <v>46</v>
      </c>
      <c r="C3230" s="7" t="s">
        <v>128</v>
      </c>
      <c r="D3230" s="7" t="s">
        <v>145</v>
      </c>
      <c r="E3230" s="7" t="s">
        <v>146</v>
      </c>
      <c r="F3230" s="7" t="s">
        <v>56</v>
      </c>
      <c r="G3230" s="7" t="s">
        <v>19</v>
      </c>
      <c r="H3230" s="9" t="n">
        <v>46144</v>
      </c>
      <c r="I3230" s="9"/>
      <c r="J3230" s="7" t="n">
        <v>9.8</v>
      </c>
      <c r="K3230" s="7" t="s">
        <v>3580</v>
      </c>
      <c r="L3230" s="7" t="s">
        <v>21</v>
      </c>
      <c r="M3230" s="7" t="s">
        <v>3805</v>
      </c>
      <c r="N3230" s="7" t="s">
        <v>58</v>
      </c>
      <c r="O3230" s="10" t="n">
        <f aca="false">'Exec Summary'!$E$2-H3230</f>
        <v>90</v>
      </c>
      <c r="P3230" s="10" t="str">
        <f aca="false">IF(I3230="","",I3230-H3230)</f>
        <v/>
      </c>
      <c r="Q3230" s="10" t="n">
        <f aca="false">VLOOKUP(G3230,$AA$2:$AB$5,2,FALSE())</f>
        <v>15</v>
      </c>
      <c r="R3230" s="7" t="n">
        <f aca="false">IF(OR(F3230="Open",F3230="Reopened"),1,0)</f>
        <v>1</v>
      </c>
      <c r="S3230" s="7" t="n">
        <f aca="false">IF(AND(H3230&gt;='Exec Summary'!$E$1,H3230&lt;='Exec Summary'!$E$2),1,0)</f>
        <v>0</v>
      </c>
      <c r="T3230" s="7" t="n">
        <f aca="false">IF(AND(F3230="Closed",I3230&lt;&gt;"",I3230&gt;='Exec Summary'!$E$1,I3230&lt;='Exec Summary'!$E$2),1,0)</f>
        <v>0</v>
      </c>
      <c r="U3230" s="7" t="n">
        <f aca="false">IF(F3230="Reopened",1,0)</f>
        <v>0</v>
      </c>
      <c r="V3230" s="7" t="n">
        <f aca="false">IF(AND(R3230=1,O3230&gt;Q3230),1,0)</f>
        <v>1</v>
      </c>
      <c r="W3230" s="7" t="n">
        <f aca="false">IF(AND(T3230=1,P3230&lt;&gt;"",P3230&lt;=Q3230),1,0)</f>
        <v>0</v>
      </c>
    </row>
    <row r="3231" customFormat="false" ht="15" hidden="false" customHeight="false" outlineLevel="0" collapsed="false">
      <c r="A3231" s="7" t="s">
        <v>3796</v>
      </c>
      <c r="B3231" s="7" t="s">
        <v>46</v>
      </c>
      <c r="C3231" s="7" t="s">
        <v>128</v>
      </c>
      <c r="D3231" s="7" t="s">
        <v>152</v>
      </c>
      <c r="E3231" s="7" t="s">
        <v>153</v>
      </c>
      <c r="F3231" s="7" t="s">
        <v>50</v>
      </c>
      <c r="G3231" s="7" t="s">
        <v>20</v>
      </c>
      <c r="H3231" s="9" t="n">
        <v>46045</v>
      </c>
      <c r="I3231" s="9" t="n">
        <v>46060</v>
      </c>
      <c r="J3231" s="7" t="n">
        <v>7.5</v>
      </c>
      <c r="K3231" s="7" t="s">
        <v>3580</v>
      </c>
      <c r="L3231" s="7" t="s">
        <v>21</v>
      </c>
      <c r="M3231" s="7" t="s">
        <v>3806</v>
      </c>
      <c r="N3231" s="7" t="s">
        <v>53</v>
      </c>
      <c r="O3231" s="10" t="n">
        <f aca="false">'Exec Summary'!$E$2-H3231</f>
        <v>189</v>
      </c>
      <c r="P3231" s="10" t="n">
        <f aca="false">IF(I3231="","",I3231-H3231)</f>
        <v>15</v>
      </c>
      <c r="Q3231" s="10" t="n">
        <f aca="false">VLOOKUP(G3231,$AA$2:$AB$5,2,FALSE())</f>
        <v>30</v>
      </c>
      <c r="R3231" s="7" t="n">
        <f aca="false">IF(OR(F3231="Open",F3231="Reopened"),1,0)</f>
        <v>0</v>
      </c>
      <c r="S3231" s="7" t="n">
        <f aca="false">IF(AND(H3231&gt;='Exec Summary'!$E$1,H3231&lt;='Exec Summary'!$E$2),1,0)</f>
        <v>0</v>
      </c>
      <c r="T3231" s="7" t="n">
        <f aca="false">IF(AND(F3231="Closed",I3231&lt;&gt;"",I3231&gt;='Exec Summary'!$E$1,I3231&lt;='Exec Summary'!$E$2),1,0)</f>
        <v>0</v>
      </c>
      <c r="U3231" s="7" t="n">
        <f aca="false">IF(F3231="Reopened",1,0)</f>
        <v>0</v>
      </c>
      <c r="V3231" s="7" t="n">
        <f aca="false">IF(AND(R3231=1,O3231&gt;Q3231),1,0)</f>
        <v>0</v>
      </c>
      <c r="W3231" s="7" t="n">
        <f aca="false">IF(AND(T3231=1,P3231&lt;&gt;"",P3231&lt;=Q3231),1,0)</f>
        <v>0</v>
      </c>
    </row>
    <row r="3232" customFormat="false" ht="15" hidden="false" customHeight="false" outlineLevel="0" collapsed="false">
      <c r="A3232" s="7" t="s">
        <v>3796</v>
      </c>
      <c r="B3232" s="7" t="s">
        <v>46</v>
      </c>
      <c r="C3232" s="7" t="s">
        <v>128</v>
      </c>
      <c r="D3232" s="7" t="s">
        <v>87</v>
      </c>
      <c r="E3232" s="7" t="s">
        <v>88</v>
      </c>
      <c r="F3232" s="7" t="s">
        <v>50</v>
      </c>
      <c r="G3232" s="7" t="s">
        <v>19</v>
      </c>
      <c r="H3232" s="9" t="n">
        <v>46130</v>
      </c>
      <c r="I3232" s="9" t="n">
        <v>46131</v>
      </c>
      <c r="J3232" s="7" t="n">
        <v>10</v>
      </c>
      <c r="K3232" s="7" t="s">
        <v>3580</v>
      </c>
      <c r="L3232" s="7" t="s">
        <v>21</v>
      </c>
      <c r="M3232" s="7" t="s">
        <v>3807</v>
      </c>
      <c r="N3232" s="7" t="s">
        <v>58</v>
      </c>
      <c r="O3232" s="10" t="n">
        <f aca="false">'Exec Summary'!$E$2-H3232</f>
        <v>104</v>
      </c>
      <c r="P3232" s="10" t="n">
        <f aca="false">IF(I3232="","",I3232-H3232)</f>
        <v>1</v>
      </c>
      <c r="Q3232" s="10" t="n">
        <f aca="false">VLOOKUP(G3232,$AA$2:$AB$5,2,FALSE())</f>
        <v>15</v>
      </c>
      <c r="R3232" s="7" t="n">
        <f aca="false">IF(OR(F3232="Open",F3232="Reopened"),1,0)</f>
        <v>0</v>
      </c>
      <c r="S3232" s="7" t="n">
        <f aca="false">IF(AND(H3232&gt;='Exec Summary'!$E$1,H3232&lt;='Exec Summary'!$E$2),1,0)</f>
        <v>0</v>
      </c>
      <c r="T3232" s="7" t="n">
        <f aca="false">IF(AND(F3232="Closed",I3232&lt;&gt;"",I3232&gt;='Exec Summary'!$E$1,I3232&lt;='Exec Summary'!$E$2),1,0)</f>
        <v>0</v>
      </c>
      <c r="U3232" s="7" t="n">
        <f aca="false">IF(F3232="Reopened",1,0)</f>
        <v>0</v>
      </c>
      <c r="V3232" s="7" t="n">
        <f aca="false">IF(AND(R3232=1,O3232&gt;Q3232),1,0)</f>
        <v>0</v>
      </c>
      <c r="W3232" s="7" t="n">
        <f aca="false">IF(AND(T3232=1,P3232&lt;&gt;"",P3232&lt;=Q3232),1,0)</f>
        <v>0</v>
      </c>
    </row>
    <row r="3233" customFormat="false" ht="15" hidden="false" customHeight="false" outlineLevel="0" collapsed="false">
      <c r="A3233" s="7" t="s">
        <v>3808</v>
      </c>
      <c r="B3233" s="7" t="s">
        <v>46</v>
      </c>
      <c r="C3233" s="7" t="s">
        <v>79</v>
      </c>
      <c r="D3233" s="7" t="s">
        <v>101</v>
      </c>
      <c r="E3233" s="7" t="s">
        <v>102</v>
      </c>
      <c r="F3233" s="7" t="s">
        <v>56</v>
      </c>
      <c r="G3233" s="7" t="s">
        <v>19</v>
      </c>
      <c r="H3233" s="9" t="n">
        <v>45961</v>
      </c>
      <c r="I3233" s="9"/>
      <c r="J3233" s="7" t="n">
        <v>10</v>
      </c>
      <c r="K3233" s="7" t="s">
        <v>3580</v>
      </c>
      <c r="L3233" s="7" t="s">
        <v>20</v>
      </c>
      <c r="M3233" s="7" t="s">
        <v>3809</v>
      </c>
      <c r="N3233" s="7" t="s">
        <v>58</v>
      </c>
      <c r="O3233" s="10" t="n">
        <f aca="false">'Exec Summary'!$E$2-H3233</f>
        <v>273</v>
      </c>
      <c r="P3233" s="10" t="str">
        <f aca="false">IF(I3233="","",I3233-H3233)</f>
        <v/>
      </c>
      <c r="Q3233" s="10" t="n">
        <f aca="false">VLOOKUP(G3233,$AA$2:$AB$5,2,FALSE())</f>
        <v>15</v>
      </c>
      <c r="R3233" s="7" t="n">
        <f aca="false">IF(OR(F3233="Open",F3233="Reopened"),1,0)</f>
        <v>1</v>
      </c>
      <c r="S3233" s="7" t="n">
        <f aca="false">IF(AND(H3233&gt;='Exec Summary'!$E$1,H3233&lt;='Exec Summary'!$E$2),1,0)</f>
        <v>0</v>
      </c>
      <c r="T3233" s="7" t="n">
        <f aca="false">IF(AND(F3233="Closed",I3233&lt;&gt;"",I3233&gt;='Exec Summary'!$E$1,I3233&lt;='Exec Summary'!$E$2),1,0)</f>
        <v>0</v>
      </c>
      <c r="U3233" s="7" t="n">
        <f aca="false">IF(F3233="Reopened",1,0)</f>
        <v>0</v>
      </c>
      <c r="V3233" s="7" t="n">
        <f aca="false">IF(AND(R3233=1,O3233&gt;Q3233),1,0)</f>
        <v>1</v>
      </c>
      <c r="W3233" s="7" t="n">
        <f aca="false">IF(AND(T3233=1,P3233&lt;&gt;"",P3233&lt;=Q3233),1,0)</f>
        <v>0</v>
      </c>
    </row>
    <row r="3234" customFormat="false" ht="15" hidden="false" customHeight="false" outlineLevel="0" collapsed="false">
      <c r="A3234" s="7" t="s">
        <v>3808</v>
      </c>
      <c r="B3234" s="7" t="s">
        <v>46</v>
      </c>
      <c r="C3234" s="7" t="s">
        <v>79</v>
      </c>
      <c r="D3234" s="7" t="s">
        <v>81</v>
      </c>
      <c r="E3234" s="7" t="s">
        <v>82</v>
      </c>
      <c r="F3234" s="7" t="s">
        <v>50</v>
      </c>
      <c r="G3234" s="7" t="s">
        <v>20</v>
      </c>
      <c r="H3234" s="9" t="n">
        <v>46187</v>
      </c>
      <c r="I3234" s="9" t="n">
        <v>46219</v>
      </c>
      <c r="J3234" s="7" t="n">
        <v>7.8</v>
      </c>
      <c r="K3234" s="7" t="s">
        <v>3580</v>
      </c>
      <c r="L3234" s="7" t="s">
        <v>20</v>
      </c>
      <c r="M3234" s="7" t="s">
        <v>3810</v>
      </c>
      <c r="N3234" s="7" t="s">
        <v>53</v>
      </c>
      <c r="O3234" s="10" t="n">
        <f aca="false">'Exec Summary'!$E$2-H3234</f>
        <v>47</v>
      </c>
      <c r="P3234" s="10" t="n">
        <f aca="false">IF(I3234="","",I3234-H3234)</f>
        <v>32</v>
      </c>
      <c r="Q3234" s="10" t="n">
        <f aca="false">VLOOKUP(G3234,$AA$2:$AB$5,2,FALSE())</f>
        <v>30</v>
      </c>
      <c r="R3234" s="7" t="n">
        <f aca="false">IF(OR(F3234="Open",F3234="Reopened"),1,0)</f>
        <v>0</v>
      </c>
      <c r="S3234" s="7" t="n">
        <f aca="false">IF(AND(H3234&gt;='Exec Summary'!$E$1,H3234&lt;='Exec Summary'!$E$2),1,0)</f>
        <v>0</v>
      </c>
      <c r="T3234" s="7" t="n">
        <f aca="false">IF(AND(F3234="Closed",I3234&lt;&gt;"",I3234&gt;='Exec Summary'!$E$1,I3234&lt;='Exec Summary'!$E$2),1,0)</f>
        <v>1</v>
      </c>
      <c r="U3234" s="7" t="n">
        <f aca="false">IF(F3234="Reopened",1,0)</f>
        <v>0</v>
      </c>
      <c r="V3234" s="7" t="n">
        <f aca="false">IF(AND(R3234=1,O3234&gt;Q3234),1,0)</f>
        <v>0</v>
      </c>
      <c r="W3234" s="7" t="n">
        <f aca="false">IF(AND(T3234=1,P3234&lt;&gt;"",P3234&lt;=Q3234),1,0)</f>
        <v>0</v>
      </c>
    </row>
    <row r="3235" customFormat="false" ht="15" hidden="false" customHeight="false" outlineLevel="0" collapsed="false">
      <c r="A3235" s="7" t="s">
        <v>3808</v>
      </c>
      <c r="B3235" s="7" t="s">
        <v>46</v>
      </c>
      <c r="C3235" s="7" t="s">
        <v>79</v>
      </c>
      <c r="D3235" s="7" t="s">
        <v>210</v>
      </c>
      <c r="E3235" s="7" t="s">
        <v>211</v>
      </c>
      <c r="F3235" s="7" t="s">
        <v>56</v>
      </c>
      <c r="G3235" s="7" t="s">
        <v>19</v>
      </c>
      <c r="H3235" s="9" t="n">
        <v>46204</v>
      </c>
      <c r="I3235" s="9"/>
      <c r="J3235" s="7" t="n">
        <v>9.8</v>
      </c>
      <c r="K3235" s="7" t="s">
        <v>3580</v>
      </c>
      <c r="L3235" s="7" t="s">
        <v>20</v>
      </c>
      <c r="M3235" s="7" t="s">
        <v>3811</v>
      </c>
      <c r="N3235" s="7" t="s">
        <v>58</v>
      </c>
      <c r="O3235" s="10" t="n">
        <f aca="false">'Exec Summary'!$E$2-H3235</f>
        <v>30</v>
      </c>
      <c r="P3235" s="10" t="str">
        <f aca="false">IF(I3235="","",I3235-H3235)</f>
        <v/>
      </c>
      <c r="Q3235" s="10" t="n">
        <f aca="false">VLOOKUP(G3235,$AA$2:$AB$5,2,FALSE())</f>
        <v>15</v>
      </c>
      <c r="R3235" s="7" t="n">
        <f aca="false">IF(OR(F3235="Open",F3235="Reopened"),1,0)</f>
        <v>1</v>
      </c>
      <c r="S3235" s="7" t="n">
        <f aca="false">IF(AND(H3235&gt;='Exec Summary'!$E$1,H3235&lt;='Exec Summary'!$E$2),1,0)</f>
        <v>1</v>
      </c>
      <c r="T3235" s="7" t="n">
        <f aca="false">IF(AND(F3235="Closed",I3235&lt;&gt;"",I3235&gt;='Exec Summary'!$E$1,I3235&lt;='Exec Summary'!$E$2),1,0)</f>
        <v>0</v>
      </c>
      <c r="U3235" s="7" t="n">
        <f aca="false">IF(F3235="Reopened",1,0)</f>
        <v>0</v>
      </c>
      <c r="V3235" s="7" t="n">
        <f aca="false">IF(AND(R3235=1,O3235&gt;Q3235),1,0)</f>
        <v>1</v>
      </c>
      <c r="W3235" s="7" t="n">
        <f aca="false">IF(AND(T3235=1,P3235&lt;&gt;"",P3235&lt;=Q3235),1,0)</f>
        <v>0</v>
      </c>
    </row>
    <row r="3236" customFormat="false" ht="15" hidden="false" customHeight="false" outlineLevel="0" collapsed="false">
      <c r="A3236" s="7" t="s">
        <v>3808</v>
      </c>
      <c r="B3236" s="7" t="s">
        <v>46</v>
      </c>
      <c r="C3236" s="7" t="s">
        <v>79</v>
      </c>
      <c r="D3236" s="7" t="s">
        <v>117</v>
      </c>
      <c r="E3236" s="7" t="s">
        <v>118</v>
      </c>
      <c r="F3236" s="7" t="s">
        <v>56</v>
      </c>
      <c r="G3236" s="7" t="s">
        <v>19</v>
      </c>
      <c r="H3236" s="9" t="n">
        <v>46118</v>
      </c>
      <c r="I3236" s="9"/>
      <c r="J3236" s="7" t="n">
        <v>10</v>
      </c>
      <c r="K3236" s="7" t="s">
        <v>3580</v>
      </c>
      <c r="L3236" s="7" t="s">
        <v>20</v>
      </c>
      <c r="M3236" s="7" t="s">
        <v>3812</v>
      </c>
      <c r="N3236" s="7" t="s">
        <v>58</v>
      </c>
      <c r="O3236" s="10" t="n">
        <f aca="false">'Exec Summary'!$E$2-H3236</f>
        <v>116</v>
      </c>
      <c r="P3236" s="10" t="str">
        <f aca="false">IF(I3236="","",I3236-H3236)</f>
        <v/>
      </c>
      <c r="Q3236" s="10" t="n">
        <f aca="false">VLOOKUP(G3236,$AA$2:$AB$5,2,FALSE())</f>
        <v>15</v>
      </c>
      <c r="R3236" s="7" t="n">
        <f aca="false">IF(OR(F3236="Open",F3236="Reopened"),1,0)</f>
        <v>1</v>
      </c>
      <c r="S3236" s="7" t="n">
        <f aca="false">IF(AND(H3236&gt;='Exec Summary'!$E$1,H3236&lt;='Exec Summary'!$E$2),1,0)</f>
        <v>0</v>
      </c>
      <c r="T3236" s="7" t="n">
        <f aca="false">IF(AND(F3236="Closed",I3236&lt;&gt;"",I3236&gt;='Exec Summary'!$E$1,I3236&lt;='Exec Summary'!$E$2),1,0)</f>
        <v>0</v>
      </c>
      <c r="U3236" s="7" t="n">
        <f aca="false">IF(F3236="Reopened",1,0)</f>
        <v>0</v>
      </c>
      <c r="V3236" s="7" t="n">
        <f aca="false">IF(AND(R3236=1,O3236&gt;Q3236),1,0)</f>
        <v>1</v>
      </c>
      <c r="W3236" s="7" t="n">
        <f aca="false">IF(AND(T3236=1,P3236&lt;&gt;"",P3236&lt;=Q3236),1,0)</f>
        <v>0</v>
      </c>
    </row>
    <row r="3237" customFormat="false" ht="15" hidden="false" customHeight="false" outlineLevel="0" collapsed="false">
      <c r="A3237" s="7" t="s">
        <v>3808</v>
      </c>
      <c r="B3237" s="7" t="s">
        <v>46</v>
      </c>
      <c r="C3237" s="7" t="s">
        <v>79</v>
      </c>
      <c r="D3237" s="7" t="s">
        <v>87</v>
      </c>
      <c r="E3237" s="7" t="s">
        <v>88</v>
      </c>
      <c r="F3237" s="7" t="s">
        <v>56</v>
      </c>
      <c r="G3237" s="7" t="s">
        <v>19</v>
      </c>
      <c r="H3237" s="9" t="n">
        <v>46132</v>
      </c>
      <c r="I3237" s="9"/>
      <c r="J3237" s="7" t="n">
        <v>10</v>
      </c>
      <c r="K3237" s="7" t="s">
        <v>3580</v>
      </c>
      <c r="L3237" s="7" t="s">
        <v>20</v>
      </c>
      <c r="M3237" s="7" t="s">
        <v>3813</v>
      </c>
      <c r="N3237" s="7" t="s">
        <v>58</v>
      </c>
      <c r="O3237" s="10" t="n">
        <f aca="false">'Exec Summary'!$E$2-H3237</f>
        <v>102</v>
      </c>
      <c r="P3237" s="10" t="str">
        <f aca="false">IF(I3237="","",I3237-H3237)</f>
        <v/>
      </c>
      <c r="Q3237" s="10" t="n">
        <f aca="false">VLOOKUP(G3237,$AA$2:$AB$5,2,FALSE())</f>
        <v>15</v>
      </c>
      <c r="R3237" s="7" t="n">
        <f aca="false">IF(OR(F3237="Open",F3237="Reopened"),1,0)</f>
        <v>1</v>
      </c>
      <c r="S3237" s="7" t="n">
        <f aca="false">IF(AND(H3237&gt;='Exec Summary'!$E$1,H3237&lt;='Exec Summary'!$E$2),1,0)</f>
        <v>0</v>
      </c>
      <c r="T3237" s="7" t="n">
        <f aca="false">IF(AND(F3237="Closed",I3237&lt;&gt;"",I3237&gt;='Exec Summary'!$E$1,I3237&lt;='Exec Summary'!$E$2),1,0)</f>
        <v>0</v>
      </c>
      <c r="U3237" s="7" t="n">
        <f aca="false">IF(F3237="Reopened",1,0)</f>
        <v>0</v>
      </c>
      <c r="V3237" s="7" t="n">
        <f aca="false">IF(AND(R3237=1,O3237&gt;Q3237),1,0)</f>
        <v>1</v>
      </c>
      <c r="W3237" s="7" t="n">
        <f aca="false">IF(AND(T3237=1,P3237&lt;&gt;"",P3237&lt;=Q3237),1,0)</f>
        <v>0</v>
      </c>
    </row>
    <row r="3238" customFormat="false" ht="15" hidden="false" customHeight="false" outlineLevel="0" collapsed="false">
      <c r="A3238" s="7" t="s">
        <v>3808</v>
      </c>
      <c r="B3238" s="7" t="s">
        <v>46</v>
      </c>
      <c r="C3238" s="7" t="s">
        <v>79</v>
      </c>
      <c r="D3238" s="7" t="s">
        <v>98</v>
      </c>
      <c r="E3238" s="7" t="s">
        <v>99</v>
      </c>
      <c r="F3238" s="7" t="s">
        <v>50</v>
      </c>
      <c r="G3238" s="7" t="s">
        <v>19</v>
      </c>
      <c r="H3238" s="9" t="n">
        <v>46121</v>
      </c>
      <c r="I3238" s="9" t="n">
        <v>46135</v>
      </c>
      <c r="J3238" s="7" t="n">
        <v>10</v>
      </c>
      <c r="K3238" s="7" t="s">
        <v>3580</v>
      </c>
      <c r="L3238" s="7" t="s">
        <v>20</v>
      </c>
      <c r="M3238" s="7" t="s">
        <v>3814</v>
      </c>
      <c r="N3238" s="7" t="s">
        <v>58</v>
      </c>
      <c r="O3238" s="10" t="n">
        <f aca="false">'Exec Summary'!$E$2-H3238</f>
        <v>113</v>
      </c>
      <c r="P3238" s="10" t="n">
        <f aca="false">IF(I3238="","",I3238-H3238)</f>
        <v>14</v>
      </c>
      <c r="Q3238" s="10" t="n">
        <f aca="false">VLOOKUP(G3238,$AA$2:$AB$5,2,FALSE())</f>
        <v>15</v>
      </c>
      <c r="R3238" s="7" t="n">
        <f aca="false">IF(OR(F3238="Open",F3238="Reopened"),1,0)</f>
        <v>0</v>
      </c>
      <c r="S3238" s="7" t="n">
        <f aca="false">IF(AND(H3238&gt;='Exec Summary'!$E$1,H3238&lt;='Exec Summary'!$E$2),1,0)</f>
        <v>0</v>
      </c>
      <c r="T3238" s="7" t="n">
        <f aca="false">IF(AND(F3238="Closed",I3238&lt;&gt;"",I3238&gt;='Exec Summary'!$E$1,I3238&lt;='Exec Summary'!$E$2),1,0)</f>
        <v>0</v>
      </c>
      <c r="U3238" s="7" t="n">
        <f aca="false">IF(F3238="Reopened",1,0)</f>
        <v>0</v>
      </c>
      <c r="V3238" s="7" t="n">
        <f aca="false">IF(AND(R3238=1,O3238&gt;Q3238),1,0)</f>
        <v>0</v>
      </c>
      <c r="W3238" s="7" t="n">
        <f aca="false">IF(AND(T3238=1,P3238&lt;&gt;"",P3238&lt;=Q3238),1,0)</f>
        <v>0</v>
      </c>
    </row>
    <row r="3239" customFormat="false" ht="15" hidden="false" customHeight="false" outlineLevel="0" collapsed="false">
      <c r="A3239" s="7" t="s">
        <v>3808</v>
      </c>
      <c r="B3239" s="7" t="s">
        <v>46</v>
      </c>
      <c r="C3239" s="7" t="s">
        <v>79</v>
      </c>
      <c r="D3239" s="7" t="s">
        <v>108</v>
      </c>
      <c r="E3239" s="7" t="s">
        <v>109</v>
      </c>
      <c r="F3239" s="7" t="s">
        <v>56</v>
      </c>
      <c r="G3239" s="7" t="s">
        <v>20</v>
      </c>
      <c r="H3239" s="9" t="n">
        <v>45942</v>
      </c>
      <c r="I3239" s="9"/>
      <c r="J3239" s="7" t="n">
        <v>8.6</v>
      </c>
      <c r="K3239" s="7" t="s">
        <v>3580</v>
      </c>
      <c r="L3239" s="7" t="s">
        <v>20</v>
      </c>
      <c r="M3239" s="7" t="s">
        <v>3815</v>
      </c>
      <c r="N3239" s="7" t="s">
        <v>53</v>
      </c>
      <c r="O3239" s="10" t="n">
        <f aca="false">'Exec Summary'!$E$2-H3239</f>
        <v>292</v>
      </c>
      <c r="P3239" s="10" t="str">
        <f aca="false">IF(I3239="","",I3239-H3239)</f>
        <v/>
      </c>
      <c r="Q3239" s="10" t="n">
        <f aca="false">VLOOKUP(G3239,$AA$2:$AB$5,2,FALSE())</f>
        <v>30</v>
      </c>
      <c r="R3239" s="7" t="n">
        <f aca="false">IF(OR(F3239="Open",F3239="Reopened"),1,0)</f>
        <v>1</v>
      </c>
      <c r="S3239" s="7" t="n">
        <f aca="false">IF(AND(H3239&gt;='Exec Summary'!$E$1,H3239&lt;='Exec Summary'!$E$2),1,0)</f>
        <v>0</v>
      </c>
      <c r="T3239" s="7" t="n">
        <f aca="false">IF(AND(F3239="Closed",I3239&lt;&gt;"",I3239&gt;='Exec Summary'!$E$1,I3239&lt;='Exec Summary'!$E$2),1,0)</f>
        <v>0</v>
      </c>
      <c r="U3239" s="7" t="n">
        <f aca="false">IF(F3239="Reopened",1,0)</f>
        <v>0</v>
      </c>
      <c r="V3239" s="7" t="n">
        <f aca="false">IF(AND(R3239=1,O3239&gt;Q3239),1,0)</f>
        <v>1</v>
      </c>
      <c r="W3239" s="7" t="n">
        <f aca="false">IF(AND(T3239=1,P3239&lt;&gt;"",P3239&lt;=Q3239),1,0)</f>
        <v>0</v>
      </c>
    </row>
    <row r="3240" customFormat="false" ht="15" hidden="false" customHeight="false" outlineLevel="0" collapsed="false">
      <c r="A3240" s="7" t="s">
        <v>3808</v>
      </c>
      <c r="B3240" s="7" t="s">
        <v>46</v>
      </c>
      <c r="C3240" s="7" t="s">
        <v>79</v>
      </c>
      <c r="D3240" s="7" t="s">
        <v>65</v>
      </c>
      <c r="E3240" s="7" t="s">
        <v>66</v>
      </c>
      <c r="F3240" s="7" t="s">
        <v>50</v>
      </c>
      <c r="G3240" s="7" t="s">
        <v>19</v>
      </c>
      <c r="H3240" s="9" t="n">
        <v>46068</v>
      </c>
      <c r="I3240" s="9" t="n">
        <v>46085</v>
      </c>
      <c r="J3240" s="7" t="n">
        <v>9.8</v>
      </c>
      <c r="K3240" s="7" t="s">
        <v>3580</v>
      </c>
      <c r="L3240" s="7" t="s">
        <v>20</v>
      </c>
      <c r="M3240" s="7" t="s">
        <v>3816</v>
      </c>
      <c r="N3240" s="7" t="s">
        <v>58</v>
      </c>
      <c r="O3240" s="10" t="n">
        <f aca="false">'Exec Summary'!$E$2-H3240</f>
        <v>166</v>
      </c>
      <c r="P3240" s="10" t="n">
        <f aca="false">IF(I3240="","",I3240-H3240)</f>
        <v>17</v>
      </c>
      <c r="Q3240" s="10" t="n">
        <f aca="false">VLOOKUP(G3240,$AA$2:$AB$5,2,FALSE())</f>
        <v>15</v>
      </c>
      <c r="R3240" s="7" t="n">
        <f aca="false">IF(OR(F3240="Open",F3240="Reopened"),1,0)</f>
        <v>0</v>
      </c>
      <c r="S3240" s="7" t="n">
        <f aca="false">IF(AND(H3240&gt;='Exec Summary'!$E$1,H3240&lt;='Exec Summary'!$E$2),1,0)</f>
        <v>0</v>
      </c>
      <c r="T3240" s="7" t="n">
        <f aca="false">IF(AND(F3240="Closed",I3240&lt;&gt;"",I3240&gt;='Exec Summary'!$E$1,I3240&lt;='Exec Summary'!$E$2),1,0)</f>
        <v>0</v>
      </c>
      <c r="U3240" s="7" t="n">
        <f aca="false">IF(F3240="Reopened",1,0)</f>
        <v>0</v>
      </c>
      <c r="V3240" s="7" t="n">
        <f aca="false">IF(AND(R3240=1,O3240&gt;Q3240),1,0)</f>
        <v>0</v>
      </c>
      <c r="W3240" s="7" t="n">
        <f aca="false">IF(AND(T3240=1,P3240&lt;&gt;"",P3240&lt;=Q3240),1,0)</f>
        <v>0</v>
      </c>
    </row>
    <row r="3241" customFormat="false" ht="15" hidden="false" customHeight="false" outlineLevel="0" collapsed="false">
      <c r="A3241" s="7" t="s">
        <v>3808</v>
      </c>
      <c r="B3241" s="7" t="s">
        <v>46</v>
      </c>
      <c r="C3241" s="7" t="s">
        <v>79</v>
      </c>
      <c r="D3241" s="7" t="s">
        <v>206</v>
      </c>
      <c r="E3241" s="7" t="s">
        <v>207</v>
      </c>
      <c r="F3241" s="7" t="s">
        <v>50</v>
      </c>
      <c r="G3241" s="7" t="s">
        <v>20</v>
      </c>
      <c r="H3241" s="9" t="n">
        <v>46193</v>
      </c>
      <c r="I3241" s="9" t="n">
        <v>46210</v>
      </c>
      <c r="J3241" s="7" t="n">
        <v>8.8</v>
      </c>
      <c r="K3241" s="7" t="s">
        <v>3580</v>
      </c>
      <c r="L3241" s="7" t="s">
        <v>20</v>
      </c>
      <c r="M3241" s="7" t="s">
        <v>3817</v>
      </c>
      <c r="N3241" s="7" t="s">
        <v>53</v>
      </c>
      <c r="O3241" s="10" t="n">
        <f aca="false">'Exec Summary'!$E$2-H3241</f>
        <v>41</v>
      </c>
      <c r="P3241" s="10" t="n">
        <f aca="false">IF(I3241="","",I3241-H3241)</f>
        <v>17</v>
      </c>
      <c r="Q3241" s="10" t="n">
        <f aca="false">VLOOKUP(G3241,$AA$2:$AB$5,2,FALSE())</f>
        <v>30</v>
      </c>
      <c r="R3241" s="7" t="n">
        <f aca="false">IF(OR(F3241="Open",F3241="Reopened"),1,0)</f>
        <v>0</v>
      </c>
      <c r="S3241" s="7" t="n">
        <f aca="false">IF(AND(H3241&gt;='Exec Summary'!$E$1,H3241&lt;='Exec Summary'!$E$2),1,0)</f>
        <v>0</v>
      </c>
      <c r="T3241" s="7" t="n">
        <f aca="false">IF(AND(F3241="Closed",I3241&lt;&gt;"",I3241&gt;='Exec Summary'!$E$1,I3241&lt;='Exec Summary'!$E$2),1,0)</f>
        <v>1</v>
      </c>
      <c r="U3241" s="7" t="n">
        <f aca="false">IF(F3241="Reopened",1,0)</f>
        <v>0</v>
      </c>
      <c r="V3241" s="7" t="n">
        <f aca="false">IF(AND(R3241=1,O3241&gt;Q3241),1,0)</f>
        <v>0</v>
      </c>
      <c r="W3241" s="7" t="n">
        <f aca="false">IF(AND(T3241=1,P3241&lt;&gt;"",P3241&lt;=Q3241),1,0)</f>
        <v>1</v>
      </c>
    </row>
    <row r="3242" customFormat="false" ht="15" hidden="false" customHeight="false" outlineLevel="0" collapsed="false">
      <c r="A3242" s="7" t="s">
        <v>3808</v>
      </c>
      <c r="B3242" s="7" t="s">
        <v>46</v>
      </c>
      <c r="C3242" s="7" t="s">
        <v>79</v>
      </c>
      <c r="D3242" s="7" t="s">
        <v>152</v>
      </c>
      <c r="E3242" s="7" t="s">
        <v>153</v>
      </c>
      <c r="F3242" s="7" t="s">
        <v>56</v>
      </c>
      <c r="G3242" s="7" t="s">
        <v>20</v>
      </c>
      <c r="H3242" s="9" t="n">
        <v>45976</v>
      </c>
      <c r="I3242" s="9"/>
      <c r="J3242" s="7" t="n">
        <v>7.5</v>
      </c>
      <c r="K3242" s="7" t="s">
        <v>3580</v>
      </c>
      <c r="L3242" s="7" t="s">
        <v>20</v>
      </c>
      <c r="M3242" s="7" t="s">
        <v>3818</v>
      </c>
      <c r="N3242" s="7" t="s">
        <v>53</v>
      </c>
      <c r="O3242" s="10" t="n">
        <f aca="false">'Exec Summary'!$E$2-H3242</f>
        <v>258</v>
      </c>
      <c r="P3242" s="10" t="str">
        <f aca="false">IF(I3242="","",I3242-H3242)</f>
        <v/>
      </c>
      <c r="Q3242" s="10" t="n">
        <f aca="false">VLOOKUP(G3242,$AA$2:$AB$5,2,FALSE())</f>
        <v>30</v>
      </c>
      <c r="R3242" s="7" t="n">
        <f aca="false">IF(OR(F3242="Open",F3242="Reopened"),1,0)</f>
        <v>1</v>
      </c>
      <c r="S3242" s="7" t="n">
        <f aca="false">IF(AND(H3242&gt;='Exec Summary'!$E$1,H3242&lt;='Exec Summary'!$E$2),1,0)</f>
        <v>0</v>
      </c>
      <c r="T3242" s="7" t="n">
        <f aca="false">IF(AND(F3242="Closed",I3242&lt;&gt;"",I3242&gt;='Exec Summary'!$E$1,I3242&lt;='Exec Summary'!$E$2),1,0)</f>
        <v>0</v>
      </c>
      <c r="U3242" s="7" t="n">
        <f aca="false">IF(F3242="Reopened",1,0)</f>
        <v>0</v>
      </c>
      <c r="V3242" s="7" t="n">
        <f aca="false">IF(AND(R3242=1,O3242&gt;Q3242),1,0)</f>
        <v>1</v>
      </c>
      <c r="W3242" s="7" t="n">
        <f aca="false">IF(AND(T3242=1,P3242&lt;&gt;"",P3242&lt;=Q3242),1,0)</f>
        <v>0</v>
      </c>
    </row>
    <row r="3243" customFormat="false" ht="15" hidden="false" customHeight="false" outlineLevel="0" collapsed="false">
      <c r="A3243" s="7" t="s">
        <v>3808</v>
      </c>
      <c r="B3243" s="7" t="s">
        <v>46</v>
      </c>
      <c r="C3243" s="7" t="s">
        <v>79</v>
      </c>
      <c r="D3243" s="7" t="s">
        <v>145</v>
      </c>
      <c r="E3243" s="7" t="s">
        <v>146</v>
      </c>
      <c r="F3243" s="7" t="s">
        <v>123</v>
      </c>
      <c r="G3243" s="7" t="s">
        <v>19</v>
      </c>
      <c r="H3243" s="9" t="n">
        <v>46076</v>
      </c>
      <c r="I3243" s="9" t="n">
        <v>46077</v>
      </c>
      <c r="J3243" s="7" t="n">
        <v>9.8</v>
      </c>
      <c r="K3243" s="7" t="s">
        <v>3580</v>
      </c>
      <c r="L3243" s="7" t="s">
        <v>20</v>
      </c>
      <c r="M3243" s="7" t="s">
        <v>3819</v>
      </c>
      <c r="N3243" s="7" t="s">
        <v>58</v>
      </c>
      <c r="O3243" s="10" t="n">
        <f aca="false">'Exec Summary'!$E$2-H3243</f>
        <v>158</v>
      </c>
      <c r="P3243" s="10" t="n">
        <f aca="false">IF(I3243="","",I3243-H3243)</f>
        <v>1</v>
      </c>
      <c r="Q3243" s="10" t="n">
        <f aca="false">VLOOKUP(G3243,$AA$2:$AB$5,2,FALSE())</f>
        <v>15</v>
      </c>
      <c r="R3243" s="7" t="n">
        <f aca="false">IF(OR(F3243="Open",F3243="Reopened"),1,0)</f>
        <v>1</v>
      </c>
      <c r="S3243" s="7" t="n">
        <f aca="false">IF(AND(H3243&gt;='Exec Summary'!$E$1,H3243&lt;='Exec Summary'!$E$2),1,0)</f>
        <v>0</v>
      </c>
      <c r="T3243" s="7" t="n">
        <f aca="false">IF(AND(F3243="Closed",I3243&lt;&gt;"",I3243&gt;='Exec Summary'!$E$1,I3243&lt;='Exec Summary'!$E$2),1,0)</f>
        <v>0</v>
      </c>
      <c r="U3243" s="7" t="n">
        <f aca="false">IF(F3243="Reopened",1,0)</f>
        <v>1</v>
      </c>
      <c r="V3243" s="7" t="n">
        <f aca="false">IF(AND(R3243=1,O3243&gt;Q3243),1,0)</f>
        <v>1</v>
      </c>
      <c r="W3243" s="7" t="n">
        <f aca="false">IF(AND(T3243=1,P3243&lt;&gt;"",P3243&lt;=Q3243),1,0)</f>
        <v>0</v>
      </c>
    </row>
    <row r="3244" customFormat="false" ht="15" hidden="false" customHeight="false" outlineLevel="0" collapsed="false">
      <c r="A3244" s="7" t="s">
        <v>3808</v>
      </c>
      <c r="B3244" s="7" t="s">
        <v>46</v>
      </c>
      <c r="C3244" s="7" t="s">
        <v>79</v>
      </c>
      <c r="D3244" s="7" t="s">
        <v>120</v>
      </c>
      <c r="E3244" s="7" t="s">
        <v>121</v>
      </c>
      <c r="F3244" s="7" t="s">
        <v>50</v>
      </c>
      <c r="G3244" s="7" t="s">
        <v>19</v>
      </c>
      <c r="H3244" s="9" t="n">
        <v>46013</v>
      </c>
      <c r="I3244" s="9" t="n">
        <v>46016</v>
      </c>
      <c r="J3244" s="7" t="n">
        <v>8.8</v>
      </c>
      <c r="K3244" s="7" t="s">
        <v>3580</v>
      </c>
      <c r="L3244" s="7" t="s">
        <v>20</v>
      </c>
      <c r="M3244" s="7" t="s">
        <v>3820</v>
      </c>
      <c r="N3244" s="7" t="s">
        <v>58</v>
      </c>
      <c r="O3244" s="10" t="n">
        <f aca="false">'Exec Summary'!$E$2-H3244</f>
        <v>221</v>
      </c>
      <c r="P3244" s="10" t="n">
        <f aca="false">IF(I3244="","",I3244-H3244)</f>
        <v>3</v>
      </c>
      <c r="Q3244" s="10" t="n">
        <f aca="false">VLOOKUP(G3244,$AA$2:$AB$5,2,FALSE())</f>
        <v>15</v>
      </c>
      <c r="R3244" s="7" t="n">
        <f aca="false">IF(OR(F3244="Open",F3244="Reopened"),1,0)</f>
        <v>0</v>
      </c>
      <c r="S3244" s="7" t="n">
        <f aca="false">IF(AND(H3244&gt;='Exec Summary'!$E$1,H3244&lt;='Exec Summary'!$E$2),1,0)</f>
        <v>0</v>
      </c>
      <c r="T3244" s="7" t="n">
        <f aca="false">IF(AND(F3244="Closed",I3244&lt;&gt;"",I3244&gt;='Exec Summary'!$E$1,I3244&lt;='Exec Summary'!$E$2),1,0)</f>
        <v>0</v>
      </c>
      <c r="U3244" s="7" t="n">
        <f aca="false">IF(F3244="Reopened",1,0)</f>
        <v>0</v>
      </c>
      <c r="V3244" s="7" t="n">
        <f aca="false">IF(AND(R3244=1,O3244&gt;Q3244),1,0)</f>
        <v>0</v>
      </c>
      <c r="W3244" s="7" t="n">
        <f aca="false">IF(AND(T3244=1,P3244&lt;&gt;"",P3244&lt;=Q3244),1,0)</f>
        <v>0</v>
      </c>
    </row>
    <row r="3245" customFormat="false" ht="15" hidden="false" customHeight="false" outlineLevel="0" collapsed="false">
      <c r="A3245" s="7" t="s">
        <v>3821</v>
      </c>
      <c r="B3245" s="7" t="s">
        <v>46</v>
      </c>
      <c r="C3245" s="7" t="s">
        <v>177</v>
      </c>
      <c r="D3245" s="7" t="s">
        <v>131</v>
      </c>
      <c r="E3245" s="7" t="s">
        <v>132</v>
      </c>
      <c r="F3245" s="7" t="s">
        <v>50</v>
      </c>
      <c r="G3245" s="7" t="s">
        <v>19</v>
      </c>
      <c r="H3245" s="9" t="n">
        <v>46023</v>
      </c>
      <c r="I3245" s="9" t="n">
        <v>46040</v>
      </c>
      <c r="J3245" s="7" t="n">
        <v>9.8</v>
      </c>
      <c r="K3245" s="7" t="s">
        <v>3580</v>
      </c>
      <c r="L3245" s="7" t="s">
        <v>20</v>
      </c>
      <c r="M3245" s="7" t="s">
        <v>3822</v>
      </c>
      <c r="N3245" s="7" t="s">
        <v>58</v>
      </c>
      <c r="O3245" s="10" t="n">
        <f aca="false">'Exec Summary'!$E$2-H3245</f>
        <v>211</v>
      </c>
      <c r="P3245" s="10" t="n">
        <f aca="false">IF(I3245="","",I3245-H3245)</f>
        <v>17</v>
      </c>
      <c r="Q3245" s="10" t="n">
        <f aca="false">VLOOKUP(G3245,$AA$2:$AB$5,2,FALSE())</f>
        <v>15</v>
      </c>
      <c r="R3245" s="7" t="n">
        <f aca="false">IF(OR(F3245="Open",F3245="Reopened"),1,0)</f>
        <v>0</v>
      </c>
      <c r="S3245" s="7" t="n">
        <f aca="false">IF(AND(H3245&gt;='Exec Summary'!$E$1,H3245&lt;='Exec Summary'!$E$2),1,0)</f>
        <v>0</v>
      </c>
      <c r="T3245" s="7" t="n">
        <f aca="false">IF(AND(F3245="Closed",I3245&lt;&gt;"",I3245&gt;='Exec Summary'!$E$1,I3245&lt;='Exec Summary'!$E$2),1,0)</f>
        <v>0</v>
      </c>
      <c r="U3245" s="7" t="n">
        <f aca="false">IF(F3245="Reopened",1,0)</f>
        <v>0</v>
      </c>
      <c r="V3245" s="7" t="n">
        <f aca="false">IF(AND(R3245=1,O3245&gt;Q3245),1,0)</f>
        <v>0</v>
      </c>
      <c r="W3245" s="7" t="n">
        <f aca="false">IF(AND(T3245=1,P3245&lt;&gt;"",P3245&lt;=Q3245),1,0)</f>
        <v>0</v>
      </c>
    </row>
    <row r="3246" customFormat="false" ht="15" hidden="false" customHeight="false" outlineLevel="0" collapsed="false">
      <c r="A3246" s="7" t="s">
        <v>3821</v>
      </c>
      <c r="B3246" s="7" t="s">
        <v>46</v>
      </c>
      <c r="C3246" s="7" t="s">
        <v>177</v>
      </c>
      <c r="D3246" s="7" t="s">
        <v>112</v>
      </c>
      <c r="E3246" s="7" t="s">
        <v>113</v>
      </c>
      <c r="F3246" s="7" t="s">
        <v>50</v>
      </c>
      <c r="G3246" s="7" t="s">
        <v>20</v>
      </c>
      <c r="H3246" s="9" t="n">
        <v>46017</v>
      </c>
      <c r="I3246" s="9" t="n">
        <v>46030</v>
      </c>
      <c r="J3246" s="7" t="n">
        <v>7.8</v>
      </c>
      <c r="K3246" s="7" t="s">
        <v>3580</v>
      </c>
      <c r="L3246" s="7" t="s">
        <v>20</v>
      </c>
      <c r="M3246" s="7" t="s">
        <v>3823</v>
      </c>
      <c r="N3246" s="7" t="s">
        <v>53</v>
      </c>
      <c r="O3246" s="10" t="n">
        <f aca="false">'Exec Summary'!$E$2-H3246</f>
        <v>217</v>
      </c>
      <c r="P3246" s="10" t="n">
        <f aca="false">IF(I3246="","",I3246-H3246)</f>
        <v>13</v>
      </c>
      <c r="Q3246" s="10" t="n">
        <f aca="false">VLOOKUP(G3246,$AA$2:$AB$5,2,FALSE())</f>
        <v>30</v>
      </c>
      <c r="R3246" s="7" t="n">
        <f aca="false">IF(OR(F3246="Open",F3246="Reopened"),1,0)</f>
        <v>0</v>
      </c>
      <c r="S3246" s="7" t="n">
        <f aca="false">IF(AND(H3246&gt;='Exec Summary'!$E$1,H3246&lt;='Exec Summary'!$E$2),1,0)</f>
        <v>0</v>
      </c>
      <c r="T3246" s="7" t="n">
        <f aca="false">IF(AND(F3246="Closed",I3246&lt;&gt;"",I3246&gt;='Exec Summary'!$E$1,I3246&lt;='Exec Summary'!$E$2),1,0)</f>
        <v>0</v>
      </c>
      <c r="U3246" s="7" t="n">
        <f aca="false">IF(F3246="Reopened",1,0)</f>
        <v>0</v>
      </c>
      <c r="V3246" s="7" t="n">
        <f aca="false">IF(AND(R3246=1,O3246&gt;Q3246),1,0)</f>
        <v>0</v>
      </c>
      <c r="W3246" s="7" t="n">
        <f aca="false">IF(AND(T3246=1,P3246&lt;&gt;"",P3246&lt;=Q3246),1,0)</f>
        <v>0</v>
      </c>
    </row>
    <row r="3247" customFormat="false" ht="15" hidden="false" customHeight="false" outlineLevel="0" collapsed="false">
      <c r="A3247" s="7" t="s">
        <v>3821</v>
      </c>
      <c r="B3247" s="7" t="s">
        <v>46</v>
      </c>
      <c r="C3247" s="7" t="s">
        <v>177</v>
      </c>
      <c r="D3247" s="7" t="s">
        <v>65</v>
      </c>
      <c r="E3247" s="7" t="s">
        <v>66</v>
      </c>
      <c r="F3247" s="7" t="s">
        <v>50</v>
      </c>
      <c r="G3247" s="7" t="s">
        <v>19</v>
      </c>
      <c r="H3247" s="9" t="n">
        <v>46019</v>
      </c>
      <c r="I3247" s="9" t="n">
        <v>46036</v>
      </c>
      <c r="J3247" s="7" t="n">
        <v>9.8</v>
      </c>
      <c r="K3247" s="7" t="s">
        <v>3580</v>
      </c>
      <c r="L3247" s="7" t="s">
        <v>20</v>
      </c>
      <c r="M3247" s="7" t="s">
        <v>3824</v>
      </c>
      <c r="N3247" s="7" t="s">
        <v>58</v>
      </c>
      <c r="O3247" s="10" t="n">
        <f aca="false">'Exec Summary'!$E$2-H3247</f>
        <v>215</v>
      </c>
      <c r="P3247" s="10" t="n">
        <f aca="false">IF(I3247="","",I3247-H3247)</f>
        <v>17</v>
      </c>
      <c r="Q3247" s="10" t="n">
        <f aca="false">VLOOKUP(G3247,$AA$2:$AB$5,2,FALSE())</f>
        <v>15</v>
      </c>
      <c r="R3247" s="7" t="n">
        <f aca="false">IF(OR(F3247="Open",F3247="Reopened"),1,0)</f>
        <v>0</v>
      </c>
      <c r="S3247" s="7" t="n">
        <f aca="false">IF(AND(H3247&gt;='Exec Summary'!$E$1,H3247&lt;='Exec Summary'!$E$2),1,0)</f>
        <v>0</v>
      </c>
      <c r="T3247" s="7" t="n">
        <f aca="false">IF(AND(F3247="Closed",I3247&lt;&gt;"",I3247&gt;='Exec Summary'!$E$1,I3247&lt;='Exec Summary'!$E$2),1,0)</f>
        <v>0</v>
      </c>
      <c r="U3247" s="7" t="n">
        <f aca="false">IF(F3247="Reopened",1,0)</f>
        <v>0</v>
      </c>
      <c r="V3247" s="7" t="n">
        <f aca="false">IF(AND(R3247=1,O3247&gt;Q3247),1,0)</f>
        <v>0</v>
      </c>
      <c r="W3247" s="7" t="n">
        <f aca="false">IF(AND(T3247=1,P3247&lt;&gt;"",P3247&lt;=Q3247),1,0)</f>
        <v>0</v>
      </c>
    </row>
    <row r="3248" customFormat="false" ht="15" hidden="false" customHeight="false" outlineLevel="0" collapsed="false">
      <c r="A3248" s="7" t="s">
        <v>3821</v>
      </c>
      <c r="B3248" s="7" t="s">
        <v>46</v>
      </c>
      <c r="C3248" s="7" t="s">
        <v>177</v>
      </c>
      <c r="D3248" s="7" t="s">
        <v>81</v>
      </c>
      <c r="E3248" s="7" t="s">
        <v>82</v>
      </c>
      <c r="F3248" s="7" t="s">
        <v>56</v>
      </c>
      <c r="G3248" s="7" t="s">
        <v>20</v>
      </c>
      <c r="H3248" s="9" t="n">
        <v>45994</v>
      </c>
      <c r="I3248" s="9"/>
      <c r="J3248" s="7" t="n">
        <v>7.8</v>
      </c>
      <c r="K3248" s="7" t="s">
        <v>3580</v>
      </c>
      <c r="L3248" s="7" t="s">
        <v>20</v>
      </c>
      <c r="M3248" s="7" t="s">
        <v>3825</v>
      </c>
      <c r="N3248" s="7" t="s">
        <v>53</v>
      </c>
      <c r="O3248" s="10" t="n">
        <f aca="false">'Exec Summary'!$E$2-H3248</f>
        <v>240</v>
      </c>
      <c r="P3248" s="10" t="str">
        <f aca="false">IF(I3248="","",I3248-H3248)</f>
        <v/>
      </c>
      <c r="Q3248" s="10" t="n">
        <f aca="false">VLOOKUP(G3248,$AA$2:$AB$5,2,FALSE())</f>
        <v>30</v>
      </c>
      <c r="R3248" s="7" t="n">
        <f aca="false">IF(OR(F3248="Open",F3248="Reopened"),1,0)</f>
        <v>1</v>
      </c>
      <c r="S3248" s="7" t="n">
        <f aca="false">IF(AND(H3248&gt;='Exec Summary'!$E$1,H3248&lt;='Exec Summary'!$E$2),1,0)</f>
        <v>0</v>
      </c>
      <c r="T3248" s="7" t="n">
        <f aca="false">IF(AND(F3248="Closed",I3248&lt;&gt;"",I3248&gt;='Exec Summary'!$E$1,I3248&lt;='Exec Summary'!$E$2),1,0)</f>
        <v>0</v>
      </c>
      <c r="U3248" s="7" t="n">
        <f aca="false">IF(F3248="Reopened",1,0)</f>
        <v>0</v>
      </c>
      <c r="V3248" s="7" t="n">
        <f aca="false">IF(AND(R3248=1,O3248&gt;Q3248),1,0)</f>
        <v>1</v>
      </c>
      <c r="W3248" s="7" t="n">
        <f aca="false">IF(AND(T3248=1,P3248&lt;&gt;"",P3248&lt;=Q3248),1,0)</f>
        <v>0</v>
      </c>
    </row>
    <row r="3249" customFormat="false" ht="15" hidden="false" customHeight="false" outlineLevel="0" collapsed="false">
      <c r="A3249" s="7" t="s">
        <v>3821</v>
      </c>
      <c r="B3249" s="7" t="s">
        <v>46</v>
      </c>
      <c r="C3249" s="7" t="s">
        <v>177</v>
      </c>
      <c r="D3249" s="7" t="s">
        <v>192</v>
      </c>
      <c r="E3249" s="7" t="s">
        <v>193</v>
      </c>
      <c r="F3249" s="7" t="s">
        <v>56</v>
      </c>
      <c r="G3249" s="7" t="s">
        <v>19</v>
      </c>
      <c r="H3249" s="9" t="n">
        <v>46105</v>
      </c>
      <c r="I3249" s="9"/>
      <c r="J3249" s="7" t="n">
        <v>9.8</v>
      </c>
      <c r="K3249" s="7" t="s">
        <v>3580</v>
      </c>
      <c r="L3249" s="7" t="s">
        <v>20</v>
      </c>
      <c r="M3249" s="7" t="s">
        <v>3826</v>
      </c>
      <c r="N3249" s="7" t="s">
        <v>58</v>
      </c>
      <c r="O3249" s="10" t="n">
        <f aca="false">'Exec Summary'!$E$2-H3249</f>
        <v>129</v>
      </c>
      <c r="P3249" s="10" t="str">
        <f aca="false">IF(I3249="","",I3249-H3249)</f>
        <v/>
      </c>
      <c r="Q3249" s="10" t="n">
        <f aca="false">VLOOKUP(G3249,$AA$2:$AB$5,2,FALSE())</f>
        <v>15</v>
      </c>
      <c r="R3249" s="7" t="n">
        <f aca="false">IF(OR(F3249="Open",F3249="Reopened"),1,0)</f>
        <v>1</v>
      </c>
      <c r="S3249" s="7" t="n">
        <f aca="false">IF(AND(H3249&gt;='Exec Summary'!$E$1,H3249&lt;='Exec Summary'!$E$2),1,0)</f>
        <v>0</v>
      </c>
      <c r="T3249" s="7" t="n">
        <f aca="false">IF(AND(F3249="Closed",I3249&lt;&gt;"",I3249&gt;='Exec Summary'!$E$1,I3249&lt;='Exec Summary'!$E$2),1,0)</f>
        <v>0</v>
      </c>
      <c r="U3249" s="7" t="n">
        <f aca="false">IF(F3249="Reopened",1,0)</f>
        <v>0</v>
      </c>
      <c r="V3249" s="7" t="n">
        <f aca="false">IF(AND(R3249=1,O3249&gt;Q3249),1,0)</f>
        <v>1</v>
      </c>
      <c r="W3249" s="7" t="n">
        <f aca="false">IF(AND(T3249=1,P3249&lt;&gt;"",P3249&lt;=Q3249),1,0)</f>
        <v>0</v>
      </c>
    </row>
    <row r="3250" customFormat="false" ht="15" hidden="false" customHeight="false" outlineLevel="0" collapsed="false">
      <c r="A3250" s="7" t="s">
        <v>3821</v>
      </c>
      <c r="B3250" s="7" t="s">
        <v>46</v>
      </c>
      <c r="C3250" s="7" t="s">
        <v>177</v>
      </c>
      <c r="D3250" s="7" t="s">
        <v>87</v>
      </c>
      <c r="E3250" s="7" t="s">
        <v>88</v>
      </c>
      <c r="F3250" s="7" t="s">
        <v>123</v>
      </c>
      <c r="G3250" s="7" t="s">
        <v>19</v>
      </c>
      <c r="H3250" s="9" t="n">
        <v>46202</v>
      </c>
      <c r="I3250" s="9" t="n">
        <v>46211</v>
      </c>
      <c r="J3250" s="7" t="n">
        <v>10</v>
      </c>
      <c r="K3250" s="7" t="s">
        <v>3580</v>
      </c>
      <c r="L3250" s="7" t="s">
        <v>20</v>
      </c>
      <c r="M3250" s="7" t="s">
        <v>3827</v>
      </c>
      <c r="N3250" s="7" t="s">
        <v>58</v>
      </c>
      <c r="O3250" s="10" t="n">
        <f aca="false">'Exec Summary'!$E$2-H3250</f>
        <v>32</v>
      </c>
      <c r="P3250" s="10" t="n">
        <f aca="false">IF(I3250="","",I3250-H3250)</f>
        <v>9</v>
      </c>
      <c r="Q3250" s="10" t="n">
        <f aca="false">VLOOKUP(G3250,$AA$2:$AB$5,2,FALSE())</f>
        <v>15</v>
      </c>
      <c r="R3250" s="7" t="n">
        <f aca="false">IF(OR(F3250="Open",F3250="Reopened"),1,0)</f>
        <v>1</v>
      </c>
      <c r="S3250" s="7" t="n">
        <f aca="false">IF(AND(H3250&gt;='Exec Summary'!$E$1,H3250&lt;='Exec Summary'!$E$2),1,0)</f>
        <v>0</v>
      </c>
      <c r="T3250" s="7" t="n">
        <f aca="false">IF(AND(F3250="Closed",I3250&lt;&gt;"",I3250&gt;='Exec Summary'!$E$1,I3250&lt;='Exec Summary'!$E$2),1,0)</f>
        <v>0</v>
      </c>
      <c r="U3250" s="7" t="n">
        <f aca="false">IF(F3250="Reopened",1,0)</f>
        <v>1</v>
      </c>
      <c r="V3250" s="7" t="n">
        <f aca="false">IF(AND(R3250=1,O3250&gt;Q3250),1,0)</f>
        <v>1</v>
      </c>
      <c r="W3250" s="7" t="n">
        <f aca="false">IF(AND(T3250=1,P3250&lt;&gt;"",P3250&lt;=Q3250),1,0)</f>
        <v>0</v>
      </c>
    </row>
    <row r="3251" customFormat="false" ht="15" hidden="false" customHeight="false" outlineLevel="0" collapsed="false">
      <c r="A3251" s="7" t="s">
        <v>3821</v>
      </c>
      <c r="B3251" s="7" t="s">
        <v>46</v>
      </c>
      <c r="C3251" s="7" t="s">
        <v>177</v>
      </c>
      <c r="D3251" s="7" t="s">
        <v>117</v>
      </c>
      <c r="E3251" s="7" t="s">
        <v>118</v>
      </c>
      <c r="F3251" s="7" t="s">
        <v>50</v>
      </c>
      <c r="G3251" s="7" t="s">
        <v>19</v>
      </c>
      <c r="H3251" s="9" t="n">
        <v>46195</v>
      </c>
      <c r="I3251" s="9" t="n">
        <v>46197</v>
      </c>
      <c r="J3251" s="7" t="n">
        <v>10</v>
      </c>
      <c r="K3251" s="7" t="s">
        <v>3580</v>
      </c>
      <c r="L3251" s="7" t="s">
        <v>20</v>
      </c>
      <c r="M3251" s="7" t="s">
        <v>3828</v>
      </c>
      <c r="N3251" s="7" t="s">
        <v>58</v>
      </c>
      <c r="O3251" s="10" t="n">
        <f aca="false">'Exec Summary'!$E$2-H3251</f>
        <v>39</v>
      </c>
      <c r="P3251" s="10" t="n">
        <f aca="false">IF(I3251="","",I3251-H3251)</f>
        <v>2</v>
      </c>
      <c r="Q3251" s="10" t="n">
        <f aca="false">VLOOKUP(G3251,$AA$2:$AB$5,2,FALSE())</f>
        <v>15</v>
      </c>
      <c r="R3251" s="7" t="n">
        <f aca="false">IF(OR(F3251="Open",F3251="Reopened"),1,0)</f>
        <v>0</v>
      </c>
      <c r="S3251" s="7" t="n">
        <f aca="false">IF(AND(H3251&gt;='Exec Summary'!$E$1,H3251&lt;='Exec Summary'!$E$2),1,0)</f>
        <v>0</v>
      </c>
      <c r="T3251" s="7" t="n">
        <f aca="false">IF(AND(F3251="Closed",I3251&lt;&gt;"",I3251&gt;='Exec Summary'!$E$1,I3251&lt;='Exec Summary'!$E$2),1,0)</f>
        <v>0</v>
      </c>
      <c r="U3251" s="7" t="n">
        <f aca="false">IF(F3251="Reopened",1,0)</f>
        <v>0</v>
      </c>
      <c r="V3251" s="7" t="n">
        <f aca="false">IF(AND(R3251=1,O3251&gt;Q3251),1,0)</f>
        <v>0</v>
      </c>
      <c r="W3251" s="7" t="n">
        <f aca="false">IF(AND(T3251=1,P3251&lt;&gt;"",P3251&lt;=Q3251),1,0)</f>
        <v>0</v>
      </c>
    </row>
    <row r="3252" customFormat="false" ht="15" hidden="false" customHeight="false" outlineLevel="0" collapsed="false">
      <c r="A3252" s="7" t="s">
        <v>3829</v>
      </c>
      <c r="B3252" s="7" t="s">
        <v>46</v>
      </c>
      <c r="C3252" s="7" t="s">
        <v>47</v>
      </c>
      <c r="D3252" s="7" t="s">
        <v>81</v>
      </c>
      <c r="E3252" s="7" t="s">
        <v>82</v>
      </c>
      <c r="F3252" s="7" t="s">
        <v>123</v>
      </c>
      <c r="G3252" s="7" t="s">
        <v>20</v>
      </c>
      <c r="H3252" s="9" t="n">
        <v>46061</v>
      </c>
      <c r="I3252" s="9" t="n">
        <v>46081</v>
      </c>
      <c r="J3252" s="7" t="n">
        <v>7.8</v>
      </c>
      <c r="K3252" s="7" t="s">
        <v>3580</v>
      </c>
      <c r="L3252" s="7" t="s">
        <v>19</v>
      </c>
      <c r="M3252" s="7" t="s">
        <v>3830</v>
      </c>
      <c r="N3252" s="7" t="s">
        <v>53</v>
      </c>
      <c r="O3252" s="10" t="n">
        <f aca="false">'Exec Summary'!$E$2-H3252</f>
        <v>173</v>
      </c>
      <c r="P3252" s="10" t="n">
        <f aca="false">IF(I3252="","",I3252-H3252)</f>
        <v>20</v>
      </c>
      <c r="Q3252" s="10" t="n">
        <f aca="false">VLOOKUP(G3252,$AA$2:$AB$5,2,FALSE())</f>
        <v>30</v>
      </c>
      <c r="R3252" s="7" t="n">
        <f aca="false">IF(OR(F3252="Open",F3252="Reopened"),1,0)</f>
        <v>1</v>
      </c>
      <c r="S3252" s="7" t="n">
        <f aca="false">IF(AND(H3252&gt;='Exec Summary'!$E$1,H3252&lt;='Exec Summary'!$E$2),1,0)</f>
        <v>0</v>
      </c>
      <c r="T3252" s="7" t="n">
        <f aca="false">IF(AND(F3252="Closed",I3252&lt;&gt;"",I3252&gt;='Exec Summary'!$E$1,I3252&lt;='Exec Summary'!$E$2),1,0)</f>
        <v>0</v>
      </c>
      <c r="U3252" s="7" t="n">
        <f aca="false">IF(F3252="Reopened",1,0)</f>
        <v>1</v>
      </c>
      <c r="V3252" s="7" t="n">
        <f aca="false">IF(AND(R3252=1,O3252&gt;Q3252),1,0)</f>
        <v>1</v>
      </c>
      <c r="W3252" s="7" t="n">
        <f aca="false">IF(AND(T3252=1,P3252&lt;&gt;"",P3252&lt;=Q3252),1,0)</f>
        <v>0</v>
      </c>
    </row>
    <row r="3253" customFormat="false" ht="15" hidden="false" customHeight="false" outlineLevel="0" collapsed="false">
      <c r="A3253" s="7" t="s">
        <v>3829</v>
      </c>
      <c r="B3253" s="7" t="s">
        <v>46</v>
      </c>
      <c r="C3253" s="7" t="s">
        <v>47</v>
      </c>
      <c r="D3253" s="7" t="s">
        <v>101</v>
      </c>
      <c r="E3253" s="7" t="s">
        <v>102</v>
      </c>
      <c r="F3253" s="7" t="s">
        <v>50</v>
      </c>
      <c r="G3253" s="7" t="s">
        <v>19</v>
      </c>
      <c r="H3253" s="9" t="n">
        <v>45995</v>
      </c>
      <c r="I3253" s="9" t="n">
        <v>46000</v>
      </c>
      <c r="J3253" s="7" t="n">
        <v>10</v>
      </c>
      <c r="K3253" s="7" t="s">
        <v>3580</v>
      </c>
      <c r="L3253" s="7" t="s">
        <v>19</v>
      </c>
      <c r="M3253" s="7" t="s">
        <v>3831</v>
      </c>
      <c r="N3253" s="7" t="s">
        <v>58</v>
      </c>
      <c r="O3253" s="10" t="n">
        <f aca="false">'Exec Summary'!$E$2-H3253</f>
        <v>239</v>
      </c>
      <c r="P3253" s="10" t="n">
        <f aca="false">IF(I3253="","",I3253-H3253)</f>
        <v>5</v>
      </c>
      <c r="Q3253" s="10" t="n">
        <f aca="false">VLOOKUP(G3253,$AA$2:$AB$5,2,FALSE())</f>
        <v>15</v>
      </c>
      <c r="R3253" s="7" t="n">
        <f aca="false">IF(OR(F3253="Open",F3253="Reopened"),1,0)</f>
        <v>0</v>
      </c>
      <c r="S3253" s="7" t="n">
        <f aca="false">IF(AND(H3253&gt;='Exec Summary'!$E$1,H3253&lt;='Exec Summary'!$E$2),1,0)</f>
        <v>0</v>
      </c>
      <c r="T3253" s="7" t="n">
        <f aca="false">IF(AND(F3253="Closed",I3253&lt;&gt;"",I3253&gt;='Exec Summary'!$E$1,I3253&lt;='Exec Summary'!$E$2),1,0)</f>
        <v>0</v>
      </c>
      <c r="U3253" s="7" t="n">
        <f aca="false">IF(F3253="Reopened",1,0)</f>
        <v>0</v>
      </c>
      <c r="V3253" s="7" t="n">
        <f aca="false">IF(AND(R3253=1,O3253&gt;Q3253),1,0)</f>
        <v>0</v>
      </c>
      <c r="W3253" s="7" t="n">
        <f aca="false">IF(AND(T3253=1,P3253&lt;&gt;"",P3253&lt;=Q3253),1,0)</f>
        <v>0</v>
      </c>
    </row>
    <row r="3254" customFormat="false" ht="15" hidden="false" customHeight="false" outlineLevel="0" collapsed="false">
      <c r="A3254" s="7" t="s">
        <v>3829</v>
      </c>
      <c r="B3254" s="7" t="s">
        <v>46</v>
      </c>
      <c r="C3254" s="7" t="s">
        <v>47</v>
      </c>
      <c r="D3254" s="7" t="s">
        <v>54</v>
      </c>
      <c r="E3254" s="7" t="s">
        <v>55</v>
      </c>
      <c r="F3254" s="7" t="s">
        <v>56</v>
      </c>
      <c r="G3254" s="7" t="s">
        <v>19</v>
      </c>
      <c r="H3254" s="9" t="n">
        <v>46048</v>
      </c>
      <c r="I3254" s="9"/>
      <c r="J3254" s="7" t="n">
        <v>9.8</v>
      </c>
      <c r="K3254" s="7" t="s">
        <v>3580</v>
      </c>
      <c r="L3254" s="7" t="s">
        <v>19</v>
      </c>
      <c r="M3254" s="7" t="s">
        <v>3832</v>
      </c>
      <c r="N3254" s="7" t="s">
        <v>58</v>
      </c>
      <c r="O3254" s="10" t="n">
        <f aca="false">'Exec Summary'!$E$2-H3254</f>
        <v>186</v>
      </c>
      <c r="P3254" s="10" t="str">
        <f aca="false">IF(I3254="","",I3254-H3254)</f>
        <v/>
      </c>
      <c r="Q3254" s="10" t="n">
        <f aca="false">VLOOKUP(G3254,$AA$2:$AB$5,2,FALSE())</f>
        <v>15</v>
      </c>
      <c r="R3254" s="7" t="n">
        <f aca="false">IF(OR(F3254="Open",F3254="Reopened"),1,0)</f>
        <v>1</v>
      </c>
      <c r="S3254" s="7" t="n">
        <f aca="false">IF(AND(H3254&gt;='Exec Summary'!$E$1,H3254&lt;='Exec Summary'!$E$2),1,0)</f>
        <v>0</v>
      </c>
      <c r="T3254" s="7" t="n">
        <f aca="false">IF(AND(F3254="Closed",I3254&lt;&gt;"",I3254&gt;='Exec Summary'!$E$1,I3254&lt;='Exec Summary'!$E$2),1,0)</f>
        <v>0</v>
      </c>
      <c r="U3254" s="7" t="n">
        <f aca="false">IF(F3254="Reopened",1,0)</f>
        <v>0</v>
      </c>
      <c r="V3254" s="7" t="n">
        <f aca="false">IF(AND(R3254=1,O3254&gt;Q3254),1,0)</f>
        <v>1</v>
      </c>
      <c r="W3254" s="7" t="n">
        <f aca="false">IF(AND(T3254=1,P3254&lt;&gt;"",P3254&lt;=Q3254),1,0)</f>
        <v>0</v>
      </c>
    </row>
    <row r="3255" customFormat="false" ht="15" hidden="false" customHeight="false" outlineLevel="0" collapsed="false">
      <c r="A3255" s="7" t="s">
        <v>3829</v>
      </c>
      <c r="B3255" s="7" t="s">
        <v>46</v>
      </c>
      <c r="C3255" s="7" t="s">
        <v>47</v>
      </c>
      <c r="D3255" s="7" t="s">
        <v>192</v>
      </c>
      <c r="E3255" s="7" t="s">
        <v>193</v>
      </c>
      <c r="F3255" s="7" t="s">
        <v>50</v>
      </c>
      <c r="G3255" s="7" t="s">
        <v>19</v>
      </c>
      <c r="H3255" s="9" t="n">
        <v>46139</v>
      </c>
      <c r="I3255" s="9" t="n">
        <v>46144</v>
      </c>
      <c r="J3255" s="7" t="n">
        <v>9.8</v>
      </c>
      <c r="K3255" s="7" t="s">
        <v>3580</v>
      </c>
      <c r="L3255" s="7" t="s">
        <v>19</v>
      </c>
      <c r="M3255" s="7" t="s">
        <v>3833</v>
      </c>
      <c r="N3255" s="7" t="s">
        <v>58</v>
      </c>
      <c r="O3255" s="10" t="n">
        <f aca="false">'Exec Summary'!$E$2-H3255</f>
        <v>95</v>
      </c>
      <c r="P3255" s="10" t="n">
        <f aca="false">IF(I3255="","",I3255-H3255)</f>
        <v>5</v>
      </c>
      <c r="Q3255" s="10" t="n">
        <f aca="false">VLOOKUP(G3255,$AA$2:$AB$5,2,FALSE())</f>
        <v>15</v>
      </c>
      <c r="R3255" s="7" t="n">
        <f aca="false">IF(OR(F3255="Open",F3255="Reopened"),1,0)</f>
        <v>0</v>
      </c>
      <c r="S3255" s="7" t="n">
        <f aca="false">IF(AND(H3255&gt;='Exec Summary'!$E$1,H3255&lt;='Exec Summary'!$E$2),1,0)</f>
        <v>0</v>
      </c>
      <c r="T3255" s="7" t="n">
        <f aca="false">IF(AND(F3255="Closed",I3255&lt;&gt;"",I3255&gt;='Exec Summary'!$E$1,I3255&lt;='Exec Summary'!$E$2),1,0)</f>
        <v>0</v>
      </c>
      <c r="U3255" s="7" t="n">
        <f aca="false">IF(F3255="Reopened",1,0)</f>
        <v>0</v>
      </c>
      <c r="V3255" s="7" t="n">
        <f aca="false">IF(AND(R3255=1,O3255&gt;Q3255),1,0)</f>
        <v>0</v>
      </c>
      <c r="W3255" s="7" t="n">
        <f aca="false">IF(AND(T3255=1,P3255&lt;&gt;"",P3255&lt;=Q3255),1,0)</f>
        <v>0</v>
      </c>
    </row>
    <row r="3256" customFormat="false" ht="15" hidden="false" customHeight="false" outlineLevel="0" collapsed="false">
      <c r="A3256" s="7" t="s">
        <v>3829</v>
      </c>
      <c r="B3256" s="7" t="s">
        <v>46</v>
      </c>
      <c r="C3256" s="7" t="s">
        <v>47</v>
      </c>
      <c r="D3256" s="7" t="s">
        <v>139</v>
      </c>
      <c r="E3256" s="7" t="s">
        <v>140</v>
      </c>
      <c r="F3256" s="7" t="s">
        <v>123</v>
      </c>
      <c r="G3256" s="7" t="s">
        <v>19</v>
      </c>
      <c r="H3256" s="9" t="n">
        <v>45978</v>
      </c>
      <c r="I3256" s="9" t="n">
        <v>45990</v>
      </c>
      <c r="J3256" s="7" t="n">
        <v>9.8</v>
      </c>
      <c r="K3256" s="7" t="s">
        <v>3580</v>
      </c>
      <c r="L3256" s="7" t="s">
        <v>19</v>
      </c>
      <c r="M3256" s="7" t="s">
        <v>3834</v>
      </c>
      <c r="N3256" s="7" t="s">
        <v>58</v>
      </c>
      <c r="O3256" s="10" t="n">
        <f aca="false">'Exec Summary'!$E$2-H3256</f>
        <v>256</v>
      </c>
      <c r="P3256" s="10" t="n">
        <f aca="false">IF(I3256="","",I3256-H3256)</f>
        <v>12</v>
      </c>
      <c r="Q3256" s="10" t="n">
        <f aca="false">VLOOKUP(G3256,$AA$2:$AB$5,2,FALSE())</f>
        <v>15</v>
      </c>
      <c r="R3256" s="7" t="n">
        <f aca="false">IF(OR(F3256="Open",F3256="Reopened"),1,0)</f>
        <v>1</v>
      </c>
      <c r="S3256" s="7" t="n">
        <f aca="false">IF(AND(H3256&gt;='Exec Summary'!$E$1,H3256&lt;='Exec Summary'!$E$2),1,0)</f>
        <v>0</v>
      </c>
      <c r="T3256" s="7" t="n">
        <f aca="false">IF(AND(F3256="Closed",I3256&lt;&gt;"",I3256&gt;='Exec Summary'!$E$1,I3256&lt;='Exec Summary'!$E$2),1,0)</f>
        <v>0</v>
      </c>
      <c r="U3256" s="7" t="n">
        <f aca="false">IF(F3256="Reopened",1,0)</f>
        <v>1</v>
      </c>
      <c r="V3256" s="7" t="n">
        <f aca="false">IF(AND(R3256=1,O3256&gt;Q3256),1,0)</f>
        <v>1</v>
      </c>
      <c r="W3256" s="7" t="n">
        <f aca="false">IF(AND(T3256=1,P3256&lt;&gt;"",P3256&lt;=Q3256),1,0)</f>
        <v>0</v>
      </c>
    </row>
    <row r="3257" customFormat="false" ht="15" hidden="false" customHeight="false" outlineLevel="0" collapsed="false">
      <c r="A3257" s="7" t="s">
        <v>3829</v>
      </c>
      <c r="B3257" s="7" t="s">
        <v>46</v>
      </c>
      <c r="C3257" s="7" t="s">
        <v>47</v>
      </c>
      <c r="D3257" s="7" t="s">
        <v>166</v>
      </c>
      <c r="E3257" s="7" t="s">
        <v>167</v>
      </c>
      <c r="F3257" s="7" t="s">
        <v>50</v>
      </c>
      <c r="G3257" s="7" t="s">
        <v>19</v>
      </c>
      <c r="H3257" s="9" t="n">
        <v>46083</v>
      </c>
      <c r="I3257" s="9" t="n">
        <v>46091</v>
      </c>
      <c r="J3257" s="7" t="n">
        <v>9.8</v>
      </c>
      <c r="K3257" s="7" t="s">
        <v>3580</v>
      </c>
      <c r="L3257" s="7" t="s">
        <v>19</v>
      </c>
      <c r="M3257" s="7" t="s">
        <v>3835</v>
      </c>
      <c r="N3257" s="7" t="s">
        <v>58</v>
      </c>
      <c r="O3257" s="10" t="n">
        <f aca="false">'Exec Summary'!$E$2-H3257</f>
        <v>151</v>
      </c>
      <c r="P3257" s="10" t="n">
        <f aca="false">IF(I3257="","",I3257-H3257)</f>
        <v>8</v>
      </c>
      <c r="Q3257" s="10" t="n">
        <f aca="false">VLOOKUP(G3257,$AA$2:$AB$5,2,FALSE())</f>
        <v>15</v>
      </c>
      <c r="R3257" s="7" t="n">
        <f aca="false">IF(OR(F3257="Open",F3257="Reopened"),1,0)</f>
        <v>0</v>
      </c>
      <c r="S3257" s="7" t="n">
        <f aca="false">IF(AND(H3257&gt;='Exec Summary'!$E$1,H3257&lt;='Exec Summary'!$E$2),1,0)</f>
        <v>0</v>
      </c>
      <c r="T3257" s="7" t="n">
        <f aca="false">IF(AND(F3257="Closed",I3257&lt;&gt;"",I3257&gt;='Exec Summary'!$E$1,I3257&lt;='Exec Summary'!$E$2),1,0)</f>
        <v>0</v>
      </c>
      <c r="U3257" s="7" t="n">
        <f aca="false">IF(F3257="Reopened",1,0)</f>
        <v>0</v>
      </c>
      <c r="V3257" s="7" t="n">
        <f aca="false">IF(AND(R3257=1,O3257&gt;Q3257),1,0)</f>
        <v>0</v>
      </c>
      <c r="W3257" s="7" t="n">
        <f aca="false">IF(AND(T3257=1,P3257&lt;&gt;"",P3257&lt;=Q3257),1,0)</f>
        <v>0</v>
      </c>
    </row>
    <row r="3258" customFormat="false" ht="15" hidden="false" customHeight="false" outlineLevel="0" collapsed="false">
      <c r="A3258" s="7" t="s">
        <v>3829</v>
      </c>
      <c r="B3258" s="7" t="s">
        <v>46</v>
      </c>
      <c r="C3258" s="7" t="s">
        <v>47</v>
      </c>
      <c r="D3258" s="7" t="s">
        <v>145</v>
      </c>
      <c r="E3258" s="7" t="s">
        <v>146</v>
      </c>
      <c r="F3258" s="7" t="s">
        <v>56</v>
      </c>
      <c r="G3258" s="7" t="s">
        <v>19</v>
      </c>
      <c r="H3258" s="9" t="n">
        <v>46034</v>
      </c>
      <c r="I3258" s="9"/>
      <c r="J3258" s="7" t="n">
        <v>9.8</v>
      </c>
      <c r="K3258" s="7" t="s">
        <v>3580</v>
      </c>
      <c r="L3258" s="7" t="s">
        <v>19</v>
      </c>
      <c r="M3258" s="7" t="s">
        <v>3836</v>
      </c>
      <c r="N3258" s="7" t="s">
        <v>58</v>
      </c>
      <c r="O3258" s="10" t="n">
        <f aca="false">'Exec Summary'!$E$2-H3258</f>
        <v>200</v>
      </c>
      <c r="P3258" s="10" t="str">
        <f aca="false">IF(I3258="","",I3258-H3258)</f>
        <v/>
      </c>
      <c r="Q3258" s="10" t="n">
        <f aca="false">VLOOKUP(G3258,$AA$2:$AB$5,2,FALSE())</f>
        <v>15</v>
      </c>
      <c r="R3258" s="7" t="n">
        <f aca="false">IF(OR(F3258="Open",F3258="Reopened"),1,0)</f>
        <v>1</v>
      </c>
      <c r="S3258" s="7" t="n">
        <f aca="false">IF(AND(H3258&gt;='Exec Summary'!$E$1,H3258&lt;='Exec Summary'!$E$2),1,0)</f>
        <v>0</v>
      </c>
      <c r="T3258" s="7" t="n">
        <f aca="false">IF(AND(F3258="Closed",I3258&lt;&gt;"",I3258&gt;='Exec Summary'!$E$1,I3258&lt;='Exec Summary'!$E$2),1,0)</f>
        <v>0</v>
      </c>
      <c r="U3258" s="7" t="n">
        <f aca="false">IF(F3258="Reopened",1,0)</f>
        <v>0</v>
      </c>
      <c r="V3258" s="7" t="n">
        <f aca="false">IF(AND(R3258=1,O3258&gt;Q3258),1,0)</f>
        <v>1</v>
      </c>
      <c r="W3258" s="7" t="n">
        <f aca="false">IF(AND(T3258=1,P3258&lt;&gt;"",P3258&lt;=Q3258),1,0)</f>
        <v>0</v>
      </c>
    </row>
    <row r="3259" customFormat="false" ht="15" hidden="false" customHeight="false" outlineLevel="0" collapsed="false">
      <c r="A3259" s="7" t="s">
        <v>3829</v>
      </c>
      <c r="B3259" s="7" t="s">
        <v>46</v>
      </c>
      <c r="C3259" s="7" t="s">
        <v>47</v>
      </c>
      <c r="D3259" s="7" t="s">
        <v>68</v>
      </c>
      <c r="E3259" s="7" t="s">
        <v>69</v>
      </c>
      <c r="F3259" s="7" t="s">
        <v>50</v>
      </c>
      <c r="G3259" s="7" t="s">
        <v>19</v>
      </c>
      <c r="H3259" s="9" t="n">
        <v>46011</v>
      </c>
      <c r="I3259" s="9" t="n">
        <v>46031</v>
      </c>
      <c r="J3259" s="7" t="n">
        <v>9.8</v>
      </c>
      <c r="K3259" s="7" t="s">
        <v>3580</v>
      </c>
      <c r="L3259" s="7" t="s">
        <v>19</v>
      </c>
      <c r="M3259" s="7" t="s">
        <v>3837</v>
      </c>
      <c r="N3259" s="7" t="s">
        <v>58</v>
      </c>
      <c r="O3259" s="10" t="n">
        <f aca="false">'Exec Summary'!$E$2-H3259</f>
        <v>223</v>
      </c>
      <c r="P3259" s="10" t="n">
        <f aca="false">IF(I3259="","",I3259-H3259)</f>
        <v>20</v>
      </c>
      <c r="Q3259" s="10" t="n">
        <f aca="false">VLOOKUP(G3259,$AA$2:$AB$5,2,FALSE())</f>
        <v>15</v>
      </c>
      <c r="R3259" s="7" t="n">
        <f aca="false">IF(OR(F3259="Open",F3259="Reopened"),1,0)</f>
        <v>0</v>
      </c>
      <c r="S3259" s="7" t="n">
        <f aca="false">IF(AND(H3259&gt;='Exec Summary'!$E$1,H3259&lt;='Exec Summary'!$E$2),1,0)</f>
        <v>0</v>
      </c>
      <c r="T3259" s="7" t="n">
        <f aca="false">IF(AND(F3259="Closed",I3259&lt;&gt;"",I3259&gt;='Exec Summary'!$E$1,I3259&lt;='Exec Summary'!$E$2),1,0)</f>
        <v>0</v>
      </c>
      <c r="U3259" s="7" t="n">
        <f aca="false">IF(F3259="Reopened",1,0)</f>
        <v>0</v>
      </c>
      <c r="V3259" s="7" t="n">
        <f aca="false">IF(AND(R3259=1,O3259&gt;Q3259),1,0)</f>
        <v>0</v>
      </c>
      <c r="W3259" s="7" t="n">
        <f aca="false">IF(AND(T3259=1,P3259&lt;&gt;"",P3259&lt;=Q3259),1,0)</f>
        <v>0</v>
      </c>
    </row>
    <row r="3260" customFormat="false" ht="15" hidden="false" customHeight="false" outlineLevel="0" collapsed="false">
      <c r="A3260" s="7" t="s">
        <v>3829</v>
      </c>
      <c r="B3260" s="7" t="s">
        <v>46</v>
      </c>
      <c r="C3260" s="7" t="s">
        <v>47</v>
      </c>
      <c r="D3260" s="7" t="s">
        <v>48</v>
      </c>
      <c r="E3260" s="7" t="s">
        <v>49</v>
      </c>
      <c r="F3260" s="7" t="s">
        <v>50</v>
      </c>
      <c r="G3260" s="7" t="s">
        <v>20</v>
      </c>
      <c r="H3260" s="9" t="n">
        <v>46211</v>
      </c>
      <c r="I3260" s="9" t="n">
        <v>46234</v>
      </c>
      <c r="J3260" s="7" t="n">
        <v>7.5</v>
      </c>
      <c r="K3260" s="7" t="s">
        <v>3580</v>
      </c>
      <c r="L3260" s="7" t="s">
        <v>19</v>
      </c>
      <c r="M3260" s="7" t="s">
        <v>3838</v>
      </c>
      <c r="N3260" s="7" t="s">
        <v>53</v>
      </c>
      <c r="O3260" s="10" t="n">
        <f aca="false">'Exec Summary'!$E$2-H3260</f>
        <v>23</v>
      </c>
      <c r="P3260" s="10" t="n">
        <f aca="false">IF(I3260="","",I3260-H3260)</f>
        <v>23</v>
      </c>
      <c r="Q3260" s="10" t="n">
        <f aca="false">VLOOKUP(G3260,$AA$2:$AB$5,2,FALSE())</f>
        <v>30</v>
      </c>
      <c r="R3260" s="7" t="n">
        <f aca="false">IF(OR(F3260="Open",F3260="Reopened"),1,0)</f>
        <v>0</v>
      </c>
      <c r="S3260" s="7" t="n">
        <f aca="false">IF(AND(H3260&gt;='Exec Summary'!$E$1,H3260&lt;='Exec Summary'!$E$2),1,0)</f>
        <v>1</v>
      </c>
      <c r="T3260" s="7" t="n">
        <f aca="false">IF(AND(F3260="Closed",I3260&lt;&gt;"",I3260&gt;='Exec Summary'!$E$1,I3260&lt;='Exec Summary'!$E$2),1,0)</f>
        <v>1</v>
      </c>
      <c r="U3260" s="7" t="n">
        <f aca="false">IF(F3260="Reopened",1,0)</f>
        <v>0</v>
      </c>
      <c r="V3260" s="7" t="n">
        <f aca="false">IF(AND(R3260=1,O3260&gt;Q3260),1,0)</f>
        <v>0</v>
      </c>
      <c r="W3260" s="7" t="n">
        <f aca="false">IF(AND(T3260=1,P3260&lt;&gt;"",P3260&lt;=Q3260),1,0)</f>
        <v>1</v>
      </c>
    </row>
    <row r="3261" customFormat="false" ht="15" hidden="false" customHeight="false" outlineLevel="0" collapsed="false">
      <c r="A3261" s="7" t="s">
        <v>3829</v>
      </c>
      <c r="B3261" s="7" t="s">
        <v>46</v>
      </c>
      <c r="C3261" s="7" t="s">
        <v>47</v>
      </c>
      <c r="D3261" s="7" t="s">
        <v>59</v>
      </c>
      <c r="E3261" s="7" t="s">
        <v>60</v>
      </c>
      <c r="F3261" s="7" t="s">
        <v>56</v>
      </c>
      <c r="G3261" s="7" t="s">
        <v>19</v>
      </c>
      <c r="H3261" s="9" t="n">
        <v>46126</v>
      </c>
      <c r="I3261" s="9"/>
      <c r="J3261" s="7" t="n">
        <v>7.8</v>
      </c>
      <c r="K3261" s="7" t="s">
        <v>3580</v>
      </c>
      <c r="L3261" s="7" t="s">
        <v>19</v>
      </c>
      <c r="M3261" s="7" t="s">
        <v>3839</v>
      </c>
      <c r="N3261" s="7" t="s">
        <v>58</v>
      </c>
      <c r="O3261" s="10" t="n">
        <f aca="false">'Exec Summary'!$E$2-H3261</f>
        <v>108</v>
      </c>
      <c r="P3261" s="10" t="str">
        <f aca="false">IF(I3261="","",I3261-H3261)</f>
        <v/>
      </c>
      <c r="Q3261" s="10" t="n">
        <f aca="false">VLOOKUP(G3261,$AA$2:$AB$5,2,FALSE())</f>
        <v>15</v>
      </c>
      <c r="R3261" s="7" t="n">
        <f aca="false">IF(OR(F3261="Open",F3261="Reopened"),1,0)</f>
        <v>1</v>
      </c>
      <c r="S3261" s="7" t="n">
        <f aca="false">IF(AND(H3261&gt;='Exec Summary'!$E$1,H3261&lt;='Exec Summary'!$E$2),1,0)</f>
        <v>0</v>
      </c>
      <c r="T3261" s="7" t="n">
        <f aca="false">IF(AND(F3261="Closed",I3261&lt;&gt;"",I3261&gt;='Exec Summary'!$E$1,I3261&lt;='Exec Summary'!$E$2),1,0)</f>
        <v>0</v>
      </c>
      <c r="U3261" s="7" t="n">
        <f aca="false">IF(F3261="Reopened",1,0)</f>
        <v>0</v>
      </c>
      <c r="V3261" s="7" t="n">
        <f aca="false">IF(AND(R3261=1,O3261&gt;Q3261),1,0)</f>
        <v>1</v>
      </c>
      <c r="W3261" s="7" t="n">
        <f aca="false">IF(AND(T3261=1,P3261&lt;&gt;"",P3261&lt;=Q3261),1,0)</f>
        <v>0</v>
      </c>
    </row>
    <row r="3262" customFormat="false" ht="15" hidden="false" customHeight="false" outlineLevel="0" collapsed="false">
      <c r="A3262" s="7" t="s">
        <v>3829</v>
      </c>
      <c r="B3262" s="7" t="s">
        <v>46</v>
      </c>
      <c r="C3262" s="7" t="s">
        <v>47</v>
      </c>
      <c r="D3262" s="7" t="s">
        <v>91</v>
      </c>
      <c r="E3262" s="7" t="s">
        <v>92</v>
      </c>
      <c r="F3262" s="7" t="s">
        <v>50</v>
      </c>
      <c r="G3262" s="7" t="s">
        <v>20</v>
      </c>
      <c r="H3262" s="9" t="n">
        <v>45987</v>
      </c>
      <c r="I3262" s="9" t="n">
        <v>45988</v>
      </c>
      <c r="J3262" s="7" t="n">
        <v>8.1</v>
      </c>
      <c r="K3262" s="7" t="s">
        <v>3580</v>
      </c>
      <c r="L3262" s="7" t="s">
        <v>19</v>
      </c>
      <c r="M3262" s="7" t="s">
        <v>3840</v>
      </c>
      <c r="N3262" s="7" t="s">
        <v>53</v>
      </c>
      <c r="O3262" s="10" t="n">
        <f aca="false">'Exec Summary'!$E$2-H3262</f>
        <v>247</v>
      </c>
      <c r="P3262" s="10" t="n">
        <f aca="false">IF(I3262="","",I3262-H3262)</f>
        <v>1</v>
      </c>
      <c r="Q3262" s="10" t="n">
        <f aca="false">VLOOKUP(G3262,$AA$2:$AB$5,2,FALSE())</f>
        <v>30</v>
      </c>
      <c r="R3262" s="7" t="n">
        <f aca="false">IF(OR(F3262="Open",F3262="Reopened"),1,0)</f>
        <v>0</v>
      </c>
      <c r="S3262" s="7" t="n">
        <f aca="false">IF(AND(H3262&gt;='Exec Summary'!$E$1,H3262&lt;='Exec Summary'!$E$2),1,0)</f>
        <v>0</v>
      </c>
      <c r="T3262" s="7" t="n">
        <f aca="false">IF(AND(F3262="Closed",I3262&lt;&gt;"",I3262&gt;='Exec Summary'!$E$1,I3262&lt;='Exec Summary'!$E$2),1,0)</f>
        <v>0</v>
      </c>
      <c r="U3262" s="7" t="n">
        <f aca="false">IF(F3262="Reopened",1,0)</f>
        <v>0</v>
      </c>
      <c r="V3262" s="7" t="n">
        <f aca="false">IF(AND(R3262=1,O3262&gt;Q3262),1,0)</f>
        <v>0</v>
      </c>
      <c r="W3262" s="7" t="n">
        <f aca="false">IF(AND(T3262=1,P3262&lt;&gt;"",P3262&lt;=Q3262),1,0)</f>
        <v>0</v>
      </c>
    </row>
    <row r="3263" customFormat="false" ht="15" hidden="false" customHeight="false" outlineLevel="0" collapsed="false">
      <c r="A3263" s="7" t="s">
        <v>3829</v>
      </c>
      <c r="B3263" s="7" t="s">
        <v>46</v>
      </c>
      <c r="C3263" s="7" t="s">
        <v>47</v>
      </c>
      <c r="D3263" s="7" t="s">
        <v>62</v>
      </c>
      <c r="E3263" s="7" t="s">
        <v>63</v>
      </c>
      <c r="F3263" s="7" t="s">
        <v>56</v>
      </c>
      <c r="G3263" s="7" t="s">
        <v>20</v>
      </c>
      <c r="H3263" s="9" t="n">
        <v>46185</v>
      </c>
      <c r="I3263" s="9"/>
      <c r="J3263" s="7" t="n">
        <v>8.1</v>
      </c>
      <c r="K3263" s="7" t="s">
        <v>3580</v>
      </c>
      <c r="L3263" s="7" t="s">
        <v>19</v>
      </c>
      <c r="M3263" s="7" t="s">
        <v>3841</v>
      </c>
      <c r="N3263" s="7" t="s">
        <v>53</v>
      </c>
      <c r="O3263" s="10" t="n">
        <f aca="false">'Exec Summary'!$E$2-H3263</f>
        <v>49</v>
      </c>
      <c r="P3263" s="10" t="str">
        <f aca="false">IF(I3263="","",I3263-H3263)</f>
        <v/>
      </c>
      <c r="Q3263" s="10" t="n">
        <f aca="false">VLOOKUP(G3263,$AA$2:$AB$5,2,FALSE())</f>
        <v>30</v>
      </c>
      <c r="R3263" s="7" t="n">
        <f aca="false">IF(OR(F3263="Open",F3263="Reopened"),1,0)</f>
        <v>1</v>
      </c>
      <c r="S3263" s="7" t="n">
        <f aca="false">IF(AND(H3263&gt;='Exec Summary'!$E$1,H3263&lt;='Exec Summary'!$E$2),1,0)</f>
        <v>0</v>
      </c>
      <c r="T3263" s="7" t="n">
        <f aca="false">IF(AND(F3263="Closed",I3263&lt;&gt;"",I3263&gt;='Exec Summary'!$E$1,I3263&lt;='Exec Summary'!$E$2),1,0)</f>
        <v>0</v>
      </c>
      <c r="U3263" s="7" t="n">
        <f aca="false">IF(F3263="Reopened",1,0)</f>
        <v>0</v>
      </c>
      <c r="V3263" s="7" t="n">
        <f aca="false">IF(AND(R3263=1,O3263&gt;Q3263),1,0)</f>
        <v>1</v>
      </c>
      <c r="W3263" s="7" t="n">
        <f aca="false">IF(AND(T3263=1,P3263&lt;&gt;"",P3263&lt;=Q3263),1,0)</f>
        <v>0</v>
      </c>
    </row>
    <row r="3264" customFormat="false" ht="15" hidden="false" customHeight="false" outlineLevel="0" collapsed="false">
      <c r="A3264" s="7" t="s">
        <v>3829</v>
      </c>
      <c r="B3264" s="7" t="s">
        <v>46</v>
      </c>
      <c r="C3264" s="7" t="s">
        <v>47</v>
      </c>
      <c r="D3264" s="7" t="s">
        <v>74</v>
      </c>
      <c r="E3264" s="7" t="s">
        <v>75</v>
      </c>
      <c r="F3264" s="7" t="s">
        <v>50</v>
      </c>
      <c r="G3264" s="7" t="s">
        <v>21</v>
      </c>
      <c r="H3264" s="9" t="n">
        <v>46077</v>
      </c>
      <c r="I3264" s="9" t="n">
        <v>46220</v>
      </c>
      <c r="J3264" s="7" t="n">
        <v>6.5</v>
      </c>
      <c r="K3264" s="7" t="s">
        <v>3580</v>
      </c>
      <c r="L3264" s="7" t="s">
        <v>19</v>
      </c>
      <c r="M3264" s="7" t="s">
        <v>3842</v>
      </c>
      <c r="N3264" s="7" t="s">
        <v>77</v>
      </c>
      <c r="O3264" s="10" t="n">
        <f aca="false">'Exec Summary'!$E$2-H3264</f>
        <v>157</v>
      </c>
      <c r="P3264" s="10" t="n">
        <f aca="false">IF(I3264="","",I3264-H3264)</f>
        <v>143</v>
      </c>
      <c r="Q3264" s="10" t="n">
        <f aca="false">VLOOKUP(G3264,$AA$2:$AB$5,2,FALSE())</f>
        <v>90</v>
      </c>
      <c r="R3264" s="7" t="n">
        <f aca="false">IF(OR(F3264="Open",F3264="Reopened"),1,0)</f>
        <v>0</v>
      </c>
      <c r="S3264" s="7" t="n">
        <f aca="false">IF(AND(H3264&gt;='Exec Summary'!$E$1,H3264&lt;='Exec Summary'!$E$2),1,0)</f>
        <v>0</v>
      </c>
      <c r="T3264" s="7" t="n">
        <f aca="false">IF(AND(F3264="Closed",I3264&lt;&gt;"",I3264&gt;='Exec Summary'!$E$1,I3264&lt;='Exec Summary'!$E$2),1,0)</f>
        <v>1</v>
      </c>
      <c r="U3264" s="7" t="n">
        <f aca="false">IF(F3264="Reopened",1,0)</f>
        <v>0</v>
      </c>
      <c r="V3264" s="7" t="n">
        <f aca="false">IF(AND(R3264=1,O3264&gt;Q3264),1,0)</f>
        <v>0</v>
      </c>
      <c r="W3264" s="7" t="n">
        <f aca="false">IF(AND(T3264=1,P3264&lt;&gt;"",P3264&lt;=Q3264),1,0)</f>
        <v>0</v>
      </c>
    </row>
    <row r="3265" customFormat="false" ht="15" hidden="false" customHeight="false" outlineLevel="0" collapsed="false">
      <c r="A3265" s="7" t="s">
        <v>3829</v>
      </c>
      <c r="B3265" s="7" t="s">
        <v>46</v>
      </c>
      <c r="C3265" s="7" t="s">
        <v>47</v>
      </c>
      <c r="D3265" s="7" t="s">
        <v>163</v>
      </c>
      <c r="E3265" s="7" t="s">
        <v>164</v>
      </c>
      <c r="F3265" s="7" t="s">
        <v>56</v>
      </c>
      <c r="G3265" s="7" t="s">
        <v>19</v>
      </c>
      <c r="H3265" s="9" t="n">
        <v>46168</v>
      </c>
      <c r="I3265" s="9"/>
      <c r="J3265" s="7" t="n">
        <v>9.1</v>
      </c>
      <c r="K3265" s="7" t="s">
        <v>3580</v>
      </c>
      <c r="L3265" s="7" t="s">
        <v>19</v>
      </c>
      <c r="M3265" s="7" t="s">
        <v>3843</v>
      </c>
      <c r="N3265" s="7" t="s">
        <v>58</v>
      </c>
      <c r="O3265" s="10" t="n">
        <f aca="false">'Exec Summary'!$E$2-H3265</f>
        <v>66</v>
      </c>
      <c r="P3265" s="10" t="str">
        <f aca="false">IF(I3265="","",I3265-H3265)</f>
        <v/>
      </c>
      <c r="Q3265" s="10" t="n">
        <f aca="false">VLOOKUP(G3265,$AA$2:$AB$5,2,FALSE())</f>
        <v>15</v>
      </c>
      <c r="R3265" s="7" t="n">
        <f aca="false">IF(OR(F3265="Open",F3265="Reopened"),1,0)</f>
        <v>1</v>
      </c>
      <c r="S3265" s="7" t="n">
        <f aca="false">IF(AND(H3265&gt;='Exec Summary'!$E$1,H3265&lt;='Exec Summary'!$E$2),1,0)</f>
        <v>0</v>
      </c>
      <c r="T3265" s="7" t="n">
        <f aca="false">IF(AND(F3265="Closed",I3265&lt;&gt;"",I3265&gt;='Exec Summary'!$E$1,I3265&lt;='Exec Summary'!$E$2),1,0)</f>
        <v>0</v>
      </c>
      <c r="U3265" s="7" t="n">
        <f aca="false">IF(F3265="Reopened",1,0)</f>
        <v>0</v>
      </c>
      <c r="V3265" s="7" t="n">
        <f aca="false">IF(AND(R3265=1,O3265&gt;Q3265),1,0)</f>
        <v>1</v>
      </c>
      <c r="W3265" s="7" t="n">
        <f aca="false">IF(AND(T3265=1,P3265&lt;&gt;"",P3265&lt;=Q3265),1,0)</f>
        <v>0</v>
      </c>
    </row>
    <row r="3266" customFormat="false" ht="15" hidden="false" customHeight="false" outlineLevel="0" collapsed="false">
      <c r="A3266" s="7" t="s">
        <v>3844</v>
      </c>
      <c r="B3266" s="7" t="s">
        <v>46</v>
      </c>
      <c r="C3266" s="7" t="s">
        <v>79</v>
      </c>
      <c r="D3266" s="7" t="s">
        <v>71</v>
      </c>
      <c r="E3266" s="7" t="s">
        <v>72</v>
      </c>
      <c r="F3266" s="7" t="s">
        <v>50</v>
      </c>
      <c r="G3266" s="7" t="s">
        <v>19</v>
      </c>
      <c r="H3266" s="9" t="n">
        <v>46101</v>
      </c>
      <c r="I3266" s="9" t="n">
        <v>46105</v>
      </c>
      <c r="J3266" s="7" t="n">
        <v>9.8</v>
      </c>
      <c r="K3266" s="7" t="s">
        <v>3580</v>
      </c>
      <c r="L3266" s="7" t="s">
        <v>20</v>
      </c>
      <c r="M3266" s="7" t="s">
        <v>3845</v>
      </c>
      <c r="N3266" s="7" t="s">
        <v>58</v>
      </c>
      <c r="O3266" s="10" t="n">
        <f aca="false">'Exec Summary'!$E$2-H3266</f>
        <v>133</v>
      </c>
      <c r="P3266" s="10" t="n">
        <f aca="false">IF(I3266="","",I3266-H3266)</f>
        <v>4</v>
      </c>
      <c r="Q3266" s="10" t="n">
        <f aca="false">VLOOKUP(G3266,$AA$2:$AB$5,2,FALSE())</f>
        <v>15</v>
      </c>
      <c r="R3266" s="7" t="n">
        <f aca="false">IF(OR(F3266="Open",F3266="Reopened"),1,0)</f>
        <v>0</v>
      </c>
      <c r="S3266" s="7" t="n">
        <f aca="false">IF(AND(H3266&gt;='Exec Summary'!$E$1,H3266&lt;='Exec Summary'!$E$2),1,0)</f>
        <v>0</v>
      </c>
      <c r="T3266" s="7" t="n">
        <f aca="false">IF(AND(F3266="Closed",I3266&lt;&gt;"",I3266&gt;='Exec Summary'!$E$1,I3266&lt;='Exec Summary'!$E$2),1,0)</f>
        <v>0</v>
      </c>
      <c r="U3266" s="7" t="n">
        <f aca="false">IF(F3266="Reopened",1,0)</f>
        <v>0</v>
      </c>
      <c r="V3266" s="7" t="n">
        <f aca="false">IF(AND(R3266=1,O3266&gt;Q3266),1,0)</f>
        <v>0</v>
      </c>
      <c r="W3266" s="7" t="n">
        <f aca="false">IF(AND(T3266=1,P3266&lt;&gt;"",P3266&lt;=Q3266),1,0)</f>
        <v>0</v>
      </c>
    </row>
    <row r="3267" customFormat="false" ht="15" hidden="false" customHeight="false" outlineLevel="0" collapsed="false">
      <c r="A3267" s="7" t="s">
        <v>3844</v>
      </c>
      <c r="B3267" s="7" t="s">
        <v>46</v>
      </c>
      <c r="C3267" s="7" t="s">
        <v>79</v>
      </c>
      <c r="D3267" s="7" t="s">
        <v>192</v>
      </c>
      <c r="E3267" s="7" t="s">
        <v>193</v>
      </c>
      <c r="F3267" s="7" t="s">
        <v>50</v>
      </c>
      <c r="G3267" s="7" t="s">
        <v>19</v>
      </c>
      <c r="H3267" s="9" t="n">
        <v>46037</v>
      </c>
      <c r="I3267" s="9" t="n">
        <v>46048</v>
      </c>
      <c r="J3267" s="7" t="n">
        <v>9.8</v>
      </c>
      <c r="K3267" s="7" t="s">
        <v>3580</v>
      </c>
      <c r="L3267" s="7" t="s">
        <v>20</v>
      </c>
      <c r="M3267" s="7" t="s">
        <v>3846</v>
      </c>
      <c r="N3267" s="7" t="s">
        <v>58</v>
      </c>
      <c r="O3267" s="10" t="n">
        <f aca="false">'Exec Summary'!$E$2-H3267</f>
        <v>197</v>
      </c>
      <c r="P3267" s="10" t="n">
        <f aca="false">IF(I3267="","",I3267-H3267)</f>
        <v>11</v>
      </c>
      <c r="Q3267" s="10" t="n">
        <f aca="false">VLOOKUP(G3267,$AA$2:$AB$5,2,FALSE())</f>
        <v>15</v>
      </c>
      <c r="R3267" s="7" t="n">
        <f aca="false">IF(OR(F3267="Open",F3267="Reopened"),1,0)</f>
        <v>0</v>
      </c>
      <c r="S3267" s="7" t="n">
        <f aca="false">IF(AND(H3267&gt;='Exec Summary'!$E$1,H3267&lt;='Exec Summary'!$E$2),1,0)</f>
        <v>0</v>
      </c>
      <c r="T3267" s="7" t="n">
        <f aca="false">IF(AND(F3267="Closed",I3267&lt;&gt;"",I3267&gt;='Exec Summary'!$E$1,I3267&lt;='Exec Summary'!$E$2),1,0)</f>
        <v>0</v>
      </c>
      <c r="U3267" s="7" t="n">
        <f aca="false">IF(F3267="Reopened",1,0)</f>
        <v>0</v>
      </c>
      <c r="V3267" s="7" t="n">
        <f aca="false">IF(AND(R3267=1,O3267&gt;Q3267),1,0)</f>
        <v>0</v>
      </c>
      <c r="W3267" s="7" t="n">
        <f aca="false">IF(AND(T3267=1,P3267&lt;&gt;"",P3267&lt;=Q3267),1,0)</f>
        <v>0</v>
      </c>
    </row>
    <row r="3268" customFormat="false" ht="15" hidden="false" customHeight="false" outlineLevel="0" collapsed="false">
      <c r="A3268" s="7" t="s">
        <v>3844</v>
      </c>
      <c r="B3268" s="7" t="s">
        <v>46</v>
      </c>
      <c r="C3268" s="7" t="s">
        <v>79</v>
      </c>
      <c r="D3268" s="7" t="s">
        <v>62</v>
      </c>
      <c r="E3268" s="7" t="s">
        <v>63</v>
      </c>
      <c r="F3268" s="7" t="s">
        <v>50</v>
      </c>
      <c r="G3268" s="7" t="s">
        <v>20</v>
      </c>
      <c r="H3268" s="9" t="n">
        <v>46172</v>
      </c>
      <c r="I3268" s="9" t="n">
        <v>46188</v>
      </c>
      <c r="J3268" s="7" t="n">
        <v>8.1</v>
      </c>
      <c r="K3268" s="7" t="s">
        <v>3580</v>
      </c>
      <c r="L3268" s="7" t="s">
        <v>20</v>
      </c>
      <c r="M3268" s="7" t="s">
        <v>3847</v>
      </c>
      <c r="N3268" s="7" t="s">
        <v>53</v>
      </c>
      <c r="O3268" s="10" t="n">
        <f aca="false">'Exec Summary'!$E$2-H3268</f>
        <v>62</v>
      </c>
      <c r="P3268" s="10" t="n">
        <f aca="false">IF(I3268="","",I3268-H3268)</f>
        <v>16</v>
      </c>
      <c r="Q3268" s="10" t="n">
        <f aca="false">VLOOKUP(G3268,$AA$2:$AB$5,2,FALSE())</f>
        <v>30</v>
      </c>
      <c r="R3268" s="7" t="n">
        <f aca="false">IF(OR(F3268="Open",F3268="Reopened"),1,0)</f>
        <v>0</v>
      </c>
      <c r="S3268" s="7" t="n">
        <f aca="false">IF(AND(H3268&gt;='Exec Summary'!$E$1,H3268&lt;='Exec Summary'!$E$2),1,0)</f>
        <v>0</v>
      </c>
      <c r="T3268" s="7" t="n">
        <f aca="false">IF(AND(F3268="Closed",I3268&lt;&gt;"",I3268&gt;='Exec Summary'!$E$1,I3268&lt;='Exec Summary'!$E$2),1,0)</f>
        <v>0</v>
      </c>
      <c r="U3268" s="7" t="n">
        <f aca="false">IF(F3268="Reopened",1,0)</f>
        <v>0</v>
      </c>
      <c r="V3268" s="7" t="n">
        <f aca="false">IF(AND(R3268=1,O3268&gt;Q3268),1,0)</f>
        <v>0</v>
      </c>
      <c r="W3268" s="7" t="n">
        <f aca="false">IF(AND(T3268=1,P3268&lt;&gt;"",P3268&lt;=Q3268),1,0)</f>
        <v>0</v>
      </c>
    </row>
    <row r="3269" customFormat="false" ht="15" hidden="false" customHeight="false" outlineLevel="0" collapsed="false">
      <c r="A3269" s="7" t="s">
        <v>3844</v>
      </c>
      <c r="B3269" s="7" t="s">
        <v>46</v>
      </c>
      <c r="C3269" s="7" t="s">
        <v>79</v>
      </c>
      <c r="D3269" s="7" t="s">
        <v>117</v>
      </c>
      <c r="E3269" s="7" t="s">
        <v>118</v>
      </c>
      <c r="F3269" s="7" t="s">
        <v>123</v>
      </c>
      <c r="G3269" s="7" t="s">
        <v>19</v>
      </c>
      <c r="H3269" s="9" t="n">
        <v>46040</v>
      </c>
      <c r="I3269" s="9" t="n">
        <v>46041</v>
      </c>
      <c r="J3269" s="7" t="n">
        <v>10</v>
      </c>
      <c r="K3269" s="7" t="s">
        <v>3580</v>
      </c>
      <c r="L3269" s="7" t="s">
        <v>20</v>
      </c>
      <c r="M3269" s="7" t="s">
        <v>3848</v>
      </c>
      <c r="N3269" s="7" t="s">
        <v>58</v>
      </c>
      <c r="O3269" s="10" t="n">
        <f aca="false">'Exec Summary'!$E$2-H3269</f>
        <v>194</v>
      </c>
      <c r="P3269" s="10" t="n">
        <f aca="false">IF(I3269="","",I3269-H3269)</f>
        <v>1</v>
      </c>
      <c r="Q3269" s="10" t="n">
        <f aca="false">VLOOKUP(G3269,$AA$2:$AB$5,2,FALSE())</f>
        <v>15</v>
      </c>
      <c r="R3269" s="7" t="n">
        <f aca="false">IF(OR(F3269="Open",F3269="Reopened"),1,0)</f>
        <v>1</v>
      </c>
      <c r="S3269" s="7" t="n">
        <f aca="false">IF(AND(H3269&gt;='Exec Summary'!$E$1,H3269&lt;='Exec Summary'!$E$2),1,0)</f>
        <v>0</v>
      </c>
      <c r="T3269" s="7" t="n">
        <f aca="false">IF(AND(F3269="Closed",I3269&lt;&gt;"",I3269&gt;='Exec Summary'!$E$1,I3269&lt;='Exec Summary'!$E$2),1,0)</f>
        <v>0</v>
      </c>
      <c r="U3269" s="7" t="n">
        <f aca="false">IF(F3269="Reopened",1,0)</f>
        <v>1</v>
      </c>
      <c r="V3269" s="7" t="n">
        <f aca="false">IF(AND(R3269=1,O3269&gt;Q3269),1,0)</f>
        <v>1</v>
      </c>
      <c r="W3269" s="7" t="n">
        <f aca="false">IF(AND(T3269=1,P3269&lt;&gt;"",P3269&lt;=Q3269),1,0)</f>
        <v>0</v>
      </c>
    </row>
    <row r="3270" customFormat="false" ht="15" hidden="false" customHeight="false" outlineLevel="0" collapsed="false">
      <c r="A3270" s="7" t="s">
        <v>3844</v>
      </c>
      <c r="B3270" s="7" t="s">
        <v>46</v>
      </c>
      <c r="C3270" s="7" t="s">
        <v>79</v>
      </c>
      <c r="D3270" s="7" t="s">
        <v>68</v>
      </c>
      <c r="E3270" s="7" t="s">
        <v>69</v>
      </c>
      <c r="F3270" s="7" t="s">
        <v>50</v>
      </c>
      <c r="G3270" s="7" t="s">
        <v>19</v>
      </c>
      <c r="H3270" s="9" t="n">
        <v>45954</v>
      </c>
      <c r="I3270" s="9" t="n">
        <v>45968</v>
      </c>
      <c r="J3270" s="7" t="n">
        <v>9.8</v>
      </c>
      <c r="K3270" s="7" t="s">
        <v>3580</v>
      </c>
      <c r="L3270" s="7" t="s">
        <v>20</v>
      </c>
      <c r="M3270" s="7" t="s">
        <v>3849</v>
      </c>
      <c r="N3270" s="7" t="s">
        <v>58</v>
      </c>
      <c r="O3270" s="10" t="n">
        <f aca="false">'Exec Summary'!$E$2-H3270</f>
        <v>280</v>
      </c>
      <c r="P3270" s="10" t="n">
        <f aca="false">IF(I3270="","",I3270-H3270)</f>
        <v>14</v>
      </c>
      <c r="Q3270" s="10" t="n">
        <f aca="false">VLOOKUP(G3270,$AA$2:$AB$5,2,FALSE())</f>
        <v>15</v>
      </c>
      <c r="R3270" s="7" t="n">
        <f aca="false">IF(OR(F3270="Open",F3270="Reopened"),1,0)</f>
        <v>0</v>
      </c>
      <c r="S3270" s="7" t="n">
        <f aca="false">IF(AND(H3270&gt;='Exec Summary'!$E$1,H3270&lt;='Exec Summary'!$E$2),1,0)</f>
        <v>0</v>
      </c>
      <c r="T3270" s="7" t="n">
        <f aca="false">IF(AND(F3270="Closed",I3270&lt;&gt;"",I3270&gt;='Exec Summary'!$E$1,I3270&lt;='Exec Summary'!$E$2),1,0)</f>
        <v>0</v>
      </c>
      <c r="U3270" s="7" t="n">
        <f aca="false">IF(F3270="Reopened",1,0)</f>
        <v>0</v>
      </c>
      <c r="V3270" s="7" t="n">
        <f aca="false">IF(AND(R3270=1,O3270&gt;Q3270),1,0)</f>
        <v>0</v>
      </c>
      <c r="W3270" s="7" t="n">
        <f aca="false">IF(AND(T3270=1,P3270&lt;&gt;"",P3270&lt;=Q3270),1,0)</f>
        <v>0</v>
      </c>
    </row>
    <row r="3271" customFormat="false" ht="15" hidden="false" customHeight="false" outlineLevel="0" collapsed="false">
      <c r="A3271" s="7" t="s">
        <v>3844</v>
      </c>
      <c r="B3271" s="7" t="s">
        <v>46</v>
      </c>
      <c r="C3271" s="7" t="s">
        <v>79</v>
      </c>
      <c r="D3271" s="7" t="s">
        <v>54</v>
      </c>
      <c r="E3271" s="7" t="s">
        <v>55</v>
      </c>
      <c r="F3271" s="7" t="s">
        <v>56</v>
      </c>
      <c r="G3271" s="7" t="s">
        <v>19</v>
      </c>
      <c r="H3271" s="9" t="n">
        <v>45980</v>
      </c>
      <c r="I3271" s="9"/>
      <c r="J3271" s="7" t="n">
        <v>9.8</v>
      </c>
      <c r="K3271" s="7" t="s">
        <v>3580</v>
      </c>
      <c r="L3271" s="7" t="s">
        <v>20</v>
      </c>
      <c r="M3271" s="7" t="s">
        <v>3850</v>
      </c>
      <c r="N3271" s="7" t="s">
        <v>58</v>
      </c>
      <c r="O3271" s="10" t="n">
        <f aca="false">'Exec Summary'!$E$2-H3271</f>
        <v>254</v>
      </c>
      <c r="P3271" s="10" t="str">
        <f aca="false">IF(I3271="","",I3271-H3271)</f>
        <v/>
      </c>
      <c r="Q3271" s="10" t="n">
        <f aca="false">VLOOKUP(G3271,$AA$2:$AB$5,2,FALSE())</f>
        <v>15</v>
      </c>
      <c r="R3271" s="7" t="n">
        <f aca="false">IF(OR(F3271="Open",F3271="Reopened"),1,0)</f>
        <v>1</v>
      </c>
      <c r="S3271" s="7" t="n">
        <f aca="false">IF(AND(H3271&gt;='Exec Summary'!$E$1,H3271&lt;='Exec Summary'!$E$2),1,0)</f>
        <v>0</v>
      </c>
      <c r="T3271" s="7" t="n">
        <f aca="false">IF(AND(F3271="Closed",I3271&lt;&gt;"",I3271&gt;='Exec Summary'!$E$1,I3271&lt;='Exec Summary'!$E$2),1,0)</f>
        <v>0</v>
      </c>
      <c r="U3271" s="7" t="n">
        <f aca="false">IF(F3271="Reopened",1,0)</f>
        <v>0</v>
      </c>
      <c r="V3271" s="7" t="n">
        <f aca="false">IF(AND(R3271=1,O3271&gt;Q3271),1,0)</f>
        <v>1</v>
      </c>
      <c r="W3271" s="7" t="n">
        <f aca="false">IF(AND(T3271=1,P3271&lt;&gt;"",P3271&lt;=Q3271),1,0)</f>
        <v>0</v>
      </c>
    </row>
    <row r="3272" customFormat="false" ht="15" hidden="false" customHeight="false" outlineLevel="0" collapsed="false">
      <c r="A3272" s="7" t="s">
        <v>3844</v>
      </c>
      <c r="B3272" s="7" t="s">
        <v>46</v>
      </c>
      <c r="C3272" s="7" t="s">
        <v>79</v>
      </c>
      <c r="D3272" s="7" t="s">
        <v>87</v>
      </c>
      <c r="E3272" s="7" t="s">
        <v>88</v>
      </c>
      <c r="F3272" s="7" t="s">
        <v>50</v>
      </c>
      <c r="G3272" s="7" t="s">
        <v>19</v>
      </c>
      <c r="H3272" s="9" t="n">
        <v>46136</v>
      </c>
      <c r="I3272" s="9" t="n">
        <v>46144</v>
      </c>
      <c r="J3272" s="7" t="n">
        <v>10</v>
      </c>
      <c r="K3272" s="7" t="s">
        <v>3580</v>
      </c>
      <c r="L3272" s="7" t="s">
        <v>20</v>
      </c>
      <c r="M3272" s="7" t="s">
        <v>3851</v>
      </c>
      <c r="N3272" s="7" t="s">
        <v>58</v>
      </c>
      <c r="O3272" s="10" t="n">
        <f aca="false">'Exec Summary'!$E$2-H3272</f>
        <v>98</v>
      </c>
      <c r="P3272" s="10" t="n">
        <f aca="false">IF(I3272="","",I3272-H3272)</f>
        <v>8</v>
      </c>
      <c r="Q3272" s="10" t="n">
        <f aca="false">VLOOKUP(G3272,$AA$2:$AB$5,2,FALSE())</f>
        <v>15</v>
      </c>
      <c r="R3272" s="7" t="n">
        <f aca="false">IF(OR(F3272="Open",F3272="Reopened"),1,0)</f>
        <v>0</v>
      </c>
      <c r="S3272" s="7" t="n">
        <f aca="false">IF(AND(H3272&gt;='Exec Summary'!$E$1,H3272&lt;='Exec Summary'!$E$2),1,0)</f>
        <v>0</v>
      </c>
      <c r="T3272" s="7" t="n">
        <f aca="false">IF(AND(F3272="Closed",I3272&lt;&gt;"",I3272&gt;='Exec Summary'!$E$1,I3272&lt;='Exec Summary'!$E$2),1,0)</f>
        <v>0</v>
      </c>
      <c r="U3272" s="7" t="n">
        <f aca="false">IF(F3272="Reopened",1,0)</f>
        <v>0</v>
      </c>
      <c r="V3272" s="7" t="n">
        <f aca="false">IF(AND(R3272=1,O3272&gt;Q3272),1,0)</f>
        <v>0</v>
      </c>
      <c r="W3272" s="7" t="n">
        <f aca="false">IF(AND(T3272=1,P3272&lt;&gt;"",P3272&lt;=Q3272),1,0)</f>
        <v>0</v>
      </c>
    </row>
    <row r="3273" customFormat="false" ht="15" hidden="false" customHeight="false" outlineLevel="0" collapsed="false">
      <c r="A3273" s="7" t="s">
        <v>3844</v>
      </c>
      <c r="B3273" s="7" t="s">
        <v>46</v>
      </c>
      <c r="C3273" s="7" t="s">
        <v>79</v>
      </c>
      <c r="D3273" s="7" t="s">
        <v>95</v>
      </c>
      <c r="E3273" s="7" t="s">
        <v>96</v>
      </c>
      <c r="F3273" s="7" t="s">
        <v>56</v>
      </c>
      <c r="G3273" s="7" t="s">
        <v>20</v>
      </c>
      <c r="H3273" s="9" t="n">
        <v>46141</v>
      </c>
      <c r="I3273" s="9"/>
      <c r="J3273" s="7" t="n">
        <v>8.8</v>
      </c>
      <c r="K3273" s="7" t="s">
        <v>3580</v>
      </c>
      <c r="L3273" s="7" t="s">
        <v>20</v>
      </c>
      <c r="M3273" s="7" t="s">
        <v>3852</v>
      </c>
      <c r="N3273" s="7" t="s">
        <v>53</v>
      </c>
      <c r="O3273" s="10" t="n">
        <f aca="false">'Exec Summary'!$E$2-H3273</f>
        <v>93</v>
      </c>
      <c r="P3273" s="10" t="str">
        <f aca="false">IF(I3273="","",I3273-H3273)</f>
        <v/>
      </c>
      <c r="Q3273" s="10" t="n">
        <f aca="false">VLOOKUP(G3273,$AA$2:$AB$5,2,FALSE())</f>
        <v>30</v>
      </c>
      <c r="R3273" s="7" t="n">
        <f aca="false">IF(OR(F3273="Open",F3273="Reopened"),1,0)</f>
        <v>1</v>
      </c>
      <c r="S3273" s="7" t="n">
        <f aca="false">IF(AND(H3273&gt;='Exec Summary'!$E$1,H3273&lt;='Exec Summary'!$E$2),1,0)</f>
        <v>0</v>
      </c>
      <c r="T3273" s="7" t="n">
        <f aca="false">IF(AND(F3273="Closed",I3273&lt;&gt;"",I3273&gt;='Exec Summary'!$E$1,I3273&lt;='Exec Summary'!$E$2),1,0)</f>
        <v>0</v>
      </c>
      <c r="U3273" s="7" t="n">
        <f aca="false">IF(F3273="Reopened",1,0)</f>
        <v>0</v>
      </c>
      <c r="V3273" s="7" t="n">
        <f aca="false">IF(AND(R3273=1,O3273&gt;Q3273),1,0)</f>
        <v>1</v>
      </c>
      <c r="W3273" s="7" t="n">
        <f aca="false">IF(AND(T3273=1,P3273&lt;&gt;"",P3273&lt;=Q3273),1,0)</f>
        <v>0</v>
      </c>
    </row>
    <row r="3274" customFormat="false" ht="15" hidden="false" customHeight="false" outlineLevel="0" collapsed="false">
      <c r="A3274" s="7" t="s">
        <v>3844</v>
      </c>
      <c r="B3274" s="7" t="s">
        <v>46</v>
      </c>
      <c r="C3274" s="7" t="s">
        <v>79</v>
      </c>
      <c r="D3274" s="7" t="s">
        <v>163</v>
      </c>
      <c r="E3274" s="7" t="s">
        <v>164</v>
      </c>
      <c r="F3274" s="7" t="s">
        <v>50</v>
      </c>
      <c r="G3274" s="7" t="s">
        <v>19</v>
      </c>
      <c r="H3274" s="9" t="n">
        <v>45982</v>
      </c>
      <c r="I3274" s="9" t="n">
        <v>45988</v>
      </c>
      <c r="J3274" s="7" t="n">
        <v>9.1</v>
      </c>
      <c r="K3274" s="7" t="s">
        <v>3580</v>
      </c>
      <c r="L3274" s="7" t="s">
        <v>20</v>
      </c>
      <c r="M3274" s="7" t="s">
        <v>3853</v>
      </c>
      <c r="N3274" s="7" t="s">
        <v>58</v>
      </c>
      <c r="O3274" s="10" t="n">
        <f aca="false">'Exec Summary'!$E$2-H3274</f>
        <v>252</v>
      </c>
      <c r="P3274" s="10" t="n">
        <f aca="false">IF(I3274="","",I3274-H3274)</f>
        <v>6</v>
      </c>
      <c r="Q3274" s="10" t="n">
        <f aca="false">VLOOKUP(G3274,$AA$2:$AB$5,2,FALSE())</f>
        <v>15</v>
      </c>
      <c r="R3274" s="7" t="n">
        <f aca="false">IF(OR(F3274="Open",F3274="Reopened"),1,0)</f>
        <v>0</v>
      </c>
      <c r="S3274" s="7" t="n">
        <f aca="false">IF(AND(H3274&gt;='Exec Summary'!$E$1,H3274&lt;='Exec Summary'!$E$2),1,0)</f>
        <v>0</v>
      </c>
      <c r="T3274" s="7" t="n">
        <f aca="false">IF(AND(F3274="Closed",I3274&lt;&gt;"",I3274&gt;='Exec Summary'!$E$1,I3274&lt;='Exec Summary'!$E$2),1,0)</f>
        <v>0</v>
      </c>
      <c r="U3274" s="7" t="n">
        <f aca="false">IF(F3274="Reopened",1,0)</f>
        <v>0</v>
      </c>
      <c r="V3274" s="7" t="n">
        <f aca="false">IF(AND(R3274=1,O3274&gt;Q3274),1,0)</f>
        <v>0</v>
      </c>
      <c r="W3274" s="7" t="n">
        <f aca="false">IF(AND(T3274=1,P3274&lt;&gt;"",P3274&lt;=Q3274),1,0)</f>
        <v>0</v>
      </c>
    </row>
    <row r="3275" customFormat="false" ht="15" hidden="false" customHeight="false" outlineLevel="0" collapsed="false">
      <c r="A3275" s="7" t="s">
        <v>3844</v>
      </c>
      <c r="B3275" s="7" t="s">
        <v>46</v>
      </c>
      <c r="C3275" s="7" t="s">
        <v>79</v>
      </c>
      <c r="D3275" s="7" t="s">
        <v>145</v>
      </c>
      <c r="E3275" s="7" t="s">
        <v>146</v>
      </c>
      <c r="F3275" s="7" t="s">
        <v>50</v>
      </c>
      <c r="G3275" s="7" t="s">
        <v>19</v>
      </c>
      <c r="H3275" s="9" t="n">
        <v>45996</v>
      </c>
      <c r="I3275" s="9" t="n">
        <v>46016</v>
      </c>
      <c r="J3275" s="7" t="n">
        <v>9.8</v>
      </c>
      <c r="K3275" s="7" t="s">
        <v>3580</v>
      </c>
      <c r="L3275" s="7" t="s">
        <v>20</v>
      </c>
      <c r="M3275" s="7" t="s">
        <v>3854</v>
      </c>
      <c r="N3275" s="7" t="s">
        <v>58</v>
      </c>
      <c r="O3275" s="10" t="n">
        <f aca="false">'Exec Summary'!$E$2-H3275</f>
        <v>238</v>
      </c>
      <c r="P3275" s="10" t="n">
        <f aca="false">IF(I3275="","",I3275-H3275)</f>
        <v>20</v>
      </c>
      <c r="Q3275" s="10" t="n">
        <f aca="false">VLOOKUP(G3275,$AA$2:$AB$5,2,FALSE())</f>
        <v>15</v>
      </c>
      <c r="R3275" s="7" t="n">
        <f aca="false">IF(OR(F3275="Open",F3275="Reopened"),1,0)</f>
        <v>0</v>
      </c>
      <c r="S3275" s="7" t="n">
        <f aca="false">IF(AND(H3275&gt;='Exec Summary'!$E$1,H3275&lt;='Exec Summary'!$E$2),1,0)</f>
        <v>0</v>
      </c>
      <c r="T3275" s="7" t="n">
        <f aca="false">IF(AND(F3275="Closed",I3275&lt;&gt;"",I3275&gt;='Exec Summary'!$E$1,I3275&lt;='Exec Summary'!$E$2),1,0)</f>
        <v>0</v>
      </c>
      <c r="U3275" s="7" t="n">
        <f aca="false">IF(F3275="Reopened",1,0)</f>
        <v>0</v>
      </c>
      <c r="V3275" s="7" t="n">
        <f aca="false">IF(AND(R3275=1,O3275&gt;Q3275),1,0)</f>
        <v>0</v>
      </c>
      <c r="W3275" s="7" t="n">
        <f aca="false">IF(AND(T3275=1,P3275&lt;&gt;"",P3275&lt;=Q3275),1,0)</f>
        <v>0</v>
      </c>
    </row>
    <row r="3276" customFormat="false" ht="15" hidden="false" customHeight="false" outlineLevel="0" collapsed="false">
      <c r="A3276" s="7" t="s">
        <v>3855</v>
      </c>
      <c r="B3276" s="7" t="s">
        <v>46</v>
      </c>
      <c r="C3276" s="7" t="s">
        <v>47</v>
      </c>
      <c r="D3276" s="7" t="s">
        <v>210</v>
      </c>
      <c r="E3276" s="7" t="s">
        <v>211</v>
      </c>
      <c r="F3276" s="7" t="s">
        <v>50</v>
      </c>
      <c r="G3276" s="7" t="s">
        <v>19</v>
      </c>
      <c r="H3276" s="9" t="n">
        <v>46221</v>
      </c>
      <c r="I3276" s="9" t="n">
        <v>46227</v>
      </c>
      <c r="J3276" s="7" t="n">
        <v>9.8</v>
      </c>
      <c r="K3276" s="7" t="s">
        <v>3856</v>
      </c>
      <c r="L3276" s="7" t="s">
        <v>19</v>
      </c>
      <c r="M3276" s="7" t="s">
        <v>3857</v>
      </c>
      <c r="N3276" s="7" t="s">
        <v>58</v>
      </c>
      <c r="O3276" s="10" t="n">
        <f aca="false">'Exec Summary'!$E$2-H3276</f>
        <v>13</v>
      </c>
      <c r="P3276" s="10" t="n">
        <f aca="false">IF(I3276="","",I3276-H3276)</f>
        <v>6</v>
      </c>
      <c r="Q3276" s="10" t="n">
        <f aca="false">VLOOKUP(G3276,$AA$2:$AB$5,2,FALSE())</f>
        <v>15</v>
      </c>
      <c r="R3276" s="7" t="n">
        <f aca="false">IF(OR(F3276="Open",F3276="Reopened"),1,0)</f>
        <v>0</v>
      </c>
      <c r="S3276" s="7" t="n">
        <f aca="false">IF(AND(H3276&gt;='Exec Summary'!$E$1,H3276&lt;='Exec Summary'!$E$2),1,0)</f>
        <v>1</v>
      </c>
      <c r="T3276" s="7" t="n">
        <f aca="false">IF(AND(F3276="Closed",I3276&lt;&gt;"",I3276&gt;='Exec Summary'!$E$1,I3276&lt;='Exec Summary'!$E$2),1,0)</f>
        <v>1</v>
      </c>
      <c r="U3276" s="7" t="n">
        <f aca="false">IF(F3276="Reopened",1,0)</f>
        <v>0</v>
      </c>
      <c r="V3276" s="7" t="n">
        <f aca="false">IF(AND(R3276=1,O3276&gt;Q3276),1,0)</f>
        <v>0</v>
      </c>
      <c r="W3276" s="7" t="n">
        <f aca="false">IF(AND(T3276=1,P3276&lt;&gt;"",P3276&lt;=Q3276),1,0)</f>
        <v>1</v>
      </c>
    </row>
    <row r="3277" customFormat="false" ht="15" hidden="false" customHeight="false" outlineLevel="0" collapsed="false">
      <c r="A3277" s="7" t="s">
        <v>3855</v>
      </c>
      <c r="B3277" s="7" t="s">
        <v>46</v>
      </c>
      <c r="C3277" s="7" t="s">
        <v>47</v>
      </c>
      <c r="D3277" s="7" t="s">
        <v>91</v>
      </c>
      <c r="E3277" s="7" t="s">
        <v>92</v>
      </c>
      <c r="F3277" s="7" t="s">
        <v>56</v>
      </c>
      <c r="G3277" s="7" t="s">
        <v>20</v>
      </c>
      <c r="H3277" s="9" t="n">
        <v>45937</v>
      </c>
      <c r="I3277" s="9"/>
      <c r="J3277" s="7" t="n">
        <v>8.1</v>
      </c>
      <c r="K3277" s="7" t="s">
        <v>3856</v>
      </c>
      <c r="L3277" s="7" t="s">
        <v>19</v>
      </c>
      <c r="M3277" s="7" t="s">
        <v>3858</v>
      </c>
      <c r="N3277" s="7" t="s">
        <v>53</v>
      </c>
      <c r="O3277" s="10" t="n">
        <f aca="false">'Exec Summary'!$E$2-H3277</f>
        <v>297</v>
      </c>
      <c r="P3277" s="10" t="str">
        <f aca="false">IF(I3277="","",I3277-H3277)</f>
        <v/>
      </c>
      <c r="Q3277" s="10" t="n">
        <f aca="false">VLOOKUP(G3277,$AA$2:$AB$5,2,FALSE())</f>
        <v>30</v>
      </c>
      <c r="R3277" s="7" t="n">
        <f aca="false">IF(OR(F3277="Open",F3277="Reopened"),1,0)</f>
        <v>1</v>
      </c>
      <c r="S3277" s="7" t="n">
        <f aca="false">IF(AND(H3277&gt;='Exec Summary'!$E$1,H3277&lt;='Exec Summary'!$E$2),1,0)</f>
        <v>0</v>
      </c>
      <c r="T3277" s="7" t="n">
        <f aca="false">IF(AND(F3277="Closed",I3277&lt;&gt;"",I3277&gt;='Exec Summary'!$E$1,I3277&lt;='Exec Summary'!$E$2),1,0)</f>
        <v>0</v>
      </c>
      <c r="U3277" s="7" t="n">
        <f aca="false">IF(F3277="Reopened",1,0)</f>
        <v>0</v>
      </c>
      <c r="V3277" s="7" t="n">
        <f aca="false">IF(AND(R3277=1,O3277&gt;Q3277),1,0)</f>
        <v>1</v>
      </c>
      <c r="W3277" s="7" t="n">
        <f aca="false">IF(AND(T3277=1,P3277&lt;&gt;"",P3277&lt;=Q3277),1,0)</f>
        <v>0</v>
      </c>
    </row>
    <row r="3278" customFormat="false" ht="15" hidden="false" customHeight="false" outlineLevel="0" collapsed="false">
      <c r="A3278" s="7" t="s">
        <v>3855</v>
      </c>
      <c r="B3278" s="7" t="s">
        <v>46</v>
      </c>
      <c r="C3278" s="7" t="s">
        <v>47</v>
      </c>
      <c r="D3278" s="7" t="s">
        <v>84</v>
      </c>
      <c r="E3278" s="7" t="s">
        <v>85</v>
      </c>
      <c r="F3278" s="7" t="s">
        <v>50</v>
      </c>
      <c r="G3278" s="7" t="s">
        <v>20</v>
      </c>
      <c r="H3278" s="9" t="n">
        <v>46150</v>
      </c>
      <c r="I3278" s="9" t="n">
        <v>46158</v>
      </c>
      <c r="J3278" s="7" t="n">
        <v>7.5</v>
      </c>
      <c r="K3278" s="7" t="s">
        <v>3856</v>
      </c>
      <c r="L3278" s="7" t="s">
        <v>19</v>
      </c>
      <c r="M3278" s="7" t="s">
        <v>3859</v>
      </c>
      <c r="N3278" s="7" t="s">
        <v>53</v>
      </c>
      <c r="O3278" s="10" t="n">
        <f aca="false">'Exec Summary'!$E$2-H3278</f>
        <v>84</v>
      </c>
      <c r="P3278" s="10" t="n">
        <f aca="false">IF(I3278="","",I3278-H3278)</f>
        <v>8</v>
      </c>
      <c r="Q3278" s="10" t="n">
        <f aca="false">VLOOKUP(G3278,$AA$2:$AB$5,2,FALSE())</f>
        <v>30</v>
      </c>
      <c r="R3278" s="7" t="n">
        <f aca="false">IF(OR(F3278="Open",F3278="Reopened"),1,0)</f>
        <v>0</v>
      </c>
      <c r="S3278" s="7" t="n">
        <f aca="false">IF(AND(H3278&gt;='Exec Summary'!$E$1,H3278&lt;='Exec Summary'!$E$2),1,0)</f>
        <v>0</v>
      </c>
      <c r="T3278" s="7" t="n">
        <f aca="false">IF(AND(F3278="Closed",I3278&lt;&gt;"",I3278&gt;='Exec Summary'!$E$1,I3278&lt;='Exec Summary'!$E$2),1,0)</f>
        <v>0</v>
      </c>
      <c r="U3278" s="7" t="n">
        <f aca="false">IF(F3278="Reopened",1,0)</f>
        <v>0</v>
      </c>
      <c r="V3278" s="7" t="n">
        <f aca="false">IF(AND(R3278=1,O3278&gt;Q3278),1,0)</f>
        <v>0</v>
      </c>
      <c r="W3278" s="7" t="n">
        <f aca="false">IF(AND(T3278=1,P3278&lt;&gt;"",P3278&lt;=Q3278),1,0)</f>
        <v>0</v>
      </c>
    </row>
    <row r="3279" customFormat="false" ht="15" hidden="false" customHeight="false" outlineLevel="0" collapsed="false">
      <c r="A3279" s="7" t="s">
        <v>3855</v>
      </c>
      <c r="B3279" s="7" t="s">
        <v>46</v>
      </c>
      <c r="C3279" s="7" t="s">
        <v>47</v>
      </c>
      <c r="D3279" s="7" t="s">
        <v>71</v>
      </c>
      <c r="E3279" s="7" t="s">
        <v>72</v>
      </c>
      <c r="F3279" s="7" t="s">
        <v>50</v>
      </c>
      <c r="G3279" s="7" t="s">
        <v>19</v>
      </c>
      <c r="H3279" s="9" t="n">
        <v>45986</v>
      </c>
      <c r="I3279" s="9" t="n">
        <v>46007</v>
      </c>
      <c r="J3279" s="7" t="n">
        <v>9.8</v>
      </c>
      <c r="K3279" s="7" t="s">
        <v>3856</v>
      </c>
      <c r="L3279" s="7" t="s">
        <v>19</v>
      </c>
      <c r="M3279" s="7" t="s">
        <v>3860</v>
      </c>
      <c r="N3279" s="7" t="s">
        <v>58</v>
      </c>
      <c r="O3279" s="10" t="n">
        <f aca="false">'Exec Summary'!$E$2-H3279</f>
        <v>248</v>
      </c>
      <c r="P3279" s="10" t="n">
        <f aca="false">IF(I3279="","",I3279-H3279)</f>
        <v>21</v>
      </c>
      <c r="Q3279" s="10" t="n">
        <f aca="false">VLOOKUP(G3279,$AA$2:$AB$5,2,FALSE())</f>
        <v>15</v>
      </c>
      <c r="R3279" s="7" t="n">
        <f aca="false">IF(OR(F3279="Open",F3279="Reopened"),1,0)</f>
        <v>0</v>
      </c>
      <c r="S3279" s="7" t="n">
        <f aca="false">IF(AND(H3279&gt;='Exec Summary'!$E$1,H3279&lt;='Exec Summary'!$E$2),1,0)</f>
        <v>0</v>
      </c>
      <c r="T3279" s="7" t="n">
        <f aca="false">IF(AND(F3279="Closed",I3279&lt;&gt;"",I3279&gt;='Exec Summary'!$E$1,I3279&lt;='Exec Summary'!$E$2),1,0)</f>
        <v>0</v>
      </c>
      <c r="U3279" s="7" t="n">
        <f aca="false">IF(F3279="Reopened",1,0)</f>
        <v>0</v>
      </c>
      <c r="V3279" s="7" t="n">
        <f aca="false">IF(AND(R3279=1,O3279&gt;Q3279),1,0)</f>
        <v>0</v>
      </c>
      <c r="W3279" s="7" t="n">
        <f aca="false">IF(AND(T3279=1,P3279&lt;&gt;"",P3279&lt;=Q3279),1,0)</f>
        <v>0</v>
      </c>
    </row>
    <row r="3280" customFormat="false" ht="15" hidden="false" customHeight="false" outlineLevel="0" collapsed="false">
      <c r="A3280" s="7" t="s">
        <v>3855</v>
      </c>
      <c r="B3280" s="7" t="s">
        <v>46</v>
      </c>
      <c r="C3280" s="7" t="s">
        <v>47</v>
      </c>
      <c r="D3280" s="7" t="s">
        <v>62</v>
      </c>
      <c r="E3280" s="7" t="s">
        <v>63</v>
      </c>
      <c r="F3280" s="7" t="s">
        <v>50</v>
      </c>
      <c r="G3280" s="7" t="s">
        <v>20</v>
      </c>
      <c r="H3280" s="9" t="n">
        <v>46169</v>
      </c>
      <c r="I3280" s="9" t="n">
        <v>46206</v>
      </c>
      <c r="J3280" s="7" t="n">
        <v>8.1</v>
      </c>
      <c r="K3280" s="7" t="s">
        <v>3856</v>
      </c>
      <c r="L3280" s="7" t="s">
        <v>19</v>
      </c>
      <c r="M3280" s="7" t="s">
        <v>3861</v>
      </c>
      <c r="N3280" s="7" t="s">
        <v>53</v>
      </c>
      <c r="O3280" s="10" t="n">
        <f aca="false">'Exec Summary'!$E$2-H3280</f>
        <v>65</v>
      </c>
      <c r="P3280" s="10" t="n">
        <f aca="false">IF(I3280="","",I3280-H3280)</f>
        <v>37</v>
      </c>
      <c r="Q3280" s="10" t="n">
        <f aca="false">VLOOKUP(G3280,$AA$2:$AB$5,2,FALSE())</f>
        <v>30</v>
      </c>
      <c r="R3280" s="7" t="n">
        <f aca="false">IF(OR(F3280="Open",F3280="Reopened"),1,0)</f>
        <v>0</v>
      </c>
      <c r="S3280" s="7" t="n">
        <f aca="false">IF(AND(H3280&gt;='Exec Summary'!$E$1,H3280&lt;='Exec Summary'!$E$2),1,0)</f>
        <v>0</v>
      </c>
      <c r="T3280" s="7" t="n">
        <f aca="false">IF(AND(F3280="Closed",I3280&lt;&gt;"",I3280&gt;='Exec Summary'!$E$1,I3280&lt;='Exec Summary'!$E$2),1,0)</f>
        <v>1</v>
      </c>
      <c r="U3280" s="7" t="n">
        <f aca="false">IF(F3280="Reopened",1,0)</f>
        <v>0</v>
      </c>
      <c r="V3280" s="7" t="n">
        <f aca="false">IF(AND(R3280=1,O3280&gt;Q3280),1,0)</f>
        <v>0</v>
      </c>
      <c r="W3280" s="7" t="n">
        <f aca="false">IF(AND(T3280=1,P3280&lt;&gt;"",P3280&lt;=Q3280),1,0)</f>
        <v>0</v>
      </c>
    </row>
    <row r="3281" customFormat="false" ht="15" hidden="false" customHeight="false" outlineLevel="0" collapsed="false">
      <c r="A3281" s="7" t="s">
        <v>3855</v>
      </c>
      <c r="B3281" s="7" t="s">
        <v>46</v>
      </c>
      <c r="C3281" s="7" t="s">
        <v>47</v>
      </c>
      <c r="D3281" s="7" t="s">
        <v>192</v>
      </c>
      <c r="E3281" s="7" t="s">
        <v>193</v>
      </c>
      <c r="F3281" s="7" t="s">
        <v>50</v>
      </c>
      <c r="G3281" s="7" t="s">
        <v>19</v>
      </c>
      <c r="H3281" s="9" t="n">
        <v>45974</v>
      </c>
      <c r="I3281" s="9" t="n">
        <v>45989</v>
      </c>
      <c r="J3281" s="7" t="n">
        <v>9.8</v>
      </c>
      <c r="K3281" s="7" t="s">
        <v>3856</v>
      </c>
      <c r="L3281" s="7" t="s">
        <v>19</v>
      </c>
      <c r="M3281" s="7" t="s">
        <v>3862</v>
      </c>
      <c r="N3281" s="7" t="s">
        <v>58</v>
      </c>
      <c r="O3281" s="10" t="n">
        <f aca="false">'Exec Summary'!$E$2-H3281</f>
        <v>260</v>
      </c>
      <c r="P3281" s="10" t="n">
        <f aca="false">IF(I3281="","",I3281-H3281)</f>
        <v>15</v>
      </c>
      <c r="Q3281" s="10" t="n">
        <f aca="false">VLOOKUP(G3281,$AA$2:$AB$5,2,FALSE())</f>
        <v>15</v>
      </c>
      <c r="R3281" s="7" t="n">
        <f aca="false">IF(OR(F3281="Open",F3281="Reopened"),1,0)</f>
        <v>0</v>
      </c>
      <c r="S3281" s="7" t="n">
        <f aca="false">IF(AND(H3281&gt;='Exec Summary'!$E$1,H3281&lt;='Exec Summary'!$E$2),1,0)</f>
        <v>0</v>
      </c>
      <c r="T3281" s="7" t="n">
        <f aca="false">IF(AND(F3281="Closed",I3281&lt;&gt;"",I3281&gt;='Exec Summary'!$E$1,I3281&lt;='Exec Summary'!$E$2),1,0)</f>
        <v>0</v>
      </c>
      <c r="U3281" s="7" t="n">
        <f aca="false">IF(F3281="Reopened",1,0)</f>
        <v>0</v>
      </c>
      <c r="V3281" s="7" t="n">
        <f aca="false">IF(AND(R3281=1,O3281&gt;Q3281),1,0)</f>
        <v>0</v>
      </c>
      <c r="W3281" s="7" t="n">
        <f aca="false">IF(AND(T3281=1,P3281&lt;&gt;"",P3281&lt;=Q3281),1,0)</f>
        <v>0</v>
      </c>
    </row>
    <row r="3282" customFormat="false" ht="15" hidden="false" customHeight="false" outlineLevel="0" collapsed="false">
      <c r="A3282" s="7" t="s">
        <v>3855</v>
      </c>
      <c r="B3282" s="7" t="s">
        <v>46</v>
      </c>
      <c r="C3282" s="7" t="s">
        <v>47</v>
      </c>
      <c r="D3282" s="7" t="s">
        <v>101</v>
      </c>
      <c r="E3282" s="7" t="s">
        <v>102</v>
      </c>
      <c r="F3282" s="7" t="s">
        <v>50</v>
      </c>
      <c r="G3282" s="7" t="s">
        <v>19</v>
      </c>
      <c r="H3282" s="9" t="n">
        <v>45969</v>
      </c>
      <c r="I3282" s="9" t="n">
        <v>45972</v>
      </c>
      <c r="J3282" s="7" t="n">
        <v>10</v>
      </c>
      <c r="K3282" s="7" t="s">
        <v>3856</v>
      </c>
      <c r="L3282" s="7" t="s">
        <v>19</v>
      </c>
      <c r="M3282" s="7" t="s">
        <v>3863</v>
      </c>
      <c r="N3282" s="7" t="s">
        <v>58</v>
      </c>
      <c r="O3282" s="10" t="n">
        <f aca="false">'Exec Summary'!$E$2-H3282</f>
        <v>265</v>
      </c>
      <c r="P3282" s="10" t="n">
        <f aca="false">IF(I3282="","",I3282-H3282)</f>
        <v>3</v>
      </c>
      <c r="Q3282" s="10" t="n">
        <f aca="false">VLOOKUP(G3282,$AA$2:$AB$5,2,FALSE())</f>
        <v>15</v>
      </c>
      <c r="R3282" s="7" t="n">
        <f aca="false">IF(OR(F3282="Open",F3282="Reopened"),1,0)</f>
        <v>0</v>
      </c>
      <c r="S3282" s="7" t="n">
        <f aca="false">IF(AND(H3282&gt;='Exec Summary'!$E$1,H3282&lt;='Exec Summary'!$E$2),1,0)</f>
        <v>0</v>
      </c>
      <c r="T3282" s="7" t="n">
        <f aca="false">IF(AND(F3282="Closed",I3282&lt;&gt;"",I3282&gt;='Exec Summary'!$E$1,I3282&lt;='Exec Summary'!$E$2),1,0)</f>
        <v>0</v>
      </c>
      <c r="U3282" s="7" t="n">
        <f aca="false">IF(F3282="Reopened",1,0)</f>
        <v>0</v>
      </c>
      <c r="V3282" s="7" t="n">
        <f aca="false">IF(AND(R3282=1,O3282&gt;Q3282),1,0)</f>
        <v>0</v>
      </c>
      <c r="W3282" s="7" t="n">
        <f aca="false">IF(AND(T3282=1,P3282&lt;&gt;"",P3282&lt;=Q3282),1,0)</f>
        <v>0</v>
      </c>
    </row>
    <row r="3283" customFormat="false" ht="15" hidden="false" customHeight="false" outlineLevel="0" collapsed="false">
      <c r="A3283" s="7" t="s">
        <v>3855</v>
      </c>
      <c r="B3283" s="7" t="s">
        <v>46</v>
      </c>
      <c r="C3283" s="7" t="s">
        <v>47</v>
      </c>
      <c r="D3283" s="7" t="s">
        <v>81</v>
      </c>
      <c r="E3283" s="7" t="s">
        <v>82</v>
      </c>
      <c r="F3283" s="7" t="s">
        <v>56</v>
      </c>
      <c r="G3283" s="7" t="s">
        <v>20</v>
      </c>
      <c r="H3283" s="9" t="n">
        <v>45974</v>
      </c>
      <c r="I3283" s="9"/>
      <c r="J3283" s="7" t="n">
        <v>7.8</v>
      </c>
      <c r="K3283" s="7" t="s">
        <v>3856</v>
      </c>
      <c r="L3283" s="7" t="s">
        <v>19</v>
      </c>
      <c r="M3283" s="7" t="s">
        <v>3864</v>
      </c>
      <c r="N3283" s="7" t="s">
        <v>53</v>
      </c>
      <c r="O3283" s="10" t="n">
        <f aca="false">'Exec Summary'!$E$2-H3283</f>
        <v>260</v>
      </c>
      <c r="P3283" s="10" t="str">
        <f aca="false">IF(I3283="","",I3283-H3283)</f>
        <v/>
      </c>
      <c r="Q3283" s="10" t="n">
        <f aca="false">VLOOKUP(G3283,$AA$2:$AB$5,2,FALSE())</f>
        <v>30</v>
      </c>
      <c r="R3283" s="7" t="n">
        <f aca="false">IF(OR(F3283="Open",F3283="Reopened"),1,0)</f>
        <v>1</v>
      </c>
      <c r="S3283" s="7" t="n">
        <f aca="false">IF(AND(H3283&gt;='Exec Summary'!$E$1,H3283&lt;='Exec Summary'!$E$2),1,0)</f>
        <v>0</v>
      </c>
      <c r="T3283" s="7" t="n">
        <f aca="false">IF(AND(F3283="Closed",I3283&lt;&gt;"",I3283&gt;='Exec Summary'!$E$1,I3283&lt;='Exec Summary'!$E$2),1,0)</f>
        <v>0</v>
      </c>
      <c r="U3283" s="7" t="n">
        <f aca="false">IF(F3283="Reopened",1,0)</f>
        <v>0</v>
      </c>
      <c r="V3283" s="7" t="n">
        <f aca="false">IF(AND(R3283=1,O3283&gt;Q3283),1,0)</f>
        <v>1</v>
      </c>
      <c r="W3283" s="7" t="n">
        <f aca="false">IF(AND(T3283=1,P3283&lt;&gt;"",P3283&lt;=Q3283),1,0)</f>
        <v>0</v>
      </c>
    </row>
    <row r="3284" customFormat="false" ht="15" hidden="false" customHeight="false" outlineLevel="0" collapsed="false">
      <c r="A3284" s="7" t="s">
        <v>3855</v>
      </c>
      <c r="B3284" s="7" t="s">
        <v>46</v>
      </c>
      <c r="C3284" s="7" t="s">
        <v>47</v>
      </c>
      <c r="D3284" s="7" t="s">
        <v>98</v>
      </c>
      <c r="E3284" s="7" t="s">
        <v>99</v>
      </c>
      <c r="F3284" s="7" t="s">
        <v>50</v>
      </c>
      <c r="G3284" s="7" t="s">
        <v>19</v>
      </c>
      <c r="H3284" s="9" t="n">
        <v>46128</v>
      </c>
      <c r="I3284" s="9" t="n">
        <v>46135</v>
      </c>
      <c r="J3284" s="7" t="n">
        <v>10</v>
      </c>
      <c r="K3284" s="7" t="s">
        <v>3856</v>
      </c>
      <c r="L3284" s="7" t="s">
        <v>19</v>
      </c>
      <c r="M3284" s="7" t="s">
        <v>3865</v>
      </c>
      <c r="N3284" s="7" t="s">
        <v>58</v>
      </c>
      <c r="O3284" s="10" t="n">
        <f aca="false">'Exec Summary'!$E$2-H3284</f>
        <v>106</v>
      </c>
      <c r="P3284" s="10" t="n">
        <f aca="false">IF(I3284="","",I3284-H3284)</f>
        <v>7</v>
      </c>
      <c r="Q3284" s="10" t="n">
        <f aca="false">VLOOKUP(G3284,$AA$2:$AB$5,2,FALSE())</f>
        <v>15</v>
      </c>
      <c r="R3284" s="7" t="n">
        <f aca="false">IF(OR(F3284="Open",F3284="Reopened"),1,0)</f>
        <v>0</v>
      </c>
      <c r="S3284" s="7" t="n">
        <f aca="false">IF(AND(H3284&gt;='Exec Summary'!$E$1,H3284&lt;='Exec Summary'!$E$2),1,0)</f>
        <v>0</v>
      </c>
      <c r="T3284" s="7" t="n">
        <f aca="false">IF(AND(F3284="Closed",I3284&lt;&gt;"",I3284&gt;='Exec Summary'!$E$1,I3284&lt;='Exec Summary'!$E$2),1,0)</f>
        <v>0</v>
      </c>
      <c r="U3284" s="7" t="n">
        <f aca="false">IF(F3284="Reopened",1,0)</f>
        <v>0</v>
      </c>
      <c r="V3284" s="7" t="n">
        <f aca="false">IF(AND(R3284=1,O3284&gt;Q3284),1,0)</f>
        <v>0</v>
      </c>
      <c r="W3284" s="7" t="n">
        <f aca="false">IF(AND(T3284=1,P3284&lt;&gt;"",P3284&lt;=Q3284),1,0)</f>
        <v>0</v>
      </c>
    </row>
    <row r="3285" customFormat="false" ht="15" hidden="false" customHeight="false" outlineLevel="0" collapsed="false">
      <c r="A3285" s="7" t="s">
        <v>3855</v>
      </c>
      <c r="B3285" s="7" t="s">
        <v>46</v>
      </c>
      <c r="C3285" s="7" t="s">
        <v>47</v>
      </c>
      <c r="D3285" s="7" t="s">
        <v>54</v>
      </c>
      <c r="E3285" s="7" t="s">
        <v>55</v>
      </c>
      <c r="F3285" s="7" t="s">
        <v>56</v>
      </c>
      <c r="G3285" s="7" t="s">
        <v>19</v>
      </c>
      <c r="H3285" s="9" t="n">
        <v>46070</v>
      </c>
      <c r="I3285" s="9"/>
      <c r="J3285" s="7" t="n">
        <v>9.8</v>
      </c>
      <c r="K3285" s="7" t="s">
        <v>3856</v>
      </c>
      <c r="L3285" s="7" t="s">
        <v>19</v>
      </c>
      <c r="M3285" s="7" t="s">
        <v>3866</v>
      </c>
      <c r="N3285" s="7" t="s">
        <v>58</v>
      </c>
      <c r="O3285" s="10" t="n">
        <f aca="false">'Exec Summary'!$E$2-H3285</f>
        <v>164</v>
      </c>
      <c r="P3285" s="10" t="str">
        <f aca="false">IF(I3285="","",I3285-H3285)</f>
        <v/>
      </c>
      <c r="Q3285" s="10" t="n">
        <f aca="false">VLOOKUP(G3285,$AA$2:$AB$5,2,FALSE())</f>
        <v>15</v>
      </c>
      <c r="R3285" s="7" t="n">
        <f aca="false">IF(OR(F3285="Open",F3285="Reopened"),1,0)</f>
        <v>1</v>
      </c>
      <c r="S3285" s="7" t="n">
        <f aca="false">IF(AND(H3285&gt;='Exec Summary'!$E$1,H3285&lt;='Exec Summary'!$E$2),1,0)</f>
        <v>0</v>
      </c>
      <c r="T3285" s="7" t="n">
        <f aca="false">IF(AND(F3285="Closed",I3285&lt;&gt;"",I3285&gt;='Exec Summary'!$E$1,I3285&lt;='Exec Summary'!$E$2),1,0)</f>
        <v>0</v>
      </c>
      <c r="U3285" s="7" t="n">
        <f aca="false">IF(F3285="Reopened",1,0)</f>
        <v>0</v>
      </c>
      <c r="V3285" s="7" t="n">
        <f aca="false">IF(AND(R3285=1,O3285&gt;Q3285),1,0)</f>
        <v>1</v>
      </c>
      <c r="W3285" s="7" t="n">
        <f aca="false">IF(AND(T3285=1,P3285&lt;&gt;"",P3285&lt;=Q3285),1,0)</f>
        <v>0</v>
      </c>
    </row>
    <row r="3286" customFormat="false" ht="15" hidden="false" customHeight="false" outlineLevel="0" collapsed="false">
      <c r="A3286" s="7" t="s">
        <v>3855</v>
      </c>
      <c r="B3286" s="7" t="s">
        <v>46</v>
      </c>
      <c r="C3286" s="7" t="s">
        <v>47</v>
      </c>
      <c r="D3286" s="7" t="s">
        <v>108</v>
      </c>
      <c r="E3286" s="7" t="s">
        <v>109</v>
      </c>
      <c r="F3286" s="7" t="s">
        <v>50</v>
      </c>
      <c r="G3286" s="7" t="s">
        <v>20</v>
      </c>
      <c r="H3286" s="9" t="n">
        <v>46021</v>
      </c>
      <c r="I3286" s="9" t="n">
        <v>46033</v>
      </c>
      <c r="J3286" s="7" t="n">
        <v>8.6</v>
      </c>
      <c r="K3286" s="7" t="s">
        <v>3856</v>
      </c>
      <c r="L3286" s="7" t="s">
        <v>19</v>
      </c>
      <c r="M3286" s="7" t="s">
        <v>3867</v>
      </c>
      <c r="N3286" s="7" t="s">
        <v>53</v>
      </c>
      <c r="O3286" s="10" t="n">
        <f aca="false">'Exec Summary'!$E$2-H3286</f>
        <v>213</v>
      </c>
      <c r="P3286" s="10" t="n">
        <f aca="false">IF(I3286="","",I3286-H3286)</f>
        <v>12</v>
      </c>
      <c r="Q3286" s="10" t="n">
        <f aca="false">VLOOKUP(G3286,$AA$2:$AB$5,2,FALSE())</f>
        <v>30</v>
      </c>
      <c r="R3286" s="7" t="n">
        <f aca="false">IF(OR(F3286="Open",F3286="Reopened"),1,0)</f>
        <v>0</v>
      </c>
      <c r="S3286" s="7" t="n">
        <f aca="false">IF(AND(H3286&gt;='Exec Summary'!$E$1,H3286&lt;='Exec Summary'!$E$2),1,0)</f>
        <v>0</v>
      </c>
      <c r="T3286" s="7" t="n">
        <f aca="false">IF(AND(F3286="Closed",I3286&lt;&gt;"",I3286&gt;='Exec Summary'!$E$1,I3286&lt;='Exec Summary'!$E$2),1,0)</f>
        <v>0</v>
      </c>
      <c r="U3286" s="7" t="n">
        <f aca="false">IF(F3286="Reopened",1,0)</f>
        <v>0</v>
      </c>
      <c r="V3286" s="7" t="n">
        <f aca="false">IF(AND(R3286=1,O3286&gt;Q3286),1,0)</f>
        <v>0</v>
      </c>
      <c r="W3286" s="7" t="n">
        <f aca="false">IF(AND(T3286=1,P3286&lt;&gt;"",P3286&lt;=Q3286),1,0)</f>
        <v>0</v>
      </c>
    </row>
    <row r="3287" customFormat="false" ht="15" hidden="false" customHeight="false" outlineLevel="0" collapsed="false">
      <c r="A3287" s="7" t="s">
        <v>3855</v>
      </c>
      <c r="B3287" s="7" t="s">
        <v>46</v>
      </c>
      <c r="C3287" s="7" t="s">
        <v>47</v>
      </c>
      <c r="D3287" s="7" t="s">
        <v>206</v>
      </c>
      <c r="E3287" s="7" t="s">
        <v>207</v>
      </c>
      <c r="F3287" s="7" t="s">
        <v>50</v>
      </c>
      <c r="G3287" s="7" t="s">
        <v>20</v>
      </c>
      <c r="H3287" s="9" t="n">
        <v>46128</v>
      </c>
      <c r="I3287" s="9" t="n">
        <v>46168</v>
      </c>
      <c r="J3287" s="7" t="n">
        <v>8.8</v>
      </c>
      <c r="K3287" s="7" t="s">
        <v>3856</v>
      </c>
      <c r="L3287" s="7" t="s">
        <v>19</v>
      </c>
      <c r="M3287" s="7" t="s">
        <v>3868</v>
      </c>
      <c r="N3287" s="7" t="s">
        <v>53</v>
      </c>
      <c r="O3287" s="10" t="n">
        <f aca="false">'Exec Summary'!$E$2-H3287</f>
        <v>106</v>
      </c>
      <c r="P3287" s="10" t="n">
        <f aca="false">IF(I3287="","",I3287-H3287)</f>
        <v>40</v>
      </c>
      <c r="Q3287" s="10" t="n">
        <f aca="false">VLOOKUP(G3287,$AA$2:$AB$5,2,FALSE())</f>
        <v>30</v>
      </c>
      <c r="R3287" s="7" t="n">
        <f aca="false">IF(OR(F3287="Open",F3287="Reopened"),1,0)</f>
        <v>0</v>
      </c>
      <c r="S3287" s="7" t="n">
        <f aca="false">IF(AND(H3287&gt;='Exec Summary'!$E$1,H3287&lt;='Exec Summary'!$E$2),1,0)</f>
        <v>0</v>
      </c>
      <c r="T3287" s="7" t="n">
        <f aca="false">IF(AND(F3287="Closed",I3287&lt;&gt;"",I3287&gt;='Exec Summary'!$E$1,I3287&lt;='Exec Summary'!$E$2),1,0)</f>
        <v>0</v>
      </c>
      <c r="U3287" s="7" t="n">
        <f aca="false">IF(F3287="Reopened",1,0)</f>
        <v>0</v>
      </c>
      <c r="V3287" s="7" t="n">
        <f aca="false">IF(AND(R3287=1,O3287&gt;Q3287),1,0)</f>
        <v>0</v>
      </c>
      <c r="W3287" s="7" t="n">
        <f aca="false">IF(AND(T3287=1,P3287&lt;&gt;"",P3287&lt;=Q3287),1,0)</f>
        <v>0</v>
      </c>
    </row>
    <row r="3288" customFormat="false" ht="15" hidden="false" customHeight="false" outlineLevel="0" collapsed="false">
      <c r="A3288" s="7" t="s">
        <v>3869</v>
      </c>
      <c r="B3288" s="7" t="s">
        <v>135</v>
      </c>
      <c r="C3288" s="7" t="s">
        <v>306</v>
      </c>
      <c r="D3288" s="7" t="s">
        <v>84</v>
      </c>
      <c r="E3288" s="7" t="s">
        <v>85</v>
      </c>
      <c r="F3288" s="7" t="s">
        <v>50</v>
      </c>
      <c r="G3288" s="7" t="s">
        <v>20</v>
      </c>
      <c r="H3288" s="9" t="n">
        <v>46095</v>
      </c>
      <c r="I3288" s="9" t="n">
        <v>46108</v>
      </c>
      <c r="J3288" s="7" t="n">
        <v>7.5</v>
      </c>
      <c r="K3288" s="7" t="s">
        <v>3856</v>
      </c>
      <c r="L3288" s="7" t="s">
        <v>19</v>
      </c>
      <c r="M3288" s="7" t="s">
        <v>3870</v>
      </c>
      <c r="N3288" s="7" t="s">
        <v>53</v>
      </c>
      <c r="O3288" s="10" t="n">
        <f aca="false">'Exec Summary'!$E$2-H3288</f>
        <v>139</v>
      </c>
      <c r="P3288" s="10" t="n">
        <f aca="false">IF(I3288="","",I3288-H3288)</f>
        <v>13</v>
      </c>
      <c r="Q3288" s="10" t="n">
        <f aca="false">VLOOKUP(G3288,$AA$2:$AB$5,2,FALSE())</f>
        <v>30</v>
      </c>
      <c r="R3288" s="7" t="n">
        <f aca="false">IF(OR(F3288="Open",F3288="Reopened"),1,0)</f>
        <v>0</v>
      </c>
      <c r="S3288" s="7" t="n">
        <f aca="false">IF(AND(H3288&gt;='Exec Summary'!$E$1,H3288&lt;='Exec Summary'!$E$2),1,0)</f>
        <v>0</v>
      </c>
      <c r="T3288" s="7" t="n">
        <f aca="false">IF(AND(F3288="Closed",I3288&lt;&gt;"",I3288&gt;='Exec Summary'!$E$1,I3288&lt;='Exec Summary'!$E$2),1,0)</f>
        <v>0</v>
      </c>
      <c r="U3288" s="7" t="n">
        <f aca="false">IF(F3288="Reopened",1,0)</f>
        <v>0</v>
      </c>
      <c r="V3288" s="7" t="n">
        <f aca="false">IF(AND(R3288=1,O3288&gt;Q3288),1,0)</f>
        <v>0</v>
      </c>
      <c r="W3288" s="7" t="n">
        <f aca="false">IF(AND(T3288=1,P3288&lt;&gt;"",P3288&lt;=Q3288),1,0)</f>
        <v>0</v>
      </c>
    </row>
    <row r="3289" customFormat="false" ht="15" hidden="false" customHeight="false" outlineLevel="0" collapsed="false">
      <c r="A3289" s="7" t="s">
        <v>3869</v>
      </c>
      <c r="B3289" s="7" t="s">
        <v>135</v>
      </c>
      <c r="C3289" s="7" t="s">
        <v>306</v>
      </c>
      <c r="D3289" s="7" t="s">
        <v>98</v>
      </c>
      <c r="E3289" s="7" t="s">
        <v>99</v>
      </c>
      <c r="F3289" s="7" t="s">
        <v>50</v>
      </c>
      <c r="G3289" s="7" t="s">
        <v>19</v>
      </c>
      <c r="H3289" s="9" t="n">
        <v>46007</v>
      </c>
      <c r="I3289" s="9" t="n">
        <v>46018</v>
      </c>
      <c r="J3289" s="7" t="n">
        <v>10</v>
      </c>
      <c r="K3289" s="7" t="s">
        <v>3856</v>
      </c>
      <c r="L3289" s="7" t="s">
        <v>19</v>
      </c>
      <c r="M3289" s="7" t="s">
        <v>3871</v>
      </c>
      <c r="N3289" s="7" t="s">
        <v>58</v>
      </c>
      <c r="O3289" s="10" t="n">
        <f aca="false">'Exec Summary'!$E$2-H3289</f>
        <v>227</v>
      </c>
      <c r="P3289" s="10" t="n">
        <f aca="false">IF(I3289="","",I3289-H3289)</f>
        <v>11</v>
      </c>
      <c r="Q3289" s="10" t="n">
        <f aca="false">VLOOKUP(G3289,$AA$2:$AB$5,2,FALSE())</f>
        <v>15</v>
      </c>
      <c r="R3289" s="7" t="n">
        <f aca="false">IF(OR(F3289="Open",F3289="Reopened"),1,0)</f>
        <v>0</v>
      </c>
      <c r="S3289" s="7" t="n">
        <f aca="false">IF(AND(H3289&gt;='Exec Summary'!$E$1,H3289&lt;='Exec Summary'!$E$2),1,0)</f>
        <v>0</v>
      </c>
      <c r="T3289" s="7" t="n">
        <f aca="false">IF(AND(F3289="Closed",I3289&lt;&gt;"",I3289&gt;='Exec Summary'!$E$1,I3289&lt;='Exec Summary'!$E$2),1,0)</f>
        <v>0</v>
      </c>
      <c r="U3289" s="7" t="n">
        <f aca="false">IF(F3289="Reopened",1,0)</f>
        <v>0</v>
      </c>
      <c r="V3289" s="7" t="n">
        <f aca="false">IF(AND(R3289=1,O3289&gt;Q3289),1,0)</f>
        <v>0</v>
      </c>
      <c r="W3289" s="7" t="n">
        <f aca="false">IF(AND(T3289=1,P3289&lt;&gt;"",P3289&lt;=Q3289),1,0)</f>
        <v>0</v>
      </c>
    </row>
    <row r="3290" customFormat="false" ht="15" hidden="false" customHeight="false" outlineLevel="0" collapsed="false">
      <c r="A3290" s="7" t="s">
        <v>3869</v>
      </c>
      <c r="B3290" s="7" t="s">
        <v>135</v>
      </c>
      <c r="C3290" s="7" t="s">
        <v>306</v>
      </c>
      <c r="D3290" s="7" t="s">
        <v>74</v>
      </c>
      <c r="E3290" s="7" t="s">
        <v>75</v>
      </c>
      <c r="F3290" s="7" t="s">
        <v>50</v>
      </c>
      <c r="G3290" s="7" t="s">
        <v>21</v>
      </c>
      <c r="H3290" s="9" t="n">
        <v>46138</v>
      </c>
      <c r="I3290" s="9" t="n">
        <v>46234</v>
      </c>
      <c r="J3290" s="7" t="n">
        <v>6.5</v>
      </c>
      <c r="K3290" s="7" t="s">
        <v>3856</v>
      </c>
      <c r="L3290" s="7" t="s">
        <v>19</v>
      </c>
      <c r="M3290" s="7" t="s">
        <v>3872</v>
      </c>
      <c r="N3290" s="7" t="s">
        <v>77</v>
      </c>
      <c r="O3290" s="10" t="n">
        <f aca="false">'Exec Summary'!$E$2-H3290</f>
        <v>96</v>
      </c>
      <c r="P3290" s="10" t="n">
        <f aca="false">IF(I3290="","",I3290-H3290)</f>
        <v>96</v>
      </c>
      <c r="Q3290" s="10" t="n">
        <f aca="false">VLOOKUP(G3290,$AA$2:$AB$5,2,FALSE())</f>
        <v>90</v>
      </c>
      <c r="R3290" s="7" t="n">
        <f aca="false">IF(OR(F3290="Open",F3290="Reopened"),1,0)</f>
        <v>0</v>
      </c>
      <c r="S3290" s="7" t="n">
        <f aca="false">IF(AND(H3290&gt;='Exec Summary'!$E$1,H3290&lt;='Exec Summary'!$E$2),1,0)</f>
        <v>0</v>
      </c>
      <c r="T3290" s="7" t="n">
        <f aca="false">IF(AND(F3290="Closed",I3290&lt;&gt;"",I3290&gt;='Exec Summary'!$E$1,I3290&lt;='Exec Summary'!$E$2),1,0)</f>
        <v>1</v>
      </c>
      <c r="U3290" s="7" t="n">
        <f aca="false">IF(F3290="Reopened",1,0)</f>
        <v>0</v>
      </c>
      <c r="V3290" s="7" t="n">
        <f aca="false">IF(AND(R3290=1,O3290&gt;Q3290),1,0)</f>
        <v>0</v>
      </c>
      <c r="W3290" s="7" t="n">
        <f aca="false">IF(AND(T3290=1,P3290&lt;&gt;"",P3290&lt;=Q3290),1,0)</f>
        <v>0</v>
      </c>
    </row>
    <row r="3291" customFormat="false" ht="15" hidden="false" customHeight="false" outlineLevel="0" collapsed="false">
      <c r="A3291" s="7" t="s">
        <v>3869</v>
      </c>
      <c r="B3291" s="7" t="s">
        <v>135</v>
      </c>
      <c r="C3291" s="7" t="s">
        <v>306</v>
      </c>
      <c r="D3291" s="7" t="s">
        <v>71</v>
      </c>
      <c r="E3291" s="7" t="s">
        <v>72</v>
      </c>
      <c r="F3291" s="7" t="s">
        <v>50</v>
      </c>
      <c r="G3291" s="7" t="s">
        <v>19</v>
      </c>
      <c r="H3291" s="9" t="n">
        <v>46194</v>
      </c>
      <c r="I3291" s="9" t="n">
        <v>46205</v>
      </c>
      <c r="J3291" s="7" t="n">
        <v>9.8</v>
      </c>
      <c r="K3291" s="7" t="s">
        <v>3856</v>
      </c>
      <c r="L3291" s="7" t="s">
        <v>19</v>
      </c>
      <c r="M3291" s="7" t="s">
        <v>3873</v>
      </c>
      <c r="N3291" s="7" t="s">
        <v>58</v>
      </c>
      <c r="O3291" s="10" t="n">
        <f aca="false">'Exec Summary'!$E$2-H3291</f>
        <v>40</v>
      </c>
      <c r="P3291" s="10" t="n">
        <f aca="false">IF(I3291="","",I3291-H3291)</f>
        <v>11</v>
      </c>
      <c r="Q3291" s="10" t="n">
        <f aca="false">VLOOKUP(G3291,$AA$2:$AB$5,2,FALSE())</f>
        <v>15</v>
      </c>
      <c r="R3291" s="7" t="n">
        <f aca="false">IF(OR(F3291="Open",F3291="Reopened"),1,0)</f>
        <v>0</v>
      </c>
      <c r="S3291" s="7" t="n">
        <f aca="false">IF(AND(H3291&gt;='Exec Summary'!$E$1,H3291&lt;='Exec Summary'!$E$2),1,0)</f>
        <v>0</v>
      </c>
      <c r="T3291" s="7" t="n">
        <f aca="false">IF(AND(F3291="Closed",I3291&lt;&gt;"",I3291&gt;='Exec Summary'!$E$1,I3291&lt;='Exec Summary'!$E$2),1,0)</f>
        <v>1</v>
      </c>
      <c r="U3291" s="7" t="n">
        <f aca="false">IF(F3291="Reopened",1,0)</f>
        <v>0</v>
      </c>
      <c r="V3291" s="7" t="n">
        <f aca="false">IF(AND(R3291=1,O3291&gt;Q3291),1,0)</f>
        <v>0</v>
      </c>
      <c r="W3291" s="7" t="n">
        <f aca="false">IF(AND(T3291=1,P3291&lt;&gt;"",P3291&lt;=Q3291),1,0)</f>
        <v>1</v>
      </c>
    </row>
    <row r="3292" customFormat="false" ht="15" hidden="false" customHeight="false" outlineLevel="0" collapsed="false">
      <c r="A3292" s="7" t="s">
        <v>3869</v>
      </c>
      <c r="B3292" s="7" t="s">
        <v>135</v>
      </c>
      <c r="C3292" s="7" t="s">
        <v>306</v>
      </c>
      <c r="D3292" s="7" t="s">
        <v>210</v>
      </c>
      <c r="E3292" s="7" t="s">
        <v>211</v>
      </c>
      <c r="F3292" s="7" t="s">
        <v>56</v>
      </c>
      <c r="G3292" s="7" t="s">
        <v>19</v>
      </c>
      <c r="H3292" s="9" t="n">
        <v>46150</v>
      </c>
      <c r="I3292" s="9"/>
      <c r="J3292" s="7" t="n">
        <v>9.8</v>
      </c>
      <c r="K3292" s="7" t="s">
        <v>3856</v>
      </c>
      <c r="L3292" s="7" t="s">
        <v>19</v>
      </c>
      <c r="M3292" s="7" t="s">
        <v>3874</v>
      </c>
      <c r="N3292" s="7" t="s">
        <v>58</v>
      </c>
      <c r="O3292" s="10" t="n">
        <f aca="false">'Exec Summary'!$E$2-H3292</f>
        <v>84</v>
      </c>
      <c r="P3292" s="10" t="str">
        <f aca="false">IF(I3292="","",I3292-H3292)</f>
        <v/>
      </c>
      <c r="Q3292" s="10" t="n">
        <f aca="false">VLOOKUP(G3292,$AA$2:$AB$5,2,FALSE())</f>
        <v>15</v>
      </c>
      <c r="R3292" s="7" t="n">
        <f aca="false">IF(OR(F3292="Open",F3292="Reopened"),1,0)</f>
        <v>1</v>
      </c>
      <c r="S3292" s="7" t="n">
        <f aca="false">IF(AND(H3292&gt;='Exec Summary'!$E$1,H3292&lt;='Exec Summary'!$E$2),1,0)</f>
        <v>0</v>
      </c>
      <c r="T3292" s="7" t="n">
        <f aca="false">IF(AND(F3292="Closed",I3292&lt;&gt;"",I3292&gt;='Exec Summary'!$E$1,I3292&lt;='Exec Summary'!$E$2),1,0)</f>
        <v>0</v>
      </c>
      <c r="U3292" s="7" t="n">
        <f aca="false">IF(F3292="Reopened",1,0)</f>
        <v>0</v>
      </c>
      <c r="V3292" s="7" t="n">
        <f aca="false">IF(AND(R3292=1,O3292&gt;Q3292),1,0)</f>
        <v>1</v>
      </c>
      <c r="W3292" s="7" t="n">
        <f aca="false">IF(AND(T3292=1,P3292&lt;&gt;"",P3292&lt;=Q3292),1,0)</f>
        <v>0</v>
      </c>
    </row>
    <row r="3293" customFormat="false" ht="15" hidden="false" customHeight="false" outlineLevel="0" collapsed="false">
      <c r="A3293" s="7" t="s">
        <v>3875</v>
      </c>
      <c r="B3293" s="7" t="s">
        <v>46</v>
      </c>
      <c r="C3293" s="7" t="s">
        <v>177</v>
      </c>
      <c r="D3293" s="7" t="s">
        <v>131</v>
      </c>
      <c r="E3293" s="7" t="s">
        <v>132</v>
      </c>
      <c r="F3293" s="7" t="s">
        <v>50</v>
      </c>
      <c r="G3293" s="7" t="s">
        <v>19</v>
      </c>
      <c r="H3293" s="9" t="n">
        <v>46166</v>
      </c>
      <c r="I3293" s="9" t="n">
        <v>46167</v>
      </c>
      <c r="J3293" s="7" t="n">
        <v>9.8</v>
      </c>
      <c r="K3293" s="7" t="s">
        <v>3856</v>
      </c>
      <c r="L3293" s="7" t="s">
        <v>19</v>
      </c>
      <c r="M3293" s="7" t="s">
        <v>3876</v>
      </c>
      <c r="N3293" s="7" t="s">
        <v>58</v>
      </c>
      <c r="O3293" s="10" t="n">
        <f aca="false">'Exec Summary'!$E$2-H3293</f>
        <v>68</v>
      </c>
      <c r="P3293" s="10" t="n">
        <f aca="false">IF(I3293="","",I3293-H3293)</f>
        <v>1</v>
      </c>
      <c r="Q3293" s="10" t="n">
        <f aca="false">VLOOKUP(G3293,$AA$2:$AB$5,2,FALSE())</f>
        <v>15</v>
      </c>
      <c r="R3293" s="7" t="n">
        <f aca="false">IF(OR(F3293="Open",F3293="Reopened"),1,0)</f>
        <v>0</v>
      </c>
      <c r="S3293" s="7" t="n">
        <f aca="false">IF(AND(H3293&gt;='Exec Summary'!$E$1,H3293&lt;='Exec Summary'!$E$2),1,0)</f>
        <v>0</v>
      </c>
      <c r="T3293" s="7" t="n">
        <f aca="false">IF(AND(F3293="Closed",I3293&lt;&gt;"",I3293&gt;='Exec Summary'!$E$1,I3293&lt;='Exec Summary'!$E$2),1,0)</f>
        <v>0</v>
      </c>
      <c r="U3293" s="7" t="n">
        <f aca="false">IF(F3293="Reopened",1,0)</f>
        <v>0</v>
      </c>
      <c r="V3293" s="7" t="n">
        <f aca="false">IF(AND(R3293=1,O3293&gt;Q3293),1,0)</f>
        <v>0</v>
      </c>
      <c r="W3293" s="7" t="n">
        <f aca="false">IF(AND(T3293=1,P3293&lt;&gt;"",P3293&lt;=Q3293),1,0)</f>
        <v>0</v>
      </c>
    </row>
    <row r="3294" customFormat="false" ht="15" hidden="false" customHeight="false" outlineLevel="0" collapsed="false">
      <c r="A3294" s="7" t="s">
        <v>3875</v>
      </c>
      <c r="B3294" s="7" t="s">
        <v>46</v>
      </c>
      <c r="C3294" s="7" t="s">
        <v>177</v>
      </c>
      <c r="D3294" s="7" t="s">
        <v>117</v>
      </c>
      <c r="E3294" s="7" t="s">
        <v>118</v>
      </c>
      <c r="F3294" s="7" t="s">
        <v>56</v>
      </c>
      <c r="G3294" s="7" t="s">
        <v>19</v>
      </c>
      <c r="H3294" s="9" t="n">
        <v>46190</v>
      </c>
      <c r="I3294" s="9"/>
      <c r="J3294" s="7" t="n">
        <v>10</v>
      </c>
      <c r="K3294" s="7" t="s">
        <v>3856</v>
      </c>
      <c r="L3294" s="7" t="s">
        <v>19</v>
      </c>
      <c r="M3294" s="7" t="s">
        <v>3877</v>
      </c>
      <c r="N3294" s="7" t="s">
        <v>58</v>
      </c>
      <c r="O3294" s="10" t="n">
        <f aca="false">'Exec Summary'!$E$2-H3294</f>
        <v>44</v>
      </c>
      <c r="P3294" s="10" t="str">
        <f aca="false">IF(I3294="","",I3294-H3294)</f>
        <v/>
      </c>
      <c r="Q3294" s="10" t="n">
        <f aca="false">VLOOKUP(G3294,$AA$2:$AB$5,2,FALSE())</f>
        <v>15</v>
      </c>
      <c r="R3294" s="7" t="n">
        <f aca="false">IF(OR(F3294="Open",F3294="Reopened"),1,0)</f>
        <v>1</v>
      </c>
      <c r="S3294" s="7" t="n">
        <f aca="false">IF(AND(H3294&gt;='Exec Summary'!$E$1,H3294&lt;='Exec Summary'!$E$2),1,0)</f>
        <v>0</v>
      </c>
      <c r="T3294" s="7" t="n">
        <f aca="false">IF(AND(F3294="Closed",I3294&lt;&gt;"",I3294&gt;='Exec Summary'!$E$1,I3294&lt;='Exec Summary'!$E$2),1,0)</f>
        <v>0</v>
      </c>
      <c r="U3294" s="7" t="n">
        <f aca="false">IF(F3294="Reopened",1,0)</f>
        <v>0</v>
      </c>
      <c r="V3294" s="7" t="n">
        <f aca="false">IF(AND(R3294=1,O3294&gt;Q3294),1,0)</f>
        <v>1</v>
      </c>
      <c r="W3294" s="7" t="n">
        <f aca="false">IF(AND(T3294=1,P3294&lt;&gt;"",P3294&lt;=Q3294),1,0)</f>
        <v>0</v>
      </c>
    </row>
    <row r="3295" customFormat="false" ht="15" hidden="false" customHeight="false" outlineLevel="0" collapsed="false">
      <c r="A3295" s="7" t="s">
        <v>3875</v>
      </c>
      <c r="B3295" s="7" t="s">
        <v>46</v>
      </c>
      <c r="C3295" s="7" t="s">
        <v>177</v>
      </c>
      <c r="D3295" s="7" t="s">
        <v>91</v>
      </c>
      <c r="E3295" s="7" t="s">
        <v>92</v>
      </c>
      <c r="F3295" s="7" t="s">
        <v>56</v>
      </c>
      <c r="G3295" s="7" t="s">
        <v>20</v>
      </c>
      <c r="H3295" s="9" t="n">
        <v>45988</v>
      </c>
      <c r="I3295" s="9"/>
      <c r="J3295" s="7" t="n">
        <v>8.1</v>
      </c>
      <c r="K3295" s="7" t="s">
        <v>3856</v>
      </c>
      <c r="L3295" s="7" t="s">
        <v>19</v>
      </c>
      <c r="M3295" s="7" t="s">
        <v>3878</v>
      </c>
      <c r="N3295" s="7" t="s">
        <v>53</v>
      </c>
      <c r="O3295" s="10" t="n">
        <f aca="false">'Exec Summary'!$E$2-H3295</f>
        <v>246</v>
      </c>
      <c r="P3295" s="10" t="str">
        <f aca="false">IF(I3295="","",I3295-H3295)</f>
        <v/>
      </c>
      <c r="Q3295" s="10" t="n">
        <f aca="false">VLOOKUP(G3295,$AA$2:$AB$5,2,FALSE())</f>
        <v>30</v>
      </c>
      <c r="R3295" s="7" t="n">
        <f aca="false">IF(OR(F3295="Open",F3295="Reopened"),1,0)</f>
        <v>1</v>
      </c>
      <c r="S3295" s="7" t="n">
        <f aca="false">IF(AND(H3295&gt;='Exec Summary'!$E$1,H3295&lt;='Exec Summary'!$E$2),1,0)</f>
        <v>0</v>
      </c>
      <c r="T3295" s="7" t="n">
        <f aca="false">IF(AND(F3295="Closed",I3295&lt;&gt;"",I3295&gt;='Exec Summary'!$E$1,I3295&lt;='Exec Summary'!$E$2),1,0)</f>
        <v>0</v>
      </c>
      <c r="U3295" s="7" t="n">
        <f aca="false">IF(F3295="Reopened",1,0)</f>
        <v>0</v>
      </c>
      <c r="V3295" s="7" t="n">
        <f aca="false">IF(AND(R3295=1,O3295&gt;Q3295),1,0)</f>
        <v>1</v>
      </c>
      <c r="W3295" s="7" t="n">
        <f aca="false">IF(AND(T3295=1,P3295&lt;&gt;"",P3295&lt;=Q3295),1,0)</f>
        <v>0</v>
      </c>
    </row>
    <row r="3296" customFormat="false" ht="15" hidden="false" customHeight="false" outlineLevel="0" collapsed="false">
      <c r="A3296" s="7" t="s">
        <v>3875</v>
      </c>
      <c r="B3296" s="7" t="s">
        <v>46</v>
      </c>
      <c r="C3296" s="7" t="s">
        <v>177</v>
      </c>
      <c r="D3296" s="7" t="s">
        <v>152</v>
      </c>
      <c r="E3296" s="7" t="s">
        <v>153</v>
      </c>
      <c r="F3296" s="7" t="s">
        <v>56</v>
      </c>
      <c r="G3296" s="7" t="s">
        <v>20</v>
      </c>
      <c r="H3296" s="9" t="n">
        <v>46193</v>
      </c>
      <c r="I3296" s="9"/>
      <c r="J3296" s="7" t="n">
        <v>7.5</v>
      </c>
      <c r="K3296" s="7" t="s">
        <v>3856</v>
      </c>
      <c r="L3296" s="7" t="s">
        <v>19</v>
      </c>
      <c r="M3296" s="7" t="s">
        <v>3879</v>
      </c>
      <c r="N3296" s="7" t="s">
        <v>53</v>
      </c>
      <c r="O3296" s="10" t="n">
        <f aca="false">'Exec Summary'!$E$2-H3296</f>
        <v>41</v>
      </c>
      <c r="P3296" s="10" t="str">
        <f aca="false">IF(I3296="","",I3296-H3296)</f>
        <v/>
      </c>
      <c r="Q3296" s="10" t="n">
        <f aca="false">VLOOKUP(G3296,$AA$2:$AB$5,2,FALSE())</f>
        <v>30</v>
      </c>
      <c r="R3296" s="7" t="n">
        <f aca="false">IF(OR(F3296="Open",F3296="Reopened"),1,0)</f>
        <v>1</v>
      </c>
      <c r="S3296" s="7" t="n">
        <f aca="false">IF(AND(H3296&gt;='Exec Summary'!$E$1,H3296&lt;='Exec Summary'!$E$2),1,0)</f>
        <v>0</v>
      </c>
      <c r="T3296" s="7" t="n">
        <f aca="false">IF(AND(F3296="Closed",I3296&lt;&gt;"",I3296&gt;='Exec Summary'!$E$1,I3296&lt;='Exec Summary'!$E$2),1,0)</f>
        <v>0</v>
      </c>
      <c r="U3296" s="7" t="n">
        <f aca="false">IF(F3296="Reopened",1,0)</f>
        <v>0</v>
      </c>
      <c r="V3296" s="7" t="n">
        <f aca="false">IF(AND(R3296=1,O3296&gt;Q3296),1,0)</f>
        <v>1</v>
      </c>
      <c r="W3296" s="7" t="n">
        <f aca="false">IF(AND(T3296=1,P3296&lt;&gt;"",P3296&lt;=Q3296),1,0)</f>
        <v>0</v>
      </c>
    </row>
    <row r="3297" customFormat="false" ht="15" hidden="false" customHeight="false" outlineLevel="0" collapsed="false">
      <c r="A3297" s="7" t="s">
        <v>3875</v>
      </c>
      <c r="B3297" s="7" t="s">
        <v>46</v>
      </c>
      <c r="C3297" s="7" t="s">
        <v>177</v>
      </c>
      <c r="D3297" s="7" t="s">
        <v>95</v>
      </c>
      <c r="E3297" s="7" t="s">
        <v>96</v>
      </c>
      <c r="F3297" s="7" t="s">
        <v>56</v>
      </c>
      <c r="G3297" s="7" t="s">
        <v>20</v>
      </c>
      <c r="H3297" s="9" t="n">
        <v>46125</v>
      </c>
      <c r="I3297" s="9"/>
      <c r="J3297" s="7" t="n">
        <v>8.8</v>
      </c>
      <c r="K3297" s="7" t="s">
        <v>3856</v>
      </c>
      <c r="L3297" s="7" t="s">
        <v>19</v>
      </c>
      <c r="M3297" s="7" t="s">
        <v>3880</v>
      </c>
      <c r="N3297" s="7" t="s">
        <v>53</v>
      </c>
      <c r="O3297" s="10" t="n">
        <f aca="false">'Exec Summary'!$E$2-H3297</f>
        <v>109</v>
      </c>
      <c r="P3297" s="10" t="str">
        <f aca="false">IF(I3297="","",I3297-H3297)</f>
        <v/>
      </c>
      <c r="Q3297" s="10" t="n">
        <f aca="false">VLOOKUP(G3297,$AA$2:$AB$5,2,FALSE())</f>
        <v>30</v>
      </c>
      <c r="R3297" s="7" t="n">
        <f aca="false">IF(OR(F3297="Open",F3297="Reopened"),1,0)</f>
        <v>1</v>
      </c>
      <c r="S3297" s="7" t="n">
        <f aca="false">IF(AND(H3297&gt;='Exec Summary'!$E$1,H3297&lt;='Exec Summary'!$E$2),1,0)</f>
        <v>0</v>
      </c>
      <c r="T3297" s="7" t="n">
        <f aca="false">IF(AND(F3297="Closed",I3297&lt;&gt;"",I3297&gt;='Exec Summary'!$E$1,I3297&lt;='Exec Summary'!$E$2),1,0)</f>
        <v>0</v>
      </c>
      <c r="U3297" s="7" t="n">
        <f aca="false">IF(F3297="Reopened",1,0)</f>
        <v>0</v>
      </c>
      <c r="V3297" s="7" t="n">
        <f aca="false">IF(AND(R3297=1,O3297&gt;Q3297),1,0)</f>
        <v>1</v>
      </c>
      <c r="W3297" s="7" t="n">
        <f aca="false">IF(AND(T3297=1,P3297&lt;&gt;"",P3297&lt;=Q3297),1,0)</f>
        <v>0</v>
      </c>
    </row>
    <row r="3298" customFormat="false" ht="15" hidden="false" customHeight="false" outlineLevel="0" collapsed="false">
      <c r="A3298" s="7" t="s">
        <v>3875</v>
      </c>
      <c r="B3298" s="7" t="s">
        <v>46</v>
      </c>
      <c r="C3298" s="7" t="s">
        <v>177</v>
      </c>
      <c r="D3298" s="7" t="s">
        <v>59</v>
      </c>
      <c r="E3298" s="7" t="s">
        <v>60</v>
      </c>
      <c r="F3298" s="7" t="s">
        <v>56</v>
      </c>
      <c r="G3298" s="7" t="s">
        <v>19</v>
      </c>
      <c r="H3298" s="9" t="n">
        <v>45934</v>
      </c>
      <c r="I3298" s="9"/>
      <c r="J3298" s="7" t="n">
        <v>7.8</v>
      </c>
      <c r="K3298" s="7" t="s">
        <v>3856</v>
      </c>
      <c r="L3298" s="7" t="s">
        <v>19</v>
      </c>
      <c r="M3298" s="7" t="s">
        <v>3881</v>
      </c>
      <c r="N3298" s="7" t="s">
        <v>58</v>
      </c>
      <c r="O3298" s="10" t="n">
        <f aca="false">'Exec Summary'!$E$2-H3298</f>
        <v>300</v>
      </c>
      <c r="P3298" s="10" t="str">
        <f aca="false">IF(I3298="","",I3298-H3298)</f>
        <v/>
      </c>
      <c r="Q3298" s="10" t="n">
        <f aca="false">VLOOKUP(G3298,$AA$2:$AB$5,2,FALSE())</f>
        <v>15</v>
      </c>
      <c r="R3298" s="7" t="n">
        <f aca="false">IF(OR(F3298="Open",F3298="Reopened"),1,0)</f>
        <v>1</v>
      </c>
      <c r="S3298" s="7" t="n">
        <f aca="false">IF(AND(H3298&gt;='Exec Summary'!$E$1,H3298&lt;='Exec Summary'!$E$2),1,0)</f>
        <v>0</v>
      </c>
      <c r="T3298" s="7" t="n">
        <f aca="false">IF(AND(F3298="Closed",I3298&lt;&gt;"",I3298&gt;='Exec Summary'!$E$1,I3298&lt;='Exec Summary'!$E$2),1,0)</f>
        <v>0</v>
      </c>
      <c r="U3298" s="7" t="n">
        <f aca="false">IF(F3298="Reopened",1,0)</f>
        <v>0</v>
      </c>
      <c r="V3298" s="7" t="n">
        <f aca="false">IF(AND(R3298=1,O3298&gt;Q3298),1,0)</f>
        <v>1</v>
      </c>
      <c r="W3298" s="7" t="n">
        <f aca="false">IF(AND(T3298=1,P3298&lt;&gt;"",P3298&lt;=Q3298),1,0)</f>
        <v>0</v>
      </c>
    </row>
    <row r="3299" customFormat="false" ht="15" hidden="false" customHeight="false" outlineLevel="0" collapsed="false">
      <c r="A3299" s="7" t="s">
        <v>3875</v>
      </c>
      <c r="B3299" s="7" t="s">
        <v>46</v>
      </c>
      <c r="C3299" s="7" t="s">
        <v>177</v>
      </c>
      <c r="D3299" s="7" t="s">
        <v>104</v>
      </c>
      <c r="E3299" s="7" t="s">
        <v>105</v>
      </c>
      <c r="F3299" s="7" t="s">
        <v>50</v>
      </c>
      <c r="G3299" s="7" t="s">
        <v>19</v>
      </c>
      <c r="H3299" s="9" t="n">
        <v>45943</v>
      </c>
      <c r="I3299" s="9" t="n">
        <v>45944</v>
      </c>
      <c r="J3299" s="7" t="n">
        <v>9.8</v>
      </c>
      <c r="K3299" s="7" t="s">
        <v>3856</v>
      </c>
      <c r="L3299" s="7" t="s">
        <v>19</v>
      </c>
      <c r="M3299" s="7" t="s">
        <v>3882</v>
      </c>
      <c r="N3299" s="7" t="s">
        <v>58</v>
      </c>
      <c r="O3299" s="10" t="n">
        <f aca="false">'Exec Summary'!$E$2-H3299</f>
        <v>291</v>
      </c>
      <c r="P3299" s="10" t="n">
        <f aca="false">IF(I3299="","",I3299-H3299)</f>
        <v>1</v>
      </c>
      <c r="Q3299" s="10" t="n">
        <f aca="false">VLOOKUP(G3299,$AA$2:$AB$5,2,FALSE())</f>
        <v>15</v>
      </c>
      <c r="R3299" s="7" t="n">
        <f aca="false">IF(OR(F3299="Open",F3299="Reopened"),1,0)</f>
        <v>0</v>
      </c>
      <c r="S3299" s="7" t="n">
        <f aca="false">IF(AND(H3299&gt;='Exec Summary'!$E$1,H3299&lt;='Exec Summary'!$E$2),1,0)</f>
        <v>0</v>
      </c>
      <c r="T3299" s="7" t="n">
        <f aca="false">IF(AND(F3299="Closed",I3299&lt;&gt;"",I3299&gt;='Exec Summary'!$E$1,I3299&lt;='Exec Summary'!$E$2),1,0)</f>
        <v>0</v>
      </c>
      <c r="U3299" s="7" t="n">
        <f aca="false">IF(F3299="Reopened",1,0)</f>
        <v>0</v>
      </c>
      <c r="V3299" s="7" t="n">
        <f aca="false">IF(AND(R3299=1,O3299&gt;Q3299),1,0)</f>
        <v>0</v>
      </c>
      <c r="W3299" s="7" t="n">
        <f aca="false">IF(AND(T3299=1,P3299&lt;&gt;"",P3299&lt;=Q3299),1,0)</f>
        <v>0</v>
      </c>
    </row>
    <row r="3300" customFormat="false" ht="15" hidden="false" customHeight="false" outlineLevel="0" collapsed="false">
      <c r="A3300" s="7" t="s">
        <v>3875</v>
      </c>
      <c r="B3300" s="7" t="s">
        <v>46</v>
      </c>
      <c r="C3300" s="7" t="s">
        <v>177</v>
      </c>
      <c r="D3300" s="7" t="s">
        <v>163</v>
      </c>
      <c r="E3300" s="7" t="s">
        <v>164</v>
      </c>
      <c r="F3300" s="7" t="s">
        <v>50</v>
      </c>
      <c r="G3300" s="7" t="s">
        <v>19</v>
      </c>
      <c r="H3300" s="9" t="n">
        <v>45963</v>
      </c>
      <c r="I3300" s="9" t="n">
        <v>45989</v>
      </c>
      <c r="J3300" s="7" t="n">
        <v>9.1</v>
      </c>
      <c r="K3300" s="7" t="s">
        <v>3856</v>
      </c>
      <c r="L3300" s="7" t="s">
        <v>19</v>
      </c>
      <c r="M3300" s="7" t="s">
        <v>3883</v>
      </c>
      <c r="N3300" s="7" t="s">
        <v>58</v>
      </c>
      <c r="O3300" s="10" t="n">
        <f aca="false">'Exec Summary'!$E$2-H3300</f>
        <v>271</v>
      </c>
      <c r="P3300" s="10" t="n">
        <f aca="false">IF(I3300="","",I3300-H3300)</f>
        <v>26</v>
      </c>
      <c r="Q3300" s="10" t="n">
        <f aca="false">VLOOKUP(G3300,$AA$2:$AB$5,2,FALSE())</f>
        <v>15</v>
      </c>
      <c r="R3300" s="7" t="n">
        <f aca="false">IF(OR(F3300="Open",F3300="Reopened"),1,0)</f>
        <v>0</v>
      </c>
      <c r="S3300" s="7" t="n">
        <f aca="false">IF(AND(H3300&gt;='Exec Summary'!$E$1,H3300&lt;='Exec Summary'!$E$2),1,0)</f>
        <v>0</v>
      </c>
      <c r="T3300" s="7" t="n">
        <f aca="false">IF(AND(F3300="Closed",I3300&lt;&gt;"",I3300&gt;='Exec Summary'!$E$1,I3300&lt;='Exec Summary'!$E$2),1,0)</f>
        <v>0</v>
      </c>
      <c r="U3300" s="7" t="n">
        <f aca="false">IF(F3300="Reopened",1,0)</f>
        <v>0</v>
      </c>
      <c r="V3300" s="7" t="n">
        <f aca="false">IF(AND(R3300=1,O3300&gt;Q3300),1,0)</f>
        <v>0</v>
      </c>
      <c r="W3300" s="7" t="n">
        <f aca="false">IF(AND(T3300=1,P3300&lt;&gt;"",P3300&lt;=Q3300),1,0)</f>
        <v>0</v>
      </c>
    </row>
    <row r="3301" customFormat="false" ht="15" hidden="false" customHeight="false" outlineLevel="0" collapsed="false">
      <c r="A3301" s="7" t="s">
        <v>3875</v>
      </c>
      <c r="B3301" s="7" t="s">
        <v>46</v>
      </c>
      <c r="C3301" s="7" t="s">
        <v>177</v>
      </c>
      <c r="D3301" s="7" t="s">
        <v>74</v>
      </c>
      <c r="E3301" s="7" t="s">
        <v>75</v>
      </c>
      <c r="F3301" s="7" t="s">
        <v>56</v>
      </c>
      <c r="G3301" s="7" t="s">
        <v>21</v>
      </c>
      <c r="H3301" s="9" t="n">
        <v>45977</v>
      </c>
      <c r="I3301" s="9"/>
      <c r="J3301" s="7" t="n">
        <v>6.5</v>
      </c>
      <c r="K3301" s="7" t="s">
        <v>3856</v>
      </c>
      <c r="L3301" s="7" t="s">
        <v>19</v>
      </c>
      <c r="M3301" s="7" t="s">
        <v>3884</v>
      </c>
      <c r="N3301" s="7" t="s">
        <v>77</v>
      </c>
      <c r="O3301" s="10" t="n">
        <f aca="false">'Exec Summary'!$E$2-H3301</f>
        <v>257</v>
      </c>
      <c r="P3301" s="10" t="str">
        <f aca="false">IF(I3301="","",I3301-H3301)</f>
        <v/>
      </c>
      <c r="Q3301" s="10" t="n">
        <f aca="false">VLOOKUP(G3301,$AA$2:$AB$5,2,FALSE())</f>
        <v>90</v>
      </c>
      <c r="R3301" s="7" t="n">
        <f aca="false">IF(OR(F3301="Open",F3301="Reopened"),1,0)</f>
        <v>1</v>
      </c>
      <c r="S3301" s="7" t="n">
        <f aca="false">IF(AND(H3301&gt;='Exec Summary'!$E$1,H3301&lt;='Exec Summary'!$E$2),1,0)</f>
        <v>0</v>
      </c>
      <c r="T3301" s="7" t="n">
        <f aca="false">IF(AND(F3301="Closed",I3301&lt;&gt;"",I3301&gt;='Exec Summary'!$E$1,I3301&lt;='Exec Summary'!$E$2),1,0)</f>
        <v>0</v>
      </c>
      <c r="U3301" s="7" t="n">
        <f aca="false">IF(F3301="Reopened",1,0)</f>
        <v>0</v>
      </c>
      <c r="V3301" s="7" t="n">
        <f aca="false">IF(AND(R3301=1,O3301&gt;Q3301),1,0)</f>
        <v>1</v>
      </c>
      <c r="W3301" s="7" t="n">
        <f aca="false">IF(AND(T3301=1,P3301&lt;&gt;"",P3301&lt;=Q3301),1,0)</f>
        <v>0</v>
      </c>
    </row>
    <row r="3302" customFormat="false" ht="15" hidden="false" customHeight="false" outlineLevel="0" collapsed="false">
      <c r="A3302" s="7" t="s">
        <v>3875</v>
      </c>
      <c r="B3302" s="7" t="s">
        <v>46</v>
      </c>
      <c r="C3302" s="7" t="s">
        <v>177</v>
      </c>
      <c r="D3302" s="7" t="s">
        <v>87</v>
      </c>
      <c r="E3302" s="7" t="s">
        <v>88</v>
      </c>
      <c r="F3302" s="7" t="s">
        <v>56</v>
      </c>
      <c r="G3302" s="7" t="s">
        <v>19</v>
      </c>
      <c r="H3302" s="9" t="n">
        <v>46206</v>
      </c>
      <c r="I3302" s="9"/>
      <c r="J3302" s="7" t="n">
        <v>10</v>
      </c>
      <c r="K3302" s="7" t="s">
        <v>3856</v>
      </c>
      <c r="L3302" s="7" t="s">
        <v>19</v>
      </c>
      <c r="M3302" s="7" t="s">
        <v>3885</v>
      </c>
      <c r="N3302" s="7" t="s">
        <v>58</v>
      </c>
      <c r="O3302" s="10" t="n">
        <f aca="false">'Exec Summary'!$E$2-H3302</f>
        <v>28</v>
      </c>
      <c r="P3302" s="10" t="str">
        <f aca="false">IF(I3302="","",I3302-H3302)</f>
        <v/>
      </c>
      <c r="Q3302" s="10" t="n">
        <f aca="false">VLOOKUP(G3302,$AA$2:$AB$5,2,FALSE())</f>
        <v>15</v>
      </c>
      <c r="R3302" s="7" t="n">
        <f aca="false">IF(OR(F3302="Open",F3302="Reopened"),1,0)</f>
        <v>1</v>
      </c>
      <c r="S3302" s="7" t="n">
        <f aca="false">IF(AND(H3302&gt;='Exec Summary'!$E$1,H3302&lt;='Exec Summary'!$E$2),1,0)</f>
        <v>1</v>
      </c>
      <c r="T3302" s="7" t="n">
        <f aca="false">IF(AND(F3302="Closed",I3302&lt;&gt;"",I3302&gt;='Exec Summary'!$E$1,I3302&lt;='Exec Summary'!$E$2),1,0)</f>
        <v>0</v>
      </c>
      <c r="U3302" s="7" t="n">
        <f aca="false">IF(F3302="Reopened",1,0)</f>
        <v>0</v>
      </c>
      <c r="V3302" s="7" t="n">
        <f aca="false">IF(AND(R3302=1,O3302&gt;Q3302),1,0)</f>
        <v>1</v>
      </c>
      <c r="W3302" s="7" t="n">
        <f aca="false">IF(AND(T3302=1,P3302&lt;&gt;"",P3302&lt;=Q3302),1,0)</f>
        <v>0</v>
      </c>
    </row>
    <row r="3303" customFormat="false" ht="15" hidden="false" customHeight="false" outlineLevel="0" collapsed="false">
      <c r="A3303" s="7" t="s">
        <v>3875</v>
      </c>
      <c r="B3303" s="7" t="s">
        <v>46</v>
      </c>
      <c r="C3303" s="7" t="s">
        <v>177</v>
      </c>
      <c r="D3303" s="7" t="s">
        <v>62</v>
      </c>
      <c r="E3303" s="7" t="s">
        <v>63</v>
      </c>
      <c r="F3303" s="7" t="s">
        <v>56</v>
      </c>
      <c r="G3303" s="7" t="s">
        <v>20</v>
      </c>
      <c r="H3303" s="9" t="n">
        <v>46177</v>
      </c>
      <c r="I3303" s="9"/>
      <c r="J3303" s="7" t="n">
        <v>8.1</v>
      </c>
      <c r="K3303" s="7" t="s">
        <v>3856</v>
      </c>
      <c r="L3303" s="7" t="s">
        <v>19</v>
      </c>
      <c r="M3303" s="7" t="s">
        <v>3886</v>
      </c>
      <c r="N3303" s="7" t="s">
        <v>53</v>
      </c>
      <c r="O3303" s="10" t="n">
        <f aca="false">'Exec Summary'!$E$2-H3303</f>
        <v>57</v>
      </c>
      <c r="P3303" s="10" t="str">
        <f aca="false">IF(I3303="","",I3303-H3303)</f>
        <v/>
      </c>
      <c r="Q3303" s="10" t="n">
        <f aca="false">VLOOKUP(G3303,$AA$2:$AB$5,2,FALSE())</f>
        <v>30</v>
      </c>
      <c r="R3303" s="7" t="n">
        <f aca="false">IF(OR(F3303="Open",F3303="Reopened"),1,0)</f>
        <v>1</v>
      </c>
      <c r="S3303" s="7" t="n">
        <f aca="false">IF(AND(H3303&gt;='Exec Summary'!$E$1,H3303&lt;='Exec Summary'!$E$2),1,0)</f>
        <v>0</v>
      </c>
      <c r="T3303" s="7" t="n">
        <f aca="false">IF(AND(F3303="Closed",I3303&lt;&gt;"",I3303&gt;='Exec Summary'!$E$1,I3303&lt;='Exec Summary'!$E$2),1,0)</f>
        <v>0</v>
      </c>
      <c r="U3303" s="7" t="n">
        <f aca="false">IF(F3303="Reopened",1,0)</f>
        <v>0</v>
      </c>
      <c r="V3303" s="7" t="n">
        <f aca="false">IF(AND(R3303=1,O3303&gt;Q3303),1,0)</f>
        <v>1</v>
      </c>
      <c r="W3303" s="7" t="n">
        <f aca="false">IF(AND(T3303=1,P3303&lt;&gt;"",P3303&lt;=Q3303),1,0)</f>
        <v>0</v>
      </c>
    </row>
    <row r="3304" customFormat="false" ht="15" hidden="false" customHeight="false" outlineLevel="0" collapsed="false">
      <c r="A3304" s="7" t="s">
        <v>3875</v>
      </c>
      <c r="B3304" s="7" t="s">
        <v>46</v>
      </c>
      <c r="C3304" s="7" t="s">
        <v>177</v>
      </c>
      <c r="D3304" s="7" t="s">
        <v>48</v>
      </c>
      <c r="E3304" s="7" t="s">
        <v>49</v>
      </c>
      <c r="F3304" s="7" t="s">
        <v>50</v>
      </c>
      <c r="G3304" s="7" t="s">
        <v>20</v>
      </c>
      <c r="H3304" s="9" t="n">
        <v>46069</v>
      </c>
      <c r="I3304" s="9" t="n">
        <v>46070</v>
      </c>
      <c r="J3304" s="7" t="n">
        <v>7.5</v>
      </c>
      <c r="K3304" s="7" t="s">
        <v>3856</v>
      </c>
      <c r="L3304" s="7" t="s">
        <v>19</v>
      </c>
      <c r="M3304" s="7" t="s">
        <v>3887</v>
      </c>
      <c r="N3304" s="7" t="s">
        <v>53</v>
      </c>
      <c r="O3304" s="10" t="n">
        <f aca="false">'Exec Summary'!$E$2-H3304</f>
        <v>165</v>
      </c>
      <c r="P3304" s="10" t="n">
        <f aca="false">IF(I3304="","",I3304-H3304)</f>
        <v>1</v>
      </c>
      <c r="Q3304" s="10" t="n">
        <f aca="false">VLOOKUP(G3304,$AA$2:$AB$5,2,FALSE())</f>
        <v>30</v>
      </c>
      <c r="R3304" s="7" t="n">
        <f aca="false">IF(OR(F3304="Open",F3304="Reopened"),1,0)</f>
        <v>0</v>
      </c>
      <c r="S3304" s="7" t="n">
        <f aca="false">IF(AND(H3304&gt;='Exec Summary'!$E$1,H3304&lt;='Exec Summary'!$E$2),1,0)</f>
        <v>0</v>
      </c>
      <c r="T3304" s="7" t="n">
        <f aca="false">IF(AND(F3304="Closed",I3304&lt;&gt;"",I3304&gt;='Exec Summary'!$E$1,I3304&lt;='Exec Summary'!$E$2),1,0)</f>
        <v>0</v>
      </c>
      <c r="U3304" s="7" t="n">
        <f aca="false">IF(F3304="Reopened",1,0)</f>
        <v>0</v>
      </c>
      <c r="V3304" s="7" t="n">
        <f aca="false">IF(AND(R3304=1,O3304&gt;Q3304),1,0)</f>
        <v>0</v>
      </c>
      <c r="W3304" s="7" t="n">
        <f aca="false">IF(AND(T3304=1,P3304&lt;&gt;"",P3304&lt;=Q3304),1,0)</f>
        <v>0</v>
      </c>
    </row>
    <row r="3305" customFormat="false" ht="15" hidden="false" customHeight="false" outlineLevel="0" collapsed="false">
      <c r="A3305" s="7" t="s">
        <v>3888</v>
      </c>
      <c r="B3305" s="7" t="s">
        <v>46</v>
      </c>
      <c r="C3305" s="7" t="s">
        <v>177</v>
      </c>
      <c r="D3305" s="7" t="s">
        <v>54</v>
      </c>
      <c r="E3305" s="7" t="s">
        <v>55</v>
      </c>
      <c r="F3305" s="7" t="s">
        <v>50</v>
      </c>
      <c r="G3305" s="7" t="s">
        <v>19</v>
      </c>
      <c r="H3305" s="9" t="n">
        <v>46217</v>
      </c>
      <c r="I3305" s="9" t="n">
        <v>46218</v>
      </c>
      <c r="J3305" s="7" t="n">
        <v>9.8</v>
      </c>
      <c r="K3305" s="7" t="s">
        <v>3856</v>
      </c>
      <c r="L3305" s="7" t="s">
        <v>21</v>
      </c>
      <c r="M3305" s="7" t="s">
        <v>3889</v>
      </c>
      <c r="N3305" s="7" t="s">
        <v>58</v>
      </c>
      <c r="O3305" s="10" t="n">
        <f aca="false">'Exec Summary'!$E$2-H3305</f>
        <v>17</v>
      </c>
      <c r="P3305" s="10" t="n">
        <f aca="false">IF(I3305="","",I3305-H3305)</f>
        <v>1</v>
      </c>
      <c r="Q3305" s="10" t="n">
        <f aca="false">VLOOKUP(G3305,$AA$2:$AB$5,2,FALSE())</f>
        <v>15</v>
      </c>
      <c r="R3305" s="7" t="n">
        <f aca="false">IF(OR(F3305="Open",F3305="Reopened"),1,0)</f>
        <v>0</v>
      </c>
      <c r="S3305" s="7" t="n">
        <f aca="false">IF(AND(H3305&gt;='Exec Summary'!$E$1,H3305&lt;='Exec Summary'!$E$2),1,0)</f>
        <v>1</v>
      </c>
      <c r="T3305" s="7" t="n">
        <f aca="false">IF(AND(F3305="Closed",I3305&lt;&gt;"",I3305&gt;='Exec Summary'!$E$1,I3305&lt;='Exec Summary'!$E$2),1,0)</f>
        <v>1</v>
      </c>
      <c r="U3305" s="7" t="n">
        <f aca="false">IF(F3305="Reopened",1,0)</f>
        <v>0</v>
      </c>
      <c r="V3305" s="7" t="n">
        <f aca="false">IF(AND(R3305=1,O3305&gt;Q3305),1,0)</f>
        <v>0</v>
      </c>
      <c r="W3305" s="7" t="n">
        <f aca="false">IF(AND(T3305=1,P3305&lt;&gt;"",P3305&lt;=Q3305),1,0)</f>
        <v>1</v>
      </c>
    </row>
    <row r="3306" customFormat="false" ht="15" hidden="false" customHeight="false" outlineLevel="0" collapsed="false">
      <c r="A3306" s="7" t="s">
        <v>3888</v>
      </c>
      <c r="B3306" s="7" t="s">
        <v>46</v>
      </c>
      <c r="C3306" s="7" t="s">
        <v>177</v>
      </c>
      <c r="D3306" s="7" t="s">
        <v>84</v>
      </c>
      <c r="E3306" s="7" t="s">
        <v>85</v>
      </c>
      <c r="F3306" s="7" t="s">
        <v>123</v>
      </c>
      <c r="G3306" s="7" t="s">
        <v>20</v>
      </c>
      <c r="H3306" s="9" t="n">
        <v>45964</v>
      </c>
      <c r="I3306" s="9" t="n">
        <v>46008</v>
      </c>
      <c r="J3306" s="7" t="n">
        <v>7.5</v>
      </c>
      <c r="K3306" s="7" t="s">
        <v>3856</v>
      </c>
      <c r="L3306" s="7" t="s">
        <v>21</v>
      </c>
      <c r="M3306" s="7" t="s">
        <v>3890</v>
      </c>
      <c r="N3306" s="7" t="s">
        <v>53</v>
      </c>
      <c r="O3306" s="10" t="n">
        <f aca="false">'Exec Summary'!$E$2-H3306</f>
        <v>270</v>
      </c>
      <c r="P3306" s="10" t="n">
        <f aca="false">IF(I3306="","",I3306-H3306)</f>
        <v>44</v>
      </c>
      <c r="Q3306" s="10" t="n">
        <f aca="false">VLOOKUP(G3306,$AA$2:$AB$5,2,FALSE())</f>
        <v>30</v>
      </c>
      <c r="R3306" s="7" t="n">
        <f aca="false">IF(OR(F3306="Open",F3306="Reopened"),1,0)</f>
        <v>1</v>
      </c>
      <c r="S3306" s="7" t="n">
        <f aca="false">IF(AND(H3306&gt;='Exec Summary'!$E$1,H3306&lt;='Exec Summary'!$E$2),1,0)</f>
        <v>0</v>
      </c>
      <c r="T3306" s="7" t="n">
        <f aca="false">IF(AND(F3306="Closed",I3306&lt;&gt;"",I3306&gt;='Exec Summary'!$E$1,I3306&lt;='Exec Summary'!$E$2),1,0)</f>
        <v>0</v>
      </c>
      <c r="U3306" s="7" t="n">
        <f aca="false">IF(F3306="Reopened",1,0)</f>
        <v>1</v>
      </c>
      <c r="V3306" s="7" t="n">
        <f aca="false">IF(AND(R3306=1,O3306&gt;Q3306),1,0)</f>
        <v>1</v>
      </c>
      <c r="W3306" s="7" t="n">
        <f aca="false">IF(AND(T3306=1,P3306&lt;&gt;"",P3306&lt;=Q3306),1,0)</f>
        <v>0</v>
      </c>
    </row>
    <row r="3307" customFormat="false" ht="15" hidden="false" customHeight="false" outlineLevel="0" collapsed="false">
      <c r="A3307" s="7" t="s">
        <v>3888</v>
      </c>
      <c r="B3307" s="7" t="s">
        <v>46</v>
      </c>
      <c r="C3307" s="7" t="s">
        <v>177</v>
      </c>
      <c r="D3307" s="7" t="s">
        <v>163</v>
      </c>
      <c r="E3307" s="7" t="s">
        <v>164</v>
      </c>
      <c r="F3307" s="7" t="s">
        <v>56</v>
      </c>
      <c r="G3307" s="7" t="s">
        <v>19</v>
      </c>
      <c r="H3307" s="9" t="n">
        <v>46076</v>
      </c>
      <c r="I3307" s="9"/>
      <c r="J3307" s="7" t="n">
        <v>9.1</v>
      </c>
      <c r="K3307" s="7" t="s">
        <v>3856</v>
      </c>
      <c r="L3307" s="7" t="s">
        <v>21</v>
      </c>
      <c r="M3307" s="7" t="s">
        <v>3891</v>
      </c>
      <c r="N3307" s="7" t="s">
        <v>58</v>
      </c>
      <c r="O3307" s="10" t="n">
        <f aca="false">'Exec Summary'!$E$2-H3307</f>
        <v>158</v>
      </c>
      <c r="P3307" s="10" t="str">
        <f aca="false">IF(I3307="","",I3307-H3307)</f>
        <v/>
      </c>
      <c r="Q3307" s="10" t="n">
        <f aca="false">VLOOKUP(G3307,$AA$2:$AB$5,2,FALSE())</f>
        <v>15</v>
      </c>
      <c r="R3307" s="7" t="n">
        <f aca="false">IF(OR(F3307="Open",F3307="Reopened"),1,0)</f>
        <v>1</v>
      </c>
      <c r="S3307" s="7" t="n">
        <f aca="false">IF(AND(H3307&gt;='Exec Summary'!$E$1,H3307&lt;='Exec Summary'!$E$2),1,0)</f>
        <v>0</v>
      </c>
      <c r="T3307" s="7" t="n">
        <f aca="false">IF(AND(F3307="Closed",I3307&lt;&gt;"",I3307&gt;='Exec Summary'!$E$1,I3307&lt;='Exec Summary'!$E$2),1,0)</f>
        <v>0</v>
      </c>
      <c r="U3307" s="7" t="n">
        <f aca="false">IF(F3307="Reopened",1,0)</f>
        <v>0</v>
      </c>
      <c r="V3307" s="7" t="n">
        <f aca="false">IF(AND(R3307=1,O3307&gt;Q3307),1,0)</f>
        <v>1</v>
      </c>
      <c r="W3307" s="7" t="n">
        <f aca="false">IF(AND(T3307=1,P3307&lt;&gt;"",P3307&lt;=Q3307),1,0)</f>
        <v>0</v>
      </c>
    </row>
    <row r="3308" customFormat="false" ht="15" hidden="false" customHeight="false" outlineLevel="0" collapsed="false">
      <c r="A3308" s="7" t="s">
        <v>3888</v>
      </c>
      <c r="B3308" s="7" t="s">
        <v>46</v>
      </c>
      <c r="C3308" s="7" t="s">
        <v>177</v>
      </c>
      <c r="D3308" s="7" t="s">
        <v>101</v>
      </c>
      <c r="E3308" s="7" t="s">
        <v>102</v>
      </c>
      <c r="F3308" s="7" t="s">
        <v>50</v>
      </c>
      <c r="G3308" s="7" t="s">
        <v>19</v>
      </c>
      <c r="H3308" s="9" t="n">
        <v>46210</v>
      </c>
      <c r="I3308" s="9" t="n">
        <v>46213</v>
      </c>
      <c r="J3308" s="7" t="n">
        <v>10</v>
      </c>
      <c r="K3308" s="7" t="s">
        <v>3856</v>
      </c>
      <c r="L3308" s="7" t="s">
        <v>21</v>
      </c>
      <c r="M3308" s="7" t="s">
        <v>3892</v>
      </c>
      <c r="N3308" s="7" t="s">
        <v>58</v>
      </c>
      <c r="O3308" s="10" t="n">
        <f aca="false">'Exec Summary'!$E$2-H3308</f>
        <v>24</v>
      </c>
      <c r="P3308" s="10" t="n">
        <f aca="false">IF(I3308="","",I3308-H3308)</f>
        <v>3</v>
      </c>
      <c r="Q3308" s="10" t="n">
        <f aca="false">VLOOKUP(G3308,$AA$2:$AB$5,2,FALSE())</f>
        <v>15</v>
      </c>
      <c r="R3308" s="7" t="n">
        <f aca="false">IF(OR(F3308="Open",F3308="Reopened"),1,0)</f>
        <v>0</v>
      </c>
      <c r="S3308" s="7" t="n">
        <f aca="false">IF(AND(H3308&gt;='Exec Summary'!$E$1,H3308&lt;='Exec Summary'!$E$2),1,0)</f>
        <v>1</v>
      </c>
      <c r="T3308" s="7" t="n">
        <f aca="false">IF(AND(F3308="Closed",I3308&lt;&gt;"",I3308&gt;='Exec Summary'!$E$1,I3308&lt;='Exec Summary'!$E$2),1,0)</f>
        <v>1</v>
      </c>
      <c r="U3308" s="7" t="n">
        <f aca="false">IF(F3308="Reopened",1,0)</f>
        <v>0</v>
      </c>
      <c r="V3308" s="7" t="n">
        <f aca="false">IF(AND(R3308=1,O3308&gt;Q3308),1,0)</f>
        <v>0</v>
      </c>
      <c r="W3308" s="7" t="n">
        <f aca="false">IF(AND(T3308=1,P3308&lt;&gt;"",P3308&lt;=Q3308),1,0)</f>
        <v>1</v>
      </c>
    </row>
    <row r="3309" customFormat="false" ht="15" hidden="false" customHeight="false" outlineLevel="0" collapsed="false">
      <c r="A3309" s="7" t="s">
        <v>3893</v>
      </c>
      <c r="B3309" s="7" t="s">
        <v>46</v>
      </c>
      <c r="C3309" s="7" t="s">
        <v>177</v>
      </c>
      <c r="D3309" s="7" t="s">
        <v>166</v>
      </c>
      <c r="E3309" s="7" t="s">
        <v>167</v>
      </c>
      <c r="F3309" s="7" t="s">
        <v>50</v>
      </c>
      <c r="G3309" s="7" t="s">
        <v>19</v>
      </c>
      <c r="H3309" s="9" t="n">
        <v>45984</v>
      </c>
      <c r="I3309" s="9" t="n">
        <v>45993</v>
      </c>
      <c r="J3309" s="7" t="n">
        <v>9.8</v>
      </c>
      <c r="K3309" s="7" t="s">
        <v>3856</v>
      </c>
      <c r="L3309" s="7" t="s">
        <v>20</v>
      </c>
      <c r="M3309" s="7" t="s">
        <v>3894</v>
      </c>
      <c r="N3309" s="7" t="s">
        <v>58</v>
      </c>
      <c r="O3309" s="10" t="n">
        <f aca="false">'Exec Summary'!$E$2-H3309</f>
        <v>250</v>
      </c>
      <c r="P3309" s="10" t="n">
        <f aca="false">IF(I3309="","",I3309-H3309)</f>
        <v>9</v>
      </c>
      <c r="Q3309" s="10" t="n">
        <f aca="false">VLOOKUP(G3309,$AA$2:$AB$5,2,FALSE())</f>
        <v>15</v>
      </c>
      <c r="R3309" s="7" t="n">
        <f aca="false">IF(OR(F3309="Open",F3309="Reopened"),1,0)</f>
        <v>0</v>
      </c>
      <c r="S3309" s="7" t="n">
        <f aca="false">IF(AND(H3309&gt;='Exec Summary'!$E$1,H3309&lt;='Exec Summary'!$E$2),1,0)</f>
        <v>0</v>
      </c>
      <c r="T3309" s="7" t="n">
        <f aca="false">IF(AND(F3309="Closed",I3309&lt;&gt;"",I3309&gt;='Exec Summary'!$E$1,I3309&lt;='Exec Summary'!$E$2),1,0)</f>
        <v>0</v>
      </c>
      <c r="U3309" s="7" t="n">
        <f aca="false">IF(F3309="Reopened",1,0)</f>
        <v>0</v>
      </c>
      <c r="V3309" s="7" t="n">
        <f aca="false">IF(AND(R3309=1,O3309&gt;Q3309),1,0)</f>
        <v>0</v>
      </c>
      <c r="W3309" s="7" t="n">
        <f aca="false">IF(AND(T3309=1,P3309&lt;&gt;"",P3309&lt;=Q3309),1,0)</f>
        <v>0</v>
      </c>
    </row>
    <row r="3310" customFormat="false" ht="15" hidden="false" customHeight="false" outlineLevel="0" collapsed="false">
      <c r="A3310" s="7" t="s">
        <v>3893</v>
      </c>
      <c r="B3310" s="7" t="s">
        <v>46</v>
      </c>
      <c r="C3310" s="7" t="s">
        <v>177</v>
      </c>
      <c r="D3310" s="7" t="s">
        <v>62</v>
      </c>
      <c r="E3310" s="7" t="s">
        <v>63</v>
      </c>
      <c r="F3310" s="7" t="s">
        <v>50</v>
      </c>
      <c r="G3310" s="7" t="s">
        <v>20</v>
      </c>
      <c r="H3310" s="9" t="n">
        <v>46031</v>
      </c>
      <c r="I3310" s="9" t="n">
        <v>46032</v>
      </c>
      <c r="J3310" s="7" t="n">
        <v>8.1</v>
      </c>
      <c r="K3310" s="7" t="s">
        <v>3856</v>
      </c>
      <c r="L3310" s="7" t="s">
        <v>20</v>
      </c>
      <c r="M3310" s="7" t="s">
        <v>3895</v>
      </c>
      <c r="N3310" s="7" t="s">
        <v>53</v>
      </c>
      <c r="O3310" s="10" t="n">
        <f aca="false">'Exec Summary'!$E$2-H3310</f>
        <v>203</v>
      </c>
      <c r="P3310" s="10" t="n">
        <f aca="false">IF(I3310="","",I3310-H3310)</f>
        <v>1</v>
      </c>
      <c r="Q3310" s="10" t="n">
        <f aca="false">VLOOKUP(G3310,$AA$2:$AB$5,2,FALSE())</f>
        <v>30</v>
      </c>
      <c r="R3310" s="7" t="n">
        <f aca="false">IF(OR(F3310="Open",F3310="Reopened"),1,0)</f>
        <v>0</v>
      </c>
      <c r="S3310" s="7" t="n">
        <f aca="false">IF(AND(H3310&gt;='Exec Summary'!$E$1,H3310&lt;='Exec Summary'!$E$2),1,0)</f>
        <v>0</v>
      </c>
      <c r="T3310" s="7" t="n">
        <f aca="false">IF(AND(F3310="Closed",I3310&lt;&gt;"",I3310&gt;='Exec Summary'!$E$1,I3310&lt;='Exec Summary'!$E$2),1,0)</f>
        <v>0</v>
      </c>
      <c r="U3310" s="7" t="n">
        <f aca="false">IF(F3310="Reopened",1,0)</f>
        <v>0</v>
      </c>
      <c r="V3310" s="7" t="n">
        <f aca="false">IF(AND(R3310=1,O3310&gt;Q3310),1,0)</f>
        <v>0</v>
      </c>
      <c r="W3310" s="7" t="n">
        <f aca="false">IF(AND(T3310=1,P3310&lt;&gt;"",P3310&lt;=Q3310),1,0)</f>
        <v>0</v>
      </c>
    </row>
    <row r="3311" customFormat="false" ht="15" hidden="false" customHeight="false" outlineLevel="0" collapsed="false">
      <c r="A3311" s="7" t="s">
        <v>3893</v>
      </c>
      <c r="B3311" s="7" t="s">
        <v>46</v>
      </c>
      <c r="C3311" s="7" t="s">
        <v>177</v>
      </c>
      <c r="D3311" s="7" t="s">
        <v>210</v>
      </c>
      <c r="E3311" s="7" t="s">
        <v>211</v>
      </c>
      <c r="F3311" s="7" t="s">
        <v>50</v>
      </c>
      <c r="G3311" s="7" t="s">
        <v>19</v>
      </c>
      <c r="H3311" s="9" t="n">
        <v>46076</v>
      </c>
      <c r="I3311" s="9" t="n">
        <v>46089</v>
      </c>
      <c r="J3311" s="7" t="n">
        <v>9.8</v>
      </c>
      <c r="K3311" s="7" t="s">
        <v>3856</v>
      </c>
      <c r="L3311" s="7" t="s">
        <v>20</v>
      </c>
      <c r="M3311" s="7" t="s">
        <v>3896</v>
      </c>
      <c r="N3311" s="7" t="s">
        <v>58</v>
      </c>
      <c r="O3311" s="10" t="n">
        <f aca="false">'Exec Summary'!$E$2-H3311</f>
        <v>158</v>
      </c>
      <c r="P3311" s="10" t="n">
        <f aca="false">IF(I3311="","",I3311-H3311)</f>
        <v>13</v>
      </c>
      <c r="Q3311" s="10" t="n">
        <f aca="false">VLOOKUP(G3311,$AA$2:$AB$5,2,FALSE())</f>
        <v>15</v>
      </c>
      <c r="R3311" s="7" t="n">
        <f aca="false">IF(OR(F3311="Open",F3311="Reopened"),1,0)</f>
        <v>0</v>
      </c>
      <c r="S3311" s="7" t="n">
        <f aca="false">IF(AND(H3311&gt;='Exec Summary'!$E$1,H3311&lt;='Exec Summary'!$E$2),1,0)</f>
        <v>0</v>
      </c>
      <c r="T3311" s="7" t="n">
        <f aca="false">IF(AND(F3311="Closed",I3311&lt;&gt;"",I3311&gt;='Exec Summary'!$E$1,I3311&lt;='Exec Summary'!$E$2),1,0)</f>
        <v>0</v>
      </c>
      <c r="U3311" s="7" t="n">
        <f aca="false">IF(F3311="Reopened",1,0)</f>
        <v>0</v>
      </c>
      <c r="V3311" s="7" t="n">
        <f aca="false">IF(AND(R3311=1,O3311&gt;Q3311),1,0)</f>
        <v>0</v>
      </c>
      <c r="W3311" s="7" t="n">
        <f aca="false">IF(AND(T3311=1,P3311&lt;&gt;"",P3311&lt;=Q3311),1,0)</f>
        <v>0</v>
      </c>
    </row>
    <row r="3312" customFormat="false" ht="15" hidden="false" customHeight="false" outlineLevel="0" collapsed="false">
      <c r="A3312" s="7" t="s">
        <v>3893</v>
      </c>
      <c r="B3312" s="7" t="s">
        <v>46</v>
      </c>
      <c r="C3312" s="7" t="s">
        <v>177</v>
      </c>
      <c r="D3312" s="7" t="s">
        <v>112</v>
      </c>
      <c r="E3312" s="7" t="s">
        <v>113</v>
      </c>
      <c r="F3312" s="7" t="s">
        <v>56</v>
      </c>
      <c r="G3312" s="7" t="s">
        <v>20</v>
      </c>
      <c r="H3312" s="9" t="n">
        <v>45959</v>
      </c>
      <c r="I3312" s="9"/>
      <c r="J3312" s="7" t="n">
        <v>7.8</v>
      </c>
      <c r="K3312" s="7" t="s">
        <v>3856</v>
      </c>
      <c r="L3312" s="7" t="s">
        <v>20</v>
      </c>
      <c r="M3312" s="7" t="s">
        <v>3897</v>
      </c>
      <c r="N3312" s="7" t="s">
        <v>53</v>
      </c>
      <c r="O3312" s="10" t="n">
        <f aca="false">'Exec Summary'!$E$2-H3312</f>
        <v>275</v>
      </c>
      <c r="P3312" s="10" t="str">
        <f aca="false">IF(I3312="","",I3312-H3312)</f>
        <v/>
      </c>
      <c r="Q3312" s="10" t="n">
        <f aca="false">VLOOKUP(G3312,$AA$2:$AB$5,2,FALSE())</f>
        <v>30</v>
      </c>
      <c r="R3312" s="7" t="n">
        <f aca="false">IF(OR(F3312="Open",F3312="Reopened"),1,0)</f>
        <v>1</v>
      </c>
      <c r="S3312" s="7" t="n">
        <f aca="false">IF(AND(H3312&gt;='Exec Summary'!$E$1,H3312&lt;='Exec Summary'!$E$2),1,0)</f>
        <v>0</v>
      </c>
      <c r="T3312" s="7" t="n">
        <f aca="false">IF(AND(F3312="Closed",I3312&lt;&gt;"",I3312&gt;='Exec Summary'!$E$1,I3312&lt;='Exec Summary'!$E$2),1,0)</f>
        <v>0</v>
      </c>
      <c r="U3312" s="7" t="n">
        <f aca="false">IF(F3312="Reopened",1,0)</f>
        <v>0</v>
      </c>
      <c r="V3312" s="7" t="n">
        <f aca="false">IF(AND(R3312=1,O3312&gt;Q3312),1,0)</f>
        <v>1</v>
      </c>
      <c r="W3312" s="7" t="n">
        <f aca="false">IF(AND(T3312=1,P3312&lt;&gt;"",P3312&lt;=Q3312),1,0)</f>
        <v>0</v>
      </c>
    </row>
    <row r="3313" customFormat="false" ht="15" hidden="false" customHeight="false" outlineLevel="0" collapsed="false">
      <c r="A3313" s="7" t="s">
        <v>3893</v>
      </c>
      <c r="B3313" s="7" t="s">
        <v>46</v>
      </c>
      <c r="C3313" s="7" t="s">
        <v>177</v>
      </c>
      <c r="D3313" s="7" t="s">
        <v>206</v>
      </c>
      <c r="E3313" s="7" t="s">
        <v>207</v>
      </c>
      <c r="F3313" s="7" t="s">
        <v>56</v>
      </c>
      <c r="G3313" s="7" t="s">
        <v>20</v>
      </c>
      <c r="H3313" s="9" t="n">
        <v>45981</v>
      </c>
      <c r="I3313" s="9"/>
      <c r="J3313" s="7" t="n">
        <v>8.8</v>
      </c>
      <c r="K3313" s="7" t="s">
        <v>3856</v>
      </c>
      <c r="L3313" s="7" t="s">
        <v>20</v>
      </c>
      <c r="M3313" s="7" t="s">
        <v>3898</v>
      </c>
      <c r="N3313" s="7" t="s">
        <v>53</v>
      </c>
      <c r="O3313" s="10" t="n">
        <f aca="false">'Exec Summary'!$E$2-H3313</f>
        <v>253</v>
      </c>
      <c r="P3313" s="10" t="str">
        <f aca="false">IF(I3313="","",I3313-H3313)</f>
        <v/>
      </c>
      <c r="Q3313" s="10" t="n">
        <f aca="false">VLOOKUP(G3313,$AA$2:$AB$5,2,FALSE())</f>
        <v>30</v>
      </c>
      <c r="R3313" s="7" t="n">
        <f aca="false">IF(OR(F3313="Open",F3313="Reopened"),1,0)</f>
        <v>1</v>
      </c>
      <c r="S3313" s="7" t="n">
        <f aca="false">IF(AND(H3313&gt;='Exec Summary'!$E$1,H3313&lt;='Exec Summary'!$E$2),1,0)</f>
        <v>0</v>
      </c>
      <c r="T3313" s="7" t="n">
        <f aca="false">IF(AND(F3313="Closed",I3313&lt;&gt;"",I3313&gt;='Exec Summary'!$E$1,I3313&lt;='Exec Summary'!$E$2),1,0)</f>
        <v>0</v>
      </c>
      <c r="U3313" s="7" t="n">
        <f aca="false">IF(F3313="Reopened",1,0)</f>
        <v>0</v>
      </c>
      <c r="V3313" s="7" t="n">
        <f aca="false">IF(AND(R3313=1,O3313&gt;Q3313),1,0)</f>
        <v>1</v>
      </c>
      <c r="W3313" s="7" t="n">
        <f aca="false">IF(AND(T3313=1,P3313&lt;&gt;"",P3313&lt;=Q3313),1,0)</f>
        <v>0</v>
      </c>
    </row>
    <row r="3314" customFormat="false" ht="15" hidden="false" customHeight="false" outlineLevel="0" collapsed="false">
      <c r="A3314" s="7" t="s">
        <v>3893</v>
      </c>
      <c r="B3314" s="7" t="s">
        <v>46</v>
      </c>
      <c r="C3314" s="7" t="s">
        <v>177</v>
      </c>
      <c r="D3314" s="7" t="s">
        <v>192</v>
      </c>
      <c r="E3314" s="7" t="s">
        <v>193</v>
      </c>
      <c r="F3314" s="7" t="s">
        <v>50</v>
      </c>
      <c r="G3314" s="7" t="s">
        <v>19</v>
      </c>
      <c r="H3314" s="9" t="n">
        <v>46019</v>
      </c>
      <c r="I3314" s="9" t="n">
        <v>46028</v>
      </c>
      <c r="J3314" s="7" t="n">
        <v>9.8</v>
      </c>
      <c r="K3314" s="7" t="s">
        <v>3856</v>
      </c>
      <c r="L3314" s="7" t="s">
        <v>20</v>
      </c>
      <c r="M3314" s="7" t="s">
        <v>3899</v>
      </c>
      <c r="N3314" s="7" t="s">
        <v>58</v>
      </c>
      <c r="O3314" s="10" t="n">
        <f aca="false">'Exec Summary'!$E$2-H3314</f>
        <v>215</v>
      </c>
      <c r="P3314" s="10" t="n">
        <f aca="false">IF(I3314="","",I3314-H3314)</f>
        <v>9</v>
      </c>
      <c r="Q3314" s="10" t="n">
        <f aca="false">VLOOKUP(G3314,$AA$2:$AB$5,2,FALSE())</f>
        <v>15</v>
      </c>
      <c r="R3314" s="7" t="n">
        <f aca="false">IF(OR(F3314="Open",F3314="Reopened"),1,0)</f>
        <v>0</v>
      </c>
      <c r="S3314" s="7" t="n">
        <f aca="false">IF(AND(H3314&gt;='Exec Summary'!$E$1,H3314&lt;='Exec Summary'!$E$2),1,0)</f>
        <v>0</v>
      </c>
      <c r="T3314" s="7" t="n">
        <f aca="false">IF(AND(F3314="Closed",I3314&lt;&gt;"",I3314&gt;='Exec Summary'!$E$1,I3314&lt;='Exec Summary'!$E$2),1,0)</f>
        <v>0</v>
      </c>
      <c r="U3314" s="7" t="n">
        <f aca="false">IF(F3314="Reopened",1,0)</f>
        <v>0</v>
      </c>
      <c r="V3314" s="7" t="n">
        <f aca="false">IF(AND(R3314=1,O3314&gt;Q3314),1,0)</f>
        <v>0</v>
      </c>
      <c r="W3314" s="7" t="n">
        <f aca="false">IF(AND(T3314=1,P3314&lt;&gt;"",P3314&lt;=Q3314),1,0)</f>
        <v>0</v>
      </c>
    </row>
    <row r="3315" customFormat="false" ht="15" hidden="false" customHeight="false" outlineLevel="0" collapsed="false">
      <c r="A3315" s="7" t="s">
        <v>3893</v>
      </c>
      <c r="B3315" s="7" t="s">
        <v>46</v>
      </c>
      <c r="C3315" s="7" t="s">
        <v>177</v>
      </c>
      <c r="D3315" s="7" t="s">
        <v>117</v>
      </c>
      <c r="E3315" s="7" t="s">
        <v>118</v>
      </c>
      <c r="F3315" s="7" t="s">
        <v>50</v>
      </c>
      <c r="G3315" s="7" t="s">
        <v>19</v>
      </c>
      <c r="H3315" s="9" t="n">
        <v>45964</v>
      </c>
      <c r="I3315" s="9" t="n">
        <v>45981</v>
      </c>
      <c r="J3315" s="7" t="n">
        <v>10</v>
      </c>
      <c r="K3315" s="7" t="s">
        <v>3856</v>
      </c>
      <c r="L3315" s="7" t="s">
        <v>20</v>
      </c>
      <c r="M3315" s="7" t="s">
        <v>3900</v>
      </c>
      <c r="N3315" s="7" t="s">
        <v>58</v>
      </c>
      <c r="O3315" s="10" t="n">
        <f aca="false">'Exec Summary'!$E$2-H3315</f>
        <v>270</v>
      </c>
      <c r="P3315" s="10" t="n">
        <f aca="false">IF(I3315="","",I3315-H3315)</f>
        <v>17</v>
      </c>
      <c r="Q3315" s="10" t="n">
        <f aca="false">VLOOKUP(G3315,$AA$2:$AB$5,2,FALSE())</f>
        <v>15</v>
      </c>
      <c r="R3315" s="7" t="n">
        <f aca="false">IF(OR(F3315="Open",F3315="Reopened"),1,0)</f>
        <v>0</v>
      </c>
      <c r="S3315" s="7" t="n">
        <f aca="false">IF(AND(H3315&gt;='Exec Summary'!$E$1,H3315&lt;='Exec Summary'!$E$2),1,0)</f>
        <v>0</v>
      </c>
      <c r="T3315" s="7" t="n">
        <f aca="false">IF(AND(F3315="Closed",I3315&lt;&gt;"",I3315&gt;='Exec Summary'!$E$1,I3315&lt;='Exec Summary'!$E$2),1,0)</f>
        <v>0</v>
      </c>
      <c r="U3315" s="7" t="n">
        <f aca="false">IF(F3315="Reopened",1,0)</f>
        <v>0</v>
      </c>
      <c r="V3315" s="7" t="n">
        <f aca="false">IF(AND(R3315=1,O3315&gt;Q3315),1,0)</f>
        <v>0</v>
      </c>
      <c r="W3315" s="7" t="n">
        <f aca="false">IF(AND(T3315=1,P3315&lt;&gt;"",P3315&lt;=Q3315),1,0)</f>
        <v>0</v>
      </c>
    </row>
    <row r="3316" customFormat="false" ht="15" hidden="false" customHeight="false" outlineLevel="0" collapsed="false">
      <c r="A3316" s="7" t="s">
        <v>3901</v>
      </c>
      <c r="B3316" s="7" t="s">
        <v>46</v>
      </c>
      <c r="C3316" s="7" t="s">
        <v>79</v>
      </c>
      <c r="D3316" s="7" t="s">
        <v>192</v>
      </c>
      <c r="E3316" s="7" t="s">
        <v>193</v>
      </c>
      <c r="F3316" s="7" t="s">
        <v>56</v>
      </c>
      <c r="G3316" s="7" t="s">
        <v>19</v>
      </c>
      <c r="H3316" s="9" t="n">
        <v>45965</v>
      </c>
      <c r="I3316" s="9"/>
      <c r="J3316" s="7" t="n">
        <v>9.8</v>
      </c>
      <c r="K3316" s="7" t="s">
        <v>3856</v>
      </c>
      <c r="L3316" s="7" t="s">
        <v>22</v>
      </c>
      <c r="M3316" s="7" t="s">
        <v>3902</v>
      </c>
      <c r="N3316" s="7" t="s">
        <v>58</v>
      </c>
      <c r="O3316" s="10" t="n">
        <f aca="false">'Exec Summary'!$E$2-H3316</f>
        <v>269</v>
      </c>
      <c r="P3316" s="10" t="str">
        <f aca="false">IF(I3316="","",I3316-H3316)</f>
        <v/>
      </c>
      <c r="Q3316" s="10" t="n">
        <f aca="false">VLOOKUP(G3316,$AA$2:$AB$5,2,FALSE())</f>
        <v>15</v>
      </c>
      <c r="R3316" s="7" t="n">
        <f aca="false">IF(OR(F3316="Open",F3316="Reopened"),1,0)</f>
        <v>1</v>
      </c>
      <c r="S3316" s="7" t="n">
        <f aca="false">IF(AND(H3316&gt;='Exec Summary'!$E$1,H3316&lt;='Exec Summary'!$E$2),1,0)</f>
        <v>0</v>
      </c>
      <c r="T3316" s="7" t="n">
        <f aca="false">IF(AND(F3316="Closed",I3316&lt;&gt;"",I3316&gt;='Exec Summary'!$E$1,I3316&lt;='Exec Summary'!$E$2),1,0)</f>
        <v>0</v>
      </c>
      <c r="U3316" s="7" t="n">
        <f aca="false">IF(F3316="Reopened",1,0)</f>
        <v>0</v>
      </c>
      <c r="V3316" s="7" t="n">
        <f aca="false">IF(AND(R3316=1,O3316&gt;Q3316),1,0)</f>
        <v>1</v>
      </c>
      <c r="W3316" s="7" t="n">
        <f aca="false">IF(AND(T3316=1,P3316&lt;&gt;"",P3316&lt;=Q3316),1,0)</f>
        <v>0</v>
      </c>
    </row>
    <row r="3317" customFormat="false" ht="15" hidden="false" customHeight="false" outlineLevel="0" collapsed="false">
      <c r="A3317" s="7" t="s">
        <v>3901</v>
      </c>
      <c r="B3317" s="7" t="s">
        <v>46</v>
      </c>
      <c r="C3317" s="7" t="s">
        <v>79</v>
      </c>
      <c r="D3317" s="7" t="s">
        <v>71</v>
      </c>
      <c r="E3317" s="7" t="s">
        <v>72</v>
      </c>
      <c r="F3317" s="7" t="s">
        <v>56</v>
      </c>
      <c r="G3317" s="7" t="s">
        <v>19</v>
      </c>
      <c r="H3317" s="9" t="n">
        <v>45959</v>
      </c>
      <c r="I3317" s="9"/>
      <c r="J3317" s="7" t="n">
        <v>9.8</v>
      </c>
      <c r="K3317" s="7" t="s">
        <v>3856</v>
      </c>
      <c r="L3317" s="7" t="s">
        <v>22</v>
      </c>
      <c r="M3317" s="7" t="s">
        <v>3903</v>
      </c>
      <c r="N3317" s="7" t="s">
        <v>58</v>
      </c>
      <c r="O3317" s="10" t="n">
        <f aca="false">'Exec Summary'!$E$2-H3317</f>
        <v>275</v>
      </c>
      <c r="P3317" s="10" t="str">
        <f aca="false">IF(I3317="","",I3317-H3317)</f>
        <v/>
      </c>
      <c r="Q3317" s="10" t="n">
        <f aca="false">VLOOKUP(G3317,$AA$2:$AB$5,2,FALSE())</f>
        <v>15</v>
      </c>
      <c r="R3317" s="7" t="n">
        <f aca="false">IF(OR(F3317="Open",F3317="Reopened"),1,0)</f>
        <v>1</v>
      </c>
      <c r="S3317" s="7" t="n">
        <f aca="false">IF(AND(H3317&gt;='Exec Summary'!$E$1,H3317&lt;='Exec Summary'!$E$2),1,0)</f>
        <v>0</v>
      </c>
      <c r="T3317" s="7" t="n">
        <f aca="false">IF(AND(F3317="Closed",I3317&lt;&gt;"",I3317&gt;='Exec Summary'!$E$1,I3317&lt;='Exec Summary'!$E$2),1,0)</f>
        <v>0</v>
      </c>
      <c r="U3317" s="7" t="n">
        <f aca="false">IF(F3317="Reopened",1,0)</f>
        <v>0</v>
      </c>
      <c r="V3317" s="7" t="n">
        <f aca="false">IF(AND(R3317=1,O3317&gt;Q3317),1,0)</f>
        <v>1</v>
      </c>
      <c r="W3317" s="7" t="n">
        <f aca="false">IF(AND(T3317=1,P3317&lt;&gt;"",P3317&lt;=Q3317),1,0)</f>
        <v>0</v>
      </c>
    </row>
    <row r="3318" customFormat="false" ht="15" hidden="false" customHeight="false" outlineLevel="0" collapsed="false">
      <c r="A3318" s="7" t="s">
        <v>3901</v>
      </c>
      <c r="B3318" s="7" t="s">
        <v>46</v>
      </c>
      <c r="C3318" s="7" t="s">
        <v>79</v>
      </c>
      <c r="D3318" s="7" t="s">
        <v>206</v>
      </c>
      <c r="E3318" s="7" t="s">
        <v>207</v>
      </c>
      <c r="F3318" s="7" t="s">
        <v>50</v>
      </c>
      <c r="G3318" s="7" t="s">
        <v>20</v>
      </c>
      <c r="H3318" s="9" t="n">
        <v>46205</v>
      </c>
      <c r="I3318" s="9" t="n">
        <v>46227</v>
      </c>
      <c r="J3318" s="7" t="n">
        <v>8.8</v>
      </c>
      <c r="K3318" s="7" t="s">
        <v>3856</v>
      </c>
      <c r="L3318" s="7" t="s">
        <v>22</v>
      </c>
      <c r="M3318" s="7" t="s">
        <v>3904</v>
      </c>
      <c r="N3318" s="7" t="s">
        <v>53</v>
      </c>
      <c r="O3318" s="10" t="n">
        <f aca="false">'Exec Summary'!$E$2-H3318</f>
        <v>29</v>
      </c>
      <c r="P3318" s="10" t="n">
        <f aca="false">IF(I3318="","",I3318-H3318)</f>
        <v>22</v>
      </c>
      <c r="Q3318" s="10" t="n">
        <f aca="false">VLOOKUP(G3318,$AA$2:$AB$5,2,FALSE())</f>
        <v>30</v>
      </c>
      <c r="R3318" s="7" t="n">
        <f aca="false">IF(OR(F3318="Open",F3318="Reopened"),1,0)</f>
        <v>0</v>
      </c>
      <c r="S3318" s="7" t="n">
        <f aca="false">IF(AND(H3318&gt;='Exec Summary'!$E$1,H3318&lt;='Exec Summary'!$E$2),1,0)</f>
        <v>1</v>
      </c>
      <c r="T3318" s="7" t="n">
        <f aca="false">IF(AND(F3318="Closed",I3318&lt;&gt;"",I3318&gt;='Exec Summary'!$E$1,I3318&lt;='Exec Summary'!$E$2),1,0)</f>
        <v>1</v>
      </c>
      <c r="U3318" s="7" t="n">
        <f aca="false">IF(F3318="Reopened",1,0)</f>
        <v>0</v>
      </c>
      <c r="V3318" s="7" t="n">
        <f aca="false">IF(AND(R3318=1,O3318&gt;Q3318),1,0)</f>
        <v>0</v>
      </c>
      <c r="W3318" s="7" t="n">
        <f aca="false">IF(AND(T3318=1,P3318&lt;&gt;"",P3318&lt;=Q3318),1,0)</f>
        <v>1</v>
      </c>
    </row>
    <row r="3319" customFormat="false" ht="15" hidden="false" customHeight="false" outlineLevel="0" collapsed="false">
      <c r="A3319" s="7" t="s">
        <v>3901</v>
      </c>
      <c r="B3319" s="7" t="s">
        <v>46</v>
      </c>
      <c r="C3319" s="7" t="s">
        <v>79</v>
      </c>
      <c r="D3319" s="7" t="s">
        <v>91</v>
      </c>
      <c r="E3319" s="7" t="s">
        <v>92</v>
      </c>
      <c r="F3319" s="7" t="s">
        <v>50</v>
      </c>
      <c r="G3319" s="7" t="s">
        <v>20</v>
      </c>
      <c r="H3319" s="9" t="n">
        <v>46029</v>
      </c>
      <c r="I3319" s="9" t="n">
        <v>46075</v>
      </c>
      <c r="J3319" s="7" t="n">
        <v>8.1</v>
      </c>
      <c r="K3319" s="7" t="s">
        <v>3856</v>
      </c>
      <c r="L3319" s="7" t="s">
        <v>22</v>
      </c>
      <c r="M3319" s="7" t="s">
        <v>3905</v>
      </c>
      <c r="N3319" s="7" t="s">
        <v>53</v>
      </c>
      <c r="O3319" s="10" t="n">
        <f aca="false">'Exec Summary'!$E$2-H3319</f>
        <v>205</v>
      </c>
      <c r="P3319" s="10" t="n">
        <f aca="false">IF(I3319="","",I3319-H3319)</f>
        <v>46</v>
      </c>
      <c r="Q3319" s="10" t="n">
        <f aca="false">VLOOKUP(G3319,$AA$2:$AB$5,2,FALSE())</f>
        <v>30</v>
      </c>
      <c r="R3319" s="7" t="n">
        <f aca="false">IF(OR(F3319="Open",F3319="Reopened"),1,0)</f>
        <v>0</v>
      </c>
      <c r="S3319" s="7" t="n">
        <f aca="false">IF(AND(H3319&gt;='Exec Summary'!$E$1,H3319&lt;='Exec Summary'!$E$2),1,0)</f>
        <v>0</v>
      </c>
      <c r="T3319" s="7" t="n">
        <f aca="false">IF(AND(F3319="Closed",I3319&lt;&gt;"",I3319&gt;='Exec Summary'!$E$1,I3319&lt;='Exec Summary'!$E$2),1,0)</f>
        <v>0</v>
      </c>
      <c r="U3319" s="7" t="n">
        <f aca="false">IF(F3319="Reopened",1,0)</f>
        <v>0</v>
      </c>
      <c r="V3319" s="7" t="n">
        <f aca="false">IF(AND(R3319=1,O3319&gt;Q3319),1,0)</f>
        <v>0</v>
      </c>
      <c r="W3319" s="7" t="n">
        <f aca="false">IF(AND(T3319=1,P3319&lt;&gt;"",P3319&lt;=Q3319),1,0)</f>
        <v>0</v>
      </c>
    </row>
    <row r="3320" customFormat="false" ht="15" hidden="false" customHeight="false" outlineLevel="0" collapsed="false">
      <c r="A3320" s="7" t="s">
        <v>3906</v>
      </c>
      <c r="B3320" s="7" t="s">
        <v>46</v>
      </c>
      <c r="C3320" s="7" t="s">
        <v>158</v>
      </c>
      <c r="D3320" s="7" t="s">
        <v>98</v>
      </c>
      <c r="E3320" s="7" t="s">
        <v>99</v>
      </c>
      <c r="F3320" s="7" t="s">
        <v>50</v>
      </c>
      <c r="G3320" s="7" t="s">
        <v>19</v>
      </c>
      <c r="H3320" s="9" t="n">
        <v>46069</v>
      </c>
      <c r="I3320" s="9" t="n">
        <v>46085</v>
      </c>
      <c r="J3320" s="7" t="n">
        <v>10</v>
      </c>
      <c r="K3320" s="7" t="s">
        <v>3856</v>
      </c>
      <c r="L3320" s="7" t="s">
        <v>19</v>
      </c>
      <c r="M3320" s="7" t="s">
        <v>3907</v>
      </c>
      <c r="N3320" s="7" t="s">
        <v>58</v>
      </c>
      <c r="O3320" s="10" t="n">
        <f aca="false">'Exec Summary'!$E$2-H3320</f>
        <v>165</v>
      </c>
      <c r="P3320" s="10" t="n">
        <f aca="false">IF(I3320="","",I3320-H3320)</f>
        <v>16</v>
      </c>
      <c r="Q3320" s="10" t="n">
        <f aca="false">VLOOKUP(G3320,$AA$2:$AB$5,2,FALSE())</f>
        <v>15</v>
      </c>
      <c r="R3320" s="7" t="n">
        <f aca="false">IF(OR(F3320="Open",F3320="Reopened"),1,0)</f>
        <v>0</v>
      </c>
      <c r="S3320" s="7" t="n">
        <f aca="false">IF(AND(H3320&gt;='Exec Summary'!$E$1,H3320&lt;='Exec Summary'!$E$2),1,0)</f>
        <v>0</v>
      </c>
      <c r="T3320" s="7" t="n">
        <f aca="false">IF(AND(F3320="Closed",I3320&lt;&gt;"",I3320&gt;='Exec Summary'!$E$1,I3320&lt;='Exec Summary'!$E$2),1,0)</f>
        <v>0</v>
      </c>
      <c r="U3320" s="7" t="n">
        <f aca="false">IF(F3320="Reopened",1,0)</f>
        <v>0</v>
      </c>
      <c r="V3320" s="7" t="n">
        <f aca="false">IF(AND(R3320=1,O3320&gt;Q3320),1,0)</f>
        <v>0</v>
      </c>
      <c r="W3320" s="7" t="n">
        <f aca="false">IF(AND(T3320=1,P3320&lt;&gt;"",P3320&lt;=Q3320),1,0)</f>
        <v>0</v>
      </c>
    </row>
    <row r="3321" customFormat="false" ht="15" hidden="false" customHeight="false" outlineLevel="0" collapsed="false">
      <c r="A3321" s="7" t="s">
        <v>3906</v>
      </c>
      <c r="B3321" s="7" t="s">
        <v>46</v>
      </c>
      <c r="C3321" s="7" t="s">
        <v>158</v>
      </c>
      <c r="D3321" s="7" t="s">
        <v>117</v>
      </c>
      <c r="E3321" s="7" t="s">
        <v>118</v>
      </c>
      <c r="F3321" s="7" t="s">
        <v>50</v>
      </c>
      <c r="G3321" s="7" t="s">
        <v>19</v>
      </c>
      <c r="H3321" s="9" t="n">
        <v>46168</v>
      </c>
      <c r="I3321" s="9" t="n">
        <v>46179</v>
      </c>
      <c r="J3321" s="7" t="n">
        <v>10</v>
      </c>
      <c r="K3321" s="7" t="s">
        <v>3856</v>
      </c>
      <c r="L3321" s="7" t="s">
        <v>19</v>
      </c>
      <c r="M3321" s="7" t="s">
        <v>3908</v>
      </c>
      <c r="N3321" s="7" t="s">
        <v>58</v>
      </c>
      <c r="O3321" s="10" t="n">
        <f aca="false">'Exec Summary'!$E$2-H3321</f>
        <v>66</v>
      </c>
      <c r="P3321" s="10" t="n">
        <f aca="false">IF(I3321="","",I3321-H3321)</f>
        <v>11</v>
      </c>
      <c r="Q3321" s="10" t="n">
        <f aca="false">VLOOKUP(G3321,$AA$2:$AB$5,2,FALSE())</f>
        <v>15</v>
      </c>
      <c r="R3321" s="7" t="n">
        <f aca="false">IF(OR(F3321="Open",F3321="Reopened"),1,0)</f>
        <v>0</v>
      </c>
      <c r="S3321" s="7" t="n">
        <f aca="false">IF(AND(H3321&gt;='Exec Summary'!$E$1,H3321&lt;='Exec Summary'!$E$2),1,0)</f>
        <v>0</v>
      </c>
      <c r="T3321" s="7" t="n">
        <f aca="false">IF(AND(F3321="Closed",I3321&lt;&gt;"",I3321&gt;='Exec Summary'!$E$1,I3321&lt;='Exec Summary'!$E$2),1,0)</f>
        <v>0</v>
      </c>
      <c r="U3321" s="7" t="n">
        <f aca="false">IF(F3321="Reopened",1,0)</f>
        <v>0</v>
      </c>
      <c r="V3321" s="7" t="n">
        <f aca="false">IF(AND(R3321=1,O3321&gt;Q3321),1,0)</f>
        <v>0</v>
      </c>
      <c r="W3321" s="7" t="n">
        <f aca="false">IF(AND(T3321=1,P3321&lt;&gt;"",P3321&lt;=Q3321),1,0)</f>
        <v>0</v>
      </c>
    </row>
    <row r="3322" customFormat="false" ht="15" hidden="false" customHeight="false" outlineLevel="0" collapsed="false">
      <c r="A3322" s="7" t="s">
        <v>3906</v>
      </c>
      <c r="B3322" s="7" t="s">
        <v>46</v>
      </c>
      <c r="C3322" s="7" t="s">
        <v>158</v>
      </c>
      <c r="D3322" s="7" t="s">
        <v>173</v>
      </c>
      <c r="E3322" s="7" t="s">
        <v>174</v>
      </c>
      <c r="F3322" s="7" t="s">
        <v>50</v>
      </c>
      <c r="G3322" s="7" t="s">
        <v>19</v>
      </c>
      <c r="H3322" s="9" t="n">
        <v>45971</v>
      </c>
      <c r="I3322" s="9" t="n">
        <v>45979</v>
      </c>
      <c r="J3322" s="7" t="n">
        <v>9.8</v>
      </c>
      <c r="K3322" s="7" t="s">
        <v>3856</v>
      </c>
      <c r="L3322" s="7" t="s">
        <v>19</v>
      </c>
      <c r="M3322" s="7" t="s">
        <v>3909</v>
      </c>
      <c r="N3322" s="7" t="s">
        <v>58</v>
      </c>
      <c r="O3322" s="10" t="n">
        <f aca="false">'Exec Summary'!$E$2-H3322</f>
        <v>263</v>
      </c>
      <c r="P3322" s="10" t="n">
        <f aca="false">IF(I3322="","",I3322-H3322)</f>
        <v>8</v>
      </c>
      <c r="Q3322" s="10" t="n">
        <f aca="false">VLOOKUP(G3322,$AA$2:$AB$5,2,FALSE())</f>
        <v>15</v>
      </c>
      <c r="R3322" s="7" t="n">
        <f aca="false">IF(OR(F3322="Open",F3322="Reopened"),1,0)</f>
        <v>0</v>
      </c>
      <c r="S3322" s="7" t="n">
        <f aca="false">IF(AND(H3322&gt;='Exec Summary'!$E$1,H3322&lt;='Exec Summary'!$E$2),1,0)</f>
        <v>0</v>
      </c>
      <c r="T3322" s="7" t="n">
        <f aca="false">IF(AND(F3322="Closed",I3322&lt;&gt;"",I3322&gt;='Exec Summary'!$E$1,I3322&lt;='Exec Summary'!$E$2),1,0)</f>
        <v>0</v>
      </c>
      <c r="U3322" s="7" t="n">
        <f aca="false">IF(F3322="Reopened",1,0)</f>
        <v>0</v>
      </c>
      <c r="V3322" s="7" t="n">
        <f aca="false">IF(AND(R3322=1,O3322&gt;Q3322),1,0)</f>
        <v>0</v>
      </c>
      <c r="W3322" s="7" t="n">
        <f aca="false">IF(AND(T3322=1,P3322&lt;&gt;"",P3322&lt;=Q3322),1,0)</f>
        <v>0</v>
      </c>
    </row>
    <row r="3323" customFormat="false" ht="15" hidden="false" customHeight="false" outlineLevel="0" collapsed="false">
      <c r="A3323" s="7" t="s">
        <v>3906</v>
      </c>
      <c r="B3323" s="7" t="s">
        <v>46</v>
      </c>
      <c r="C3323" s="7" t="s">
        <v>158</v>
      </c>
      <c r="D3323" s="7" t="s">
        <v>163</v>
      </c>
      <c r="E3323" s="7" t="s">
        <v>164</v>
      </c>
      <c r="F3323" s="7" t="s">
        <v>56</v>
      </c>
      <c r="G3323" s="7" t="s">
        <v>19</v>
      </c>
      <c r="H3323" s="9" t="n">
        <v>46112</v>
      </c>
      <c r="I3323" s="9"/>
      <c r="J3323" s="7" t="n">
        <v>9.1</v>
      </c>
      <c r="K3323" s="7" t="s">
        <v>3856</v>
      </c>
      <c r="L3323" s="7" t="s">
        <v>19</v>
      </c>
      <c r="M3323" s="7" t="s">
        <v>3910</v>
      </c>
      <c r="N3323" s="7" t="s">
        <v>58</v>
      </c>
      <c r="O3323" s="10" t="n">
        <f aca="false">'Exec Summary'!$E$2-H3323</f>
        <v>122</v>
      </c>
      <c r="P3323" s="10" t="str">
        <f aca="false">IF(I3323="","",I3323-H3323)</f>
        <v/>
      </c>
      <c r="Q3323" s="10" t="n">
        <f aca="false">VLOOKUP(G3323,$AA$2:$AB$5,2,FALSE())</f>
        <v>15</v>
      </c>
      <c r="R3323" s="7" t="n">
        <f aca="false">IF(OR(F3323="Open",F3323="Reopened"),1,0)</f>
        <v>1</v>
      </c>
      <c r="S3323" s="7" t="n">
        <f aca="false">IF(AND(H3323&gt;='Exec Summary'!$E$1,H3323&lt;='Exec Summary'!$E$2),1,0)</f>
        <v>0</v>
      </c>
      <c r="T3323" s="7" t="n">
        <f aca="false">IF(AND(F3323="Closed",I3323&lt;&gt;"",I3323&gt;='Exec Summary'!$E$1,I3323&lt;='Exec Summary'!$E$2),1,0)</f>
        <v>0</v>
      </c>
      <c r="U3323" s="7" t="n">
        <f aca="false">IF(F3323="Reopened",1,0)</f>
        <v>0</v>
      </c>
      <c r="V3323" s="7" t="n">
        <f aca="false">IF(AND(R3323=1,O3323&gt;Q3323),1,0)</f>
        <v>1</v>
      </c>
      <c r="W3323" s="7" t="n">
        <f aca="false">IF(AND(T3323=1,P3323&lt;&gt;"",P3323&lt;=Q3323),1,0)</f>
        <v>0</v>
      </c>
    </row>
    <row r="3324" customFormat="false" ht="15" hidden="false" customHeight="false" outlineLevel="0" collapsed="false">
      <c r="A3324" s="7" t="s">
        <v>3906</v>
      </c>
      <c r="B3324" s="7" t="s">
        <v>46</v>
      </c>
      <c r="C3324" s="7" t="s">
        <v>158</v>
      </c>
      <c r="D3324" s="7" t="s">
        <v>54</v>
      </c>
      <c r="E3324" s="7" t="s">
        <v>55</v>
      </c>
      <c r="F3324" s="7" t="s">
        <v>50</v>
      </c>
      <c r="G3324" s="7" t="s">
        <v>19</v>
      </c>
      <c r="H3324" s="9" t="n">
        <v>46123</v>
      </c>
      <c r="I3324" s="9" t="n">
        <v>46126</v>
      </c>
      <c r="J3324" s="7" t="n">
        <v>9.8</v>
      </c>
      <c r="K3324" s="7" t="s">
        <v>3856</v>
      </c>
      <c r="L3324" s="7" t="s">
        <v>19</v>
      </c>
      <c r="M3324" s="7" t="s">
        <v>3911</v>
      </c>
      <c r="N3324" s="7" t="s">
        <v>58</v>
      </c>
      <c r="O3324" s="10" t="n">
        <f aca="false">'Exec Summary'!$E$2-H3324</f>
        <v>111</v>
      </c>
      <c r="P3324" s="10" t="n">
        <f aca="false">IF(I3324="","",I3324-H3324)</f>
        <v>3</v>
      </c>
      <c r="Q3324" s="10" t="n">
        <f aca="false">VLOOKUP(G3324,$AA$2:$AB$5,2,FALSE())</f>
        <v>15</v>
      </c>
      <c r="R3324" s="7" t="n">
        <f aca="false">IF(OR(F3324="Open",F3324="Reopened"),1,0)</f>
        <v>0</v>
      </c>
      <c r="S3324" s="7" t="n">
        <f aca="false">IF(AND(H3324&gt;='Exec Summary'!$E$1,H3324&lt;='Exec Summary'!$E$2),1,0)</f>
        <v>0</v>
      </c>
      <c r="T3324" s="7" t="n">
        <f aca="false">IF(AND(F3324="Closed",I3324&lt;&gt;"",I3324&gt;='Exec Summary'!$E$1,I3324&lt;='Exec Summary'!$E$2),1,0)</f>
        <v>0</v>
      </c>
      <c r="U3324" s="7" t="n">
        <f aca="false">IF(F3324="Reopened",1,0)</f>
        <v>0</v>
      </c>
      <c r="V3324" s="7" t="n">
        <f aca="false">IF(AND(R3324=1,O3324&gt;Q3324),1,0)</f>
        <v>0</v>
      </c>
      <c r="W3324" s="7" t="n">
        <f aca="false">IF(AND(T3324=1,P3324&lt;&gt;"",P3324&lt;=Q3324),1,0)</f>
        <v>0</v>
      </c>
    </row>
    <row r="3325" customFormat="false" ht="15" hidden="false" customHeight="false" outlineLevel="0" collapsed="false">
      <c r="A3325" s="7" t="s">
        <v>3912</v>
      </c>
      <c r="B3325" s="7" t="s">
        <v>46</v>
      </c>
      <c r="C3325" s="7" t="s">
        <v>79</v>
      </c>
      <c r="D3325" s="7" t="s">
        <v>95</v>
      </c>
      <c r="E3325" s="7" t="s">
        <v>96</v>
      </c>
      <c r="F3325" s="7" t="s">
        <v>56</v>
      </c>
      <c r="G3325" s="7" t="s">
        <v>20</v>
      </c>
      <c r="H3325" s="9" t="n">
        <v>45988</v>
      </c>
      <c r="I3325" s="9"/>
      <c r="J3325" s="7" t="n">
        <v>8.8</v>
      </c>
      <c r="K3325" s="7" t="s">
        <v>3856</v>
      </c>
      <c r="L3325" s="7" t="s">
        <v>19</v>
      </c>
      <c r="M3325" s="7" t="s">
        <v>3913</v>
      </c>
      <c r="N3325" s="7" t="s">
        <v>53</v>
      </c>
      <c r="O3325" s="10" t="n">
        <f aca="false">'Exec Summary'!$E$2-H3325</f>
        <v>246</v>
      </c>
      <c r="P3325" s="10" t="str">
        <f aca="false">IF(I3325="","",I3325-H3325)</f>
        <v/>
      </c>
      <c r="Q3325" s="10" t="n">
        <f aca="false">VLOOKUP(G3325,$AA$2:$AB$5,2,FALSE())</f>
        <v>30</v>
      </c>
      <c r="R3325" s="7" t="n">
        <f aca="false">IF(OR(F3325="Open",F3325="Reopened"),1,0)</f>
        <v>1</v>
      </c>
      <c r="S3325" s="7" t="n">
        <f aca="false">IF(AND(H3325&gt;='Exec Summary'!$E$1,H3325&lt;='Exec Summary'!$E$2),1,0)</f>
        <v>0</v>
      </c>
      <c r="T3325" s="7" t="n">
        <f aca="false">IF(AND(F3325="Closed",I3325&lt;&gt;"",I3325&gt;='Exec Summary'!$E$1,I3325&lt;='Exec Summary'!$E$2),1,0)</f>
        <v>0</v>
      </c>
      <c r="U3325" s="7" t="n">
        <f aca="false">IF(F3325="Reopened",1,0)</f>
        <v>0</v>
      </c>
      <c r="V3325" s="7" t="n">
        <f aca="false">IF(AND(R3325=1,O3325&gt;Q3325),1,0)</f>
        <v>1</v>
      </c>
      <c r="W3325" s="7" t="n">
        <f aca="false">IF(AND(T3325=1,P3325&lt;&gt;"",P3325&lt;=Q3325),1,0)</f>
        <v>0</v>
      </c>
    </row>
    <row r="3326" customFormat="false" ht="15" hidden="false" customHeight="false" outlineLevel="0" collapsed="false">
      <c r="A3326" s="7" t="s">
        <v>3912</v>
      </c>
      <c r="B3326" s="7" t="s">
        <v>46</v>
      </c>
      <c r="C3326" s="7" t="s">
        <v>79</v>
      </c>
      <c r="D3326" s="7" t="s">
        <v>131</v>
      </c>
      <c r="E3326" s="7" t="s">
        <v>132</v>
      </c>
      <c r="F3326" s="7" t="s">
        <v>50</v>
      </c>
      <c r="G3326" s="7" t="s">
        <v>19</v>
      </c>
      <c r="H3326" s="9" t="n">
        <v>46073</v>
      </c>
      <c r="I3326" s="9" t="n">
        <v>46087</v>
      </c>
      <c r="J3326" s="7" t="n">
        <v>9.8</v>
      </c>
      <c r="K3326" s="7" t="s">
        <v>3856</v>
      </c>
      <c r="L3326" s="7" t="s">
        <v>19</v>
      </c>
      <c r="M3326" s="7" t="s">
        <v>3914</v>
      </c>
      <c r="N3326" s="7" t="s">
        <v>58</v>
      </c>
      <c r="O3326" s="10" t="n">
        <f aca="false">'Exec Summary'!$E$2-H3326</f>
        <v>161</v>
      </c>
      <c r="P3326" s="10" t="n">
        <f aca="false">IF(I3326="","",I3326-H3326)</f>
        <v>14</v>
      </c>
      <c r="Q3326" s="10" t="n">
        <f aca="false">VLOOKUP(G3326,$AA$2:$AB$5,2,FALSE())</f>
        <v>15</v>
      </c>
      <c r="R3326" s="7" t="n">
        <f aca="false">IF(OR(F3326="Open",F3326="Reopened"),1,0)</f>
        <v>0</v>
      </c>
      <c r="S3326" s="7" t="n">
        <f aca="false">IF(AND(H3326&gt;='Exec Summary'!$E$1,H3326&lt;='Exec Summary'!$E$2),1,0)</f>
        <v>0</v>
      </c>
      <c r="T3326" s="7" t="n">
        <f aca="false">IF(AND(F3326="Closed",I3326&lt;&gt;"",I3326&gt;='Exec Summary'!$E$1,I3326&lt;='Exec Summary'!$E$2),1,0)</f>
        <v>0</v>
      </c>
      <c r="U3326" s="7" t="n">
        <f aca="false">IF(F3326="Reopened",1,0)</f>
        <v>0</v>
      </c>
      <c r="V3326" s="7" t="n">
        <f aca="false">IF(AND(R3326=1,O3326&gt;Q3326),1,0)</f>
        <v>0</v>
      </c>
      <c r="W3326" s="7" t="n">
        <f aca="false">IF(AND(T3326=1,P3326&lt;&gt;"",P3326&lt;=Q3326),1,0)</f>
        <v>0</v>
      </c>
    </row>
    <row r="3327" customFormat="false" ht="15" hidden="false" customHeight="false" outlineLevel="0" collapsed="false">
      <c r="A3327" s="7" t="s">
        <v>3912</v>
      </c>
      <c r="B3327" s="7" t="s">
        <v>46</v>
      </c>
      <c r="C3327" s="7" t="s">
        <v>79</v>
      </c>
      <c r="D3327" s="7" t="s">
        <v>210</v>
      </c>
      <c r="E3327" s="7" t="s">
        <v>211</v>
      </c>
      <c r="F3327" s="7" t="s">
        <v>56</v>
      </c>
      <c r="G3327" s="7" t="s">
        <v>19</v>
      </c>
      <c r="H3327" s="9" t="n">
        <v>46038</v>
      </c>
      <c r="I3327" s="9"/>
      <c r="J3327" s="7" t="n">
        <v>9.8</v>
      </c>
      <c r="K3327" s="7" t="s">
        <v>3856</v>
      </c>
      <c r="L3327" s="7" t="s">
        <v>19</v>
      </c>
      <c r="M3327" s="7" t="s">
        <v>3915</v>
      </c>
      <c r="N3327" s="7" t="s">
        <v>58</v>
      </c>
      <c r="O3327" s="10" t="n">
        <f aca="false">'Exec Summary'!$E$2-H3327</f>
        <v>196</v>
      </c>
      <c r="P3327" s="10" t="str">
        <f aca="false">IF(I3327="","",I3327-H3327)</f>
        <v/>
      </c>
      <c r="Q3327" s="10" t="n">
        <f aca="false">VLOOKUP(G3327,$AA$2:$AB$5,2,FALSE())</f>
        <v>15</v>
      </c>
      <c r="R3327" s="7" t="n">
        <f aca="false">IF(OR(F3327="Open",F3327="Reopened"),1,0)</f>
        <v>1</v>
      </c>
      <c r="S3327" s="7" t="n">
        <f aca="false">IF(AND(H3327&gt;='Exec Summary'!$E$1,H3327&lt;='Exec Summary'!$E$2),1,0)</f>
        <v>0</v>
      </c>
      <c r="T3327" s="7" t="n">
        <f aca="false">IF(AND(F3327="Closed",I3327&lt;&gt;"",I3327&gt;='Exec Summary'!$E$1,I3327&lt;='Exec Summary'!$E$2),1,0)</f>
        <v>0</v>
      </c>
      <c r="U3327" s="7" t="n">
        <f aca="false">IF(F3327="Reopened",1,0)</f>
        <v>0</v>
      </c>
      <c r="V3327" s="7" t="n">
        <f aca="false">IF(AND(R3327=1,O3327&gt;Q3327),1,0)</f>
        <v>1</v>
      </c>
      <c r="W3327" s="7" t="n">
        <f aca="false">IF(AND(T3327=1,P3327&lt;&gt;"",P3327&lt;=Q3327),1,0)</f>
        <v>0</v>
      </c>
    </row>
    <row r="3328" customFormat="false" ht="15" hidden="false" customHeight="false" outlineLevel="0" collapsed="false">
      <c r="A3328" s="7" t="s">
        <v>3916</v>
      </c>
      <c r="B3328" s="7" t="s">
        <v>46</v>
      </c>
      <c r="C3328" s="7" t="s">
        <v>47</v>
      </c>
      <c r="D3328" s="7" t="s">
        <v>192</v>
      </c>
      <c r="E3328" s="7" t="s">
        <v>193</v>
      </c>
      <c r="F3328" s="7" t="s">
        <v>50</v>
      </c>
      <c r="G3328" s="7" t="s">
        <v>19</v>
      </c>
      <c r="H3328" s="9" t="n">
        <v>46068</v>
      </c>
      <c r="I3328" s="9" t="n">
        <v>46069</v>
      </c>
      <c r="J3328" s="7" t="n">
        <v>9.8</v>
      </c>
      <c r="K3328" s="7" t="s">
        <v>3856</v>
      </c>
      <c r="L3328" s="7" t="s">
        <v>19</v>
      </c>
      <c r="M3328" s="7" t="s">
        <v>3917</v>
      </c>
      <c r="N3328" s="7" t="s">
        <v>58</v>
      </c>
      <c r="O3328" s="10" t="n">
        <f aca="false">'Exec Summary'!$E$2-H3328</f>
        <v>166</v>
      </c>
      <c r="P3328" s="10" t="n">
        <f aca="false">IF(I3328="","",I3328-H3328)</f>
        <v>1</v>
      </c>
      <c r="Q3328" s="10" t="n">
        <f aca="false">VLOOKUP(G3328,$AA$2:$AB$5,2,FALSE())</f>
        <v>15</v>
      </c>
      <c r="R3328" s="7" t="n">
        <f aca="false">IF(OR(F3328="Open",F3328="Reopened"),1,0)</f>
        <v>0</v>
      </c>
      <c r="S3328" s="7" t="n">
        <f aca="false">IF(AND(H3328&gt;='Exec Summary'!$E$1,H3328&lt;='Exec Summary'!$E$2),1,0)</f>
        <v>0</v>
      </c>
      <c r="T3328" s="7" t="n">
        <f aca="false">IF(AND(F3328="Closed",I3328&lt;&gt;"",I3328&gt;='Exec Summary'!$E$1,I3328&lt;='Exec Summary'!$E$2),1,0)</f>
        <v>0</v>
      </c>
      <c r="U3328" s="7" t="n">
        <f aca="false">IF(F3328="Reopened",1,0)</f>
        <v>0</v>
      </c>
      <c r="V3328" s="7" t="n">
        <f aca="false">IF(AND(R3328=1,O3328&gt;Q3328),1,0)</f>
        <v>0</v>
      </c>
      <c r="W3328" s="7" t="n">
        <f aca="false">IF(AND(T3328=1,P3328&lt;&gt;"",P3328&lt;=Q3328),1,0)</f>
        <v>0</v>
      </c>
    </row>
    <row r="3329" customFormat="false" ht="15" hidden="false" customHeight="false" outlineLevel="0" collapsed="false">
      <c r="A3329" s="7" t="s">
        <v>3916</v>
      </c>
      <c r="B3329" s="7" t="s">
        <v>46</v>
      </c>
      <c r="C3329" s="7" t="s">
        <v>47</v>
      </c>
      <c r="D3329" s="7" t="s">
        <v>101</v>
      </c>
      <c r="E3329" s="7" t="s">
        <v>102</v>
      </c>
      <c r="F3329" s="7" t="s">
        <v>56</v>
      </c>
      <c r="G3329" s="7" t="s">
        <v>19</v>
      </c>
      <c r="H3329" s="9" t="n">
        <v>45972</v>
      </c>
      <c r="I3329" s="9"/>
      <c r="J3329" s="7" t="n">
        <v>10</v>
      </c>
      <c r="K3329" s="7" t="s">
        <v>3856</v>
      </c>
      <c r="L3329" s="7" t="s">
        <v>19</v>
      </c>
      <c r="M3329" s="7" t="s">
        <v>3918</v>
      </c>
      <c r="N3329" s="7" t="s">
        <v>58</v>
      </c>
      <c r="O3329" s="10" t="n">
        <f aca="false">'Exec Summary'!$E$2-H3329</f>
        <v>262</v>
      </c>
      <c r="P3329" s="10" t="str">
        <f aca="false">IF(I3329="","",I3329-H3329)</f>
        <v/>
      </c>
      <c r="Q3329" s="10" t="n">
        <f aca="false">VLOOKUP(G3329,$AA$2:$AB$5,2,FALSE())</f>
        <v>15</v>
      </c>
      <c r="R3329" s="7" t="n">
        <f aca="false">IF(OR(F3329="Open",F3329="Reopened"),1,0)</f>
        <v>1</v>
      </c>
      <c r="S3329" s="7" t="n">
        <f aca="false">IF(AND(H3329&gt;='Exec Summary'!$E$1,H3329&lt;='Exec Summary'!$E$2),1,0)</f>
        <v>0</v>
      </c>
      <c r="T3329" s="7" t="n">
        <f aca="false">IF(AND(F3329="Closed",I3329&lt;&gt;"",I3329&gt;='Exec Summary'!$E$1,I3329&lt;='Exec Summary'!$E$2),1,0)</f>
        <v>0</v>
      </c>
      <c r="U3329" s="7" t="n">
        <f aca="false">IF(F3329="Reopened",1,0)</f>
        <v>0</v>
      </c>
      <c r="V3329" s="7" t="n">
        <f aca="false">IF(AND(R3329=1,O3329&gt;Q3329),1,0)</f>
        <v>1</v>
      </c>
      <c r="W3329" s="7" t="n">
        <f aca="false">IF(AND(T3329=1,P3329&lt;&gt;"",P3329&lt;=Q3329),1,0)</f>
        <v>0</v>
      </c>
    </row>
    <row r="3330" customFormat="false" ht="15" hidden="false" customHeight="false" outlineLevel="0" collapsed="false">
      <c r="A3330" s="7" t="s">
        <v>3916</v>
      </c>
      <c r="B3330" s="7" t="s">
        <v>46</v>
      </c>
      <c r="C3330" s="7" t="s">
        <v>47</v>
      </c>
      <c r="D3330" s="7" t="s">
        <v>163</v>
      </c>
      <c r="E3330" s="7" t="s">
        <v>164</v>
      </c>
      <c r="F3330" s="7" t="s">
        <v>50</v>
      </c>
      <c r="G3330" s="7" t="s">
        <v>19</v>
      </c>
      <c r="H3330" s="9" t="n">
        <v>46213</v>
      </c>
      <c r="I3330" s="9" t="n">
        <v>46228</v>
      </c>
      <c r="J3330" s="7" t="n">
        <v>9.1</v>
      </c>
      <c r="K3330" s="7" t="s">
        <v>3856</v>
      </c>
      <c r="L3330" s="7" t="s">
        <v>19</v>
      </c>
      <c r="M3330" s="7" t="s">
        <v>3919</v>
      </c>
      <c r="N3330" s="7" t="s">
        <v>58</v>
      </c>
      <c r="O3330" s="10" t="n">
        <f aca="false">'Exec Summary'!$E$2-H3330</f>
        <v>21</v>
      </c>
      <c r="P3330" s="10" t="n">
        <f aca="false">IF(I3330="","",I3330-H3330)</f>
        <v>15</v>
      </c>
      <c r="Q3330" s="10" t="n">
        <f aca="false">VLOOKUP(G3330,$AA$2:$AB$5,2,FALSE())</f>
        <v>15</v>
      </c>
      <c r="R3330" s="7" t="n">
        <f aca="false">IF(OR(F3330="Open",F3330="Reopened"),1,0)</f>
        <v>0</v>
      </c>
      <c r="S3330" s="7" t="n">
        <f aca="false">IF(AND(H3330&gt;='Exec Summary'!$E$1,H3330&lt;='Exec Summary'!$E$2),1,0)</f>
        <v>1</v>
      </c>
      <c r="T3330" s="7" t="n">
        <f aca="false">IF(AND(F3330="Closed",I3330&lt;&gt;"",I3330&gt;='Exec Summary'!$E$1,I3330&lt;='Exec Summary'!$E$2),1,0)</f>
        <v>1</v>
      </c>
      <c r="U3330" s="7" t="n">
        <f aca="false">IF(F3330="Reopened",1,0)</f>
        <v>0</v>
      </c>
      <c r="V3330" s="7" t="n">
        <f aca="false">IF(AND(R3330=1,O3330&gt;Q3330),1,0)</f>
        <v>0</v>
      </c>
      <c r="W3330" s="7" t="n">
        <f aca="false">IF(AND(T3330=1,P3330&lt;&gt;"",P3330&lt;=Q3330),1,0)</f>
        <v>1</v>
      </c>
    </row>
    <row r="3331" customFormat="false" ht="15" hidden="false" customHeight="false" outlineLevel="0" collapsed="false">
      <c r="A3331" s="7" t="s">
        <v>3916</v>
      </c>
      <c r="B3331" s="7" t="s">
        <v>46</v>
      </c>
      <c r="C3331" s="7" t="s">
        <v>47</v>
      </c>
      <c r="D3331" s="7" t="s">
        <v>152</v>
      </c>
      <c r="E3331" s="7" t="s">
        <v>153</v>
      </c>
      <c r="F3331" s="7" t="s">
        <v>50</v>
      </c>
      <c r="G3331" s="7" t="s">
        <v>20</v>
      </c>
      <c r="H3331" s="9" t="n">
        <v>46154</v>
      </c>
      <c r="I3331" s="9" t="n">
        <v>46166</v>
      </c>
      <c r="J3331" s="7" t="n">
        <v>7.5</v>
      </c>
      <c r="K3331" s="7" t="s">
        <v>3856</v>
      </c>
      <c r="L3331" s="7" t="s">
        <v>19</v>
      </c>
      <c r="M3331" s="7" t="s">
        <v>3920</v>
      </c>
      <c r="N3331" s="7" t="s">
        <v>53</v>
      </c>
      <c r="O3331" s="10" t="n">
        <f aca="false">'Exec Summary'!$E$2-H3331</f>
        <v>80</v>
      </c>
      <c r="P3331" s="10" t="n">
        <f aca="false">IF(I3331="","",I3331-H3331)</f>
        <v>12</v>
      </c>
      <c r="Q3331" s="10" t="n">
        <f aca="false">VLOOKUP(G3331,$AA$2:$AB$5,2,FALSE())</f>
        <v>30</v>
      </c>
      <c r="R3331" s="7" t="n">
        <f aca="false">IF(OR(F3331="Open",F3331="Reopened"),1,0)</f>
        <v>0</v>
      </c>
      <c r="S3331" s="7" t="n">
        <f aca="false">IF(AND(H3331&gt;='Exec Summary'!$E$1,H3331&lt;='Exec Summary'!$E$2),1,0)</f>
        <v>0</v>
      </c>
      <c r="T3331" s="7" t="n">
        <f aca="false">IF(AND(F3331="Closed",I3331&lt;&gt;"",I3331&gt;='Exec Summary'!$E$1,I3331&lt;='Exec Summary'!$E$2),1,0)</f>
        <v>0</v>
      </c>
      <c r="U3331" s="7" t="n">
        <f aca="false">IF(F3331="Reopened",1,0)</f>
        <v>0</v>
      </c>
      <c r="V3331" s="7" t="n">
        <f aca="false">IF(AND(R3331=1,O3331&gt;Q3331),1,0)</f>
        <v>0</v>
      </c>
      <c r="W3331" s="7" t="n">
        <f aca="false">IF(AND(T3331=1,P3331&lt;&gt;"",P3331&lt;=Q3331),1,0)</f>
        <v>0</v>
      </c>
    </row>
    <row r="3332" customFormat="false" ht="15" hidden="false" customHeight="false" outlineLevel="0" collapsed="false">
      <c r="A3332" s="7" t="s">
        <v>3916</v>
      </c>
      <c r="B3332" s="7" t="s">
        <v>46</v>
      </c>
      <c r="C3332" s="7" t="s">
        <v>47</v>
      </c>
      <c r="D3332" s="7" t="s">
        <v>68</v>
      </c>
      <c r="E3332" s="7" t="s">
        <v>69</v>
      </c>
      <c r="F3332" s="7" t="s">
        <v>50</v>
      </c>
      <c r="G3332" s="7" t="s">
        <v>19</v>
      </c>
      <c r="H3332" s="9" t="n">
        <v>46117</v>
      </c>
      <c r="I3332" s="9" t="n">
        <v>46141</v>
      </c>
      <c r="J3332" s="7" t="n">
        <v>9.8</v>
      </c>
      <c r="K3332" s="7" t="s">
        <v>3856</v>
      </c>
      <c r="L3332" s="7" t="s">
        <v>19</v>
      </c>
      <c r="M3332" s="7" t="s">
        <v>3921</v>
      </c>
      <c r="N3332" s="7" t="s">
        <v>58</v>
      </c>
      <c r="O3332" s="10" t="n">
        <f aca="false">'Exec Summary'!$E$2-H3332</f>
        <v>117</v>
      </c>
      <c r="P3332" s="10" t="n">
        <f aca="false">IF(I3332="","",I3332-H3332)</f>
        <v>24</v>
      </c>
      <c r="Q3332" s="10" t="n">
        <f aca="false">VLOOKUP(G3332,$AA$2:$AB$5,2,FALSE())</f>
        <v>15</v>
      </c>
      <c r="R3332" s="7" t="n">
        <f aca="false">IF(OR(F3332="Open",F3332="Reopened"),1,0)</f>
        <v>0</v>
      </c>
      <c r="S3332" s="7" t="n">
        <f aca="false">IF(AND(H3332&gt;='Exec Summary'!$E$1,H3332&lt;='Exec Summary'!$E$2),1,0)</f>
        <v>0</v>
      </c>
      <c r="T3332" s="7" t="n">
        <f aca="false">IF(AND(F3332="Closed",I3332&lt;&gt;"",I3332&gt;='Exec Summary'!$E$1,I3332&lt;='Exec Summary'!$E$2),1,0)</f>
        <v>0</v>
      </c>
      <c r="U3332" s="7" t="n">
        <f aca="false">IF(F3332="Reopened",1,0)</f>
        <v>0</v>
      </c>
      <c r="V3332" s="7" t="n">
        <f aca="false">IF(AND(R3332=1,O3332&gt;Q3332),1,0)</f>
        <v>0</v>
      </c>
      <c r="W3332" s="7" t="n">
        <f aca="false">IF(AND(T3332=1,P3332&lt;&gt;"",P3332&lt;=Q3332),1,0)</f>
        <v>0</v>
      </c>
    </row>
    <row r="3333" customFormat="false" ht="15" hidden="false" customHeight="false" outlineLevel="0" collapsed="false">
      <c r="A3333" s="7" t="s">
        <v>3922</v>
      </c>
      <c r="B3333" s="7" t="s">
        <v>46</v>
      </c>
      <c r="C3333" s="7" t="s">
        <v>79</v>
      </c>
      <c r="D3333" s="7" t="s">
        <v>81</v>
      </c>
      <c r="E3333" s="7" t="s">
        <v>82</v>
      </c>
      <c r="F3333" s="7" t="s">
        <v>50</v>
      </c>
      <c r="G3333" s="7" t="s">
        <v>20</v>
      </c>
      <c r="H3333" s="9" t="n">
        <v>46145</v>
      </c>
      <c r="I3333" s="9" t="n">
        <v>46166</v>
      </c>
      <c r="J3333" s="7" t="n">
        <v>7.8</v>
      </c>
      <c r="K3333" s="7" t="s">
        <v>3856</v>
      </c>
      <c r="L3333" s="7" t="s">
        <v>22</v>
      </c>
      <c r="M3333" s="7" t="s">
        <v>3923</v>
      </c>
      <c r="N3333" s="7" t="s">
        <v>53</v>
      </c>
      <c r="O3333" s="10" t="n">
        <f aca="false">'Exec Summary'!$E$2-H3333</f>
        <v>89</v>
      </c>
      <c r="P3333" s="10" t="n">
        <f aca="false">IF(I3333="","",I3333-H3333)</f>
        <v>21</v>
      </c>
      <c r="Q3333" s="10" t="n">
        <f aca="false">VLOOKUP(G3333,$AA$2:$AB$5,2,FALSE())</f>
        <v>30</v>
      </c>
      <c r="R3333" s="7" t="n">
        <f aca="false">IF(OR(F3333="Open",F3333="Reopened"),1,0)</f>
        <v>0</v>
      </c>
      <c r="S3333" s="7" t="n">
        <f aca="false">IF(AND(H3333&gt;='Exec Summary'!$E$1,H3333&lt;='Exec Summary'!$E$2),1,0)</f>
        <v>0</v>
      </c>
      <c r="T3333" s="7" t="n">
        <f aca="false">IF(AND(F3333="Closed",I3333&lt;&gt;"",I3333&gt;='Exec Summary'!$E$1,I3333&lt;='Exec Summary'!$E$2),1,0)</f>
        <v>0</v>
      </c>
      <c r="U3333" s="7" t="n">
        <f aca="false">IF(F3333="Reopened",1,0)</f>
        <v>0</v>
      </c>
      <c r="V3333" s="7" t="n">
        <f aca="false">IF(AND(R3333=1,O3333&gt;Q3333),1,0)</f>
        <v>0</v>
      </c>
      <c r="W3333" s="7" t="n">
        <f aca="false">IF(AND(T3333=1,P3333&lt;&gt;"",P3333&lt;=Q3333),1,0)</f>
        <v>0</v>
      </c>
    </row>
    <row r="3334" customFormat="false" ht="15" hidden="false" customHeight="false" outlineLevel="0" collapsed="false">
      <c r="A3334" s="7" t="s">
        <v>3922</v>
      </c>
      <c r="B3334" s="7" t="s">
        <v>46</v>
      </c>
      <c r="C3334" s="7" t="s">
        <v>79</v>
      </c>
      <c r="D3334" s="7" t="s">
        <v>48</v>
      </c>
      <c r="E3334" s="7" t="s">
        <v>49</v>
      </c>
      <c r="F3334" s="7" t="s">
        <v>50</v>
      </c>
      <c r="G3334" s="7" t="s">
        <v>20</v>
      </c>
      <c r="H3334" s="9" t="n">
        <v>46070</v>
      </c>
      <c r="I3334" s="9" t="n">
        <v>46080</v>
      </c>
      <c r="J3334" s="7" t="n">
        <v>7.5</v>
      </c>
      <c r="K3334" s="7" t="s">
        <v>3856</v>
      </c>
      <c r="L3334" s="7" t="s">
        <v>22</v>
      </c>
      <c r="M3334" s="7" t="s">
        <v>3924</v>
      </c>
      <c r="N3334" s="7" t="s">
        <v>53</v>
      </c>
      <c r="O3334" s="10" t="n">
        <f aca="false">'Exec Summary'!$E$2-H3334</f>
        <v>164</v>
      </c>
      <c r="P3334" s="10" t="n">
        <f aca="false">IF(I3334="","",I3334-H3334)</f>
        <v>10</v>
      </c>
      <c r="Q3334" s="10" t="n">
        <f aca="false">VLOOKUP(G3334,$AA$2:$AB$5,2,FALSE())</f>
        <v>30</v>
      </c>
      <c r="R3334" s="7" t="n">
        <f aca="false">IF(OR(F3334="Open",F3334="Reopened"),1,0)</f>
        <v>0</v>
      </c>
      <c r="S3334" s="7" t="n">
        <f aca="false">IF(AND(H3334&gt;='Exec Summary'!$E$1,H3334&lt;='Exec Summary'!$E$2),1,0)</f>
        <v>0</v>
      </c>
      <c r="T3334" s="7" t="n">
        <f aca="false">IF(AND(F3334="Closed",I3334&lt;&gt;"",I3334&gt;='Exec Summary'!$E$1,I3334&lt;='Exec Summary'!$E$2),1,0)</f>
        <v>0</v>
      </c>
      <c r="U3334" s="7" t="n">
        <f aca="false">IF(F3334="Reopened",1,0)</f>
        <v>0</v>
      </c>
      <c r="V3334" s="7" t="n">
        <f aca="false">IF(AND(R3334=1,O3334&gt;Q3334),1,0)</f>
        <v>0</v>
      </c>
      <c r="W3334" s="7" t="n">
        <f aca="false">IF(AND(T3334=1,P3334&lt;&gt;"",P3334&lt;=Q3334),1,0)</f>
        <v>0</v>
      </c>
    </row>
    <row r="3335" customFormat="false" ht="15" hidden="false" customHeight="false" outlineLevel="0" collapsed="false">
      <c r="A3335" s="7" t="s">
        <v>3922</v>
      </c>
      <c r="B3335" s="7" t="s">
        <v>46</v>
      </c>
      <c r="C3335" s="7" t="s">
        <v>79</v>
      </c>
      <c r="D3335" s="7" t="s">
        <v>120</v>
      </c>
      <c r="E3335" s="7" t="s">
        <v>121</v>
      </c>
      <c r="F3335" s="7" t="s">
        <v>56</v>
      </c>
      <c r="G3335" s="7" t="s">
        <v>19</v>
      </c>
      <c r="H3335" s="9" t="n">
        <v>45953</v>
      </c>
      <c r="I3335" s="9"/>
      <c r="J3335" s="7" t="n">
        <v>8.8</v>
      </c>
      <c r="K3335" s="7" t="s">
        <v>3856</v>
      </c>
      <c r="L3335" s="7" t="s">
        <v>22</v>
      </c>
      <c r="M3335" s="7" t="s">
        <v>3925</v>
      </c>
      <c r="N3335" s="7" t="s">
        <v>58</v>
      </c>
      <c r="O3335" s="10" t="n">
        <f aca="false">'Exec Summary'!$E$2-H3335</f>
        <v>281</v>
      </c>
      <c r="P3335" s="10" t="str">
        <f aca="false">IF(I3335="","",I3335-H3335)</f>
        <v/>
      </c>
      <c r="Q3335" s="10" t="n">
        <f aca="false">VLOOKUP(G3335,$AA$2:$AB$5,2,FALSE())</f>
        <v>15</v>
      </c>
      <c r="R3335" s="7" t="n">
        <f aca="false">IF(OR(F3335="Open",F3335="Reopened"),1,0)</f>
        <v>1</v>
      </c>
      <c r="S3335" s="7" t="n">
        <f aca="false">IF(AND(H3335&gt;='Exec Summary'!$E$1,H3335&lt;='Exec Summary'!$E$2),1,0)</f>
        <v>0</v>
      </c>
      <c r="T3335" s="7" t="n">
        <f aca="false">IF(AND(F3335="Closed",I3335&lt;&gt;"",I3335&gt;='Exec Summary'!$E$1,I3335&lt;='Exec Summary'!$E$2),1,0)</f>
        <v>0</v>
      </c>
      <c r="U3335" s="7" t="n">
        <f aca="false">IF(F3335="Reopened",1,0)</f>
        <v>0</v>
      </c>
      <c r="V3335" s="7" t="n">
        <f aca="false">IF(AND(R3335=1,O3335&gt;Q3335),1,0)</f>
        <v>1</v>
      </c>
      <c r="W3335" s="7" t="n">
        <f aca="false">IF(AND(T3335=1,P3335&lt;&gt;"",P3335&lt;=Q3335),1,0)</f>
        <v>0</v>
      </c>
    </row>
    <row r="3336" customFormat="false" ht="15" hidden="false" customHeight="false" outlineLevel="0" collapsed="false">
      <c r="A3336" s="7" t="s">
        <v>3922</v>
      </c>
      <c r="B3336" s="7" t="s">
        <v>46</v>
      </c>
      <c r="C3336" s="7" t="s">
        <v>79</v>
      </c>
      <c r="D3336" s="7" t="s">
        <v>210</v>
      </c>
      <c r="E3336" s="7" t="s">
        <v>211</v>
      </c>
      <c r="F3336" s="7" t="s">
        <v>56</v>
      </c>
      <c r="G3336" s="7" t="s">
        <v>19</v>
      </c>
      <c r="H3336" s="9" t="n">
        <v>46036</v>
      </c>
      <c r="I3336" s="9"/>
      <c r="J3336" s="7" t="n">
        <v>9.8</v>
      </c>
      <c r="K3336" s="7" t="s">
        <v>3856</v>
      </c>
      <c r="L3336" s="7" t="s">
        <v>22</v>
      </c>
      <c r="M3336" s="7" t="s">
        <v>3926</v>
      </c>
      <c r="N3336" s="7" t="s">
        <v>58</v>
      </c>
      <c r="O3336" s="10" t="n">
        <f aca="false">'Exec Summary'!$E$2-H3336</f>
        <v>198</v>
      </c>
      <c r="P3336" s="10" t="str">
        <f aca="false">IF(I3336="","",I3336-H3336)</f>
        <v/>
      </c>
      <c r="Q3336" s="10" t="n">
        <f aca="false">VLOOKUP(G3336,$AA$2:$AB$5,2,FALSE())</f>
        <v>15</v>
      </c>
      <c r="R3336" s="7" t="n">
        <f aca="false">IF(OR(F3336="Open",F3336="Reopened"),1,0)</f>
        <v>1</v>
      </c>
      <c r="S3336" s="7" t="n">
        <f aca="false">IF(AND(H3336&gt;='Exec Summary'!$E$1,H3336&lt;='Exec Summary'!$E$2),1,0)</f>
        <v>0</v>
      </c>
      <c r="T3336" s="7" t="n">
        <f aca="false">IF(AND(F3336="Closed",I3336&lt;&gt;"",I3336&gt;='Exec Summary'!$E$1,I3336&lt;='Exec Summary'!$E$2),1,0)</f>
        <v>0</v>
      </c>
      <c r="U3336" s="7" t="n">
        <f aca="false">IF(F3336="Reopened",1,0)</f>
        <v>0</v>
      </c>
      <c r="V3336" s="7" t="n">
        <f aca="false">IF(AND(R3336=1,O3336&gt;Q3336),1,0)</f>
        <v>1</v>
      </c>
      <c r="W3336" s="7" t="n">
        <f aca="false">IF(AND(T3336=1,P3336&lt;&gt;"",P3336&lt;=Q3336),1,0)</f>
        <v>0</v>
      </c>
    </row>
    <row r="3337" customFormat="false" ht="15" hidden="false" customHeight="false" outlineLevel="0" collapsed="false">
      <c r="A3337" s="7" t="s">
        <v>3927</v>
      </c>
      <c r="B3337" s="7" t="s">
        <v>46</v>
      </c>
      <c r="C3337" s="7" t="s">
        <v>128</v>
      </c>
      <c r="D3337" s="7" t="s">
        <v>95</v>
      </c>
      <c r="E3337" s="7" t="s">
        <v>96</v>
      </c>
      <c r="F3337" s="7" t="s">
        <v>50</v>
      </c>
      <c r="G3337" s="7" t="s">
        <v>20</v>
      </c>
      <c r="H3337" s="9" t="n">
        <v>46194</v>
      </c>
      <c r="I3337" s="9" t="n">
        <v>46233</v>
      </c>
      <c r="J3337" s="7" t="n">
        <v>8.8</v>
      </c>
      <c r="K3337" s="7" t="s">
        <v>3856</v>
      </c>
      <c r="L3337" s="7" t="s">
        <v>19</v>
      </c>
      <c r="M3337" s="7" t="s">
        <v>3928</v>
      </c>
      <c r="N3337" s="7" t="s">
        <v>53</v>
      </c>
      <c r="O3337" s="10" t="n">
        <f aca="false">'Exec Summary'!$E$2-H3337</f>
        <v>40</v>
      </c>
      <c r="P3337" s="10" t="n">
        <f aca="false">IF(I3337="","",I3337-H3337)</f>
        <v>39</v>
      </c>
      <c r="Q3337" s="10" t="n">
        <f aca="false">VLOOKUP(G3337,$AA$2:$AB$5,2,FALSE())</f>
        <v>30</v>
      </c>
      <c r="R3337" s="7" t="n">
        <f aca="false">IF(OR(F3337="Open",F3337="Reopened"),1,0)</f>
        <v>0</v>
      </c>
      <c r="S3337" s="7" t="n">
        <f aca="false">IF(AND(H3337&gt;='Exec Summary'!$E$1,H3337&lt;='Exec Summary'!$E$2),1,0)</f>
        <v>0</v>
      </c>
      <c r="T3337" s="7" t="n">
        <f aca="false">IF(AND(F3337="Closed",I3337&lt;&gt;"",I3337&gt;='Exec Summary'!$E$1,I3337&lt;='Exec Summary'!$E$2),1,0)</f>
        <v>1</v>
      </c>
      <c r="U3337" s="7" t="n">
        <f aca="false">IF(F3337="Reopened",1,0)</f>
        <v>0</v>
      </c>
      <c r="V3337" s="7" t="n">
        <f aca="false">IF(AND(R3337=1,O3337&gt;Q3337),1,0)</f>
        <v>0</v>
      </c>
      <c r="W3337" s="7" t="n">
        <f aca="false">IF(AND(T3337=1,P3337&lt;&gt;"",P3337&lt;=Q3337),1,0)</f>
        <v>0</v>
      </c>
    </row>
    <row r="3338" customFormat="false" ht="15" hidden="false" customHeight="false" outlineLevel="0" collapsed="false">
      <c r="A3338" s="7" t="s">
        <v>3927</v>
      </c>
      <c r="B3338" s="7" t="s">
        <v>46</v>
      </c>
      <c r="C3338" s="7" t="s">
        <v>128</v>
      </c>
      <c r="D3338" s="7" t="s">
        <v>81</v>
      </c>
      <c r="E3338" s="7" t="s">
        <v>82</v>
      </c>
      <c r="F3338" s="7" t="s">
        <v>50</v>
      </c>
      <c r="G3338" s="7" t="s">
        <v>20</v>
      </c>
      <c r="H3338" s="9" t="n">
        <v>46067</v>
      </c>
      <c r="I3338" s="9" t="n">
        <v>46087</v>
      </c>
      <c r="J3338" s="7" t="n">
        <v>7.8</v>
      </c>
      <c r="K3338" s="7" t="s">
        <v>3856</v>
      </c>
      <c r="L3338" s="7" t="s">
        <v>19</v>
      </c>
      <c r="M3338" s="7" t="s">
        <v>3929</v>
      </c>
      <c r="N3338" s="7" t="s">
        <v>53</v>
      </c>
      <c r="O3338" s="10" t="n">
        <f aca="false">'Exec Summary'!$E$2-H3338</f>
        <v>167</v>
      </c>
      <c r="P3338" s="10" t="n">
        <f aca="false">IF(I3338="","",I3338-H3338)</f>
        <v>20</v>
      </c>
      <c r="Q3338" s="10" t="n">
        <f aca="false">VLOOKUP(G3338,$AA$2:$AB$5,2,FALSE())</f>
        <v>30</v>
      </c>
      <c r="R3338" s="7" t="n">
        <f aca="false">IF(OR(F3338="Open",F3338="Reopened"),1,0)</f>
        <v>0</v>
      </c>
      <c r="S3338" s="7" t="n">
        <f aca="false">IF(AND(H3338&gt;='Exec Summary'!$E$1,H3338&lt;='Exec Summary'!$E$2),1,0)</f>
        <v>0</v>
      </c>
      <c r="T3338" s="7" t="n">
        <f aca="false">IF(AND(F3338="Closed",I3338&lt;&gt;"",I3338&gt;='Exec Summary'!$E$1,I3338&lt;='Exec Summary'!$E$2),1,0)</f>
        <v>0</v>
      </c>
      <c r="U3338" s="7" t="n">
        <f aca="false">IF(F3338="Reopened",1,0)</f>
        <v>0</v>
      </c>
      <c r="V3338" s="7" t="n">
        <f aca="false">IF(AND(R3338=1,O3338&gt;Q3338),1,0)</f>
        <v>0</v>
      </c>
      <c r="W3338" s="7" t="n">
        <f aca="false">IF(AND(T3338=1,P3338&lt;&gt;"",P3338&lt;=Q3338),1,0)</f>
        <v>0</v>
      </c>
    </row>
    <row r="3339" customFormat="false" ht="15" hidden="false" customHeight="false" outlineLevel="0" collapsed="false">
      <c r="A3339" s="7" t="s">
        <v>3927</v>
      </c>
      <c r="B3339" s="7" t="s">
        <v>46</v>
      </c>
      <c r="C3339" s="7" t="s">
        <v>128</v>
      </c>
      <c r="D3339" s="7" t="s">
        <v>84</v>
      </c>
      <c r="E3339" s="7" t="s">
        <v>85</v>
      </c>
      <c r="F3339" s="7" t="s">
        <v>50</v>
      </c>
      <c r="G3339" s="7" t="s">
        <v>20</v>
      </c>
      <c r="H3339" s="9" t="n">
        <v>45953</v>
      </c>
      <c r="I3339" s="9" t="n">
        <v>45955</v>
      </c>
      <c r="J3339" s="7" t="n">
        <v>7.5</v>
      </c>
      <c r="K3339" s="7" t="s">
        <v>3856</v>
      </c>
      <c r="L3339" s="7" t="s">
        <v>19</v>
      </c>
      <c r="M3339" s="7" t="s">
        <v>3930</v>
      </c>
      <c r="N3339" s="7" t="s">
        <v>53</v>
      </c>
      <c r="O3339" s="10" t="n">
        <f aca="false">'Exec Summary'!$E$2-H3339</f>
        <v>281</v>
      </c>
      <c r="P3339" s="10" t="n">
        <f aca="false">IF(I3339="","",I3339-H3339)</f>
        <v>2</v>
      </c>
      <c r="Q3339" s="10" t="n">
        <f aca="false">VLOOKUP(G3339,$AA$2:$AB$5,2,FALSE())</f>
        <v>30</v>
      </c>
      <c r="R3339" s="7" t="n">
        <f aca="false">IF(OR(F3339="Open",F3339="Reopened"),1,0)</f>
        <v>0</v>
      </c>
      <c r="S3339" s="7" t="n">
        <f aca="false">IF(AND(H3339&gt;='Exec Summary'!$E$1,H3339&lt;='Exec Summary'!$E$2),1,0)</f>
        <v>0</v>
      </c>
      <c r="T3339" s="7" t="n">
        <f aca="false">IF(AND(F3339="Closed",I3339&lt;&gt;"",I3339&gt;='Exec Summary'!$E$1,I3339&lt;='Exec Summary'!$E$2),1,0)</f>
        <v>0</v>
      </c>
      <c r="U3339" s="7" t="n">
        <f aca="false">IF(F3339="Reopened",1,0)</f>
        <v>0</v>
      </c>
      <c r="V3339" s="7" t="n">
        <f aca="false">IF(AND(R3339=1,O3339&gt;Q3339),1,0)</f>
        <v>0</v>
      </c>
      <c r="W3339" s="7" t="n">
        <f aca="false">IF(AND(T3339=1,P3339&lt;&gt;"",P3339&lt;=Q3339),1,0)</f>
        <v>0</v>
      </c>
    </row>
    <row r="3340" customFormat="false" ht="15" hidden="false" customHeight="false" outlineLevel="0" collapsed="false">
      <c r="A3340" s="7" t="s">
        <v>3927</v>
      </c>
      <c r="B3340" s="7" t="s">
        <v>46</v>
      </c>
      <c r="C3340" s="7" t="s">
        <v>128</v>
      </c>
      <c r="D3340" s="7" t="s">
        <v>152</v>
      </c>
      <c r="E3340" s="7" t="s">
        <v>153</v>
      </c>
      <c r="F3340" s="7" t="s">
        <v>50</v>
      </c>
      <c r="G3340" s="7" t="s">
        <v>20</v>
      </c>
      <c r="H3340" s="9" t="n">
        <v>45993</v>
      </c>
      <c r="I3340" s="9" t="n">
        <v>46024</v>
      </c>
      <c r="J3340" s="7" t="n">
        <v>7.5</v>
      </c>
      <c r="K3340" s="7" t="s">
        <v>3856</v>
      </c>
      <c r="L3340" s="7" t="s">
        <v>19</v>
      </c>
      <c r="M3340" s="7" t="s">
        <v>3931</v>
      </c>
      <c r="N3340" s="7" t="s">
        <v>53</v>
      </c>
      <c r="O3340" s="10" t="n">
        <f aca="false">'Exec Summary'!$E$2-H3340</f>
        <v>241</v>
      </c>
      <c r="P3340" s="10" t="n">
        <f aca="false">IF(I3340="","",I3340-H3340)</f>
        <v>31</v>
      </c>
      <c r="Q3340" s="10" t="n">
        <f aca="false">VLOOKUP(G3340,$AA$2:$AB$5,2,FALSE())</f>
        <v>30</v>
      </c>
      <c r="R3340" s="7" t="n">
        <f aca="false">IF(OR(F3340="Open",F3340="Reopened"),1,0)</f>
        <v>0</v>
      </c>
      <c r="S3340" s="7" t="n">
        <f aca="false">IF(AND(H3340&gt;='Exec Summary'!$E$1,H3340&lt;='Exec Summary'!$E$2),1,0)</f>
        <v>0</v>
      </c>
      <c r="T3340" s="7" t="n">
        <f aca="false">IF(AND(F3340="Closed",I3340&lt;&gt;"",I3340&gt;='Exec Summary'!$E$1,I3340&lt;='Exec Summary'!$E$2),1,0)</f>
        <v>0</v>
      </c>
      <c r="U3340" s="7" t="n">
        <f aca="false">IF(F3340="Reopened",1,0)</f>
        <v>0</v>
      </c>
      <c r="V3340" s="7" t="n">
        <f aca="false">IF(AND(R3340=1,O3340&gt;Q3340),1,0)</f>
        <v>0</v>
      </c>
      <c r="W3340" s="7" t="n">
        <f aca="false">IF(AND(T3340=1,P3340&lt;&gt;"",P3340&lt;=Q3340),1,0)</f>
        <v>0</v>
      </c>
    </row>
    <row r="3341" customFormat="false" ht="15" hidden="false" customHeight="false" outlineLevel="0" collapsed="false">
      <c r="A3341" s="7" t="s">
        <v>3927</v>
      </c>
      <c r="B3341" s="7" t="s">
        <v>46</v>
      </c>
      <c r="C3341" s="7" t="s">
        <v>128</v>
      </c>
      <c r="D3341" s="7" t="s">
        <v>74</v>
      </c>
      <c r="E3341" s="7" t="s">
        <v>75</v>
      </c>
      <c r="F3341" s="7" t="s">
        <v>56</v>
      </c>
      <c r="G3341" s="7" t="s">
        <v>21</v>
      </c>
      <c r="H3341" s="9" t="n">
        <v>45956</v>
      </c>
      <c r="I3341" s="9"/>
      <c r="J3341" s="7" t="n">
        <v>6.5</v>
      </c>
      <c r="K3341" s="7" t="s">
        <v>3856</v>
      </c>
      <c r="L3341" s="7" t="s">
        <v>19</v>
      </c>
      <c r="M3341" s="7" t="s">
        <v>3932</v>
      </c>
      <c r="N3341" s="7" t="s">
        <v>77</v>
      </c>
      <c r="O3341" s="10" t="n">
        <f aca="false">'Exec Summary'!$E$2-H3341</f>
        <v>278</v>
      </c>
      <c r="P3341" s="10" t="str">
        <f aca="false">IF(I3341="","",I3341-H3341)</f>
        <v/>
      </c>
      <c r="Q3341" s="10" t="n">
        <f aca="false">VLOOKUP(G3341,$AA$2:$AB$5,2,FALSE())</f>
        <v>90</v>
      </c>
      <c r="R3341" s="7" t="n">
        <f aca="false">IF(OR(F3341="Open",F3341="Reopened"),1,0)</f>
        <v>1</v>
      </c>
      <c r="S3341" s="7" t="n">
        <f aca="false">IF(AND(H3341&gt;='Exec Summary'!$E$1,H3341&lt;='Exec Summary'!$E$2),1,0)</f>
        <v>0</v>
      </c>
      <c r="T3341" s="7" t="n">
        <f aca="false">IF(AND(F3341="Closed",I3341&lt;&gt;"",I3341&gt;='Exec Summary'!$E$1,I3341&lt;='Exec Summary'!$E$2),1,0)</f>
        <v>0</v>
      </c>
      <c r="U3341" s="7" t="n">
        <f aca="false">IF(F3341="Reopened",1,0)</f>
        <v>0</v>
      </c>
      <c r="V3341" s="7" t="n">
        <f aca="false">IF(AND(R3341=1,O3341&gt;Q3341),1,0)</f>
        <v>1</v>
      </c>
      <c r="W3341" s="7" t="n">
        <f aca="false">IF(AND(T3341=1,P3341&lt;&gt;"",P3341&lt;=Q3341),1,0)</f>
        <v>0</v>
      </c>
    </row>
    <row r="3342" customFormat="false" ht="15" hidden="false" customHeight="false" outlineLevel="0" collapsed="false">
      <c r="A3342" s="7" t="s">
        <v>3927</v>
      </c>
      <c r="B3342" s="7" t="s">
        <v>46</v>
      </c>
      <c r="C3342" s="7" t="s">
        <v>128</v>
      </c>
      <c r="D3342" s="7" t="s">
        <v>166</v>
      </c>
      <c r="E3342" s="7" t="s">
        <v>167</v>
      </c>
      <c r="F3342" s="7" t="s">
        <v>56</v>
      </c>
      <c r="G3342" s="7" t="s">
        <v>19</v>
      </c>
      <c r="H3342" s="9" t="n">
        <v>46200</v>
      </c>
      <c r="I3342" s="9"/>
      <c r="J3342" s="7" t="n">
        <v>9.8</v>
      </c>
      <c r="K3342" s="7" t="s">
        <v>3856</v>
      </c>
      <c r="L3342" s="7" t="s">
        <v>19</v>
      </c>
      <c r="M3342" s="7" t="s">
        <v>3933</v>
      </c>
      <c r="N3342" s="7" t="s">
        <v>58</v>
      </c>
      <c r="O3342" s="10" t="n">
        <f aca="false">'Exec Summary'!$E$2-H3342</f>
        <v>34</v>
      </c>
      <c r="P3342" s="10" t="str">
        <f aca="false">IF(I3342="","",I3342-H3342)</f>
        <v/>
      </c>
      <c r="Q3342" s="10" t="n">
        <f aca="false">VLOOKUP(G3342,$AA$2:$AB$5,2,FALSE())</f>
        <v>15</v>
      </c>
      <c r="R3342" s="7" t="n">
        <f aca="false">IF(OR(F3342="Open",F3342="Reopened"),1,0)</f>
        <v>1</v>
      </c>
      <c r="S3342" s="7" t="n">
        <f aca="false">IF(AND(H3342&gt;='Exec Summary'!$E$1,H3342&lt;='Exec Summary'!$E$2),1,0)</f>
        <v>0</v>
      </c>
      <c r="T3342" s="7" t="n">
        <f aca="false">IF(AND(F3342="Closed",I3342&lt;&gt;"",I3342&gt;='Exec Summary'!$E$1,I3342&lt;='Exec Summary'!$E$2),1,0)</f>
        <v>0</v>
      </c>
      <c r="U3342" s="7" t="n">
        <f aca="false">IF(F3342="Reopened",1,0)</f>
        <v>0</v>
      </c>
      <c r="V3342" s="7" t="n">
        <f aca="false">IF(AND(R3342=1,O3342&gt;Q3342),1,0)</f>
        <v>1</v>
      </c>
      <c r="W3342" s="7" t="n">
        <f aca="false">IF(AND(T3342=1,P3342&lt;&gt;"",P3342&lt;=Q3342),1,0)</f>
        <v>0</v>
      </c>
    </row>
    <row r="3343" customFormat="false" ht="15" hidden="false" customHeight="false" outlineLevel="0" collapsed="false">
      <c r="A3343" s="7" t="s">
        <v>3934</v>
      </c>
      <c r="B3343" s="7" t="s">
        <v>46</v>
      </c>
      <c r="C3343" s="7" t="s">
        <v>158</v>
      </c>
      <c r="D3343" s="7" t="s">
        <v>131</v>
      </c>
      <c r="E3343" s="7" t="s">
        <v>132</v>
      </c>
      <c r="F3343" s="7" t="s">
        <v>56</v>
      </c>
      <c r="G3343" s="7" t="s">
        <v>19</v>
      </c>
      <c r="H3343" s="9" t="n">
        <v>46128</v>
      </c>
      <c r="I3343" s="9"/>
      <c r="J3343" s="7" t="n">
        <v>9.8</v>
      </c>
      <c r="K3343" s="7" t="s">
        <v>3856</v>
      </c>
      <c r="L3343" s="7" t="s">
        <v>21</v>
      </c>
      <c r="M3343" s="7" t="s">
        <v>3935</v>
      </c>
      <c r="N3343" s="7" t="s">
        <v>58</v>
      </c>
      <c r="O3343" s="10" t="n">
        <f aca="false">'Exec Summary'!$E$2-H3343</f>
        <v>106</v>
      </c>
      <c r="P3343" s="10" t="str">
        <f aca="false">IF(I3343="","",I3343-H3343)</f>
        <v/>
      </c>
      <c r="Q3343" s="10" t="n">
        <f aca="false">VLOOKUP(G3343,$AA$2:$AB$5,2,FALSE())</f>
        <v>15</v>
      </c>
      <c r="R3343" s="7" t="n">
        <f aca="false">IF(OR(F3343="Open",F3343="Reopened"),1,0)</f>
        <v>1</v>
      </c>
      <c r="S3343" s="7" t="n">
        <f aca="false">IF(AND(H3343&gt;='Exec Summary'!$E$1,H3343&lt;='Exec Summary'!$E$2),1,0)</f>
        <v>0</v>
      </c>
      <c r="T3343" s="7" t="n">
        <f aca="false">IF(AND(F3343="Closed",I3343&lt;&gt;"",I3343&gt;='Exec Summary'!$E$1,I3343&lt;='Exec Summary'!$E$2),1,0)</f>
        <v>0</v>
      </c>
      <c r="U3343" s="7" t="n">
        <f aca="false">IF(F3343="Reopened",1,0)</f>
        <v>0</v>
      </c>
      <c r="V3343" s="7" t="n">
        <f aca="false">IF(AND(R3343=1,O3343&gt;Q3343),1,0)</f>
        <v>1</v>
      </c>
      <c r="W3343" s="7" t="n">
        <f aca="false">IF(AND(T3343=1,P3343&lt;&gt;"",P3343&lt;=Q3343),1,0)</f>
        <v>0</v>
      </c>
    </row>
    <row r="3344" customFormat="false" ht="15" hidden="false" customHeight="false" outlineLevel="0" collapsed="false">
      <c r="A3344" s="7" t="s">
        <v>3934</v>
      </c>
      <c r="B3344" s="7" t="s">
        <v>46</v>
      </c>
      <c r="C3344" s="7" t="s">
        <v>158</v>
      </c>
      <c r="D3344" s="7" t="s">
        <v>206</v>
      </c>
      <c r="E3344" s="7" t="s">
        <v>207</v>
      </c>
      <c r="F3344" s="7" t="s">
        <v>50</v>
      </c>
      <c r="G3344" s="7" t="s">
        <v>20</v>
      </c>
      <c r="H3344" s="9" t="n">
        <v>46088</v>
      </c>
      <c r="I3344" s="9" t="n">
        <v>46116</v>
      </c>
      <c r="J3344" s="7" t="n">
        <v>8.8</v>
      </c>
      <c r="K3344" s="7" t="s">
        <v>3856</v>
      </c>
      <c r="L3344" s="7" t="s">
        <v>21</v>
      </c>
      <c r="M3344" s="7" t="s">
        <v>3936</v>
      </c>
      <c r="N3344" s="7" t="s">
        <v>53</v>
      </c>
      <c r="O3344" s="10" t="n">
        <f aca="false">'Exec Summary'!$E$2-H3344</f>
        <v>146</v>
      </c>
      <c r="P3344" s="10" t="n">
        <f aca="false">IF(I3344="","",I3344-H3344)</f>
        <v>28</v>
      </c>
      <c r="Q3344" s="10" t="n">
        <f aca="false">VLOOKUP(G3344,$AA$2:$AB$5,2,FALSE())</f>
        <v>30</v>
      </c>
      <c r="R3344" s="7" t="n">
        <f aca="false">IF(OR(F3344="Open",F3344="Reopened"),1,0)</f>
        <v>0</v>
      </c>
      <c r="S3344" s="7" t="n">
        <f aca="false">IF(AND(H3344&gt;='Exec Summary'!$E$1,H3344&lt;='Exec Summary'!$E$2),1,0)</f>
        <v>0</v>
      </c>
      <c r="T3344" s="7" t="n">
        <f aca="false">IF(AND(F3344="Closed",I3344&lt;&gt;"",I3344&gt;='Exec Summary'!$E$1,I3344&lt;='Exec Summary'!$E$2),1,0)</f>
        <v>0</v>
      </c>
      <c r="U3344" s="7" t="n">
        <f aca="false">IF(F3344="Reopened",1,0)</f>
        <v>0</v>
      </c>
      <c r="V3344" s="7" t="n">
        <f aca="false">IF(AND(R3344=1,O3344&gt;Q3344),1,0)</f>
        <v>0</v>
      </c>
      <c r="W3344" s="7" t="n">
        <f aca="false">IF(AND(T3344=1,P3344&lt;&gt;"",P3344&lt;=Q3344),1,0)</f>
        <v>0</v>
      </c>
    </row>
    <row r="3345" customFormat="false" ht="15" hidden="false" customHeight="false" outlineLevel="0" collapsed="false">
      <c r="A3345" s="7" t="s">
        <v>3934</v>
      </c>
      <c r="B3345" s="7" t="s">
        <v>46</v>
      </c>
      <c r="C3345" s="7" t="s">
        <v>158</v>
      </c>
      <c r="D3345" s="7" t="s">
        <v>87</v>
      </c>
      <c r="E3345" s="7" t="s">
        <v>88</v>
      </c>
      <c r="F3345" s="7" t="s">
        <v>50</v>
      </c>
      <c r="G3345" s="7" t="s">
        <v>19</v>
      </c>
      <c r="H3345" s="9" t="n">
        <v>46172</v>
      </c>
      <c r="I3345" s="9" t="n">
        <v>46178</v>
      </c>
      <c r="J3345" s="7" t="n">
        <v>10</v>
      </c>
      <c r="K3345" s="7" t="s">
        <v>3856</v>
      </c>
      <c r="L3345" s="7" t="s">
        <v>21</v>
      </c>
      <c r="M3345" s="7" t="s">
        <v>3937</v>
      </c>
      <c r="N3345" s="7" t="s">
        <v>58</v>
      </c>
      <c r="O3345" s="10" t="n">
        <f aca="false">'Exec Summary'!$E$2-H3345</f>
        <v>62</v>
      </c>
      <c r="P3345" s="10" t="n">
        <f aca="false">IF(I3345="","",I3345-H3345)</f>
        <v>6</v>
      </c>
      <c r="Q3345" s="10" t="n">
        <f aca="false">VLOOKUP(G3345,$AA$2:$AB$5,2,FALSE())</f>
        <v>15</v>
      </c>
      <c r="R3345" s="7" t="n">
        <f aca="false">IF(OR(F3345="Open",F3345="Reopened"),1,0)</f>
        <v>0</v>
      </c>
      <c r="S3345" s="7" t="n">
        <f aca="false">IF(AND(H3345&gt;='Exec Summary'!$E$1,H3345&lt;='Exec Summary'!$E$2),1,0)</f>
        <v>0</v>
      </c>
      <c r="T3345" s="7" t="n">
        <f aca="false">IF(AND(F3345="Closed",I3345&lt;&gt;"",I3345&gt;='Exec Summary'!$E$1,I3345&lt;='Exec Summary'!$E$2),1,0)</f>
        <v>0</v>
      </c>
      <c r="U3345" s="7" t="n">
        <f aca="false">IF(F3345="Reopened",1,0)</f>
        <v>0</v>
      </c>
      <c r="V3345" s="7" t="n">
        <f aca="false">IF(AND(R3345=1,O3345&gt;Q3345),1,0)</f>
        <v>0</v>
      </c>
      <c r="W3345" s="7" t="n">
        <f aca="false">IF(AND(T3345=1,P3345&lt;&gt;"",P3345&lt;=Q3345),1,0)</f>
        <v>0</v>
      </c>
    </row>
    <row r="3346" customFormat="false" ht="15" hidden="false" customHeight="false" outlineLevel="0" collapsed="false">
      <c r="A3346" s="7" t="s">
        <v>3934</v>
      </c>
      <c r="B3346" s="7" t="s">
        <v>46</v>
      </c>
      <c r="C3346" s="7" t="s">
        <v>158</v>
      </c>
      <c r="D3346" s="7" t="s">
        <v>108</v>
      </c>
      <c r="E3346" s="7" t="s">
        <v>109</v>
      </c>
      <c r="F3346" s="7" t="s">
        <v>56</v>
      </c>
      <c r="G3346" s="7" t="s">
        <v>20</v>
      </c>
      <c r="H3346" s="9" t="n">
        <v>46176</v>
      </c>
      <c r="I3346" s="9"/>
      <c r="J3346" s="7" t="n">
        <v>8.6</v>
      </c>
      <c r="K3346" s="7" t="s">
        <v>3856</v>
      </c>
      <c r="L3346" s="7" t="s">
        <v>21</v>
      </c>
      <c r="M3346" s="7" t="s">
        <v>3938</v>
      </c>
      <c r="N3346" s="7" t="s">
        <v>53</v>
      </c>
      <c r="O3346" s="10" t="n">
        <f aca="false">'Exec Summary'!$E$2-H3346</f>
        <v>58</v>
      </c>
      <c r="P3346" s="10" t="str">
        <f aca="false">IF(I3346="","",I3346-H3346)</f>
        <v/>
      </c>
      <c r="Q3346" s="10" t="n">
        <f aca="false">VLOOKUP(G3346,$AA$2:$AB$5,2,FALSE())</f>
        <v>30</v>
      </c>
      <c r="R3346" s="7" t="n">
        <f aca="false">IF(OR(F3346="Open",F3346="Reopened"),1,0)</f>
        <v>1</v>
      </c>
      <c r="S3346" s="7" t="n">
        <f aca="false">IF(AND(H3346&gt;='Exec Summary'!$E$1,H3346&lt;='Exec Summary'!$E$2),1,0)</f>
        <v>0</v>
      </c>
      <c r="T3346" s="7" t="n">
        <f aca="false">IF(AND(F3346="Closed",I3346&lt;&gt;"",I3346&gt;='Exec Summary'!$E$1,I3346&lt;='Exec Summary'!$E$2),1,0)</f>
        <v>0</v>
      </c>
      <c r="U3346" s="7" t="n">
        <f aca="false">IF(F3346="Reopened",1,0)</f>
        <v>0</v>
      </c>
      <c r="V3346" s="7" t="n">
        <f aca="false">IF(AND(R3346=1,O3346&gt;Q3346),1,0)</f>
        <v>1</v>
      </c>
      <c r="W3346" s="7" t="n">
        <f aca="false">IF(AND(T3346=1,P3346&lt;&gt;"",P3346&lt;=Q3346),1,0)</f>
        <v>0</v>
      </c>
    </row>
    <row r="3347" customFormat="false" ht="15" hidden="false" customHeight="false" outlineLevel="0" collapsed="false">
      <c r="A3347" s="7" t="s">
        <v>3934</v>
      </c>
      <c r="B3347" s="7" t="s">
        <v>46</v>
      </c>
      <c r="C3347" s="7" t="s">
        <v>158</v>
      </c>
      <c r="D3347" s="7" t="s">
        <v>81</v>
      </c>
      <c r="E3347" s="7" t="s">
        <v>82</v>
      </c>
      <c r="F3347" s="7" t="s">
        <v>123</v>
      </c>
      <c r="G3347" s="7" t="s">
        <v>20</v>
      </c>
      <c r="H3347" s="9" t="n">
        <v>45977</v>
      </c>
      <c r="I3347" s="9" t="n">
        <v>45989</v>
      </c>
      <c r="J3347" s="7" t="n">
        <v>7.8</v>
      </c>
      <c r="K3347" s="7" t="s">
        <v>3856</v>
      </c>
      <c r="L3347" s="7" t="s">
        <v>21</v>
      </c>
      <c r="M3347" s="7" t="s">
        <v>3939</v>
      </c>
      <c r="N3347" s="7" t="s">
        <v>53</v>
      </c>
      <c r="O3347" s="10" t="n">
        <f aca="false">'Exec Summary'!$E$2-H3347</f>
        <v>257</v>
      </c>
      <c r="P3347" s="10" t="n">
        <f aca="false">IF(I3347="","",I3347-H3347)</f>
        <v>12</v>
      </c>
      <c r="Q3347" s="10" t="n">
        <f aca="false">VLOOKUP(G3347,$AA$2:$AB$5,2,FALSE())</f>
        <v>30</v>
      </c>
      <c r="R3347" s="7" t="n">
        <f aca="false">IF(OR(F3347="Open",F3347="Reopened"),1,0)</f>
        <v>1</v>
      </c>
      <c r="S3347" s="7" t="n">
        <f aca="false">IF(AND(H3347&gt;='Exec Summary'!$E$1,H3347&lt;='Exec Summary'!$E$2),1,0)</f>
        <v>0</v>
      </c>
      <c r="T3347" s="7" t="n">
        <f aca="false">IF(AND(F3347="Closed",I3347&lt;&gt;"",I3347&gt;='Exec Summary'!$E$1,I3347&lt;='Exec Summary'!$E$2),1,0)</f>
        <v>0</v>
      </c>
      <c r="U3347" s="7" t="n">
        <f aca="false">IF(F3347="Reopened",1,0)</f>
        <v>1</v>
      </c>
      <c r="V3347" s="7" t="n">
        <f aca="false">IF(AND(R3347=1,O3347&gt;Q3347),1,0)</f>
        <v>1</v>
      </c>
      <c r="W3347" s="7" t="n">
        <f aca="false">IF(AND(T3347=1,P3347&lt;&gt;"",P3347&lt;=Q3347),1,0)</f>
        <v>0</v>
      </c>
    </row>
    <row r="3348" customFormat="false" ht="15" hidden="false" customHeight="false" outlineLevel="0" collapsed="false">
      <c r="A3348" s="7" t="s">
        <v>3934</v>
      </c>
      <c r="B3348" s="7" t="s">
        <v>46</v>
      </c>
      <c r="C3348" s="7" t="s">
        <v>158</v>
      </c>
      <c r="D3348" s="7" t="s">
        <v>117</v>
      </c>
      <c r="E3348" s="7" t="s">
        <v>118</v>
      </c>
      <c r="F3348" s="7" t="s">
        <v>50</v>
      </c>
      <c r="G3348" s="7" t="s">
        <v>19</v>
      </c>
      <c r="H3348" s="9" t="n">
        <v>46092</v>
      </c>
      <c r="I3348" s="9" t="n">
        <v>46095</v>
      </c>
      <c r="J3348" s="7" t="n">
        <v>10</v>
      </c>
      <c r="K3348" s="7" t="s">
        <v>3856</v>
      </c>
      <c r="L3348" s="7" t="s">
        <v>21</v>
      </c>
      <c r="M3348" s="7" t="s">
        <v>3940</v>
      </c>
      <c r="N3348" s="7" t="s">
        <v>58</v>
      </c>
      <c r="O3348" s="10" t="n">
        <f aca="false">'Exec Summary'!$E$2-H3348</f>
        <v>142</v>
      </c>
      <c r="P3348" s="10" t="n">
        <f aca="false">IF(I3348="","",I3348-H3348)</f>
        <v>3</v>
      </c>
      <c r="Q3348" s="10" t="n">
        <f aca="false">VLOOKUP(G3348,$AA$2:$AB$5,2,FALSE())</f>
        <v>15</v>
      </c>
      <c r="R3348" s="7" t="n">
        <f aca="false">IF(OR(F3348="Open",F3348="Reopened"),1,0)</f>
        <v>0</v>
      </c>
      <c r="S3348" s="7" t="n">
        <f aca="false">IF(AND(H3348&gt;='Exec Summary'!$E$1,H3348&lt;='Exec Summary'!$E$2),1,0)</f>
        <v>0</v>
      </c>
      <c r="T3348" s="7" t="n">
        <f aca="false">IF(AND(F3348="Closed",I3348&lt;&gt;"",I3348&gt;='Exec Summary'!$E$1,I3348&lt;='Exec Summary'!$E$2),1,0)</f>
        <v>0</v>
      </c>
      <c r="U3348" s="7" t="n">
        <f aca="false">IF(F3348="Reopened",1,0)</f>
        <v>0</v>
      </c>
      <c r="V3348" s="7" t="n">
        <f aca="false">IF(AND(R3348=1,O3348&gt;Q3348),1,0)</f>
        <v>0</v>
      </c>
      <c r="W3348" s="7" t="n">
        <f aca="false">IF(AND(T3348=1,P3348&lt;&gt;"",P3348&lt;=Q3348),1,0)</f>
        <v>0</v>
      </c>
    </row>
    <row r="3349" customFormat="false" ht="15" hidden="false" customHeight="false" outlineLevel="0" collapsed="false">
      <c r="A3349" s="7" t="s">
        <v>3934</v>
      </c>
      <c r="B3349" s="7" t="s">
        <v>46</v>
      </c>
      <c r="C3349" s="7" t="s">
        <v>158</v>
      </c>
      <c r="D3349" s="7" t="s">
        <v>62</v>
      </c>
      <c r="E3349" s="7" t="s">
        <v>63</v>
      </c>
      <c r="F3349" s="7" t="s">
        <v>123</v>
      </c>
      <c r="G3349" s="7" t="s">
        <v>20</v>
      </c>
      <c r="H3349" s="9" t="n">
        <v>45957</v>
      </c>
      <c r="I3349" s="9" t="n">
        <v>45958</v>
      </c>
      <c r="J3349" s="7" t="n">
        <v>8.1</v>
      </c>
      <c r="K3349" s="7" t="s">
        <v>3856</v>
      </c>
      <c r="L3349" s="7" t="s">
        <v>21</v>
      </c>
      <c r="M3349" s="7" t="s">
        <v>3941</v>
      </c>
      <c r="N3349" s="7" t="s">
        <v>53</v>
      </c>
      <c r="O3349" s="10" t="n">
        <f aca="false">'Exec Summary'!$E$2-H3349</f>
        <v>277</v>
      </c>
      <c r="P3349" s="10" t="n">
        <f aca="false">IF(I3349="","",I3349-H3349)</f>
        <v>1</v>
      </c>
      <c r="Q3349" s="10" t="n">
        <f aca="false">VLOOKUP(G3349,$AA$2:$AB$5,2,FALSE())</f>
        <v>30</v>
      </c>
      <c r="R3349" s="7" t="n">
        <f aca="false">IF(OR(F3349="Open",F3349="Reopened"),1,0)</f>
        <v>1</v>
      </c>
      <c r="S3349" s="7" t="n">
        <f aca="false">IF(AND(H3349&gt;='Exec Summary'!$E$1,H3349&lt;='Exec Summary'!$E$2),1,0)</f>
        <v>0</v>
      </c>
      <c r="T3349" s="7" t="n">
        <f aca="false">IF(AND(F3349="Closed",I3349&lt;&gt;"",I3349&gt;='Exec Summary'!$E$1,I3349&lt;='Exec Summary'!$E$2),1,0)</f>
        <v>0</v>
      </c>
      <c r="U3349" s="7" t="n">
        <f aca="false">IF(F3349="Reopened",1,0)</f>
        <v>1</v>
      </c>
      <c r="V3349" s="7" t="n">
        <f aca="false">IF(AND(R3349=1,O3349&gt;Q3349),1,0)</f>
        <v>1</v>
      </c>
      <c r="W3349" s="7" t="n">
        <f aca="false">IF(AND(T3349=1,P3349&lt;&gt;"",P3349&lt;=Q3349),1,0)</f>
        <v>0</v>
      </c>
    </row>
    <row r="3350" customFormat="false" ht="15" hidden="false" customHeight="false" outlineLevel="0" collapsed="false">
      <c r="A3350" s="7" t="s">
        <v>3934</v>
      </c>
      <c r="B3350" s="7" t="s">
        <v>46</v>
      </c>
      <c r="C3350" s="7" t="s">
        <v>158</v>
      </c>
      <c r="D3350" s="7" t="s">
        <v>163</v>
      </c>
      <c r="E3350" s="7" t="s">
        <v>164</v>
      </c>
      <c r="F3350" s="7" t="s">
        <v>56</v>
      </c>
      <c r="G3350" s="7" t="s">
        <v>19</v>
      </c>
      <c r="H3350" s="9" t="n">
        <v>46033</v>
      </c>
      <c r="I3350" s="9"/>
      <c r="J3350" s="7" t="n">
        <v>9.1</v>
      </c>
      <c r="K3350" s="7" t="s">
        <v>3856</v>
      </c>
      <c r="L3350" s="7" t="s">
        <v>21</v>
      </c>
      <c r="M3350" s="7" t="s">
        <v>3942</v>
      </c>
      <c r="N3350" s="7" t="s">
        <v>58</v>
      </c>
      <c r="O3350" s="10" t="n">
        <f aca="false">'Exec Summary'!$E$2-H3350</f>
        <v>201</v>
      </c>
      <c r="P3350" s="10" t="str">
        <f aca="false">IF(I3350="","",I3350-H3350)</f>
        <v/>
      </c>
      <c r="Q3350" s="10" t="n">
        <f aca="false">VLOOKUP(G3350,$AA$2:$AB$5,2,FALSE())</f>
        <v>15</v>
      </c>
      <c r="R3350" s="7" t="n">
        <f aca="false">IF(OR(F3350="Open",F3350="Reopened"),1,0)</f>
        <v>1</v>
      </c>
      <c r="S3350" s="7" t="n">
        <f aca="false">IF(AND(H3350&gt;='Exec Summary'!$E$1,H3350&lt;='Exec Summary'!$E$2),1,0)</f>
        <v>0</v>
      </c>
      <c r="T3350" s="7" t="n">
        <f aca="false">IF(AND(F3350="Closed",I3350&lt;&gt;"",I3350&gt;='Exec Summary'!$E$1,I3350&lt;='Exec Summary'!$E$2),1,0)</f>
        <v>0</v>
      </c>
      <c r="U3350" s="7" t="n">
        <f aca="false">IF(F3350="Reopened",1,0)</f>
        <v>0</v>
      </c>
      <c r="V3350" s="7" t="n">
        <f aca="false">IF(AND(R3350=1,O3350&gt;Q3350),1,0)</f>
        <v>1</v>
      </c>
      <c r="W3350" s="7" t="n">
        <f aca="false">IF(AND(T3350=1,P3350&lt;&gt;"",P3350&lt;=Q3350),1,0)</f>
        <v>0</v>
      </c>
    </row>
    <row r="3351" customFormat="false" ht="15" hidden="false" customHeight="false" outlineLevel="0" collapsed="false">
      <c r="A3351" s="7" t="s">
        <v>3934</v>
      </c>
      <c r="B3351" s="7" t="s">
        <v>46</v>
      </c>
      <c r="C3351" s="7" t="s">
        <v>158</v>
      </c>
      <c r="D3351" s="7" t="s">
        <v>145</v>
      </c>
      <c r="E3351" s="7" t="s">
        <v>146</v>
      </c>
      <c r="F3351" s="7" t="s">
        <v>50</v>
      </c>
      <c r="G3351" s="7" t="s">
        <v>19</v>
      </c>
      <c r="H3351" s="9" t="n">
        <v>46187</v>
      </c>
      <c r="I3351" s="9" t="n">
        <v>46200</v>
      </c>
      <c r="J3351" s="7" t="n">
        <v>9.8</v>
      </c>
      <c r="K3351" s="7" t="s">
        <v>3856</v>
      </c>
      <c r="L3351" s="7" t="s">
        <v>21</v>
      </c>
      <c r="M3351" s="7" t="s">
        <v>3943</v>
      </c>
      <c r="N3351" s="7" t="s">
        <v>58</v>
      </c>
      <c r="O3351" s="10" t="n">
        <f aca="false">'Exec Summary'!$E$2-H3351</f>
        <v>47</v>
      </c>
      <c r="P3351" s="10" t="n">
        <f aca="false">IF(I3351="","",I3351-H3351)</f>
        <v>13</v>
      </c>
      <c r="Q3351" s="10" t="n">
        <f aca="false">VLOOKUP(G3351,$AA$2:$AB$5,2,FALSE())</f>
        <v>15</v>
      </c>
      <c r="R3351" s="7" t="n">
        <f aca="false">IF(OR(F3351="Open",F3351="Reopened"),1,0)</f>
        <v>0</v>
      </c>
      <c r="S3351" s="7" t="n">
        <f aca="false">IF(AND(H3351&gt;='Exec Summary'!$E$1,H3351&lt;='Exec Summary'!$E$2),1,0)</f>
        <v>0</v>
      </c>
      <c r="T3351" s="7" t="n">
        <f aca="false">IF(AND(F3351="Closed",I3351&lt;&gt;"",I3351&gt;='Exec Summary'!$E$1,I3351&lt;='Exec Summary'!$E$2),1,0)</f>
        <v>0</v>
      </c>
      <c r="U3351" s="7" t="n">
        <f aca="false">IF(F3351="Reopened",1,0)</f>
        <v>0</v>
      </c>
      <c r="V3351" s="7" t="n">
        <f aca="false">IF(AND(R3351=1,O3351&gt;Q3351),1,0)</f>
        <v>0</v>
      </c>
      <c r="W3351" s="7" t="n">
        <f aca="false">IF(AND(T3351=1,P3351&lt;&gt;"",P3351&lt;=Q3351),1,0)</f>
        <v>0</v>
      </c>
    </row>
    <row r="3352" customFormat="false" ht="15" hidden="false" customHeight="false" outlineLevel="0" collapsed="false">
      <c r="A3352" s="7" t="s">
        <v>3934</v>
      </c>
      <c r="B3352" s="7" t="s">
        <v>46</v>
      </c>
      <c r="C3352" s="7" t="s">
        <v>158</v>
      </c>
      <c r="D3352" s="7" t="s">
        <v>120</v>
      </c>
      <c r="E3352" s="7" t="s">
        <v>121</v>
      </c>
      <c r="F3352" s="7" t="s">
        <v>56</v>
      </c>
      <c r="G3352" s="7" t="s">
        <v>19</v>
      </c>
      <c r="H3352" s="9" t="n">
        <v>45988</v>
      </c>
      <c r="I3352" s="9"/>
      <c r="J3352" s="7" t="n">
        <v>8.8</v>
      </c>
      <c r="K3352" s="7" t="s">
        <v>3856</v>
      </c>
      <c r="L3352" s="7" t="s">
        <v>21</v>
      </c>
      <c r="M3352" s="7" t="s">
        <v>3944</v>
      </c>
      <c r="N3352" s="7" t="s">
        <v>58</v>
      </c>
      <c r="O3352" s="10" t="n">
        <f aca="false">'Exec Summary'!$E$2-H3352</f>
        <v>246</v>
      </c>
      <c r="P3352" s="10" t="str">
        <f aca="false">IF(I3352="","",I3352-H3352)</f>
        <v/>
      </c>
      <c r="Q3352" s="10" t="n">
        <f aca="false">VLOOKUP(G3352,$AA$2:$AB$5,2,FALSE())</f>
        <v>15</v>
      </c>
      <c r="R3352" s="7" t="n">
        <f aca="false">IF(OR(F3352="Open",F3352="Reopened"),1,0)</f>
        <v>1</v>
      </c>
      <c r="S3352" s="7" t="n">
        <f aca="false">IF(AND(H3352&gt;='Exec Summary'!$E$1,H3352&lt;='Exec Summary'!$E$2),1,0)</f>
        <v>0</v>
      </c>
      <c r="T3352" s="7" t="n">
        <f aca="false">IF(AND(F3352="Closed",I3352&lt;&gt;"",I3352&gt;='Exec Summary'!$E$1,I3352&lt;='Exec Summary'!$E$2),1,0)</f>
        <v>0</v>
      </c>
      <c r="U3352" s="7" t="n">
        <f aca="false">IF(F3352="Reopened",1,0)</f>
        <v>0</v>
      </c>
      <c r="V3352" s="7" t="n">
        <f aca="false">IF(AND(R3352=1,O3352&gt;Q3352),1,0)</f>
        <v>1</v>
      </c>
      <c r="W3352" s="7" t="n">
        <f aca="false">IF(AND(T3352=1,P3352&lt;&gt;"",P3352&lt;=Q3352),1,0)</f>
        <v>0</v>
      </c>
    </row>
    <row r="3353" customFormat="false" ht="15" hidden="false" customHeight="false" outlineLevel="0" collapsed="false">
      <c r="A3353" s="7" t="s">
        <v>3934</v>
      </c>
      <c r="B3353" s="7" t="s">
        <v>46</v>
      </c>
      <c r="C3353" s="7" t="s">
        <v>158</v>
      </c>
      <c r="D3353" s="7" t="s">
        <v>91</v>
      </c>
      <c r="E3353" s="7" t="s">
        <v>92</v>
      </c>
      <c r="F3353" s="7" t="s">
        <v>56</v>
      </c>
      <c r="G3353" s="7" t="s">
        <v>20</v>
      </c>
      <c r="H3353" s="9" t="n">
        <v>46024</v>
      </c>
      <c r="I3353" s="9"/>
      <c r="J3353" s="7" t="n">
        <v>8.1</v>
      </c>
      <c r="K3353" s="7" t="s">
        <v>3856</v>
      </c>
      <c r="L3353" s="7" t="s">
        <v>21</v>
      </c>
      <c r="M3353" s="7" t="s">
        <v>3945</v>
      </c>
      <c r="N3353" s="7" t="s">
        <v>53</v>
      </c>
      <c r="O3353" s="10" t="n">
        <f aca="false">'Exec Summary'!$E$2-H3353</f>
        <v>210</v>
      </c>
      <c r="P3353" s="10" t="str">
        <f aca="false">IF(I3353="","",I3353-H3353)</f>
        <v/>
      </c>
      <c r="Q3353" s="10" t="n">
        <f aca="false">VLOOKUP(G3353,$AA$2:$AB$5,2,FALSE())</f>
        <v>30</v>
      </c>
      <c r="R3353" s="7" t="n">
        <f aca="false">IF(OR(F3353="Open",F3353="Reopened"),1,0)</f>
        <v>1</v>
      </c>
      <c r="S3353" s="7" t="n">
        <f aca="false">IF(AND(H3353&gt;='Exec Summary'!$E$1,H3353&lt;='Exec Summary'!$E$2),1,0)</f>
        <v>0</v>
      </c>
      <c r="T3353" s="7" t="n">
        <f aca="false">IF(AND(F3353="Closed",I3353&lt;&gt;"",I3353&gt;='Exec Summary'!$E$1,I3353&lt;='Exec Summary'!$E$2),1,0)</f>
        <v>0</v>
      </c>
      <c r="U3353" s="7" t="n">
        <f aca="false">IF(F3353="Reopened",1,0)</f>
        <v>0</v>
      </c>
      <c r="V3353" s="7" t="n">
        <f aca="false">IF(AND(R3353=1,O3353&gt;Q3353),1,0)</f>
        <v>1</v>
      </c>
      <c r="W3353" s="7" t="n">
        <f aca="false">IF(AND(T3353=1,P3353&lt;&gt;"",P3353&lt;=Q3353),1,0)</f>
        <v>0</v>
      </c>
    </row>
    <row r="3354" customFormat="false" ht="15" hidden="false" customHeight="false" outlineLevel="0" collapsed="false">
      <c r="A3354" s="7" t="s">
        <v>3934</v>
      </c>
      <c r="B3354" s="7" t="s">
        <v>46</v>
      </c>
      <c r="C3354" s="7" t="s">
        <v>158</v>
      </c>
      <c r="D3354" s="7" t="s">
        <v>68</v>
      </c>
      <c r="E3354" s="7" t="s">
        <v>69</v>
      </c>
      <c r="F3354" s="7" t="s">
        <v>50</v>
      </c>
      <c r="G3354" s="7" t="s">
        <v>19</v>
      </c>
      <c r="H3354" s="9" t="n">
        <v>46171</v>
      </c>
      <c r="I3354" s="9" t="n">
        <v>46182</v>
      </c>
      <c r="J3354" s="7" t="n">
        <v>9.8</v>
      </c>
      <c r="K3354" s="7" t="s">
        <v>3856</v>
      </c>
      <c r="L3354" s="7" t="s">
        <v>21</v>
      </c>
      <c r="M3354" s="7" t="s">
        <v>3946</v>
      </c>
      <c r="N3354" s="7" t="s">
        <v>58</v>
      </c>
      <c r="O3354" s="10" t="n">
        <f aca="false">'Exec Summary'!$E$2-H3354</f>
        <v>63</v>
      </c>
      <c r="P3354" s="10" t="n">
        <f aca="false">IF(I3354="","",I3354-H3354)</f>
        <v>11</v>
      </c>
      <c r="Q3354" s="10" t="n">
        <f aca="false">VLOOKUP(G3354,$AA$2:$AB$5,2,FALSE())</f>
        <v>15</v>
      </c>
      <c r="R3354" s="7" t="n">
        <f aca="false">IF(OR(F3354="Open",F3354="Reopened"),1,0)</f>
        <v>0</v>
      </c>
      <c r="S3354" s="7" t="n">
        <f aca="false">IF(AND(H3354&gt;='Exec Summary'!$E$1,H3354&lt;='Exec Summary'!$E$2),1,0)</f>
        <v>0</v>
      </c>
      <c r="T3354" s="7" t="n">
        <f aca="false">IF(AND(F3354="Closed",I3354&lt;&gt;"",I3354&gt;='Exec Summary'!$E$1,I3354&lt;='Exec Summary'!$E$2),1,0)</f>
        <v>0</v>
      </c>
      <c r="U3354" s="7" t="n">
        <f aca="false">IF(F3354="Reopened",1,0)</f>
        <v>0</v>
      </c>
      <c r="V3354" s="7" t="n">
        <f aca="false">IF(AND(R3354=1,O3354&gt;Q3354),1,0)</f>
        <v>0</v>
      </c>
      <c r="W3354" s="7" t="n">
        <f aca="false">IF(AND(T3354=1,P3354&lt;&gt;"",P3354&lt;=Q3354),1,0)</f>
        <v>0</v>
      </c>
    </row>
    <row r="3355" customFormat="false" ht="15" hidden="false" customHeight="false" outlineLevel="0" collapsed="false">
      <c r="A3355" s="7" t="s">
        <v>3934</v>
      </c>
      <c r="B3355" s="7" t="s">
        <v>46</v>
      </c>
      <c r="C3355" s="7" t="s">
        <v>158</v>
      </c>
      <c r="D3355" s="7" t="s">
        <v>98</v>
      </c>
      <c r="E3355" s="7" t="s">
        <v>99</v>
      </c>
      <c r="F3355" s="7" t="s">
        <v>56</v>
      </c>
      <c r="G3355" s="7" t="s">
        <v>19</v>
      </c>
      <c r="H3355" s="9" t="n">
        <v>46205</v>
      </c>
      <c r="I3355" s="9"/>
      <c r="J3355" s="7" t="n">
        <v>10</v>
      </c>
      <c r="K3355" s="7" t="s">
        <v>3856</v>
      </c>
      <c r="L3355" s="7" t="s">
        <v>21</v>
      </c>
      <c r="M3355" s="7" t="s">
        <v>3947</v>
      </c>
      <c r="N3355" s="7" t="s">
        <v>58</v>
      </c>
      <c r="O3355" s="10" t="n">
        <f aca="false">'Exec Summary'!$E$2-H3355</f>
        <v>29</v>
      </c>
      <c r="P3355" s="10" t="str">
        <f aca="false">IF(I3355="","",I3355-H3355)</f>
        <v/>
      </c>
      <c r="Q3355" s="10" t="n">
        <f aca="false">VLOOKUP(G3355,$AA$2:$AB$5,2,FALSE())</f>
        <v>15</v>
      </c>
      <c r="R3355" s="7" t="n">
        <f aca="false">IF(OR(F3355="Open",F3355="Reopened"),1,0)</f>
        <v>1</v>
      </c>
      <c r="S3355" s="7" t="n">
        <f aca="false">IF(AND(H3355&gt;='Exec Summary'!$E$1,H3355&lt;='Exec Summary'!$E$2),1,0)</f>
        <v>1</v>
      </c>
      <c r="T3355" s="7" t="n">
        <f aca="false">IF(AND(F3355="Closed",I3355&lt;&gt;"",I3355&gt;='Exec Summary'!$E$1,I3355&lt;='Exec Summary'!$E$2),1,0)</f>
        <v>0</v>
      </c>
      <c r="U3355" s="7" t="n">
        <f aca="false">IF(F3355="Reopened",1,0)</f>
        <v>0</v>
      </c>
      <c r="V3355" s="7" t="n">
        <f aca="false">IF(AND(R3355=1,O3355&gt;Q3355),1,0)</f>
        <v>1</v>
      </c>
      <c r="W3355" s="7" t="n">
        <f aca="false">IF(AND(T3355=1,P3355&lt;&gt;"",P3355&lt;=Q3355),1,0)</f>
        <v>0</v>
      </c>
    </row>
    <row r="3356" customFormat="false" ht="15" hidden="false" customHeight="false" outlineLevel="0" collapsed="false">
      <c r="A3356" s="7" t="s">
        <v>3934</v>
      </c>
      <c r="B3356" s="7" t="s">
        <v>46</v>
      </c>
      <c r="C3356" s="7" t="s">
        <v>158</v>
      </c>
      <c r="D3356" s="7" t="s">
        <v>210</v>
      </c>
      <c r="E3356" s="7" t="s">
        <v>211</v>
      </c>
      <c r="F3356" s="7" t="s">
        <v>56</v>
      </c>
      <c r="G3356" s="7" t="s">
        <v>19</v>
      </c>
      <c r="H3356" s="9" t="n">
        <v>46160</v>
      </c>
      <c r="I3356" s="9"/>
      <c r="J3356" s="7" t="n">
        <v>9.8</v>
      </c>
      <c r="K3356" s="7" t="s">
        <v>3856</v>
      </c>
      <c r="L3356" s="7" t="s">
        <v>21</v>
      </c>
      <c r="M3356" s="7" t="s">
        <v>3948</v>
      </c>
      <c r="N3356" s="7" t="s">
        <v>58</v>
      </c>
      <c r="O3356" s="10" t="n">
        <f aca="false">'Exec Summary'!$E$2-H3356</f>
        <v>74</v>
      </c>
      <c r="P3356" s="10" t="str">
        <f aca="false">IF(I3356="","",I3356-H3356)</f>
        <v/>
      </c>
      <c r="Q3356" s="10" t="n">
        <f aca="false">VLOOKUP(G3356,$AA$2:$AB$5,2,FALSE())</f>
        <v>15</v>
      </c>
      <c r="R3356" s="7" t="n">
        <f aca="false">IF(OR(F3356="Open",F3356="Reopened"),1,0)</f>
        <v>1</v>
      </c>
      <c r="S3356" s="7" t="n">
        <f aca="false">IF(AND(H3356&gt;='Exec Summary'!$E$1,H3356&lt;='Exec Summary'!$E$2),1,0)</f>
        <v>0</v>
      </c>
      <c r="T3356" s="7" t="n">
        <f aca="false">IF(AND(F3356="Closed",I3356&lt;&gt;"",I3356&gt;='Exec Summary'!$E$1,I3356&lt;='Exec Summary'!$E$2),1,0)</f>
        <v>0</v>
      </c>
      <c r="U3356" s="7" t="n">
        <f aca="false">IF(F3356="Reopened",1,0)</f>
        <v>0</v>
      </c>
      <c r="V3356" s="7" t="n">
        <f aca="false">IF(AND(R3356=1,O3356&gt;Q3356),1,0)</f>
        <v>1</v>
      </c>
      <c r="W3356" s="7" t="n">
        <f aca="false">IF(AND(T3356=1,P3356&lt;&gt;"",P3356&lt;=Q3356),1,0)</f>
        <v>0</v>
      </c>
    </row>
    <row r="3357" customFormat="false" ht="15" hidden="false" customHeight="false" outlineLevel="0" collapsed="false">
      <c r="A3357" s="7" t="s">
        <v>3949</v>
      </c>
      <c r="B3357" s="7" t="s">
        <v>46</v>
      </c>
      <c r="C3357" s="7" t="s">
        <v>79</v>
      </c>
      <c r="D3357" s="7" t="s">
        <v>152</v>
      </c>
      <c r="E3357" s="7" t="s">
        <v>153</v>
      </c>
      <c r="F3357" s="7" t="s">
        <v>50</v>
      </c>
      <c r="G3357" s="7" t="s">
        <v>20</v>
      </c>
      <c r="H3357" s="9" t="n">
        <v>46200</v>
      </c>
      <c r="I3357" s="9" t="n">
        <v>46234</v>
      </c>
      <c r="J3357" s="7" t="n">
        <v>7.5</v>
      </c>
      <c r="K3357" s="7" t="s">
        <v>3856</v>
      </c>
      <c r="L3357" s="7" t="s">
        <v>19</v>
      </c>
      <c r="M3357" s="7" t="s">
        <v>3950</v>
      </c>
      <c r="N3357" s="7" t="s">
        <v>53</v>
      </c>
      <c r="O3357" s="10" t="n">
        <f aca="false">'Exec Summary'!$E$2-H3357</f>
        <v>34</v>
      </c>
      <c r="P3357" s="10" t="n">
        <f aca="false">IF(I3357="","",I3357-H3357)</f>
        <v>34</v>
      </c>
      <c r="Q3357" s="10" t="n">
        <f aca="false">VLOOKUP(G3357,$AA$2:$AB$5,2,FALSE())</f>
        <v>30</v>
      </c>
      <c r="R3357" s="7" t="n">
        <f aca="false">IF(OR(F3357="Open",F3357="Reopened"),1,0)</f>
        <v>0</v>
      </c>
      <c r="S3357" s="7" t="n">
        <f aca="false">IF(AND(H3357&gt;='Exec Summary'!$E$1,H3357&lt;='Exec Summary'!$E$2),1,0)</f>
        <v>0</v>
      </c>
      <c r="T3357" s="7" t="n">
        <f aca="false">IF(AND(F3357="Closed",I3357&lt;&gt;"",I3357&gt;='Exec Summary'!$E$1,I3357&lt;='Exec Summary'!$E$2),1,0)</f>
        <v>1</v>
      </c>
      <c r="U3357" s="7" t="n">
        <f aca="false">IF(F3357="Reopened",1,0)</f>
        <v>0</v>
      </c>
      <c r="V3357" s="7" t="n">
        <f aca="false">IF(AND(R3357=1,O3357&gt;Q3357),1,0)</f>
        <v>0</v>
      </c>
      <c r="W3357" s="7" t="n">
        <f aca="false">IF(AND(T3357=1,P3357&lt;&gt;"",P3357&lt;=Q3357),1,0)</f>
        <v>0</v>
      </c>
    </row>
    <row r="3358" customFormat="false" ht="15" hidden="false" customHeight="false" outlineLevel="0" collapsed="false">
      <c r="A3358" s="7" t="s">
        <v>3949</v>
      </c>
      <c r="B3358" s="7" t="s">
        <v>46</v>
      </c>
      <c r="C3358" s="7" t="s">
        <v>79</v>
      </c>
      <c r="D3358" s="7" t="s">
        <v>54</v>
      </c>
      <c r="E3358" s="7" t="s">
        <v>55</v>
      </c>
      <c r="F3358" s="7" t="s">
        <v>56</v>
      </c>
      <c r="G3358" s="7" t="s">
        <v>19</v>
      </c>
      <c r="H3358" s="9" t="n">
        <v>45973</v>
      </c>
      <c r="I3358" s="9"/>
      <c r="J3358" s="7" t="n">
        <v>9.8</v>
      </c>
      <c r="K3358" s="7" t="s">
        <v>3856</v>
      </c>
      <c r="L3358" s="7" t="s">
        <v>19</v>
      </c>
      <c r="M3358" s="7" t="s">
        <v>3951</v>
      </c>
      <c r="N3358" s="7" t="s">
        <v>58</v>
      </c>
      <c r="O3358" s="10" t="n">
        <f aca="false">'Exec Summary'!$E$2-H3358</f>
        <v>261</v>
      </c>
      <c r="P3358" s="10" t="str">
        <f aca="false">IF(I3358="","",I3358-H3358)</f>
        <v/>
      </c>
      <c r="Q3358" s="10" t="n">
        <f aca="false">VLOOKUP(G3358,$AA$2:$AB$5,2,FALSE())</f>
        <v>15</v>
      </c>
      <c r="R3358" s="7" t="n">
        <f aca="false">IF(OR(F3358="Open",F3358="Reopened"),1,0)</f>
        <v>1</v>
      </c>
      <c r="S3358" s="7" t="n">
        <f aca="false">IF(AND(H3358&gt;='Exec Summary'!$E$1,H3358&lt;='Exec Summary'!$E$2),1,0)</f>
        <v>0</v>
      </c>
      <c r="T3358" s="7" t="n">
        <f aca="false">IF(AND(F3358="Closed",I3358&lt;&gt;"",I3358&gt;='Exec Summary'!$E$1,I3358&lt;='Exec Summary'!$E$2),1,0)</f>
        <v>0</v>
      </c>
      <c r="U3358" s="7" t="n">
        <f aca="false">IF(F3358="Reopened",1,0)</f>
        <v>0</v>
      </c>
      <c r="V3358" s="7" t="n">
        <f aca="false">IF(AND(R3358=1,O3358&gt;Q3358),1,0)</f>
        <v>1</v>
      </c>
      <c r="W3358" s="7" t="n">
        <f aca="false">IF(AND(T3358=1,P3358&lt;&gt;"",P3358&lt;=Q3358),1,0)</f>
        <v>0</v>
      </c>
    </row>
    <row r="3359" customFormat="false" ht="15" hidden="false" customHeight="false" outlineLevel="0" collapsed="false">
      <c r="A3359" s="7" t="s">
        <v>3949</v>
      </c>
      <c r="B3359" s="7" t="s">
        <v>46</v>
      </c>
      <c r="C3359" s="7" t="s">
        <v>79</v>
      </c>
      <c r="D3359" s="7" t="s">
        <v>59</v>
      </c>
      <c r="E3359" s="7" t="s">
        <v>60</v>
      </c>
      <c r="F3359" s="7" t="s">
        <v>50</v>
      </c>
      <c r="G3359" s="7" t="s">
        <v>19</v>
      </c>
      <c r="H3359" s="9" t="n">
        <v>46073</v>
      </c>
      <c r="I3359" s="9" t="n">
        <v>46086</v>
      </c>
      <c r="J3359" s="7" t="n">
        <v>7.8</v>
      </c>
      <c r="K3359" s="7" t="s">
        <v>3856</v>
      </c>
      <c r="L3359" s="7" t="s">
        <v>19</v>
      </c>
      <c r="M3359" s="7" t="s">
        <v>3952</v>
      </c>
      <c r="N3359" s="7" t="s">
        <v>58</v>
      </c>
      <c r="O3359" s="10" t="n">
        <f aca="false">'Exec Summary'!$E$2-H3359</f>
        <v>161</v>
      </c>
      <c r="P3359" s="10" t="n">
        <f aca="false">IF(I3359="","",I3359-H3359)</f>
        <v>13</v>
      </c>
      <c r="Q3359" s="10" t="n">
        <f aca="false">VLOOKUP(G3359,$AA$2:$AB$5,2,FALSE())</f>
        <v>15</v>
      </c>
      <c r="R3359" s="7" t="n">
        <f aca="false">IF(OR(F3359="Open",F3359="Reopened"),1,0)</f>
        <v>0</v>
      </c>
      <c r="S3359" s="7" t="n">
        <f aca="false">IF(AND(H3359&gt;='Exec Summary'!$E$1,H3359&lt;='Exec Summary'!$E$2),1,0)</f>
        <v>0</v>
      </c>
      <c r="T3359" s="7" t="n">
        <f aca="false">IF(AND(F3359="Closed",I3359&lt;&gt;"",I3359&gt;='Exec Summary'!$E$1,I3359&lt;='Exec Summary'!$E$2),1,0)</f>
        <v>0</v>
      </c>
      <c r="U3359" s="7" t="n">
        <f aca="false">IF(F3359="Reopened",1,0)</f>
        <v>0</v>
      </c>
      <c r="V3359" s="7" t="n">
        <f aca="false">IF(AND(R3359=1,O3359&gt;Q3359),1,0)</f>
        <v>0</v>
      </c>
      <c r="W3359" s="7" t="n">
        <f aca="false">IF(AND(T3359=1,P3359&lt;&gt;"",P3359&lt;=Q3359),1,0)</f>
        <v>0</v>
      </c>
    </row>
    <row r="3360" customFormat="false" ht="15" hidden="false" customHeight="false" outlineLevel="0" collapsed="false">
      <c r="A3360" s="7" t="s">
        <v>3949</v>
      </c>
      <c r="B3360" s="7" t="s">
        <v>46</v>
      </c>
      <c r="C3360" s="7" t="s">
        <v>79</v>
      </c>
      <c r="D3360" s="7" t="s">
        <v>104</v>
      </c>
      <c r="E3360" s="7" t="s">
        <v>105</v>
      </c>
      <c r="F3360" s="7" t="s">
        <v>56</v>
      </c>
      <c r="G3360" s="7" t="s">
        <v>19</v>
      </c>
      <c r="H3360" s="9" t="n">
        <v>46012</v>
      </c>
      <c r="I3360" s="9"/>
      <c r="J3360" s="7" t="n">
        <v>9.8</v>
      </c>
      <c r="K3360" s="7" t="s">
        <v>3856</v>
      </c>
      <c r="L3360" s="7" t="s">
        <v>19</v>
      </c>
      <c r="M3360" s="7" t="s">
        <v>3953</v>
      </c>
      <c r="N3360" s="7" t="s">
        <v>58</v>
      </c>
      <c r="O3360" s="10" t="n">
        <f aca="false">'Exec Summary'!$E$2-H3360</f>
        <v>222</v>
      </c>
      <c r="P3360" s="10" t="str">
        <f aca="false">IF(I3360="","",I3360-H3360)</f>
        <v/>
      </c>
      <c r="Q3360" s="10" t="n">
        <f aca="false">VLOOKUP(G3360,$AA$2:$AB$5,2,FALSE())</f>
        <v>15</v>
      </c>
      <c r="R3360" s="7" t="n">
        <f aca="false">IF(OR(F3360="Open",F3360="Reopened"),1,0)</f>
        <v>1</v>
      </c>
      <c r="S3360" s="7" t="n">
        <f aca="false">IF(AND(H3360&gt;='Exec Summary'!$E$1,H3360&lt;='Exec Summary'!$E$2),1,0)</f>
        <v>0</v>
      </c>
      <c r="T3360" s="7" t="n">
        <f aca="false">IF(AND(F3360="Closed",I3360&lt;&gt;"",I3360&gt;='Exec Summary'!$E$1,I3360&lt;='Exec Summary'!$E$2),1,0)</f>
        <v>0</v>
      </c>
      <c r="U3360" s="7" t="n">
        <f aca="false">IF(F3360="Reopened",1,0)</f>
        <v>0</v>
      </c>
      <c r="V3360" s="7" t="n">
        <f aca="false">IF(AND(R3360=1,O3360&gt;Q3360),1,0)</f>
        <v>1</v>
      </c>
      <c r="W3360" s="7" t="n">
        <f aca="false">IF(AND(T3360=1,P3360&lt;&gt;"",P3360&lt;=Q3360),1,0)</f>
        <v>0</v>
      </c>
    </row>
    <row r="3361" customFormat="false" ht="15" hidden="false" customHeight="false" outlineLevel="0" collapsed="false">
      <c r="A3361" s="7" t="s">
        <v>3949</v>
      </c>
      <c r="B3361" s="7" t="s">
        <v>46</v>
      </c>
      <c r="C3361" s="7" t="s">
        <v>79</v>
      </c>
      <c r="D3361" s="7" t="s">
        <v>95</v>
      </c>
      <c r="E3361" s="7" t="s">
        <v>96</v>
      </c>
      <c r="F3361" s="7" t="s">
        <v>50</v>
      </c>
      <c r="G3361" s="7" t="s">
        <v>20</v>
      </c>
      <c r="H3361" s="9" t="n">
        <v>46146</v>
      </c>
      <c r="I3361" s="9" t="n">
        <v>46165</v>
      </c>
      <c r="J3361" s="7" t="n">
        <v>8.8</v>
      </c>
      <c r="K3361" s="7" t="s">
        <v>3856</v>
      </c>
      <c r="L3361" s="7" t="s">
        <v>19</v>
      </c>
      <c r="M3361" s="7" t="s">
        <v>3954</v>
      </c>
      <c r="N3361" s="7" t="s">
        <v>53</v>
      </c>
      <c r="O3361" s="10" t="n">
        <f aca="false">'Exec Summary'!$E$2-H3361</f>
        <v>88</v>
      </c>
      <c r="P3361" s="10" t="n">
        <f aca="false">IF(I3361="","",I3361-H3361)</f>
        <v>19</v>
      </c>
      <c r="Q3361" s="10" t="n">
        <f aca="false">VLOOKUP(G3361,$AA$2:$AB$5,2,FALSE())</f>
        <v>30</v>
      </c>
      <c r="R3361" s="7" t="n">
        <f aca="false">IF(OR(F3361="Open",F3361="Reopened"),1,0)</f>
        <v>0</v>
      </c>
      <c r="S3361" s="7" t="n">
        <f aca="false">IF(AND(H3361&gt;='Exec Summary'!$E$1,H3361&lt;='Exec Summary'!$E$2),1,0)</f>
        <v>0</v>
      </c>
      <c r="T3361" s="7" t="n">
        <f aca="false">IF(AND(F3361="Closed",I3361&lt;&gt;"",I3361&gt;='Exec Summary'!$E$1,I3361&lt;='Exec Summary'!$E$2),1,0)</f>
        <v>0</v>
      </c>
      <c r="U3361" s="7" t="n">
        <f aca="false">IF(F3361="Reopened",1,0)</f>
        <v>0</v>
      </c>
      <c r="V3361" s="7" t="n">
        <f aca="false">IF(AND(R3361=1,O3361&gt;Q3361),1,0)</f>
        <v>0</v>
      </c>
      <c r="W3361" s="7" t="n">
        <f aca="false">IF(AND(T3361=1,P3361&lt;&gt;"",P3361&lt;=Q3361),1,0)</f>
        <v>0</v>
      </c>
    </row>
    <row r="3362" customFormat="false" ht="15" hidden="false" customHeight="false" outlineLevel="0" collapsed="false">
      <c r="A3362" s="7" t="s">
        <v>3955</v>
      </c>
      <c r="B3362" s="7" t="s">
        <v>46</v>
      </c>
      <c r="C3362" s="7" t="s">
        <v>177</v>
      </c>
      <c r="D3362" s="7" t="s">
        <v>71</v>
      </c>
      <c r="E3362" s="7" t="s">
        <v>72</v>
      </c>
      <c r="F3362" s="7" t="s">
        <v>50</v>
      </c>
      <c r="G3362" s="7" t="s">
        <v>19</v>
      </c>
      <c r="H3362" s="9" t="n">
        <v>46046</v>
      </c>
      <c r="I3362" s="9" t="n">
        <v>46050</v>
      </c>
      <c r="J3362" s="7" t="n">
        <v>9.8</v>
      </c>
      <c r="K3362" s="7" t="s">
        <v>3856</v>
      </c>
      <c r="L3362" s="7" t="s">
        <v>19</v>
      </c>
      <c r="M3362" s="7" t="s">
        <v>3956</v>
      </c>
      <c r="N3362" s="7" t="s">
        <v>58</v>
      </c>
      <c r="O3362" s="10" t="n">
        <f aca="false">'Exec Summary'!$E$2-H3362</f>
        <v>188</v>
      </c>
      <c r="P3362" s="10" t="n">
        <f aca="false">IF(I3362="","",I3362-H3362)</f>
        <v>4</v>
      </c>
      <c r="Q3362" s="10" t="n">
        <f aca="false">VLOOKUP(G3362,$AA$2:$AB$5,2,FALSE())</f>
        <v>15</v>
      </c>
      <c r="R3362" s="7" t="n">
        <f aca="false">IF(OR(F3362="Open",F3362="Reopened"),1,0)</f>
        <v>0</v>
      </c>
      <c r="S3362" s="7" t="n">
        <f aca="false">IF(AND(H3362&gt;='Exec Summary'!$E$1,H3362&lt;='Exec Summary'!$E$2),1,0)</f>
        <v>0</v>
      </c>
      <c r="T3362" s="7" t="n">
        <f aca="false">IF(AND(F3362="Closed",I3362&lt;&gt;"",I3362&gt;='Exec Summary'!$E$1,I3362&lt;='Exec Summary'!$E$2),1,0)</f>
        <v>0</v>
      </c>
      <c r="U3362" s="7" t="n">
        <f aca="false">IF(F3362="Reopened",1,0)</f>
        <v>0</v>
      </c>
      <c r="V3362" s="7" t="n">
        <f aca="false">IF(AND(R3362=1,O3362&gt;Q3362),1,0)</f>
        <v>0</v>
      </c>
      <c r="W3362" s="7" t="n">
        <f aca="false">IF(AND(T3362=1,P3362&lt;&gt;"",P3362&lt;=Q3362),1,0)</f>
        <v>0</v>
      </c>
    </row>
    <row r="3363" customFormat="false" ht="15" hidden="false" customHeight="false" outlineLevel="0" collapsed="false">
      <c r="A3363" s="7" t="s">
        <v>3955</v>
      </c>
      <c r="B3363" s="7" t="s">
        <v>46</v>
      </c>
      <c r="C3363" s="7" t="s">
        <v>177</v>
      </c>
      <c r="D3363" s="7" t="s">
        <v>145</v>
      </c>
      <c r="E3363" s="7" t="s">
        <v>146</v>
      </c>
      <c r="F3363" s="7" t="s">
        <v>56</v>
      </c>
      <c r="G3363" s="7" t="s">
        <v>19</v>
      </c>
      <c r="H3363" s="9" t="n">
        <v>46018</v>
      </c>
      <c r="I3363" s="9"/>
      <c r="J3363" s="7" t="n">
        <v>9.8</v>
      </c>
      <c r="K3363" s="7" t="s">
        <v>3856</v>
      </c>
      <c r="L3363" s="7" t="s">
        <v>19</v>
      </c>
      <c r="M3363" s="7" t="s">
        <v>3957</v>
      </c>
      <c r="N3363" s="7" t="s">
        <v>58</v>
      </c>
      <c r="O3363" s="10" t="n">
        <f aca="false">'Exec Summary'!$E$2-H3363</f>
        <v>216</v>
      </c>
      <c r="P3363" s="10" t="str">
        <f aca="false">IF(I3363="","",I3363-H3363)</f>
        <v/>
      </c>
      <c r="Q3363" s="10" t="n">
        <f aca="false">VLOOKUP(G3363,$AA$2:$AB$5,2,FALSE())</f>
        <v>15</v>
      </c>
      <c r="R3363" s="7" t="n">
        <f aca="false">IF(OR(F3363="Open",F3363="Reopened"),1,0)</f>
        <v>1</v>
      </c>
      <c r="S3363" s="7" t="n">
        <f aca="false">IF(AND(H3363&gt;='Exec Summary'!$E$1,H3363&lt;='Exec Summary'!$E$2),1,0)</f>
        <v>0</v>
      </c>
      <c r="T3363" s="7" t="n">
        <f aca="false">IF(AND(F3363="Closed",I3363&lt;&gt;"",I3363&gt;='Exec Summary'!$E$1,I3363&lt;='Exec Summary'!$E$2),1,0)</f>
        <v>0</v>
      </c>
      <c r="U3363" s="7" t="n">
        <f aca="false">IF(F3363="Reopened",1,0)</f>
        <v>0</v>
      </c>
      <c r="V3363" s="7" t="n">
        <f aca="false">IF(AND(R3363=1,O3363&gt;Q3363),1,0)</f>
        <v>1</v>
      </c>
      <c r="W3363" s="7" t="n">
        <f aca="false">IF(AND(T3363=1,P3363&lt;&gt;"",P3363&lt;=Q3363),1,0)</f>
        <v>0</v>
      </c>
    </row>
    <row r="3364" customFormat="false" ht="15" hidden="false" customHeight="false" outlineLevel="0" collapsed="false">
      <c r="A3364" s="7" t="s">
        <v>3955</v>
      </c>
      <c r="B3364" s="7" t="s">
        <v>46</v>
      </c>
      <c r="C3364" s="7" t="s">
        <v>177</v>
      </c>
      <c r="D3364" s="7" t="s">
        <v>139</v>
      </c>
      <c r="E3364" s="7" t="s">
        <v>140</v>
      </c>
      <c r="F3364" s="7" t="s">
        <v>50</v>
      </c>
      <c r="G3364" s="7" t="s">
        <v>19</v>
      </c>
      <c r="H3364" s="9" t="n">
        <v>46207</v>
      </c>
      <c r="I3364" s="9" t="n">
        <v>46218</v>
      </c>
      <c r="J3364" s="7" t="n">
        <v>9.8</v>
      </c>
      <c r="K3364" s="7" t="s">
        <v>3856</v>
      </c>
      <c r="L3364" s="7" t="s">
        <v>19</v>
      </c>
      <c r="M3364" s="7" t="s">
        <v>3958</v>
      </c>
      <c r="N3364" s="7" t="s">
        <v>58</v>
      </c>
      <c r="O3364" s="10" t="n">
        <f aca="false">'Exec Summary'!$E$2-H3364</f>
        <v>27</v>
      </c>
      <c r="P3364" s="10" t="n">
        <f aca="false">IF(I3364="","",I3364-H3364)</f>
        <v>11</v>
      </c>
      <c r="Q3364" s="10" t="n">
        <f aca="false">VLOOKUP(G3364,$AA$2:$AB$5,2,FALSE())</f>
        <v>15</v>
      </c>
      <c r="R3364" s="7" t="n">
        <f aca="false">IF(OR(F3364="Open",F3364="Reopened"),1,0)</f>
        <v>0</v>
      </c>
      <c r="S3364" s="7" t="n">
        <f aca="false">IF(AND(H3364&gt;='Exec Summary'!$E$1,H3364&lt;='Exec Summary'!$E$2),1,0)</f>
        <v>1</v>
      </c>
      <c r="T3364" s="7" t="n">
        <f aca="false">IF(AND(F3364="Closed",I3364&lt;&gt;"",I3364&gt;='Exec Summary'!$E$1,I3364&lt;='Exec Summary'!$E$2),1,0)</f>
        <v>1</v>
      </c>
      <c r="U3364" s="7" t="n">
        <f aca="false">IF(F3364="Reopened",1,0)</f>
        <v>0</v>
      </c>
      <c r="V3364" s="7" t="n">
        <f aca="false">IF(AND(R3364=1,O3364&gt;Q3364),1,0)</f>
        <v>0</v>
      </c>
      <c r="W3364" s="7" t="n">
        <f aca="false">IF(AND(T3364=1,P3364&lt;&gt;"",P3364&lt;=Q3364),1,0)</f>
        <v>1</v>
      </c>
    </row>
    <row r="3365" customFormat="false" ht="15" hidden="false" customHeight="false" outlineLevel="0" collapsed="false">
      <c r="A3365" s="7" t="s">
        <v>3955</v>
      </c>
      <c r="B3365" s="7" t="s">
        <v>46</v>
      </c>
      <c r="C3365" s="7" t="s">
        <v>177</v>
      </c>
      <c r="D3365" s="7" t="s">
        <v>101</v>
      </c>
      <c r="E3365" s="7" t="s">
        <v>102</v>
      </c>
      <c r="F3365" s="7" t="s">
        <v>56</v>
      </c>
      <c r="G3365" s="7" t="s">
        <v>19</v>
      </c>
      <c r="H3365" s="9" t="n">
        <v>45976</v>
      </c>
      <c r="I3365" s="9"/>
      <c r="J3365" s="7" t="n">
        <v>10</v>
      </c>
      <c r="K3365" s="7" t="s">
        <v>3856</v>
      </c>
      <c r="L3365" s="7" t="s">
        <v>19</v>
      </c>
      <c r="M3365" s="7" t="s">
        <v>3959</v>
      </c>
      <c r="N3365" s="7" t="s">
        <v>58</v>
      </c>
      <c r="O3365" s="10" t="n">
        <f aca="false">'Exec Summary'!$E$2-H3365</f>
        <v>258</v>
      </c>
      <c r="P3365" s="10" t="str">
        <f aca="false">IF(I3365="","",I3365-H3365)</f>
        <v/>
      </c>
      <c r="Q3365" s="10" t="n">
        <f aca="false">VLOOKUP(G3365,$AA$2:$AB$5,2,FALSE())</f>
        <v>15</v>
      </c>
      <c r="R3365" s="7" t="n">
        <f aca="false">IF(OR(F3365="Open",F3365="Reopened"),1,0)</f>
        <v>1</v>
      </c>
      <c r="S3365" s="7" t="n">
        <f aca="false">IF(AND(H3365&gt;='Exec Summary'!$E$1,H3365&lt;='Exec Summary'!$E$2),1,0)</f>
        <v>0</v>
      </c>
      <c r="T3365" s="7" t="n">
        <f aca="false">IF(AND(F3365="Closed",I3365&lt;&gt;"",I3365&gt;='Exec Summary'!$E$1,I3365&lt;='Exec Summary'!$E$2),1,0)</f>
        <v>0</v>
      </c>
      <c r="U3365" s="7" t="n">
        <f aca="false">IF(F3365="Reopened",1,0)</f>
        <v>0</v>
      </c>
      <c r="V3365" s="7" t="n">
        <f aca="false">IF(AND(R3365=1,O3365&gt;Q3365),1,0)</f>
        <v>1</v>
      </c>
      <c r="W3365" s="7" t="n">
        <f aca="false">IF(AND(T3365=1,P3365&lt;&gt;"",P3365&lt;=Q3365),1,0)</f>
        <v>0</v>
      </c>
    </row>
    <row r="3366" customFormat="false" ht="15" hidden="false" customHeight="false" outlineLevel="0" collapsed="false">
      <c r="A3366" s="7" t="s">
        <v>3955</v>
      </c>
      <c r="B3366" s="7" t="s">
        <v>46</v>
      </c>
      <c r="C3366" s="7" t="s">
        <v>177</v>
      </c>
      <c r="D3366" s="7" t="s">
        <v>166</v>
      </c>
      <c r="E3366" s="7" t="s">
        <v>167</v>
      </c>
      <c r="F3366" s="7" t="s">
        <v>50</v>
      </c>
      <c r="G3366" s="7" t="s">
        <v>19</v>
      </c>
      <c r="H3366" s="9" t="n">
        <v>46170</v>
      </c>
      <c r="I3366" s="9" t="n">
        <v>46180</v>
      </c>
      <c r="J3366" s="7" t="n">
        <v>9.8</v>
      </c>
      <c r="K3366" s="7" t="s">
        <v>3856</v>
      </c>
      <c r="L3366" s="7" t="s">
        <v>19</v>
      </c>
      <c r="M3366" s="7" t="s">
        <v>3960</v>
      </c>
      <c r="N3366" s="7" t="s">
        <v>58</v>
      </c>
      <c r="O3366" s="10" t="n">
        <f aca="false">'Exec Summary'!$E$2-H3366</f>
        <v>64</v>
      </c>
      <c r="P3366" s="10" t="n">
        <f aca="false">IF(I3366="","",I3366-H3366)</f>
        <v>10</v>
      </c>
      <c r="Q3366" s="10" t="n">
        <f aca="false">VLOOKUP(G3366,$AA$2:$AB$5,2,FALSE())</f>
        <v>15</v>
      </c>
      <c r="R3366" s="7" t="n">
        <f aca="false">IF(OR(F3366="Open",F3366="Reopened"),1,0)</f>
        <v>0</v>
      </c>
      <c r="S3366" s="7" t="n">
        <f aca="false">IF(AND(H3366&gt;='Exec Summary'!$E$1,H3366&lt;='Exec Summary'!$E$2),1,0)</f>
        <v>0</v>
      </c>
      <c r="T3366" s="7" t="n">
        <f aca="false">IF(AND(F3366="Closed",I3366&lt;&gt;"",I3366&gt;='Exec Summary'!$E$1,I3366&lt;='Exec Summary'!$E$2),1,0)</f>
        <v>0</v>
      </c>
      <c r="U3366" s="7" t="n">
        <f aca="false">IF(F3366="Reopened",1,0)</f>
        <v>0</v>
      </c>
      <c r="V3366" s="7" t="n">
        <f aca="false">IF(AND(R3366=1,O3366&gt;Q3366),1,0)</f>
        <v>0</v>
      </c>
      <c r="W3366" s="7" t="n">
        <f aca="false">IF(AND(T3366=1,P3366&lt;&gt;"",P3366&lt;=Q3366),1,0)</f>
        <v>0</v>
      </c>
    </row>
    <row r="3367" customFormat="false" ht="15" hidden="false" customHeight="false" outlineLevel="0" collapsed="false">
      <c r="A3367" s="7" t="s">
        <v>3955</v>
      </c>
      <c r="B3367" s="7" t="s">
        <v>46</v>
      </c>
      <c r="C3367" s="7" t="s">
        <v>177</v>
      </c>
      <c r="D3367" s="7" t="s">
        <v>87</v>
      </c>
      <c r="E3367" s="7" t="s">
        <v>88</v>
      </c>
      <c r="F3367" s="7" t="s">
        <v>50</v>
      </c>
      <c r="G3367" s="7" t="s">
        <v>19</v>
      </c>
      <c r="H3367" s="9" t="n">
        <v>46128</v>
      </c>
      <c r="I3367" s="9" t="n">
        <v>46145</v>
      </c>
      <c r="J3367" s="7" t="n">
        <v>10</v>
      </c>
      <c r="K3367" s="7" t="s">
        <v>3856</v>
      </c>
      <c r="L3367" s="7" t="s">
        <v>19</v>
      </c>
      <c r="M3367" s="7" t="s">
        <v>3961</v>
      </c>
      <c r="N3367" s="7" t="s">
        <v>58</v>
      </c>
      <c r="O3367" s="10" t="n">
        <f aca="false">'Exec Summary'!$E$2-H3367</f>
        <v>106</v>
      </c>
      <c r="P3367" s="10" t="n">
        <f aca="false">IF(I3367="","",I3367-H3367)</f>
        <v>17</v>
      </c>
      <c r="Q3367" s="10" t="n">
        <f aca="false">VLOOKUP(G3367,$AA$2:$AB$5,2,FALSE())</f>
        <v>15</v>
      </c>
      <c r="R3367" s="7" t="n">
        <f aca="false">IF(OR(F3367="Open",F3367="Reopened"),1,0)</f>
        <v>0</v>
      </c>
      <c r="S3367" s="7" t="n">
        <f aca="false">IF(AND(H3367&gt;='Exec Summary'!$E$1,H3367&lt;='Exec Summary'!$E$2),1,0)</f>
        <v>0</v>
      </c>
      <c r="T3367" s="7" t="n">
        <f aca="false">IF(AND(F3367="Closed",I3367&lt;&gt;"",I3367&gt;='Exec Summary'!$E$1,I3367&lt;='Exec Summary'!$E$2),1,0)</f>
        <v>0</v>
      </c>
      <c r="U3367" s="7" t="n">
        <f aca="false">IF(F3367="Reopened",1,0)</f>
        <v>0</v>
      </c>
      <c r="V3367" s="7" t="n">
        <f aca="false">IF(AND(R3367=1,O3367&gt;Q3367),1,0)</f>
        <v>0</v>
      </c>
      <c r="W3367" s="7" t="n">
        <f aca="false">IF(AND(T3367=1,P3367&lt;&gt;"",P3367&lt;=Q3367),1,0)</f>
        <v>0</v>
      </c>
    </row>
    <row r="3368" customFormat="false" ht="15" hidden="false" customHeight="false" outlineLevel="0" collapsed="false">
      <c r="A3368" s="7" t="s">
        <v>3955</v>
      </c>
      <c r="B3368" s="7" t="s">
        <v>46</v>
      </c>
      <c r="C3368" s="7" t="s">
        <v>177</v>
      </c>
      <c r="D3368" s="7" t="s">
        <v>210</v>
      </c>
      <c r="E3368" s="7" t="s">
        <v>211</v>
      </c>
      <c r="F3368" s="7" t="s">
        <v>56</v>
      </c>
      <c r="G3368" s="7" t="s">
        <v>19</v>
      </c>
      <c r="H3368" s="9" t="n">
        <v>46063</v>
      </c>
      <c r="I3368" s="9"/>
      <c r="J3368" s="7" t="n">
        <v>9.8</v>
      </c>
      <c r="K3368" s="7" t="s">
        <v>3856</v>
      </c>
      <c r="L3368" s="7" t="s">
        <v>19</v>
      </c>
      <c r="M3368" s="7" t="s">
        <v>3962</v>
      </c>
      <c r="N3368" s="7" t="s">
        <v>58</v>
      </c>
      <c r="O3368" s="10" t="n">
        <f aca="false">'Exec Summary'!$E$2-H3368</f>
        <v>171</v>
      </c>
      <c r="P3368" s="10" t="str">
        <f aca="false">IF(I3368="","",I3368-H3368)</f>
        <v/>
      </c>
      <c r="Q3368" s="10" t="n">
        <f aca="false">VLOOKUP(G3368,$AA$2:$AB$5,2,FALSE())</f>
        <v>15</v>
      </c>
      <c r="R3368" s="7" t="n">
        <f aca="false">IF(OR(F3368="Open",F3368="Reopened"),1,0)</f>
        <v>1</v>
      </c>
      <c r="S3368" s="7" t="n">
        <f aca="false">IF(AND(H3368&gt;='Exec Summary'!$E$1,H3368&lt;='Exec Summary'!$E$2),1,0)</f>
        <v>0</v>
      </c>
      <c r="T3368" s="7" t="n">
        <f aca="false">IF(AND(F3368="Closed",I3368&lt;&gt;"",I3368&gt;='Exec Summary'!$E$1,I3368&lt;='Exec Summary'!$E$2),1,0)</f>
        <v>0</v>
      </c>
      <c r="U3368" s="7" t="n">
        <f aca="false">IF(F3368="Reopened",1,0)</f>
        <v>0</v>
      </c>
      <c r="V3368" s="7" t="n">
        <f aca="false">IF(AND(R3368=1,O3368&gt;Q3368),1,0)</f>
        <v>1</v>
      </c>
      <c r="W3368" s="7" t="n">
        <f aca="false">IF(AND(T3368=1,P3368&lt;&gt;"",P3368&lt;=Q3368),1,0)</f>
        <v>0</v>
      </c>
    </row>
    <row r="3369" customFormat="false" ht="15" hidden="false" customHeight="false" outlineLevel="0" collapsed="false">
      <c r="A3369" s="7" t="s">
        <v>3955</v>
      </c>
      <c r="B3369" s="7" t="s">
        <v>46</v>
      </c>
      <c r="C3369" s="7" t="s">
        <v>177</v>
      </c>
      <c r="D3369" s="7" t="s">
        <v>62</v>
      </c>
      <c r="E3369" s="7" t="s">
        <v>63</v>
      </c>
      <c r="F3369" s="7" t="s">
        <v>56</v>
      </c>
      <c r="G3369" s="7" t="s">
        <v>20</v>
      </c>
      <c r="H3369" s="9" t="n">
        <v>45943</v>
      </c>
      <c r="I3369" s="9"/>
      <c r="J3369" s="7" t="n">
        <v>8.1</v>
      </c>
      <c r="K3369" s="7" t="s">
        <v>3856</v>
      </c>
      <c r="L3369" s="7" t="s">
        <v>19</v>
      </c>
      <c r="M3369" s="7" t="s">
        <v>3963</v>
      </c>
      <c r="N3369" s="7" t="s">
        <v>53</v>
      </c>
      <c r="O3369" s="10" t="n">
        <f aca="false">'Exec Summary'!$E$2-H3369</f>
        <v>291</v>
      </c>
      <c r="P3369" s="10" t="str">
        <f aca="false">IF(I3369="","",I3369-H3369)</f>
        <v/>
      </c>
      <c r="Q3369" s="10" t="n">
        <f aca="false">VLOOKUP(G3369,$AA$2:$AB$5,2,FALSE())</f>
        <v>30</v>
      </c>
      <c r="R3369" s="7" t="n">
        <f aca="false">IF(OR(F3369="Open",F3369="Reopened"),1,0)</f>
        <v>1</v>
      </c>
      <c r="S3369" s="7" t="n">
        <f aca="false">IF(AND(H3369&gt;='Exec Summary'!$E$1,H3369&lt;='Exec Summary'!$E$2),1,0)</f>
        <v>0</v>
      </c>
      <c r="T3369" s="7" t="n">
        <f aca="false">IF(AND(F3369="Closed",I3369&lt;&gt;"",I3369&gt;='Exec Summary'!$E$1,I3369&lt;='Exec Summary'!$E$2),1,0)</f>
        <v>0</v>
      </c>
      <c r="U3369" s="7" t="n">
        <f aca="false">IF(F3369="Reopened",1,0)</f>
        <v>0</v>
      </c>
      <c r="V3369" s="7" t="n">
        <f aca="false">IF(AND(R3369=1,O3369&gt;Q3369),1,0)</f>
        <v>1</v>
      </c>
      <c r="W3369" s="7" t="n">
        <f aca="false">IF(AND(T3369=1,P3369&lt;&gt;"",P3369&lt;=Q3369),1,0)</f>
        <v>0</v>
      </c>
    </row>
    <row r="3370" customFormat="false" ht="15" hidden="false" customHeight="false" outlineLevel="0" collapsed="false">
      <c r="A3370" s="7" t="s">
        <v>3955</v>
      </c>
      <c r="B3370" s="7" t="s">
        <v>46</v>
      </c>
      <c r="C3370" s="7" t="s">
        <v>177</v>
      </c>
      <c r="D3370" s="7" t="s">
        <v>91</v>
      </c>
      <c r="E3370" s="7" t="s">
        <v>92</v>
      </c>
      <c r="F3370" s="7" t="s">
        <v>123</v>
      </c>
      <c r="G3370" s="7" t="s">
        <v>20</v>
      </c>
      <c r="H3370" s="9" t="n">
        <v>46113</v>
      </c>
      <c r="I3370" s="9" t="n">
        <v>46166</v>
      </c>
      <c r="J3370" s="7" t="n">
        <v>8.1</v>
      </c>
      <c r="K3370" s="7" t="s">
        <v>3856</v>
      </c>
      <c r="L3370" s="7" t="s">
        <v>19</v>
      </c>
      <c r="M3370" s="7" t="s">
        <v>3964</v>
      </c>
      <c r="N3370" s="7" t="s">
        <v>53</v>
      </c>
      <c r="O3370" s="10" t="n">
        <f aca="false">'Exec Summary'!$E$2-H3370</f>
        <v>121</v>
      </c>
      <c r="P3370" s="10" t="n">
        <f aca="false">IF(I3370="","",I3370-H3370)</f>
        <v>53</v>
      </c>
      <c r="Q3370" s="10" t="n">
        <f aca="false">VLOOKUP(G3370,$AA$2:$AB$5,2,FALSE())</f>
        <v>30</v>
      </c>
      <c r="R3370" s="7" t="n">
        <f aca="false">IF(OR(F3370="Open",F3370="Reopened"),1,0)</f>
        <v>1</v>
      </c>
      <c r="S3370" s="7" t="n">
        <f aca="false">IF(AND(H3370&gt;='Exec Summary'!$E$1,H3370&lt;='Exec Summary'!$E$2),1,0)</f>
        <v>0</v>
      </c>
      <c r="T3370" s="7" t="n">
        <f aca="false">IF(AND(F3370="Closed",I3370&lt;&gt;"",I3370&gt;='Exec Summary'!$E$1,I3370&lt;='Exec Summary'!$E$2),1,0)</f>
        <v>0</v>
      </c>
      <c r="U3370" s="7" t="n">
        <f aca="false">IF(F3370="Reopened",1,0)</f>
        <v>1</v>
      </c>
      <c r="V3370" s="7" t="n">
        <f aca="false">IF(AND(R3370=1,O3370&gt;Q3370),1,0)</f>
        <v>1</v>
      </c>
      <c r="W3370" s="7" t="n">
        <f aca="false">IF(AND(T3370=1,P3370&lt;&gt;"",P3370&lt;=Q3370),1,0)</f>
        <v>0</v>
      </c>
    </row>
    <row r="3371" customFormat="false" ht="15" hidden="false" customHeight="false" outlineLevel="0" collapsed="false">
      <c r="A3371" s="7" t="s">
        <v>3955</v>
      </c>
      <c r="B3371" s="7" t="s">
        <v>46</v>
      </c>
      <c r="C3371" s="7" t="s">
        <v>177</v>
      </c>
      <c r="D3371" s="7" t="s">
        <v>117</v>
      </c>
      <c r="E3371" s="7" t="s">
        <v>118</v>
      </c>
      <c r="F3371" s="7" t="s">
        <v>123</v>
      </c>
      <c r="G3371" s="7" t="s">
        <v>19</v>
      </c>
      <c r="H3371" s="9" t="n">
        <v>46060</v>
      </c>
      <c r="I3371" s="9" t="n">
        <v>46078</v>
      </c>
      <c r="J3371" s="7" t="n">
        <v>10</v>
      </c>
      <c r="K3371" s="7" t="s">
        <v>3856</v>
      </c>
      <c r="L3371" s="7" t="s">
        <v>19</v>
      </c>
      <c r="M3371" s="7" t="s">
        <v>3965</v>
      </c>
      <c r="N3371" s="7" t="s">
        <v>58</v>
      </c>
      <c r="O3371" s="10" t="n">
        <f aca="false">'Exec Summary'!$E$2-H3371</f>
        <v>174</v>
      </c>
      <c r="P3371" s="10" t="n">
        <f aca="false">IF(I3371="","",I3371-H3371)</f>
        <v>18</v>
      </c>
      <c r="Q3371" s="10" t="n">
        <f aca="false">VLOOKUP(G3371,$AA$2:$AB$5,2,FALSE())</f>
        <v>15</v>
      </c>
      <c r="R3371" s="7" t="n">
        <f aca="false">IF(OR(F3371="Open",F3371="Reopened"),1,0)</f>
        <v>1</v>
      </c>
      <c r="S3371" s="7" t="n">
        <f aca="false">IF(AND(H3371&gt;='Exec Summary'!$E$1,H3371&lt;='Exec Summary'!$E$2),1,0)</f>
        <v>0</v>
      </c>
      <c r="T3371" s="7" t="n">
        <f aca="false">IF(AND(F3371="Closed",I3371&lt;&gt;"",I3371&gt;='Exec Summary'!$E$1,I3371&lt;='Exec Summary'!$E$2),1,0)</f>
        <v>0</v>
      </c>
      <c r="U3371" s="7" t="n">
        <f aca="false">IF(F3371="Reopened",1,0)</f>
        <v>1</v>
      </c>
      <c r="V3371" s="7" t="n">
        <f aca="false">IF(AND(R3371=1,O3371&gt;Q3371),1,0)</f>
        <v>1</v>
      </c>
      <c r="W3371" s="7" t="n">
        <f aca="false">IF(AND(T3371=1,P3371&lt;&gt;"",P3371&lt;=Q3371),1,0)</f>
        <v>0</v>
      </c>
    </row>
    <row r="3372" customFormat="false" ht="15" hidden="false" customHeight="false" outlineLevel="0" collapsed="false">
      <c r="A3372" s="7" t="s">
        <v>3955</v>
      </c>
      <c r="B3372" s="7" t="s">
        <v>46</v>
      </c>
      <c r="C3372" s="7" t="s">
        <v>177</v>
      </c>
      <c r="D3372" s="7" t="s">
        <v>65</v>
      </c>
      <c r="E3372" s="7" t="s">
        <v>66</v>
      </c>
      <c r="F3372" s="7" t="s">
        <v>50</v>
      </c>
      <c r="G3372" s="7" t="s">
        <v>19</v>
      </c>
      <c r="H3372" s="9" t="n">
        <v>46056</v>
      </c>
      <c r="I3372" s="9" t="n">
        <v>46063</v>
      </c>
      <c r="J3372" s="7" t="n">
        <v>9.8</v>
      </c>
      <c r="K3372" s="7" t="s">
        <v>3856</v>
      </c>
      <c r="L3372" s="7" t="s">
        <v>19</v>
      </c>
      <c r="M3372" s="7" t="s">
        <v>3966</v>
      </c>
      <c r="N3372" s="7" t="s">
        <v>58</v>
      </c>
      <c r="O3372" s="10" t="n">
        <f aca="false">'Exec Summary'!$E$2-H3372</f>
        <v>178</v>
      </c>
      <c r="P3372" s="10" t="n">
        <f aca="false">IF(I3372="","",I3372-H3372)</f>
        <v>7</v>
      </c>
      <c r="Q3372" s="10" t="n">
        <f aca="false">VLOOKUP(G3372,$AA$2:$AB$5,2,FALSE())</f>
        <v>15</v>
      </c>
      <c r="R3372" s="7" t="n">
        <f aca="false">IF(OR(F3372="Open",F3372="Reopened"),1,0)</f>
        <v>0</v>
      </c>
      <c r="S3372" s="7" t="n">
        <f aca="false">IF(AND(H3372&gt;='Exec Summary'!$E$1,H3372&lt;='Exec Summary'!$E$2),1,0)</f>
        <v>0</v>
      </c>
      <c r="T3372" s="7" t="n">
        <f aca="false">IF(AND(F3372="Closed",I3372&lt;&gt;"",I3372&gt;='Exec Summary'!$E$1,I3372&lt;='Exec Summary'!$E$2),1,0)</f>
        <v>0</v>
      </c>
      <c r="U3372" s="7" t="n">
        <f aca="false">IF(F3372="Reopened",1,0)</f>
        <v>0</v>
      </c>
      <c r="V3372" s="7" t="n">
        <f aca="false">IF(AND(R3372=1,O3372&gt;Q3372),1,0)</f>
        <v>0</v>
      </c>
      <c r="W3372" s="7" t="n">
        <f aca="false">IF(AND(T3372=1,P3372&lt;&gt;"",P3372&lt;=Q3372),1,0)</f>
        <v>0</v>
      </c>
    </row>
    <row r="3373" customFormat="false" ht="15" hidden="false" customHeight="false" outlineLevel="0" collapsed="false">
      <c r="A3373" s="7" t="s">
        <v>3955</v>
      </c>
      <c r="B3373" s="7" t="s">
        <v>46</v>
      </c>
      <c r="C3373" s="7" t="s">
        <v>177</v>
      </c>
      <c r="D3373" s="7" t="s">
        <v>54</v>
      </c>
      <c r="E3373" s="7" t="s">
        <v>55</v>
      </c>
      <c r="F3373" s="7" t="s">
        <v>50</v>
      </c>
      <c r="G3373" s="7" t="s">
        <v>19</v>
      </c>
      <c r="H3373" s="9" t="n">
        <v>46122</v>
      </c>
      <c r="I3373" s="9" t="n">
        <v>46125</v>
      </c>
      <c r="J3373" s="7" t="n">
        <v>9.8</v>
      </c>
      <c r="K3373" s="7" t="s">
        <v>3856</v>
      </c>
      <c r="L3373" s="7" t="s">
        <v>19</v>
      </c>
      <c r="M3373" s="7" t="s">
        <v>3967</v>
      </c>
      <c r="N3373" s="7" t="s">
        <v>58</v>
      </c>
      <c r="O3373" s="10" t="n">
        <f aca="false">'Exec Summary'!$E$2-H3373</f>
        <v>112</v>
      </c>
      <c r="P3373" s="10" t="n">
        <f aca="false">IF(I3373="","",I3373-H3373)</f>
        <v>3</v>
      </c>
      <c r="Q3373" s="10" t="n">
        <f aca="false">VLOOKUP(G3373,$AA$2:$AB$5,2,FALSE())</f>
        <v>15</v>
      </c>
      <c r="R3373" s="7" t="n">
        <f aca="false">IF(OR(F3373="Open",F3373="Reopened"),1,0)</f>
        <v>0</v>
      </c>
      <c r="S3373" s="7" t="n">
        <f aca="false">IF(AND(H3373&gt;='Exec Summary'!$E$1,H3373&lt;='Exec Summary'!$E$2),1,0)</f>
        <v>0</v>
      </c>
      <c r="T3373" s="7" t="n">
        <f aca="false">IF(AND(F3373="Closed",I3373&lt;&gt;"",I3373&gt;='Exec Summary'!$E$1,I3373&lt;='Exec Summary'!$E$2),1,0)</f>
        <v>0</v>
      </c>
      <c r="U3373" s="7" t="n">
        <f aca="false">IF(F3373="Reopened",1,0)</f>
        <v>0</v>
      </c>
      <c r="V3373" s="7" t="n">
        <f aca="false">IF(AND(R3373=1,O3373&gt;Q3373),1,0)</f>
        <v>0</v>
      </c>
      <c r="W3373" s="7" t="n">
        <f aca="false">IF(AND(T3373=1,P3373&lt;&gt;"",P3373&lt;=Q3373),1,0)</f>
        <v>0</v>
      </c>
    </row>
    <row r="3374" customFormat="false" ht="15" hidden="false" customHeight="false" outlineLevel="0" collapsed="false">
      <c r="A3374" s="7" t="s">
        <v>3955</v>
      </c>
      <c r="B3374" s="7" t="s">
        <v>46</v>
      </c>
      <c r="C3374" s="7" t="s">
        <v>177</v>
      </c>
      <c r="D3374" s="7" t="s">
        <v>81</v>
      </c>
      <c r="E3374" s="7" t="s">
        <v>82</v>
      </c>
      <c r="F3374" s="7" t="s">
        <v>56</v>
      </c>
      <c r="G3374" s="7" t="s">
        <v>20</v>
      </c>
      <c r="H3374" s="9" t="n">
        <v>46017</v>
      </c>
      <c r="I3374" s="9"/>
      <c r="J3374" s="7" t="n">
        <v>7.8</v>
      </c>
      <c r="K3374" s="7" t="s">
        <v>3856</v>
      </c>
      <c r="L3374" s="7" t="s">
        <v>19</v>
      </c>
      <c r="M3374" s="7" t="s">
        <v>3968</v>
      </c>
      <c r="N3374" s="7" t="s">
        <v>53</v>
      </c>
      <c r="O3374" s="10" t="n">
        <f aca="false">'Exec Summary'!$E$2-H3374</f>
        <v>217</v>
      </c>
      <c r="P3374" s="10" t="str">
        <f aca="false">IF(I3374="","",I3374-H3374)</f>
        <v/>
      </c>
      <c r="Q3374" s="10" t="n">
        <f aca="false">VLOOKUP(G3374,$AA$2:$AB$5,2,FALSE())</f>
        <v>30</v>
      </c>
      <c r="R3374" s="7" t="n">
        <f aca="false">IF(OR(F3374="Open",F3374="Reopened"),1,0)</f>
        <v>1</v>
      </c>
      <c r="S3374" s="7" t="n">
        <f aca="false">IF(AND(H3374&gt;='Exec Summary'!$E$1,H3374&lt;='Exec Summary'!$E$2),1,0)</f>
        <v>0</v>
      </c>
      <c r="T3374" s="7" t="n">
        <f aca="false">IF(AND(F3374="Closed",I3374&lt;&gt;"",I3374&gt;='Exec Summary'!$E$1,I3374&lt;='Exec Summary'!$E$2),1,0)</f>
        <v>0</v>
      </c>
      <c r="U3374" s="7" t="n">
        <f aca="false">IF(F3374="Reopened",1,0)</f>
        <v>0</v>
      </c>
      <c r="V3374" s="7" t="n">
        <f aca="false">IF(AND(R3374=1,O3374&gt;Q3374),1,0)</f>
        <v>1</v>
      </c>
      <c r="W3374" s="7" t="n">
        <f aca="false">IF(AND(T3374=1,P3374&lt;&gt;"",P3374&lt;=Q3374),1,0)</f>
        <v>0</v>
      </c>
    </row>
    <row r="3375" customFormat="false" ht="15" hidden="false" customHeight="false" outlineLevel="0" collapsed="false">
      <c r="A3375" s="7" t="s">
        <v>3969</v>
      </c>
      <c r="B3375" s="7" t="s">
        <v>46</v>
      </c>
      <c r="C3375" s="7" t="s">
        <v>47</v>
      </c>
      <c r="D3375" s="7" t="s">
        <v>98</v>
      </c>
      <c r="E3375" s="7" t="s">
        <v>99</v>
      </c>
      <c r="F3375" s="7" t="s">
        <v>50</v>
      </c>
      <c r="G3375" s="7" t="s">
        <v>19</v>
      </c>
      <c r="H3375" s="9" t="n">
        <v>45955</v>
      </c>
      <c r="I3375" s="9" t="n">
        <v>45960</v>
      </c>
      <c r="J3375" s="7" t="n">
        <v>10</v>
      </c>
      <c r="K3375" s="7" t="s">
        <v>3856</v>
      </c>
      <c r="L3375" s="7" t="s">
        <v>19</v>
      </c>
      <c r="M3375" s="7" t="s">
        <v>3970</v>
      </c>
      <c r="N3375" s="7" t="s">
        <v>58</v>
      </c>
      <c r="O3375" s="10" t="n">
        <f aca="false">'Exec Summary'!$E$2-H3375</f>
        <v>279</v>
      </c>
      <c r="P3375" s="10" t="n">
        <f aca="false">IF(I3375="","",I3375-H3375)</f>
        <v>5</v>
      </c>
      <c r="Q3375" s="10" t="n">
        <f aca="false">VLOOKUP(G3375,$AA$2:$AB$5,2,FALSE())</f>
        <v>15</v>
      </c>
      <c r="R3375" s="7" t="n">
        <f aca="false">IF(OR(F3375="Open",F3375="Reopened"),1,0)</f>
        <v>0</v>
      </c>
      <c r="S3375" s="7" t="n">
        <f aca="false">IF(AND(H3375&gt;='Exec Summary'!$E$1,H3375&lt;='Exec Summary'!$E$2),1,0)</f>
        <v>0</v>
      </c>
      <c r="T3375" s="7" t="n">
        <f aca="false">IF(AND(F3375="Closed",I3375&lt;&gt;"",I3375&gt;='Exec Summary'!$E$1,I3375&lt;='Exec Summary'!$E$2),1,0)</f>
        <v>0</v>
      </c>
      <c r="U3375" s="7" t="n">
        <f aca="false">IF(F3375="Reopened",1,0)</f>
        <v>0</v>
      </c>
      <c r="V3375" s="7" t="n">
        <f aca="false">IF(AND(R3375=1,O3375&gt;Q3375),1,0)</f>
        <v>0</v>
      </c>
      <c r="W3375" s="7" t="n">
        <f aca="false">IF(AND(T3375=1,P3375&lt;&gt;"",P3375&lt;=Q3375),1,0)</f>
        <v>0</v>
      </c>
    </row>
    <row r="3376" customFormat="false" ht="15" hidden="false" customHeight="false" outlineLevel="0" collapsed="false">
      <c r="A3376" s="7" t="s">
        <v>3969</v>
      </c>
      <c r="B3376" s="7" t="s">
        <v>46</v>
      </c>
      <c r="C3376" s="7" t="s">
        <v>47</v>
      </c>
      <c r="D3376" s="7" t="s">
        <v>84</v>
      </c>
      <c r="E3376" s="7" t="s">
        <v>85</v>
      </c>
      <c r="F3376" s="7" t="s">
        <v>56</v>
      </c>
      <c r="G3376" s="7" t="s">
        <v>20</v>
      </c>
      <c r="H3376" s="9" t="n">
        <v>45940</v>
      </c>
      <c r="I3376" s="9"/>
      <c r="J3376" s="7" t="n">
        <v>7.5</v>
      </c>
      <c r="K3376" s="7" t="s">
        <v>3856</v>
      </c>
      <c r="L3376" s="7" t="s">
        <v>19</v>
      </c>
      <c r="M3376" s="7" t="s">
        <v>3971</v>
      </c>
      <c r="N3376" s="7" t="s">
        <v>53</v>
      </c>
      <c r="O3376" s="10" t="n">
        <f aca="false">'Exec Summary'!$E$2-H3376</f>
        <v>294</v>
      </c>
      <c r="P3376" s="10" t="str">
        <f aca="false">IF(I3376="","",I3376-H3376)</f>
        <v/>
      </c>
      <c r="Q3376" s="10" t="n">
        <f aca="false">VLOOKUP(G3376,$AA$2:$AB$5,2,FALSE())</f>
        <v>30</v>
      </c>
      <c r="R3376" s="7" t="n">
        <f aca="false">IF(OR(F3376="Open",F3376="Reopened"),1,0)</f>
        <v>1</v>
      </c>
      <c r="S3376" s="7" t="n">
        <f aca="false">IF(AND(H3376&gt;='Exec Summary'!$E$1,H3376&lt;='Exec Summary'!$E$2),1,0)</f>
        <v>0</v>
      </c>
      <c r="T3376" s="7" t="n">
        <f aca="false">IF(AND(F3376="Closed",I3376&lt;&gt;"",I3376&gt;='Exec Summary'!$E$1,I3376&lt;='Exec Summary'!$E$2),1,0)</f>
        <v>0</v>
      </c>
      <c r="U3376" s="7" t="n">
        <f aca="false">IF(F3376="Reopened",1,0)</f>
        <v>0</v>
      </c>
      <c r="V3376" s="7" t="n">
        <f aca="false">IF(AND(R3376=1,O3376&gt;Q3376),1,0)</f>
        <v>1</v>
      </c>
      <c r="W3376" s="7" t="n">
        <f aca="false">IF(AND(T3376=1,P3376&lt;&gt;"",P3376&lt;=Q3376),1,0)</f>
        <v>0</v>
      </c>
    </row>
    <row r="3377" customFormat="false" ht="15" hidden="false" customHeight="false" outlineLevel="0" collapsed="false">
      <c r="A3377" s="7" t="s">
        <v>3969</v>
      </c>
      <c r="B3377" s="7" t="s">
        <v>46</v>
      </c>
      <c r="C3377" s="7" t="s">
        <v>47</v>
      </c>
      <c r="D3377" s="7" t="s">
        <v>71</v>
      </c>
      <c r="E3377" s="7" t="s">
        <v>72</v>
      </c>
      <c r="F3377" s="7" t="s">
        <v>50</v>
      </c>
      <c r="G3377" s="7" t="s">
        <v>19</v>
      </c>
      <c r="H3377" s="9" t="n">
        <v>45988</v>
      </c>
      <c r="I3377" s="9" t="n">
        <v>46002</v>
      </c>
      <c r="J3377" s="7" t="n">
        <v>9.8</v>
      </c>
      <c r="K3377" s="7" t="s">
        <v>3856</v>
      </c>
      <c r="L3377" s="7" t="s">
        <v>19</v>
      </c>
      <c r="M3377" s="7" t="s">
        <v>3972</v>
      </c>
      <c r="N3377" s="7" t="s">
        <v>58</v>
      </c>
      <c r="O3377" s="10" t="n">
        <f aca="false">'Exec Summary'!$E$2-H3377</f>
        <v>246</v>
      </c>
      <c r="P3377" s="10" t="n">
        <f aca="false">IF(I3377="","",I3377-H3377)</f>
        <v>14</v>
      </c>
      <c r="Q3377" s="10" t="n">
        <f aca="false">VLOOKUP(G3377,$AA$2:$AB$5,2,FALSE())</f>
        <v>15</v>
      </c>
      <c r="R3377" s="7" t="n">
        <f aca="false">IF(OR(F3377="Open",F3377="Reopened"),1,0)</f>
        <v>0</v>
      </c>
      <c r="S3377" s="7" t="n">
        <f aca="false">IF(AND(H3377&gt;='Exec Summary'!$E$1,H3377&lt;='Exec Summary'!$E$2),1,0)</f>
        <v>0</v>
      </c>
      <c r="T3377" s="7" t="n">
        <f aca="false">IF(AND(F3377="Closed",I3377&lt;&gt;"",I3377&gt;='Exec Summary'!$E$1,I3377&lt;='Exec Summary'!$E$2),1,0)</f>
        <v>0</v>
      </c>
      <c r="U3377" s="7" t="n">
        <f aca="false">IF(F3377="Reopened",1,0)</f>
        <v>0</v>
      </c>
      <c r="V3377" s="7" t="n">
        <f aca="false">IF(AND(R3377=1,O3377&gt;Q3377),1,0)</f>
        <v>0</v>
      </c>
      <c r="W3377" s="7" t="n">
        <f aca="false">IF(AND(T3377=1,P3377&lt;&gt;"",P3377&lt;=Q3377),1,0)</f>
        <v>0</v>
      </c>
    </row>
    <row r="3378" customFormat="false" ht="15" hidden="false" customHeight="false" outlineLevel="0" collapsed="false">
      <c r="A3378" s="7" t="s">
        <v>3969</v>
      </c>
      <c r="B3378" s="7" t="s">
        <v>46</v>
      </c>
      <c r="C3378" s="7" t="s">
        <v>47</v>
      </c>
      <c r="D3378" s="7" t="s">
        <v>173</v>
      </c>
      <c r="E3378" s="7" t="s">
        <v>174</v>
      </c>
      <c r="F3378" s="7" t="s">
        <v>50</v>
      </c>
      <c r="G3378" s="7" t="s">
        <v>19</v>
      </c>
      <c r="H3378" s="9" t="n">
        <v>46012</v>
      </c>
      <c r="I3378" s="9" t="n">
        <v>46021</v>
      </c>
      <c r="J3378" s="7" t="n">
        <v>9.8</v>
      </c>
      <c r="K3378" s="7" t="s">
        <v>3856</v>
      </c>
      <c r="L3378" s="7" t="s">
        <v>19</v>
      </c>
      <c r="M3378" s="7" t="s">
        <v>3973</v>
      </c>
      <c r="N3378" s="7" t="s">
        <v>58</v>
      </c>
      <c r="O3378" s="10" t="n">
        <f aca="false">'Exec Summary'!$E$2-H3378</f>
        <v>222</v>
      </c>
      <c r="P3378" s="10" t="n">
        <f aca="false">IF(I3378="","",I3378-H3378)</f>
        <v>9</v>
      </c>
      <c r="Q3378" s="10" t="n">
        <f aca="false">VLOOKUP(G3378,$AA$2:$AB$5,2,FALSE())</f>
        <v>15</v>
      </c>
      <c r="R3378" s="7" t="n">
        <f aca="false">IF(OR(F3378="Open",F3378="Reopened"),1,0)</f>
        <v>0</v>
      </c>
      <c r="S3378" s="7" t="n">
        <f aca="false">IF(AND(H3378&gt;='Exec Summary'!$E$1,H3378&lt;='Exec Summary'!$E$2),1,0)</f>
        <v>0</v>
      </c>
      <c r="T3378" s="7" t="n">
        <f aca="false">IF(AND(F3378="Closed",I3378&lt;&gt;"",I3378&gt;='Exec Summary'!$E$1,I3378&lt;='Exec Summary'!$E$2),1,0)</f>
        <v>0</v>
      </c>
      <c r="U3378" s="7" t="n">
        <f aca="false">IF(F3378="Reopened",1,0)</f>
        <v>0</v>
      </c>
      <c r="V3378" s="7" t="n">
        <f aca="false">IF(AND(R3378=1,O3378&gt;Q3378),1,0)</f>
        <v>0</v>
      </c>
      <c r="W3378" s="7" t="n">
        <f aca="false">IF(AND(T3378=1,P3378&lt;&gt;"",P3378&lt;=Q3378),1,0)</f>
        <v>0</v>
      </c>
    </row>
    <row r="3379" customFormat="false" ht="15" hidden="false" customHeight="false" outlineLevel="0" collapsed="false">
      <c r="A3379" s="7" t="s">
        <v>3969</v>
      </c>
      <c r="B3379" s="7" t="s">
        <v>46</v>
      </c>
      <c r="C3379" s="7" t="s">
        <v>47</v>
      </c>
      <c r="D3379" s="7" t="s">
        <v>104</v>
      </c>
      <c r="E3379" s="7" t="s">
        <v>105</v>
      </c>
      <c r="F3379" s="7" t="s">
        <v>50</v>
      </c>
      <c r="G3379" s="7" t="s">
        <v>19</v>
      </c>
      <c r="H3379" s="9" t="n">
        <v>46172</v>
      </c>
      <c r="I3379" s="9" t="n">
        <v>46173</v>
      </c>
      <c r="J3379" s="7" t="n">
        <v>9.8</v>
      </c>
      <c r="K3379" s="7" t="s">
        <v>3856</v>
      </c>
      <c r="L3379" s="7" t="s">
        <v>19</v>
      </c>
      <c r="M3379" s="7" t="s">
        <v>3974</v>
      </c>
      <c r="N3379" s="7" t="s">
        <v>58</v>
      </c>
      <c r="O3379" s="10" t="n">
        <f aca="false">'Exec Summary'!$E$2-H3379</f>
        <v>62</v>
      </c>
      <c r="P3379" s="10" t="n">
        <f aca="false">IF(I3379="","",I3379-H3379)</f>
        <v>1</v>
      </c>
      <c r="Q3379" s="10" t="n">
        <f aca="false">VLOOKUP(G3379,$AA$2:$AB$5,2,FALSE())</f>
        <v>15</v>
      </c>
      <c r="R3379" s="7" t="n">
        <f aca="false">IF(OR(F3379="Open",F3379="Reopened"),1,0)</f>
        <v>0</v>
      </c>
      <c r="S3379" s="7" t="n">
        <f aca="false">IF(AND(H3379&gt;='Exec Summary'!$E$1,H3379&lt;='Exec Summary'!$E$2),1,0)</f>
        <v>0</v>
      </c>
      <c r="T3379" s="7" t="n">
        <f aca="false">IF(AND(F3379="Closed",I3379&lt;&gt;"",I3379&gt;='Exec Summary'!$E$1,I3379&lt;='Exec Summary'!$E$2),1,0)</f>
        <v>0</v>
      </c>
      <c r="U3379" s="7" t="n">
        <f aca="false">IF(F3379="Reopened",1,0)</f>
        <v>0</v>
      </c>
      <c r="V3379" s="7" t="n">
        <f aca="false">IF(AND(R3379=1,O3379&gt;Q3379),1,0)</f>
        <v>0</v>
      </c>
      <c r="W3379" s="7" t="n">
        <f aca="false">IF(AND(T3379=1,P3379&lt;&gt;"",P3379&lt;=Q3379),1,0)</f>
        <v>0</v>
      </c>
    </row>
    <row r="3380" customFormat="false" ht="15" hidden="false" customHeight="false" outlineLevel="0" collapsed="false">
      <c r="A3380" s="7" t="s">
        <v>3969</v>
      </c>
      <c r="B3380" s="7" t="s">
        <v>46</v>
      </c>
      <c r="C3380" s="7" t="s">
        <v>47</v>
      </c>
      <c r="D3380" s="7" t="s">
        <v>54</v>
      </c>
      <c r="E3380" s="7" t="s">
        <v>55</v>
      </c>
      <c r="F3380" s="7" t="s">
        <v>56</v>
      </c>
      <c r="G3380" s="7" t="s">
        <v>19</v>
      </c>
      <c r="H3380" s="9" t="n">
        <v>46099</v>
      </c>
      <c r="I3380" s="9"/>
      <c r="J3380" s="7" t="n">
        <v>9.8</v>
      </c>
      <c r="K3380" s="7" t="s">
        <v>3856</v>
      </c>
      <c r="L3380" s="7" t="s">
        <v>19</v>
      </c>
      <c r="M3380" s="7" t="s">
        <v>3975</v>
      </c>
      <c r="N3380" s="7" t="s">
        <v>58</v>
      </c>
      <c r="O3380" s="10" t="n">
        <f aca="false">'Exec Summary'!$E$2-H3380</f>
        <v>135</v>
      </c>
      <c r="P3380" s="10" t="str">
        <f aca="false">IF(I3380="","",I3380-H3380)</f>
        <v/>
      </c>
      <c r="Q3380" s="10" t="n">
        <f aca="false">VLOOKUP(G3380,$AA$2:$AB$5,2,FALSE())</f>
        <v>15</v>
      </c>
      <c r="R3380" s="7" t="n">
        <f aca="false">IF(OR(F3380="Open",F3380="Reopened"),1,0)</f>
        <v>1</v>
      </c>
      <c r="S3380" s="7" t="n">
        <f aca="false">IF(AND(H3380&gt;='Exec Summary'!$E$1,H3380&lt;='Exec Summary'!$E$2),1,0)</f>
        <v>0</v>
      </c>
      <c r="T3380" s="7" t="n">
        <f aca="false">IF(AND(F3380="Closed",I3380&lt;&gt;"",I3380&gt;='Exec Summary'!$E$1,I3380&lt;='Exec Summary'!$E$2),1,0)</f>
        <v>0</v>
      </c>
      <c r="U3380" s="7" t="n">
        <f aca="false">IF(F3380="Reopened",1,0)</f>
        <v>0</v>
      </c>
      <c r="V3380" s="7" t="n">
        <f aca="false">IF(AND(R3380=1,O3380&gt;Q3380),1,0)</f>
        <v>1</v>
      </c>
      <c r="W3380" s="7" t="n">
        <f aca="false">IF(AND(T3380=1,P3380&lt;&gt;"",P3380&lt;=Q3380),1,0)</f>
        <v>0</v>
      </c>
    </row>
    <row r="3381" customFormat="false" ht="15" hidden="false" customHeight="false" outlineLevel="0" collapsed="false">
      <c r="A3381" s="7" t="s">
        <v>3969</v>
      </c>
      <c r="B3381" s="7" t="s">
        <v>46</v>
      </c>
      <c r="C3381" s="7" t="s">
        <v>47</v>
      </c>
      <c r="D3381" s="7" t="s">
        <v>131</v>
      </c>
      <c r="E3381" s="7" t="s">
        <v>132</v>
      </c>
      <c r="F3381" s="7" t="s">
        <v>56</v>
      </c>
      <c r="G3381" s="7" t="s">
        <v>19</v>
      </c>
      <c r="H3381" s="9" t="n">
        <v>46076</v>
      </c>
      <c r="I3381" s="9"/>
      <c r="J3381" s="7" t="n">
        <v>9.8</v>
      </c>
      <c r="K3381" s="7" t="s">
        <v>3856</v>
      </c>
      <c r="L3381" s="7" t="s">
        <v>19</v>
      </c>
      <c r="M3381" s="7" t="s">
        <v>3976</v>
      </c>
      <c r="N3381" s="7" t="s">
        <v>58</v>
      </c>
      <c r="O3381" s="10" t="n">
        <f aca="false">'Exec Summary'!$E$2-H3381</f>
        <v>158</v>
      </c>
      <c r="P3381" s="10" t="str">
        <f aca="false">IF(I3381="","",I3381-H3381)</f>
        <v/>
      </c>
      <c r="Q3381" s="10" t="n">
        <f aca="false">VLOOKUP(G3381,$AA$2:$AB$5,2,FALSE())</f>
        <v>15</v>
      </c>
      <c r="R3381" s="7" t="n">
        <f aca="false">IF(OR(F3381="Open",F3381="Reopened"),1,0)</f>
        <v>1</v>
      </c>
      <c r="S3381" s="7" t="n">
        <f aca="false">IF(AND(H3381&gt;='Exec Summary'!$E$1,H3381&lt;='Exec Summary'!$E$2),1,0)</f>
        <v>0</v>
      </c>
      <c r="T3381" s="7" t="n">
        <f aca="false">IF(AND(F3381="Closed",I3381&lt;&gt;"",I3381&gt;='Exec Summary'!$E$1,I3381&lt;='Exec Summary'!$E$2),1,0)</f>
        <v>0</v>
      </c>
      <c r="U3381" s="7" t="n">
        <f aca="false">IF(F3381="Reopened",1,0)</f>
        <v>0</v>
      </c>
      <c r="V3381" s="7" t="n">
        <f aca="false">IF(AND(R3381=1,O3381&gt;Q3381),1,0)</f>
        <v>1</v>
      </c>
      <c r="W3381" s="7" t="n">
        <f aca="false">IF(AND(T3381=1,P3381&lt;&gt;"",P3381&lt;=Q3381),1,0)</f>
        <v>0</v>
      </c>
    </row>
    <row r="3382" customFormat="false" ht="15" hidden="false" customHeight="false" outlineLevel="0" collapsed="false">
      <c r="A3382" s="7" t="s">
        <v>3969</v>
      </c>
      <c r="B3382" s="7" t="s">
        <v>46</v>
      </c>
      <c r="C3382" s="7" t="s">
        <v>47</v>
      </c>
      <c r="D3382" s="7" t="s">
        <v>59</v>
      </c>
      <c r="E3382" s="7" t="s">
        <v>60</v>
      </c>
      <c r="F3382" s="7" t="s">
        <v>50</v>
      </c>
      <c r="G3382" s="7" t="s">
        <v>19</v>
      </c>
      <c r="H3382" s="9" t="n">
        <v>46171</v>
      </c>
      <c r="I3382" s="9" t="n">
        <v>46179</v>
      </c>
      <c r="J3382" s="7" t="n">
        <v>7.8</v>
      </c>
      <c r="K3382" s="7" t="s">
        <v>3856</v>
      </c>
      <c r="L3382" s="7" t="s">
        <v>19</v>
      </c>
      <c r="M3382" s="7" t="s">
        <v>3977</v>
      </c>
      <c r="N3382" s="7" t="s">
        <v>58</v>
      </c>
      <c r="O3382" s="10" t="n">
        <f aca="false">'Exec Summary'!$E$2-H3382</f>
        <v>63</v>
      </c>
      <c r="P3382" s="10" t="n">
        <f aca="false">IF(I3382="","",I3382-H3382)</f>
        <v>8</v>
      </c>
      <c r="Q3382" s="10" t="n">
        <f aca="false">VLOOKUP(G3382,$AA$2:$AB$5,2,FALSE())</f>
        <v>15</v>
      </c>
      <c r="R3382" s="7" t="n">
        <f aca="false">IF(OR(F3382="Open",F3382="Reopened"),1,0)</f>
        <v>0</v>
      </c>
      <c r="S3382" s="7" t="n">
        <f aca="false">IF(AND(H3382&gt;='Exec Summary'!$E$1,H3382&lt;='Exec Summary'!$E$2),1,0)</f>
        <v>0</v>
      </c>
      <c r="T3382" s="7" t="n">
        <f aca="false">IF(AND(F3382="Closed",I3382&lt;&gt;"",I3382&gt;='Exec Summary'!$E$1,I3382&lt;='Exec Summary'!$E$2),1,0)</f>
        <v>0</v>
      </c>
      <c r="U3382" s="7" t="n">
        <f aca="false">IF(F3382="Reopened",1,0)</f>
        <v>0</v>
      </c>
      <c r="V3382" s="7" t="n">
        <f aca="false">IF(AND(R3382=1,O3382&gt;Q3382),1,0)</f>
        <v>0</v>
      </c>
      <c r="W3382" s="7" t="n">
        <f aca="false">IF(AND(T3382=1,P3382&lt;&gt;"",P3382&lt;=Q3382),1,0)</f>
        <v>0</v>
      </c>
    </row>
    <row r="3383" customFormat="false" ht="15" hidden="false" customHeight="false" outlineLevel="0" collapsed="false">
      <c r="A3383" s="7" t="s">
        <v>3969</v>
      </c>
      <c r="B3383" s="7" t="s">
        <v>46</v>
      </c>
      <c r="C3383" s="7" t="s">
        <v>47</v>
      </c>
      <c r="D3383" s="7" t="s">
        <v>87</v>
      </c>
      <c r="E3383" s="7" t="s">
        <v>88</v>
      </c>
      <c r="F3383" s="7" t="s">
        <v>50</v>
      </c>
      <c r="G3383" s="7" t="s">
        <v>19</v>
      </c>
      <c r="H3383" s="9" t="n">
        <v>46027</v>
      </c>
      <c r="I3383" s="9" t="n">
        <v>46032</v>
      </c>
      <c r="J3383" s="7" t="n">
        <v>10</v>
      </c>
      <c r="K3383" s="7" t="s">
        <v>3856</v>
      </c>
      <c r="L3383" s="7" t="s">
        <v>19</v>
      </c>
      <c r="M3383" s="7" t="s">
        <v>3978</v>
      </c>
      <c r="N3383" s="7" t="s">
        <v>58</v>
      </c>
      <c r="O3383" s="10" t="n">
        <f aca="false">'Exec Summary'!$E$2-H3383</f>
        <v>207</v>
      </c>
      <c r="P3383" s="10" t="n">
        <f aca="false">IF(I3383="","",I3383-H3383)</f>
        <v>5</v>
      </c>
      <c r="Q3383" s="10" t="n">
        <f aca="false">VLOOKUP(G3383,$AA$2:$AB$5,2,FALSE())</f>
        <v>15</v>
      </c>
      <c r="R3383" s="7" t="n">
        <f aca="false">IF(OR(F3383="Open",F3383="Reopened"),1,0)</f>
        <v>0</v>
      </c>
      <c r="S3383" s="7" t="n">
        <f aca="false">IF(AND(H3383&gt;='Exec Summary'!$E$1,H3383&lt;='Exec Summary'!$E$2),1,0)</f>
        <v>0</v>
      </c>
      <c r="T3383" s="7" t="n">
        <f aca="false">IF(AND(F3383="Closed",I3383&lt;&gt;"",I3383&gt;='Exec Summary'!$E$1,I3383&lt;='Exec Summary'!$E$2),1,0)</f>
        <v>0</v>
      </c>
      <c r="U3383" s="7" t="n">
        <f aca="false">IF(F3383="Reopened",1,0)</f>
        <v>0</v>
      </c>
      <c r="V3383" s="7" t="n">
        <f aca="false">IF(AND(R3383=1,O3383&gt;Q3383),1,0)</f>
        <v>0</v>
      </c>
      <c r="W3383" s="7" t="n">
        <f aca="false">IF(AND(T3383=1,P3383&lt;&gt;"",P3383&lt;=Q3383),1,0)</f>
        <v>0</v>
      </c>
    </row>
    <row r="3384" customFormat="false" ht="15" hidden="false" customHeight="false" outlineLevel="0" collapsed="false">
      <c r="A3384" s="7" t="s">
        <v>3969</v>
      </c>
      <c r="B3384" s="7" t="s">
        <v>46</v>
      </c>
      <c r="C3384" s="7" t="s">
        <v>47</v>
      </c>
      <c r="D3384" s="7" t="s">
        <v>65</v>
      </c>
      <c r="E3384" s="7" t="s">
        <v>66</v>
      </c>
      <c r="F3384" s="7" t="s">
        <v>50</v>
      </c>
      <c r="G3384" s="7" t="s">
        <v>19</v>
      </c>
      <c r="H3384" s="9" t="n">
        <v>46108</v>
      </c>
      <c r="I3384" s="9" t="n">
        <v>46109</v>
      </c>
      <c r="J3384" s="7" t="n">
        <v>9.8</v>
      </c>
      <c r="K3384" s="7" t="s">
        <v>3856</v>
      </c>
      <c r="L3384" s="7" t="s">
        <v>19</v>
      </c>
      <c r="M3384" s="7" t="s">
        <v>3979</v>
      </c>
      <c r="N3384" s="7" t="s">
        <v>58</v>
      </c>
      <c r="O3384" s="10" t="n">
        <f aca="false">'Exec Summary'!$E$2-H3384</f>
        <v>126</v>
      </c>
      <c r="P3384" s="10" t="n">
        <f aca="false">IF(I3384="","",I3384-H3384)</f>
        <v>1</v>
      </c>
      <c r="Q3384" s="10" t="n">
        <f aca="false">VLOOKUP(G3384,$AA$2:$AB$5,2,FALSE())</f>
        <v>15</v>
      </c>
      <c r="R3384" s="7" t="n">
        <f aca="false">IF(OR(F3384="Open",F3384="Reopened"),1,0)</f>
        <v>0</v>
      </c>
      <c r="S3384" s="7" t="n">
        <f aca="false">IF(AND(H3384&gt;='Exec Summary'!$E$1,H3384&lt;='Exec Summary'!$E$2),1,0)</f>
        <v>0</v>
      </c>
      <c r="T3384" s="7" t="n">
        <f aca="false">IF(AND(F3384="Closed",I3384&lt;&gt;"",I3384&gt;='Exec Summary'!$E$1,I3384&lt;='Exec Summary'!$E$2),1,0)</f>
        <v>0</v>
      </c>
      <c r="U3384" s="7" t="n">
        <f aca="false">IF(F3384="Reopened",1,0)</f>
        <v>0</v>
      </c>
      <c r="V3384" s="7" t="n">
        <f aca="false">IF(AND(R3384=1,O3384&gt;Q3384),1,0)</f>
        <v>0</v>
      </c>
      <c r="W3384" s="7" t="n">
        <f aca="false">IF(AND(T3384=1,P3384&lt;&gt;"",P3384&lt;=Q3384),1,0)</f>
        <v>0</v>
      </c>
    </row>
    <row r="3385" customFormat="false" ht="15" hidden="false" customHeight="false" outlineLevel="0" collapsed="false">
      <c r="A3385" s="7" t="s">
        <v>3969</v>
      </c>
      <c r="B3385" s="7" t="s">
        <v>46</v>
      </c>
      <c r="C3385" s="7" t="s">
        <v>47</v>
      </c>
      <c r="D3385" s="7" t="s">
        <v>206</v>
      </c>
      <c r="E3385" s="7" t="s">
        <v>207</v>
      </c>
      <c r="F3385" s="7" t="s">
        <v>50</v>
      </c>
      <c r="G3385" s="7" t="s">
        <v>20</v>
      </c>
      <c r="H3385" s="9" t="n">
        <v>46031</v>
      </c>
      <c r="I3385" s="9" t="n">
        <v>46037</v>
      </c>
      <c r="J3385" s="7" t="n">
        <v>8.8</v>
      </c>
      <c r="K3385" s="7" t="s">
        <v>3856</v>
      </c>
      <c r="L3385" s="7" t="s">
        <v>19</v>
      </c>
      <c r="M3385" s="7" t="s">
        <v>3980</v>
      </c>
      <c r="N3385" s="7" t="s">
        <v>53</v>
      </c>
      <c r="O3385" s="10" t="n">
        <f aca="false">'Exec Summary'!$E$2-H3385</f>
        <v>203</v>
      </c>
      <c r="P3385" s="10" t="n">
        <f aca="false">IF(I3385="","",I3385-H3385)</f>
        <v>6</v>
      </c>
      <c r="Q3385" s="10" t="n">
        <f aca="false">VLOOKUP(G3385,$AA$2:$AB$5,2,FALSE())</f>
        <v>30</v>
      </c>
      <c r="R3385" s="7" t="n">
        <f aca="false">IF(OR(F3385="Open",F3385="Reopened"),1,0)</f>
        <v>0</v>
      </c>
      <c r="S3385" s="7" t="n">
        <f aca="false">IF(AND(H3385&gt;='Exec Summary'!$E$1,H3385&lt;='Exec Summary'!$E$2),1,0)</f>
        <v>0</v>
      </c>
      <c r="T3385" s="7" t="n">
        <f aca="false">IF(AND(F3385="Closed",I3385&lt;&gt;"",I3385&gt;='Exec Summary'!$E$1,I3385&lt;='Exec Summary'!$E$2),1,0)</f>
        <v>0</v>
      </c>
      <c r="U3385" s="7" t="n">
        <f aca="false">IF(F3385="Reopened",1,0)</f>
        <v>0</v>
      </c>
      <c r="V3385" s="7" t="n">
        <f aca="false">IF(AND(R3385=1,O3385&gt;Q3385),1,0)</f>
        <v>0</v>
      </c>
      <c r="W3385" s="7" t="n">
        <f aca="false">IF(AND(T3385=1,P3385&lt;&gt;"",P3385&lt;=Q3385),1,0)</f>
        <v>0</v>
      </c>
    </row>
    <row r="3386" customFormat="false" ht="15" hidden="false" customHeight="false" outlineLevel="0" collapsed="false">
      <c r="A3386" s="7" t="s">
        <v>3969</v>
      </c>
      <c r="B3386" s="7" t="s">
        <v>46</v>
      </c>
      <c r="C3386" s="7" t="s">
        <v>47</v>
      </c>
      <c r="D3386" s="7" t="s">
        <v>81</v>
      </c>
      <c r="E3386" s="7" t="s">
        <v>82</v>
      </c>
      <c r="F3386" s="7" t="s">
        <v>56</v>
      </c>
      <c r="G3386" s="7" t="s">
        <v>20</v>
      </c>
      <c r="H3386" s="9" t="n">
        <v>46218</v>
      </c>
      <c r="I3386" s="9"/>
      <c r="J3386" s="7" t="n">
        <v>7.8</v>
      </c>
      <c r="K3386" s="7" t="s">
        <v>3856</v>
      </c>
      <c r="L3386" s="7" t="s">
        <v>19</v>
      </c>
      <c r="M3386" s="7" t="s">
        <v>3981</v>
      </c>
      <c r="N3386" s="7" t="s">
        <v>53</v>
      </c>
      <c r="O3386" s="10" t="n">
        <f aca="false">'Exec Summary'!$E$2-H3386</f>
        <v>16</v>
      </c>
      <c r="P3386" s="10" t="str">
        <f aca="false">IF(I3386="","",I3386-H3386)</f>
        <v/>
      </c>
      <c r="Q3386" s="10" t="n">
        <f aca="false">VLOOKUP(G3386,$AA$2:$AB$5,2,FALSE())</f>
        <v>30</v>
      </c>
      <c r="R3386" s="7" t="n">
        <f aca="false">IF(OR(F3386="Open",F3386="Reopened"),1,0)</f>
        <v>1</v>
      </c>
      <c r="S3386" s="7" t="n">
        <f aca="false">IF(AND(H3386&gt;='Exec Summary'!$E$1,H3386&lt;='Exec Summary'!$E$2),1,0)</f>
        <v>1</v>
      </c>
      <c r="T3386" s="7" t="n">
        <f aca="false">IF(AND(F3386="Closed",I3386&lt;&gt;"",I3386&gt;='Exec Summary'!$E$1,I3386&lt;='Exec Summary'!$E$2),1,0)</f>
        <v>0</v>
      </c>
      <c r="U3386" s="7" t="n">
        <f aca="false">IF(F3386="Reopened",1,0)</f>
        <v>0</v>
      </c>
      <c r="V3386" s="7" t="n">
        <f aca="false">IF(AND(R3386=1,O3386&gt;Q3386),1,0)</f>
        <v>0</v>
      </c>
      <c r="W3386" s="7" t="n">
        <f aca="false">IF(AND(T3386=1,P3386&lt;&gt;"",P3386&lt;=Q3386),1,0)</f>
        <v>0</v>
      </c>
    </row>
    <row r="3387" customFormat="false" ht="15" hidden="false" customHeight="false" outlineLevel="0" collapsed="false">
      <c r="A3387" s="7" t="s">
        <v>3982</v>
      </c>
      <c r="B3387" s="7" t="s">
        <v>46</v>
      </c>
      <c r="C3387" s="7" t="s">
        <v>177</v>
      </c>
      <c r="D3387" s="7" t="s">
        <v>145</v>
      </c>
      <c r="E3387" s="7" t="s">
        <v>146</v>
      </c>
      <c r="F3387" s="7" t="s">
        <v>50</v>
      </c>
      <c r="G3387" s="7" t="s">
        <v>19</v>
      </c>
      <c r="H3387" s="9" t="n">
        <v>46122</v>
      </c>
      <c r="I3387" s="9" t="n">
        <v>46126</v>
      </c>
      <c r="J3387" s="7" t="n">
        <v>9.8</v>
      </c>
      <c r="K3387" s="7" t="s">
        <v>3856</v>
      </c>
      <c r="L3387" s="7" t="s">
        <v>19</v>
      </c>
      <c r="M3387" s="7" t="s">
        <v>3983</v>
      </c>
      <c r="N3387" s="7" t="s">
        <v>58</v>
      </c>
      <c r="O3387" s="10" t="n">
        <f aca="false">'Exec Summary'!$E$2-H3387</f>
        <v>112</v>
      </c>
      <c r="P3387" s="10" t="n">
        <f aca="false">IF(I3387="","",I3387-H3387)</f>
        <v>4</v>
      </c>
      <c r="Q3387" s="10" t="n">
        <f aca="false">VLOOKUP(G3387,$AA$2:$AB$5,2,FALSE())</f>
        <v>15</v>
      </c>
      <c r="R3387" s="7" t="n">
        <f aca="false">IF(OR(F3387="Open",F3387="Reopened"),1,0)</f>
        <v>0</v>
      </c>
      <c r="S3387" s="7" t="n">
        <f aca="false">IF(AND(H3387&gt;='Exec Summary'!$E$1,H3387&lt;='Exec Summary'!$E$2),1,0)</f>
        <v>0</v>
      </c>
      <c r="T3387" s="7" t="n">
        <f aca="false">IF(AND(F3387="Closed",I3387&lt;&gt;"",I3387&gt;='Exec Summary'!$E$1,I3387&lt;='Exec Summary'!$E$2),1,0)</f>
        <v>0</v>
      </c>
      <c r="U3387" s="7" t="n">
        <f aca="false">IF(F3387="Reopened",1,0)</f>
        <v>0</v>
      </c>
      <c r="V3387" s="7" t="n">
        <f aca="false">IF(AND(R3387=1,O3387&gt;Q3387),1,0)</f>
        <v>0</v>
      </c>
      <c r="W3387" s="7" t="n">
        <f aca="false">IF(AND(T3387=1,P3387&lt;&gt;"",P3387&lt;=Q3387),1,0)</f>
        <v>0</v>
      </c>
    </row>
    <row r="3388" customFormat="false" ht="15" hidden="false" customHeight="false" outlineLevel="0" collapsed="false">
      <c r="A3388" s="7" t="s">
        <v>3982</v>
      </c>
      <c r="B3388" s="7" t="s">
        <v>46</v>
      </c>
      <c r="C3388" s="7" t="s">
        <v>177</v>
      </c>
      <c r="D3388" s="7" t="s">
        <v>173</v>
      </c>
      <c r="E3388" s="7" t="s">
        <v>174</v>
      </c>
      <c r="F3388" s="7" t="s">
        <v>56</v>
      </c>
      <c r="G3388" s="7" t="s">
        <v>19</v>
      </c>
      <c r="H3388" s="9" t="n">
        <v>46114</v>
      </c>
      <c r="I3388" s="9"/>
      <c r="J3388" s="7" t="n">
        <v>9.8</v>
      </c>
      <c r="K3388" s="7" t="s">
        <v>3856</v>
      </c>
      <c r="L3388" s="7" t="s">
        <v>19</v>
      </c>
      <c r="M3388" s="7" t="s">
        <v>3984</v>
      </c>
      <c r="N3388" s="7" t="s">
        <v>58</v>
      </c>
      <c r="O3388" s="10" t="n">
        <f aca="false">'Exec Summary'!$E$2-H3388</f>
        <v>120</v>
      </c>
      <c r="P3388" s="10" t="str">
        <f aca="false">IF(I3388="","",I3388-H3388)</f>
        <v/>
      </c>
      <c r="Q3388" s="10" t="n">
        <f aca="false">VLOOKUP(G3388,$AA$2:$AB$5,2,FALSE())</f>
        <v>15</v>
      </c>
      <c r="R3388" s="7" t="n">
        <f aca="false">IF(OR(F3388="Open",F3388="Reopened"),1,0)</f>
        <v>1</v>
      </c>
      <c r="S3388" s="7" t="n">
        <f aca="false">IF(AND(H3388&gt;='Exec Summary'!$E$1,H3388&lt;='Exec Summary'!$E$2),1,0)</f>
        <v>0</v>
      </c>
      <c r="T3388" s="7" t="n">
        <f aca="false">IF(AND(F3388="Closed",I3388&lt;&gt;"",I3388&gt;='Exec Summary'!$E$1,I3388&lt;='Exec Summary'!$E$2),1,0)</f>
        <v>0</v>
      </c>
      <c r="U3388" s="7" t="n">
        <f aca="false">IF(F3388="Reopened",1,0)</f>
        <v>0</v>
      </c>
      <c r="V3388" s="7" t="n">
        <f aca="false">IF(AND(R3388=1,O3388&gt;Q3388),1,0)</f>
        <v>1</v>
      </c>
      <c r="W3388" s="7" t="n">
        <f aca="false">IF(AND(T3388=1,P3388&lt;&gt;"",P3388&lt;=Q3388),1,0)</f>
        <v>0</v>
      </c>
    </row>
    <row r="3389" customFormat="false" ht="15" hidden="false" customHeight="false" outlineLevel="0" collapsed="false">
      <c r="A3389" s="7" t="s">
        <v>3982</v>
      </c>
      <c r="B3389" s="7" t="s">
        <v>46</v>
      </c>
      <c r="C3389" s="7" t="s">
        <v>177</v>
      </c>
      <c r="D3389" s="7" t="s">
        <v>54</v>
      </c>
      <c r="E3389" s="7" t="s">
        <v>55</v>
      </c>
      <c r="F3389" s="7" t="s">
        <v>50</v>
      </c>
      <c r="G3389" s="7" t="s">
        <v>19</v>
      </c>
      <c r="H3389" s="9" t="n">
        <v>46090</v>
      </c>
      <c r="I3389" s="9" t="n">
        <v>46099</v>
      </c>
      <c r="J3389" s="7" t="n">
        <v>9.8</v>
      </c>
      <c r="K3389" s="7" t="s">
        <v>3856</v>
      </c>
      <c r="L3389" s="7" t="s">
        <v>19</v>
      </c>
      <c r="M3389" s="7" t="s">
        <v>3985</v>
      </c>
      <c r="N3389" s="7" t="s">
        <v>58</v>
      </c>
      <c r="O3389" s="10" t="n">
        <f aca="false">'Exec Summary'!$E$2-H3389</f>
        <v>144</v>
      </c>
      <c r="P3389" s="10" t="n">
        <f aca="false">IF(I3389="","",I3389-H3389)</f>
        <v>9</v>
      </c>
      <c r="Q3389" s="10" t="n">
        <f aca="false">VLOOKUP(G3389,$AA$2:$AB$5,2,FALSE())</f>
        <v>15</v>
      </c>
      <c r="R3389" s="7" t="n">
        <f aca="false">IF(OR(F3389="Open",F3389="Reopened"),1,0)</f>
        <v>0</v>
      </c>
      <c r="S3389" s="7" t="n">
        <f aca="false">IF(AND(H3389&gt;='Exec Summary'!$E$1,H3389&lt;='Exec Summary'!$E$2),1,0)</f>
        <v>0</v>
      </c>
      <c r="T3389" s="7" t="n">
        <f aca="false">IF(AND(F3389="Closed",I3389&lt;&gt;"",I3389&gt;='Exec Summary'!$E$1,I3389&lt;='Exec Summary'!$E$2),1,0)</f>
        <v>0</v>
      </c>
      <c r="U3389" s="7" t="n">
        <f aca="false">IF(F3389="Reopened",1,0)</f>
        <v>0</v>
      </c>
      <c r="V3389" s="7" t="n">
        <f aca="false">IF(AND(R3389=1,O3389&gt;Q3389),1,0)</f>
        <v>0</v>
      </c>
      <c r="W3389" s="7" t="n">
        <f aca="false">IF(AND(T3389=1,P3389&lt;&gt;"",P3389&lt;=Q3389),1,0)</f>
        <v>0</v>
      </c>
    </row>
    <row r="3390" customFormat="false" ht="15" hidden="false" customHeight="false" outlineLevel="0" collapsed="false">
      <c r="A3390" s="7" t="s">
        <v>3982</v>
      </c>
      <c r="B3390" s="7" t="s">
        <v>46</v>
      </c>
      <c r="C3390" s="7" t="s">
        <v>177</v>
      </c>
      <c r="D3390" s="7" t="s">
        <v>87</v>
      </c>
      <c r="E3390" s="7" t="s">
        <v>88</v>
      </c>
      <c r="F3390" s="7" t="s">
        <v>50</v>
      </c>
      <c r="G3390" s="7" t="s">
        <v>19</v>
      </c>
      <c r="H3390" s="9" t="n">
        <v>46095</v>
      </c>
      <c r="I3390" s="9" t="n">
        <v>46096</v>
      </c>
      <c r="J3390" s="7" t="n">
        <v>10</v>
      </c>
      <c r="K3390" s="7" t="s">
        <v>3856</v>
      </c>
      <c r="L3390" s="7" t="s">
        <v>19</v>
      </c>
      <c r="M3390" s="7" t="s">
        <v>3986</v>
      </c>
      <c r="N3390" s="7" t="s">
        <v>58</v>
      </c>
      <c r="O3390" s="10" t="n">
        <f aca="false">'Exec Summary'!$E$2-H3390</f>
        <v>139</v>
      </c>
      <c r="P3390" s="10" t="n">
        <f aca="false">IF(I3390="","",I3390-H3390)</f>
        <v>1</v>
      </c>
      <c r="Q3390" s="10" t="n">
        <f aca="false">VLOOKUP(G3390,$AA$2:$AB$5,2,FALSE())</f>
        <v>15</v>
      </c>
      <c r="R3390" s="7" t="n">
        <f aca="false">IF(OR(F3390="Open",F3390="Reopened"),1,0)</f>
        <v>0</v>
      </c>
      <c r="S3390" s="7" t="n">
        <f aca="false">IF(AND(H3390&gt;='Exec Summary'!$E$1,H3390&lt;='Exec Summary'!$E$2),1,0)</f>
        <v>0</v>
      </c>
      <c r="T3390" s="7" t="n">
        <f aca="false">IF(AND(F3390="Closed",I3390&lt;&gt;"",I3390&gt;='Exec Summary'!$E$1,I3390&lt;='Exec Summary'!$E$2),1,0)</f>
        <v>0</v>
      </c>
      <c r="U3390" s="7" t="n">
        <f aca="false">IF(F3390="Reopened",1,0)</f>
        <v>0</v>
      </c>
      <c r="V3390" s="7" t="n">
        <f aca="false">IF(AND(R3390=1,O3390&gt;Q3390),1,0)</f>
        <v>0</v>
      </c>
      <c r="W3390" s="7" t="n">
        <f aca="false">IF(AND(T3390=1,P3390&lt;&gt;"",P3390&lt;=Q3390),1,0)</f>
        <v>0</v>
      </c>
    </row>
    <row r="3391" customFormat="false" ht="15" hidden="false" customHeight="false" outlineLevel="0" collapsed="false">
      <c r="A3391" s="7" t="s">
        <v>3987</v>
      </c>
      <c r="B3391" s="7" t="s">
        <v>46</v>
      </c>
      <c r="C3391" s="7" t="s">
        <v>47</v>
      </c>
      <c r="D3391" s="7" t="s">
        <v>166</v>
      </c>
      <c r="E3391" s="7" t="s">
        <v>167</v>
      </c>
      <c r="F3391" s="7" t="s">
        <v>123</v>
      </c>
      <c r="G3391" s="7" t="s">
        <v>19</v>
      </c>
      <c r="H3391" s="9" t="n">
        <v>46207</v>
      </c>
      <c r="I3391" s="9" t="n">
        <v>46215</v>
      </c>
      <c r="J3391" s="7" t="n">
        <v>9.8</v>
      </c>
      <c r="K3391" s="7" t="s">
        <v>3856</v>
      </c>
      <c r="L3391" s="7" t="s">
        <v>21</v>
      </c>
      <c r="M3391" s="7" t="s">
        <v>3988</v>
      </c>
      <c r="N3391" s="7" t="s">
        <v>58</v>
      </c>
      <c r="O3391" s="10" t="n">
        <f aca="false">'Exec Summary'!$E$2-H3391</f>
        <v>27</v>
      </c>
      <c r="P3391" s="10" t="n">
        <f aca="false">IF(I3391="","",I3391-H3391)</f>
        <v>8</v>
      </c>
      <c r="Q3391" s="10" t="n">
        <f aca="false">VLOOKUP(G3391,$AA$2:$AB$5,2,FALSE())</f>
        <v>15</v>
      </c>
      <c r="R3391" s="7" t="n">
        <f aca="false">IF(OR(F3391="Open",F3391="Reopened"),1,0)</f>
        <v>1</v>
      </c>
      <c r="S3391" s="7" t="n">
        <f aca="false">IF(AND(H3391&gt;='Exec Summary'!$E$1,H3391&lt;='Exec Summary'!$E$2),1,0)</f>
        <v>1</v>
      </c>
      <c r="T3391" s="7" t="n">
        <f aca="false">IF(AND(F3391="Closed",I3391&lt;&gt;"",I3391&gt;='Exec Summary'!$E$1,I3391&lt;='Exec Summary'!$E$2),1,0)</f>
        <v>0</v>
      </c>
      <c r="U3391" s="7" t="n">
        <f aca="false">IF(F3391="Reopened",1,0)</f>
        <v>1</v>
      </c>
      <c r="V3391" s="7" t="n">
        <f aca="false">IF(AND(R3391=1,O3391&gt;Q3391),1,0)</f>
        <v>1</v>
      </c>
      <c r="W3391" s="7" t="n">
        <f aca="false">IF(AND(T3391=1,P3391&lt;&gt;"",P3391&lt;=Q3391),1,0)</f>
        <v>0</v>
      </c>
    </row>
    <row r="3392" customFormat="false" ht="15" hidden="false" customHeight="false" outlineLevel="0" collapsed="false">
      <c r="A3392" s="7" t="s">
        <v>3987</v>
      </c>
      <c r="B3392" s="7" t="s">
        <v>46</v>
      </c>
      <c r="C3392" s="7" t="s">
        <v>47</v>
      </c>
      <c r="D3392" s="7" t="s">
        <v>48</v>
      </c>
      <c r="E3392" s="7" t="s">
        <v>49</v>
      </c>
      <c r="F3392" s="7" t="s">
        <v>50</v>
      </c>
      <c r="G3392" s="7" t="s">
        <v>20</v>
      </c>
      <c r="H3392" s="9" t="n">
        <v>46217</v>
      </c>
      <c r="I3392" s="9" t="n">
        <v>46234</v>
      </c>
      <c r="J3392" s="7" t="n">
        <v>7.5</v>
      </c>
      <c r="K3392" s="7" t="s">
        <v>3856</v>
      </c>
      <c r="L3392" s="7" t="s">
        <v>21</v>
      </c>
      <c r="M3392" s="7" t="s">
        <v>3989</v>
      </c>
      <c r="N3392" s="7" t="s">
        <v>53</v>
      </c>
      <c r="O3392" s="10" t="n">
        <f aca="false">'Exec Summary'!$E$2-H3392</f>
        <v>17</v>
      </c>
      <c r="P3392" s="10" t="n">
        <f aca="false">IF(I3392="","",I3392-H3392)</f>
        <v>17</v>
      </c>
      <c r="Q3392" s="10" t="n">
        <f aca="false">VLOOKUP(G3392,$AA$2:$AB$5,2,FALSE())</f>
        <v>30</v>
      </c>
      <c r="R3392" s="7" t="n">
        <f aca="false">IF(OR(F3392="Open",F3392="Reopened"),1,0)</f>
        <v>0</v>
      </c>
      <c r="S3392" s="7" t="n">
        <f aca="false">IF(AND(H3392&gt;='Exec Summary'!$E$1,H3392&lt;='Exec Summary'!$E$2),1,0)</f>
        <v>1</v>
      </c>
      <c r="T3392" s="7" t="n">
        <f aca="false">IF(AND(F3392="Closed",I3392&lt;&gt;"",I3392&gt;='Exec Summary'!$E$1,I3392&lt;='Exec Summary'!$E$2),1,0)</f>
        <v>1</v>
      </c>
      <c r="U3392" s="7" t="n">
        <f aca="false">IF(F3392="Reopened",1,0)</f>
        <v>0</v>
      </c>
      <c r="V3392" s="7" t="n">
        <f aca="false">IF(AND(R3392=1,O3392&gt;Q3392),1,0)</f>
        <v>0</v>
      </c>
      <c r="W3392" s="7" t="n">
        <f aca="false">IF(AND(T3392=1,P3392&lt;&gt;"",P3392&lt;=Q3392),1,0)</f>
        <v>1</v>
      </c>
    </row>
    <row r="3393" customFormat="false" ht="15" hidden="false" customHeight="false" outlineLevel="0" collapsed="false">
      <c r="A3393" s="7" t="s">
        <v>3987</v>
      </c>
      <c r="B3393" s="7" t="s">
        <v>46</v>
      </c>
      <c r="C3393" s="7" t="s">
        <v>47</v>
      </c>
      <c r="D3393" s="7" t="s">
        <v>87</v>
      </c>
      <c r="E3393" s="7" t="s">
        <v>88</v>
      </c>
      <c r="F3393" s="7" t="s">
        <v>50</v>
      </c>
      <c r="G3393" s="7" t="s">
        <v>19</v>
      </c>
      <c r="H3393" s="9" t="n">
        <v>45940</v>
      </c>
      <c r="I3393" s="9" t="n">
        <v>45947</v>
      </c>
      <c r="J3393" s="7" t="n">
        <v>10</v>
      </c>
      <c r="K3393" s="7" t="s">
        <v>3856</v>
      </c>
      <c r="L3393" s="7" t="s">
        <v>21</v>
      </c>
      <c r="M3393" s="7" t="s">
        <v>3990</v>
      </c>
      <c r="N3393" s="7" t="s">
        <v>58</v>
      </c>
      <c r="O3393" s="10" t="n">
        <f aca="false">'Exec Summary'!$E$2-H3393</f>
        <v>294</v>
      </c>
      <c r="P3393" s="10" t="n">
        <f aca="false">IF(I3393="","",I3393-H3393)</f>
        <v>7</v>
      </c>
      <c r="Q3393" s="10" t="n">
        <f aca="false">VLOOKUP(G3393,$AA$2:$AB$5,2,FALSE())</f>
        <v>15</v>
      </c>
      <c r="R3393" s="7" t="n">
        <f aca="false">IF(OR(F3393="Open",F3393="Reopened"),1,0)</f>
        <v>0</v>
      </c>
      <c r="S3393" s="7" t="n">
        <f aca="false">IF(AND(H3393&gt;='Exec Summary'!$E$1,H3393&lt;='Exec Summary'!$E$2),1,0)</f>
        <v>0</v>
      </c>
      <c r="T3393" s="7" t="n">
        <f aca="false">IF(AND(F3393="Closed",I3393&lt;&gt;"",I3393&gt;='Exec Summary'!$E$1,I3393&lt;='Exec Summary'!$E$2),1,0)</f>
        <v>0</v>
      </c>
      <c r="U3393" s="7" t="n">
        <f aca="false">IF(F3393="Reopened",1,0)</f>
        <v>0</v>
      </c>
      <c r="V3393" s="7" t="n">
        <f aca="false">IF(AND(R3393=1,O3393&gt;Q3393),1,0)</f>
        <v>0</v>
      </c>
      <c r="W3393" s="7" t="n">
        <f aca="false">IF(AND(T3393=1,P3393&lt;&gt;"",P3393&lt;=Q3393),1,0)</f>
        <v>0</v>
      </c>
    </row>
    <row r="3394" customFormat="false" ht="15" hidden="false" customHeight="false" outlineLevel="0" collapsed="false">
      <c r="A3394" s="7" t="s">
        <v>3987</v>
      </c>
      <c r="B3394" s="7" t="s">
        <v>46</v>
      </c>
      <c r="C3394" s="7" t="s">
        <v>47</v>
      </c>
      <c r="D3394" s="7" t="s">
        <v>101</v>
      </c>
      <c r="E3394" s="7" t="s">
        <v>102</v>
      </c>
      <c r="F3394" s="7" t="s">
        <v>50</v>
      </c>
      <c r="G3394" s="7" t="s">
        <v>19</v>
      </c>
      <c r="H3394" s="9" t="n">
        <v>46108</v>
      </c>
      <c r="I3394" s="9" t="n">
        <v>46134</v>
      </c>
      <c r="J3394" s="7" t="n">
        <v>10</v>
      </c>
      <c r="K3394" s="7" t="s">
        <v>3856</v>
      </c>
      <c r="L3394" s="7" t="s">
        <v>21</v>
      </c>
      <c r="M3394" s="7" t="s">
        <v>3991</v>
      </c>
      <c r="N3394" s="7" t="s">
        <v>58</v>
      </c>
      <c r="O3394" s="10" t="n">
        <f aca="false">'Exec Summary'!$E$2-H3394</f>
        <v>126</v>
      </c>
      <c r="P3394" s="10" t="n">
        <f aca="false">IF(I3394="","",I3394-H3394)</f>
        <v>26</v>
      </c>
      <c r="Q3394" s="10" t="n">
        <f aca="false">VLOOKUP(G3394,$AA$2:$AB$5,2,FALSE())</f>
        <v>15</v>
      </c>
      <c r="R3394" s="7" t="n">
        <f aca="false">IF(OR(F3394="Open",F3394="Reopened"),1,0)</f>
        <v>0</v>
      </c>
      <c r="S3394" s="7" t="n">
        <f aca="false">IF(AND(H3394&gt;='Exec Summary'!$E$1,H3394&lt;='Exec Summary'!$E$2),1,0)</f>
        <v>0</v>
      </c>
      <c r="T3394" s="7" t="n">
        <f aca="false">IF(AND(F3394="Closed",I3394&lt;&gt;"",I3394&gt;='Exec Summary'!$E$1,I3394&lt;='Exec Summary'!$E$2),1,0)</f>
        <v>0</v>
      </c>
      <c r="U3394" s="7" t="n">
        <f aca="false">IF(F3394="Reopened",1,0)</f>
        <v>0</v>
      </c>
      <c r="V3394" s="7" t="n">
        <f aca="false">IF(AND(R3394=1,O3394&gt;Q3394),1,0)</f>
        <v>0</v>
      </c>
      <c r="W3394" s="7" t="n">
        <f aca="false">IF(AND(T3394=1,P3394&lt;&gt;"",P3394&lt;=Q3394),1,0)</f>
        <v>0</v>
      </c>
    </row>
    <row r="3395" customFormat="false" ht="15" hidden="false" customHeight="false" outlineLevel="0" collapsed="false">
      <c r="A3395" s="7" t="s">
        <v>3992</v>
      </c>
      <c r="B3395" s="7" t="s">
        <v>46</v>
      </c>
      <c r="C3395" s="7" t="s">
        <v>158</v>
      </c>
      <c r="D3395" s="7" t="s">
        <v>120</v>
      </c>
      <c r="E3395" s="7" t="s">
        <v>121</v>
      </c>
      <c r="F3395" s="7" t="s">
        <v>56</v>
      </c>
      <c r="G3395" s="7" t="s">
        <v>19</v>
      </c>
      <c r="H3395" s="9" t="n">
        <v>45977</v>
      </c>
      <c r="I3395" s="9"/>
      <c r="J3395" s="7" t="n">
        <v>8.8</v>
      </c>
      <c r="K3395" s="7" t="s">
        <v>3856</v>
      </c>
      <c r="L3395" s="7" t="s">
        <v>19</v>
      </c>
      <c r="M3395" s="7" t="s">
        <v>3993</v>
      </c>
      <c r="N3395" s="7" t="s">
        <v>58</v>
      </c>
      <c r="O3395" s="10" t="n">
        <f aca="false">'Exec Summary'!$E$2-H3395</f>
        <v>257</v>
      </c>
      <c r="P3395" s="10" t="str">
        <f aca="false">IF(I3395="","",I3395-H3395)</f>
        <v/>
      </c>
      <c r="Q3395" s="10" t="n">
        <f aca="false">VLOOKUP(G3395,$AA$2:$AB$5,2,FALSE())</f>
        <v>15</v>
      </c>
      <c r="R3395" s="7" t="n">
        <f aca="false">IF(OR(F3395="Open",F3395="Reopened"),1,0)</f>
        <v>1</v>
      </c>
      <c r="S3395" s="7" t="n">
        <f aca="false">IF(AND(H3395&gt;='Exec Summary'!$E$1,H3395&lt;='Exec Summary'!$E$2),1,0)</f>
        <v>0</v>
      </c>
      <c r="T3395" s="7" t="n">
        <f aca="false">IF(AND(F3395="Closed",I3395&lt;&gt;"",I3395&gt;='Exec Summary'!$E$1,I3395&lt;='Exec Summary'!$E$2),1,0)</f>
        <v>0</v>
      </c>
      <c r="U3395" s="7" t="n">
        <f aca="false">IF(F3395="Reopened",1,0)</f>
        <v>0</v>
      </c>
      <c r="V3395" s="7" t="n">
        <f aca="false">IF(AND(R3395=1,O3395&gt;Q3395),1,0)</f>
        <v>1</v>
      </c>
      <c r="W3395" s="7" t="n">
        <f aca="false">IF(AND(T3395=1,P3395&lt;&gt;"",P3395&lt;=Q3395),1,0)</f>
        <v>0</v>
      </c>
    </row>
    <row r="3396" customFormat="false" ht="15" hidden="false" customHeight="false" outlineLevel="0" collapsed="false">
      <c r="A3396" s="7" t="s">
        <v>3992</v>
      </c>
      <c r="B3396" s="7" t="s">
        <v>46</v>
      </c>
      <c r="C3396" s="7" t="s">
        <v>158</v>
      </c>
      <c r="D3396" s="7" t="s">
        <v>71</v>
      </c>
      <c r="E3396" s="7" t="s">
        <v>72</v>
      </c>
      <c r="F3396" s="7" t="s">
        <v>56</v>
      </c>
      <c r="G3396" s="7" t="s">
        <v>19</v>
      </c>
      <c r="H3396" s="9" t="n">
        <v>46219</v>
      </c>
      <c r="I3396" s="9"/>
      <c r="J3396" s="7" t="n">
        <v>9.8</v>
      </c>
      <c r="K3396" s="7" t="s">
        <v>3856</v>
      </c>
      <c r="L3396" s="7" t="s">
        <v>19</v>
      </c>
      <c r="M3396" s="7" t="s">
        <v>3994</v>
      </c>
      <c r="N3396" s="7" t="s">
        <v>58</v>
      </c>
      <c r="O3396" s="10" t="n">
        <f aca="false">'Exec Summary'!$E$2-H3396</f>
        <v>15</v>
      </c>
      <c r="P3396" s="10" t="str">
        <f aca="false">IF(I3396="","",I3396-H3396)</f>
        <v/>
      </c>
      <c r="Q3396" s="10" t="n">
        <f aca="false">VLOOKUP(G3396,$AA$2:$AB$5,2,FALSE())</f>
        <v>15</v>
      </c>
      <c r="R3396" s="7" t="n">
        <f aca="false">IF(OR(F3396="Open",F3396="Reopened"),1,0)</f>
        <v>1</v>
      </c>
      <c r="S3396" s="7" t="n">
        <f aca="false">IF(AND(H3396&gt;='Exec Summary'!$E$1,H3396&lt;='Exec Summary'!$E$2),1,0)</f>
        <v>1</v>
      </c>
      <c r="T3396" s="7" t="n">
        <f aca="false">IF(AND(F3396="Closed",I3396&lt;&gt;"",I3396&gt;='Exec Summary'!$E$1,I3396&lt;='Exec Summary'!$E$2),1,0)</f>
        <v>0</v>
      </c>
      <c r="U3396" s="7" t="n">
        <f aca="false">IF(F3396="Reopened",1,0)</f>
        <v>0</v>
      </c>
      <c r="V3396" s="7" t="n">
        <f aca="false">IF(AND(R3396=1,O3396&gt;Q3396),1,0)</f>
        <v>0</v>
      </c>
      <c r="W3396" s="7" t="n">
        <f aca="false">IF(AND(T3396=1,P3396&lt;&gt;"",P3396&lt;=Q3396),1,0)</f>
        <v>0</v>
      </c>
    </row>
    <row r="3397" customFormat="false" ht="15" hidden="false" customHeight="false" outlineLevel="0" collapsed="false">
      <c r="A3397" s="7" t="s">
        <v>3992</v>
      </c>
      <c r="B3397" s="7" t="s">
        <v>46</v>
      </c>
      <c r="C3397" s="7" t="s">
        <v>158</v>
      </c>
      <c r="D3397" s="7" t="s">
        <v>87</v>
      </c>
      <c r="E3397" s="7" t="s">
        <v>88</v>
      </c>
      <c r="F3397" s="7" t="s">
        <v>50</v>
      </c>
      <c r="G3397" s="7" t="s">
        <v>19</v>
      </c>
      <c r="H3397" s="9" t="n">
        <v>46201</v>
      </c>
      <c r="I3397" s="9" t="n">
        <v>46217</v>
      </c>
      <c r="J3397" s="7" t="n">
        <v>10</v>
      </c>
      <c r="K3397" s="7" t="s">
        <v>3856</v>
      </c>
      <c r="L3397" s="7" t="s">
        <v>19</v>
      </c>
      <c r="M3397" s="7" t="s">
        <v>3995</v>
      </c>
      <c r="N3397" s="7" t="s">
        <v>58</v>
      </c>
      <c r="O3397" s="10" t="n">
        <f aca="false">'Exec Summary'!$E$2-H3397</f>
        <v>33</v>
      </c>
      <c r="P3397" s="10" t="n">
        <f aca="false">IF(I3397="","",I3397-H3397)</f>
        <v>16</v>
      </c>
      <c r="Q3397" s="10" t="n">
        <f aca="false">VLOOKUP(G3397,$AA$2:$AB$5,2,FALSE())</f>
        <v>15</v>
      </c>
      <c r="R3397" s="7" t="n">
        <f aca="false">IF(OR(F3397="Open",F3397="Reopened"),1,0)</f>
        <v>0</v>
      </c>
      <c r="S3397" s="7" t="n">
        <f aca="false">IF(AND(H3397&gt;='Exec Summary'!$E$1,H3397&lt;='Exec Summary'!$E$2),1,0)</f>
        <v>0</v>
      </c>
      <c r="T3397" s="7" t="n">
        <f aca="false">IF(AND(F3397="Closed",I3397&lt;&gt;"",I3397&gt;='Exec Summary'!$E$1,I3397&lt;='Exec Summary'!$E$2),1,0)</f>
        <v>1</v>
      </c>
      <c r="U3397" s="7" t="n">
        <f aca="false">IF(F3397="Reopened",1,0)</f>
        <v>0</v>
      </c>
      <c r="V3397" s="7" t="n">
        <f aca="false">IF(AND(R3397=1,O3397&gt;Q3397),1,0)</f>
        <v>0</v>
      </c>
      <c r="W3397" s="7" t="n">
        <f aca="false">IF(AND(T3397=1,P3397&lt;&gt;"",P3397&lt;=Q3397),1,0)</f>
        <v>0</v>
      </c>
    </row>
    <row r="3398" customFormat="false" ht="15" hidden="false" customHeight="false" outlineLevel="0" collapsed="false">
      <c r="A3398" s="7" t="s">
        <v>3996</v>
      </c>
      <c r="B3398" s="7" t="s">
        <v>135</v>
      </c>
      <c r="C3398" s="7" t="s">
        <v>136</v>
      </c>
      <c r="D3398" s="7" t="s">
        <v>131</v>
      </c>
      <c r="E3398" s="7" t="s">
        <v>132</v>
      </c>
      <c r="F3398" s="7" t="s">
        <v>50</v>
      </c>
      <c r="G3398" s="7" t="s">
        <v>19</v>
      </c>
      <c r="H3398" s="9" t="n">
        <v>45972</v>
      </c>
      <c r="I3398" s="9" t="n">
        <v>45974</v>
      </c>
      <c r="J3398" s="7" t="n">
        <v>9.8</v>
      </c>
      <c r="K3398" s="7" t="s">
        <v>3856</v>
      </c>
      <c r="L3398" s="7" t="s">
        <v>19</v>
      </c>
      <c r="M3398" s="7" t="s">
        <v>3997</v>
      </c>
      <c r="N3398" s="7" t="s">
        <v>58</v>
      </c>
      <c r="O3398" s="10" t="n">
        <f aca="false">'Exec Summary'!$E$2-H3398</f>
        <v>262</v>
      </c>
      <c r="P3398" s="10" t="n">
        <f aca="false">IF(I3398="","",I3398-H3398)</f>
        <v>2</v>
      </c>
      <c r="Q3398" s="10" t="n">
        <f aca="false">VLOOKUP(G3398,$AA$2:$AB$5,2,FALSE())</f>
        <v>15</v>
      </c>
      <c r="R3398" s="7" t="n">
        <f aca="false">IF(OR(F3398="Open",F3398="Reopened"),1,0)</f>
        <v>0</v>
      </c>
      <c r="S3398" s="7" t="n">
        <f aca="false">IF(AND(H3398&gt;='Exec Summary'!$E$1,H3398&lt;='Exec Summary'!$E$2),1,0)</f>
        <v>0</v>
      </c>
      <c r="T3398" s="7" t="n">
        <f aca="false">IF(AND(F3398="Closed",I3398&lt;&gt;"",I3398&gt;='Exec Summary'!$E$1,I3398&lt;='Exec Summary'!$E$2),1,0)</f>
        <v>0</v>
      </c>
      <c r="U3398" s="7" t="n">
        <f aca="false">IF(F3398="Reopened",1,0)</f>
        <v>0</v>
      </c>
      <c r="V3398" s="7" t="n">
        <f aca="false">IF(AND(R3398=1,O3398&gt;Q3398),1,0)</f>
        <v>0</v>
      </c>
      <c r="W3398" s="7" t="n">
        <f aca="false">IF(AND(T3398=1,P3398&lt;&gt;"",P3398&lt;=Q3398),1,0)</f>
        <v>0</v>
      </c>
    </row>
    <row r="3399" customFormat="false" ht="15" hidden="false" customHeight="false" outlineLevel="0" collapsed="false">
      <c r="A3399" s="7" t="s">
        <v>3996</v>
      </c>
      <c r="B3399" s="7" t="s">
        <v>135</v>
      </c>
      <c r="C3399" s="7" t="s">
        <v>136</v>
      </c>
      <c r="D3399" s="7" t="s">
        <v>152</v>
      </c>
      <c r="E3399" s="7" t="s">
        <v>153</v>
      </c>
      <c r="F3399" s="7" t="s">
        <v>50</v>
      </c>
      <c r="G3399" s="7" t="s">
        <v>20</v>
      </c>
      <c r="H3399" s="9" t="n">
        <v>46052</v>
      </c>
      <c r="I3399" s="9" t="n">
        <v>46085</v>
      </c>
      <c r="J3399" s="7" t="n">
        <v>7.5</v>
      </c>
      <c r="K3399" s="7" t="s">
        <v>3856</v>
      </c>
      <c r="L3399" s="7" t="s">
        <v>19</v>
      </c>
      <c r="M3399" s="7" t="s">
        <v>3998</v>
      </c>
      <c r="N3399" s="7" t="s">
        <v>53</v>
      </c>
      <c r="O3399" s="10" t="n">
        <f aca="false">'Exec Summary'!$E$2-H3399</f>
        <v>182</v>
      </c>
      <c r="P3399" s="10" t="n">
        <f aca="false">IF(I3399="","",I3399-H3399)</f>
        <v>33</v>
      </c>
      <c r="Q3399" s="10" t="n">
        <f aca="false">VLOOKUP(G3399,$AA$2:$AB$5,2,FALSE())</f>
        <v>30</v>
      </c>
      <c r="R3399" s="7" t="n">
        <f aca="false">IF(OR(F3399="Open",F3399="Reopened"),1,0)</f>
        <v>0</v>
      </c>
      <c r="S3399" s="7" t="n">
        <f aca="false">IF(AND(H3399&gt;='Exec Summary'!$E$1,H3399&lt;='Exec Summary'!$E$2),1,0)</f>
        <v>0</v>
      </c>
      <c r="T3399" s="7" t="n">
        <f aca="false">IF(AND(F3399="Closed",I3399&lt;&gt;"",I3399&gt;='Exec Summary'!$E$1,I3399&lt;='Exec Summary'!$E$2),1,0)</f>
        <v>0</v>
      </c>
      <c r="U3399" s="7" t="n">
        <f aca="false">IF(F3399="Reopened",1,0)</f>
        <v>0</v>
      </c>
      <c r="V3399" s="7" t="n">
        <f aca="false">IF(AND(R3399=1,O3399&gt;Q3399),1,0)</f>
        <v>0</v>
      </c>
      <c r="W3399" s="7" t="n">
        <f aca="false">IF(AND(T3399=1,P3399&lt;&gt;"",P3399&lt;=Q3399),1,0)</f>
        <v>0</v>
      </c>
    </row>
    <row r="3400" customFormat="false" ht="15" hidden="false" customHeight="false" outlineLevel="0" collapsed="false">
      <c r="A3400" s="7" t="s">
        <v>3996</v>
      </c>
      <c r="B3400" s="7" t="s">
        <v>135</v>
      </c>
      <c r="C3400" s="7" t="s">
        <v>136</v>
      </c>
      <c r="D3400" s="7" t="s">
        <v>98</v>
      </c>
      <c r="E3400" s="7" t="s">
        <v>99</v>
      </c>
      <c r="F3400" s="7" t="s">
        <v>56</v>
      </c>
      <c r="G3400" s="7" t="s">
        <v>19</v>
      </c>
      <c r="H3400" s="9" t="n">
        <v>45970</v>
      </c>
      <c r="I3400" s="9"/>
      <c r="J3400" s="7" t="n">
        <v>10</v>
      </c>
      <c r="K3400" s="7" t="s">
        <v>3856</v>
      </c>
      <c r="L3400" s="7" t="s">
        <v>19</v>
      </c>
      <c r="M3400" s="7" t="s">
        <v>3999</v>
      </c>
      <c r="N3400" s="7" t="s">
        <v>58</v>
      </c>
      <c r="O3400" s="10" t="n">
        <f aca="false">'Exec Summary'!$E$2-H3400</f>
        <v>264</v>
      </c>
      <c r="P3400" s="10" t="str">
        <f aca="false">IF(I3400="","",I3400-H3400)</f>
        <v/>
      </c>
      <c r="Q3400" s="10" t="n">
        <f aca="false">VLOOKUP(G3400,$AA$2:$AB$5,2,FALSE())</f>
        <v>15</v>
      </c>
      <c r="R3400" s="7" t="n">
        <f aca="false">IF(OR(F3400="Open",F3400="Reopened"),1,0)</f>
        <v>1</v>
      </c>
      <c r="S3400" s="7" t="n">
        <f aca="false">IF(AND(H3400&gt;='Exec Summary'!$E$1,H3400&lt;='Exec Summary'!$E$2),1,0)</f>
        <v>0</v>
      </c>
      <c r="T3400" s="7" t="n">
        <f aca="false">IF(AND(F3400="Closed",I3400&lt;&gt;"",I3400&gt;='Exec Summary'!$E$1,I3400&lt;='Exec Summary'!$E$2),1,0)</f>
        <v>0</v>
      </c>
      <c r="U3400" s="7" t="n">
        <f aca="false">IF(F3400="Reopened",1,0)</f>
        <v>0</v>
      </c>
      <c r="V3400" s="7" t="n">
        <f aca="false">IF(AND(R3400=1,O3400&gt;Q3400),1,0)</f>
        <v>1</v>
      </c>
      <c r="W3400" s="7" t="n">
        <f aca="false">IF(AND(T3400=1,P3400&lt;&gt;"",P3400&lt;=Q3400),1,0)</f>
        <v>0</v>
      </c>
    </row>
    <row r="3401" customFormat="false" ht="15" hidden="false" customHeight="false" outlineLevel="0" collapsed="false">
      <c r="A3401" s="7" t="s">
        <v>3996</v>
      </c>
      <c r="B3401" s="7" t="s">
        <v>135</v>
      </c>
      <c r="C3401" s="7" t="s">
        <v>136</v>
      </c>
      <c r="D3401" s="7" t="s">
        <v>104</v>
      </c>
      <c r="E3401" s="7" t="s">
        <v>105</v>
      </c>
      <c r="F3401" s="7" t="s">
        <v>50</v>
      </c>
      <c r="G3401" s="7" t="s">
        <v>19</v>
      </c>
      <c r="H3401" s="9" t="n">
        <v>46035</v>
      </c>
      <c r="I3401" s="9" t="n">
        <v>46036</v>
      </c>
      <c r="J3401" s="7" t="n">
        <v>9.8</v>
      </c>
      <c r="K3401" s="7" t="s">
        <v>3856</v>
      </c>
      <c r="L3401" s="7" t="s">
        <v>19</v>
      </c>
      <c r="M3401" s="7" t="s">
        <v>4000</v>
      </c>
      <c r="N3401" s="7" t="s">
        <v>58</v>
      </c>
      <c r="O3401" s="10" t="n">
        <f aca="false">'Exec Summary'!$E$2-H3401</f>
        <v>199</v>
      </c>
      <c r="P3401" s="10" t="n">
        <f aca="false">IF(I3401="","",I3401-H3401)</f>
        <v>1</v>
      </c>
      <c r="Q3401" s="10" t="n">
        <f aca="false">VLOOKUP(G3401,$AA$2:$AB$5,2,FALSE())</f>
        <v>15</v>
      </c>
      <c r="R3401" s="7" t="n">
        <f aca="false">IF(OR(F3401="Open",F3401="Reopened"),1,0)</f>
        <v>0</v>
      </c>
      <c r="S3401" s="7" t="n">
        <f aca="false">IF(AND(H3401&gt;='Exec Summary'!$E$1,H3401&lt;='Exec Summary'!$E$2),1,0)</f>
        <v>0</v>
      </c>
      <c r="T3401" s="7" t="n">
        <f aca="false">IF(AND(F3401="Closed",I3401&lt;&gt;"",I3401&gt;='Exec Summary'!$E$1,I3401&lt;='Exec Summary'!$E$2),1,0)</f>
        <v>0</v>
      </c>
      <c r="U3401" s="7" t="n">
        <f aca="false">IF(F3401="Reopened",1,0)</f>
        <v>0</v>
      </c>
      <c r="V3401" s="7" t="n">
        <f aca="false">IF(AND(R3401=1,O3401&gt;Q3401),1,0)</f>
        <v>0</v>
      </c>
      <c r="W3401" s="7" t="n">
        <f aca="false">IF(AND(T3401=1,P3401&lt;&gt;"",P3401&lt;=Q3401),1,0)</f>
        <v>0</v>
      </c>
    </row>
    <row r="3402" customFormat="false" ht="15" hidden="false" customHeight="false" outlineLevel="0" collapsed="false">
      <c r="A3402" s="7" t="s">
        <v>3996</v>
      </c>
      <c r="B3402" s="7" t="s">
        <v>135</v>
      </c>
      <c r="C3402" s="7" t="s">
        <v>136</v>
      </c>
      <c r="D3402" s="7" t="s">
        <v>81</v>
      </c>
      <c r="E3402" s="7" t="s">
        <v>82</v>
      </c>
      <c r="F3402" s="7" t="s">
        <v>50</v>
      </c>
      <c r="G3402" s="7" t="s">
        <v>20</v>
      </c>
      <c r="H3402" s="9" t="n">
        <v>45970</v>
      </c>
      <c r="I3402" s="9" t="n">
        <v>45987</v>
      </c>
      <c r="J3402" s="7" t="n">
        <v>7.8</v>
      </c>
      <c r="K3402" s="7" t="s">
        <v>3856</v>
      </c>
      <c r="L3402" s="7" t="s">
        <v>19</v>
      </c>
      <c r="M3402" s="7" t="s">
        <v>4001</v>
      </c>
      <c r="N3402" s="7" t="s">
        <v>53</v>
      </c>
      <c r="O3402" s="10" t="n">
        <f aca="false">'Exec Summary'!$E$2-H3402</f>
        <v>264</v>
      </c>
      <c r="P3402" s="10" t="n">
        <f aca="false">IF(I3402="","",I3402-H3402)</f>
        <v>17</v>
      </c>
      <c r="Q3402" s="10" t="n">
        <f aca="false">VLOOKUP(G3402,$AA$2:$AB$5,2,FALSE())</f>
        <v>30</v>
      </c>
      <c r="R3402" s="7" t="n">
        <f aca="false">IF(OR(F3402="Open",F3402="Reopened"),1,0)</f>
        <v>0</v>
      </c>
      <c r="S3402" s="7" t="n">
        <f aca="false">IF(AND(H3402&gt;='Exec Summary'!$E$1,H3402&lt;='Exec Summary'!$E$2),1,0)</f>
        <v>0</v>
      </c>
      <c r="T3402" s="7" t="n">
        <f aca="false">IF(AND(F3402="Closed",I3402&lt;&gt;"",I3402&gt;='Exec Summary'!$E$1,I3402&lt;='Exec Summary'!$E$2),1,0)</f>
        <v>0</v>
      </c>
      <c r="U3402" s="7" t="n">
        <f aca="false">IF(F3402="Reopened",1,0)</f>
        <v>0</v>
      </c>
      <c r="V3402" s="7" t="n">
        <f aca="false">IF(AND(R3402=1,O3402&gt;Q3402),1,0)</f>
        <v>0</v>
      </c>
      <c r="W3402" s="7" t="n">
        <f aca="false">IF(AND(T3402=1,P3402&lt;&gt;"",P3402&lt;=Q3402),1,0)</f>
        <v>0</v>
      </c>
    </row>
    <row r="3403" customFormat="false" ht="15" hidden="false" customHeight="false" outlineLevel="0" collapsed="false">
      <c r="A3403" s="7" t="s">
        <v>3996</v>
      </c>
      <c r="B3403" s="7" t="s">
        <v>135</v>
      </c>
      <c r="C3403" s="7" t="s">
        <v>136</v>
      </c>
      <c r="D3403" s="7" t="s">
        <v>95</v>
      </c>
      <c r="E3403" s="7" t="s">
        <v>96</v>
      </c>
      <c r="F3403" s="7" t="s">
        <v>50</v>
      </c>
      <c r="G3403" s="7" t="s">
        <v>20</v>
      </c>
      <c r="H3403" s="9" t="n">
        <v>46158</v>
      </c>
      <c r="I3403" s="9" t="n">
        <v>46172</v>
      </c>
      <c r="J3403" s="7" t="n">
        <v>8.8</v>
      </c>
      <c r="K3403" s="7" t="s">
        <v>3856</v>
      </c>
      <c r="L3403" s="7" t="s">
        <v>19</v>
      </c>
      <c r="M3403" s="7" t="s">
        <v>4002</v>
      </c>
      <c r="N3403" s="7" t="s">
        <v>53</v>
      </c>
      <c r="O3403" s="10" t="n">
        <f aca="false">'Exec Summary'!$E$2-H3403</f>
        <v>76</v>
      </c>
      <c r="P3403" s="10" t="n">
        <f aca="false">IF(I3403="","",I3403-H3403)</f>
        <v>14</v>
      </c>
      <c r="Q3403" s="10" t="n">
        <f aca="false">VLOOKUP(G3403,$AA$2:$AB$5,2,FALSE())</f>
        <v>30</v>
      </c>
      <c r="R3403" s="7" t="n">
        <f aca="false">IF(OR(F3403="Open",F3403="Reopened"),1,0)</f>
        <v>0</v>
      </c>
      <c r="S3403" s="7" t="n">
        <f aca="false">IF(AND(H3403&gt;='Exec Summary'!$E$1,H3403&lt;='Exec Summary'!$E$2),1,0)</f>
        <v>0</v>
      </c>
      <c r="T3403" s="7" t="n">
        <f aca="false">IF(AND(F3403="Closed",I3403&lt;&gt;"",I3403&gt;='Exec Summary'!$E$1,I3403&lt;='Exec Summary'!$E$2),1,0)</f>
        <v>0</v>
      </c>
      <c r="U3403" s="7" t="n">
        <f aca="false">IF(F3403="Reopened",1,0)</f>
        <v>0</v>
      </c>
      <c r="V3403" s="7" t="n">
        <f aca="false">IF(AND(R3403=1,O3403&gt;Q3403),1,0)</f>
        <v>0</v>
      </c>
      <c r="W3403" s="7" t="n">
        <f aca="false">IF(AND(T3403=1,P3403&lt;&gt;"",P3403&lt;=Q3403),1,0)</f>
        <v>0</v>
      </c>
    </row>
    <row r="3404" customFormat="false" ht="15" hidden="false" customHeight="false" outlineLevel="0" collapsed="false">
      <c r="A3404" s="7" t="s">
        <v>3996</v>
      </c>
      <c r="B3404" s="7" t="s">
        <v>135</v>
      </c>
      <c r="C3404" s="7" t="s">
        <v>136</v>
      </c>
      <c r="D3404" s="7" t="s">
        <v>117</v>
      </c>
      <c r="E3404" s="7" t="s">
        <v>118</v>
      </c>
      <c r="F3404" s="7" t="s">
        <v>123</v>
      </c>
      <c r="G3404" s="7" t="s">
        <v>19</v>
      </c>
      <c r="H3404" s="9" t="n">
        <v>46210</v>
      </c>
      <c r="I3404" s="9" t="n">
        <v>46211</v>
      </c>
      <c r="J3404" s="7" t="n">
        <v>10</v>
      </c>
      <c r="K3404" s="7" t="s">
        <v>3856</v>
      </c>
      <c r="L3404" s="7" t="s">
        <v>19</v>
      </c>
      <c r="M3404" s="7" t="s">
        <v>4003</v>
      </c>
      <c r="N3404" s="7" t="s">
        <v>58</v>
      </c>
      <c r="O3404" s="10" t="n">
        <f aca="false">'Exec Summary'!$E$2-H3404</f>
        <v>24</v>
      </c>
      <c r="P3404" s="10" t="n">
        <f aca="false">IF(I3404="","",I3404-H3404)</f>
        <v>1</v>
      </c>
      <c r="Q3404" s="10" t="n">
        <f aca="false">VLOOKUP(G3404,$AA$2:$AB$5,2,FALSE())</f>
        <v>15</v>
      </c>
      <c r="R3404" s="7" t="n">
        <f aca="false">IF(OR(F3404="Open",F3404="Reopened"),1,0)</f>
        <v>1</v>
      </c>
      <c r="S3404" s="7" t="n">
        <f aca="false">IF(AND(H3404&gt;='Exec Summary'!$E$1,H3404&lt;='Exec Summary'!$E$2),1,0)</f>
        <v>1</v>
      </c>
      <c r="T3404" s="7" t="n">
        <f aca="false">IF(AND(F3404="Closed",I3404&lt;&gt;"",I3404&gt;='Exec Summary'!$E$1,I3404&lt;='Exec Summary'!$E$2),1,0)</f>
        <v>0</v>
      </c>
      <c r="U3404" s="7" t="n">
        <f aca="false">IF(F3404="Reopened",1,0)</f>
        <v>1</v>
      </c>
      <c r="V3404" s="7" t="n">
        <f aca="false">IF(AND(R3404=1,O3404&gt;Q3404),1,0)</f>
        <v>1</v>
      </c>
      <c r="W3404" s="7" t="n">
        <f aca="false">IF(AND(T3404=1,P3404&lt;&gt;"",P3404&lt;=Q3404),1,0)</f>
        <v>0</v>
      </c>
    </row>
    <row r="3405" customFormat="false" ht="15" hidden="false" customHeight="false" outlineLevel="0" collapsed="false">
      <c r="A3405" s="7" t="s">
        <v>3996</v>
      </c>
      <c r="B3405" s="7" t="s">
        <v>135</v>
      </c>
      <c r="C3405" s="7" t="s">
        <v>136</v>
      </c>
      <c r="D3405" s="7" t="s">
        <v>84</v>
      </c>
      <c r="E3405" s="7" t="s">
        <v>85</v>
      </c>
      <c r="F3405" s="7" t="s">
        <v>56</v>
      </c>
      <c r="G3405" s="7" t="s">
        <v>20</v>
      </c>
      <c r="H3405" s="9" t="n">
        <v>46155</v>
      </c>
      <c r="I3405" s="9"/>
      <c r="J3405" s="7" t="n">
        <v>7.5</v>
      </c>
      <c r="K3405" s="7" t="s">
        <v>3856</v>
      </c>
      <c r="L3405" s="7" t="s">
        <v>19</v>
      </c>
      <c r="M3405" s="7" t="s">
        <v>4004</v>
      </c>
      <c r="N3405" s="7" t="s">
        <v>53</v>
      </c>
      <c r="O3405" s="10" t="n">
        <f aca="false">'Exec Summary'!$E$2-H3405</f>
        <v>79</v>
      </c>
      <c r="P3405" s="10" t="str">
        <f aca="false">IF(I3405="","",I3405-H3405)</f>
        <v/>
      </c>
      <c r="Q3405" s="10" t="n">
        <f aca="false">VLOOKUP(G3405,$AA$2:$AB$5,2,FALSE())</f>
        <v>30</v>
      </c>
      <c r="R3405" s="7" t="n">
        <f aca="false">IF(OR(F3405="Open",F3405="Reopened"),1,0)</f>
        <v>1</v>
      </c>
      <c r="S3405" s="7" t="n">
        <f aca="false">IF(AND(H3405&gt;='Exec Summary'!$E$1,H3405&lt;='Exec Summary'!$E$2),1,0)</f>
        <v>0</v>
      </c>
      <c r="T3405" s="7" t="n">
        <f aca="false">IF(AND(F3405="Closed",I3405&lt;&gt;"",I3405&gt;='Exec Summary'!$E$1,I3405&lt;='Exec Summary'!$E$2),1,0)</f>
        <v>0</v>
      </c>
      <c r="U3405" s="7" t="n">
        <f aca="false">IF(F3405="Reopened",1,0)</f>
        <v>0</v>
      </c>
      <c r="V3405" s="7" t="n">
        <f aca="false">IF(AND(R3405=1,O3405&gt;Q3405),1,0)</f>
        <v>1</v>
      </c>
      <c r="W3405" s="7" t="n">
        <f aca="false">IF(AND(T3405=1,P3405&lt;&gt;"",P3405&lt;=Q3405),1,0)</f>
        <v>0</v>
      </c>
    </row>
    <row r="3406" customFormat="false" ht="15" hidden="false" customHeight="false" outlineLevel="0" collapsed="false">
      <c r="A3406" s="7" t="s">
        <v>3996</v>
      </c>
      <c r="B3406" s="7" t="s">
        <v>135</v>
      </c>
      <c r="C3406" s="7" t="s">
        <v>136</v>
      </c>
      <c r="D3406" s="7" t="s">
        <v>48</v>
      </c>
      <c r="E3406" s="7" t="s">
        <v>49</v>
      </c>
      <c r="F3406" s="7" t="s">
        <v>50</v>
      </c>
      <c r="G3406" s="7" t="s">
        <v>20</v>
      </c>
      <c r="H3406" s="9" t="n">
        <v>45947</v>
      </c>
      <c r="I3406" s="9" t="n">
        <v>45994</v>
      </c>
      <c r="J3406" s="7" t="n">
        <v>7.5</v>
      </c>
      <c r="K3406" s="7" t="s">
        <v>3856</v>
      </c>
      <c r="L3406" s="7" t="s">
        <v>19</v>
      </c>
      <c r="M3406" s="7" t="s">
        <v>4005</v>
      </c>
      <c r="N3406" s="7" t="s">
        <v>53</v>
      </c>
      <c r="O3406" s="10" t="n">
        <f aca="false">'Exec Summary'!$E$2-H3406</f>
        <v>287</v>
      </c>
      <c r="P3406" s="10" t="n">
        <f aca="false">IF(I3406="","",I3406-H3406)</f>
        <v>47</v>
      </c>
      <c r="Q3406" s="10" t="n">
        <f aca="false">VLOOKUP(G3406,$AA$2:$AB$5,2,FALSE())</f>
        <v>30</v>
      </c>
      <c r="R3406" s="7" t="n">
        <f aca="false">IF(OR(F3406="Open",F3406="Reopened"),1,0)</f>
        <v>0</v>
      </c>
      <c r="S3406" s="7" t="n">
        <f aca="false">IF(AND(H3406&gt;='Exec Summary'!$E$1,H3406&lt;='Exec Summary'!$E$2),1,0)</f>
        <v>0</v>
      </c>
      <c r="T3406" s="7" t="n">
        <f aca="false">IF(AND(F3406="Closed",I3406&lt;&gt;"",I3406&gt;='Exec Summary'!$E$1,I3406&lt;='Exec Summary'!$E$2),1,0)</f>
        <v>0</v>
      </c>
      <c r="U3406" s="7" t="n">
        <f aca="false">IF(F3406="Reopened",1,0)</f>
        <v>0</v>
      </c>
      <c r="V3406" s="7" t="n">
        <f aca="false">IF(AND(R3406=1,O3406&gt;Q3406),1,0)</f>
        <v>0</v>
      </c>
      <c r="W3406" s="7" t="n">
        <f aca="false">IF(AND(T3406=1,P3406&lt;&gt;"",P3406&lt;=Q3406),1,0)</f>
        <v>0</v>
      </c>
    </row>
    <row r="3407" customFormat="false" ht="15" hidden="false" customHeight="false" outlineLevel="0" collapsed="false">
      <c r="A3407" s="7" t="s">
        <v>3996</v>
      </c>
      <c r="B3407" s="7" t="s">
        <v>135</v>
      </c>
      <c r="C3407" s="7" t="s">
        <v>136</v>
      </c>
      <c r="D3407" s="7" t="s">
        <v>54</v>
      </c>
      <c r="E3407" s="7" t="s">
        <v>55</v>
      </c>
      <c r="F3407" s="7" t="s">
        <v>50</v>
      </c>
      <c r="G3407" s="7" t="s">
        <v>19</v>
      </c>
      <c r="H3407" s="9" t="n">
        <v>46071</v>
      </c>
      <c r="I3407" s="9" t="n">
        <v>46079</v>
      </c>
      <c r="J3407" s="7" t="n">
        <v>9.8</v>
      </c>
      <c r="K3407" s="7" t="s">
        <v>3856</v>
      </c>
      <c r="L3407" s="7" t="s">
        <v>19</v>
      </c>
      <c r="M3407" s="7" t="s">
        <v>4006</v>
      </c>
      <c r="N3407" s="7" t="s">
        <v>58</v>
      </c>
      <c r="O3407" s="10" t="n">
        <f aca="false">'Exec Summary'!$E$2-H3407</f>
        <v>163</v>
      </c>
      <c r="P3407" s="10" t="n">
        <f aca="false">IF(I3407="","",I3407-H3407)</f>
        <v>8</v>
      </c>
      <c r="Q3407" s="10" t="n">
        <f aca="false">VLOOKUP(G3407,$AA$2:$AB$5,2,FALSE())</f>
        <v>15</v>
      </c>
      <c r="R3407" s="7" t="n">
        <f aca="false">IF(OR(F3407="Open",F3407="Reopened"),1,0)</f>
        <v>0</v>
      </c>
      <c r="S3407" s="7" t="n">
        <f aca="false">IF(AND(H3407&gt;='Exec Summary'!$E$1,H3407&lt;='Exec Summary'!$E$2),1,0)</f>
        <v>0</v>
      </c>
      <c r="T3407" s="7" t="n">
        <f aca="false">IF(AND(F3407="Closed",I3407&lt;&gt;"",I3407&gt;='Exec Summary'!$E$1,I3407&lt;='Exec Summary'!$E$2),1,0)</f>
        <v>0</v>
      </c>
      <c r="U3407" s="7" t="n">
        <f aca="false">IF(F3407="Reopened",1,0)</f>
        <v>0</v>
      </c>
      <c r="V3407" s="7" t="n">
        <f aca="false">IF(AND(R3407=1,O3407&gt;Q3407),1,0)</f>
        <v>0</v>
      </c>
      <c r="W3407" s="7" t="n">
        <f aca="false">IF(AND(T3407=1,P3407&lt;&gt;"",P3407&lt;=Q3407),1,0)</f>
        <v>0</v>
      </c>
    </row>
    <row r="3408" customFormat="false" ht="15" hidden="false" customHeight="false" outlineLevel="0" collapsed="false">
      <c r="A3408" s="7" t="s">
        <v>3996</v>
      </c>
      <c r="B3408" s="7" t="s">
        <v>135</v>
      </c>
      <c r="C3408" s="7" t="s">
        <v>136</v>
      </c>
      <c r="D3408" s="7" t="s">
        <v>206</v>
      </c>
      <c r="E3408" s="7" t="s">
        <v>207</v>
      </c>
      <c r="F3408" s="7" t="s">
        <v>50</v>
      </c>
      <c r="G3408" s="7" t="s">
        <v>20</v>
      </c>
      <c r="H3408" s="9" t="n">
        <v>46174</v>
      </c>
      <c r="I3408" s="9" t="n">
        <v>46186</v>
      </c>
      <c r="J3408" s="7" t="n">
        <v>8.8</v>
      </c>
      <c r="K3408" s="7" t="s">
        <v>3856</v>
      </c>
      <c r="L3408" s="7" t="s">
        <v>19</v>
      </c>
      <c r="M3408" s="7" t="s">
        <v>4007</v>
      </c>
      <c r="N3408" s="7" t="s">
        <v>53</v>
      </c>
      <c r="O3408" s="10" t="n">
        <f aca="false">'Exec Summary'!$E$2-H3408</f>
        <v>60</v>
      </c>
      <c r="P3408" s="10" t="n">
        <f aca="false">IF(I3408="","",I3408-H3408)</f>
        <v>12</v>
      </c>
      <c r="Q3408" s="10" t="n">
        <f aca="false">VLOOKUP(G3408,$AA$2:$AB$5,2,FALSE())</f>
        <v>30</v>
      </c>
      <c r="R3408" s="7" t="n">
        <f aca="false">IF(OR(F3408="Open",F3408="Reopened"),1,0)</f>
        <v>0</v>
      </c>
      <c r="S3408" s="7" t="n">
        <f aca="false">IF(AND(H3408&gt;='Exec Summary'!$E$1,H3408&lt;='Exec Summary'!$E$2),1,0)</f>
        <v>0</v>
      </c>
      <c r="T3408" s="7" t="n">
        <f aca="false">IF(AND(F3408="Closed",I3408&lt;&gt;"",I3408&gt;='Exec Summary'!$E$1,I3408&lt;='Exec Summary'!$E$2),1,0)</f>
        <v>0</v>
      </c>
      <c r="U3408" s="7" t="n">
        <f aca="false">IF(F3408="Reopened",1,0)</f>
        <v>0</v>
      </c>
      <c r="V3408" s="7" t="n">
        <f aca="false">IF(AND(R3408=1,O3408&gt;Q3408),1,0)</f>
        <v>0</v>
      </c>
      <c r="W3408" s="7" t="n">
        <f aca="false">IF(AND(T3408=1,P3408&lt;&gt;"",P3408&lt;=Q3408),1,0)</f>
        <v>0</v>
      </c>
    </row>
    <row r="3409" customFormat="false" ht="15" hidden="false" customHeight="false" outlineLevel="0" collapsed="false">
      <c r="A3409" s="7" t="s">
        <v>3996</v>
      </c>
      <c r="B3409" s="7" t="s">
        <v>135</v>
      </c>
      <c r="C3409" s="7" t="s">
        <v>136</v>
      </c>
      <c r="D3409" s="7" t="s">
        <v>91</v>
      </c>
      <c r="E3409" s="7" t="s">
        <v>92</v>
      </c>
      <c r="F3409" s="7" t="s">
        <v>56</v>
      </c>
      <c r="G3409" s="7" t="s">
        <v>20</v>
      </c>
      <c r="H3409" s="9" t="n">
        <v>46185</v>
      </c>
      <c r="I3409" s="9"/>
      <c r="J3409" s="7" t="n">
        <v>8.1</v>
      </c>
      <c r="K3409" s="7" t="s">
        <v>3856</v>
      </c>
      <c r="L3409" s="7" t="s">
        <v>19</v>
      </c>
      <c r="M3409" s="7" t="s">
        <v>4008</v>
      </c>
      <c r="N3409" s="7" t="s">
        <v>53</v>
      </c>
      <c r="O3409" s="10" t="n">
        <f aca="false">'Exec Summary'!$E$2-H3409</f>
        <v>49</v>
      </c>
      <c r="P3409" s="10" t="str">
        <f aca="false">IF(I3409="","",I3409-H3409)</f>
        <v/>
      </c>
      <c r="Q3409" s="10" t="n">
        <f aca="false">VLOOKUP(G3409,$AA$2:$AB$5,2,FALSE())</f>
        <v>30</v>
      </c>
      <c r="R3409" s="7" t="n">
        <f aca="false">IF(OR(F3409="Open",F3409="Reopened"),1,0)</f>
        <v>1</v>
      </c>
      <c r="S3409" s="7" t="n">
        <f aca="false">IF(AND(H3409&gt;='Exec Summary'!$E$1,H3409&lt;='Exec Summary'!$E$2),1,0)</f>
        <v>0</v>
      </c>
      <c r="T3409" s="7" t="n">
        <f aca="false">IF(AND(F3409="Closed",I3409&lt;&gt;"",I3409&gt;='Exec Summary'!$E$1,I3409&lt;='Exec Summary'!$E$2),1,0)</f>
        <v>0</v>
      </c>
      <c r="U3409" s="7" t="n">
        <f aca="false">IF(F3409="Reopened",1,0)</f>
        <v>0</v>
      </c>
      <c r="V3409" s="7" t="n">
        <f aca="false">IF(AND(R3409=1,O3409&gt;Q3409),1,0)</f>
        <v>1</v>
      </c>
      <c r="W3409" s="7" t="n">
        <f aca="false">IF(AND(T3409=1,P3409&lt;&gt;"",P3409&lt;=Q3409),1,0)</f>
        <v>0</v>
      </c>
    </row>
    <row r="3410" customFormat="false" ht="15" hidden="false" customHeight="false" outlineLevel="0" collapsed="false">
      <c r="A3410" s="7" t="s">
        <v>4009</v>
      </c>
      <c r="B3410" s="7" t="s">
        <v>46</v>
      </c>
      <c r="C3410" s="7" t="s">
        <v>47</v>
      </c>
      <c r="D3410" s="7" t="s">
        <v>173</v>
      </c>
      <c r="E3410" s="7" t="s">
        <v>174</v>
      </c>
      <c r="F3410" s="7" t="s">
        <v>50</v>
      </c>
      <c r="G3410" s="7" t="s">
        <v>19</v>
      </c>
      <c r="H3410" s="9" t="n">
        <v>45952</v>
      </c>
      <c r="I3410" s="9" t="n">
        <v>45965</v>
      </c>
      <c r="J3410" s="7" t="n">
        <v>9.8</v>
      </c>
      <c r="K3410" s="7" t="s">
        <v>3856</v>
      </c>
      <c r="L3410" s="7" t="s">
        <v>19</v>
      </c>
      <c r="M3410" s="7" t="s">
        <v>4010</v>
      </c>
      <c r="N3410" s="7" t="s">
        <v>58</v>
      </c>
      <c r="O3410" s="10" t="n">
        <f aca="false">'Exec Summary'!$E$2-H3410</f>
        <v>282</v>
      </c>
      <c r="P3410" s="10" t="n">
        <f aca="false">IF(I3410="","",I3410-H3410)</f>
        <v>13</v>
      </c>
      <c r="Q3410" s="10" t="n">
        <f aca="false">VLOOKUP(G3410,$AA$2:$AB$5,2,FALSE())</f>
        <v>15</v>
      </c>
      <c r="R3410" s="7" t="n">
        <f aca="false">IF(OR(F3410="Open",F3410="Reopened"),1,0)</f>
        <v>0</v>
      </c>
      <c r="S3410" s="7" t="n">
        <f aca="false">IF(AND(H3410&gt;='Exec Summary'!$E$1,H3410&lt;='Exec Summary'!$E$2),1,0)</f>
        <v>0</v>
      </c>
      <c r="T3410" s="7" t="n">
        <f aca="false">IF(AND(F3410="Closed",I3410&lt;&gt;"",I3410&gt;='Exec Summary'!$E$1,I3410&lt;='Exec Summary'!$E$2),1,0)</f>
        <v>0</v>
      </c>
      <c r="U3410" s="7" t="n">
        <f aca="false">IF(F3410="Reopened",1,0)</f>
        <v>0</v>
      </c>
      <c r="V3410" s="7" t="n">
        <f aca="false">IF(AND(R3410=1,O3410&gt;Q3410),1,0)</f>
        <v>0</v>
      </c>
      <c r="W3410" s="7" t="n">
        <f aca="false">IF(AND(T3410=1,P3410&lt;&gt;"",P3410&lt;=Q3410),1,0)</f>
        <v>0</v>
      </c>
    </row>
    <row r="3411" customFormat="false" ht="15" hidden="false" customHeight="false" outlineLevel="0" collapsed="false">
      <c r="A3411" s="7" t="s">
        <v>4009</v>
      </c>
      <c r="B3411" s="7" t="s">
        <v>46</v>
      </c>
      <c r="C3411" s="7" t="s">
        <v>47</v>
      </c>
      <c r="D3411" s="7" t="s">
        <v>139</v>
      </c>
      <c r="E3411" s="7" t="s">
        <v>140</v>
      </c>
      <c r="F3411" s="7" t="s">
        <v>56</v>
      </c>
      <c r="G3411" s="7" t="s">
        <v>19</v>
      </c>
      <c r="H3411" s="9" t="n">
        <v>45993</v>
      </c>
      <c r="I3411" s="9"/>
      <c r="J3411" s="7" t="n">
        <v>9.8</v>
      </c>
      <c r="K3411" s="7" t="s">
        <v>3856</v>
      </c>
      <c r="L3411" s="7" t="s">
        <v>19</v>
      </c>
      <c r="M3411" s="7" t="s">
        <v>4011</v>
      </c>
      <c r="N3411" s="7" t="s">
        <v>58</v>
      </c>
      <c r="O3411" s="10" t="n">
        <f aca="false">'Exec Summary'!$E$2-H3411</f>
        <v>241</v>
      </c>
      <c r="P3411" s="10" t="str">
        <f aca="false">IF(I3411="","",I3411-H3411)</f>
        <v/>
      </c>
      <c r="Q3411" s="10" t="n">
        <f aca="false">VLOOKUP(G3411,$AA$2:$AB$5,2,FALSE())</f>
        <v>15</v>
      </c>
      <c r="R3411" s="7" t="n">
        <f aca="false">IF(OR(F3411="Open",F3411="Reopened"),1,0)</f>
        <v>1</v>
      </c>
      <c r="S3411" s="7" t="n">
        <f aca="false">IF(AND(H3411&gt;='Exec Summary'!$E$1,H3411&lt;='Exec Summary'!$E$2),1,0)</f>
        <v>0</v>
      </c>
      <c r="T3411" s="7" t="n">
        <f aca="false">IF(AND(F3411="Closed",I3411&lt;&gt;"",I3411&gt;='Exec Summary'!$E$1,I3411&lt;='Exec Summary'!$E$2),1,0)</f>
        <v>0</v>
      </c>
      <c r="U3411" s="7" t="n">
        <f aca="false">IF(F3411="Reopened",1,0)</f>
        <v>0</v>
      </c>
      <c r="V3411" s="7" t="n">
        <f aca="false">IF(AND(R3411=1,O3411&gt;Q3411),1,0)</f>
        <v>1</v>
      </c>
      <c r="W3411" s="7" t="n">
        <f aca="false">IF(AND(T3411=1,P3411&lt;&gt;"",P3411&lt;=Q3411),1,0)</f>
        <v>0</v>
      </c>
    </row>
    <row r="3412" customFormat="false" ht="15" hidden="false" customHeight="false" outlineLevel="0" collapsed="false">
      <c r="A3412" s="7" t="s">
        <v>4009</v>
      </c>
      <c r="B3412" s="7" t="s">
        <v>46</v>
      </c>
      <c r="C3412" s="7" t="s">
        <v>47</v>
      </c>
      <c r="D3412" s="7" t="s">
        <v>87</v>
      </c>
      <c r="E3412" s="7" t="s">
        <v>88</v>
      </c>
      <c r="F3412" s="7" t="s">
        <v>56</v>
      </c>
      <c r="G3412" s="7" t="s">
        <v>19</v>
      </c>
      <c r="H3412" s="9" t="n">
        <v>46197</v>
      </c>
      <c r="I3412" s="9"/>
      <c r="J3412" s="7" t="n">
        <v>10</v>
      </c>
      <c r="K3412" s="7" t="s">
        <v>3856</v>
      </c>
      <c r="L3412" s="7" t="s">
        <v>19</v>
      </c>
      <c r="M3412" s="7" t="s">
        <v>4012</v>
      </c>
      <c r="N3412" s="7" t="s">
        <v>58</v>
      </c>
      <c r="O3412" s="10" t="n">
        <f aca="false">'Exec Summary'!$E$2-H3412</f>
        <v>37</v>
      </c>
      <c r="P3412" s="10" t="str">
        <f aca="false">IF(I3412="","",I3412-H3412)</f>
        <v/>
      </c>
      <c r="Q3412" s="10" t="n">
        <f aca="false">VLOOKUP(G3412,$AA$2:$AB$5,2,FALSE())</f>
        <v>15</v>
      </c>
      <c r="R3412" s="7" t="n">
        <f aca="false">IF(OR(F3412="Open",F3412="Reopened"),1,0)</f>
        <v>1</v>
      </c>
      <c r="S3412" s="7" t="n">
        <f aca="false">IF(AND(H3412&gt;='Exec Summary'!$E$1,H3412&lt;='Exec Summary'!$E$2),1,0)</f>
        <v>0</v>
      </c>
      <c r="T3412" s="7" t="n">
        <f aca="false">IF(AND(F3412="Closed",I3412&lt;&gt;"",I3412&gt;='Exec Summary'!$E$1,I3412&lt;='Exec Summary'!$E$2),1,0)</f>
        <v>0</v>
      </c>
      <c r="U3412" s="7" t="n">
        <f aca="false">IF(F3412="Reopened",1,0)</f>
        <v>0</v>
      </c>
      <c r="V3412" s="7" t="n">
        <f aca="false">IF(AND(R3412=1,O3412&gt;Q3412),1,0)</f>
        <v>1</v>
      </c>
      <c r="W3412" s="7" t="n">
        <f aca="false">IF(AND(T3412=1,P3412&lt;&gt;"",P3412&lt;=Q3412),1,0)</f>
        <v>0</v>
      </c>
    </row>
    <row r="3413" customFormat="false" ht="15" hidden="false" customHeight="false" outlineLevel="0" collapsed="false">
      <c r="A3413" s="7" t="s">
        <v>4009</v>
      </c>
      <c r="B3413" s="7" t="s">
        <v>46</v>
      </c>
      <c r="C3413" s="7" t="s">
        <v>47</v>
      </c>
      <c r="D3413" s="7" t="s">
        <v>117</v>
      </c>
      <c r="E3413" s="7" t="s">
        <v>118</v>
      </c>
      <c r="F3413" s="7" t="s">
        <v>50</v>
      </c>
      <c r="G3413" s="7" t="s">
        <v>19</v>
      </c>
      <c r="H3413" s="9" t="n">
        <v>46211</v>
      </c>
      <c r="I3413" s="9" t="n">
        <v>46229</v>
      </c>
      <c r="J3413" s="7" t="n">
        <v>10</v>
      </c>
      <c r="K3413" s="7" t="s">
        <v>3856</v>
      </c>
      <c r="L3413" s="7" t="s">
        <v>19</v>
      </c>
      <c r="M3413" s="7" t="s">
        <v>4013</v>
      </c>
      <c r="N3413" s="7" t="s">
        <v>58</v>
      </c>
      <c r="O3413" s="10" t="n">
        <f aca="false">'Exec Summary'!$E$2-H3413</f>
        <v>23</v>
      </c>
      <c r="P3413" s="10" t="n">
        <f aca="false">IF(I3413="","",I3413-H3413)</f>
        <v>18</v>
      </c>
      <c r="Q3413" s="10" t="n">
        <f aca="false">VLOOKUP(G3413,$AA$2:$AB$5,2,FALSE())</f>
        <v>15</v>
      </c>
      <c r="R3413" s="7" t="n">
        <f aca="false">IF(OR(F3413="Open",F3413="Reopened"),1,0)</f>
        <v>0</v>
      </c>
      <c r="S3413" s="7" t="n">
        <f aca="false">IF(AND(H3413&gt;='Exec Summary'!$E$1,H3413&lt;='Exec Summary'!$E$2),1,0)</f>
        <v>1</v>
      </c>
      <c r="T3413" s="7" t="n">
        <f aca="false">IF(AND(F3413="Closed",I3413&lt;&gt;"",I3413&gt;='Exec Summary'!$E$1,I3413&lt;='Exec Summary'!$E$2),1,0)</f>
        <v>1</v>
      </c>
      <c r="U3413" s="7" t="n">
        <f aca="false">IF(F3413="Reopened",1,0)</f>
        <v>0</v>
      </c>
      <c r="V3413" s="7" t="n">
        <f aca="false">IF(AND(R3413=1,O3413&gt;Q3413),1,0)</f>
        <v>0</v>
      </c>
      <c r="W3413" s="7" t="n">
        <f aca="false">IF(AND(T3413=1,P3413&lt;&gt;"",P3413&lt;=Q3413),1,0)</f>
        <v>0</v>
      </c>
    </row>
    <row r="3414" customFormat="false" ht="15" hidden="false" customHeight="false" outlineLevel="0" collapsed="false">
      <c r="A3414" s="7" t="s">
        <v>4009</v>
      </c>
      <c r="B3414" s="7" t="s">
        <v>46</v>
      </c>
      <c r="C3414" s="7" t="s">
        <v>47</v>
      </c>
      <c r="D3414" s="7" t="s">
        <v>145</v>
      </c>
      <c r="E3414" s="7" t="s">
        <v>146</v>
      </c>
      <c r="F3414" s="7" t="s">
        <v>56</v>
      </c>
      <c r="G3414" s="7" t="s">
        <v>19</v>
      </c>
      <c r="H3414" s="9" t="n">
        <v>46160</v>
      </c>
      <c r="I3414" s="9"/>
      <c r="J3414" s="7" t="n">
        <v>9.8</v>
      </c>
      <c r="K3414" s="7" t="s">
        <v>3856</v>
      </c>
      <c r="L3414" s="7" t="s">
        <v>19</v>
      </c>
      <c r="M3414" s="7" t="s">
        <v>4014</v>
      </c>
      <c r="N3414" s="7" t="s">
        <v>58</v>
      </c>
      <c r="O3414" s="10" t="n">
        <f aca="false">'Exec Summary'!$E$2-H3414</f>
        <v>74</v>
      </c>
      <c r="P3414" s="10" t="str">
        <f aca="false">IF(I3414="","",I3414-H3414)</f>
        <v/>
      </c>
      <c r="Q3414" s="10" t="n">
        <f aca="false">VLOOKUP(G3414,$AA$2:$AB$5,2,FALSE())</f>
        <v>15</v>
      </c>
      <c r="R3414" s="7" t="n">
        <f aca="false">IF(OR(F3414="Open",F3414="Reopened"),1,0)</f>
        <v>1</v>
      </c>
      <c r="S3414" s="7" t="n">
        <f aca="false">IF(AND(H3414&gt;='Exec Summary'!$E$1,H3414&lt;='Exec Summary'!$E$2),1,0)</f>
        <v>0</v>
      </c>
      <c r="T3414" s="7" t="n">
        <f aca="false">IF(AND(F3414="Closed",I3414&lt;&gt;"",I3414&gt;='Exec Summary'!$E$1,I3414&lt;='Exec Summary'!$E$2),1,0)</f>
        <v>0</v>
      </c>
      <c r="U3414" s="7" t="n">
        <f aca="false">IF(F3414="Reopened",1,0)</f>
        <v>0</v>
      </c>
      <c r="V3414" s="7" t="n">
        <f aca="false">IF(AND(R3414=1,O3414&gt;Q3414),1,0)</f>
        <v>1</v>
      </c>
      <c r="W3414" s="7" t="n">
        <f aca="false">IF(AND(T3414=1,P3414&lt;&gt;"",P3414&lt;=Q3414),1,0)</f>
        <v>0</v>
      </c>
    </row>
    <row r="3415" customFormat="false" ht="15" hidden="false" customHeight="false" outlineLevel="0" collapsed="false">
      <c r="A3415" s="7" t="s">
        <v>4009</v>
      </c>
      <c r="B3415" s="7" t="s">
        <v>46</v>
      </c>
      <c r="C3415" s="7" t="s">
        <v>47</v>
      </c>
      <c r="D3415" s="7" t="s">
        <v>152</v>
      </c>
      <c r="E3415" s="7" t="s">
        <v>153</v>
      </c>
      <c r="F3415" s="7" t="s">
        <v>50</v>
      </c>
      <c r="G3415" s="7" t="s">
        <v>20</v>
      </c>
      <c r="H3415" s="9" t="n">
        <v>46070</v>
      </c>
      <c r="I3415" s="9" t="n">
        <v>46097</v>
      </c>
      <c r="J3415" s="7" t="n">
        <v>7.5</v>
      </c>
      <c r="K3415" s="7" t="s">
        <v>3856</v>
      </c>
      <c r="L3415" s="7" t="s">
        <v>19</v>
      </c>
      <c r="M3415" s="7" t="s">
        <v>4015</v>
      </c>
      <c r="N3415" s="7" t="s">
        <v>53</v>
      </c>
      <c r="O3415" s="10" t="n">
        <f aca="false">'Exec Summary'!$E$2-H3415</f>
        <v>164</v>
      </c>
      <c r="P3415" s="10" t="n">
        <f aca="false">IF(I3415="","",I3415-H3415)</f>
        <v>27</v>
      </c>
      <c r="Q3415" s="10" t="n">
        <f aca="false">VLOOKUP(G3415,$AA$2:$AB$5,2,FALSE())</f>
        <v>30</v>
      </c>
      <c r="R3415" s="7" t="n">
        <f aca="false">IF(OR(F3415="Open",F3415="Reopened"),1,0)</f>
        <v>0</v>
      </c>
      <c r="S3415" s="7" t="n">
        <f aca="false">IF(AND(H3415&gt;='Exec Summary'!$E$1,H3415&lt;='Exec Summary'!$E$2),1,0)</f>
        <v>0</v>
      </c>
      <c r="T3415" s="7" t="n">
        <f aca="false">IF(AND(F3415="Closed",I3415&lt;&gt;"",I3415&gt;='Exec Summary'!$E$1,I3415&lt;='Exec Summary'!$E$2),1,0)</f>
        <v>0</v>
      </c>
      <c r="U3415" s="7" t="n">
        <f aca="false">IF(F3415="Reopened",1,0)</f>
        <v>0</v>
      </c>
      <c r="V3415" s="7" t="n">
        <f aca="false">IF(AND(R3415=1,O3415&gt;Q3415),1,0)</f>
        <v>0</v>
      </c>
      <c r="W3415" s="7" t="n">
        <f aca="false">IF(AND(T3415=1,P3415&lt;&gt;"",P3415&lt;=Q3415),1,0)</f>
        <v>0</v>
      </c>
    </row>
    <row r="3416" customFormat="false" ht="15" hidden="false" customHeight="false" outlineLevel="0" collapsed="false">
      <c r="A3416" s="7" t="s">
        <v>4009</v>
      </c>
      <c r="B3416" s="7" t="s">
        <v>46</v>
      </c>
      <c r="C3416" s="7" t="s">
        <v>47</v>
      </c>
      <c r="D3416" s="7" t="s">
        <v>91</v>
      </c>
      <c r="E3416" s="7" t="s">
        <v>92</v>
      </c>
      <c r="F3416" s="7" t="s">
        <v>50</v>
      </c>
      <c r="G3416" s="7" t="s">
        <v>20</v>
      </c>
      <c r="H3416" s="9" t="n">
        <v>46182</v>
      </c>
      <c r="I3416" s="9" t="n">
        <v>46222</v>
      </c>
      <c r="J3416" s="7" t="n">
        <v>8.1</v>
      </c>
      <c r="K3416" s="7" t="s">
        <v>3856</v>
      </c>
      <c r="L3416" s="7" t="s">
        <v>19</v>
      </c>
      <c r="M3416" s="7" t="s">
        <v>4016</v>
      </c>
      <c r="N3416" s="7" t="s">
        <v>53</v>
      </c>
      <c r="O3416" s="10" t="n">
        <f aca="false">'Exec Summary'!$E$2-H3416</f>
        <v>52</v>
      </c>
      <c r="P3416" s="10" t="n">
        <f aca="false">IF(I3416="","",I3416-H3416)</f>
        <v>40</v>
      </c>
      <c r="Q3416" s="10" t="n">
        <f aca="false">VLOOKUP(G3416,$AA$2:$AB$5,2,FALSE())</f>
        <v>30</v>
      </c>
      <c r="R3416" s="7" t="n">
        <f aca="false">IF(OR(F3416="Open",F3416="Reopened"),1,0)</f>
        <v>0</v>
      </c>
      <c r="S3416" s="7" t="n">
        <f aca="false">IF(AND(H3416&gt;='Exec Summary'!$E$1,H3416&lt;='Exec Summary'!$E$2),1,0)</f>
        <v>0</v>
      </c>
      <c r="T3416" s="7" t="n">
        <f aca="false">IF(AND(F3416="Closed",I3416&lt;&gt;"",I3416&gt;='Exec Summary'!$E$1,I3416&lt;='Exec Summary'!$E$2),1,0)</f>
        <v>1</v>
      </c>
      <c r="U3416" s="7" t="n">
        <f aca="false">IF(F3416="Reopened",1,0)</f>
        <v>0</v>
      </c>
      <c r="V3416" s="7" t="n">
        <f aca="false">IF(AND(R3416=1,O3416&gt;Q3416),1,0)</f>
        <v>0</v>
      </c>
      <c r="W3416" s="7" t="n">
        <f aca="false">IF(AND(T3416=1,P3416&lt;&gt;"",P3416&lt;=Q3416),1,0)</f>
        <v>0</v>
      </c>
    </row>
    <row r="3417" customFormat="false" ht="15" hidden="false" customHeight="false" outlineLevel="0" collapsed="false">
      <c r="A3417" s="7" t="s">
        <v>4017</v>
      </c>
      <c r="B3417" s="7" t="s">
        <v>46</v>
      </c>
      <c r="C3417" s="7" t="s">
        <v>158</v>
      </c>
      <c r="D3417" s="7" t="s">
        <v>112</v>
      </c>
      <c r="E3417" s="7" t="s">
        <v>113</v>
      </c>
      <c r="F3417" s="7" t="s">
        <v>50</v>
      </c>
      <c r="G3417" s="7" t="s">
        <v>20</v>
      </c>
      <c r="H3417" s="9" t="n">
        <v>46012</v>
      </c>
      <c r="I3417" s="9" t="n">
        <v>46031</v>
      </c>
      <c r="J3417" s="7" t="n">
        <v>7.8</v>
      </c>
      <c r="K3417" s="7" t="s">
        <v>3856</v>
      </c>
      <c r="L3417" s="7" t="s">
        <v>19</v>
      </c>
      <c r="M3417" s="7" t="s">
        <v>4018</v>
      </c>
      <c r="N3417" s="7" t="s">
        <v>53</v>
      </c>
      <c r="O3417" s="10" t="n">
        <f aca="false">'Exec Summary'!$E$2-H3417</f>
        <v>222</v>
      </c>
      <c r="P3417" s="10" t="n">
        <f aca="false">IF(I3417="","",I3417-H3417)</f>
        <v>19</v>
      </c>
      <c r="Q3417" s="10" t="n">
        <f aca="false">VLOOKUP(G3417,$AA$2:$AB$5,2,FALSE())</f>
        <v>30</v>
      </c>
      <c r="R3417" s="7" t="n">
        <f aca="false">IF(OR(F3417="Open",F3417="Reopened"),1,0)</f>
        <v>0</v>
      </c>
      <c r="S3417" s="7" t="n">
        <f aca="false">IF(AND(H3417&gt;='Exec Summary'!$E$1,H3417&lt;='Exec Summary'!$E$2),1,0)</f>
        <v>0</v>
      </c>
      <c r="T3417" s="7" t="n">
        <f aca="false">IF(AND(F3417="Closed",I3417&lt;&gt;"",I3417&gt;='Exec Summary'!$E$1,I3417&lt;='Exec Summary'!$E$2),1,0)</f>
        <v>0</v>
      </c>
      <c r="U3417" s="7" t="n">
        <f aca="false">IF(F3417="Reopened",1,0)</f>
        <v>0</v>
      </c>
      <c r="V3417" s="7" t="n">
        <f aca="false">IF(AND(R3417=1,O3417&gt;Q3417),1,0)</f>
        <v>0</v>
      </c>
      <c r="W3417" s="7" t="n">
        <f aca="false">IF(AND(T3417=1,P3417&lt;&gt;"",P3417&lt;=Q3417),1,0)</f>
        <v>0</v>
      </c>
    </row>
    <row r="3418" customFormat="false" ht="15" hidden="false" customHeight="false" outlineLevel="0" collapsed="false">
      <c r="A3418" s="7" t="s">
        <v>4017</v>
      </c>
      <c r="B3418" s="7" t="s">
        <v>46</v>
      </c>
      <c r="C3418" s="7" t="s">
        <v>158</v>
      </c>
      <c r="D3418" s="7" t="s">
        <v>131</v>
      </c>
      <c r="E3418" s="7" t="s">
        <v>132</v>
      </c>
      <c r="F3418" s="7" t="s">
        <v>50</v>
      </c>
      <c r="G3418" s="7" t="s">
        <v>19</v>
      </c>
      <c r="H3418" s="9" t="n">
        <v>46073</v>
      </c>
      <c r="I3418" s="9" t="n">
        <v>46076</v>
      </c>
      <c r="J3418" s="7" t="n">
        <v>9.8</v>
      </c>
      <c r="K3418" s="7" t="s">
        <v>3856</v>
      </c>
      <c r="L3418" s="7" t="s">
        <v>19</v>
      </c>
      <c r="M3418" s="7" t="s">
        <v>4019</v>
      </c>
      <c r="N3418" s="7" t="s">
        <v>58</v>
      </c>
      <c r="O3418" s="10" t="n">
        <f aca="false">'Exec Summary'!$E$2-H3418</f>
        <v>161</v>
      </c>
      <c r="P3418" s="10" t="n">
        <f aca="false">IF(I3418="","",I3418-H3418)</f>
        <v>3</v>
      </c>
      <c r="Q3418" s="10" t="n">
        <f aca="false">VLOOKUP(G3418,$AA$2:$AB$5,2,FALSE())</f>
        <v>15</v>
      </c>
      <c r="R3418" s="7" t="n">
        <f aca="false">IF(OR(F3418="Open",F3418="Reopened"),1,0)</f>
        <v>0</v>
      </c>
      <c r="S3418" s="7" t="n">
        <f aca="false">IF(AND(H3418&gt;='Exec Summary'!$E$1,H3418&lt;='Exec Summary'!$E$2),1,0)</f>
        <v>0</v>
      </c>
      <c r="T3418" s="7" t="n">
        <f aca="false">IF(AND(F3418="Closed",I3418&lt;&gt;"",I3418&gt;='Exec Summary'!$E$1,I3418&lt;='Exec Summary'!$E$2),1,0)</f>
        <v>0</v>
      </c>
      <c r="U3418" s="7" t="n">
        <f aca="false">IF(F3418="Reopened",1,0)</f>
        <v>0</v>
      </c>
      <c r="V3418" s="7" t="n">
        <f aca="false">IF(AND(R3418=1,O3418&gt;Q3418),1,0)</f>
        <v>0</v>
      </c>
      <c r="W3418" s="7" t="n">
        <f aca="false">IF(AND(T3418=1,P3418&lt;&gt;"",P3418&lt;=Q3418),1,0)</f>
        <v>0</v>
      </c>
    </row>
    <row r="3419" customFormat="false" ht="15" hidden="false" customHeight="false" outlineLevel="0" collapsed="false">
      <c r="A3419" s="7" t="s">
        <v>4020</v>
      </c>
      <c r="B3419" s="7" t="s">
        <v>46</v>
      </c>
      <c r="C3419" s="7" t="s">
        <v>79</v>
      </c>
      <c r="D3419" s="7" t="s">
        <v>95</v>
      </c>
      <c r="E3419" s="7" t="s">
        <v>96</v>
      </c>
      <c r="F3419" s="7" t="s">
        <v>50</v>
      </c>
      <c r="G3419" s="7" t="s">
        <v>20</v>
      </c>
      <c r="H3419" s="9" t="n">
        <v>46146</v>
      </c>
      <c r="I3419" s="9" t="n">
        <v>46170</v>
      </c>
      <c r="J3419" s="7" t="n">
        <v>8.8</v>
      </c>
      <c r="K3419" s="7" t="s">
        <v>3856</v>
      </c>
      <c r="L3419" s="7" t="s">
        <v>19</v>
      </c>
      <c r="M3419" s="7" t="s">
        <v>4021</v>
      </c>
      <c r="N3419" s="7" t="s">
        <v>53</v>
      </c>
      <c r="O3419" s="10" t="n">
        <f aca="false">'Exec Summary'!$E$2-H3419</f>
        <v>88</v>
      </c>
      <c r="P3419" s="10" t="n">
        <f aca="false">IF(I3419="","",I3419-H3419)</f>
        <v>24</v>
      </c>
      <c r="Q3419" s="10" t="n">
        <f aca="false">VLOOKUP(G3419,$AA$2:$AB$5,2,FALSE())</f>
        <v>30</v>
      </c>
      <c r="R3419" s="7" t="n">
        <f aca="false">IF(OR(F3419="Open",F3419="Reopened"),1,0)</f>
        <v>0</v>
      </c>
      <c r="S3419" s="7" t="n">
        <f aca="false">IF(AND(H3419&gt;='Exec Summary'!$E$1,H3419&lt;='Exec Summary'!$E$2),1,0)</f>
        <v>0</v>
      </c>
      <c r="T3419" s="7" t="n">
        <f aca="false">IF(AND(F3419="Closed",I3419&lt;&gt;"",I3419&gt;='Exec Summary'!$E$1,I3419&lt;='Exec Summary'!$E$2),1,0)</f>
        <v>0</v>
      </c>
      <c r="U3419" s="7" t="n">
        <f aca="false">IF(F3419="Reopened",1,0)</f>
        <v>0</v>
      </c>
      <c r="V3419" s="7" t="n">
        <f aca="false">IF(AND(R3419=1,O3419&gt;Q3419),1,0)</f>
        <v>0</v>
      </c>
      <c r="W3419" s="7" t="n">
        <f aca="false">IF(AND(T3419=1,P3419&lt;&gt;"",P3419&lt;=Q3419),1,0)</f>
        <v>0</v>
      </c>
    </row>
    <row r="3420" customFormat="false" ht="15" hidden="false" customHeight="false" outlineLevel="0" collapsed="false">
      <c r="A3420" s="7" t="s">
        <v>4020</v>
      </c>
      <c r="B3420" s="7" t="s">
        <v>46</v>
      </c>
      <c r="C3420" s="7" t="s">
        <v>79</v>
      </c>
      <c r="D3420" s="7" t="s">
        <v>152</v>
      </c>
      <c r="E3420" s="7" t="s">
        <v>153</v>
      </c>
      <c r="F3420" s="7" t="s">
        <v>50</v>
      </c>
      <c r="G3420" s="7" t="s">
        <v>20</v>
      </c>
      <c r="H3420" s="9" t="n">
        <v>45935</v>
      </c>
      <c r="I3420" s="9" t="n">
        <v>45952</v>
      </c>
      <c r="J3420" s="7" t="n">
        <v>7.5</v>
      </c>
      <c r="K3420" s="7" t="s">
        <v>3856</v>
      </c>
      <c r="L3420" s="7" t="s">
        <v>19</v>
      </c>
      <c r="M3420" s="7" t="s">
        <v>4022</v>
      </c>
      <c r="N3420" s="7" t="s">
        <v>53</v>
      </c>
      <c r="O3420" s="10" t="n">
        <f aca="false">'Exec Summary'!$E$2-H3420</f>
        <v>299</v>
      </c>
      <c r="P3420" s="10" t="n">
        <f aca="false">IF(I3420="","",I3420-H3420)</f>
        <v>17</v>
      </c>
      <c r="Q3420" s="10" t="n">
        <f aca="false">VLOOKUP(G3420,$AA$2:$AB$5,2,FALSE())</f>
        <v>30</v>
      </c>
      <c r="R3420" s="7" t="n">
        <f aca="false">IF(OR(F3420="Open",F3420="Reopened"),1,0)</f>
        <v>0</v>
      </c>
      <c r="S3420" s="7" t="n">
        <f aca="false">IF(AND(H3420&gt;='Exec Summary'!$E$1,H3420&lt;='Exec Summary'!$E$2),1,0)</f>
        <v>0</v>
      </c>
      <c r="T3420" s="7" t="n">
        <f aca="false">IF(AND(F3420="Closed",I3420&lt;&gt;"",I3420&gt;='Exec Summary'!$E$1,I3420&lt;='Exec Summary'!$E$2),1,0)</f>
        <v>0</v>
      </c>
      <c r="U3420" s="7" t="n">
        <f aca="false">IF(F3420="Reopened",1,0)</f>
        <v>0</v>
      </c>
      <c r="V3420" s="7" t="n">
        <f aca="false">IF(AND(R3420=1,O3420&gt;Q3420),1,0)</f>
        <v>0</v>
      </c>
      <c r="W3420" s="7" t="n">
        <f aca="false">IF(AND(T3420=1,P3420&lt;&gt;"",P3420&lt;=Q3420),1,0)</f>
        <v>0</v>
      </c>
    </row>
    <row r="3421" customFormat="false" ht="15" hidden="false" customHeight="false" outlineLevel="0" collapsed="false">
      <c r="A3421" s="7" t="s">
        <v>4023</v>
      </c>
      <c r="B3421" s="7" t="s">
        <v>135</v>
      </c>
      <c r="C3421" s="7" t="s">
        <v>136</v>
      </c>
      <c r="D3421" s="7" t="s">
        <v>91</v>
      </c>
      <c r="E3421" s="7" t="s">
        <v>92</v>
      </c>
      <c r="F3421" s="7" t="s">
        <v>56</v>
      </c>
      <c r="G3421" s="7" t="s">
        <v>20</v>
      </c>
      <c r="H3421" s="9" t="n">
        <v>46176</v>
      </c>
      <c r="I3421" s="9"/>
      <c r="J3421" s="7" t="n">
        <v>8.1</v>
      </c>
      <c r="K3421" s="7" t="s">
        <v>3856</v>
      </c>
      <c r="L3421" s="7" t="s">
        <v>19</v>
      </c>
      <c r="M3421" s="7" t="s">
        <v>4024</v>
      </c>
      <c r="N3421" s="7" t="s">
        <v>53</v>
      </c>
      <c r="O3421" s="10" t="n">
        <f aca="false">'Exec Summary'!$E$2-H3421</f>
        <v>58</v>
      </c>
      <c r="P3421" s="10" t="str">
        <f aca="false">IF(I3421="","",I3421-H3421)</f>
        <v/>
      </c>
      <c r="Q3421" s="10" t="n">
        <f aca="false">VLOOKUP(G3421,$AA$2:$AB$5,2,FALSE())</f>
        <v>30</v>
      </c>
      <c r="R3421" s="7" t="n">
        <f aca="false">IF(OR(F3421="Open",F3421="Reopened"),1,0)</f>
        <v>1</v>
      </c>
      <c r="S3421" s="7" t="n">
        <f aca="false">IF(AND(H3421&gt;='Exec Summary'!$E$1,H3421&lt;='Exec Summary'!$E$2),1,0)</f>
        <v>0</v>
      </c>
      <c r="T3421" s="7" t="n">
        <f aca="false">IF(AND(F3421="Closed",I3421&lt;&gt;"",I3421&gt;='Exec Summary'!$E$1,I3421&lt;='Exec Summary'!$E$2),1,0)</f>
        <v>0</v>
      </c>
      <c r="U3421" s="7" t="n">
        <f aca="false">IF(F3421="Reopened",1,0)</f>
        <v>0</v>
      </c>
      <c r="V3421" s="7" t="n">
        <f aca="false">IF(AND(R3421=1,O3421&gt;Q3421),1,0)</f>
        <v>1</v>
      </c>
      <c r="W3421" s="7" t="n">
        <f aca="false">IF(AND(T3421=1,P3421&lt;&gt;"",P3421&lt;=Q3421),1,0)</f>
        <v>0</v>
      </c>
    </row>
    <row r="3422" customFormat="false" ht="15" hidden="false" customHeight="false" outlineLevel="0" collapsed="false">
      <c r="A3422" s="7" t="s">
        <v>4023</v>
      </c>
      <c r="B3422" s="7" t="s">
        <v>135</v>
      </c>
      <c r="C3422" s="7" t="s">
        <v>136</v>
      </c>
      <c r="D3422" s="7" t="s">
        <v>145</v>
      </c>
      <c r="E3422" s="7" t="s">
        <v>146</v>
      </c>
      <c r="F3422" s="7" t="s">
        <v>56</v>
      </c>
      <c r="G3422" s="7" t="s">
        <v>19</v>
      </c>
      <c r="H3422" s="9" t="n">
        <v>46131</v>
      </c>
      <c r="I3422" s="9"/>
      <c r="J3422" s="7" t="n">
        <v>9.8</v>
      </c>
      <c r="K3422" s="7" t="s">
        <v>3856</v>
      </c>
      <c r="L3422" s="7" t="s">
        <v>19</v>
      </c>
      <c r="M3422" s="7" t="s">
        <v>4025</v>
      </c>
      <c r="N3422" s="7" t="s">
        <v>58</v>
      </c>
      <c r="O3422" s="10" t="n">
        <f aca="false">'Exec Summary'!$E$2-H3422</f>
        <v>103</v>
      </c>
      <c r="P3422" s="10" t="str">
        <f aca="false">IF(I3422="","",I3422-H3422)</f>
        <v/>
      </c>
      <c r="Q3422" s="10" t="n">
        <f aca="false">VLOOKUP(G3422,$AA$2:$AB$5,2,FALSE())</f>
        <v>15</v>
      </c>
      <c r="R3422" s="7" t="n">
        <f aca="false">IF(OR(F3422="Open",F3422="Reopened"),1,0)</f>
        <v>1</v>
      </c>
      <c r="S3422" s="7" t="n">
        <f aca="false">IF(AND(H3422&gt;='Exec Summary'!$E$1,H3422&lt;='Exec Summary'!$E$2),1,0)</f>
        <v>0</v>
      </c>
      <c r="T3422" s="7" t="n">
        <f aca="false">IF(AND(F3422="Closed",I3422&lt;&gt;"",I3422&gt;='Exec Summary'!$E$1,I3422&lt;='Exec Summary'!$E$2),1,0)</f>
        <v>0</v>
      </c>
      <c r="U3422" s="7" t="n">
        <f aca="false">IF(F3422="Reopened",1,0)</f>
        <v>0</v>
      </c>
      <c r="V3422" s="7" t="n">
        <f aca="false">IF(AND(R3422=1,O3422&gt;Q3422),1,0)</f>
        <v>1</v>
      </c>
      <c r="W3422" s="7" t="n">
        <f aca="false">IF(AND(T3422=1,P3422&lt;&gt;"",P3422&lt;=Q3422),1,0)</f>
        <v>0</v>
      </c>
    </row>
    <row r="3423" customFormat="false" ht="15" hidden="false" customHeight="false" outlineLevel="0" collapsed="false">
      <c r="A3423" s="7" t="s">
        <v>4023</v>
      </c>
      <c r="B3423" s="7" t="s">
        <v>135</v>
      </c>
      <c r="C3423" s="7" t="s">
        <v>136</v>
      </c>
      <c r="D3423" s="7" t="s">
        <v>112</v>
      </c>
      <c r="E3423" s="7" t="s">
        <v>113</v>
      </c>
      <c r="F3423" s="7" t="s">
        <v>56</v>
      </c>
      <c r="G3423" s="7" t="s">
        <v>20</v>
      </c>
      <c r="H3423" s="9" t="n">
        <v>46187</v>
      </c>
      <c r="I3423" s="9"/>
      <c r="J3423" s="7" t="n">
        <v>7.8</v>
      </c>
      <c r="K3423" s="7" t="s">
        <v>3856</v>
      </c>
      <c r="L3423" s="7" t="s">
        <v>19</v>
      </c>
      <c r="M3423" s="7" t="s">
        <v>4026</v>
      </c>
      <c r="N3423" s="7" t="s">
        <v>53</v>
      </c>
      <c r="O3423" s="10" t="n">
        <f aca="false">'Exec Summary'!$E$2-H3423</f>
        <v>47</v>
      </c>
      <c r="P3423" s="10" t="str">
        <f aca="false">IF(I3423="","",I3423-H3423)</f>
        <v/>
      </c>
      <c r="Q3423" s="10" t="n">
        <f aca="false">VLOOKUP(G3423,$AA$2:$AB$5,2,FALSE())</f>
        <v>30</v>
      </c>
      <c r="R3423" s="7" t="n">
        <f aca="false">IF(OR(F3423="Open",F3423="Reopened"),1,0)</f>
        <v>1</v>
      </c>
      <c r="S3423" s="7" t="n">
        <f aca="false">IF(AND(H3423&gt;='Exec Summary'!$E$1,H3423&lt;='Exec Summary'!$E$2),1,0)</f>
        <v>0</v>
      </c>
      <c r="T3423" s="7" t="n">
        <f aca="false">IF(AND(F3423="Closed",I3423&lt;&gt;"",I3423&gt;='Exec Summary'!$E$1,I3423&lt;='Exec Summary'!$E$2),1,0)</f>
        <v>0</v>
      </c>
      <c r="U3423" s="7" t="n">
        <f aca="false">IF(F3423="Reopened",1,0)</f>
        <v>0</v>
      </c>
      <c r="V3423" s="7" t="n">
        <f aca="false">IF(AND(R3423=1,O3423&gt;Q3423),1,0)</f>
        <v>1</v>
      </c>
      <c r="W3423" s="7" t="n">
        <f aca="false">IF(AND(T3423=1,P3423&lt;&gt;"",P3423&lt;=Q3423),1,0)</f>
        <v>0</v>
      </c>
    </row>
    <row r="3424" customFormat="false" ht="15" hidden="false" customHeight="false" outlineLevel="0" collapsed="false">
      <c r="A3424" s="7" t="s">
        <v>4023</v>
      </c>
      <c r="B3424" s="7" t="s">
        <v>135</v>
      </c>
      <c r="C3424" s="7" t="s">
        <v>136</v>
      </c>
      <c r="D3424" s="7" t="s">
        <v>163</v>
      </c>
      <c r="E3424" s="7" t="s">
        <v>164</v>
      </c>
      <c r="F3424" s="7" t="s">
        <v>56</v>
      </c>
      <c r="G3424" s="7" t="s">
        <v>19</v>
      </c>
      <c r="H3424" s="9" t="n">
        <v>46191</v>
      </c>
      <c r="I3424" s="9"/>
      <c r="J3424" s="7" t="n">
        <v>9.1</v>
      </c>
      <c r="K3424" s="7" t="s">
        <v>3856</v>
      </c>
      <c r="L3424" s="7" t="s">
        <v>19</v>
      </c>
      <c r="M3424" s="7" t="s">
        <v>4027</v>
      </c>
      <c r="N3424" s="7" t="s">
        <v>58</v>
      </c>
      <c r="O3424" s="10" t="n">
        <f aca="false">'Exec Summary'!$E$2-H3424</f>
        <v>43</v>
      </c>
      <c r="P3424" s="10" t="str">
        <f aca="false">IF(I3424="","",I3424-H3424)</f>
        <v/>
      </c>
      <c r="Q3424" s="10" t="n">
        <f aca="false">VLOOKUP(G3424,$AA$2:$AB$5,2,FALSE())</f>
        <v>15</v>
      </c>
      <c r="R3424" s="7" t="n">
        <f aca="false">IF(OR(F3424="Open",F3424="Reopened"),1,0)</f>
        <v>1</v>
      </c>
      <c r="S3424" s="7" t="n">
        <f aca="false">IF(AND(H3424&gt;='Exec Summary'!$E$1,H3424&lt;='Exec Summary'!$E$2),1,0)</f>
        <v>0</v>
      </c>
      <c r="T3424" s="7" t="n">
        <f aca="false">IF(AND(F3424="Closed",I3424&lt;&gt;"",I3424&gt;='Exec Summary'!$E$1,I3424&lt;='Exec Summary'!$E$2),1,0)</f>
        <v>0</v>
      </c>
      <c r="U3424" s="7" t="n">
        <f aca="false">IF(F3424="Reopened",1,0)</f>
        <v>0</v>
      </c>
      <c r="V3424" s="7" t="n">
        <f aca="false">IF(AND(R3424=1,O3424&gt;Q3424),1,0)</f>
        <v>1</v>
      </c>
      <c r="W3424" s="7" t="n">
        <f aca="false">IF(AND(T3424=1,P3424&lt;&gt;"",P3424&lt;=Q3424),1,0)</f>
        <v>0</v>
      </c>
    </row>
    <row r="3425" customFormat="false" ht="15" hidden="false" customHeight="false" outlineLevel="0" collapsed="false">
      <c r="A3425" s="7" t="s">
        <v>4023</v>
      </c>
      <c r="B3425" s="7" t="s">
        <v>135</v>
      </c>
      <c r="C3425" s="7" t="s">
        <v>136</v>
      </c>
      <c r="D3425" s="7" t="s">
        <v>98</v>
      </c>
      <c r="E3425" s="7" t="s">
        <v>99</v>
      </c>
      <c r="F3425" s="7" t="s">
        <v>56</v>
      </c>
      <c r="G3425" s="7" t="s">
        <v>19</v>
      </c>
      <c r="H3425" s="9" t="n">
        <v>45985</v>
      </c>
      <c r="I3425" s="9"/>
      <c r="J3425" s="7" t="n">
        <v>10</v>
      </c>
      <c r="K3425" s="7" t="s">
        <v>3856</v>
      </c>
      <c r="L3425" s="7" t="s">
        <v>19</v>
      </c>
      <c r="M3425" s="7" t="s">
        <v>4028</v>
      </c>
      <c r="N3425" s="7" t="s">
        <v>58</v>
      </c>
      <c r="O3425" s="10" t="n">
        <f aca="false">'Exec Summary'!$E$2-H3425</f>
        <v>249</v>
      </c>
      <c r="P3425" s="10" t="str">
        <f aca="false">IF(I3425="","",I3425-H3425)</f>
        <v/>
      </c>
      <c r="Q3425" s="10" t="n">
        <f aca="false">VLOOKUP(G3425,$AA$2:$AB$5,2,FALSE())</f>
        <v>15</v>
      </c>
      <c r="R3425" s="7" t="n">
        <f aca="false">IF(OR(F3425="Open",F3425="Reopened"),1,0)</f>
        <v>1</v>
      </c>
      <c r="S3425" s="7" t="n">
        <f aca="false">IF(AND(H3425&gt;='Exec Summary'!$E$1,H3425&lt;='Exec Summary'!$E$2),1,0)</f>
        <v>0</v>
      </c>
      <c r="T3425" s="7" t="n">
        <f aca="false">IF(AND(F3425="Closed",I3425&lt;&gt;"",I3425&gt;='Exec Summary'!$E$1,I3425&lt;='Exec Summary'!$E$2),1,0)</f>
        <v>0</v>
      </c>
      <c r="U3425" s="7" t="n">
        <f aca="false">IF(F3425="Reopened",1,0)</f>
        <v>0</v>
      </c>
      <c r="V3425" s="7" t="n">
        <f aca="false">IF(AND(R3425=1,O3425&gt;Q3425),1,0)</f>
        <v>1</v>
      </c>
      <c r="W3425" s="7" t="n">
        <f aca="false">IF(AND(T3425=1,P3425&lt;&gt;"",P3425&lt;=Q3425),1,0)</f>
        <v>0</v>
      </c>
    </row>
    <row r="3426" customFormat="false" ht="15" hidden="false" customHeight="false" outlineLevel="0" collapsed="false">
      <c r="A3426" s="7" t="s">
        <v>4023</v>
      </c>
      <c r="B3426" s="7" t="s">
        <v>135</v>
      </c>
      <c r="C3426" s="7" t="s">
        <v>136</v>
      </c>
      <c r="D3426" s="7" t="s">
        <v>173</v>
      </c>
      <c r="E3426" s="7" t="s">
        <v>174</v>
      </c>
      <c r="F3426" s="7" t="s">
        <v>50</v>
      </c>
      <c r="G3426" s="7" t="s">
        <v>19</v>
      </c>
      <c r="H3426" s="9" t="n">
        <v>45985</v>
      </c>
      <c r="I3426" s="9" t="n">
        <v>46004</v>
      </c>
      <c r="J3426" s="7" t="n">
        <v>9.8</v>
      </c>
      <c r="K3426" s="7" t="s">
        <v>3856</v>
      </c>
      <c r="L3426" s="7" t="s">
        <v>19</v>
      </c>
      <c r="M3426" s="7" t="s">
        <v>4029</v>
      </c>
      <c r="N3426" s="7" t="s">
        <v>58</v>
      </c>
      <c r="O3426" s="10" t="n">
        <f aca="false">'Exec Summary'!$E$2-H3426</f>
        <v>249</v>
      </c>
      <c r="P3426" s="10" t="n">
        <f aca="false">IF(I3426="","",I3426-H3426)</f>
        <v>19</v>
      </c>
      <c r="Q3426" s="10" t="n">
        <f aca="false">VLOOKUP(G3426,$AA$2:$AB$5,2,FALSE())</f>
        <v>15</v>
      </c>
      <c r="R3426" s="7" t="n">
        <f aca="false">IF(OR(F3426="Open",F3426="Reopened"),1,0)</f>
        <v>0</v>
      </c>
      <c r="S3426" s="7" t="n">
        <f aca="false">IF(AND(H3426&gt;='Exec Summary'!$E$1,H3426&lt;='Exec Summary'!$E$2),1,0)</f>
        <v>0</v>
      </c>
      <c r="T3426" s="7" t="n">
        <f aca="false">IF(AND(F3426="Closed",I3426&lt;&gt;"",I3426&gt;='Exec Summary'!$E$1,I3426&lt;='Exec Summary'!$E$2),1,0)</f>
        <v>0</v>
      </c>
      <c r="U3426" s="7" t="n">
        <f aca="false">IF(F3426="Reopened",1,0)</f>
        <v>0</v>
      </c>
      <c r="V3426" s="7" t="n">
        <f aca="false">IF(AND(R3426=1,O3426&gt;Q3426),1,0)</f>
        <v>0</v>
      </c>
      <c r="W3426" s="7" t="n">
        <f aca="false">IF(AND(T3426=1,P3426&lt;&gt;"",P3426&lt;=Q3426),1,0)</f>
        <v>0</v>
      </c>
    </row>
    <row r="3427" customFormat="false" ht="15" hidden="false" customHeight="false" outlineLevel="0" collapsed="false">
      <c r="A3427" s="7" t="s">
        <v>4023</v>
      </c>
      <c r="B3427" s="7" t="s">
        <v>135</v>
      </c>
      <c r="C3427" s="7" t="s">
        <v>136</v>
      </c>
      <c r="D3427" s="7" t="s">
        <v>54</v>
      </c>
      <c r="E3427" s="7" t="s">
        <v>55</v>
      </c>
      <c r="F3427" s="7" t="s">
        <v>56</v>
      </c>
      <c r="G3427" s="7" t="s">
        <v>19</v>
      </c>
      <c r="H3427" s="9" t="n">
        <v>46143</v>
      </c>
      <c r="I3427" s="9"/>
      <c r="J3427" s="7" t="n">
        <v>9.8</v>
      </c>
      <c r="K3427" s="7" t="s">
        <v>3856</v>
      </c>
      <c r="L3427" s="7" t="s">
        <v>19</v>
      </c>
      <c r="M3427" s="7" t="s">
        <v>4030</v>
      </c>
      <c r="N3427" s="7" t="s">
        <v>58</v>
      </c>
      <c r="O3427" s="10" t="n">
        <f aca="false">'Exec Summary'!$E$2-H3427</f>
        <v>91</v>
      </c>
      <c r="P3427" s="10" t="str">
        <f aca="false">IF(I3427="","",I3427-H3427)</f>
        <v/>
      </c>
      <c r="Q3427" s="10" t="n">
        <f aca="false">VLOOKUP(G3427,$AA$2:$AB$5,2,FALSE())</f>
        <v>15</v>
      </c>
      <c r="R3427" s="7" t="n">
        <f aca="false">IF(OR(F3427="Open",F3427="Reopened"),1,0)</f>
        <v>1</v>
      </c>
      <c r="S3427" s="7" t="n">
        <f aca="false">IF(AND(H3427&gt;='Exec Summary'!$E$1,H3427&lt;='Exec Summary'!$E$2),1,0)</f>
        <v>0</v>
      </c>
      <c r="T3427" s="7" t="n">
        <f aca="false">IF(AND(F3427="Closed",I3427&lt;&gt;"",I3427&gt;='Exec Summary'!$E$1,I3427&lt;='Exec Summary'!$E$2),1,0)</f>
        <v>0</v>
      </c>
      <c r="U3427" s="7" t="n">
        <f aca="false">IF(F3427="Reopened",1,0)</f>
        <v>0</v>
      </c>
      <c r="V3427" s="7" t="n">
        <f aca="false">IF(AND(R3427=1,O3427&gt;Q3427),1,0)</f>
        <v>1</v>
      </c>
      <c r="W3427" s="7" t="n">
        <f aca="false">IF(AND(T3427=1,P3427&lt;&gt;"",P3427&lt;=Q3427),1,0)</f>
        <v>0</v>
      </c>
    </row>
    <row r="3428" customFormat="false" ht="15" hidden="false" customHeight="false" outlineLevel="0" collapsed="false">
      <c r="A3428" s="7" t="s">
        <v>4023</v>
      </c>
      <c r="B3428" s="7" t="s">
        <v>135</v>
      </c>
      <c r="C3428" s="7" t="s">
        <v>136</v>
      </c>
      <c r="D3428" s="7" t="s">
        <v>71</v>
      </c>
      <c r="E3428" s="7" t="s">
        <v>72</v>
      </c>
      <c r="F3428" s="7" t="s">
        <v>50</v>
      </c>
      <c r="G3428" s="7" t="s">
        <v>19</v>
      </c>
      <c r="H3428" s="9" t="n">
        <v>45972</v>
      </c>
      <c r="I3428" s="9" t="n">
        <v>45989</v>
      </c>
      <c r="J3428" s="7" t="n">
        <v>9.8</v>
      </c>
      <c r="K3428" s="7" t="s">
        <v>3856</v>
      </c>
      <c r="L3428" s="7" t="s">
        <v>19</v>
      </c>
      <c r="M3428" s="7" t="s">
        <v>4031</v>
      </c>
      <c r="N3428" s="7" t="s">
        <v>58</v>
      </c>
      <c r="O3428" s="10" t="n">
        <f aca="false">'Exec Summary'!$E$2-H3428</f>
        <v>262</v>
      </c>
      <c r="P3428" s="10" t="n">
        <f aca="false">IF(I3428="","",I3428-H3428)</f>
        <v>17</v>
      </c>
      <c r="Q3428" s="10" t="n">
        <f aca="false">VLOOKUP(G3428,$AA$2:$AB$5,2,FALSE())</f>
        <v>15</v>
      </c>
      <c r="R3428" s="7" t="n">
        <f aca="false">IF(OR(F3428="Open",F3428="Reopened"),1,0)</f>
        <v>0</v>
      </c>
      <c r="S3428" s="7" t="n">
        <f aca="false">IF(AND(H3428&gt;='Exec Summary'!$E$1,H3428&lt;='Exec Summary'!$E$2),1,0)</f>
        <v>0</v>
      </c>
      <c r="T3428" s="7" t="n">
        <f aca="false">IF(AND(F3428="Closed",I3428&lt;&gt;"",I3428&gt;='Exec Summary'!$E$1,I3428&lt;='Exec Summary'!$E$2),1,0)</f>
        <v>0</v>
      </c>
      <c r="U3428" s="7" t="n">
        <f aca="false">IF(F3428="Reopened",1,0)</f>
        <v>0</v>
      </c>
      <c r="V3428" s="7" t="n">
        <f aca="false">IF(AND(R3428=1,O3428&gt;Q3428),1,0)</f>
        <v>0</v>
      </c>
      <c r="W3428" s="7" t="n">
        <f aca="false">IF(AND(T3428=1,P3428&lt;&gt;"",P3428&lt;=Q3428),1,0)</f>
        <v>0</v>
      </c>
    </row>
    <row r="3429" customFormat="false" ht="15" hidden="false" customHeight="false" outlineLevel="0" collapsed="false">
      <c r="A3429" s="7" t="s">
        <v>4023</v>
      </c>
      <c r="B3429" s="7" t="s">
        <v>135</v>
      </c>
      <c r="C3429" s="7" t="s">
        <v>136</v>
      </c>
      <c r="D3429" s="7" t="s">
        <v>210</v>
      </c>
      <c r="E3429" s="7" t="s">
        <v>211</v>
      </c>
      <c r="F3429" s="7" t="s">
        <v>56</v>
      </c>
      <c r="G3429" s="7" t="s">
        <v>19</v>
      </c>
      <c r="H3429" s="9" t="n">
        <v>46102</v>
      </c>
      <c r="I3429" s="9"/>
      <c r="J3429" s="7" t="n">
        <v>9.8</v>
      </c>
      <c r="K3429" s="7" t="s">
        <v>3856</v>
      </c>
      <c r="L3429" s="7" t="s">
        <v>19</v>
      </c>
      <c r="M3429" s="7" t="s">
        <v>4032</v>
      </c>
      <c r="N3429" s="7" t="s">
        <v>58</v>
      </c>
      <c r="O3429" s="10" t="n">
        <f aca="false">'Exec Summary'!$E$2-H3429</f>
        <v>132</v>
      </c>
      <c r="P3429" s="10" t="str">
        <f aca="false">IF(I3429="","",I3429-H3429)</f>
        <v/>
      </c>
      <c r="Q3429" s="10" t="n">
        <f aca="false">VLOOKUP(G3429,$AA$2:$AB$5,2,FALSE())</f>
        <v>15</v>
      </c>
      <c r="R3429" s="7" t="n">
        <f aca="false">IF(OR(F3429="Open",F3429="Reopened"),1,0)</f>
        <v>1</v>
      </c>
      <c r="S3429" s="7" t="n">
        <f aca="false">IF(AND(H3429&gt;='Exec Summary'!$E$1,H3429&lt;='Exec Summary'!$E$2),1,0)</f>
        <v>0</v>
      </c>
      <c r="T3429" s="7" t="n">
        <f aca="false">IF(AND(F3429="Closed",I3429&lt;&gt;"",I3429&gt;='Exec Summary'!$E$1,I3429&lt;='Exec Summary'!$E$2),1,0)</f>
        <v>0</v>
      </c>
      <c r="U3429" s="7" t="n">
        <f aca="false">IF(F3429="Reopened",1,0)</f>
        <v>0</v>
      </c>
      <c r="V3429" s="7" t="n">
        <f aca="false">IF(AND(R3429=1,O3429&gt;Q3429),1,0)</f>
        <v>1</v>
      </c>
      <c r="W3429" s="7" t="n">
        <f aca="false">IF(AND(T3429=1,P3429&lt;&gt;"",P3429&lt;=Q3429),1,0)</f>
        <v>0</v>
      </c>
    </row>
    <row r="3430" customFormat="false" ht="15" hidden="false" customHeight="false" outlineLevel="0" collapsed="false">
      <c r="A3430" s="7" t="s">
        <v>4023</v>
      </c>
      <c r="B3430" s="7" t="s">
        <v>135</v>
      </c>
      <c r="C3430" s="7" t="s">
        <v>136</v>
      </c>
      <c r="D3430" s="7" t="s">
        <v>206</v>
      </c>
      <c r="E3430" s="7" t="s">
        <v>207</v>
      </c>
      <c r="F3430" s="7" t="s">
        <v>56</v>
      </c>
      <c r="G3430" s="7" t="s">
        <v>20</v>
      </c>
      <c r="H3430" s="9" t="n">
        <v>46128</v>
      </c>
      <c r="I3430" s="9"/>
      <c r="J3430" s="7" t="n">
        <v>8.8</v>
      </c>
      <c r="K3430" s="7" t="s">
        <v>3856</v>
      </c>
      <c r="L3430" s="7" t="s">
        <v>19</v>
      </c>
      <c r="M3430" s="7" t="s">
        <v>4033</v>
      </c>
      <c r="N3430" s="7" t="s">
        <v>53</v>
      </c>
      <c r="O3430" s="10" t="n">
        <f aca="false">'Exec Summary'!$E$2-H3430</f>
        <v>106</v>
      </c>
      <c r="P3430" s="10" t="str">
        <f aca="false">IF(I3430="","",I3430-H3430)</f>
        <v/>
      </c>
      <c r="Q3430" s="10" t="n">
        <f aca="false">VLOOKUP(G3430,$AA$2:$AB$5,2,FALSE())</f>
        <v>30</v>
      </c>
      <c r="R3430" s="7" t="n">
        <f aca="false">IF(OR(F3430="Open",F3430="Reopened"),1,0)</f>
        <v>1</v>
      </c>
      <c r="S3430" s="7" t="n">
        <f aca="false">IF(AND(H3430&gt;='Exec Summary'!$E$1,H3430&lt;='Exec Summary'!$E$2),1,0)</f>
        <v>0</v>
      </c>
      <c r="T3430" s="7" t="n">
        <f aca="false">IF(AND(F3430="Closed",I3430&lt;&gt;"",I3430&gt;='Exec Summary'!$E$1,I3430&lt;='Exec Summary'!$E$2),1,0)</f>
        <v>0</v>
      </c>
      <c r="U3430" s="7" t="n">
        <f aca="false">IF(F3430="Reopened",1,0)</f>
        <v>0</v>
      </c>
      <c r="V3430" s="7" t="n">
        <f aca="false">IF(AND(R3430=1,O3430&gt;Q3430),1,0)</f>
        <v>1</v>
      </c>
      <c r="W3430" s="7" t="n">
        <f aca="false">IF(AND(T3430=1,P3430&lt;&gt;"",P3430&lt;=Q3430),1,0)</f>
        <v>0</v>
      </c>
    </row>
    <row r="3431" customFormat="false" ht="15" hidden="false" customHeight="false" outlineLevel="0" collapsed="false">
      <c r="A3431" s="7" t="s">
        <v>4023</v>
      </c>
      <c r="B3431" s="7" t="s">
        <v>135</v>
      </c>
      <c r="C3431" s="7" t="s">
        <v>136</v>
      </c>
      <c r="D3431" s="7" t="s">
        <v>62</v>
      </c>
      <c r="E3431" s="7" t="s">
        <v>63</v>
      </c>
      <c r="F3431" s="7" t="s">
        <v>123</v>
      </c>
      <c r="G3431" s="7" t="s">
        <v>20</v>
      </c>
      <c r="H3431" s="9" t="n">
        <v>46211</v>
      </c>
      <c r="I3431" s="9" t="n">
        <v>46231</v>
      </c>
      <c r="J3431" s="7" t="n">
        <v>8.1</v>
      </c>
      <c r="K3431" s="7" t="s">
        <v>3856</v>
      </c>
      <c r="L3431" s="7" t="s">
        <v>19</v>
      </c>
      <c r="M3431" s="7" t="s">
        <v>4034</v>
      </c>
      <c r="N3431" s="7" t="s">
        <v>53</v>
      </c>
      <c r="O3431" s="10" t="n">
        <f aca="false">'Exec Summary'!$E$2-H3431</f>
        <v>23</v>
      </c>
      <c r="P3431" s="10" t="n">
        <f aca="false">IF(I3431="","",I3431-H3431)</f>
        <v>20</v>
      </c>
      <c r="Q3431" s="10" t="n">
        <f aca="false">VLOOKUP(G3431,$AA$2:$AB$5,2,FALSE())</f>
        <v>30</v>
      </c>
      <c r="R3431" s="7" t="n">
        <f aca="false">IF(OR(F3431="Open",F3431="Reopened"),1,0)</f>
        <v>1</v>
      </c>
      <c r="S3431" s="7" t="n">
        <f aca="false">IF(AND(H3431&gt;='Exec Summary'!$E$1,H3431&lt;='Exec Summary'!$E$2),1,0)</f>
        <v>1</v>
      </c>
      <c r="T3431" s="7" t="n">
        <f aca="false">IF(AND(F3431="Closed",I3431&lt;&gt;"",I3431&gt;='Exec Summary'!$E$1,I3431&lt;='Exec Summary'!$E$2),1,0)</f>
        <v>0</v>
      </c>
      <c r="U3431" s="7" t="n">
        <f aca="false">IF(F3431="Reopened",1,0)</f>
        <v>1</v>
      </c>
      <c r="V3431" s="7" t="n">
        <f aca="false">IF(AND(R3431=1,O3431&gt;Q3431),1,0)</f>
        <v>0</v>
      </c>
      <c r="W3431" s="7" t="n">
        <f aca="false">IF(AND(T3431=1,P3431&lt;&gt;"",P3431&lt;=Q3431),1,0)</f>
        <v>0</v>
      </c>
    </row>
    <row r="3432" customFormat="false" ht="15" hidden="false" customHeight="false" outlineLevel="0" collapsed="false">
      <c r="A3432" s="7" t="s">
        <v>4023</v>
      </c>
      <c r="B3432" s="7" t="s">
        <v>135</v>
      </c>
      <c r="C3432" s="7" t="s">
        <v>136</v>
      </c>
      <c r="D3432" s="7" t="s">
        <v>192</v>
      </c>
      <c r="E3432" s="7" t="s">
        <v>193</v>
      </c>
      <c r="F3432" s="7" t="s">
        <v>56</v>
      </c>
      <c r="G3432" s="7" t="s">
        <v>19</v>
      </c>
      <c r="H3432" s="9" t="n">
        <v>46050</v>
      </c>
      <c r="I3432" s="9"/>
      <c r="J3432" s="7" t="n">
        <v>9.8</v>
      </c>
      <c r="K3432" s="7" t="s">
        <v>3856</v>
      </c>
      <c r="L3432" s="7" t="s">
        <v>19</v>
      </c>
      <c r="M3432" s="7" t="s">
        <v>4035</v>
      </c>
      <c r="N3432" s="7" t="s">
        <v>58</v>
      </c>
      <c r="O3432" s="10" t="n">
        <f aca="false">'Exec Summary'!$E$2-H3432</f>
        <v>184</v>
      </c>
      <c r="P3432" s="10" t="str">
        <f aca="false">IF(I3432="","",I3432-H3432)</f>
        <v/>
      </c>
      <c r="Q3432" s="10" t="n">
        <f aca="false">VLOOKUP(G3432,$AA$2:$AB$5,2,FALSE())</f>
        <v>15</v>
      </c>
      <c r="R3432" s="7" t="n">
        <f aca="false">IF(OR(F3432="Open",F3432="Reopened"),1,0)</f>
        <v>1</v>
      </c>
      <c r="S3432" s="7" t="n">
        <f aca="false">IF(AND(H3432&gt;='Exec Summary'!$E$1,H3432&lt;='Exec Summary'!$E$2),1,0)</f>
        <v>0</v>
      </c>
      <c r="T3432" s="7" t="n">
        <f aca="false">IF(AND(F3432="Closed",I3432&lt;&gt;"",I3432&gt;='Exec Summary'!$E$1,I3432&lt;='Exec Summary'!$E$2),1,0)</f>
        <v>0</v>
      </c>
      <c r="U3432" s="7" t="n">
        <f aca="false">IF(F3432="Reopened",1,0)</f>
        <v>0</v>
      </c>
      <c r="V3432" s="7" t="n">
        <f aca="false">IF(AND(R3432=1,O3432&gt;Q3432),1,0)</f>
        <v>1</v>
      </c>
      <c r="W3432" s="7" t="n">
        <f aca="false">IF(AND(T3432=1,P3432&lt;&gt;"",P3432&lt;=Q3432),1,0)</f>
        <v>0</v>
      </c>
    </row>
    <row r="3433" customFormat="false" ht="15" hidden="false" customHeight="false" outlineLevel="0" collapsed="false">
      <c r="A3433" s="7" t="s">
        <v>4023</v>
      </c>
      <c r="B3433" s="7" t="s">
        <v>135</v>
      </c>
      <c r="C3433" s="7" t="s">
        <v>136</v>
      </c>
      <c r="D3433" s="7" t="s">
        <v>59</v>
      </c>
      <c r="E3433" s="7" t="s">
        <v>60</v>
      </c>
      <c r="F3433" s="7" t="s">
        <v>56</v>
      </c>
      <c r="G3433" s="7" t="s">
        <v>19</v>
      </c>
      <c r="H3433" s="9" t="n">
        <v>45984</v>
      </c>
      <c r="I3433" s="9"/>
      <c r="J3433" s="7" t="n">
        <v>7.8</v>
      </c>
      <c r="K3433" s="7" t="s">
        <v>3856</v>
      </c>
      <c r="L3433" s="7" t="s">
        <v>19</v>
      </c>
      <c r="M3433" s="7" t="s">
        <v>4036</v>
      </c>
      <c r="N3433" s="7" t="s">
        <v>58</v>
      </c>
      <c r="O3433" s="10" t="n">
        <f aca="false">'Exec Summary'!$E$2-H3433</f>
        <v>250</v>
      </c>
      <c r="P3433" s="10" t="str">
        <f aca="false">IF(I3433="","",I3433-H3433)</f>
        <v/>
      </c>
      <c r="Q3433" s="10" t="n">
        <f aca="false">VLOOKUP(G3433,$AA$2:$AB$5,2,FALSE())</f>
        <v>15</v>
      </c>
      <c r="R3433" s="7" t="n">
        <f aca="false">IF(OR(F3433="Open",F3433="Reopened"),1,0)</f>
        <v>1</v>
      </c>
      <c r="S3433" s="7" t="n">
        <f aca="false">IF(AND(H3433&gt;='Exec Summary'!$E$1,H3433&lt;='Exec Summary'!$E$2),1,0)</f>
        <v>0</v>
      </c>
      <c r="T3433" s="7" t="n">
        <f aca="false">IF(AND(F3433="Closed",I3433&lt;&gt;"",I3433&gt;='Exec Summary'!$E$1,I3433&lt;='Exec Summary'!$E$2),1,0)</f>
        <v>0</v>
      </c>
      <c r="U3433" s="7" t="n">
        <f aca="false">IF(F3433="Reopened",1,0)</f>
        <v>0</v>
      </c>
      <c r="V3433" s="7" t="n">
        <f aca="false">IF(AND(R3433=1,O3433&gt;Q3433),1,0)</f>
        <v>1</v>
      </c>
      <c r="W3433" s="7" t="n">
        <f aca="false">IF(AND(T3433=1,P3433&lt;&gt;"",P3433&lt;=Q3433),1,0)</f>
        <v>0</v>
      </c>
    </row>
    <row r="3434" customFormat="false" ht="15" hidden="false" customHeight="false" outlineLevel="0" collapsed="false">
      <c r="A3434" s="7" t="s">
        <v>4037</v>
      </c>
      <c r="B3434" s="7" t="s">
        <v>46</v>
      </c>
      <c r="C3434" s="7" t="s">
        <v>47</v>
      </c>
      <c r="D3434" s="7" t="s">
        <v>166</v>
      </c>
      <c r="E3434" s="7" t="s">
        <v>167</v>
      </c>
      <c r="F3434" s="7" t="s">
        <v>56</v>
      </c>
      <c r="G3434" s="7" t="s">
        <v>19</v>
      </c>
      <c r="H3434" s="9" t="n">
        <v>46223</v>
      </c>
      <c r="I3434" s="9"/>
      <c r="J3434" s="7" t="n">
        <v>9.8</v>
      </c>
      <c r="K3434" s="7" t="s">
        <v>3856</v>
      </c>
      <c r="L3434" s="7" t="s">
        <v>19</v>
      </c>
      <c r="M3434" s="7" t="s">
        <v>4038</v>
      </c>
      <c r="N3434" s="7" t="s">
        <v>58</v>
      </c>
      <c r="O3434" s="10" t="n">
        <f aca="false">'Exec Summary'!$E$2-H3434</f>
        <v>11</v>
      </c>
      <c r="P3434" s="10" t="str">
        <f aca="false">IF(I3434="","",I3434-H3434)</f>
        <v/>
      </c>
      <c r="Q3434" s="10" t="n">
        <f aca="false">VLOOKUP(G3434,$AA$2:$AB$5,2,FALSE())</f>
        <v>15</v>
      </c>
      <c r="R3434" s="7" t="n">
        <f aca="false">IF(OR(F3434="Open",F3434="Reopened"),1,0)</f>
        <v>1</v>
      </c>
      <c r="S3434" s="7" t="n">
        <f aca="false">IF(AND(H3434&gt;='Exec Summary'!$E$1,H3434&lt;='Exec Summary'!$E$2),1,0)</f>
        <v>1</v>
      </c>
      <c r="T3434" s="7" t="n">
        <f aca="false">IF(AND(F3434="Closed",I3434&lt;&gt;"",I3434&gt;='Exec Summary'!$E$1,I3434&lt;='Exec Summary'!$E$2),1,0)</f>
        <v>0</v>
      </c>
      <c r="U3434" s="7" t="n">
        <f aca="false">IF(F3434="Reopened",1,0)</f>
        <v>0</v>
      </c>
      <c r="V3434" s="7" t="n">
        <f aca="false">IF(AND(R3434=1,O3434&gt;Q3434),1,0)</f>
        <v>0</v>
      </c>
      <c r="W3434" s="7" t="n">
        <f aca="false">IF(AND(T3434=1,P3434&lt;&gt;"",P3434&lt;=Q3434),1,0)</f>
        <v>0</v>
      </c>
    </row>
    <row r="3435" customFormat="false" ht="15" hidden="false" customHeight="false" outlineLevel="0" collapsed="false">
      <c r="A3435" s="7" t="s">
        <v>4037</v>
      </c>
      <c r="B3435" s="7" t="s">
        <v>46</v>
      </c>
      <c r="C3435" s="7" t="s">
        <v>47</v>
      </c>
      <c r="D3435" s="7" t="s">
        <v>62</v>
      </c>
      <c r="E3435" s="7" t="s">
        <v>63</v>
      </c>
      <c r="F3435" s="7" t="s">
        <v>50</v>
      </c>
      <c r="G3435" s="7" t="s">
        <v>20</v>
      </c>
      <c r="H3435" s="9" t="n">
        <v>46021</v>
      </c>
      <c r="I3435" s="9" t="n">
        <v>46033</v>
      </c>
      <c r="J3435" s="7" t="n">
        <v>8.1</v>
      </c>
      <c r="K3435" s="7" t="s">
        <v>3856</v>
      </c>
      <c r="L3435" s="7" t="s">
        <v>19</v>
      </c>
      <c r="M3435" s="7" t="s">
        <v>4039</v>
      </c>
      <c r="N3435" s="7" t="s">
        <v>53</v>
      </c>
      <c r="O3435" s="10" t="n">
        <f aca="false">'Exec Summary'!$E$2-H3435</f>
        <v>213</v>
      </c>
      <c r="P3435" s="10" t="n">
        <f aca="false">IF(I3435="","",I3435-H3435)</f>
        <v>12</v>
      </c>
      <c r="Q3435" s="10" t="n">
        <f aca="false">VLOOKUP(G3435,$AA$2:$AB$5,2,FALSE())</f>
        <v>30</v>
      </c>
      <c r="R3435" s="7" t="n">
        <f aca="false">IF(OR(F3435="Open",F3435="Reopened"),1,0)</f>
        <v>0</v>
      </c>
      <c r="S3435" s="7" t="n">
        <f aca="false">IF(AND(H3435&gt;='Exec Summary'!$E$1,H3435&lt;='Exec Summary'!$E$2),1,0)</f>
        <v>0</v>
      </c>
      <c r="T3435" s="7" t="n">
        <f aca="false">IF(AND(F3435="Closed",I3435&lt;&gt;"",I3435&gt;='Exec Summary'!$E$1,I3435&lt;='Exec Summary'!$E$2),1,0)</f>
        <v>0</v>
      </c>
      <c r="U3435" s="7" t="n">
        <f aca="false">IF(F3435="Reopened",1,0)</f>
        <v>0</v>
      </c>
      <c r="V3435" s="7" t="n">
        <f aca="false">IF(AND(R3435=1,O3435&gt;Q3435),1,0)</f>
        <v>0</v>
      </c>
      <c r="W3435" s="7" t="n">
        <f aca="false">IF(AND(T3435=1,P3435&lt;&gt;"",P3435&lt;=Q3435),1,0)</f>
        <v>0</v>
      </c>
    </row>
    <row r="3436" customFormat="false" ht="15" hidden="false" customHeight="false" outlineLevel="0" collapsed="false">
      <c r="A3436" s="7" t="s">
        <v>4037</v>
      </c>
      <c r="B3436" s="7" t="s">
        <v>46</v>
      </c>
      <c r="C3436" s="7" t="s">
        <v>47</v>
      </c>
      <c r="D3436" s="7" t="s">
        <v>68</v>
      </c>
      <c r="E3436" s="7" t="s">
        <v>69</v>
      </c>
      <c r="F3436" s="7" t="s">
        <v>50</v>
      </c>
      <c r="G3436" s="7" t="s">
        <v>19</v>
      </c>
      <c r="H3436" s="9" t="n">
        <v>46007</v>
      </c>
      <c r="I3436" s="9" t="n">
        <v>46014</v>
      </c>
      <c r="J3436" s="7" t="n">
        <v>9.8</v>
      </c>
      <c r="K3436" s="7" t="s">
        <v>3856</v>
      </c>
      <c r="L3436" s="7" t="s">
        <v>19</v>
      </c>
      <c r="M3436" s="7" t="s">
        <v>4040</v>
      </c>
      <c r="N3436" s="7" t="s">
        <v>58</v>
      </c>
      <c r="O3436" s="10" t="n">
        <f aca="false">'Exec Summary'!$E$2-H3436</f>
        <v>227</v>
      </c>
      <c r="P3436" s="10" t="n">
        <f aca="false">IF(I3436="","",I3436-H3436)</f>
        <v>7</v>
      </c>
      <c r="Q3436" s="10" t="n">
        <f aca="false">VLOOKUP(G3436,$AA$2:$AB$5,2,FALSE())</f>
        <v>15</v>
      </c>
      <c r="R3436" s="7" t="n">
        <f aca="false">IF(OR(F3436="Open",F3436="Reopened"),1,0)</f>
        <v>0</v>
      </c>
      <c r="S3436" s="7" t="n">
        <f aca="false">IF(AND(H3436&gt;='Exec Summary'!$E$1,H3436&lt;='Exec Summary'!$E$2),1,0)</f>
        <v>0</v>
      </c>
      <c r="T3436" s="7" t="n">
        <f aca="false">IF(AND(F3436="Closed",I3436&lt;&gt;"",I3436&gt;='Exec Summary'!$E$1,I3436&lt;='Exec Summary'!$E$2),1,0)</f>
        <v>0</v>
      </c>
      <c r="U3436" s="7" t="n">
        <f aca="false">IF(F3436="Reopened",1,0)</f>
        <v>0</v>
      </c>
      <c r="V3436" s="7" t="n">
        <f aca="false">IF(AND(R3436=1,O3436&gt;Q3436),1,0)</f>
        <v>0</v>
      </c>
      <c r="W3436" s="7" t="n">
        <f aca="false">IF(AND(T3436=1,P3436&lt;&gt;"",P3436&lt;=Q3436),1,0)</f>
        <v>0</v>
      </c>
    </row>
    <row r="3437" customFormat="false" ht="15" hidden="false" customHeight="false" outlineLevel="0" collapsed="false">
      <c r="A3437" s="7" t="s">
        <v>4037</v>
      </c>
      <c r="B3437" s="7" t="s">
        <v>46</v>
      </c>
      <c r="C3437" s="7" t="s">
        <v>47</v>
      </c>
      <c r="D3437" s="7" t="s">
        <v>54</v>
      </c>
      <c r="E3437" s="7" t="s">
        <v>55</v>
      </c>
      <c r="F3437" s="7" t="s">
        <v>56</v>
      </c>
      <c r="G3437" s="7" t="s">
        <v>19</v>
      </c>
      <c r="H3437" s="9" t="n">
        <v>46064</v>
      </c>
      <c r="I3437" s="9"/>
      <c r="J3437" s="7" t="n">
        <v>9.8</v>
      </c>
      <c r="K3437" s="7" t="s">
        <v>3856</v>
      </c>
      <c r="L3437" s="7" t="s">
        <v>19</v>
      </c>
      <c r="M3437" s="7" t="s">
        <v>4041</v>
      </c>
      <c r="N3437" s="7" t="s">
        <v>58</v>
      </c>
      <c r="O3437" s="10" t="n">
        <f aca="false">'Exec Summary'!$E$2-H3437</f>
        <v>170</v>
      </c>
      <c r="P3437" s="10" t="str">
        <f aca="false">IF(I3437="","",I3437-H3437)</f>
        <v/>
      </c>
      <c r="Q3437" s="10" t="n">
        <f aca="false">VLOOKUP(G3437,$AA$2:$AB$5,2,FALSE())</f>
        <v>15</v>
      </c>
      <c r="R3437" s="7" t="n">
        <f aca="false">IF(OR(F3437="Open",F3437="Reopened"),1,0)</f>
        <v>1</v>
      </c>
      <c r="S3437" s="7" t="n">
        <f aca="false">IF(AND(H3437&gt;='Exec Summary'!$E$1,H3437&lt;='Exec Summary'!$E$2),1,0)</f>
        <v>0</v>
      </c>
      <c r="T3437" s="7" t="n">
        <f aca="false">IF(AND(F3437="Closed",I3437&lt;&gt;"",I3437&gt;='Exec Summary'!$E$1,I3437&lt;='Exec Summary'!$E$2),1,0)</f>
        <v>0</v>
      </c>
      <c r="U3437" s="7" t="n">
        <f aca="false">IF(F3437="Reopened",1,0)</f>
        <v>0</v>
      </c>
      <c r="V3437" s="7" t="n">
        <f aca="false">IF(AND(R3437=1,O3437&gt;Q3437),1,0)</f>
        <v>1</v>
      </c>
      <c r="W3437" s="7" t="n">
        <f aca="false">IF(AND(T3437=1,P3437&lt;&gt;"",P3437&lt;=Q3437),1,0)</f>
        <v>0</v>
      </c>
    </row>
    <row r="3438" customFormat="false" ht="15" hidden="false" customHeight="false" outlineLevel="0" collapsed="false">
      <c r="A3438" s="7" t="s">
        <v>4037</v>
      </c>
      <c r="B3438" s="7" t="s">
        <v>46</v>
      </c>
      <c r="C3438" s="7" t="s">
        <v>47</v>
      </c>
      <c r="D3438" s="7" t="s">
        <v>108</v>
      </c>
      <c r="E3438" s="7" t="s">
        <v>109</v>
      </c>
      <c r="F3438" s="7" t="s">
        <v>56</v>
      </c>
      <c r="G3438" s="7" t="s">
        <v>20</v>
      </c>
      <c r="H3438" s="9" t="n">
        <v>46081</v>
      </c>
      <c r="I3438" s="9"/>
      <c r="J3438" s="7" t="n">
        <v>8.6</v>
      </c>
      <c r="K3438" s="7" t="s">
        <v>3856</v>
      </c>
      <c r="L3438" s="7" t="s">
        <v>19</v>
      </c>
      <c r="M3438" s="7" t="s">
        <v>4042</v>
      </c>
      <c r="N3438" s="7" t="s">
        <v>53</v>
      </c>
      <c r="O3438" s="10" t="n">
        <f aca="false">'Exec Summary'!$E$2-H3438</f>
        <v>153</v>
      </c>
      <c r="P3438" s="10" t="str">
        <f aca="false">IF(I3438="","",I3438-H3438)</f>
        <v/>
      </c>
      <c r="Q3438" s="10" t="n">
        <f aca="false">VLOOKUP(G3438,$AA$2:$AB$5,2,FALSE())</f>
        <v>30</v>
      </c>
      <c r="R3438" s="7" t="n">
        <f aca="false">IF(OR(F3438="Open",F3438="Reopened"),1,0)</f>
        <v>1</v>
      </c>
      <c r="S3438" s="7" t="n">
        <f aca="false">IF(AND(H3438&gt;='Exec Summary'!$E$1,H3438&lt;='Exec Summary'!$E$2),1,0)</f>
        <v>0</v>
      </c>
      <c r="T3438" s="7" t="n">
        <f aca="false">IF(AND(F3438="Closed",I3438&lt;&gt;"",I3438&gt;='Exec Summary'!$E$1,I3438&lt;='Exec Summary'!$E$2),1,0)</f>
        <v>0</v>
      </c>
      <c r="U3438" s="7" t="n">
        <f aca="false">IF(F3438="Reopened",1,0)</f>
        <v>0</v>
      </c>
      <c r="V3438" s="7" t="n">
        <f aca="false">IF(AND(R3438=1,O3438&gt;Q3438),1,0)</f>
        <v>1</v>
      </c>
      <c r="W3438" s="7" t="n">
        <f aca="false">IF(AND(T3438=1,P3438&lt;&gt;"",P3438&lt;=Q3438),1,0)</f>
        <v>0</v>
      </c>
    </row>
    <row r="3439" customFormat="false" ht="15" hidden="false" customHeight="false" outlineLevel="0" collapsed="false">
      <c r="A3439" s="7" t="s">
        <v>4037</v>
      </c>
      <c r="B3439" s="7" t="s">
        <v>46</v>
      </c>
      <c r="C3439" s="7" t="s">
        <v>47</v>
      </c>
      <c r="D3439" s="7" t="s">
        <v>210</v>
      </c>
      <c r="E3439" s="7" t="s">
        <v>211</v>
      </c>
      <c r="F3439" s="7" t="s">
        <v>50</v>
      </c>
      <c r="G3439" s="7" t="s">
        <v>19</v>
      </c>
      <c r="H3439" s="9" t="n">
        <v>45971</v>
      </c>
      <c r="I3439" s="9" t="n">
        <v>45977</v>
      </c>
      <c r="J3439" s="7" t="n">
        <v>9.8</v>
      </c>
      <c r="K3439" s="7" t="s">
        <v>3856</v>
      </c>
      <c r="L3439" s="7" t="s">
        <v>19</v>
      </c>
      <c r="M3439" s="7" t="s">
        <v>4043</v>
      </c>
      <c r="N3439" s="7" t="s">
        <v>58</v>
      </c>
      <c r="O3439" s="10" t="n">
        <f aca="false">'Exec Summary'!$E$2-H3439</f>
        <v>263</v>
      </c>
      <c r="P3439" s="10" t="n">
        <f aca="false">IF(I3439="","",I3439-H3439)</f>
        <v>6</v>
      </c>
      <c r="Q3439" s="10" t="n">
        <f aca="false">VLOOKUP(G3439,$AA$2:$AB$5,2,FALSE())</f>
        <v>15</v>
      </c>
      <c r="R3439" s="7" t="n">
        <f aca="false">IF(OR(F3439="Open",F3439="Reopened"),1,0)</f>
        <v>0</v>
      </c>
      <c r="S3439" s="7" t="n">
        <f aca="false">IF(AND(H3439&gt;='Exec Summary'!$E$1,H3439&lt;='Exec Summary'!$E$2),1,0)</f>
        <v>0</v>
      </c>
      <c r="T3439" s="7" t="n">
        <f aca="false">IF(AND(F3439="Closed",I3439&lt;&gt;"",I3439&gt;='Exec Summary'!$E$1,I3439&lt;='Exec Summary'!$E$2),1,0)</f>
        <v>0</v>
      </c>
      <c r="U3439" s="7" t="n">
        <f aca="false">IF(F3439="Reopened",1,0)</f>
        <v>0</v>
      </c>
      <c r="V3439" s="7" t="n">
        <f aca="false">IF(AND(R3439=1,O3439&gt;Q3439),1,0)</f>
        <v>0</v>
      </c>
      <c r="W3439" s="7" t="n">
        <f aca="false">IF(AND(T3439=1,P3439&lt;&gt;"",P3439&lt;=Q3439),1,0)</f>
        <v>0</v>
      </c>
    </row>
    <row r="3440" customFormat="false" ht="15" hidden="false" customHeight="false" outlineLevel="0" collapsed="false">
      <c r="A3440" s="7" t="s">
        <v>4044</v>
      </c>
      <c r="B3440" s="7" t="s">
        <v>46</v>
      </c>
      <c r="C3440" s="7" t="s">
        <v>177</v>
      </c>
      <c r="D3440" s="7" t="s">
        <v>145</v>
      </c>
      <c r="E3440" s="7" t="s">
        <v>146</v>
      </c>
      <c r="F3440" s="7" t="s">
        <v>50</v>
      </c>
      <c r="G3440" s="7" t="s">
        <v>19</v>
      </c>
      <c r="H3440" s="9" t="n">
        <v>46085</v>
      </c>
      <c r="I3440" s="9" t="n">
        <v>46103</v>
      </c>
      <c r="J3440" s="7" t="n">
        <v>9.8</v>
      </c>
      <c r="K3440" s="7" t="s">
        <v>3856</v>
      </c>
      <c r="L3440" s="7" t="s">
        <v>20</v>
      </c>
      <c r="M3440" s="7" t="s">
        <v>4045</v>
      </c>
      <c r="N3440" s="7" t="s">
        <v>58</v>
      </c>
      <c r="O3440" s="10" t="n">
        <f aca="false">'Exec Summary'!$E$2-H3440</f>
        <v>149</v>
      </c>
      <c r="P3440" s="10" t="n">
        <f aca="false">IF(I3440="","",I3440-H3440)</f>
        <v>18</v>
      </c>
      <c r="Q3440" s="10" t="n">
        <f aca="false">VLOOKUP(G3440,$AA$2:$AB$5,2,FALSE())</f>
        <v>15</v>
      </c>
      <c r="R3440" s="7" t="n">
        <f aca="false">IF(OR(F3440="Open",F3440="Reopened"),1,0)</f>
        <v>0</v>
      </c>
      <c r="S3440" s="7" t="n">
        <f aca="false">IF(AND(H3440&gt;='Exec Summary'!$E$1,H3440&lt;='Exec Summary'!$E$2),1,0)</f>
        <v>0</v>
      </c>
      <c r="T3440" s="7" t="n">
        <f aca="false">IF(AND(F3440="Closed",I3440&lt;&gt;"",I3440&gt;='Exec Summary'!$E$1,I3440&lt;='Exec Summary'!$E$2),1,0)</f>
        <v>0</v>
      </c>
      <c r="U3440" s="7" t="n">
        <f aca="false">IF(F3440="Reopened",1,0)</f>
        <v>0</v>
      </c>
      <c r="V3440" s="7" t="n">
        <f aca="false">IF(AND(R3440=1,O3440&gt;Q3440),1,0)</f>
        <v>0</v>
      </c>
      <c r="W3440" s="7" t="n">
        <f aca="false">IF(AND(T3440=1,P3440&lt;&gt;"",P3440&lt;=Q3440),1,0)</f>
        <v>0</v>
      </c>
    </row>
    <row r="3441" customFormat="false" ht="15" hidden="false" customHeight="false" outlineLevel="0" collapsed="false">
      <c r="A3441" s="7" t="s">
        <v>4044</v>
      </c>
      <c r="B3441" s="7" t="s">
        <v>46</v>
      </c>
      <c r="C3441" s="7" t="s">
        <v>177</v>
      </c>
      <c r="D3441" s="7" t="s">
        <v>71</v>
      </c>
      <c r="E3441" s="7" t="s">
        <v>72</v>
      </c>
      <c r="F3441" s="7" t="s">
        <v>50</v>
      </c>
      <c r="G3441" s="7" t="s">
        <v>19</v>
      </c>
      <c r="H3441" s="9" t="n">
        <v>46074</v>
      </c>
      <c r="I3441" s="9" t="n">
        <v>46093</v>
      </c>
      <c r="J3441" s="7" t="n">
        <v>9.8</v>
      </c>
      <c r="K3441" s="7" t="s">
        <v>3856</v>
      </c>
      <c r="L3441" s="7" t="s">
        <v>20</v>
      </c>
      <c r="M3441" s="7" t="s">
        <v>4046</v>
      </c>
      <c r="N3441" s="7" t="s">
        <v>58</v>
      </c>
      <c r="O3441" s="10" t="n">
        <f aca="false">'Exec Summary'!$E$2-H3441</f>
        <v>160</v>
      </c>
      <c r="P3441" s="10" t="n">
        <f aca="false">IF(I3441="","",I3441-H3441)</f>
        <v>19</v>
      </c>
      <c r="Q3441" s="10" t="n">
        <f aca="false">VLOOKUP(G3441,$AA$2:$AB$5,2,FALSE())</f>
        <v>15</v>
      </c>
      <c r="R3441" s="7" t="n">
        <f aca="false">IF(OR(F3441="Open",F3441="Reopened"),1,0)</f>
        <v>0</v>
      </c>
      <c r="S3441" s="7" t="n">
        <f aca="false">IF(AND(H3441&gt;='Exec Summary'!$E$1,H3441&lt;='Exec Summary'!$E$2),1,0)</f>
        <v>0</v>
      </c>
      <c r="T3441" s="7" t="n">
        <f aca="false">IF(AND(F3441="Closed",I3441&lt;&gt;"",I3441&gt;='Exec Summary'!$E$1,I3441&lt;='Exec Summary'!$E$2),1,0)</f>
        <v>0</v>
      </c>
      <c r="U3441" s="7" t="n">
        <f aca="false">IF(F3441="Reopened",1,0)</f>
        <v>0</v>
      </c>
      <c r="V3441" s="7" t="n">
        <f aca="false">IF(AND(R3441=1,O3441&gt;Q3441),1,0)</f>
        <v>0</v>
      </c>
      <c r="W3441" s="7" t="n">
        <f aca="false">IF(AND(T3441=1,P3441&lt;&gt;"",P3441&lt;=Q3441),1,0)</f>
        <v>0</v>
      </c>
    </row>
    <row r="3442" customFormat="false" ht="15" hidden="false" customHeight="false" outlineLevel="0" collapsed="false">
      <c r="A3442" s="7" t="s">
        <v>4044</v>
      </c>
      <c r="B3442" s="7" t="s">
        <v>46</v>
      </c>
      <c r="C3442" s="7" t="s">
        <v>177</v>
      </c>
      <c r="D3442" s="7" t="s">
        <v>166</v>
      </c>
      <c r="E3442" s="7" t="s">
        <v>167</v>
      </c>
      <c r="F3442" s="7" t="s">
        <v>56</v>
      </c>
      <c r="G3442" s="7" t="s">
        <v>19</v>
      </c>
      <c r="H3442" s="9" t="n">
        <v>46080</v>
      </c>
      <c r="I3442" s="9"/>
      <c r="J3442" s="7" t="n">
        <v>9.8</v>
      </c>
      <c r="K3442" s="7" t="s">
        <v>3856</v>
      </c>
      <c r="L3442" s="7" t="s">
        <v>20</v>
      </c>
      <c r="M3442" s="7" t="s">
        <v>4047</v>
      </c>
      <c r="N3442" s="7" t="s">
        <v>58</v>
      </c>
      <c r="O3442" s="10" t="n">
        <f aca="false">'Exec Summary'!$E$2-H3442</f>
        <v>154</v>
      </c>
      <c r="P3442" s="10" t="str">
        <f aca="false">IF(I3442="","",I3442-H3442)</f>
        <v/>
      </c>
      <c r="Q3442" s="10" t="n">
        <f aca="false">VLOOKUP(G3442,$AA$2:$AB$5,2,FALSE())</f>
        <v>15</v>
      </c>
      <c r="R3442" s="7" t="n">
        <f aca="false">IF(OR(F3442="Open",F3442="Reopened"),1,0)</f>
        <v>1</v>
      </c>
      <c r="S3442" s="7" t="n">
        <f aca="false">IF(AND(H3442&gt;='Exec Summary'!$E$1,H3442&lt;='Exec Summary'!$E$2),1,0)</f>
        <v>0</v>
      </c>
      <c r="T3442" s="7" t="n">
        <f aca="false">IF(AND(F3442="Closed",I3442&lt;&gt;"",I3442&gt;='Exec Summary'!$E$1,I3442&lt;='Exec Summary'!$E$2),1,0)</f>
        <v>0</v>
      </c>
      <c r="U3442" s="7" t="n">
        <f aca="false">IF(F3442="Reopened",1,0)</f>
        <v>0</v>
      </c>
      <c r="V3442" s="7" t="n">
        <f aca="false">IF(AND(R3442=1,O3442&gt;Q3442),1,0)</f>
        <v>1</v>
      </c>
      <c r="W3442" s="7" t="n">
        <f aca="false">IF(AND(T3442=1,P3442&lt;&gt;"",P3442&lt;=Q3442),1,0)</f>
        <v>0</v>
      </c>
    </row>
    <row r="3443" customFormat="false" ht="15" hidden="false" customHeight="false" outlineLevel="0" collapsed="false">
      <c r="A3443" s="7" t="s">
        <v>4044</v>
      </c>
      <c r="B3443" s="7" t="s">
        <v>46</v>
      </c>
      <c r="C3443" s="7" t="s">
        <v>177</v>
      </c>
      <c r="D3443" s="7" t="s">
        <v>87</v>
      </c>
      <c r="E3443" s="7" t="s">
        <v>88</v>
      </c>
      <c r="F3443" s="7" t="s">
        <v>50</v>
      </c>
      <c r="G3443" s="7" t="s">
        <v>19</v>
      </c>
      <c r="H3443" s="9" t="n">
        <v>46114</v>
      </c>
      <c r="I3443" s="9" t="n">
        <v>46116</v>
      </c>
      <c r="J3443" s="7" t="n">
        <v>10</v>
      </c>
      <c r="K3443" s="7" t="s">
        <v>3856</v>
      </c>
      <c r="L3443" s="7" t="s">
        <v>20</v>
      </c>
      <c r="M3443" s="7" t="s">
        <v>4048</v>
      </c>
      <c r="N3443" s="7" t="s">
        <v>58</v>
      </c>
      <c r="O3443" s="10" t="n">
        <f aca="false">'Exec Summary'!$E$2-H3443</f>
        <v>120</v>
      </c>
      <c r="P3443" s="10" t="n">
        <f aca="false">IF(I3443="","",I3443-H3443)</f>
        <v>2</v>
      </c>
      <c r="Q3443" s="10" t="n">
        <f aca="false">VLOOKUP(G3443,$AA$2:$AB$5,2,FALSE())</f>
        <v>15</v>
      </c>
      <c r="R3443" s="7" t="n">
        <f aca="false">IF(OR(F3443="Open",F3443="Reopened"),1,0)</f>
        <v>0</v>
      </c>
      <c r="S3443" s="7" t="n">
        <f aca="false">IF(AND(H3443&gt;='Exec Summary'!$E$1,H3443&lt;='Exec Summary'!$E$2),1,0)</f>
        <v>0</v>
      </c>
      <c r="T3443" s="7" t="n">
        <f aca="false">IF(AND(F3443="Closed",I3443&lt;&gt;"",I3443&gt;='Exec Summary'!$E$1,I3443&lt;='Exec Summary'!$E$2),1,0)</f>
        <v>0</v>
      </c>
      <c r="U3443" s="7" t="n">
        <f aca="false">IF(F3443="Reopened",1,0)</f>
        <v>0</v>
      </c>
      <c r="V3443" s="7" t="n">
        <f aca="false">IF(AND(R3443=1,O3443&gt;Q3443),1,0)</f>
        <v>0</v>
      </c>
      <c r="W3443" s="7" t="n">
        <f aca="false">IF(AND(T3443=1,P3443&lt;&gt;"",P3443&lt;=Q3443),1,0)</f>
        <v>0</v>
      </c>
    </row>
    <row r="3444" customFormat="false" ht="15" hidden="false" customHeight="false" outlineLevel="0" collapsed="false">
      <c r="A3444" s="7" t="s">
        <v>4049</v>
      </c>
      <c r="B3444" s="7" t="s">
        <v>46</v>
      </c>
      <c r="C3444" s="7" t="s">
        <v>128</v>
      </c>
      <c r="D3444" s="7" t="s">
        <v>112</v>
      </c>
      <c r="E3444" s="7" t="s">
        <v>113</v>
      </c>
      <c r="F3444" s="7" t="s">
        <v>56</v>
      </c>
      <c r="G3444" s="7" t="s">
        <v>20</v>
      </c>
      <c r="H3444" s="9" t="n">
        <v>46210</v>
      </c>
      <c r="I3444" s="9"/>
      <c r="J3444" s="7" t="n">
        <v>7.8</v>
      </c>
      <c r="K3444" s="7" t="s">
        <v>3856</v>
      </c>
      <c r="L3444" s="7" t="s">
        <v>19</v>
      </c>
      <c r="M3444" s="7" t="s">
        <v>4050</v>
      </c>
      <c r="N3444" s="7" t="s">
        <v>53</v>
      </c>
      <c r="O3444" s="10" t="n">
        <f aca="false">'Exec Summary'!$E$2-H3444</f>
        <v>24</v>
      </c>
      <c r="P3444" s="10" t="str">
        <f aca="false">IF(I3444="","",I3444-H3444)</f>
        <v/>
      </c>
      <c r="Q3444" s="10" t="n">
        <f aca="false">VLOOKUP(G3444,$AA$2:$AB$5,2,FALSE())</f>
        <v>30</v>
      </c>
      <c r="R3444" s="7" t="n">
        <f aca="false">IF(OR(F3444="Open",F3444="Reopened"),1,0)</f>
        <v>1</v>
      </c>
      <c r="S3444" s="7" t="n">
        <f aca="false">IF(AND(H3444&gt;='Exec Summary'!$E$1,H3444&lt;='Exec Summary'!$E$2),1,0)</f>
        <v>1</v>
      </c>
      <c r="T3444" s="7" t="n">
        <f aca="false">IF(AND(F3444="Closed",I3444&lt;&gt;"",I3444&gt;='Exec Summary'!$E$1,I3444&lt;='Exec Summary'!$E$2),1,0)</f>
        <v>0</v>
      </c>
      <c r="U3444" s="7" t="n">
        <f aca="false">IF(F3444="Reopened",1,0)</f>
        <v>0</v>
      </c>
      <c r="V3444" s="7" t="n">
        <f aca="false">IF(AND(R3444=1,O3444&gt;Q3444),1,0)</f>
        <v>0</v>
      </c>
      <c r="W3444" s="7" t="n">
        <f aca="false">IF(AND(T3444=1,P3444&lt;&gt;"",P3444&lt;=Q3444),1,0)</f>
        <v>0</v>
      </c>
    </row>
    <row r="3445" customFormat="false" ht="15" hidden="false" customHeight="false" outlineLevel="0" collapsed="false">
      <c r="A3445" s="7" t="s">
        <v>4049</v>
      </c>
      <c r="B3445" s="7" t="s">
        <v>46</v>
      </c>
      <c r="C3445" s="7" t="s">
        <v>128</v>
      </c>
      <c r="D3445" s="7" t="s">
        <v>192</v>
      </c>
      <c r="E3445" s="7" t="s">
        <v>193</v>
      </c>
      <c r="F3445" s="7" t="s">
        <v>50</v>
      </c>
      <c r="G3445" s="7" t="s">
        <v>19</v>
      </c>
      <c r="H3445" s="9" t="n">
        <v>46205</v>
      </c>
      <c r="I3445" s="9" t="n">
        <v>46215</v>
      </c>
      <c r="J3445" s="7" t="n">
        <v>9.8</v>
      </c>
      <c r="K3445" s="7" t="s">
        <v>3856</v>
      </c>
      <c r="L3445" s="7" t="s">
        <v>19</v>
      </c>
      <c r="M3445" s="7" t="s">
        <v>4051</v>
      </c>
      <c r="N3445" s="7" t="s">
        <v>58</v>
      </c>
      <c r="O3445" s="10" t="n">
        <f aca="false">'Exec Summary'!$E$2-H3445</f>
        <v>29</v>
      </c>
      <c r="P3445" s="10" t="n">
        <f aca="false">IF(I3445="","",I3445-H3445)</f>
        <v>10</v>
      </c>
      <c r="Q3445" s="10" t="n">
        <f aca="false">VLOOKUP(G3445,$AA$2:$AB$5,2,FALSE())</f>
        <v>15</v>
      </c>
      <c r="R3445" s="7" t="n">
        <f aca="false">IF(OR(F3445="Open",F3445="Reopened"),1,0)</f>
        <v>0</v>
      </c>
      <c r="S3445" s="7" t="n">
        <f aca="false">IF(AND(H3445&gt;='Exec Summary'!$E$1,H3445&lt;='Exec Summary'!$E$2),1,0)</f>
        <v>1</v>
      </c>
      <c r="T3445" s="7" t="n">
        <f aca="false">IF(AND(F3445="Closed",I3445&lt;&gt;"",I3445&gt;='Exec Summary'!$E$1,I3445&lt;='Exec Summary'!$E$2),1,0)</f>
        <v>1</v>
      </c>
      <c r="U3445" s="7" t="n">
        <f aca="false">IF(F3445="Reopened",1,0)</f>
        <v>0</v>
      </c>
      <c r="V3445" s="7" t="n">
        <f aca="false">IF(AND(R3445=1,O3445&gt;Q3445),1,0)</f>
        <v>0</v>
      </c>
      <c r="W3445" s="7" t="n">
        <f aca="false">IF(AND(T3445=1,P3445&lt;&gt;"",P3445&lt;=Q3445),1,0)</f>
        <v>1</v>
      </c>
    </row>
    <row r="3446" customFormat="false" ht="15" hidden="false" customHeight="false" outlineLevel="0" collapsed="false">
      <c r="A3446" s="7" t="s">
        <v>4049</v>
      </c>
      <c r="B3446" s="7" t="s">
        <v>46</v>
      </c>
      <c r="C3446" s="7" t="s">
        <v>128</v>
      </c>
      <c r="D3446" s="7" t="s">
        <v>71</v>
      </c>
      <c r="E3446" s="7" t="s">
        <v>72</v>
      </c>
      <c r="F3446" s="7" t="s">
        <v>56</v>
      </c>
      <c r="G3446" s="7" t="s">
        <v>19</v>
      </c>
      <c r="H3446" s="9" t="n">
        <v>46085</v>
      </c>
      <c r="I3446" s="9"/>
      <c r="J3446" s="7" t="n">
        <v>9.8</v>
      </c>
      <c r="K3446" s="7" t="s">
        <v>3856</v>
      </c>
      <c r="L3446" s="7" t="s">
        <v>19</v>
      </c>
      <c r="M3446" s="7" t="s">
        <v>4052</v>
      </c>
      <c r="N3446" s="7" t="s">
        <v>58</v>
      </c>
      <c r="O3446" s="10" t="n">
        <f aca="false">'Exec Summary'!$E$2-H3446</f>
        <v>149</v>
      </c>
      <c r="P3446" s="10" t="str">
        <f aca="false">IF(I3446="","",I3446-H3446)</f>
        <v/>
      </c>
      <c r="Q3446" s="10" t="n">
        <f aca="false">VLOOKUP(G3446,$AA$2:$AB$5,2,FALSE())</f>
        <v>15</v>
      </c>
      <c r="R3446" s="7" t="n">
        <f aca="false">IF(OR(F3446="Open",F3446="Reopened"),1,0)</f>
        <v>1</v>
      </c>
      <c r="S3446" s="7" t="n">
        <f aca="false">IF(AND(H3446&gt;='Exec Summary'!$E$1,H3446&lt;='Exec Summary'!$E$2),1,0)</f>
        <v>0</v>
      </c>
      <c r="T3446" s="7" t="n">
        <f aca="false">IF(AND(F3446="Closed",I3446&lt;&gt;"",I3446&gt;='Exec Summary'!$E$1,I3446&lt;='Exec Summary'!$E$2),1,0)</f>
        <v>0</v>
      </c>
      <c r="U3446" s="7" t="n">
        <f aca="false">IF(F3446="Reopened",1,0)</f>
        <v>0</v>
      </c>
      <c r="V3446" s="7" t="n">
        <f aca="false">IF(AND(R3446=1,O3446&gt;Q3446),1,0)</f>
        <v>1</v>
      </c>
      <c r="W3446" s="7" t="n">
        <f aca="false">IF(AND(T3446=1,P3446&lt;&gt;"",P3446&lt;=Q3446),1,0)</f>
        <v>0</v>
      </c>
    </row>
    <row r="3447" customFormat="false" ht="15" hidden="false" customHeight="false" outlineLevel="0" collapsed="false">
      <c r="A3447" s="7" t="s">
        <v>4049</v>
      </c>
      <c r="B3447" s="7" t="s">
        <v>46</v>
      </c>
      <c r="C3447" s="7" t="s">
        <v>128</v>
      </c>
      <c r="D3447" s="7" t="s">
        <v>166</v>
      </c>
      <c r="E3447" s="7" t="s">
        <v>167</v>
      </c>
      <c r="F3447" s="7" t="s">
        <v>123</v>
      </c>
      <c r="G3447" s="7" t="s">
        <v>19</v>
      </c>
      <c r="H3447" s="9" t="n">
        <v>45992</v>
      </c>
      <c r="I3447" s="9" t="n">
        <v>46007</v>
      </c>
      <c r="J3447" s="7" t="n">
        <v>9.8</v>
      </c>
      <c r="K3447" s="7" t="s">
        <v>3856</v>
      </c>
      <c r="L3447" s="7" t="s">
        <v>19</v>
      </c>
      <c r="M3447" s="7" t="s">
        <v>4053</v>
      </c>
      <c r="N3447" s="7" t="s">
        <v>58</v>
      </c>
      <c r="O3447" s="10" t="n">
        <f aca="false">'Exec Summary'!$E$2-H3447</f>
        <v>242</v>
      </c>
      <c r="P3447" s="10" t="n">
        <f aca="false">IF(I3447="","",I3447-H3447)</f>
        <v>15</v>
      </c>
      <c r="Q3447" s="10" t="n">
        <f aca="false">VLOOKUP(G3447,$AA$2:$AB$5,2,FALSE())</f>
        <v>15</v>
      </c>
      <c r="R3447" s="7" t="n">
        <f aca="false">IF(OR(F3447="Open",F3447="Reopened"),1,0)</f>
        <v>1</v>
      </c>
      <c r="S3447" s="7" t="n">
        <f aca="false">IF(AND(H3447&gt;='Exec Summary'!$E$1,H3447&lt;='Exec Summary'!$E$2),1,0)</f>
        <v>0</v>
      </c>
      <c r="T3447" s="7" t="n">
        <f aca="false">IF(AND(F3447="Closed",I3447&lt;&gt;"",I3447&gt;='Exec Summary'!$E$1,I3447&lt;='Exec Summary'!$E$2),1,0)</f>
        <v>0</v>
      </c>
      <c r="U3447" s="7" t="n">
        <f aca="false">IF(F3447="Reopened",1,0)</f>
        <v>1</v>
      </c>
      <c r="V3447" s="7" t="n">
        <f aca="false">IF(AND(R3447=1,O3447&gt;Q3447),1,0)</f>
        <v>1</v>
      </c>
      <c r="W3447" s="7" t="n">
        <f aca="false">IF(AND(T3447=1,P3447&lt;&gt;"",P3447&lt;=Q3447),1,0)</f>
        <v>0</v>
      </c>
    </row>
    <row r="3448" customFormat="false" ht="15" hidden="false" customHeight="false" outlineLevel="0" collapsed="false">
      <c r="A3448" s="7" t="s">
        <v>4049</v>
      </c>
      <c r="B3448" s="7" t="s">
        <v>46</v>
      </c>
      <c r="C3448" s="7" t="s">
        <v>128</v>
      </c>
      <c r="D3448" s="7" t="s">
        <v>206</v>
      </c>
      <c r="E3448" s="7" t="s">
        <v>207</v>
      </c>
      <c r="F3448" s="7" t="s">
        <v>56</v>
      </c>
      <c r="G3448" s="7" t="s">
        <v>20</v>
      </c>
      <c r="H3448" s="9" t="n">
        <v>46137</v>
      </c>
      <c r="I3448" s="9"/>
      <c r="J3448" s="7" t="n">
        <v>8.8</v>
      </c>
      <c r="K3448" s="7" t="s">
        <v>3856</v>
      </c>
      <c r="L3448" s="7" t="s">
        <v>19</v>
      </c>
      <c r="M3448" s="7" t="s">
        <v>4054</v>
      </c>
      <c r="N3448" s="7" t="s">
        <v>53</v>
      </c>
      <c r="O3448" s="10" t="n">
        <f aca="false">'Exec Summary'!$E$2-H3448</f>
        <v>97</v>
      </c>
      <c r="P3448" s="10" t="str">
        <f aca="false">IF(I3448="","",I3448-H3448)</f>
        <v/>
      </c>
      <c r="Q3448" s="10" t="n">
        <f aca="false">VLOOKUP(G3448,$AA$2:$AB$5,2,FALSE())</f>
        <v>30</v>
      </c>
      <c r="R3448" s="7" t="n">
        <f aca="false">IF(OR(F3448="Open",F3448="Reopened"),1,0)</f>
        <v>1</v>
      </c>
      <c r="S3448" s="7" t="n">
        <f aca="false">IF(AND(H3448&gt;='Exec Summary'!$E$1,H3448&lt;='Exec Summary'!$E$2),1,0)</f>
        <v>0</v>
      </c>
      <c r="T3448" s="7" t="n">
        <f aca="false">IF(AND(F3448="Closed",I3448&lt;&gt;"",I3448&gt;='Exec Summary'!$E$1,I3448&lt;='Exec Summary'!$E$2),1,0)</f>
        <v>0</v>
      </c>
      <c r="U3448" s="7" t="n">
        <f aca="false">IF(F3448="Reopened",1,0)</f>
        <v>0</v>
      </c>
      <c r="V3448" s="7" t="n">
        <f aca="false">IF(AND(R3448=1,O3448&gt;Q3448),1,0)</f>
        <v>1</v>
      </c>
      <c r="W3448" s="7" t="n">
        <f aca="false">IF(AND(T3448=1,P3448&lt;&gt;"",P3448&lt;=Q3448),1,0)</f>
        <v>0</v>
      </c>
    </row>
    <row r="3449" customFormat="false" ht="15" hidden="false" customHeight="false" outlineLevel="0" collapsed="false">
      <c r="A3449" s="7" t="s">
        <v>4049</v>
      </c>
      <c r="B3449" s="7" t="s">
        <v>46</v>
      </c>
      <c r="C3449" s="7" t="s">
        <v>128</v>
      </c>
      <c r="D3449" s="7" t="s">
        <v>68</v>
      </c>
      <c r="E3449" s="7" t="s">
        <v>69</v>
      </c>
      <c r="F3449" s="7" t="s">
        <v>56</v>
      </c>
      <c r="G3449" s="7" t="s">
        <v>19</v>
      </c>
      <c r="H3449" s="9" t="n">
        <v>45980</v>
      </c>
      <c r="I3449" s="9"/>
      <c r="J3449" s="7" t="n">
        <v>9.8</v>
      </c>
      <c r="K3449" s="7" t="s">
        <v>3856</v>
      </c>
      <c r="L3449" s="7" t="s">
        <v>19</v>
      </c>
      <c r="M3449" s="7" t="s">
        <v>4055</v>
      </c>
      <c r="N3449" s="7" t="s">
        <v>58</v>
      </c>
      <c r="O3449" s="10" t="n">
        <f aca="false">'Exec Summary'!$E$2-H3449</f>
        <v>254</v>
      </c>
      <c r="P3449" s="10" t="str">
        <f aca="false">IF(I3449="","",I3449-H3449)</f>
        <v/>
      </c>
      <c r="Q3449" s="10" t="n">
        <f aca="false">VLOOKUP(G3449,$AA$2:$AB$5,2,FALSE())</f>
        <v>15</v>
      </c>
      <c r="R3449" s="7" t="n">
        <f aca="false">IF(OR(F3449="Open",F3449="Reopened"),1,0)</f>
        <v>1</v>
      </c>
      <c r="S3449" s="7" t="n">
        <f aca="false">IF(AND(H3449&gt;='Exec Summary'!$E$1,H3449&lt;='Exec Summary'!$E$2),1,0)</f>
        <v>0</v>
      </c>
      <c r="T3449" s="7" t="n">
        <f aca="false">IF(AND(F3449="Closed",I3449&lt;&gt;"",I3449&gt;='Exec Summary'!$E$1,I3449&lt;='Exec Summary'!$E$2),1,0)</f>
        <v>0</v>
      </c>
      <c r="U3449" s="7" t="n">
        <f aca="false">IF(F3449="Reopened",1,0)</f>
        <v>0</v>
      </c>
      <c r="V3449" s="7" t="n">
        <f aca="false">IF(AND(R3449=1,O3449&gt;Q3449),1,0)</f>
        <v>1</v>
      </c>
      <c r="W3449" s="7" t="n">
        <f aca="false">IF(AND(T3449=1,P3449&lt;&gt;"",P3449&lt;=Q3449),1,0)</f>
        <v>0</v>
      </c>
    </row>
    <row r="3450" customFormat="false" ht="15" hidden="false" customHeight="false" outlineLevel="0" collapsed="false">
      <c r="A3450" s="7" t="s">
        <v>4049</v>
      </c>
      <c r="B3450" s="7" t="s">
        <v>46</v>
      </c>
      <c r="C3450" s="7" t="s">
        <v>128</v>
      </c>
      <c r="D3450" s="7" t="s">
        <v>84</v>
      </c>
      <c r="E3450" s="7" t="s">
        <v>85</v>
      </c>
      <c r="F3450" s="7" t="s">
        <v>50</v>
      </c>
      <c r="G3450" s="7" t="s">
        <v>20</v>
      </c>
      <c r="H3450" s="9" t="n">
        <v>46069</v>
      </c>
      <c r="I3450" s="9" t="n">
        <v>46072</v>
      </c>
      <c r="J3450" s="7" t="n">
        <v>7.5</v>
      </c>
      <c r="K3450" s="7" t="s">
        <v>3856</v>
      </c>
      <c r="L3450" s="7" t="s">
        <v>19</v>
      </c>
      <c r="M3450" s="7" t="s">
        <v>4056</v>
      </c>
      <c r="N3450" s="7" t="s">
        <v>53</v>
      </c>
      <c r="O3450" s="10" t="n">
        <f aca="false">'Exec Summary'!$E$2-H3450</f>
        <v>165</v>
      </c>
      <c r="P3450" s="10" t="n">
        <f aca="false">IF(I3450="","",I3450-H3450)</f>
        <v>3</v>
      </c>
      <c r="Q3450" s="10" t="n">
        <f aca="false">VLOOKUP(G3450,$AA$2:$AB$5,2,FALSE())</f>
        <v>30</v>
      </c>
      <c r="R3450" s="7" t="n">
        <f aca="false">IF(OR(F3450="Open",F3450="Reopened"),1,0)</f>
        <v>0</v>
      </c>
      <c r="S3450" s="7" t="n">
        <f aca="false">IF(AND(H3450&gt;='Exec Summary'!$E$1,H3450&lt;='Exec Summary'!$E$2),1,0)</f>
        <v>0</v>
      </c>
      <c r="T3450" s="7" t="n">
        <f aca="false">IF(AND(F3450="Closed",I3450&lt;&gt;"",I3450&gt;='Exec Summary'!$E$1,I3450&lt;='Exec Summary'!$E$2),1,0)</f>
        <v>0</v>
      </c>
      <c r="U3450" s="7" t="n">
        <f aca="false">IF(F3450="Reopened",1,0)</f>
        <v>0</v>
      </c>
      <c r="V3450" s="7" t="n">
        <f aca="false">IF(AND(R3450=1,O3450&gt;Q3450),1,0)</f>
        <v>0</v>
      </c>
      <c r="W3450" s="7" t="n">
        <f aca="false">IF(AND(T3450=1,P3450&lt;&gt;"",P3450&lt;=Q3450),1,0)</f>
        <v>0</v>
      </c>
    </row>
    <row r="3451" customFormat="false" ht="15" hidden="false" customHeight="false" outlineLevel="0" collapsed="false">
      <c r="A3451" s="7" t="s">
        <v>4049</v>
      </c>
      <c r="B3451" s="7" t="s">
        <v>46</v>
      </c>
      <c r="C3451" s="7" t="s">
        <v>128</v>
      </c>
      <c r="D3451" s="7" t="s">
        <v>87</v>
      </c>
      <c r="E3451" s="7" t="s">
        <v>88</v>
      </c>
      <c r="F3451" s="7" t="s">
        <v>50</v>
      </c>
      <c r="G3451" s="7" t="s">
        <v>19</v>
      </c>
      <c r="H3451" s="9" t="n">
        <v>46124</v>
      </c>
      <c r="I3451" s="9" t="n">
        <v>46138</v>
      </c>
      <c r="J3451" s="7" t="n">
        <v>10</v>
      </c>
      <c r="K3451" s="7" t="s">
        <v>3856</v>
      </c>
      <c r="L3451" s="7" t="s">
        <v>19</v>
      </c>
      <c r="M3451" s="7" t="s">
        <v>4057</v>
      </c>
      <c r="N3451" s="7" t="s">
        <v>58</v>
      </c>
      <c r="O3451" s="10" t="n">
        <f aca="false">'Exec Summary'!$E$2-H3451</f>
        <v>110</v>
      </c>
      <c r="P3451" s="10" t="n">
        <f aca="false">IF(I3451="","",I3451-H3451)</f>
        <v>14</v>
      </c>
      <c r="Q3451" s="10" t="n">
        <f aca="false">VLOOKUP(G3451,$AA$2:$AB$5,2,FALSE())</f>
        <v>15</v>
      </c>
      <c r="R3451" s="7" t="n">
        <f aca="false">IF(OR(F3451="Open",F3451="Reopened"),1,0)</f>
        <v>0</v>
      </c>
      <c r="S3451" s="7" t="n">
        <f aca="false">IF(AND(H3451&gt;='Exec Summary'!$E$1,H3451&lt;='Exec Summary'!$E$2),1,0)</f>
        <v>0</v>
      </c>
      <c r="T3451" s="7" t="n">
        <f aca="false">IF(AND(F3451="Closed",I3451&lt;&gt;"",I3451&gt;='Exec Summary'!$E$1,I3451&lt;='Exec Summary'!$E$2),1,0)</f>
        <v>0</v>
      </c>
      <c r="U3451" s="7" t="n">
        <f aca="false">IF(F3451="Reopened",1,0)</f>
        <v>0</v>
      </c>
      <c r="V3451" s="7" t="n">
        <f aca="false">IF(AND(R3451=1,O3451&gt;Q3451),1,0)</f>
        <v>0</v>
      </c>
      <c r="W3451" s="7" t="n">
        <f aca="false">IF(AND(T3451=1,P3451&lt;&gt;"",P3451&lt;=Q3451),1,0)</f>
        <v>0</v>
      </c>
    </row>
    <row r="3452" customFormat="false" ht="15" hidden="false" customHeight="false" outlineLevel="0" collapsed="false">
      <c r="A3452" s="7" t="s">
        <v>4049</v>
      </c>
      <c r="B3452" s="7" t="s">
        <v>46</v>
      </c>
      <c r="C3452" s="7" t="s">
        <v>128</v>
      </c>
      <c r="D3452" s="7" t="s">
        <v>163</v>
      </c>
      <c r="E3452" s="7" t="s">
        <v>164</v>
      </c>
      <c r="F3452" s="7" t="s">
        <v>50</v>
      </c>
      <c r="G3452" s="7" t="s">
        <v>19</v>
      </c>
      <c r="H3452" s="9" t="n">
        <v>46221</v>
      </c>
      <c r="I3452" s="9" t="n">
        <v>46224</v>
      </c>
      <c r="J3452" s="7" t="n">
        <v>9.1</v>
      </c>
      <c r="K3452" s="7" t="s">
        <v>3856</v>
      </c>
      <c r="L3452" s="7" t="s">
        <v>19</v>
      </c>
      <c r="M3452" s="7" t="s">
        <v>4058</v>
      </c>
      <c r="N3452" s="7" t="s">
        <v>58</v>
      </c>
      <c r="O3452" s="10" t="n">
        <f aca="false">'Exec Summary'!$E$2-H3452</f>
        <v>13</v>
      </c>
      <c r="P3452" s="10" t="n">
        <f aca="false">IF(I3452="","",I3452-H3452)</f>
        <v>3</v>
      </c>
      <c r="Q3452" s="10" t="n">
        <f aca="false">VLOOKUP(G3452,$AA$2:$AB$5,2,FALSE())</f>
        <v>15</v>
      </c>
      <c r="R3452" s="7" t="n">
        <f aca="false">IF(OR(F3452="Open",F3452="Reopened"),1,0)</f>
        <v>0</v>
      </c>
      <c r="S3452" s="7" t="n">
        <f aca="false">IF(AND(H3452&gt;='Exec Summary'!$E$1,H3452&lt;='Exec Summary'!$E$2),1,0)</f>
        <v>1</v>
      </c>
      <c r="T3452" s="7" t="n">
        <f aca="false">IF(AND(F3452="Closed",I3452&lt;&gt;"",I3452&gt;='Exec Summary'!$E$1,I3452&lt;='Exec Summary'!$E$2),1,0)</f>
        <v>1</v>
      </c>
      <c r="U3452" s="7" t="n">
        <f aca="false">IF(F3452="Reopened",1,0)</f>
        <v>0</v>
      </c>
      <c r="V3452" s="7" t="n">
        <f aca="false">IF(AND(R3452=1,O3452&gt;Q3452),1,0)</f>
        <v>0</v>
      </c>
      <c r="W3452" s="7" t="n">
        <f aca="false">IF(AND(T3452=1,P3452&lt;&gt;"",P3452&lt;=Q3452),1,0)</f>
        <v>1</v>
      </c>
    </row>
    <row r="3453" customFormat="false" ht="15" hidden="false" customHeight="false" outlineLevel="0" collapsed="false">
      <c r="A3453" s="7" t="s">
        <v>4049</v>
      </c>
      <c r="B3453" s="7" t="s">
        <v>46</v>
      </c>
      <c r="C3453" s="7" t="s">
        <v>128</v>
      </c>
      <c r="D3453" s="7" t="s">
        <v>62</v>
      </c>
      <c r="E3453" s="7" t="s">
        <v>63</v>
      </c>
      <c r="F3453" s="7" t="s">
        <v>56</v>
      </c>
      <c r="G3453" s="7" t="s">
        <v>20</v>
      </c>
      <c r="H3453" s="9" t="n">
        <v>46088</v>
      </c>
      <c r="I3453" s="9"/>
      <c r="J3453" s="7" t="n">
        <v>8.1</v>
      </c>
      <c r="K3453" s="7" t="s">
        <v>3856</v>
      </c>
      <c r="L3453" s="7" t="s">
        <v>19</v>
      </c>
      <c r="M3453" s="7" t="s">
        <v>4059</v>
      </c>
      <c r="N3453" s="7" t="s">
        <v>53</v>
      </c>
      <c r="O3453" s="10" t="n">
        <f aca="false">'Exec Summary'!$E$2-H3453</f>
        <v>146</v>
      </c>
      <c r="P3453" s="10" t="str">
        <f aca="false">IF(I3453="","",I3453-H3453)</f>
        <v/>
      </c>
      <c r="Q3453" s="10" t="n">
        <f aca="false">VLOOKUP(G3453,$AA$2:$AB$5,2,FALSE())</f>
        <v>30</v>
      </c>
      <c r="R3453" s="7" t="n">
        <f aca="false">IF(OR(F3453="Open",F3453="Reopened"),1,0)</f>
        <v>1</v>
      </c>
      <c r="S3453" s="7" t="n">
        <f aca="false">IF(AND(H3453&gt;='Exec Summary'!$E$1,H3453&lt;='Exec Summary'!$E$2),1,0)</f>
        <v>0</v>
      </c>
      <c r="T3453" s="7" t="n">
        <f aca="false">IF(AND(F3453="Closed",I3453&lt;&gt;"",I3453&gt;='Exec Summary'!$E$1,I3453&lt;='Exec Summary'!$E$2),1,0)</f>
        <v>0</v>
      </c>
      <c r="U3453" s="7" t="n">
        <f aca="false">IF(F3453="Reopened",1,0)</f>
        <v>0</v>
      </c>
      <c r="V3453" s="7" t="n">
        <f aca="false">IF(AND(R3453=1,O3453&gt;Q3453),1,0)</f>
        <v>1</v>
      </c>
      <c r="W3453" s="7" t="n">
        <f aca="false">IF(AND(T3453=1,P3453&lt;&gt;"",P3453&lt;=Q3453),1,0)</f>
        <v>0</v>
      </c>
    </row>
    <row r="3454" customFormat="false" ht="15" hidden="false" customHeight="false" outlineLevel="0" collapsed="false">
      <c r="A3454" s="7" t="s">
        <v>4049</v>
      </c>
      <c r="B3454" s="7" t="s">
        <v>46</v>
      </c>
      <c r="C3454" s="7" t="s">
        <v>128</v>
      </c>
      <c r="D3454" s="7" t="s">
        <v>48</v>
      </c>
      <c r="E3454" s="7" t="s">
        <v>49</v>
      </c>
      <c r="F3454" s="7" t="s">
        <v>123</v>
      </c>
      <c r="G3454" s="7" t="s">
        <v>20</v>
      </c>
      <c r="H3454" s="9" t="n">
        <v>46005</v>
      </c>
      <c r="I3454" s="9" t="n">
        <v>46015</v>
      </c>
      <c r="J3454" s="7" t="n">
        <v>7.5</v>
      </c>
      <c r="K3454" s="7" t="s">
        <v>3856</v>
      </c>
      <c r="L3454" s="7" t="s">
        <v>19</v>
      </c>
      <c r="M3454" s="7" t="s">
        <v>4060</v>
      </c>
      <c r="N3454" s="7" t="s">
        <v>53</v>
      </c>
      <c r="O3454" s="10" t="n">
        <f aca="false">'Exec Summary'!$E$2-H3454</f>
        <v>229</v>
      </c>
      <c r="P3454" s="10" t="n">
        <f aca="false">IF(I3454="","",I3454-H3454)</f>
        <v>10</v>
      </c>
      <c r="Q3454" s="10" t="n">
        <f aca="false">VLOOKUP(G3454,$AA$2:$AB$5,2,FALSE())</f>
        <v>30</v>
      </c>
      <c r="R3454" s="7" t="n">
        <f aca="false">IF(OR(F3454="Open",F3454="Reopened"),1,0)</f>
        <v>1</v>
      </c>
      <c r="S3454" s="7" t="n">
        <f aca="false">IF(AND(H3454&gt;='Exec Summary'!$E$1,H3454&lt;='Exec Summary'!$E$2),1,0)</f>
        <v>0</v>
      </c>
      <c r="T3454" s="7" t="n">
        <f aca="false">IF(AND(F3454="Closed",I3454&lt;&gt;"",I3454&gt;='Exec Summary'!$E$1,I3454&lt;='Exec Summary'!$E$2),1,0)</f>
        <v>0</v>
      </c>
      <c r="U3454" s="7" t="n">
        <f aca="false">IF(F3454="Reopened",1,0)</f>
        <v>1</v>
      </c>
      <c r="V3454" s="7" t="n">
        <f aca="false">IF(AND(R3454=1,O3454&gt;Q3454),1,0)</f>
        <v>1</v>
      </c>
      <c r="W3454" s="7" t="n">
        <f aca="false">IF(AND(T3454=1,P3454&lt;&gt;"",P3454&lt;=Q3454),1,0)</f>
        <v>0</v>
      </c>
    </row>
    <row r="3455" customFormat="false" ht="15" hidden="false" customHeight="false" outlineLevel="0" collapsed="false">
      <c r="A3455" s="7" t="s">
        <v>4049</v>
      </c>
      <c r="B3455" s="7" t="s">
        <v>46</v>
      </c>
      <c r="C3455" s="7" t="s">
        <v>128</v>
      </c>
      <c r="D3455" s="7" t="s">
        <v>98</v>
      </c>
      <c r="E3455" s="7" t="s">
        <v>99</v>
      </c>
      <c r="F3455" s="7" t="s">
        <v>50</v>
      </c>
      <c r="G3455" s="7" t="s">
        <v>19</v>
      </c>
      <c r="H3455" s="9" t="n">
        <v>45993</v>
      </c>
      <c r="I3455" s="9" t="n">
        <v>46007</v>
      </c>
      <c r="J3455" s="7" t="n">
        <v>10</v>
      </c>
      <c r="K3455" s="7" t="s">
        <v>3856</v>
      </c>
      <c r="L3455" s="7" t="s">
        <v>19</v>
      </c>
      <c r="M3455" s="7" t="s">
        <v>4061</v>
      </c>
      <c r="N3455" s="7" t="s">
        <v>58</v>
      </c>
      <c r="O3455" s="10" t="n">
        <f aca="false">'Exec Summary'!$E$2-H3455</f>
        <v>241</v>
      </c>
      <c r="P3455" s="10" t="n">
        <f aca="false">IF(I3455="","",I3455-H3455)</f>
        <v>14</v>
      </c>
      <c r="Q3455" s="10" t="n">
        <f aca="false">VLOOKUP(G3455,$AA$2:$AB$5,2,FALSE())</f>
        <v>15</v>
      </c>
      <c r="R3455" s="7" t="n">
        <f aca="false">IF(OR(F3455="Open",F3455="Reopened"),1,0)</f>
        <v>0</v>
      </c>
      <c r="S3455" s="7" t="n">
        <f aca="false">IF(AND(H3455&gt;='Exec Summary'!$E$1,H3455&lt;='Exec Summary'!$E$2),1,0)</f>
        <v>0</v>
      </c>
      <c r="T3455" s="7" t="n">
        <f aca="false">IF(AND(F3455="Closed",I3455&lt;&gt;"",I3455&gt;='Exec Summary'!$E$1,I3455&lt;='Exec Summary'!$E$2),1,0)</f>
        <v>0</v>
      </c>
      <c r="U3455" s="7" t="n">
        <f aca="false">IF(F3455="Reopened",1,0)</f>
        <v>0</v>
      </c>
      <c r="V3455" s="7" t="n">
        <f aca="false">IF(AND(R3455=1,O3455&gt;Q3455),1,0)</f>
        <v>0</v>
      </c>
      <c r="W3455" s="7" t="n">
        <f aca="false">IF(AND(T3455=1,P3455&lt;&gt;"",P3455&lt;=Q3455),1,0)</f>
        <v>0</v>
      </c>
    </row>
    <row r="3456" customFormat="false" ht="15" hidden="false" customHeight="false" outlineLevel="0" collapsed="false">
      <c r="A3456" s="7" t="s">
        <v>4049</v>
      </c>
      <c r="B3456" s="7" t="s">
        <v>46</v>
      </c>
      <c r="C3456" s="7" t="s">
        <v>128</v>
      </c>
      <c r="D3456" s="7" t="s">
        <v>152</v>
      </c>
      <c r="E3456" s="7" t="s">
        <v>153</v>
      </c>
      <c r="F3456" s="7" t="s">
        <v>56</v>
      </c>
      <c r="G3456" s="7" t="s">
        <v>20</v>
      </c>
      <c r="H3456" s="9" t="n">
        <v>46013</v>
      </c>
      <c r="I3456" s="9"/>
      <c r="J3456" s="7" t="n">
        <v>7.5</v>
      </c>
      <c r="K3456" s="7" t="s">
        <v>3856</v>
      </c>
      <c r="L3456" s="7" t="s">
        <v>19</v>
      </c>
      <c r="M3456" s="7" t="s">
        <v>4062</v>
      </c>
      <c r="N3456" s="7" t="s">
        <v>53</v>
      </c>
      <c r="O3456" s="10" t="n">
        <f aca="false">'Exec Summary'!$E$2-H3456</f>
        <v>221</v>
      </c>
      <c r="P3456" s="10" t="str">
        <f aca="false">IF(I3456="","",I3456-H3456)</f>
        <v/>
      </c>
      <c r="Q3456" s="10" t="n">
        <f aca="false">VLOOKUP(G3456,$AA$2:$AB$5,2,FALSE())</f>
        <v>30</v>
      </c>
      <c r="R3456" s="7" t="n">
        <f aca="false">IF(OR(F3456="Open",F3456="Reopened"),1,0)</f>
        <v>1</v>
      </c>
      <c r="S3456" s="7" t="n">
        <f aca="false">IF(AND(H3456&gt;='Exec Summary'!$E$1,H3456&lt;='Exec Summary'!$E$2),1,0)</f>
        <v>0</v>
      </c>
      <c r="T3456" s="7" t="n">
        <f aca="false">IF(AND(F3456="Closed",I3456&lt;&gt;"",I3456&gt;='Exec Summary'!$E$1,I3456&lt;='Exec Summary'!$E$2),1,0)</f>
        <v>0</v>
      </c>
      <c r="U3456" s="7" t="n">
        <f aca="false">IF(F3456="Reopened",1,0)</f>
        <v>0</v>
      </c>
      <c r="V3456" s="7" t="n">
        <f aca="false">IF(AND(R3456=1,O3456&gt;Q3456),1,0)</f>
        <v>1</v>
      </c>
      <c r="W3456" s="7" t="n">
        <f aca="false">IF(AND(T3456=1,P3456&lt;&gt;"",P3456&lt;=Q3456),1,0)</f>
        <v>0</v>
      </c>
    </row>
    <row r="3457" customFormat="false" ht="15" hidden="false" customHeight="false" outlineLevel="0" collapsed="false">
      <c r="A3457" s="7" t="s">
        <v>4063</v>
      </c>
      <c r="B3457" s="7" t="s">
        <v>135</v>
      </c>
      <c r="C3457" s="7" t="s">
        <v>247</v>
      </c>
      <c r="D3457" s="7" t="s">
        <v>166</v>
      </c>
      <c r="E3457" s="7" t="s">
        <v>167</v>
      </c>
      <c r="F3457" s="7" t="s">
        <v>50</v>
      </c>
      <c r="G3457" s="7" t="s">
        <v>19</v>
      </c>
      <c r="H3457" s="9" t="n">
        <v>46137</v>
      </c>
      <c r="I3457" s="9" t="n">
        <v>46145</v>
      </c>
      <c r="J3457" s="7" t="n">
        <v>9.8</v>
      </c>
      <c r="K3457" s="7" t="s">
        <v>3856</v>
      </c>
      <c r="L3457" s="7" t="s">
        <v>19</v>
      </c>
      <c r="M3457" s="7" t="s">
        <v>4064</v>
      </c>
      <c r="N3457" s="7" t="s">
        <v>58</v>
      </c>
      <c r="O3457" s="10" t="n">
        <f aca="false">'Exec Summary'!$E$2-H3457</f>
        <v>97</v>
      </c>
      <c r="P3457" s="10" t="n">
        <f aca="false">IF(I3457="","",I3457-H3457)</f>
        <v>8</v>
      </c>
      <c r="Q3457" s="10" t="n">
        <f aca="false">VLOOKUP(G3457,$AA$2:$AB$5,2,FALSE())</f>
        <v>15</v>
      </c>
      <c r="R3457" s="7" t="n">
        <f aca="false">IF(OR(F3457="Open",F3457="Reopened"),1,0)</f>
        <v>0</v>
      </c>
      <c r="S3457" s="7" t="n">
        <f aca="false">IF(AND(H3457&gt;='Exec Summary'!$E$1,H3457&lt;='Exec Summary'!$E$2),1,0)</f>
        <v>0</v>
      </c>
      <c r="T3457" s="7" t="n">
        <f aca="false">IF(AND(F3457="Closed",I3457&lt;&gt;"",I3457&gt;='Exec Summary'!$E$1,I3457&lt;='Exec Summary'!$E$2),1,0)</f>
        <v>0</v>
      </c>
      <c r="U3457" s="7" t="n">
        <f aca="false">IF(F3457="Reopened",1,0)</f>
        <v>0</v>
      </c>
      <c r="V3457" s="7" t="n">
        <f aca="false">IF(AND(R3457=1,O3457&gt;Q3457),1,0)</f>
        <v>0</v>
      </c>
      <c r="W3457" s="7" t="n">
        <f aca="false">IF(AND(T3457=1,P3457&lt;&gt;"",P3457&lt;=Q3457),1,0)</f>
        <v>0</v>
      </c>
    </row>
    <row r="3458" customFormat="false" ht="15" hidden="false" customHeight="false" outlineLevel="0" collapsed="false">
      <c r="A3458" s="7" t="s">
        <v>4063</v>
      </c>
      <c r="B3458" s="7" t="s">
        <v>135</v>
      </c>
      <c r="C3458" s="7" t="s">
        <v>247</v>
      </c>
      <c r="D3458" s="7" t="s">
        <v>98</v>
      </c>
      <c r="E3458" s="7" t="s">
        <v>99</v>
      </c>
      <c r="F3458" s="7" t="s">
        <v>56</v>
      </c>
      <c r="G3458" s="7" t="s">
        <v>19</v>
      </c>
      <c r="H3458" s="9" t="n">
        <v>45980</v>
      </c>
      <c r="I3458" s="9"/>
      <c r="J3458" s="7" t="n">
        <v>10</v>
      </c>
      <c r="K3458" s="7" t="s">
        <v>3856</v>
      </c>
      <c r="L3458" s="7" t="s">
        <v>19</v>
      </c>
      <c r="M3458" s="7" t="s">
        <v>4065</v>
      </c>
      <c r="N3458" s="7" t="s">
        <v>58</v>
      </c>
      <c r="O3458" s="10" t="n">
        <f aca="false">'Exec Summary'!$E$2-H3458</f>
        <v>254</v>
      </c>
      <c r="P3458" s="10" t="str">
        <f aca="false">IF(I3458="","",I3458-H3458)</f>
        <v/>
      </c>
      <c r="Q3458" s="10" t="n">
        <f aca="false">VLOOKUP(G3458,$AA$2:$AB$5,2,FALSE())</f>
        <v>15</v>
      </c>
      <c r="R3458" s="7" t="n">
        <f aca="false">IF(OR(F3458="Open",F3458="Reopened"),1,0)</f>
        <v>1</v>
      </c>
      <c r="S3458" s="7" t="n">
        <f aca="false">IF(AND(H3458&gt;='Exec Summary'!$E$1,H3458&lt;='Exec Summary'!$E$2),1,0)</f>
        <v>0</v>
      </c>
      <c r="T3458" s="7" t="n">
        <f aca="false">IF(AND(F3458="Closed",I3458&lt;&gt;"",I3458&gt;='Exec Summary'!$E$1,I3458&lt;='Exec Summary'!$E$2),1,0)</f>
        <v>0</v>
      </c>
      <c r="U3458" s="7" t="n">
        <f aca="false">IF(F3458="Reopened",1,0)</f>
        <v>0</v>
      </c>
      <c r="V3458" s="7" t="n">
        <f aca="false">IF(AND(R3458=1,O3458&gt;Q3458),1,0)</f>
        <v>1</v>
      </c>
      <c r="W3458" s="7" t="n">
        <f aca="false">IF(AND(T3458=1,P3458&lt;&gt;"",P3458&lt;=Q3458),1,0)</f>
        <v>0</v>
      </c>
    </row>
    <row r="3459" customFormat="false" ht="15" hidden="false" customHeight="false" outlineLevel="0" collapsed="false">
      <c r="A3459" s="7" t="s">
        <v>4063</v>
      </c>
      <c r="B3459" s="7" t="s">
        <v>135</v>
      </c>
      <c r="C3459" s="7" t="s">
        <v>247</v>
      </c>
      <c r="D3459" s="7" t="s">
        <v>112</v>
      </c>
      <c r="E3459" s="7" t="s">
        <v>113</v>
      </c>
      <c r="F3459" s="7" t="s">
        <v>56</v>
      </c>
      <c r="G3459" s="7" t="s">
        <v>20</v>
      </c>
      <c r="H3459" s="9" t="n">
        <v>45959</v>
      </c>
      <c r="I3459" s="9"/>
      <c r="J3459" s="7" t="n">
        <v>7.8</v>
      </c>
      <c r="K3459" s="7" t="s">
        <v>3856</v>
      </c>
      <c r="L3459" s="7" t="s">
        <v>19</v>
      </c>
      <c r="M3459" s="7" t="s">
        <v>4066</v>
      </c>
      <c r="N3459" s="7" t="s">
        <v>53</v>
      </c>
      <c r="O3459" s="10" t="n">
        <f aca="false">'Exec Summary'!$E$2-H3459</f>
        <v>275</v>
      </c>
      <c r="P3459" s="10" t="str">
        <f aca="false">IF(I3459="","",I3459-H3459)</f>
        <v/>
      </c>
      <c r="Q3459" s="10" t="n">
        <f aca="false">VLOOKUP(G3459,$AA$2:$AB$5,2,FALSE())</f>
        <v>30</v>
      </c>
      <c r="R3459" s="7" t="n">
        <f aca="false">IF(OR(F3459="Open",F3459="Reopened"),1,0)</f>
        <v>1</v>
      </c>
      <c r="S3459" s="7" t="n">
        <f aca="false">IF(AND(H3459&gt;='Exec Summary'!$E$1,H3459&lt;='Exec Summary'!$E$2),1,0)</f>
        <v>0</v>
      </c>
      <c r="T3459" s="7" t="n">
        <f aca="false">IF(AND(F3459="Closed",I3459&lt;&gt;"",I3459&gt;='Exec Summary'!$E$1,I3459&lt;='Exec Summary'!$E$2),1,0)</f>
        <v>0</v>
      </c>
      <c r="U3459" s="7" t="n">
        <f aca="false">IF(F3459="Reopened",1,0)</f>
        <v>0</v>
      </c>
      <c r="V3459" s="7" t="n">
        <f aca="false">IF(AND(R3459=1,O3459&gt;Q3459),1,0)</f>
        <v>1</v>
      </c>
      <c r="W3459" s="7" t="n">
        <f aca="false">IF(AND(T3459=1,P3459&lt;&gt;"",P3459&lt;=Q3459),1,0)</f>
        <v>0</v>
      </c>
    </row>
    <row r="3460" customFormat="false" ht="15" hidden="false" customHeight="false" outlineLevel="0" collapsed="false">
      <c r="A3460" s="7" t="s">
        <v>4063</v>
      </c>
      <c r="B3460" s="7" t="s">
        <v>135</v>
      </c>
      <c r="C3460" s="7" t="s">
        <v>247</v>
      </c>
      <c r="D3460" s="7" t="s">
        <v>81</v>
      </c>
      <c r="E3460" s="7" t="s">
        <v>82</v>
      </c>
      <c r="F3460" s="7" t="s">
        <v>56</v>
      </c>
      <c r="G3460" s="7" t="s">
        <v>20</v>
      </c>
      <c r="H3460" s="9" t="n">
        <v>45998</v>
      </c>
      <c r="I3460" s="9"/>
      <c r="J3460" s="7" t="n">
        <v>7.8</v>
      </c>
      <c r="K3460" s="7" t="s">
        <v>3856</v>
      </c>
      <c r="L3460" s="7" t="s">
        <v>19</v>
      </c>
      <c r="M3460" s="7" t="s">
        <v>4067</v>
      </c>
      <c r="N3460" s="7" t="s">
        <v>53</v>
      </c>
      <c r="O3460" s="10" t="n">
        <f aca="false">'Exec Summary'!$E$2-H3460</f>
        <v>236</v>
      </c>
      <c r="P3460" s="10" t="str">
        <f aca="false">IF(I3460="","",I3460-H3460)</f>
        <v/>
      </c>
      <c r="Q3460" s="10" t="n">
        <f aca="false">VLOOKUP(G3460,$AA$2:$AB$5,2,FALSE())</f>
        <v>30</v>
      </c>
      <c r="R3460" s="7" t="n">
        <f aca="false">IF(OR(F3460="Open",F3460="Reopened"),1,0)</f>
        <v>1</v>
      </c>
      <c r="S3460" s="7" t="n">
        <f aca="false">IF(AND(H3460&gt;='Exec Summary'!$E$1,H3460&lt;='Exec Summary'!$E$2),1,0)</f>
        <v>0</v>
      </c>
      <c r="T3460" s="7" t="n">
        <f aca="false">IF(AND(F3460="Closed",I3460&lt;&gt;"",I3460&gt;='Exec Summary'!$E$1,I3460&lt;='Exec Summary'!$E$2),1,0)</f>
        <v>0</v>
      </c>
      <c r="U3460" s="7" t="n">
        <f aca="false">IF(F3460="Reopened",1,0)</f>
        <v>0</v>
      </c>
      <c r="V3460" s="7" t="n">
        <f aca="false">IF(AND(R3460=1,O3460&gt;Q3460),1,0)</f>
        <v>1</v>
      </c>
      <c r="W3460" s="7" t="n">
        <f aca="false">IF(AND(T3460=1,P3460&lt;&gt;"",P3460&lt;=Q3460),1,0)</f>
        <v>0</v>
      </c>
    </row>
    <row r="3461" customFormat="false" ht="15" hidden="false" customHeight="false" outlineLevel="0" collapsed="false">
      <c r="A3461" s="7" t="s">
        <v>4063</v>
      </c>
      <c r="B3461" s="7" t="s">
        <v>135</v>
      </c>
      <c r="C3461" s="7" t="s">
        <v>247</v>
      </c>
      <c r="D3461" s="7" t="s">
        <v>54</v>
      </c>
      <c r="E3461" s="7" t="s">
        <v>55</v>
      </c>
      <c r="F3461" s="7" t="s">
        <v>56</v>
      </c>
      <c r="G3461" s="7" t="s">
        <v>19</v>
      </c>
      <c r="H3461" s="9" t="n">
        <v>45969</v>
      </c>
      <c r="I3461" s="9"/>
      <c r="J3461" s="7" t="n">
        <v>9.8</v>
      </c>
      <c r="K3461" s="7" t="s">
        <v>3856</v>
      </c>
      <c r="L3461" s="7" t="s">
        <v>19</v>
      </c>
      <c r="M3461" s="7" t="s">
        <v>4068</v>
      </c>
      <c r="N3461" s="7" t="s">
        <v>58</v>
      </c>
      <c r="O3461" s="10" t="n">
        <f aca="false">'Exec Summary'!$E$2-H3461</f>
        <v>265</v>
      </c>
      <c r="P3461" s="10" t="str">
        <f aca="false">IF(I3461="","",I3461-H3461)</f>
        <v/>
      </c>
      <c r="Q3461" s="10" t="n">
        <f aca="false">VLOOKUP(G3461,$AA$2:$AB$5,2,FALSE())</f>
        <v>15</v>
      </c>
      <c r="R3461" s="7" t="n">
        <f aca="false">IF(OR(F3461="Open",F3461="Reopened"),1,0)</f>
        <v>1</v>
      </c>
      <c r="S3461" s="7" t="n">
        <f aca="false">IF(AND(H3461&gt;='Exec Summary'!$E$1,H3461&lt;='Exec Summary'!$E$2),1,0)</f>
        <v>0</v>
      </c>
      <c r="T3461" s="7" t="n">
        <f aca="false">IF(AND(F3461="Closed",I3461&lt;&gt;"",I3461&gt;='Exec Summary'!$E$1,I3461&lt;='Exec Summary'!$E$2),1,0)</f>
        <v>0</v>
      </c>
      <c r="U3461" s="7" t="n">
        <f aca="false">IF(F3461="Reopened",1,0)</f>
        <v>0</v>
      </c>
      <c r="V3461" s="7" t="n">
        <f aca="false">IF(AND(R3461=1,O3461&gt;Q3461),1,0)</f>
        <v>1</v>
      </c>
      <c r="W3461" s="7" t="n">
        <f aca="false">IF(AND(T3461=1,P3461&lt;&gt;"",P3461&lt;=Q3461),1,0)</f>
        <v>0</v>
      </c>
    </row>
    <row r="3462" customFormat="false" ht="15" hidden="false" customHeight="false" outlineLevel="0" collapsed="false">
      <c r="A3462" s="7" t="s">
        <v>4063</v>
      </c>
      <c r="B3462" s="7" t="s">
        <v>135</v>
      </c>
      <c r="C3462" s="7" t="s">
        <v>247</v>
      </c>
      <c r="D3462" s="7" t="s">
        <v>74</v>
      </c>
      <c r="E3462" s="7" t="s">
        <v>75</v>
      </c>
      <c r="F3462" s="7" t="s">
        <v>56</v>
      </c>
      <c r="G3462" s="7" t="s">
        <v>21</v>
      </c>
      <c r="H3462" s="9" t="n">
        <v>46044</v>
      </c>
      <c r="I3462" s="9"/>
      <c r="J3462" s="7" t="n">
        <v>6.5</v>
      </c>
      <c r="K3462" s="7" t="s">
        <v>3856</v>
      </c>
      <c r="L3462" s="7" t="s">
        <v>19</v>
      </c>
      <c r="M3462" s="7" t="s">
        <v>4069</v>
      </c>
      <c r="N3462" s="7" t="s">
        <v>77</v>
      </c>
      <c r="O3462" s="10" t="n">
        <f aca="false">'Exec Summary'!$E$2-H3462</f>
        <v>190</v>
      </c>
      <c r="P3462" s="10" t="str">
        <f aca="false">IF(I3462="","",I3462-H3462)</f>
        <v/>
      </c>
      <c r="Q3462" s="10" t="n">
        <f aca="false">VLOOKUP(G3462,$AA$2:$AB$5,2,FALSE())</f>
        <v>90</v>
      </c>
      <c r="R3462" s="7" t="n">
        <f aca="false">IF(OR(F3462="Open",F3462="Reopened"),1,0)</f>
        <v>1</v>
      </c>
      <c r="S3462" s="7" t="n">
        <f aca="false">IF(AND(H3462&gt;='Exec Summary'!$E$1,H3462&lt;='Exec Summary'!$E$2),1,0)</f>
        <v>0</v>
      </c>
      <c r="T3462" s="7" t="n">
        <f aca="false">IF(AND(F3462="Closed",I3462&lt;&gt;"",I3462&gt;='Exec Summary'!$E$1,I3462&lt;='Exec Summary'!$E$2),1,0)</f>
        <v>0</v>
      </c>
      <c r="U3462" s="7" t="n">
        <f aca="false">IF(F3462="Reopened",1,0)</f>
        <v>0</v>
      </c>
      <c r="V3462" s="7" t="n">
        <f aca="false">IF(AND(R3462=1,O3462&gt;Q3462),1,0)</f>
        <v>1</v>
      </c>
      <c r="W3462" s="7" t="n">
        <f aca="false">IF(AND(T3462=1,P3462&lt;&gt;"",P3462&lt;=Q3462),1,0)</f>
        <v>0</v>
      </c>
    </row>
    <row r="3463" customFormat="false" ht="15" hidden="false" customHeight="false" outlineLevel="0" collapsed="false">
      <c r="A3463" s="7" t="s">
        <v>4063</v>
      </c>
      <c r="B3463" s="7" t="s">
        <v>135</v>
      </c>
      <c r="C3463" s="7" t="s">
        <v>247</v>
      </c>
      <c r="D3463" s="7" t="s">
        <v>131</v>
      </c>
      <c r="E3463" s="7" t="s">
        <v>132</v>
      </c>
      <c r="F3463" s="7" t="s">
        <v>56</v>
      </c>
      <c r="G3463" s="7" t="s">
        <v>19</v>
      </c>
      <c r="H3463" s="9" t="n">
        <v>46102</v>
      </c>
      <c r="I3463" s="9"/>
      <c r="J3463" s="7" t="n">
        <v>9.8</v>
      </c>
      <c r="K3463" s="7" t="s">
        <v>3856</v>
      </c>
      <c r="L3463" s="7" t="s">
        <v>19</v>
      </c>
      <c r="M3463" s="7" t="s">
        <v>4070</v>
      </c>
      <c r="N3463" s="7" t="s">
        <v>58</v>
      </c>
      <c r="O3463" s="10" t="n">
        <f aca="false">'Exec Summary'!$E$2-H3463</f>
        <v>132</v>
      </c>
      <c r="P3463" s="10" t="str">
        <f aca="false">IF(I3463="","",I3463-H3463)</f>
        <v/>
      </c>
      <c r="Q3463" s="10" t="n">
        <f aca="false">VLOOKUP(G3463,$AA$2:$AB$5,2,FALSE())</f>
        <v>15</v>
      </c>
      <c r="R3463" s="7" t="n">
        <f aca="false">IF(OR(F3463="Open",F3463="Reopened"),1,0)</f>
        <v>1</v>
      </c>
      <c r="S3463" s="7" t="n">
        <f aca="false">IF(AND(H3463&gt;='Exec Summary'!$E$1,H3463&lt;='Exec Summary'!$E$2),1,0)</f>
        <v>0</v>
      </c>
      <c r="T3463" s="7" t="n">
        <f aca="false">IF(AND(F3463="Closed",I3463&lt;&gt;"",I3463&gt;='Exec Summary'!$E$1,I3463&lt;='Exec Summary'!$E$2),1,0)</f>
        <v>0</v>
      </c>
      <c r="U3463" s="7" t="n">
        <f aca="false">IF(F3463="Reopened",1,0)</f>
        <v>0</v>
      </c>
      <c r="V3463" s="7" t="n">
        <f aca="false">IF(AND(R3463=1,O3463&gt;Q3463),1,0)</f>
        <v>1</v>
      </c>
      <c r="W3463" s="7" t="n">
        <f aca="false">IF(AND(T3463=1,P3463&lt;&gt;"",P3463&lt;=Q3463),1,0)</f>
        <v>0</v>
      </c>
    </row>
    <row r="3464" customFormat="false" ht="15" hidden="false" customHeight="false" outlineLevel="0" collapsed="false">
      <c r="A3464" s="7" t="s">
        <v>4063</v>
      </c>
      <c r="B3464" s="7" t="s">
        <v>135</v>
      </c>
      <c r="C3464" s="7" t="s">
        <v>247</v>
      </c>
      <c r="D3464" s="7" t="s">
        <v>117</v>
      </c>
      <c r="E3464" s="7" t="s">
        <v>118</v>
      </c>
      <c r="F3464" s="7" t="s">
        <v>56</v>
      </c>
      <c r="G3464" s="7" t="s">
        <v>19</v>
      </c>
      <c r="H3464" s="9" t="n">
        <v>46075</v>
      </c>
      <c r="I3464" s="9"/>
      <c r="J3464" s="7" t="n">
        <v>10</v>
      </c>
      <c r="K3464" s="7" t="s">
        <v>3856</v>
      </c>
      <c r="L3464" s="7" t="s">
        <v>19</v>
      </c>
      <c r="M3464" s="7" t="s">
        <v>4071</v>
      </c>
      <c r="N3464" s="7" t="s">
        <v>58</v>
      </c>
      <c r="O3464" s="10" t="n">
        <f aca="false">'Exec Summary'!$E$2-H3464</f>
        <v>159</v>
      </c>
      <c r="P3464" s="10" t="str">
        <f aca="false">IF(I3464="","",I3464-H3464)</f>
        <v/>
      </c>
      <c r="Q3464" s="10" t="n">
        <f aca="false">VLOOKUP(G3464,$AA$2:$AB$5,2,FALSE())</f>
        <v>15</v>
      </c>
      <c r="R3464" s="7" t="n">
        <f aca="false">IF(OR(F3464="Open",F3464="Reopened"),1,0)</f>
        <v>1</v>
      </c>
      <c r="S3464" s="7" t="n">
        <f aca="false">IF(AND(H3464&gt;='Exec Summary'!$E$1,H3464&lt;='Exec Summary'!$E$2),1,0)</f>
        <v>0</v>
      </c>
      <c r="T3464" s="7" t="n">
        <f aca="false">IF(AND(F3464="Closed",I3464&lt;&gt;"",I3464&gt;='Exec Summary'!$E$1,I3464&lt;='Exec Summary'!$E$2),1,0)</f>
        <v>0</v>
      </c>
      <c r="U3464" s="7" t="n">
        <f aca="false">IF(F3464="Reopened",1,0)</f>
        <v>0</v>
      </c>
      <c r="V3464" s="7" t="n">
        <f aca="false">IF(AND(R3464=1,O3464&gt;Q3464),1,0)</f>
        <v>1</v>
      </c>
      <c r="W3464" s="7" t="n">
        <f aca="false">IF(AND(T3464=1,P3464&lt;&gt;"",P3464&lt;=Q3464),1,0)</f>
        <v>0</v>
      </c>
    </row>
    <row r="3465" customFormat="false" ht="15" hidden="false" customHeight="false" outlineLevel="0" collapsed="false">
      <c r="A3465" s="7" t="s">
        <v>4063</v>
      </c>
      <c r="B3465" s="7" t="s">
        <v>135</v>
      </c>
      <c r="C3465" s="7" t="s">
        <v>247</v>
      </c>
      <c r="D3465" s="7" t="s">
        <v>152</v>
      </c>
      <c r="E3465" s="7" t="s">
        <v>153</v>
      </c>
      <c r="F3465" s="7" t="s">
        <v>50</v>
      </c>
      <c r="G3465" s="7" t="s">
        <v>20</v>
      </c>
      <c r="H3465" s="9" t="n">
        <v>46000</v>
      </c>
      <c r="I3465" s="9" t="n">
        <v>46024</v>
      </c>
      <c r="J3465" s="7" t="n">
        <v>7.5</v>
      </c>
      <c r="K3465" s="7" t="s">
        <v>3856</v>
      </c>
      <c r="L3465" s="7" t="s">
        <v>19</v>
      </c>
      <c r="M3465" s="7" t="s">
        <v>4072</v>
      </c>
      <c r="N3465" s="7" t="s">
        <v>53</v>
      </c>
      <c r="O3465" s="10" t="n">
        <f aca="false">'Exec Summary'!$E$2-H3465</f>
        <v>234</v>
      </c>
      <c r="P3465" s="10" t="n">
        <f aca="false">IF(I3465="","",I3465-H3465)</f>
        <v>24</v>
      </c>
      <c r="Q3465" s="10" t="n">
        <f aca="false">VLOOKUP(G3465,$AA$2:$AB$5,2,FALSE())</f>
        <v>30</v>
      </c>
      <c r="R3465" s="7" t="n">
        <f aca="false">IF(OR(F3465="Open",F3465="Reopened"),1,0)</f>
        <v>0</v>
      </c>
      <c r="S3465" s="7" t="n">
        <f aca="false">IF(AND(H3465&gt;='Exec Summary'!$E$1,H3465&lt;='Exec Summary'!$E$2),1,0)</f>
        <v>0</v>
      </c>
      <c r="T3465" s="7" t="n">
        <f aca="false">IF(AND(F3465="Closed",I3465&lt;&gt;"",I3465&gt;='Exec Summary'!$E$1,I3465&lt;='Exec Summary'!$E$2),1,0)</f>
        <v>0</v>
      </c>
      <c r="U3465" s="7" t="n">
        <f aca="false">IF(F3465="Reopened",1,0)</f>
        <v>0</v>
      </c>
      <c r="V3465" s="7" t="n">
        <f aca="false">IF(AND(R3465=1,O3465&gt;Q3465),1,0)</f>
        <v>0</v>
      </c>
      <c r="W3465" s="7" t="n">
        <f aca="false">IF(AND(T3465=1,P3465&lt;&gt;"",P3465&lt;=Q3465),1,0)</f>
        <v>0</v>
      </c>
    </row>
    <row r="3466" customFormat="false" ht="15" hidden="false" customHeight="false" outlineLevel="0" collapsed="false">
      <c r="A3466" s="7" t="s">
        <v>4063</v>
      </c>
      <c r="B3466" s="7" t="s">
        <v>135</v>
      </c>
      <c r="C3466" s="7" t="s">
        <v>247</v>
      </c>
      <c r="D3466" s="7" t="s">
        <v>91</v>
      </c>
      <c r="E3466" s="7" t="s">
        <v>92</v>
      </c>
      <c r="F3466" s="7" t="s">
        <v>50</v>
      </c>
      <c r="G3466" s="7" t="s">
        <v>20</v>
      </c>
      <c r="H3466" s="9" t="n">
        <v>45941</v>
      </c>
      <c r="I3466" s="9" t="n">
        <v>45957</v>
      </c>
      <c r="J3466" s="7" t="n">
        <v>8.1</v>
      </c>
      <c r="K3466" s="7" t="s">
        <v>3856</v>
      </c>
      <c r="L3466" s="7" t="s">
        <v>19</v>
      </c>
      <c r="M3466" s="7" t="s">
        <v>4073</v>
      </c>
      <c r="N3466" s="7" t="s">
        <v>53</v>
      </c>
      <c r="O3466" s="10" t="n">
        <f aca="false">'Exec Summary'!$E$2-H3466</f>
        <v>293</v>
      </c>
      <c r="P3466" s="10" t="n">
        <f aca="false">IF(I3466="","",I3466-H3466)</f>
        <v>16</v>
      </c>
      <c r="Q3466" s="10" t="n">
        <f aca="false">VLOOKUP(G3466,$AA$2:$AB$5,2,FALSE())</f>
        <v>30</v>
      </c>
      <c r="R3466" s="7" t="n">
        <f aca="false">IF(OR(F3466="Open",F3466="Reopened"),1,0)</f>
        <v>0</v>
      </c>
      <c r="S3466" s="7" t="n">
        <f aca="false">IF(AND(H3466&gt;='Exec Summary'!$E$1,H3466&lt;='Exec Summary'!$E$2),1,0)</f>
        <v>0</v>
      </c>
      <c r="T3466" s="7" t="n">
        <f aca="false">IF(AND(F3466="Closed",I3466&lt;&gt;"",I3466&gt;='Exec Summary'!$E$1,I3466&lt;='Exec Summary'!$E$2),1,0)</f>
        <v>0</v>
      </c>
      <c r="U3466" s="7" t="n">
        <f aca="false">IF(F3466="Reopened",1,0)</f>
        <v>0</v>
      </c>
      <c r="V3466" s="7" t="n">
        <f aca="false">IF(AND(R3466=1,O3466&gt;Q3466),1,0)</f>
        <v>0</v>
      </c>
      <c r="W3466" s="7" t="n">
        <f aca="false">IF(AND(T3466=1,P3466&lt;&gt;"",P3466&lt;=Q3466),1,0)</f>
        <v>0</v>
      </c>
    </row>
    <row r="3467" customFormat="false" ht="15" hidden="false" customHeight="false" outlineLevel="0" collapsed="false">
      <c r="A3467" s="7" t="s">
        <v>4063</v>
      </c>
      <c r="B3467" s="7" t="s">
        <v>135</v>
      </c>
      <c r="C3467" s="7" t="s">
        <v>247</v>
      </c>
      <c r="D3467" s="7" t="s">
        <v>173</v>
      </c>
      <c r="E3467" s="7" t="s">
        <v>174</v>
      </c>
      <c r="F3467" s="7" t="s">
        <v>50</v>
      </c>
      <c r="G3467" s="7" t="s">
        <v>19</v>
      </c>
      <c r="H3467" s="9" t="n">
        <v>45942</v>
      </c>
      <c r="I3467" s="9" t="n">
        <v>45963</v>
      </c>
      <c r="J3467" s="7" t="n">
        <v>9.8</v>
      </c>
      <c r="K3467" s="7" t="s">
        <v>3856</v>
      </c>
      <c r="L3467" s="7" t="s">
        <v>19</v>
      </c>
      <c r="M3467" s="7" t="s">
        <v>4074</v>
      </c>
      <c r="N3467" s="7" t="s">
        <v>58</v>
      </c>
      <c r="O3467" s="10" t="n">
        <f aca="false">'Exec Summary'!$E$2-H3467</f>
        <v>292</v>
      </c>
      <c r="P3467" s="10" t="n">
        <f aca="false">IF(I3467="","",I3467-H3467)</f>
        <v>21</v>
      </c>
      <c r="Q3467" s="10" t="n">
        <f aca="false">VLOOKUP(G3467,$AA$2:$AB$5,2,FALSE())</f>
        <v>15</v>
      </c>
      <c r="R3467" s="7" t="n">
        <f aca="false">IF(OR(F3467="Open",F3467="Reopened"),1,0)</f>
        <v>0</v>
      </c>
      <c r="S3467" s="7" t="n">
        <f aca="false">IF(AND(H3467&gt;='Exec Summary'!$E$1,H3467&lt;='Exec Summary'!$E$2),1,0)</f>
        <v>0</v>
      </c>
      <c r="T3467" s="7" t="n">
        <f aca="false">IF(AND(F3467="Closed",I3467&lt;&gt;"",I3467&gt;='Exec Summary'!$E$1,I3467&lt;='Exec Summary'!$E$2),1,0)</f>
        <v>0</v>
      </c>
      <c r="U3467" s="7" t="n">
        <f aca="false">IF(F3467="Reopened",1,0)</f>
        <v>0</v>
      </c>
      <c r="V3467" s="7" t="n">
        <f aca="false">IF(AND(R3467=1,O3467&gt;Q3467),1,0)</f>
        <v>0</v>
      </c>
      <c r="W3467" s="7" t="n">
        <f aca="false">IF(AND(T3467=1,P3467&lt;&gt;"",P3467&lt;=Q3467),1,0)</f>
        <v>0</v>
      </c>
    </row>
    <row r="3468" customFormat="false" ht="15" hidden="false" customHeight="false" outlineLevel="0" collapsed="false">
      <c r="A3468" s="7" t="s">
        <v>4063</v>
      </c>
      <c r="B3468" s="7" t="s">
        <v>135</v>
      </c>
      <c r="C3468" s="7" t="s">
        <v>247</v>
      </c>
      <c r="D3468" s="7" t="s">
        <v>192</v>
      </c>
      <c r="E3468" s="7" t="s">
        <v>193</v>
      </c>
      <c r="F3468" s="7" t="s">
        <v>50</v>
      </c>
      <c r="G3468" s="7" t="s">
        <v>19</v>
      </c>
      <c r="H3468" s="9" t="n">
        <v>46177</v>
      </c>
      <c r="I3468" s="9" t="n">
        <v>46191</v>
      </c>
      <c r="J3468" s="7" t="n">
        <v>9.8</v>
      </c>
      <c r="K3468" s="7" t="s">
        <v>3856</v>
      </c>
      <c r="L3468" s="7" t="s">
        <v>19</v>
      </c>
      <c r="M3468" s="7" t="s">
        <v>4075</v>
      </c>
      <c r="N3468" s="7" t="s">
        <v>58</v>
      </c>
      <c r="O3468" s="10" t="n">
        <f aca="false">'Exec Summary'!$E$2-H3468</f>
        <v>57</v>
      </c>
      <c r="P3468" s="10" t="n">
        <f aca="false">IF(I3468="","",I3468-H3468)</f>
        <v>14</v>
      </c>
      <c r="Q3468" s="10" t="n">
        <f aca="false">VLOOKUP(G3468,$AA$2:$AB$5,2,FALSE())</f>
        <v>15</v>
      </c>
      <c r="R3468" s="7" t="n">
        <f aca="false">IF(OR(F3468="Open",F3468="Reopened"),1,0)</f>
        <v>0</v>
      </c>
      <c r="S3468" s="7" t="n">
        <f aca="false">IF(AND(H3468&gt;='Exec Summary'!$E$1,H3468&lt;='Exec Summary'!$E$2),1,0)</f>
        <v>0</v>
      </c>
      <c r="T3468" s="7" t="n">
        <f aca="false">IF(AND(F3468="Closed",I3468&lt;&gt;"",I3468&gt;='Exec Summary'!$E$1,I3468&lt;='Exec Summary'!$E$2),1,0)</f>
        <v>0</v>
      </c>
      <c r="U3468" s="7" t="n">
        <f aca="false">IF(F3468="Reopened",1,0)</f>
        <v>0</v>
      </c>
      <c r="V3468" s="7" t="n">
        <f aca="false">IF(AND(R3468=1,O3468&gt;Q3468),1,0)</f>
        <v>0</v>
      </c>
      <c r="W3468" s="7" t="n">
        <f aca="false">IF(AND(T3468=1,P3468&lt;&gt;"",P3468&lt;=Q3468),1,0)</f>
        <v>0</v>
      </c>
    </row>
    <row r="3469" customFormat="false" ht="15" hidden="false" customHeight="false" outlineLevel="0" collapsed="false">
      <c r="A3469" s="7" t="s">
        <v>4076</v>
      </c>
      <c r="B3469" s="7" t="s">
        <v>46</v>
      </c>
      <c r="C3469" s="7" t="s">
        <v>128</v>
      </c>
      <c r="D3469" s="7" t="s">
        <v>101</v>
      </c>
      <c r="E3469" s="7" t="s">
        <v>102</v>
      </c>
      <c r="F3469" s="7" t="s">
        <v>56</v>
      </c>
      <c r="G3469" s="7" t="s">
        <v>19</v>
      </c>
      <c r="H3469" s="9" t="n">
        <v>46098</v>
      </c>
      <c r="I3469" s="9"/>
      <c r="J3469" s="7" t="n">
        <v>10</v>
      </c>
      <c r="K3469" s="7" t="s">
        <v>3856</v>
      </c>
      <c r="L3469" s="7" t="s">
        <v>19</v>
      </c>
      <c r="M3469" s="7" t="s">
        <v>4077</v>
      </c>
      <c r="N3469" s="7" t="s">
        <v>58</v>
      </c>
      <c r="O3469" s="10" t="n">
        <f aca="false">'Exec Summary'!$E$2-H3469</f>
        <v>136</v>
      </c>
      <c r="P3469" s="10" t="str">
        <f aca="false">IF(I3469="","",I3469-H3469)</f>
        <v/>
      </c>
      <c r="Q3469" s="10" t="n">
        <f aca="false">VLOOKUP(G3469,$AA$2:$AB$5,2,FALSE())</f>
        <v>15</v>
      </c>
      <c r="R3469" s="7" t="n">
        <f aca="false">IF(OR(F3469="Open",F3469="Reopened"),1,0)</f>
        <v>1</v>
      </c>
      <c r="S3469" s="7" t="n">
        <f aca="false">IF(AND(H3469&gt;='Exec Summary'!$E$1,H3469&lt;='Exec Summary'!$E$2),1,0)</f>
        <v>0</v>
      </c>
      <c r="T3469" s="7" t="n">
        <f aca="false">IF(AND(F3469="Closed",I3469&lt;&gt;"",I3469&gt;='Exec Summary'!$E$1,I3469&lt;='Exec Summary'!$E$2),1,0)</f>
        <v>0</v>
      </c>
      <c r="U3469" s="7" t="n">
        <f aca="false">IF(F3469="Reopened",1,0)</f>
        <v>0</v>
      </c>
      <c r="V3469" s="7" t="n">
        <f aca="false">IF(AND(R3469=1,O3469&gt;Q3469),1,0)</f>
        <v>1</v>
      </c>
      <c r="W3469" s="7" t="n">
        <f aca="false">IF(AND(T3469=1,P3469&lt;&gt;"",P3469&lt;=Q3469),1,0)</f>
        <v>0</v>
      </c>
    </row>
    <row r="3470" customFormat="false" ht="15" hidden="false" customHeight="false" outlineLevel="0" collapsed="false">
      <c r="A3470" s="7" t="s">
        <v>4076</v>
      </c>
      <c r="B3470" s="7" t="s">
        <v>46</v>
      </c>
      <c r="C3470" s="7" t="s">
        <v>128</v>
      </c>
      <c r="D3470" s="7" t="s">
        <v>192</v>
      </c>
      <c r="E3470" s="7" t="s">
        <v>193</v>
      </c>
      <c r="F3470" s="7" t="s">
        <v>50</v>
      </c>
      <c r="G3470" s="7" t="s">
        <v>19</v>
      </c>
      <c r="H3470" s="9" t="n">
        <v>45998</v>
      </c>
      <c r="I3470" s="9" t="n">
        <v>46003</v>
      </c>
      <c r="J3470" s="7" t="n">
        <v>9.8</v>
      </c>
      <c r="K3470" s="7" t="s">
        <v>3856</v>
      </c>
      <c r="L3470" s="7" t="s">
        <v>19</v>
      </c>
      <c r="M3470" s="7" t="s">
        <v>4078</v>
      </c>
      <c r="N3470" s="7" t="s">
        <v>58</v>
      </c>
      <c r="O3470" s="10" t="n">
        <f aca="false">'Exec Summary'!$E$2-H3470</f>
        <v>236</v>
      </c>
      <c r="P3470" s="10" t="n">
        <f aca="false">IF(I3470="","",I3470-H3470)</f>
        <v>5</v>
      </c>
      <c r="Q3470" s="10" t="n">
        <f aca="false">VLOOKUP(G3470,$AA$2:$AB$5,2,FALSE())</f>
        <v>15</v>
      </c>
      <c r="R3470" s="7" t="n">
        <f aca="false">IF(OR(F3470="Open",F3470="Reopened"),1,0)</f>
        <v>0</v>
      </c>
      <c r="S3470" s="7" t="n">
        <f aca="false">IF(AND(H3470&gt;='Exec Summary'!$E$1,H3470&lt;='Exec Summary'!$E$2),1,0)</f>
        <v>0</v>
      </c>
      <c r="T3470" s="7" t="n">
        <f aca="false">IF(AND(F3470="Closed",I3470&lt;&gt;"",I3470&gt;='Exec Summary'!$E$1,I3470&lt;='Exec Summary'!$E$2),1,0)</f>
        <v>0</v>
      </c>
      <c r="U3470" s="7" t="n">
        <f aca="false">IF(F3470="Reopened",1,0)</f>
        <v>0</v>
      </c>
      <c r="V3470" s="7" t="n">
        <f aca="false">IF(AND(R3470=1,O3470&gt;Q3470),1,0)</f>
        <v>0</v>
      </c>
      <c r="W3470" s="7" t="n">
        <f aca="false">IF(AND(T3470=1,P3470&lt;&gt;"",P3470&lt;=Q3470),1,0)</f>
        <v>0</v>
      </c>
    </row>
    <row r="3471" customFormat="false" ht="15" hidden="false" customHeight="false" outlineLevel="0" collapsed="false">
      <c r="A3471" s="7" t="s">
        <v>4076</v>
      </c>
      <c r="B3471" s="7" t="s">
        <v>46</v>
      </c>
      <c r="C3471" s="7" t="s">
        <v>128</v>
      </c>
      <c r="D3471" s="7" t="s">
        <v>139</v>
      </c>
      <c r="E3471" s="7" t="s">
        <v>140</v>
      </c>
      <c r="F3471" s="7" t="s">
        <v>50</v>
      </c>
      <c r="G3471" s="7" t="s">
        <v>19</v>
      </c>
      <c r="H3471" s="9" t="n">
        <v>46084</v>
      </c>
      <c r="I3471" s="9" t="n">
        <v>46088</v>
      </c>
      <c r="J3471" s="7" t="n">
        <v>9.8</v>
      </c>
      <c r="K3471" s="7" t="s">
        <v>3856</v>
      </c>
      <c r="L3471" s="7" t="s">
        <v>19</v>
      </c>
      <c r="M3471" s="7" t="s">
        <v>4079</v>
      </c>
      <c r="N3471" s="7" t="s">
        <v>58</v>
      </c>
      <c r="O3471" s="10" t="n">
        <f aca="false">'Exec Summary'!$E$2-H3471</f>
        <v>150</v>
      </c>
      <c r="P3471" s="10" t="n">
        <f aca="false">IF(I3471="","",I3471-H3471)</f>
        <v>4</v>
      </c>
      <c r="Q3471" s="10" t="n">
        <f aca="false">VLOOKUP(G3471,$AA$2:$AB$5,2,FALSE())</f>
        <v>15</v>
      </c>
      <c r="R3471" s="7" t="n">
        <f aca="false">IF(OR(F3471="Open",F3471="Reopened"),1,0)</f>
        <v>0</v>
      </c>
      <c r="S3471" s="7" t="n">
        <f aca="false">IF(AND(H3471&gt;='Exec Summary'!$E$1,H3471&lt;='Exec Summary'!$E$2),1,0)</f>
        <v>0</v>
      </c>
      <c r="T3471" s="7" t="n">
        <f aca="false">IF(AND(F3471="Closed",I3471&lt;&gt;"",I3471&gt;='Exec Summary'!$E$1,I3471&lt;='Exec Summary'!$E$2),1,0)</f>
        <v>0</v>
      </c>
      <c r="U3471" s="7" t="n">
        <f aca="false">IF(F3471="Reopened",1,0)</f>
        <v>0</v>
      </c>
      <c r="V3471" s="7" t="n">
        <f aca="false">IF(AND(R3471=1,O3471&gt;Q3471),1,0)</f>
        <v>0</v>
      </c>
      <c r="W3471" s="7" t="n">
        <f aca="false">IF(AND(T3471=1,P3471&lt;&gt;"",P3471&lt;=Q3471),1,0)</f>
        <v>0</v>
      </c>
    </row>
    <row r="3472" customFormat="false" ht="15" hidden="false" customHeight="false" outlineLevel="0" collapsed="false">
      <c r="A3472" s="7" t="s">
        <v>4076</v>
      </c>
      <c r="B3472" s="7" t="s">
        <v>46</v>
      </c>
      <c r="C3472" s="7" t="s">
        <v>128</v>
      </c>
      <c r="D3472" s="7" t="s">
        <v>145</v>
      </c>
      <c r="E3472" s="7" t="s">
        <v>146</v>
      </c>
      <c r="F3472" s="7" t="s">
        <v>56</v>
      </c>
      <c r="G3472" s="7" t="s">
        <v>19</v>
      </c>
      <c r="H3472" s="9" t="n">
        <v>45992</v>
      </c>
      <c r="I3472" s="9"/>
      <c r="J3472" s="7" t="n">
        <v>9.8</v>
      </c>
      <c r="K3472" s="7" t="s">
        <v>3856</v>
      </c>
      <c r="L3472" s="7" t="s">
        <v>19</v>
      </c>
      <c r="M3472" s="7" t="s">
        <v>4080</v>
      </c>
      <c r="N3472" s="7" t="s">
        <v>58</v>
      </c>
      <c r="O3472" s="10" t="n">
        <f aca="false">'Exec Summary'!$E$2-H3472</f>
        <v>242</v>
      </c>
      <c r="P3472" s="10" t="str">
        <f aca="false">IF(I3472="","",I3472-H3472)</f>
        <v/>
      </c>
      <c r="Q3472" s="10" t="n">
        <f aca="false">VLOOKUP(G3472,$AA$2:$AB$5,2,FALSE())</f>
        <v>15</v>
      </c>
      <c r="R3472" s="7" t="n">
        <f aca="false">IF(OR(F3472="Open",F3472="Reopened"),1,0)</f>
        <v>1</v>
      </c>
      <c r="S3472" s="7" t="n">
        <f aca="false">IF(AND(H3472&gt;='Exec Summary'!$E$1,H3472&lt;='Exec Summary'!$E$2),1,0)</f>
        <v>0</v>
      </c>
      <c r="T3472" s="7" t="n">
        <f aca="false">IF(AND(F3472="Closed",I3472&lt;&gt;"",I3472&gt;='Exec Summary'!$E$1,I3472&lt;='Exec Summary'!$E$2),1,0)</f>
        <v>0</v>
      </c>
      <c r="U3472" s="7" t="n">
        <f aca="false">IF(F3472="Reopened",1,0)</f>
        <v>0</v>
      </c>
      <c r="V3472" s="7" t="n">
        <f aca="false">IF(AND(R3472=1,O3472&gt;Q3472),1,0)</f>
        <v>1</v>
      </c>
      <c r="W3472" s="7" t="n">
        <f aca="false">IF(AND(T3472=1,P3472&lt;&gt;"",P3472&lt;=Q3472),1,0)</f>
        <v>0</v>
      </c>
    </row>
    <row r="3473" customFormat="false" ht="15" hidden="false" customHeight="false" outlineLevel="0" collapsed="false">
      <c r="A3473" s="7" t="s">
        <v>4076</v>
      </c>
      <c r="B3473" s="7" t="s">
        <v>46</v>
      </c>
      <c r="C3473" s="7" t="s">
        <v>128</v>
      </c>
      <c r="D3473" s="7" t="s">
        <v>62</v>
      </c>
      <c r="E3473" s="7" t="s">
        <v>63</v>
      </c>
      <c r="F3473" s="7" t="s">
        <v>50</v>
      </c>
      <c r="G3473" s="7" t="s">
        <v>20</v>
      </c>
      <c r="H3473" s="9" t="n">
        <v>46154</v>
      </c>
      <c r="I3473" s="9" t="n">
        <v>46178</v>
      </c>
      <c r="J3473" s="7" t="n">
        <v>8.1</v>
      </c>
      <c r="K3473" s="7" t="s">
        <v>3856</v>
      </c>
      <c r="L3473" s="7" t="s">
        <v>19</v>
      </c>
      <c r="M3473" s="7" t="s">
        <v>4081</v>
      </c>
      <c r="N3473" s="7" t="s">
        <v>53</v>
      </c>
      <c r="O3473" s="10" t="n">
        <f aca="false">'Exec Summary'!$E$2-H3473</f>
        <v>80</v>
      </c>
      <c r="P3473" s="10" t="n">
        <f aca="false">IF(I3473="","",I3473-H3473)</f>
        <v>24</v>
      </c>
      <c r="Q3473" s="10" t="n">
        <f aca="false">VLOOKUP(G3473,$AA$2:$AB$5,2,FALSE())</f>
        <v>30</v>
      </c>
      <c r="R3473" s="7" t="n">
        <f aca="false">IF(OR(F3473="Open",F3473="Reopened"),1,0)</f>
        <v>0</v>
      </c>
      <c r="S3473" s="7" t="n">
        <f aca="false">IF(AND(H3473&gt;='Exec Summary'!$E$1,H3473&lt;='Exec Summary'!$E$2),1,0)</f>
        <v>0</v>
      </c>
      <c r="T3473" s="7" t="n">
        <f aca="false">IF(AND(F3473="Closed",I3473&lt;&gt;"",I3473&gt;='Exec Summary'!$E$1,I3473&lt;='Exec Summary'!$E$2),1,0)</f>
        <v>0</v>
      </c>
      <c r="U3473" s="7" t="n">
        <f aca="false">IF(F3473="Reopened",1,0)</f>
        <v>0</v>
      </c>
      <c r="V3473" s="7" t="n">
        <f aca="false">IF(AND(R3473=1,O3473&gt;Q3473),1,0)</f>
        <v>0</v>
      </c>
      <c r="W3473" s="7" t="n">
        <f aca="false">IF(AND(T3473=1,P3473&lt;&gt;"",P3473&lt;=Q3473),1,0)</f>
        <v>0</v>
      </c>
    </row>
    <row r="3474" customFormat="false" ht="15" hidden="false" customHeight="false" outlineLevel="0" collapsed="false">
      <c r="A3474" s="7" t="s">
        <v>4076</v>
      </c>
      <c r="B3474" s="7" t="s">
        <v>46</v>
      </c>
      <c r="C3474" s="7" t="s">
        <v>128</v>
      </c>
      <c r="D3474" s="7" t="s">
        <v>117</v>
      </c>
      <c r="E3474" s="7" t="s">
        <v>118</v>
      </c>
      <c r="F3474" s="7" t="s">
        <v>50</v>
      </c>
      <c r="G3474" s="7" t="s">
        <v>19</v>
      </c>
      <c r="H3474" s="9" t="n">
        <v>45982</v>
      </c>
      <c r="I3474" s="9" t="n">
        <v>45999</v>
      </c>
      <c r="J3474" s="7" t="n">
        <v>10</v>
      </c>
      <c r="K3474" s="7" t="s">
        <v>3856</v>
      </c>
      <c r="L3474" s="7" t="s">
        <v>19</v>
      </c>
      <c r="M3474" s="7" t="s">
        <v>4082</v>
      </c>
      <c r="N3474" s="7" t="s">
        <v>58</v>
      </c>
      <c r="O3474" s="10" t="n">
        <f aca="false">'Exec Summary'!$E$2-H3474</f>
        <v>252</v>
      </c>
      <c r="P3474" s="10" t="n">
        <f aca="false">IF(I3474="","",I3474-H3474)</f>
        <v>17</v>
      </c>
      <c r="Q3474" s="10" t="n">
        <f aca="false">VLOOKUP(G3474,$AA$2:$AB$5,2,FALSE())</f>
        <v>15</v>
      </c>
      <c r="R3474" s="7" t="n">
        <f aca="false">IF(OR(F3474="Open",F3474="Reopened"),1,0)</f>
        <v>0</v>
      </c>
      <c r="S3474" s="7" t="n">
        <f aca="false">IF(AND(H3474&gt;='Exec Summary'!$E$1,H3474&lt;='Exec Summary'!$E$2),1,0)</f>
        <v>0</v>
      </c>
      <c r="T3474" s="7" t="n">
        <f aca="false">IF(AND(F3474="Closed",I3474&lt;&gt;"",I3474&gt;='Exec Summary'!$E$1,I3474&lt;='Exec Summary'!$E$2),1,0)</f>
        <v>0</v>
      </c>
      <c r="U3474" s="7" t="n">
        <f aca="false">IF(F3474="Reopened",1,0)</f>
        <v>0</v>
      </c>
      <c r="V3474" s="7" t="n">
        <f aca="false">IF(AND(R3474=1,O3474&gt;Q3474),1,0)</f>
        <v>0</v>
      </c>
      <c r="W3474" s="7" t="n">
        <f aca="false">IF(AND(T3474=1,P3474&lt;&gt;"",P3474&lt;=Q3474),1,0)</f>
        <v>0</v>
      </c>
    </row>
    <row r="3475" customFormat="false" ht="15" hidden="false" customHeight="false" outlineLevel="0" collapsed="false">
      <c r="A3475" s="7" t="s">
        <v>4076</v>
      </c>
      <c r="B3475" s="7" t="s">
        <v>46</v>
      </c>
      <c r="C3475" s="7" t="s">
        <v>128</v>
      </c>
      <c r="D3475" s="7" t="s">
        <v>131</v>
      </c>
      <c r="E3475" s="7" t="s">
        <v>132</v>
      </c>
      <c r="F3475" s="7" t="s">
        <v>56</v>
      </c>
      <c r="G3475" s="7" t="s">
        <v>19</v>
      </c>
      <c r="H3475" s="9" t="n">
        <v>46125</v>
      </c>
      <c r="I3475" s="9"/>
      <c r="J3475" s="7" t="n">
        <v>9.8</v>
      </c>
      <c r="K3475" s="7" t="s">
        <v>3856</v>
      </c>
      <c r="L3475" s="7" t="s">
        <v>19</v>
      </c>
      <c r="M3475" s="7" t="s">
        <v>4083</v>
      </c>
      <c r="N3475" s="7" t="s">
        <v>58</v>
      </c>
      <c r="O3475" s="10" t="n">
        <f aca="false">'Exec Summary'!$E$2-H3475</f>
        <v>109</v>
      </c>
      <c r="P3475" s="10" t="str">
        <f aca="false">IF(I3475="","",I3475-H3475)</f>
        <v/>
      </c>
      <c r="Q3475" s="10" t="n">
        <f aca="false">VLOOKUP(G3475,$AA$2:$AB$5,2,FALSE())</f>
        <v>15</v>
      </c>
      <c r="R3475" s="7" t="n">
        <f aca="false">IF(OR(F3475="Open",F3475="Reopened"),1,0)</f>
        <v>1</v>
      </c>
      <c r="S3475" s="7" t="n">
        <f aca="false">IF(AND(H3475&gt;='Exec Summary'!$E$1,H3475&lt;='Exec Summary'!$E$2),1,0)</f>
        <v>0</v>
      </c>
      <c r="T3475" s="7" t="n">
        <f aca="false">IF(AND(F3475="Closed",I3475&lt;&gt;"",I3475&gt;='Exec Summary'!$E$1,I3475&lt;='Exec Summary'!$E$2),1,0)</f>
        <v>0</v>
      </c>
      <c r="U3475" s="7" t="n">
        <f aca="false">IF(F3475="Reopened",1,0)</f>
        <v>0</v>
      </c>
      <c r="V3475" s="7" t="n">
        <f aca="false">IF(AND(R3475=1,O3475&gt;Q3475),1,0)</f>
        <v>1</v>
      </c>
      <c r="W3475" s="7" t="n">
        <f aca="false">IF(AND(T3475=1,P3475&lt;&gt;"",P3475&lt;=Q3475),1,0)</f>
        <v>0</v>
      </c>
    </row>
    <row r="3476" customFormat="false" ht="15" hidden="false" customHeight="false" outlineLevel="0" collapsed="false">
      <c r="A3476" s="7" t="s">
        <v>4076</v>
      </c>
      <c r="B3476" s="7" t="s">
        <v>46</v>
      </c>
      <c r="C3476" s="7" t="s">
        <v>128</v>
      </c>
      <c r="D3476" s="7" t="s">
        <v>81</v>
      </c>
      <c r="E3476" s="7" t="s">
        <v>82</v>
      </c>
      <c r="F3476" s="7" t="s">
        <v>50</v>
      </c>
      <c r="G3476" s="7" t="s">
        <v>20</v>
      </c>
      <c r="H3476" s="9" t="n">
        <v>45968</v>
      </c>
      <c r="I3476" s="9" t="n">
        <v>46002</v>
      </c>
      <c r="J3476" s="7" t="n">
        <v>7.8</v>
      </c>
      <c r="K3476" s="7" t="s">
        <v>3856</v>
      </c>
      <c r="L3476" s="7" t="s">
        <v>19</v>
      </c>
      <c r="M3476" s="7" t="s">
        <v>4084</v>
      </c>
      <c r="N3476" s="7" t="s">
        <v>53</v>
      </c>
      <c r="O3476" s="10" t="n">
        <f aca="false">'Exec Summary'!$E$2-H3476</f>
        <v>266</v>
      </c>
      <c r="P3476" s="10" t="n">
        <f aca="false">IF(I3476="","",I3476-H3476)</f>
        <v>34</v>
      </c>
      <c r="Q3476" s="10" t="n">
        <f aca="false">VLOOKUP(G3476,$AA$2:$AB$5,2,FALSE())</f>
        <v>30</v>
      </c>
      <c r="R3476" s="7" t="n">
        <f aca="false">IF(OR(F3476="Open",F3476="Reopened"),1,0)</f>
        <v>0</v>
      </c>
      <c r="S3476" s="7" t="n">
        <f aca="false">IF(AND(H3476&gt;='Exec Summary'!$E$1,H3476&lt;='Exec Summary'!$E$2),1,0)</f>
        <v>0</v>
      </c>
      <c r="T3476" s="7" t="n">
        <f aca="false">IF(AND(F3476="Closed",I3476&lt;&gt;"",I3476&gt;='Exec Summary'!$E$1,I3476&lt;='Exec Summary'!$E$2),1,0)</f>
        <v>0</v>
      </c>
      <c r="U3476" s="7" t="n">
        <f aca="false">IF(F3476="Reopened",1,0)</f>
        <v>0</v>
      </c>
      <c r="V3476" s="7" t="n">
        <f aca="false">IF(AND(R3476=1,O3476&gt;Q3476),1,0)</f>
        <v>0</v>
      </c>
      <c r="W3476" s="7" t="n">
        <f aca="false">IF(AND(T3476=1,P3476&lt;&gt;"",P3476&lt;=Q3476),1,0)</f>
        <v>0</v>
      </c>
    </row>
    <row r="3477" customFormat="false" ht="15" hidden="false" customHeight="false" outlineLevel="0" collapsed="false">
      <c r="A3477" s="7" t="s">
        <v>4076</v>
      </c>
      <c r="B3477" s="7" t="s">
        <v>46</v>
      </c>
      <c r="C3477" s="7" t="s">
        <v>128</v>
      </c>
      <c r="D3477" s="7" t="s">
        <v>112</v>
      </c>
      <c r="E3477" s="7" t="s">
        <v>113</v>
      </c>
      <c r="F3477" s="7" t="s">
        <v>50</v>
      </c>
      <c r="G3477" s="7" t="s">
        <v>20</v>
      </c>
      <c r="H3477" s="9" t="n">
        <v>46000</v>
      </c>
      <c r="I3477" s="9" t="n">
        <v>46029</v>
      </c>
      <c r="J3477" s="7" t="n">
        <v>7.8</v>
      </c>
      <c r="K3477" s="7" t="s">
        <v>3856</v>
      </c>
      <c r="L3477" s="7" t="s">
        <v>19</v>
      </c>
      <c r="M3477" s="7" t="s">
        <v>4085</v>
      </c>
      <c r="N3477" s="7" t="s">
        <v>53</v>
      </c>
      <c r="O3477" s="10" t="n">
        <f aca="false">'Exec Summary'!$E$2-H3477</f>
        <v>234</v>
      </c>
      <c r="P3477" s="10" t="n">
        <f aca="false">IF(I3477="","",I3477-H3477)</f>
        <v>29</v>
      </c>
      <c r="Q3477" s="10" t="n">
        <f aca="false">VLOOKUP(G3477,$AA$2:$AB$5,2,FALSE())</f>
        <v>30</v>
      </c>
      <c r="R3477" s="7" t="n">
        <f aca="false">IF(OR(F3477="Open",F3477="Reopened"),1,0)</f>
        <v>0</v>
      </c>
      <c r="S3477" s="7" t="n">
        <f aca="false">IF(AND(H3477&gt;='Exec Summary'!$E$1,H3477&lt;='Exec Summary'!$E$2),1,0)</f>
        <v>0</v>
      </c>
      <c r="T3477" s="7" t="n">
        <f aca="false">IF(AND(F3477="Closed",I3477&lt;&gt;"",I3477&gt;='Exec Summary'!$E$1,I3477&lt;='Exec Summary'!$E$2),1,0)</f>
        <v>0</v>
      </c>
      <c r="U3477" s="7" t="n">
        <f aca="false">IF(F3477="Reopened",1,0)</f>
        <v>0</v>
      </c>
      <c r="V3477" s="7" t="n">
        <f aca="false">IF(AND(R3477=1,O3477&gt;Q3477),1,0)</f>
        <v>0</v>
      </c>
      <c r="W3477" s="7" t="n">
        <f aca="false">IF(AND(T3477=1,P3477&lt;&gt;"",P3477&lt;=Q3477),1,0)</f>
        <v>0</v>
      </c>
    </row>
    <row r="3478" customFormat="false" ht="15" hidden="false" customHeight="false" outlineLevel="0" collapsed="false">
      <c r="A3478" s="7" t="s">
        <v>4076</v>
      </c>
      <c r="B3478" s="7" t="s">
        <v>46</v>
      </c>
      <c r="C3478" s="7" t="s">
        <v>128</v>
      </c>
      <c r="D3478" s="7" t="s">
        <v>84</v>
      </c>
      <c r="E3478" s="7" t="s">
        <v>85</v>
      </c>
      <c r="F3478" s="7" t="s">
        <v>50</v>
      </c>
      <c r="G3478" s="7" t="s">
        <v>20</v>
      </c>
      <c r="H3478" s="9" t="n">
        <v>45996</v>
      </c>
      <c r="I3478" s="9" t="n">
        <v>46041</v>
      </c>
      <c r="J3478" s="7" t="n">
        <v>7.5</v>
      </c>
      <c r="K3478" s="7" t="s">
        <v>3856</v>
      </c>
      <c r="L3478" s="7" t="s">
        <v>19</v>
      </c>
      <c r="M3478" s="7" t="s">
        <v>4086</v>
      </c>
      <c r="N3478" s="7" t="s">
        <v>53</v>
      </c>
      <c r="O3478" s="10" t="n">
        <f aca="false">'Exec Summary'!$E$2-H3478</f>
        <v>238</v>
      </c>
      <c r="P3478" s="10" t="n">
        <f aca="false">IF(I3478="","",I3478-H3478)</f>
        <v>45</v>
      </c>
      <c r="Q3478" s="10" t="n">
        <f aca="false">VLOOKUP(G3478,$AA$2:$AB$5,2,FALSE())</f>
        <v>30</v>
      </c>
      <c r="R3478" s="7" t="n">
        <f aca="false">IF(OR(F3478="Open",F3478="Reopened"),1,0)</f>
        <v>0</v>
      </c>
      <c r="S3478" s="7" t="n">
        <f aca="false">IF(AND(H3478&gt;='Exec Summary'!$E$1,H3478&lt;='Exec Summary'!$E$2),1,0)</f>
        <v>0</v>
      </c>
      <c r="T3478" s="7" t="n">
        <f aca="false">IF(AND(F3478="Closed",I3478&lt;&gt;"",I3478&gt;='Exec Summary'!$E$1,I3478&lt;='Exec Summary'!$E$2),1,0)</f>
        <v>0</v>
      </c>
      <c r="U3478" s="7" t="n">
        <f aca="false">IF(F3478="Reopened",1,0)</f>
        <v>0</v>
      </c>
      <c r="V3478" s="7" t="n">
        <f aca="false">IF(AND(R3478=1,O3478&gt;Q3478),1,0)</f>
        <v>0</v>
      </c>
      <c r="W3478" s="7" t="n">
        <f aca="false">IF(AND(T3478=1,P3478&lt;&gt;"",P3478&lt;=Q3478),1,0)</f>
        <v>0</v>
      </c>
    </row>
    <row r="3479" customFormat="false" ht="15" hidden="false" customHeight="false" outlineLevel="0" collapsed="false">
      <c r="A3479" s="7" t="s">
        <v>4076</v>
      </c>
      <c r="B3479" s="7" t="s">
        <v>46</v>
      </c>
      <c r="C3479" s="7" t="s">
        <v>128</v>
      </c>
      <c r="D3479" s="7" t="s">
        <v>104</v>
      </c>
      <c r="E3479" s="7" t="s">
        <v>105</v>
      </c>
      <c r="F3479" s="7" t="s">
        <v>56</v>
      </c>
      <c r="G3479" s="7" t="s">
        <v>19</v>
      </c>
      <c r="H3479" s="9" t="n">
        <v>46081</v>
      </c>
      <c r="I3479" s="9"/>
      <c r="J3479" s="7" t="n">
        <v>9.8</v>
      </c>
      <c r="K3479" s="7" t="s">
        <v>3856</v>
      </c>
      <c r="L3479" s="7" t="s">
        <v>19</v>
      </c>
      <c r="M3479" s="7" t="s">
        <v>4087</v>
      </c>
      <c r="N3479" s="7" t="s">
        <v>58</v>
      </c>
      <c r="O3479" s="10" t="n">
        <f aca="false">'Exec Summary'!$E$2-H3479</f>
        <v>153</v>
      </c>
      <c r="P3479" s="10" t="str">
        <f aca="false">IF(I3479="","",I3479-H3479)</f>
        <v/>
      </c>
      <c r="Q3479" s="10" t="n">
        <f aca="false">VLOOKUP(G3479,$AA$2:$AB$5,2,FALSE())</f>
        <v>15</v>
      </c>
      <c r="R3479" s="7" t="n">
        <f aca="false">IF(OR(F3479="Open",F3479="Reopened"),1,0)</f>
        <v>1</v>
      </c>
      <c r="S3479" s="7" t="n">
        <f aca="false">IF(AND(H3479&gt;='Exec Summary'!$E$1,H3479&lt;='Exec Summary'!$E$2),1,0)</f>
        <v>0</v>
      </c>
      <c r="T3479" s="7" t="n">
        <f aca="false">IF(AND(F3479="Closed",I3479&lt;&gt;"",I3479&gt;='Exec Summary'!$E$1,I3479&lt;='Exec Summary'!$E$2),1,0)</f>
        <v>0</v>
      </c>
      <c r="U3479" s="7" t="n">
        <f aca="false">IF(F3479="Reopened",1,0)</f>
        <v>0</v>
      </c>
      <c r="V3479" s="7" t="n">
        <f aca="false">IF(AND(R3479=1,O3479&gt;Q3479),1,0)</f>
        <v>1</v>
      </c>
      <c r="W3479" s="7" t="n">
        <f aca="false">IF(AND(T3479=1,P3479&lt;&gt;"",P3479&lt;=Q3479),1,0)</f>
        <v>0</v>
      </c>
    </row>
    <row r="3480" customFormat="false" ht="15" hidden="false" customHeight="false" outlineLevel="0" collapsed="false">
      <c r="A3480" s="7" t="s">
        <v>4088</v>
      </c>
      <c r="B3480" s="7" t="s">
        <v>46</v>
      </c>
      <c r="C3480" s="7" t="s">
        <v>79</v>
      </c>
      <c r="D3480" s="7" t="s">
        <v>131</v>
      </c>
      <c r="E3480" s="7" t="s">
        <v>132</v>
      </c>
      <c r="F3480" s="7" t="s">
        <v>50</v>
      </c>
      <c r="G3480" s="7" t="s">
        <v>19</v>
      </c>
      <c r="H3480" s="9" t="n">
        <v>45948</v>
      </c>
      <c r="I3480" s="9" t="n">
        <v>45949</v>
      </c>
      <c r="J3480" s="7" t="n">
        <v>9.8</v>
      </c>
      <c r="K3480" s="7" t="s">
        <v>3856</v>
      </c>
      <c r="L3480" s="7" t="s">
        <v>19</v>
      </c>
      <c r="M3480" s="7" t="s">
        <v>4089</v>
      </c>
      <c r="N3480" s="7" t="s">
        <v>58</v>
      </c>
      <c r="O3480" s="10" t="n">
        <f aca="false">'Exec Summary'!$E$2-H3480</f>
        <v>286</v>
      </c>
      <c r="P3480" s="10" t="n">
        <f aca="false">IF(I3480="","",I3480-H3480)</f>
        <v>1</v>
      </c>
      <c r="Q3480" s="10" t="n">
        <f aca="false">VLOOKUP(G3480,$AA$2:$AB$5,2,FALSE())</f>
        <v>15</v>
      </c>
      <c r="R3480" s="7" t="n">
        <f aca="false">IF(OR(F3480="Open",F3480="Reopened"),1,0)</f>
        <v>0</v>
      </c>
      <c r="S3480" s="7" t="n">
        <f aca="false">IF(AND(H3480&gt;='Exec Summary'!$E$1,H3480&lt;='Exec Summary'!$E$2),1,0)</f>
        <v>0</v>
      </c>
      <c r="T3480" s="7" t="n">
        <f aca="false">IF(AND(F3480="Closed",I3480&lt;&gt;"",I3480&gt;='Exec Summary'!$E$1,I3480&lt;='Exec Summary'!$E$2),1,0)</f>
        <v>0</v>
      </c>
      <c r="U3480" s="7" t="n">
        <f aca="false">IF(F3480="Reopened",1,0)</f>
        <v>0</v>
      </c>
      <c r="V3480" s="7" t="n">
        <f aca="false">IF(AND(R3480=1,O3480&gt;Q3480),1,0)</f>
        <v>0</v>
      </c>
      <c r="W3480" s="7" t="n">
        <f aca="false">IF(AND(T3480=1,P3480&lt;&gt;"",P3480&lt;=Q3480),1,0)</f>
        <v>0</v>
      </c>
    </row>
    <row r="3481" customFormat="false" ht="15" hidden="false" customHeight="false" outlineLevel="0" collapsed="false">
      <c r="A3481" s="7" t="s">
        <v>4088</v>
      </c>
      <c r="B3481" s="7" t="s">
        <v>46</v>
      </c>
      <c r="C3481" s="7" t="s">
        <v>79</v>
      </c>
      <c r="D3481" s="7" t="s">
        <v>166</v>
      </c>
      <c r="E3481" s="7" t="s">
        <v>167</v>
      </c>
      <c r="F3481" s="7" t="s">
        <v>50</v>
      </c>
      <c r="G3481" s="7" t="s">
        <v>19</v>
      </c>
      <c r="H3481" s="9" t="n">
        <v>46107</v>
      </c>
      <c r="I3481" s="9" t="n">
        <v>46119</v>
      </c>
      <c r="J3481" s="7" t="n">
        <v>9.8</v>
      </c>
      <c r="K3481" s="7" t="s">
        <v>3856</v>
      </c>
      <c r="L3481" s="7" t="s">
        <v>19</v>
      </c>
      <c r="M3481" s="7" t="s">
        <v>4090</v>
      </c>
      <c r="N3481" s="7" t="s">
        <v>58</v>
      </c>
      <c r="O3481" s="10" t="n">
        <f aca="false">'Exec Summary'!$E$2-H3481</f>
        <v>127</v>
      </c>
      <c r="P3481" s="10" t="n">
        <f aca="false">IF(I3481="","",I3481-H3481)</f>
        <v>12</v>
      </c>
      <c r="Q3481" s="10" t="n">
        <f aca="false">VLOOKUP(G3481,$AA$2:$AB$5,2,FALSE())</f>
        <v>15</v>
      </c>
      <c r="R3481" s="7" t="n">
        <f aca="false">IF(OR(F3481="Open",F3481="Reopened"),1,0)</f>
        <v>0</v>
      </c>
      <c r="S3481" s="7" t="n">
        <f aca="false">IF(AND(H3481&gt;='Exec Summary'!$E$1,H3481&lt;='Exec Summary'!$E$2),1,0)</f>
        <v>0</v>
      </c>
      <c r="T3481" s="7" t="n">
        <f aca="false">IF(AND(F3481="Closed",I3481&lt;&gt;"",I3481&gt;='Exec Summary'!$E$1,I3481&lt;='Exec Summary'!$E$2),1,0)</f>
        <v>0</v>
      </c>
      <c r="U3481" s="7" t="n">
        <f aca="false">IF(F3481="Reopened",1,0)</f>
        <v>0</v>
      </c>
      <c r="V3481" s="7" t="n">
        <f aca="false">IF(AND(R3481=1,O3481&gt;Q3481),1,0)</f>
        <v>0</v>
      </c>
      <c r="W3481" s="7" t="n">
        <f aca="false">IF(AND(T3481=1,P3481&lt;&gt;"",P3481&lt;=Q3481),1,0)</f>
        <v>0</v>
      </c>
    </row>
    <row r="3482" customFormat="false" ht="15" hidden="false" customHeight="false" outlineLevel="0" collapsed="false">
      <c r="A3482" s="7" t="s">
        <v>4088</v>
      </c>
      <c r="B3482" s="7" t="s">
        <v>46</v>
      </c>
      <c r="C3482" s="7" t="s">
        <v>79</v>
      </c>
      <c r="D3482" s="7" t="s">
        <v>81</v>
      </c>
      <c r="E3482" s="7" t="s">
        <v>82</v>
      </c>
      <c r="F3482" s="7" t="s">
        <v>56</v>
      </c>
      <c r="G3482" s="7" t="s">
        <v>20</v>
      </c>
      <c r="H3482" s="9" t="n">
        <v>46006</v>
      </c>
      <c r="I3482" s="9"/>
      <c r="J3482" s="7" t="n">
        <v>7.8</v>
      </c>
      <c r="K3482" s="7" t="s">
        <v>3856</v>
      </c>
      <c r="L3482" s="7" t="s">
        <v>19</v>
      </c>
      <c r="M3482" s="7" t="s">
        <v>4091</v>
      </c>
      <c r="N3482" s="7" t="s">
        <v>53</v>
      </c>
      <c r="O3482" s="10" t="n">
        <f aca="false">'Exec Summary'!$E$2-H3482</f>
        <v>228</v>
      </c>
      <c r="P3482" s="10" t="str">
        <f aca="false">IF(I3482="","",I3482-H3482)</f>
        <v/>
      </c>
      <c r="Q3482" s="10" t="n">
        <f aca="false">VLOOKUP(G3482,$AA$2:$AB$5,2,FALSE())</f>
        <v>30</v>
      </c>
      <c r="R3482" s="7" t="n">
        <f aca="false">IF(OR(F3482="Open",F3482="Reopened"),1,0)</f>
        <v>1</v>
      </c>
      <c r="S3482" s="7" t="n">
        <f aca="false">IF(AND(H3482&gt;='Exec Summary'!$E$1,H3482&lt;='Exec Summary'!$E$2),1,0)</f>
        <v>0</v>
      </c>
      <c r="T3482" s="7" t="n">
        <f aca="false">IF(AND(F3482="Closed",I3482&lt;&gt;"",I3482&gt;='Exec Summary'!$E$1,I3482&lt;='Exec Summary'!$E$2),1,0)</f>
        <v>0</v>
      </c>
      <c r="U3482" s="7" t="n">
        <f aca="false">IF(F3482="Reopened",1,0)</f>
        <v>0</v>
      </c>
      <c r="V3482" s="7" t="n">
        <f aca="false">IF(AND(R3482=1,O3482&gt;Q3482),1,0)</f>
        <v>1</v>
      </c>
      <c r="W3482" s="7" t="n">
        <f aca="false">IF(AND(T3482=1,P3482&lt;&gt;"",P3482&lt;=Q3482),1,0)</f>
        <v>0</v>
      </c>
    </row>
    <row r="3483" customFormat="false" ht="15" hidden="false" customHeight="false" outlineLevel="0" collapsed="false">
      <c r="A3483" s="7" t="s">
        <v>4088</v>
      </c>
      <c r="B3483" s="7" t="s">
        <v>46</v>
      </c>
      <c r="C3483" s="7" t="s">
        <v>79</v>
      </c>
      <c r="D3483" s="7" t="s">
        <v>91</v>
      </c>
      <c r="E3483" s="7" t="s">
        <v>92</v>
      </c>
      <c r="F3483" s="7" t="s">
        <v>56</v>
      </c>
      <c r="G3483" s="7" t="s">
        <v>20</v>
      </c>
      <c r="H3483" s="9" t="n">
        <v>45980</v>
      </c>
      <c r="I3483" s="9"/>
      <c r="J3483" s="7" t="n">
        <v>8.1</v>
      </c>
      <c r="K3483" s="7" t="s">
        <v>3856</v>
      </c>
      <c r="L3483" s="7" t="s">
        <v>19</v>
      </c>
      <c r="M3483" s="7" t="s">
        <v>4092</v>
      </c>
      <c r="N3483" s="7" t="s">
        <v>53</v>
      </c>
      <c r="O3483" s="10" t="n">
        <f aca="false">'Exec Summary'!$E$2-H3483</f>
        <v>254</v>
      </c>
      <c r="P3483" s="10" t="str">
        <f aca="false">IF(I3483="","",I3483-H3483)</f>
        <v/>
      </c>
      <c r="Q3483" s="10" t="n">
        <f aca="false">VLOOKUP(G3483,$AA$2:$AB$5,2,FALSE())</f>
        <v>30</v>
      </c>
      <c r="R3483" s="7" t="n">
        <f aca="false">IF(OR(F3483="Open",F3483="Reopened"),1,0)</f>
        <v>1</v>
      </c>
      <c r="S3483" s="7" t="n">
        <f aca="false">IF(AND(H3483&gt;='Exec Summary'!$E$1,H3483&lt;='Exec Summary'!$E$2),1,0)</f>
        <v>0</v>
      </c>
      <c r="T3483" s="7" t="n">
        <f aca="false">IF(AND(F3483="Closed",I3483&lt;&gt;"",I3483&gt;='Exec Summary'!$E$1,I3483&lt;='Exec Summary'!$E$2),1,0)</f>
        <v>0</v>
      </c>
      <c r="U3483" s="7" t="n">
        <f aca="false">IF(F3483="Reopened",1,0)</f>
        <v>0</v>
      </c>
      <c r="V3483" s="7" t="n">
        <f aca="false">IF(AND(R3483=1,O3483&gt;Q3483),1,0)</f>
        <v>1</v>
      </c>
      <c r="W3483" s="7" t="n">
        <f aca="false">IF(AND(T3483=1,P3483&lt;&gt;"",P3483&lt;=Q3483),1,0)</f>
        <v>0</v>
      </c>
    </row>
    <row r="3484" customFormat="false" ht="15" hidden="false" customHeight="false" outlineLevel="0" collapsed="false">
      <c r="A3484" s="7" t="s">
        <v>4088</v>
      </c>
      <c r="B3484" s="7" t="s">
        <v>46</v>
      </c>
      <c r="C3484" s="7" t="s">
        <v>79</v>
      </c>
      <c r="D3484" s="7" t="s">
        <v>210</v>
      </c>
      <c r="E3484" s="7" t="s">
        <v>211</v>
      </c>
      <c r="F3484" s="7" t="s">
        <v>50</v>
      </c>
      <c r="G3484" s="7" t="s">
        <v>19</v>
      </c>
      <c r="H3484" s="9" t="n">
        <v>46126</v>
      </c>
      <c r="I3484" s="9" t="n">
        <v>46140</v>
      </c>
      <c r="J3484" s="7" t="n">
        <v>9.8</v>
      </c>
      <c r="K3484" s="7" t="s">
        <v>3856</v>
      </c>
      <c r="L3484" s="7" t="s">
        <v>19</v>
      </c>
      <c r="M3484" s="7" t="s">
        <v>4093</v>
      </c>
      <c r="N3484" s="7" t="s">
        <v>58</v>
      </c>
      <c r="O3484" s="10" t="n">
        <f aca="false">'Exec Summary'!$E$2-H3484</f>
        <v>108</v>
      </c>
      <c r="P3484" s="10" t="n">
        <f aca="false">IF(I3484="","",I3484-H3484)</f>
        <v>14</v>
      </c>
      <c r="Q3484" s="10" t="n">
        <f aca="false">VLOOKUP(G3484,$AA$2:$AB$5,2,FALSE())</f>
        <v>15</v>
      </c>
      <c r="R3484" s="7" t="n">
        <f aca="false">IF(OR(F3484="Open",F3484="Reopened"),1,0)</f>
        <v>0</v>
      </c>
      <c r="S3484" s="7" t="n">
        <f aca="false">IF(AND(H3484&gt;='Exec Summary'!$E$1,H3484&lt;='Exec Summary'!$E$2),1,0)</f>
        <v>0</v>
      </c>
      <c r="T3484" s="7" t="n">
        <f aca="false">IF(AND(F3484="Closed",I3484&lt;&gt;"",I3484&gt;='Exec Summary'!$E$1,I3484&lt;='Exec Summary'!$E$2),1,0)</f>
        <v>0</v>
      </c>
      <c r="U3484" s="7" t="n">
        <f aca="false">IF(F3484="Reopened",1,0)</f>
        <v>0</v>
      </c>
      <c r="V3484" s="7" t="n">
        <f aca="false">IF(AND(R3484=1,O3484&gt;Q3484),1,0)</f>
        <v>0</v>
      </c>
      <c r="W3484" s="7" t="n">
        <f aca="false">IF(AND(T3484=1,P3484&lt;&gt;"",P3484&lt;=Q3484),1,0)</f>
        <v>0</v>
      </c>
    </row>
    <row r="3485" customFormat="false" ht="15" hidden="false" customHeight="false" outlineLevel="0" collapsed="false">
      <c r="A3485" s="7" t="s">
        <v>4088</v>
      </c>
      <c r="B3485" s="7" t="s">
        <v>46</v>
      </c>
      <c r="C3485" s="7" t="s">
        <v>79</v>
      </c>
      <c r="D3485" s="7" t="s">
        <v>74</v>
      </c>
      <c r="E3485" s="7" t="s">
        <v>75</v>
      </c>
      <c r="F3485" s="7" t="s">
        <v>56</v>
      </c>
      <c r="G3485" s="7" t="s">
        <v>21</v>
      </c>
      <c r="H3485" s="9" t="n">
        <v>46093</v>
      </c>
      <c r="I3485" s="9"/>
      <c r="J3485" s="7" t="n">
        <v>6.5</v>
      </c>
      <c r="K3485" s="7" t="s">
        <v>3856</v>
      </c>
      <c r="L3485" s="7" t="s">
        <v>19</v>
      </c>
      <c r="M3485" s="7" t="s">
        <v>4094</v>
      </c>
      <c r="N3485" s="7" t="s">
        <v>77</v>
      </c>
      <c r="O3485" s="10" t="n">
        <f aca="false">'Exec Summary'!$E$2-H3485</f>
        <v>141</v>
      </c>
      <c r="P3485" s="10" t="str">
        <f aca="false">IF(I3485="","",I3485-H3485)</f>
        <v/>
      </c>
      <c r="Q3485" s="10" t="n">
        <f aca="false">VLOOKUP(G3485,$AA$2:$AB$5,2,FALSE())</f>
        <v>90</v>
      </c>
      <c r="R3485" s="7" t="n">
        <f aca="false">IF(OR(F3485="Open",F3485="Reopened"),1,0)</f>
        <v>1</v>
      </c>
      <c r="S3485" s="7" t="n">
        <f aca="false">IF(AND(H3485&gt;='Exec Summary'!$E$1,H3485&lt;='Exec Summary'!$E$2),1,0)</f>
        <v>0</v>
      </c>
      <c r="T3485" s="7" t="n">
        <f aca="false">IF(AND(F3485="Closed",I3485&lt;&gt;"",I3485&gt;='Exec Summary'!$E$1,I3485&lt;='Exec Summary'!$E$2),1,0)</f>
        <v>0</v>
      </c>
      <c r="U3485" s="7" t="n">
        <f aca="false">IF(F3485="Reopened",1,0)</f>
        <v>0</v>
      </c>
      <c r="V3485" s="7" t="n">
        <f aca="false">IF(AND(R3485=1,O3485&gt;Q3485),1,0)</f>
        <v>1</v>
      </c>
      <c r="W3485" s="7" t="n">
        <f aca="false">IF(AND(T3485=1,P3485&lt;&gt;"",P3485&lt;=Q3485),1,0)</f>
        <v>0</v>
      </c>
    </row>
    <row r="3486" customFormat="false" ht="15" hidden="false" customHeight="false" outlineLevel="0" collapsed="false">
      <c r="A3486" s="7" t="s">
        <v>4088</v>
      </c>
      <c r="B3486" s="7" t="s">
        <v>46</v>
      </c>
      <c r="C3486" s="7" t="s">
        <v>79</v>
      </c>
      <c r="D3486" s="7" t="s">
        <v>95</v>
      </c>
      <c r="E3486" s="7" t="s">
        <v>96</v>
      </c>
      <c r="F3486" s="7" t="s">
        <v>123</v>
      </c>
      <c r="G3486" s="7" t="s">
        <v>20</v>
      </c>
      <c r="H3486" s="9" t="n">
        <v>45960</v>
      </c>
      <c r="I3486" s="9" t="n">
        <v>45982</v>
      </c>
      <c r="J3486" s="7" t="n">
        <v>8.8</v>
      </c>
      <c r="K3486" s="7" t="s">
        <v>3856</v>
      </c>
      <c r="L3486" s="7" t="s">
        <v>19</v>
      </c>
      <c r="M3486" s="7" t="s">
        <v>4095</v>
      </c>
      <c r="N3486" s="7" t="s">
        <v>53</v>
      </c>
      <c r="O3486" s="10" t="n">
        <f aca="false">'Exec Summary'!$E$2-H3486</f>
        <v>274</v>
      </c>
      <c r="P3486" s="10" t="n">
        <f aca="false">IF(I3486="","",I3486-H3486)</f>
        <v>22</v>
      </c>
      <c r="Q3486" s="10" t="n">
        <f aca="false">VLOOKUP(G3486,$AA$2:$AB$5,2,FALSE())</f>
        <v>30</v>
      </c>
      <c r="R3486" s="7" t="n">
        <f aca="false">IF(OR(F3486="Open",F3486="Reopened"),1,0)</f>
        <v>1</v>
      </c>
      <c r="S3486" s="7" t="n">
        <f aca="false">IF(AND(H3486&gt;='Exec Summary'!$E$1,H3486&lt;='Exec Summary'!$E$2),1,0)</f>
        <v>0</v>
      </c>
      <c r="T3486" s="7" t="n">
        <f aca="false">IF(AND(F3486="Closed",I3486&lt;&gt;"",I3486&gt;='Exec Summary'!$E$1,I3486&lt;='Exec Summary'!$E$2),1,0)</f>
        <v>0</v>
      </c>
      <c r="U3486" s="7" t="n">
        <f aca="false">IF(F3486="Reopened",1,0)</f>
        <v>1</v>
      </c>
      <c r="V3486" s="7" t="n">
        <f aca="false">IF(AND(R3486=1,O3486&gt;Q3486),1,0)</f>
        <v>1</v>
      </c>
      <c r="W3486" s="7" t="n">
        <f aca="false">IF(AND(T3486=1,P3486&lt;&gt;"",P3486&lt;=Q3486),1,0)</f>
        <v>0</v>
      </c>
    </row>
    <row r="3487" customFormat="false" ht="15" hidden="false" customHeight="false" outlineLevel="0" collapsed="false">
      <c r="A3487" s="7" t="s">
        <v>4088</v>
      </c>
      <c r="B3487" s="7" t="s">
        <v>46</v>
      </c>
      <c r="C3487" s="7" t="s">
        <v>79</v>
      </c>
      <c r="D3487" s="7" t="s">
        <v>71</v>
      </c>
      <c r="E3487" s="7" t="s">
        <v>72</v>
      </c>
      <c r="F3487" s="7" t="s">
        <v>50</v>
      </c>
      <c r="G3487" s="7" t="s">
        <v>19</v>
      </c>
      <c r="H3487" s="9" t="n">
        <v>46151</v>
      </c>
      <c r="I3487" s="9" t="n">
        <v>46160</v>
      </c>
      <c r="J3487" s="7" t="n">
        <v>9.8</v>
      </c>
      <c r="K3487" s="7" t="s">
        <v>3856</v>
      </c>
      <c r="L3487" s="7" t="s">
        <v>19</v>
      </c>
      <c r="M3487" s="7" t="s">
        <v>4096</v>
      </c>
      <c r="N3487" s="7" t="s">
        <v>58</v>
      </c>
      <c r="O3487" s="10" t="n">
        <f aca="false">'Exec Summary'!$E$2-H3487</f>
        <v>83</v>
      </c>
      <c r="P3487" s="10" t="n">
        <f aca="false">IF(I3487="","",I3487-H3487)</f>
        <v>9</v>
      </c>
      <c r="Q3487" s="10" t="n">
        <f aca="false">VLOOKUP(G3487,$AA$2:$AB$5,2,FALSE())</f>
        <v>15</v>
      </c>
      <c r="R3487" s="7" t="n">
        <f aca="false">IF(OR(F3487="Open",F3487="Reopened"),1,0)</f>
        <v>0</v>
      </c>
      <c r="S3487" s="7" t="n">
        <f aca="false">IF(AND(H3487&gt;='Exec Summary'!$E$1,H3487&lt;='Exec Summary'!$E$2),1,0)</f>
        <v>0</v>
      </c>
      <c r="T3487" s="7" t="n">
        <f aca="false">IF(AND(F3487="Closed",I3487&lt;&gt;"",I3487&gt;='Exec Summary'!$E$1,I3487&lt;='Exec Summary'!$E$2),1,0)</f>
        <v>0</v>
      </c>
      <c r="U3487" s="7" t="n">
        <f aca="false">IF(F3487="Reopened",1,0)</f>
        <v>0</v>
      </c>
      <c r="V3487" s="7" t="n">
        <f aca="false">IF(AND(R3487=1,O3487&gt;Q3487),1,0)</f>
        <v>0</v>
      </c>
      <c r="W3487" s="7" t="n">
        <f aca="false">IF(AND(T3487=1,P3487&lt;&gt;"",P3487&lt;=Q3487),1,0)</f>
        <v>0</v>
      </c>
    </row>
    <row r="3488" customFormat="false" ht="15" hidden="false" customHeight="false" outlineLevel="0" collapsed="false">
      <c r="A3488" s="7" t="s">
        <v>4088</v>
      </c>
      <c r="B3488" s="7" t="s">
        <v>46</v>
      </c>
      <c r="C3488" s="7" t="s">
        <v>79</v>
      </c>
      <c r="D3488" s="7" t="s">
        <v>54</v>
      </c>
      <c r="E3488" s="7" t="s">
        <v>55</v>
      </c>
      <c r="F3488" s="7" t="s">
        <v>56</v>
      </c>
      <c r="G3488" s="7" t="s">
        <v>19</v>
      </c>
      <c r="H3488" s="9" t="n">
        <v>46044</v>
      </c>
      <c r="I3488" s="9"/>
      <c r="J3488" s="7" t="n">
        <v>9.8</v>
      </c>
      <c r="K3488" s="7" t="s">
        <v>3856</v>
      </c>
      <c r="L3488" s="7" t="s">
        <v>19</v>
      </c>
      <c r="M3488" s="7" t="s">
        <v>4097</v>
      </c>
      <c r="N3488" s="7" t="s">
        <v>58</v>
      </c>
      <c r="O3488" s="10" t="n">
        <f aca="false">'Exec Summary'!$E$2-H3488</f>
        <v>190</v>
      </c>
      <c r="P3488" s="10" t="str">
        <f aca="false">IF(I3488="","",I3488-H3488)</f>
        <v/>
      </c>
      <c r="Q3488" s="10" t="n">
        <f aca="false">VLOOKUP(G3488,$AA$2:$AB$5,2,FALSE())</f>
        <v>15</v>
      </c>
      <c r="R3488" s="7" t="n">
        <f aca="false">IF(OR(F3488="Open",F3488="Reopened"),1,0)</f>
        <v>1</v>
      </c>
      <c r="S3488" s="7" t="n">
        <f aca="false">IF(AND(H3488&gt;='Exec Summary'!$E$1,H3488&lt;='Exec Summary'!$E$2),1,0)</f>
        <v>0</v>
      </c>
      <c r="T3488" s="7" t="n">
        <f aca="false">IF(AND(F3488="Closed",I3488&lt;&gt;"",I3488&gt;='Exec Summary'!$E$1,I3488&lt;='Exec Summary'!$E$2),1,0)</f>
        <v>0</v>
      </c>
      <c r="U3488" s="7" t="n">
        <f aca="false">IF(F3488="Reopened",1,0)</f>
        <v>0</v>
      </c>
      <c r="V3488" s="7" t="n">
        <f aca="false">IF(AND(R3488=1,O3488&gt;Q3488),1,0)</f>
        <v>1</v>
      </c>
      <c r="W3488" s="7" t="n">
        <f aca="false">IF(AND(T3488=1,P3488&lt;&gt;"",P3488&lt;=Q3488),1,0)</f>
        <v>0</v>
      </c>
    </row>
    <row r="3489" customFormat="false" ht="15" hidden="false" customHeight="false" outlineLevel="0" collapsed="false">
      <c r="A3489" s="7" t="s">
        <v>4088</v>
      </c>
      <c r="B3489" s="7" t="s">
        <v>46</v>
      </c>
      <c r="C3489" s="7" t="s">
        <v>79</v>
      </c>
      <c r="D3489" s="7" t="s">
        <v>62</v>
      </c>
      <c r="E3489" s="7" t="s">
        <v>63</v>
      </c>
      <c r="F3489" s="7" t="s">
        <v>50</v>
      </c>
      <c r="G3489" s="7" t="s">
        <v>20</v>
      </c>
      <c r="H3489" s="9" t="n">
        <v>46110</v>
      </c>
      <c r="I3489" s="9" t="n">
        <v>46128</v>
      </c>
      <c r="J3489" s="7" t="n">
        <v>8.1</v>
      </c>
      <c r="K3489" s="7" t="s">
        <v>3856</v>
      </c>
      <c r="L3489" s="7" t="s">
        <v>19</v>
      </c>
      <c r="M3489" s="7" t="s">
        <v>4098</v>
      </c>
      <c r="N3489" s="7" t="s">
        <v>53</v>
      </c>
      <c r="O3489" s="10" t="n">
        <f aca="false">'Exec Summary'!$E$2-H3489</f>
        <v>124</v>
      </c>
      <c r="P3489" s="10" t="n">
        <f aca="false">IF(I3489="","",I3489-H3489)</f>
        <v>18</v>
      </c>
      <c r="Q3489" s="10" t="n">
        <f aca="false">VLOOKUP(G3489,$AA$2:$AB$5,2,FALSE())</f>
        <v>30</v>
      </c>
      <c r="R3489" s="7" t="n">
        <f aca="false">IF(OR(F3489="Open",F3489="Reopened"),1,0)</f>
        <v>0</v>
      </c>
      <c r="S3489" s="7" t="n">
        <f aca="false">IF(AND(H3489&gt;='Exec Summary'!$E$1,H3489&lt;='Exec Summary'!$E$2),1,0)</f>
        <v>0</v>
      </c>
      <c r="T3489" s="7" t="n">
        <f aca="false">IF(AND(F3489="Closed",I3489&lt;&gt;"",I3489&gt;='Exec Summary'!$E$1,I3489&lt;='Exec Summary'!$E$2),1,0)</f>
        <v>0</v>
      </c>
      <c r="U3489" s="7" t="n">
        <f aca="false">IF(F3489="Reopened",1,0)</f>
        <v>0</v>
      </c>
      <c r="V3489" s="7" t="n">
        <f aca="false">IF(AND(R3489=1,O3489&gt;Q3489),1,0)</f>
        <v>0</v>
      </c>
      <c r="W3489" s="7" t="n">
        <f aca="false">IF(AND(T3489=1,P3489&lt;&gt;"",P3489&lt;=Q3489),1,0)</f>
        <v>0</v>
      </c>
    </row>
    <row r="3490" customFormat="false" ht="15" hidden="false" customHeight="false" outlineLevel="0" collapsed="false">
      <c r="A3490" s="7" t="s">
        <v>4088</v>
      </c>
      <c r="B3490" s="7" t="s">
        <v>46</v>
      </c>
      <c r="C3490" s="7" t="s">
        <v>79</v>
      </c>
      <c r="D3490" s="7" t="s">
        <v>59</v>
      </c>
      <c r="E3490" s="7" t="s">
        <v>60</v>
      </c>
      <c r="F3490" s="7" t="s">
        <v>50</v>
      </c>
      <c r="G3490" s="7" t="s">
        <v>19</v>
      </c>
      <c r="H3490" s="9" t="n">
        <v>45957</v>
      </c>
      <c r="I3490" s="9" t="n">
        <v>45978</v>
      </c>
      <c r="J3490" s="7" t="n">
        <v>7.8</v>
      </c>
      <c r="K3490" s="7" t="s">
        <v>3856</v>
      </c>
      <c r="L3490" s="7" t="s">
        <v>19</v>
      </c>
      <c r="M3490" s="7" t="s">
        <v>4099</v>
      </c>
      <c r="N3490" s="7" t="s">
        <v>58</v>
      </c>
      <c r="O3490" s="10" t="n">
        <f aca="false">'Exec Summary'!$E$2-H3490</f>
        <v>277</v>
      </c>
      <c r="P3490" s="10" t="n">
        <f aca="false">IF(I3490="","",I3490-H3490)</f>
        <v>21</v>
      </c>
      <c r="Q3490" s="10" t="n">
        <f aca="false">VLOOKUP(G3490,$AA$2:$AB$5,2,FALSE())</f>
        <v>15</v>
      </c>
      <c r="R3490" s="7" t="n">
        <f aca="false">IF(OR(F3490="Open",F3490="Reopened"),1,0)</f>
        <v>0</v>
      </c>
      <c r="S3490" s="7" t="n">
        <f aca="false">IF(AND(H3490&gt;='Exec Summary'!$E$1,H3490&lt;='Exec Summary'!$E$2),1,0)</f>
        <v>0</v>
      </c>
      <c r="T3490" s="7" t="n">
        <f aca="false">IF(AND(F3490="Closed",I3490&lt;&gt;"",I3490&gt;='Exec Summary'!$E$1,I3490&lt;='Exec Summary'!$E$2),1,0)</f>
        <v>0</v>
      </c>
      <c r="U3490" s="7" t="n">
        <f aca="false">IF(F3490="Reopened",1,0)</f>
        <v>0</v>
      </c>
      <c r="V3490" s="7" t="n">
        <f aca="false">IF(AND(R3490=1,O3490&gt;Q3490),1,0)</f>
        <v>0</v>
      </c>
      <c r="W3490" s="7" t="n">
        <f aca="false">IF(AND(T3490=1,P3490&lt;&gt;"",P3490&lt;=Q3490),1,0)</f>
        <v>0</v>
      </c>
    </row>
    <row r="3491" customFormat="false" ht="15" hidden="false" customHeight="false" outlineLevel="0" collapsed="false">
      <c r="A3491" s="7" t="s">
        <v>4088</v>
      </c>
      <c r="B3491" s="7" t="s">
        <v>46</v>
      </c>
      <c r="C3491" s="7" t="s">
        <v>79</v>
      </c>
      <c r="D3491" s="7" t="s">
        <v>65</v>
      </c>
      <c r="E3491" s="7" t="s">
        <v>66</v>
      </c>
      <c r="F3491" s="7" t="s">
        <v>50</v>
      </c>
      <c r="G3491" s="7" t="s">
        <v>19</v>
      </c>
      <c r="H3491" s="9" t="n">
        <v>45937</v>
      </c>
      <c r="I3491" s="9" t="n">
        <v>45959</v>
      </c>
      <c r="J3491" s="7" t="n">
        <v>9.8</v>
      </c>
      <c r="K3491" s="7" t="s">
        <v>3856</v>
      </c>
      <c r="L3491" s="7" t="s">
        <v>19</v>
      </c>
      <c r="M3491" s="7" t="s">
        <v>4100</v>
      </c>
      <c r="N3491" s="7" t="s">
        <v>58</v>
      </c>
      <c r="O3491" s="10" t="n">
        <f aca="false">'Exec Summary'!$E$2-H3491</f>
        <v>297</v>
      </c>
      <c r="P3491" s="10" t="n">
        <f aca="false">IF(I3491="","",I3491-H3491)</f>
        <v>22</v>
      </c>
      <c r="Q3491" s="10" t="n">
        <f aca="false">VLOOKUP(G3491,$AA$2:$AB$5,2,FALSE())</f>
        <v>15</v>
      </c>
      <c r="R3491" s="7" t="n">
        <f aca="false">IF(OR(F3491="Open",F3491="Reopened"),1,0)</f>
        <v>0</v>
      </c>
      <c r="S3491" s="7" t="n">
        <f aca="false">IF(AND(H3491&gt;='Exec Summary'!$E$1,H3491&lt;='Exec Summary'!$E$2),1,0)</f>
        <v>0</v>
      </c>
      <c r="T3491" s="7" t="n">
        <f aca="false">IF(AND(F3491="Closed",I3491&lt;&gt;"",I3491&gt;='Exec Summary'!$E$1,I3491&lt;='Exec Summary'!$E$2),1,0)</f>
        <v>0</v>
      </c>
      <c r="U3491" s="7" t="n">
        <f aca="false">IF(F3491="Reopened",1,0)</f>
        <v>0</v>
      </c>
      <c r="V3491" s="7" t="n">
        <f aca="false">IF(AND(R3491=1,O3491&gt;Q3491),1,0)</f>
        <v>0</v>
      </c>
      <c r="W3491" s="7" t="n">
        <f aca="false">IF(AND(T3491=1,P3491&lt;&gt;"",P3491&lt;=Q3491),1,0)</f>
        <v>0</v>
      </c>
    </row>
    <row r="3492" customFormat="false" ht="15" hidden="false" customHeight="false" outlineLevel="0" collapsed="false">
      <c r="A3492" s="7" t="s">
        <v>4088</v>
      </c>
      <c r="B3492" s="7" t="s">
        <v>46</v>
      </c>
      <c r="C3492" s="7" t="s">
        <v>79</v>
      </c>
      <c r="D3492" s="7" t="s">
        <v>101</v>
      </c>
      <c r="E3492" s="7" t="s">
        <v>102</v>
      </c>
      <c r="F3492" s="7" t="s">
        <v>50</v>
      </c>
      <c r="G3492" s="7" t="s">
        <v>19</v>
      </c>
      <c r="H3492" s="9" t="n">
        <v>46101</v>
      </c>
      <c r="I3492" s="9" t="n">
        <v>46108</v>
      </c>
      <c r="J3492" s="7" t="n">
        <v>10</v>
      </c>
      <c r="K3492" s="7" t="s">
        <v>3856</v>
      </c>
      <c r="L3492" s="7" t="s">
        <v>19</v>
      </c>
      <c r="M3492" s="7" t="s">
        <v>4101</v>
      </c>
      <c r="N3492" s="7" t="s">
        <v>58</v>
      </c>
      <c r="O3492" s="10" t="n">
        <f aca="false">'Exec Summary'!$E$2-H3492</f>
        <v>133</v>
      </c>
      <c r="P3492" s="10" t="n">
        <f aca="false">IF(I3492="","",I3492-H3492)</f>
        <v>7</v>
      </c>
      <c r="Q3492" s="10" t="n">
        <f aca="false">VLOOKUP(G3492,$AA$2:$AB$5,2,FALSE())</f>
        <v>15</v>
      </c>
      <c r="R3492" s="7" t="n">
        <f aca="false">IF(OR(F3492="Open",F3492="Reopened"),1,0)</f>
        <v>0</v>
      </c>
      <c r="S3492" s="7" t="n">
        <f aca="false">IF(AND(H3492&gt;='Exec Summary'!$E$1,H3492&lt;='Exec Summary'!$E$2),1,0)</f>
        <v>0</v>
      </c>
      <c r="T3492" s="7" t="n">
        <f aca="false">IF(AND(F3492="Closed",I3492&lt;&gt;"",I3492&gt;='Exec Summary'!$E$1,I3492&lt;='Exec Summary'!$E$2),1,0)</f>
        <v>0</v>
      </c>
      <c r="U3492" s="7" t="n">
        <f aca="false">IF(F3492="Reopened",1,0)</f>
        <v>0</v>
      </c>
      <c r="V3492" s="7" t="n">
        <f aca="false">IF(AND(R3492=1,O3492&gt;Q3492),1,0)</f>
        <v>0</v>
      </c>
      <c r="W3492" s="7" t="n">
        <f aca="false">IF(AND(T3492=1,P3492&lt;&gt;"",P3492&lt;=Q3492),1,0)</f>
        <v>0</v>
      </c>
    </row>
    <row r="3493" customFormat="false" ht="15" hidden="false" customHeight="false" outlineLevel="0" collapsed="false">
      <c r="A3493" s="7" t="s">
        <v>4088</v>
      </c>
      <c r="B3493" s="7" t="s">
        <v>46</v>
      </c>
      <c r="C3493" s="7" t="s">
        <v>79</v>
      </c>
      <c r="D3493" s="7" t="s">
        <v>206</v>
      </c>
      <c r="E3493" s="7" t="s">
        <v>207</v>
      </c>
      <c r="F3493" s="7" t="s">
        <v>50</v>
      </c>
      <c r="G3493" s="7" t="s">
        <v>20</v>
      </c>
      <c r="H3493" s="9" t="n">
        <v>46023</v>
      </c>
      <c r="I3493" s="9" t="n">
        <v>46035</v>
      </c>
      <c r="J3493" s="7" t="n">
        <v>8.8</v>
      </c>
      <c r="K3493" s="7" t="s">
        <v>3856</v>
      </c>
      <c r="L3493" s="7" t="s">
        <v>19</v>
      </c>
      <c r="M3493" s="7" t="s">
        <v>4102</v>
      </c>
      <c r="N3493" s="7" t="s">
        <v>53</v>
      </c>
      <c r="O3493" s="10" t="n">
        <f aca="false">'Exec Summary'!$E$2-H3493</f>
        <v>211</v>
      </c>
      <c r="P3493" s="10" t="n">
        <f aca="false">IF(I3493="","",I3493-H3493)</f>
        <v>12</v>
      </c>
      <c r="Q3493" s="10" t="n">
        <f aca="false">VLOOKUP(G3493,$AA$2:$AB$5,2,FALSE())</f>
        <v>30</v>
      </c>
      <c r="R3493" s="7" t="n">
        <f aca="false">IF(OR(F3493="Open",F3493="Reopened"),1,0)</f>
        <v>0</v>
      </c>
      <c r="S3493" s="7" t="n">
        <f aca="false">IF(AND(H3493&gt;='Exec Summary'!$E$1,H3493&lt;='Exec Summary'!$E$2),1,0)</f>
        <v>0</v>
      </c>
      <c r="T3493" s="7" t="n">
        <f aca="false">IF(AND(F3493="Closed",I3493&lt;&gt;"",I3493&gt;='Exec Summary'!$E$1,I3493&lt;='Exec Summary'!$E$2),1,0)</f>
        <v>0</v>
      </c>
      <c r="U3493" s="7" t="n">
        <f aca="false">IF(F3493="Reopened",1,0)</f>
        <v>0</v>
      </c>
      <c r="V3493" s="7" t="n">
        <f aca="false">IF(AND(R3493=1,O3493&gt;Q3493),1,0)</f>
        <v>0</v>
      </c>
      <c r="W3493" s="7" t="n">
        <f aca="false">IF(AND(T3493=1,P3493&lt;&gt;"",P3493&lt;=Q3493),1,0)</f>
        <v>0</v>
      </c>
    </row>
    <row r="3494" customFormat="false" ht="15" hidden="false" customHeight="false" outlineLevel="0" collapsed="false">
      <c r="A3494" s="7" t="s">
        <v>4103</v>
      </c>
      <c r="B3494" s="7" t="s">
        <v>46</v>
      </c>
      <c r="C3494" s="7" t="s">
        <v>158</v>
      </c>
      <c r="D3494" s="7" t="s">
        <v>71</v>
      </c>
      <c r="E3494" s="7" t="s">
        <v>72</v>
      </c>
      <c r="F3494" s="7" t="s">
        <v>50</v>
      </c>
      <c r="G3494" s="7" t="s">
        <v>19</v>
      </c>
      <c r="H3494" s="9" t="n">
        <v>46147</v>
      </c>
      <c r="I3494" s="9" t="n">
        <v>46157</v>
      </c>
      <c r="J3494" s="7" t="n">
        <v>9.8</v>
      </c>
      <c r="K3494" s="7" t="s">
        <v>3856</v>
      </c>
      <c r="L3494" s="7" t="s">
        <v>19</v>
      </c>
      <c r="M3494" s="7" t="s">
        <v>4104</v>
      </c>
      <c r="N3494" s="7" t="s">
        <v>58</v>
      </c>
      <c r="O3494" s="10" t="n">
        <f aca="false">'Exec Summary'!$E$2-H3494</f>
        <v>87</v>
      </c>
      <c r="P3494" s="10" t="n">
        <f aca="false">IF(I3494="","",I3494-H3494)</f>
        <v>10</v>
      </c>
      <c r="Q3494" s="10" t="n">
        <f aca="false">VLOOKUP(G3494,$AA$2:$AB$5,2,FALSE())</f>
        <v>15</v>
      </c>
      <c r="R3494" s="7" t="n">
        <f aca="false">IF(OR(F3494="Open",F3494="Reopened"),1,0)</f>
        <v>0</v>
      </c>
      <c r="S3494" s="7" t="n">
        <f aca="false">IF(AND(H3494&gt;='Exec Summary'!$E$1,H3494&lt;='Exec Summary'!$E$2),1,0)</f>
        <v>0</v>
      </c>
      <c r="T3494" s="7" t="n">
        <f aca="false">IF(AND(F3494="Closed",I3494&lt;&gt;"",I3494&gt;='Exec Summary'!$E$1,I3494&lt;='Exec Summary'!$E$2),1,0)</f>
        <v>0</v>
      </c>
      <c r="U3494" s="7" t="n">
        <f aca="false">IF(F3494="Reopened",1,0)</f>
        <v>0</v>
      </c>
      <c r="V3494" s="7" t="n">
        <f aca="false">IF(AND(R3494=1,O3494&gt;Q3494),1,0)</f>
        <v>0</v>
      </c>
      <c r="W3494" s="7" t="n">
        <f aca="false">IF(AND(T3494=1,P3494&lt;&gt;"",P3494&lt;=Q3494),1,0)</f>
        <v>0</v>
      </c>
    </row>
    <row r="3495" customFormat="false" ht="15" hidden="false" customHeight="false" outlineLevel="0" collapsed="false">
      <c r="A3495" s="7" t="s">
        <v>4103</v>
      </c>
      <c r="B3495" s="7" t="s">
        <v>46</v>
      </c>
      <c r="C3495" s="7" t="s">
        <v>158</v>
      </c>
      <c r="D3495" s="7" t="s">
        <v>62</v>
      </c>
      <c r="E3495" s="7" t="s">
        <v>63</v>
      </c>
      <c r="F3495" s="7" t="s">
        <v>56</v>
      </c>
      <c r="G3495" s="7" t="s">
        <v>20</v>
      </c>
      <c r="H3495" s="9" t="n">
        <v>46021</v>
      </c>
      <c r="I3495" s="9"/>
      <c r="J3495" s="7" t="n">
        <v>8.1</v>
      </c>
      <c r="K3495" s="7" t="s">
        <v>3856</v>
      </c>
      <c r="L3495" s="7" t="s">
        <v>19</v>
      </c>
      <c r="M3495" s="7" t="s">
        <v>4105</v>
      </c>
      <c r="N3495" s="7" t="s">
        <v>53</v>
      </c>
      <c r="O3495" s="10" t="n">
        <f aca="false">'Exec Summary'!$E$2-H3495</f>
        <v>213</v>
      </c>
      <c r="P3495" s="10" t="str">
        <f aca="false">IF(I3495="","",I3495-H3495)</f>
        <v/>
      </c>
      <c r="Q3495" s="10" t="n">
        <f aca="false">VLOOKUP(G3495,$AA$2:$AB$5,2,FALSE())</f>
        <v>30</v>
      </c>
      <c r="R3495" s="7" t="n">
        <f aca="false">IF(OR(F3495="Open",F3495="Reopened"),1,0)</f>
        <v>1</v>
      </c>
      <c r="S3495" s="7" t="n">
        <f aca="false">IF(AND(H3495&gt;='Exec Summary'!$E$1,H3495&lt;='Exec Summary'!$E$2),1,0)</f>
        <v>0</v>
      </c>
      <c r="T3495" s="7" t="n">
        <f aca="false">IF(AND(F3495="Closed",I3495&lt;&gt;"",I3495&gt;='Exec Summary'!$E$1,I3495&lt;='Exec Summary'!$E$2),1,0)</f>
        <v>0</v>
      </c>
      <c r="U3495" s="7" t="n">
        <f aca="false">IF(F3495="Reopened",1,0)</f>
        <v>0</v>
      </c>
      <c r="V3495" s="7" t="n">
        <f aca="false">IF(AND(R3495=1,O3495&gt;Q3495),1,0)</f>
        <v>1</v>
      </c>
      <c r="W3495" s="7" t="n">
        <f aca="false">IF(AND(T3495=1,P3495&lt;&gt;"",P3495&lt;=Q3495),1,0)</f>
        <v>0</v>
      </c>
    </row>
    <row r="3496" customFormat="false" ht="15" hidden="false" customHeight="false" outlineLevel="0" collapsed="false">
      <c r="A3496" s="7" t="s">
        <v>4103</v>
      </c>
      <c r="B3496" s="7" t="s">
        <v>46</v>
      </c>
      <c r="C3496" s="7" t="s">
        <v>158</v>
      </c>
      <c r="D3496" s="7" t="s">
        <v>74</v>
      </c>
      <c r="E3496" s="7" t="s">
        <v>75</v>
      </c>
      <c r="F3496" s="7" t="s">
        <v>50</v>
      </c>
      <c r="G3496" s="7" t="s">
        <v>21</v>
      </c>
      <c r="H3496" s="9" t="n">
        <v>46119</v>
      </c>
      <c r="I3496" s="9" t="n">
        <v>46203</v>
      </c>
      <c r="J3496" s="7" t="n">
        <v>6.5</v>
      </c>
      <c r="K3496" s="7" t="s">
        <v>3856</v>
      </c>
      <c r="L3496" s="7" t="s">
        <v>19</v>
      </c>
      <c r="M3496" s="7" t="s">
        <v>4106</v>
      </c>
      <c r="N3496" s="7" t="s">
        <v>77</v>
      </c>
      <c r="O3496" s="10" t="n">
        <f aca="false">'Exec Summary'!$E$2-H3496</f>
        <v>115</v>
      </c>
      <c r="P3496" s="10" t="n">
        <f aca="false">IF(I3496="","",I3496-H3496)</f>
        <v>84</v>
      </c>
      <c r="Q3496" s="10" t="n">
        <f aca="false">VLOOKUP(G3496,$AA$2:$AB$5,2,FALSE())</f>
        <v>90</v>
      </c>
      <c r="R3496" s="7" t="n">
        <f aca="false">IF(OR(F3496="Open",F3496="Reopened"),1,0)</f>
        <v>0</v>
      </c>
      <c r="S3496" s="7" t="n">
        <f aca="false">IF(AND(H3496&gt;='Exec Summary'!$E$1,H3496&lt;='Exec Summary'!$E$2),1,0)</f>
        <v>0</v>
      </c>
      <c r="T3496" s="7" t="n">
        <f aca="false">IF(AND(F3496="Closed",I3496&lt;&gt;"",I3496&gt;='Exec Summary'!$E$1,I3496&lt;='Exec Summary'!$E$2),1,0)</f>
        <v>0</v>
      </c>
      <c r="U3496" s="7" t="n">
        <f aca="false">IF(F3496="Reopened",1,0)</f>
        <v>0</v>
      </c>
      <c r="V3496" s="7" t="n">
        <f aca="false">IF(AND(R3496=1,O3496&gt;Q3496),1,0)</f>
        <v>0</v>
      </c>
      <c r="W3496" s="7" t="n">
        <f aca="false">IF(AND(T3496=1,P3496&lt;&gt;"",P3496&lt;=Q3496),1,0)</f>
        <v>0</v>
      </c>
    </row>
    <row r="3497" customFormat="false" ht="15" hidden="false" customHeight="false" outlineLevel="0" collapsed="false">
      <c r="A3497" s="7" t="s">
        <v>4103</v>
      </c>
      <c r="B3497" s="7" t="s">
        <v>46</v>
      </c>
      <c r="C3497" s="7" t="s">
        <v>158</v>
      </c>
      <c r="D3497" s="7" t="s">
        <v>145</v>
      </c>
      <c r="E3497" s="7" t="s">
        <v>146</v>
      </c>
      <c r="F3497" s="7" t="s">
        <v>50</v>
      </c>
      <c r="G3497" s="7" t="s">
        <v>19</v>
      </c>
      <c r="H3497" s="9" t="n">
        <v>45974</v>
      </c>
      <c r="I3497" s="9" t="n">
        <v>45981</v>
      </c>
      <c r="J3497" s="7" t="n">
        <v>9.8</v>
      </c>
      <c r="K3497" s="7" t="s">
        <v>3856</v>
      </c>
      <c r="L3497" s="7" t="s">
        <v>19</v>
      </c>
      <c r="M3497" s="7" t="s">
        <v>4107</v>
      </c>
      <c r="N3497" s="7" t="s">
        <v>58</v>
      </c>
      <c r="O3497" s="10" t="n">
        <f aca="false">'Exec Summary'!$E$2-H3497</f>
        <v>260</v>
      </c>
      <c r="P3497" s="10" t="n">
        <f aca="false">IF(I3497="","",I3497-H3497)</f>
        <v>7</v>
      </c>
      <c r="Q3497" s="10" t="n">
        <f aca="false">VLOOKUP(G3497,$AA$2:$AB$5,2,FALSE())</f>
        <v>15</v>
      </c>
      <c r="R3497" s="7" t="n">
        <f aca="false">IF(OR(F3497="Open",F3497="Reopened"),1,0)</f>
        <v>0</v>
      </c>
      <c r="S3497" s="7" t="n">
        <f aca="false">IF(AND(H3497&gt;='Exec Summary'!$E$1,H3497&lt;='Exec Summary'!$E$2),1,0)</f>
        <v>0</v>
      </c>
      <c r="T3497" s="7" t="n">
        <f aca="false">IF(AND(F3497="Closed",I3497&lt;&gt;"",I3497&gt;='Exec Summary'!$E$1,I3497&lt;='Exec Summary'!$E$2),1,0)</f>
        <v>0</v>
      </c>
      <c r="U3497" s="7" t="n">
        <f aca="false">IF(F3497="Reopened",1,0)</f>
        <v>0</v>
      </c>
      <c r="V3497" s="7" t="n">
        <f aca="false">IF(AND(R3497=1,O3497&gt;Q3497),1,0)</f>
        <v>0</v>
      </c>
      <c r="W3497" s="7" t="n">
        <f aca="false">IF(AND(T3497=1,P3497&lt;&gt;"",P3497&lt;=Q3497),1,0)</f>
        <v>0</v>
      </c>
    </row>
    <row r="3498" customFormat="false" ht="15" hidden="false" customHeight="false" outlineLevel="0" collapsed="false">
      <c r="A3498" s="7" t="s">
        <v>4103</v>
      </c>
      <c r="B3498" s="7" t="s">
        <v>46</v>
      </c>
      <c r="C3498" s="7" t="s">
        <v>158</v>
      </c>
      <c r="D3498" s="7" t="s">
        <v>173</v>
      </c>
      <c r="E3498" s="7" t="s">
        <v>174</v>
      </c>
      <c r="F3498" s="7" t="s">
        <v>50</v>
      </c>
      <c r="G3498" s="7" t="s">
        <v>19</v>
      </c>
      <c r="H3498" s="9" t="n">
        <v>46047</v>
      </c>
      <c r="I3498" s="9" t="n">
        <v>46062</v>
      </c>
      <c r="J3498" s="7" t="n">
        <v>9.8</v>
      </c>
      <c r="K3498" s="7" t="s">
        <v>3856</v>
      </c>
      <c r="L3498" s="7" t="s">
        <v>19</v>
      </c>
      <c r="M3498" s="7" t="s">
        <v>4108</v>
      </c>
      <c r="N3498" s="7" t="s">
        <v>58</v>
      </c>
      <c r="O3498" s="10" t="n">
        <f aca="false">'Exec Summary'!$E$2-H3498</f>
        <v>187</v>
      </c>
      <c r="P3498" s="10" t="n">
        <f aca="false">IF(I3498="","",I3498-H3498)</f>
        <v>15</v>
      </c>
      <c r="Q3498" s="10" t="n">
        <f aca="false">VLOOKUP(G3498,$AA$2:$AB$5,2,FALSE())</f>
        <v>15</v>
      </c>
      <c r="R3498" s="7" t="n">
        <f aca="false">IF(OR(F3498="Open",F3498="Reopened"),1,0)</f>
        <v>0</v>
      </c>
      <c r="S3498" s="7" t="n">
        <f aca="false">IF(AND(H3498&gt;='Exec Summary'!$E$1,H3498&lt;='Exec Summary'!$E$2),1,0)</f>
        <v>0</v>
      </c>
      <c r="T3498" s="7" t="n">
        <f aca="false">IF(AND(F3498="Closed",I3498&lt;&gt;"",I3498&gt;='Exec Summary'!$E$1,I3498&lt;='Exec Summary'!$E$2),1,0)</f>
        <v>0</v>
      </c>
      <c r="U3498" s="7" t="n">
        <f aca="false">IF(F3498="Reopened",1,0)</f>
        <v>0</v>
      </c>
      <c r="V3498" s="7" t="n">
        <f aca="false">IF(AND(R3498=1,O3498&gt;Q3498),1,0)</f>
        <v>0</v>
      </c>
      <c r="W3498" s="7" t="n">
        <f aca="false">IF(AND(T3498=1,P3498&lt;&gt;"",P3498&lt;=Q3498),1,0)</f>
        <v>0</v>
      </c>
    </row>
    <row r="3499" customFormat="false" ht="15" hidden="false" customHeight="false" outlineLevel="0" collapsed="false">
      <c r="A3499" s="7" t="s">
        <v>4103</v>
      </c>
      <c r="B3499" s="7" t="s">
        <v>46</v>
      </c>
      <c r="C3499" s="7" t="s">
        <v>158</v>
      </c>
      <c r="D3499" s="7" t="s">
        <v>104</v>
      </c>
      <c r="E3499" s="7" t="s">
        <v>105</v>
      </c>
      <c r="F3499" s="7" t="s">
        <v>56</v>
      </c>
      <c r="G3499" s="7" t="s">
        <v>19</v>
      </c>
      <c r="H3499" s="9" t="n">
        <v>46033</v>
      </c>
      <c r="I3499" s="9"/>
      <c r="J3499" s="7" t="n">
        <v>9.8</v>
      </c>
      <c r="K3499" s="7" t="s">
        <v>3856</v>
      </c>
      <c r="L3499" s="7" t="s">
        <v>19</v>
      </c>
      <c r="M3499" s="7" t="s">
        <v>4109</v>
      </c>
      <c r="N3499" s="7" t="s">
        <v>58</v>
      </c>
      <c r="O3499" s="10" t="n">
        <f aca="false">'Exec Summary'!$E$2-H3499</f>
        <v>201</v>
      </c>
      <c r="P3499" s="10" t="str">
        <f aca="false">IF(I3499="","",I3499-H3499)</f>
        <v/>
      </c>
      <c r="Q3499" s="10" t="n">
        <f aca="false">VLOOKUP(G3499,$AA$2:$AB$5,2,FALSE())</f>
        <v>15</v>
      </c>
      <c r="R3499" s="7" t="n">
        <f aca="false">IF(OR(F3499="Open",F3499="Reopened"),1,0)</f>
        <v>1</v>
      </c>
      <c r="S3499" s="7" t="n">
        <f aca="false">IF(AND(H3499&gt;='Exec Summary'!$E$1,H3499&lt;='Exec Summary'!$E$2),1,0)</f>
        <v>0</v>
      </c>
      <c r="T3499" s="7" t="n">
        <f aca="false">IF(AND(F3499="Closed",I3499&lt;&gt;"",I3499&gt;='Exec Summary'!$E$1,I3499&lt;='Exec Summary'!$E$2),1,0)</f>
        <v>0</v>
      </c>
      <c r="U3499" s="7" t="n">
        <f aca="false">IF(F3499="Reopened",1,0)</f>
        <v>0</v>
      </c>
      <c r="V3499" s="7" t="n">
        <f aca="false">IF(AND(R3499=1,O3499&gt;Q3499),1,0)</f>
        <v>1</v>
      </c>
      <c r="W3499" s="7" t="n">
        <f aca="false">IF(AND(T3499=1,P3499&lt;&gt;"",P3499&lt;=Q3499),1,0)</f>
        <v>0</v>
      </c>
    </row>
    <row r="3500" customFormat="false" ht="15" hidden="false" customHeight="false" outlineLevel="0" collapsed="false">
      <c r="A3500" s="7" t="s">
        <v>4110</v>
      </c>
      <c r="B3500" s="7" t="s">
        <v>46</v>
      </c>
      <c r="C3500" s="7" t="s">
        <v>128</v>
      </c>
      <c r="D3500" s="7" t="s">
        <v>65</v>
      </c>
      <c r="E3500" s="7" t="s">
        <v>66</v>
      </c>
      <c r="F3500" s="7" t="s">
        <v>50</v>
      </c>
      <c r="G3500" s="7" t="s">
        <v>19</v>
      </c>
      <c r="H3500" s="9" t="n">
        <v>45972</v>
      </c>
      <c r="I3500" s="9" t="n">
        <v>45990</v>
      </c>
      <c r="J3500" s="7" t="n">
        <v>9.8</v>
      </c>
      <c r="K3500" s="7" t="s">
        <v>3856</v>
      </c>
      <c r="L3500" s="7" t="s">
        <v>19</v>
      </c>
      <c r="M3500" s="7" t="s">
        <v>4111</v>
      </c>
      <c r="N3500" s="7" t="s">
        <v>58</v>
      </c>
      <c r="O3500" s="10" t="n">
        <f aca="false">'Exec Summary'!$E$2-H3500</f>
        <v>262</v>
      </c>
      <c r="P3500" s="10" t="n">
        <f aca="false">IF(I3500="","",I3500-H3500)</f>
        <v>18</v>
      </c>
      <c r="Q3500" s="10" t="n">
        <f aca="false">VLOOKUP(G3500,$AA$2:$AB$5,2,FALSE())</f>
        <v>15</v>
      </c>
      <c r="R3500" s="7" t="n">
        <f aca="false">IF(OR(F3500="Open",F3500="Reopened"),1,0)</f>
        <v>0</v>
      </c>
      <c r="S3500" s="7" t="n">
        <f aca="false">IF(AND(H3500&gt;='Exec Summary'!$E$1,H3500&lt;='Exec Summary'!$E$2),1,0)</f>
        <v>0</v>
      </c>
      <c r="T3500" s="7" t="n">
        <f aca="false">IF(AND(F3500="Closed",I3500&lt;&gt;"",I3500&gt;='Exec Summary'!$E$1,I3500&lt;='Exec Summary'!$E$2),1,0)</f>
        <v>0</v>
      </c>
      <c r="U3500" s="7" t="n">
        <f aca="false">IF(F3500="Reopened",1,0)</f>
        <v>0</v>
      </c>
      <c r="V3500" s="7" t="n">
        <f aca="false">IF(AND(R3500=1,O3500&gt;Q3500),1,0)</f>
        <v>0</v>
      </c>
      <c r="W3500" s="7" t="n">
        <f aca="false">IF(AND(T3500=1,P3500&lt;&gt;"",P3500&lt;=Q3500),1,0)</f>
        <v>0</v>
      </c>
    </row>
    <row r="3501" customFormat="false" ht="15" hidden="false" customHeight="false" outlineLevel="0" collapsed="false">
      <c r="A3501" s="7" t="s">
        <v>4110</v>
      </c>
      <c r="B3501" s="7" t="s">
        <v>46</v>
      </c>
      <c r="C3501" s="7" t="s">
        <v>128</v>
      </c>
      <c r="D3501" s="7" t="s">
        <v>68</v>
      </c>
      <c r="E3501" s="7" t="s">
        <v>69</v>
      </c>
      <c r="F3501" s="7" t="s">
        <v>56</v>
      </c>
      <c r="G3501" s="7" t="s">
        <v>19</v>
      </c>
      <c r="H3501" s="9" t="n">
        <v>46171</v>
      </c>
      <c r="I3501" s="9"/>
      <c r="J3501" s="7" t="n">
        <v>9.8</v>
      </c>
      <c r="K3501" s="7" t="s">
        <v>3856</v>
      </c>
      <c r="L3501" s="7" t="s">
        <v>19</v>
      </c>
      <c r="M3501" s="7" t="s">
        <v>4112</v>
      </c>
      <c r="N3501" s="7" t="s">
        <v>58</v>
      </c>
      <c r="O3501" s="10" t="n">
        <f aca="false">'Exec Summary'!$E$2-H3501</f>
        <v>63</v>
      </c>
      <c r="P3501" s="10" t="str">
        <f aca="false">IF(I3501="","",I3501-H3501)</f>
        <v/>
      </c>
      <c r="Q3501" s="10" t="n">
        <f aca="false">VLOOKUP(G3501,$AA$2:$AB$5,2,FALSE())</f>
        <v>15</v>
      </c>
      <c r="R3501" s="7" t="n">
        <f aca="false">IF(OR(F3501="Open",F3501="Reopened"),1,0)</f>
        <v>1</v>
      </c>
      <c r="S3501" s="7" t="n">
        <f aca="false">IF(AND(H3501&gt;='Exec Summary'!$E$1,H3501&lt;='Exec Summary'!$E$2),1,0)</f>
        <v>0</v>
      </c>
      <c r="T3501" s="7" t="n">
        <f aca="false">IF(AND(F3501="Closed",I3501&lt;&gt;"",I3501&gt;='Exec Summary'!$E$1,I3501&lt;='Exec Summary'!$E$2),1,0)</f>
        <v>0</v>
      </c>
      <c r="U3501" s="7" t="n">
        <f aca="false">IF(F3501="Reopened",1,0)</f>
        <v>0</v>
      </c>
      <c r="V3501" s="7" t="n">
        <f aca="false">IF(AND(R3501=1,O3501&gt;Q3501),1,0)</f>
        <v>1</v>
      </c>
      <c r="W3501" s="7" t="n">
        <f aca="false">IF(AND(T3501=1,P3501&lt;&gt;"",P3501&lt;=Q3501),1,0)</f>
        <v>0</v>
      </c>
    </row>
    <row r="3502" customFormat="false" ht="15" hidden="false" customHeight="false" outlineLevel="0" collapsed="false">
      <c r="A3502" s="7" t="s">
        <v>4110</v>
      </c>
      <c r="B3502" s="7" t="s">
        <v>46</v>
      </c>
      <c r="C3502" s="7" t="s">
        <v>128</v>
      </c>
      <c r="D3502" s="7" t="s">
        <v>152</v>
      </c>
      <c r="E3502" s="7" t="s">
        <v>153</v>
      </c>
      <c r="F3502" s="7" t="s">
        <v>56</v>
      </c>
      <c r="G3502" s="7" t="s">
        <v>20</v>
      </c>
      <c r="H3502" s="9" t="n">
        <v>46223</v>
      </c>
      <c r="I3502" s="9"/>
      <c r="J3502" s="7" t="n">
        <v>7.5</v>
      </c>
      <c r="K3502" s="7" t="s">
        <v>3856</v>
      </c>
      <c r="L3502" s="7" t="s">
        <v>19</v>
      </c>
      <c r="M3502" s="7" t="s">
        <v>4113</v>
      </c>
      <c r="N3502" s="7" t="s">
        <v>53</v>
      </c>
      <c r="O3502" s="10" t="n">
        <f aca="false">'Exec Summary'!$E$2-H3502</f>
        <v>11</v>
      </c>
      <c r="P3502" s="10" t="str">
        <f aca="false">IF(I3502="","",I3502-H3502)</f>
        <v/>
      </c>
      <c r="Q3502" s="10" t="n">
        <f aca="false">VLOOKUP(G3502,$AA$2:$AB$5,2,FALSE())</f>
        <v>30</v>
      </c>
      <c r="R3502" s="7" t="n">
        <f aca="false">IF(OR(F3502="Open",F3502="Reopened"),1,0)</f>
        <v>1</v>
      </c>
      <c r="S3502" s="7" t="n">
        <f aca="false">IF(AND(H3502&gt;='Exec Summary'!$E$1,H3502&lt;='Exec Summary'!$E$2),1,0)</f>
        <v>1</v>
      </c>
      <c r="T3502" s="7" t="n">
        <f aca="false">IF(AND(F3502="Closed",I3502&lt;&gt;"",I3502&gt;='Exec Summary'!$E$1,I3502&lt;='Exec Summary'!$E$2),1,0)</f>
        <v>0</v>
      </c>
      <c r="U3502" s="7" t="n">
        <f aca="false">IF(F3502="Reopened",1,0)</f>
        <v>0</v>
      </c>
      <c r="V3502" s="7" t="n">
        <f aca="false">IF(AND(R3502=1,O3502&gt;Q3502),1,0)</f>
        <v>0</v>
      </c>
      <c r="W3502" s="7" t="n">
        <f aca="false">IF(AND(T3502=1,P3502&lt;&gt;"",P3502&lt;=Q3502),1,0)</f>
        <v>0</v>
      </c>
    </row>
    <row r="3503" customFormat="false" ht="15" hidden="false" customHeight="false" outlineLevel="0" collapsed="false">
      <c r="A3503" s="7" t="s">
        <v>4114</v>
      </c>
      <c r="B3503" s="7" t="s">
        <v>135</v>
      </c>
      <c r="C3503" s="7" t="s">
        <v>247</v>
      </c>
      <c r="D3503" s="7" t="s">
        <v>104</v>
      </c>
      <c r="E3503" s="7" t="s">
        <v>105</v>
      </c>
      <c r="F3503" s="7" t="s">
        <v>50</v>
      </c>
      <c r="G3503" s="7" t="s">
        <v>19</v>
      </c>
      <c r="H3503" s="9" t="n">
        <v>45971</v>
      </c>
      <c r="I3503" s="9" t="n">
        <v>45980</v>
      </c>
      <c r="J3503" s="7" t="n">
        <v>9.8</v>
      </c>
      <c r="K3503" s="7" t="s">
        <v>3856</v>
      </c>
      <c r="L3503" s="7" t="s">
        <v>19</v>
      </c>
      <c r="M3503" s="7" t="s">
        <v>4115</v>
      </c>
      <c r="N3503" s="7" t="s">
        <v>58</v>
      </c>
      <c r="O3503" s="10" t="n">
        <f aca="false">'Exec Summary'!$E$2-H3503</f>
        <v>263</v>
      </c>
      <c r="P3503" s="10" t="n">
        <f aca="false">IF(I3503="","",I3503-H3503)</f>
        <v>9</v>
      </c>
      <c r="Q3503" s="10" t="n">
        <f aca="false">VLOOKUP(G3503,$AA$2:$AB$5,2,FALSE())</f>
        <v>15</v>
      </c>
      <c r="R3503" s="7" t="n">
        <f aca="false">IF(OR(F3503="Open",F3503="Reopened"),1,0)</f>
        <v>0</v>
      </c>
      <c r="S3503" s="7" t="n">
        <f aca="false">IF(AND(H3503&gt;='Exec Summary'!$E$1,H3503&lt;='Exec Summary'!$E$2),1,0)</f>
        <v>0</v>
      </c>
      <c r="T3503" s="7" t="n">
        <f aca="false">IF(AND(F3503="Closed",I3503&lt;&gt;"",I3503&gt;='Exec Summary'!$E$1,I3503&lt;='Exec Summary'!$E$2),1,0)</f>
        <v>0</v>
      </c>
      <c r="U3503" s="7" t="n">
        <f aca="false">IF(F3503="Reopened",1,0)</f>
        <v>0</v>
      </c>
      <c r="V3503" s="7" t="n">
        <f aca="false">IF(AND(R3503=1,O3503&gt;Q3503),1,0)</f>
        <v>0</v>
      </c>
      <c r="W3503" s="7" t="n">
        <f aca="false">IF(AND(T3503=1,P3503&lt;&gt;"",P3503&lt;=Q3503),1,0)</f>
        <v>0</v>
      </c>
    </row>
    <row r="3504" customFormat="false" ht="15" hidden="false" customHeight="false" outlineLevel="0" collapsed="false">
      <c r="A3504" s="7" t="s">
        <v>4114</v>
      </c>
      <c r="B3504" s="7" t="s">
        <v>135</v>
      </c>
      <c r="C3504" s="7" t="s">
        <v>247</v>
      </c>
      <c r="D3504" s="7" t="s">
        <v>87</v>
      </c>
      <c r="E3504" s="7" t="s">
        <v>88</v>
      </c>
      <c r="F3504" s="7" t="s">
        <v>56</v>
      </c>
      <c r="G3504" s="7" t="s">
        <v>19</v>
      </c>
      <c r="H3504" s="9" t="n">
        <v>45980</v>
      </c>
      <c r="I3504" s="9"/>
      <c r="J3504" s="7" t="n">
        <v>10</v>
      </c>
      <c r="K3504" s="7" t="s">
        <v>3856</v>
      </c>
      <c r="L3504" s="7" t="s">
        <v>19</v>
      </c>
      <c r="M3504" s="7" t="s">
        <v>4116</v>
      </c>
      <c r="N3504" s="7" t="s">
        <v>58</v>
      </c>
      <c r="O3504" s="10" t="n">
        <f aca="false">'Exec Summary'!$E$2-H3504</f>
        <v>254</v>
      </c>
      <c r="P3504" s="10" t="str">
        <f aca="false">IF(I3504="","",I3504-H3504)</f>
        <v/>
      </c>
      <c r="Q3504" s="10" t="n">
        <f aca="false">VLOOKUP(G3504,$AA$2:$AB$5,2,FALSE())</f>
        <v>15</v>
      </c>
      <c r="R3504" s="7" t="n">
        <f aca="false">IF(OR(F3504="Open",F3504="Reopened"),1,0)</f>
        <v>1</v>
      </c>
      <c r="S3504" s="7" t="n">
        <f aca="false">IF(AND(H3504&gt;='Exec Summary'!$E$1,H3504&lt;='Exec Summary'!$E$2),1,0)</f>
        <v>0</v>
      </c>
      <c r="T3504" s="7" t="n">
        <f aca="false">IF(AND(F3504="Closed",I3504&lt;&gt;"",I3504&gt;='Exec Summary'!$E$1,I3504&lt;='Exec Summary'!$E$2),1,0)</f>
        <v>0</v>
      </c>
      <c r="U3504" s="7" t="n">
        <f aca="false">IF(F3504="Reopened",1,0)</f>
        <v>0</v>
      </c>
      <c r="V3504" s="7" t="n">
        <f aca="false">IF(AND(R3504=1,O3504&gt;Q3504),1,0)</f>
        <v>1</v>
      </c>
      <c r="W3504" s="7" t="n">
        <f aca="false">IF(AND(T3504=1,P3504&lt;&gt;"",P3504&lt;=Q3504),1,0)</f>
        <v>0</v>
      </c>
    </row>
    <row r="3505" customFormat="false" ht="15" hidden="false" customHeight="false" outlineLevel="0" collapsed="false">
      <c r="A3505" s="7" t="s">
        <v>4114</v>
      </c>
      <c r="B3505" s="7" t="s">
        <v>135</v>
      </c>
      <c r="C3505" s="7" t="s">
        <v>247</v>
      </c>
      <c r="D3505" s="7" t="s">
        <v>120</v>
      </c>
      <c r="E3505" s="7" t="s">
        <v>121</v>
      </c>
      <c r="F3505" s="7" t="s">
        <v>50</v>
      </c>
      <c r="G3505" s="7" t="s">
        <v>19</v>
      </c>
      <c r="H3505" s="9" t="n">
        <v>46130</v>
      </c>
      <c r="I3505" s="9" t="n">
        <v>46141</v>
      </c>
      <c r="J3505" s="7" t="n">
        <v>8.8</v>
      </c>
      <c r="K3505" s="7" t="s">
        <v>3856</v>
      </c>
      <c r="L3505" s="7" t="s">
        <v>19</v>
      </c>
      <c r="M3505" s="7" t="s">
        <v>4117</v>
      </c>
      <c r="N3505" s="7" t="s">
        <v>58</v>
      </c>
      <c r="O3505" s="10" t="n">
        <f aca="false">'Exec Summary'!$E$2-H3505</f>
        <v>104</v>
      </c>
      <c r="P3505" s="10" t="n">
        <f aca="false">IF(I3505="","",I3505-H3505)</f>
        <v>11</v>
      </c>
      <c r="Q3505" s="10" t="n">
        <f aca="false">VLOOKUP(G3505,$AA$2:$AB$5,2,FALSE())</f>
        <v>15</v>
      </c>
      <c r="R3505" s="7" t="n">
        <f aca="false">IF(OR(F3505="Open",F3505="Reopened"),1,0)</f>
        <v>0</v>
      </c>
      <c r="S3505" s="7" t="n">
        <f aca="false">IF(AND(H3505&gt;='Exec Summary'!$E$1,H3505&lt;='Exec Summary'!$E$2),1,0)</f>
        <v>0</v>
      </c>
      <c r="T3505" s="7" t="n">
        <f aca="false">IF(AND(F3505="Closed",I3505&lt;&gt;"",I3505&gt;='Exec Summary'!$E$1,I3505&lt;='Exec Summary'!$E$2),1,0)</f>
        <v>0</v>
      </c>
      <c r="U3505" s="7" t="n">
        <f aca="false">IF(F3505="Reopened",1,0)</f>
        <v>0</v>
      </c>
      <c r="V3505" s="7" t="n">
        <f aca="false">IF(AND(R3505=1,O3505&gt;Q3505),1,0)</f>
        <v>0</v>
      </c>
      <c r="W3505" s="7" t="n">
        <f aca="false">IF(AND(T3505=1,P3505&lt;&gt;"",P3505&lt;=Q3505),1,0)</f>
        <v>0</v>
      </c>
    </row>
    <row r="3506" customFormat="false" ht="15" hidden="false" customHeight="false" outlineLevel="0" collapsed="false">
      <c r="A3506" s="7" t="s">
        <v>4114</v>
      </c>
      <c r="B3506" s="7" t="s">
        <v>135</v>
      </c>
      <c r="C3506" s="7" t="s">
        <v>247</v>
      </c>
      <c r="D3506" s="7" t="s">
        <v>95</v>
      </c>
      <c r="E3506" s="7" t="s">
        <v>96</v>
      </c>
      <c r="F3506" s="7" t="s">
        <v>56</v>
      </c>
      <c r="G3506" s="7" t="s">
        <v>20</v>
      </c>
      <c r="H3506" s="9" t="n">
        <v>46164</v>
      </c>
      <c r="I3506" s="9"/>
      <c r="J3506" s="7" t="n">
        <v>8.8</v>
      </c>
      <c r="K3506" s="7" t="s">
        <v>3856</v>
      </c>
      <c r="L3506" s="7" t="s">
        <v>19</v>
      </c>
      <c r="M3506" s="7" t="s">
        <v>4118</v>
      </c>
      <c r="N3506" s="7" t="s">
        <v>53</v>
      </c>
      <c r="O3506" s="10" t="n">
        <f aca="false">'Exec Summary'!$E$2-H3506</f>
        <v>70</v>
      </c>
      <c r="P3506" s="10" t="str">
        <f aca="false">IF(I3506="","",I3506-H3506)</f>
        <v/>
      </c>
      <c r="Q3506" s="10" t="n">
        <f aca="false">VLOOKUP(G3506,$AA$2:$AB$5,2,FALSE())</f>
        <v>30</v>
      </c>
      <c r="R3506" s="7" t="n">
        <f aca="false">IF(OR(F3506="Open",F3506="Reopened"),1,0)</f>
        <v>1</v>
      </c>
      <c r="S3506" s="7" t="n">
        <f aca="false">IF(AND(H3506&gt;='Exec Summary'!$E$1,H3506&lt;='Exec Summary'!$E$2),1,0)</f>
        <v>0</v>
      </c>
      <c r="T3506" s="7" t="n">
        <f aca="false">IF(AND(F3506="Closed",I3506&lt;&gt;"",I3506&gt;='Exec Summary'!$E$1,I3506&lt;='Exec Summary'!$E$2),1,0)</f>
        <v>0</v>
      </c>
      <c r="U3506" s="7" t="n">
        <f aca="false">IF(F3506="Reopened",1,0)</f>
        <v>0</v>
      </c>
      <c r="V3506" s="7" t="n">
        <f aca="false">IF(AND(R3506=1,O3506&gt;Q3506),1,0)</f>
        <v>1</v>
      </c>
      <c r="W3506" s="7" t="n">
        <f aca="false">IF(AND(T3506=1,P3506&lt;&gt;"",P3506&lt;=Q3506),1,0)</f>
        <v>0</v>
      </c>
    </row>
    <row r="3507" customFormat="false" ht="15" hidden="false" customHeight="false" outlineLevel="0" collapsed="false">
      <c r="A3507" s="7" t="s">
        <v>4114</v>
      </c>
      <c r="B3507" s="7" t="s">
        <v>135</v>
      </c>
      <c r="C3507" s="7" t="s">
        <v>247</v>
      </c>
      <c r="D3507" s="7" t="s">
        <v>71</v>
      </c>
      <c r="E3507" s="7" t="s">
        <v>72</v>
      </c>
      <c r="F3507" s="7" t="s">
        <v>56</v>
      </c>
      <c r="G3507" s="7" t="s">
        <v>19</v>
      </c>
      <c r="H3507" s="9" t="n">
        <v>46098</v>
      </c>
      <c r="I3507" s="9"/>
      <c r="J3507" s="7" t="n">
        <v>9.8</v>
      </c>
      <c r="K3507" s="7" t="s">
        <v>3856</v>
      </c>
      <c r="L3507" s="7" t="s">
        <v>19</v>
      </c>
      <c r="M3507" s="7" t="s">
        <v>4119</v>
      </c>
      <c r="N3507" s="7" t="s">
        <v>58</v>
      </c>
      <c r="O3507" s="10" t="n">
        <f aca="false">'Exec Summary'!$E$2-H3507</f>
        <v>136</v>
      </c>
      <c r="P3507" s="10" t="str">
        <f aca="false">IF(I3507="","",I3507-H3507)</f>
        <v/>
      </c>
      <c r="Q3507" s="10" t="n">
        <f aca="false">VLOOKUP(G3507,$AA$2:$AB$5,2,FALSE())</f>
        <v>15</v>
      </c>
      <c r="R3507" s="7" t="n">
        <f aca="false">IF(OR(F3507="Open",F3507="Reopened"),1,0)</f>
        <v>1</v>
      </c>
      <c r="S3507" s="7" t="n">
        <f aca="false">IF(AND(H3507&gt;='Exec Summary'!$E$1,H3507&lt;='Exec Summary'!$E$2),1,0)</f>
        <v>0</v>
      </c>
      <c r="T3507" s="7" t="n">
        <f aca="false">IF(AND(F3507="Closed",I3507&lt;&gt;"",I3507&gt;='Exec Summary'!$E$1,I3507&lt;='Exec Summary'!$E$2),1,0)</f>
        <v>0</v>
      </c>
      <c r="U3507" s="7" t="n">
        <f aca="false">IF(F3507="Reopened",1,0)</f>
        <v>0</v>
      </c>
      <c r="V3507" s="7" t="n">
        <f aca="false">IF(AND(R3507=1,O3507&gt;Q3507),1,0)</f>
        <v>1</v>
      </c>
      <c r="W3507" s="7" t="n">
        <f aca="false">IF(AND(T3507=1,P3507&lt;&gt;"",P3507&lt;=Q3507),1,0)</f>
        <v>0</v>
      </c>
    </row>
    <row r="3508" customFormat="false" ht="15" hidden="false" customHeight="false" outlineLevel="0" collapsed="false">
      <c r="A3508" s="7" t="s">
        <v>4114</v>
      </c>
      <c r="B3508" s="7" t="s">
        <v>135</v>
      </c>
      <c r="C3508" s="7" t="s">
        <v>247</v>
      </c>
      <c r="D3508" s="7" t="s">
        <v>192</v>
      </c>
      <c r="E3508" s="7" t="s">
        <v>193</v>
      </c>
      <c r="F3508" s="7" t="s">
        <v>56</v>
      </c>
      <c r="G3508" s="7" t="s">
        <v>19</v>
      </c>
      <c r="H3508" s="9" t="n">
        <v>46011</v>
      </c>
      <c r="I3508" s="9"/>
      <c r="J3508" s="7" t="n">
        <v>9.8</v>
      </c>
      <c r="K3508" s="7" t="s">
        <v>3856</v>
      </c>
      <c r="L3508" s="7" t="s">
        <v>19</v>
      </c>
      <c r="M3508" s="7" t="s">
        <v>4120</v>
      </c>
      <c r="N3508" s="7" t="s">
        <v>58</v>
      </c>
      <c r="O3508" s="10" t="n">
        <f aca="false">'Exec Summary'!$E$2-H3508</f>
        <v>223</v>
      </c>
      <c r="P3508" s="10" t="str">
        <f aca="false">IF(I3508="","",I3508-H3508)</f>
        <v/>
      </c>
      <c r="Q3508" s="10" t="n">
        <f aca="false">VLOOKUP(G3508,$AA$2:$AB$5,2,FALSE())</f>
        <v>15</v>
      </c>
      <c r="R3508" s="7" t="n">
        <f aca="false">IF(OR(F3508="Open",F3508="Reopened"),1,0)</f>
        <v>1</v>
      </c>
      <c r="S3508" s="7" t="n">
        <f aca="false">IF(AND(H3508&gt;='Exec Summary'!$E$1,H3508&lt;='Exec Summary'!$E$2),1,0)</f>
        <v>0</v>
      </c>
      <c r="T3508" s="7" t="n">
        <f aca="false">IF(AND(F3508="Closed",I3508&lt;&gt;"",I3508&gt;='Exec Summary'!$E$1,I3508&lt;='Exec Summary'!$E$2),1,0)</f>
        <v>0</v>
      </c>
      <c r="U3508" s="7" t="n">
        <f aca="false">IF(F3508="Reopened",1,0)</f>
        <v>0</v>
      </c>
      <c r="V3508" s="7" t="n">
        <f aca="false">IF(AND(R3508=1,O3508&gt;Q3508),1,0)</f>
        <v>1</v>
      </c>
      <c r="W3508" s="7" t="n">
        <f aca="false">IF(AND(T3508=1,P3508&lt;&gt;"",P3508&lt;=Q3508),1,0)</f>
        <v>0</v>
      </c>
    </row>
    <row r="3509" customFormat="false" ht="15" hidden="false" customHeight="false" outlineLevel="0" collapsed="false">
      <c r="A3509" s="7" t="s">
        <v>4114</v>
      </c>
      <c r="B3509" s="7" t="s">
        <v>135</v>
      </c>
      <c r="C3509" s="7" t="s">
        <v>247</v>
      </c>
      <c r="D3509" s="7" t="s">
        <v>166</v>
      </c>
      <c r="E3509" s="7" t="s">
        <v>167</v>
      </c>
      <c r="F3509" s="7" t="s">
        <v>56</v>
      </c>
      <c r="G3509" s="7" t="s">
        <v>19</v>
      </c>
      <c r="H3509" s="9" t="n">
        <v>45986</v>
      </c>
      <c r="I3509" s="9"/>
      <c r="J3509" s="7" t="n">
        <v>9.8</v>
      </c>
      <c r="K3509" s="7" t="s">
        <v>3856</v>
      </c>
      <c r="L3509" s="7" t="s">
        <v>19</v>
      </c>
      <c r="M3509" s="7" t="s">
        <v>4121</v>
      </c>
      <c r="N3509" s="7" t="s">
        <v>58</v>
      </c>
      <c r="O3509" s="10" t="n">
        <f aca="false">'Exec Summary'!$E$2-H3509</f>
        <v>248</v>
      </c>
      <c r="P3509" s="10" t="str">
        <f aca="false">IF(I3509="","",I3509-H3509)</f>
        <v/>
      </c>
      <c r="Q3509" s="10" t="n">
        <f aca="false">VLOOKUP(G3509,$AA$2:$AB$5,2,FALSE())</f>
        <v>15</v>
      </c>
      <c r="R3509" s="7" t="n">
        <f aca="false">IF(OR(F3509="Open",F3509="Reopened"),1,0)</f>
        <v>1</v>
      </c>
      <c r="S3509" s="7" t="n">
        <f aca="false">IF(AND(H3509&gt;='Exec Summary'!$E$1,H3509&lt;='Exec Summary'!$E$2),1,0)</f>
        <v>0</v>
      </c>
      <c r="T3509" s="7" t="n">
        <f aca="false">IF(AND(F3509="Closed",I3509&lt;&gt;"",I3509&gt;='Exec Summary'!$E$1,I3509&lt;='Exec Summary'!$E$2),1,0)</f>
        <v>0</v>
      </c>
      <c r="U3509" s="7" t="n">
        <f aca="false">IF(F3509="Reopened",1,0)</f>
        <v>0</v>
      </c>
      <c r="V3509" s="7" t="n">
        <f aca="false">IF(AND(R3509=1,O3509&gt;Q3509),1,0)</f>
        <v>1</v>
      </c>
      <c r="W3509" s="7" t="n">
        <f aca="false">IF(AND(T3509=1,P3509&lt;&gt;"",P3509&lt;=Q3509),1,0)</f>
        <v>0</v>
      </c>
    </row>
    <row r="3510" customFormat="false" ht="15" hidden="false" customHeight="false" outlineLevel="0" collapsed="false">
      <c r="A3510" s="7" t="s">
        <v>4114</v>
      </c>
      <c r="B3510" s="7" t="s">
        <v>135</v>
      </c>
      <c r="C3510" s="7" t="s">
        <v>247</v>
      </c>
      <c r="D3510" s="7" t="s">
        <v>108</v>
      </c>
      <c r="E3510" s="7" t="s">
        <v>109</v>
      </c>
      <c r="F3510" s="7" t="s">
        <v>50</v>
      </c>
      <c r="G3510" s="7" t="s">
        <v>20</v>
      </c>
      <c r="H3510" s="9" t="n">
        <v>45977</v>
      </c>
      <c r="I3510" s="9" t="n">
        <v>46004</v>
      </c>
      <c r="J3510" s="7" t="n">
        <v>8.6</v>
      </c>
      <c r="K3510" s="7" t="s">
        <v>3856</v>
      </c>
      <c r="L3510" s="7" t="s">
        <v>19</v>
      </c>
      <c r="M3510" s="7" t="s">
        <v>4122</v>
      </c>
      <c r="N3510" s="7" t="s">
        <v>53</v>
      </c>
      <c r="O3510" s="10" t="n">
        <f aca="false">'Exec Summary'!$E$2-H3510</f>
        <v>257</v>
      </c>
      <c r="P3510" s="10" t="n">
        <f aca="false">IF(I3510="","",I3510-H3510)</f>
        <v>27</v>
      </c>
      <c r="Q3510" s="10" t="n">
        <f aca="false">VLOOKUP(G3510,$AA$2:$AB$5,2,FALSE())</f>
        <v>30</v>
      </c>
      <c r="R3510" s="7" t="n">
        <f aca="false">IF(OR(F3510="Open",F3510="Reopened"),1,0)</f>
        <v>0</v>
      </c>
      <c r="S3510" s="7" t="n">
        <f aca="false">IF(AND(H3510&gt;='Exec Summary'!$E$1,H3510&lt;='Exec Summary'!$E$2),1,0)</f>
        <v>0</v>
      </c>
      <c r="T3510" s="7" t="n">
        <f aca="false">IF(AND(F3510="Closed",I3510&lt;&gt;"",I3510&gt;='Exec Summary'!$E$1,I3510&lt;='Exec Summary'!$E$2),1,0)</f>
        <v>0</v>
      </c>
      <c r="U3510" s="7" t="n">
        <f aca="false">IF(F3510="Reopened",1,0)</f>
        <v>0</v>
      </c>
      <c r="V3510" s="7" t="n">
        <f aca="false">IF(AND(R3510=1,O3510&gt;Q3510),1,0)</f>
        <v>0</v>
      </c>
      <c r="W3510" s="7" t="n">
        <f aca="false">IF(AND(T3510=1,P3510&lt;&gt;"",P3510&lt;=Q3510),1,0)</f>
        <v>0</v>
      </c>
    </row>
    <row r="3511" customFormat="false" ht="15" hidden="false" customHeight="false" outlineLevel="0" collapsed="false">
      <c r="A3511" s="7" t="s">
        <v>4123</v>
      </c>
      <c r="B3511" s="7" t="s">
        <v>46</v>
      </c>
      <c r="C3511" s="7" t="s">
        <v>79</v>
      </c>
      <c r="D3511" s="7" t="s">
        <v>152</v>
      </c>
      <c r="E3511" s="7" t="s">
        <v>153</v>
      </c>
      <c r="F3511" s="7" t="s">
        <v>123</v>
      </c>
      <c r="G3511" s="7" t="s">
        <v>20</v>
      </c>
      <c r="H3511" s="9" t="n">
        <v>46105</v>
      </c>
      <c r="I3511" s="9" t="n">
        <v>46136</v>
      </c>
      <c r="J3511" s="7" t="n">
        <v>7.5</v>
      </c>
      <c r="K3511" s="7" t="s">
        <v>3856</v>
      </c>
      <c r="L3511" s="7" t="s">
        <v>19</v>
      </c>
      <c r="M3511" s="7" t="s">
        <v>4124</v>
      </c>
      <c r="N3511" s="7" t="s">
        <v>53</v>
      </c>
      <c r="O3511" s="10" t="n">
        <f aca="false">'Exec Summary'!$E$2-H3511</f>
        <v>129</v>
      </c>
      <c r="P3511" s="10" t="n">
        <f aca="false">IF(I3511="","",I3511-H3511)</f>
        <v>31</v>
      </c>
      <c r="Q3511" s="10" t="n">
        <f aca="false">VLOOKUP(G3511,$AA$2:$AB$5,2,FALSE())</f>
        <v>30</v>
      </c>
      <c r="R3511" s="7" t="n">
        <f aca="false">IF(OR(F3511="Open",F3511="Reopened"),1,0)</f>
        <v>1</v>
      </c>
      <c r="S3511" s="7" t="n">
        <f aca="false">IF(AND(H3511&gt;='Exec Summary'!$E$1,H3511&lt;='Exec Summary'!$E$2),1,0)</f>
        <v>0</v>
      </c>
      <c r="T3511" s="7" t="n">
        <f aca="false">IF(AND(F3511="Closed",I3511&lt;&gt;"",I3511&gt;='Exec Summary'!$E$1,I3511&lt;='Exec Summary'!$E$2),1,0)</f>
        <v>0</v>
      </c>
      <c r="U3511" s="7" t="n">
        <f aca="false">IF(F3511="Reopened",1,0)</f>
        <v>1</v>
      </c>
      <c r="V3511" s="7" t="n">
        <f aca="false">IF(AND(R3511=1,O3511&gt;Q3511),1,0)</f>
        <v>1</v>
      </c>
      <c r="W3511" s="7" t="n">
        <f aca="false">IF(AND(T3511=1,P3511&lt;&gt;"",P3511&lt;=Q3511),1,0)</f>
        <v>0</v>
      </c>
    </row>
    <row r="3512" customFormat="false" ht="15" hidden="false" customHeight="false" outlineLevel="0" collapsed="false">
      <c r="A3512" s="7" t="s">
        <v>4123</v>
      </c>
      <c r="B3512" s="7" t="s">
        <v>46</v>
      </c>
      <c r="C3512" s="7" t="s">
        <v>79</v>
      </c>
      <c r="D3512" s="7" t="s">
        <v>163</v>
      </c>
      <c r="E3512" s="7" t="s">
        <v>164</v>
      </c>
      <c r="F3512" s="7" t="s">
        <v>50</v>
      </c>
      <c r="G3512" s="7" t="s">
        <v>19</v>
      </c>
      <c r="H3512" s="9" t="n">
        <v>46079</v>
      </c>
      <c r="I3512" s="9" t="n">
        <v>46100</v>
      </c>
      <c r="J3512" s="7" t="n">
        <v>9.1</v>
      </c>
      <c r="K3512" s="7" t="s">
        <v>3856</v>
      </c>
      <c r="L3512" s="7" t="s">
        <v>19</v>
      </c>
      <c r="M3512" s="7" t="s">
        <v>4125</v>
      </c>
      <c r="N3512" s="7" t="s">
        <v>58</v>
      </c>
      <c r="O3512" s="10" t="n">
        <f aca="false">'Exec Summary'!$E$2-H3512</f>
        <v>155</v>
      </c>
      <c r="P3512" s="10" t="n">
        <f aca="false">IF(I3512="","",I3512-H3512)</f>
        <v>21</v>
      </c>
      <c r="Q3512" s="10" t="n">
        <f aca="false">VLOOKUP(G3512,$AA$2:$AB$5,2,FALSE())</f>
        <v>15</v>
      </c>
      <c r="R3512" s="7" t="n">
        <f aca="false">IF(OR(F3512="Open",F3512="Reopened"),1,0)</f>
        <v>0</v>
      </c>
      <c r="S3512" s="7" t="n">
        <f aca="false">IF(AND(H3512&gt;='Exec Summary'!$E$1,H3512&lt;='Exec Summary'!$E$2),1,0)</f>
        <v>0</v>
      </c>
      <c r="T3512" s="7" t="n">
        <f aca="false">IF(AND(F3512="Closed",I3512&lt;&gt;"",I3512&gt;='Exec Summary'!$E$1,I3512&lt;='Exec Summary'!$E$2),1,0)</f>
        <v>0</v>
      </c>
      <c r="U3512" s="7" t="n">
        <f aca="false">IF(F3512="Reopened",1,0)</f>
        <v>0</v>
      </c>
      <c r="V3512" s="7" t="n">
        <f aca="false">IF(AND(R3512=1,O3512&gt;Q3512),1,0)</f>
        <v>0</v>
      </c>
      <c r="W3512" s="7" t="n">
        <f aca="false">IF(AND(T3512=1,P3512&lt;&gt;"",P3512&lt;=Q3512),1,0)</f>
        <v>0</v>
      </c>
    </row>
    <row r="3513" customFormat="false" ht="15" hidden="false" customHeight="false" outlineLevel="0" collapsed="false">
      <c r="A3513" s="7" t="s">
        <v>4123</v>
      </c>
      <c r="B3513" s="7" t="s">
        <v>46</v>
      </c>
      <c r="C3513" s="7" t="s">
        <v>79</v>
      </c>
      <c r="D3513" s="7" t="s">
        <v>117</v>
      </c>
      <c r="E3513" s="7" t="s">
        <v>118</v>
      </c>
      <c r="F3513" s="7" t="s">
        <v>50</v>
      </c>
      <c r="G3513" s="7" t="s">
        <v>19</v>
      </c>
      <c r="H3513" s="9" t="n">
        <v>46104</v>
      </c>
      <c r="I3513" s="9" t="n">
        <v>46105</v>
      </c>
      <c r="J3513" s="7" t="n">
        <v>10</v>
      </c>
      <c r="K3513" s="7" t="s">
        <v>3856</v>
      </c>
      <c r="L3513" s="7" t="s">
        <v>19</v>
      </c>
      <c r="M3513" s="7" t="s">
        <v>4126</v>
      </c>
      <c r="N3513" s="7" t="s">
        <v>58</v>
      </c>
      <c r="O3513" s="10" t="n">
        <f aca="false">'Exec Summary'!$E$2-H3513</f>
        <v>130</v>
      </c>
      <c r="P3513" s="10" t="n">
        <f aca="false">IF(I3513="","",I3513-H3513)</f>
        <v>1</v>
      </c>
      <c r="Q3513" s="10" t="n">
        <f aca="false">VLOOKUP(G3513,$AA$2:$AB$5,2,FALSE())</f>
        <v>15</v>
      </c>
      <c r="R3513" s="7" t="n">
        <f aca="false">IF(OR(F3513="Open",F3513="Reopened"),1,0)</f>
        <v>0</v>
      </c>
      <c r="S3513" s="7" t="n">
        <f aca="false">IF(AND(H3513&gt;='Exec Summary'!$E$1,H3513&lt;='Exec Summary'!$E$2),1,0)</f>
        <v>0</v>
      </c>
      <c r="T3513" s="7" t="n">
        <f aca="false">IF(AND(F3513="Closed",I3513&lt;&gt;"",I3513&gt;='Exec Summary'!$E$1,I3513&lt;='Exec Summary'!$E$2),1,0)</f>
        <v>0</v>
      </c>
      <c r="U3513" s="7" t="n">
        <f aca="false">IF(F3513="Reopened",1,0)</f>
        <v>0</v>
      </c>
      <c r="V3513" s="7" t="n">
        <f aca="false">IF(AND(R3513=1,O3513&gt;Q3513),1,0)</f>
        <v>0</v>
      </c>
      <c r="W3513" s="7" t="n">
        <f aca="false">IF(AND(T3513=1,P3513&lt;&gt;"",P3513&lt;=Q3513),1,0)</f>
        <v>0</v>
      </c>
    </row>
    <row r="3514" customFormat="false" ht="15" hidden="false" customHeight="false" outlineLevel="0" collapsed="false">
      <c r="A3514" s="7" t="s">
        <v>4123</v>
      </c>
      <c r="B3514" s="7" t="s">
        <v>46</v>
      </c>
      <c r="C3514" s="7" t="s">
        <v>79</v>
      </c>
      <c r="D3514" s="7" t="s">
        <v>65</v>
      </c>
      <c r="E3514" s="7" t="s">
        <v>66</v>
      </c>
      <c r="F3514" s="7" t="s">
        <v>56</v>
      </c>
      <c r="G3514" s="7" t="s">
        <v>19</v>
      </c>
      <c r="H3514" s="9" t="n">
        <v>46092</v>
      </c>
      <c r="I3514" s="9"/>
      <c r="J3514" s="7" t="n">
        <v>9.8</v>
      </c>
      <c r="K3514" s="7" t="s">
        <v>3856</v>
      </c>
      <c r="L3514" s="7" t="s">
        <v>19</v>
      </c>
      <c r="M3514" s="7" t="s">
        <v>4127</v>
      </c>
      <c r="N3514" s="7" t="s">
        <v>58</v>
      </c>
      <c r="O3514" s="10" t="n">
        <f aca="false">'Exec Summary'!$E$2-H3514</f>
        <v>142</v>
      </c>
      <c r="P3514" s="10" t="str">
        <f aca="false">IF(I3514="","",I3514-H3514)</f>
        <v/>
      </c>
      <c r="Q3514" s="10" t="n">
        <f aca="false">VLOOKUP(G3514,$AA$2:$AB$5,2,FALSE())</f>
        <v>15</v>
      </c>
      <c r="R3514" s="7" t="n">
        <f aca="false">IF(OR(F3514="Open",F3514="Reopened"),1,0)</f>
        <v>1</v>
      </c>
      <c r="S3514" s="7" t="n">
        <f aca="false">IF(AND(H3514&gt;='Exec Summary'!$E$1,H3514&lt;='Exec Summary'!$E$2),1,0)</f>
        <v>0</v>
      </c>
      <c r="T3514" s="7" t="n">
        <f aca="false">IF(AND(F3514="Closed",I3514&lt;&gt;"",I3514&gt;='Exec Summary'!$E$1,I3514&lt;='Exec Summary'!$E$2),1,0)</f>
        <v>0</v>
      </c>
      <c r="U3514" s="7" t="n">
        <f aca="false">IF(F3514="Reopened",1,0)</f>
        <v>0</v>
      </c>
      <c r="V3514" s="7" t="n">
        <f aca="false">IF(AND(R3514=1,O3514&gt;Q3514),1,0)</f>
        <v>1</v>
      </c>
      <c r="W3514" s="7" t="n">
        <f aca="false">IF(AND(T3514=1,P3514&lt;&gt;"",P3514&lt;=Q3514),1,0)</f>
        <v>0</v>
      </c>
    </row>
    <row r="3515" customFormat="false" ht="15" hidden="false" customHeight="false" outlineLevel="0" collapsed="false">
      <c r="A3515" s="7" t="s">
        <v>4123</v>
      </c>
      <c r="B3515" s="7" t="s">
        <v>46</v>
      </c>
      <c r="C3515" s="7" t="s">
        <v>79</v>
      </c>
      <c r="D3515" s="7" t="s">
        <v>192</v>
      </c>
      <c r="E3515" s="7" t="s">
        <v>193</v>
      </c>
      <c r="F3515" s="7" t="s">
        <v>56</v>
      </c>
      <c r="G3515" s="7" t="s">
        <v>19</v>
      </c>
      <c r="H3515" s="9" t="n">
        <v>46000</v>
      </c>
      <c r="I3515" s="9"/>
      <c r="J3515" s="7" t="n">
        <v>9.8</v>
      </c>
      <c r="K3515" s="7" t="s">
        <v>3856</v>
      </c>
      <c r="L3515" s="7" t="s">
        <v>19</v>
      </c>
      <c r="M3515" s="7" t="s">
        <v>4128</v>
      </c>
      <c r="N3515" s="7" t="s">
        <v>58</v>
      </c>
      <c r="O3515" s="10" t="n">
        <f aca="false">'Exec Summary'!$E$2-H3515</f>
        <v>234</v>
      </c>
      <c r="P3515" s="10" t="str">
        <f aca="false">IF(I3515="","",I3515-H3515)</f>
        <v/>
      </c>
      <c r="Q3515" s="10" t="n">
        <f aca="false">VLOOKUP(G3515,$AA$2:$AB$5,2,FALSE())</f>
        <v>15</v>
      </c>
      <c r="R3515" s="7" t="n">
        <f aca="false">IF(OR(F3515="Open",F3515="Reopened"),1,0)</f>
        <v>1</v>
      </c>
      <c r="S3515" s="7" t="n">
        <f aca="false">IF(AND(H3515&gt;='Exec Summary'!$E$1,H3515&lt;='Exec Summary'!$E$2),1,0)</f>
        <v>0</v>
      </c>
      <c r="T3515" s="7" t="n">
        <f aca="false">IF(AND(F3515="Closed",I3515&lt;&gt;"",I3515&gt;='Exec Summary'!$E$1,I3515&lt;='Exec Summary'!$E$2),1,0)</f>
        <v>0</v>
      </c>
      <c r="U3515" s="7" t="n">
        <f aca="false">IF(F3515="Reopened",1,0)</f>
        <v>0</v>
      </c>
      <c r="V3515" s="7" t="n">
        <f aca="false">IF(AND(R3515=1,O3515&gt;Q3515),1,0)</f>
        <v>1</v>
      </c>
      <c r="W3515" s="7" t="n">
        <f aca="false">IF(AND(T3515=1,P3515&lt;&gt;"",P3515&lt;=Q3515),1,0)</f>
        <v>0</v>
      </c>
    </row>
    <row r="3516" customFormat="false" ht="15" hidden="false" customHeight="false" outlineLevel="0" collapsed="false">
      <c r="A3516" s="7" t="s">
        <v>4123</v>
      </c>
      <c r="B3516" s="7" t="s">
        <v>46</v>
      </c>
      <c r="C3516" s="7" t="s">
        <v>79</v>
      </c>
      <c r="D3516" s="7" t="s">
        <v>104</v>
      </c>
      <c r="E3516" s="7" t="s">
        <v>105</v>
      </c>
      <c r="F3516" s="7" t="s">
        <v>50</v>
      </c>
      <c r="G3516" s="7" t="s">
        <v>19</v>
      </c>
      <c r="H3516" s="9" t="n">
        <v>46092</v>
      </c>
      <c r="I3516" s="9" t="n">
        <v>46099</v>
      </c>
      <c r="J3516" s="7" t="n">
        <v>9.8</v>
      </c>
      <c r="K3516" s="7" t="s">
        <v>3856</v>
      </c>
      <c r="L3516" s="7" t="s">
        <v>19</v>
      </c>
      <c r="M3516" s="7" t="s">
        <v>4129</v>
      </c>
      <c r="N3516" s="7" t="s">
        <v>58</v>
      </c>
      <c r="O3516" s="10" t="n">
        <f aca="false">'Exec Summary'!$E$2-H3516</f>
        <v>142</v>
      </c>
      <c r="P3516" s="10" t="n">
        <f aca="false">IF(I3516="","",I3516-H3516)</f>
        <v>7</v>
      </c>
      <c r="Q3516" s="10" t="n">
        <f aca="false">VLOOKUP(G3516,$AA$2:$AB$5,2,FALSE())</f>
        <v>15</v>
      </c>
      <c r="R3516" s="7" t="n">
        <f aca="false">IF(OR(F3516="Open",F3516="Reopened"),1,0)</f>
        <v>0</v>
      </c>
      <c r="S3516" s="7" t="n">
        <f aca="false">IF(AND(H3516&gt;='Exec Summary'!$E$1,H3516&lt;='Exec Summary'!$E$2),1,0)</f>
        <v>0</v>
      </c>
      <c r="T3516" s="7" t="n">
        <f aca="false">IF(AND(F3516="Closed",I3516&lt;&gt;"",I3516&gt;='Exec Summary'!$E$1,I3516&lt;='Exec Summary'!$E$2),1,0)</f>
        <v>0</v>
      </c>
      <c r="U3516" s="7" t="n">
        <f aca="false">IF(F3516="Reopened",1,0)</f>
        <v>0</v>
      </c>
      <c r="V3516" s="7" t="n">
        <f aca="false">IF(AND(R3516=1,O3516&gt;Q3516),1,0)</f>
        <v>0</v>
      </c>
      <c r="W3516" s="7" t="n">
        <f aca="false">IF(AND(T3516=1,P3516&lt;&gt;"",P3516&lt;=Q3516),1,0)</f>
        <v>0</v>
      </c>
    </row>
    <row r="3517" customFormat="false" ht="15" hidden="false" customHeight="false" outlineLevel="0" collapsed="false">
      <c r="A3517" s="7" t="s">
        <v>4123</v>
      </c>
      <c r="B3517" s="7" t="s">
        <v>46</v>
      </c>
      <c r="C3517" s="7" t="s">
        <v>79</v>
      </c>
      <c r="D3517" s="7" t="s">
        <v>74</v>
      </c>
      <c r="E3517" s="7" t="s">
        <v>75</v>
      </c>
      <c r="F3517" s="7" t="s">
        <v>56</v>
      </c>
      <c r="G3517" s="7" t="s">
        <v>21</v>
      </c>
      <c r="H3517" s="9" t="n">
        <v>45981</v>
      </c>
      <c r="I3517" s="9"/>
      <c r="J3517" s="7" t="n">
        <v>6.5</v>
      </c>
      <c r="K3517" s="7" t="s">
        <v>3856</v>
      </c>
      <c r="L3517" s="7" t="s">
        <v>19</v>
      </c>
      <c r="M3517" s="7" t="s">
        <v>4130</v>
      </c>
      <c r="N3517" s="7" t="s">
        <v>77</v>
      </c>
      <c r="O3517" s="10" t="n">
        <f aca="false">'Exec Summary'!$E$2-H3517</f>
        <v>253</v>
      </c>
      <c r="P3517" s="10" t="str">
        <f aca="false">IF(I3517="","",I3517-H3517)</f>
        <v/>
      </c>
      <c r="Q3517" s="10" t="n">
        <f aca="false">VLOOKUP(G3517,$AA$2:$AB$5,2,FALSE())</f>
        <v>90</v>
      </c>
      <c r="R3517" s="7" t="n">
        <f aca="false">IF(OR(F3517="Open",F3517="Reopened"),1,0)</f>
        <v>1</v>
      </c>
      <c r="S3517" s="7" t="n">
        <f aca="false">IF(AND(H3517&gt;='Exec Summary'!$E$1,H3517&lt;='Exec Summary'!$E$2),1,0)</f>
        <v>0</v>
      </c>
      <c r="T3517" s="7" t="n">
        <f aca="false">IF(AND(F3517="Closed",I3517&lt;&gt;"",I3517&gt;='Exec Summary'!$E$1,I3517&lt;='Exec Summary'!$E$2),1,0)</f>
        <v>0</v>
      </c>
      <c r="U3517" s="7" t="n">
        <f aca="false">IF(F3517="Reopened",1,0)</f>
        <v>0</v>
      </c>
      <c r="V3517" s="7" t="n">
        <f aca="false">IF(AND(R3517=1,O3517&gt;Q3517),1,0)</f>
        <v>1</v>
      </c>
      <c r="W3517" s="7" t="n">
        <f aca="false">IF(AND(T3517=1,P3517&lt;&gt;"",P3517&lt;=Q3517),1,0)</f>
        <v>0</v>
      </c>
    </row>
    <row r="3518" customFormat="false" ht="15" hidden="false" customHeight="false" outlineLevel="0" collapsed="false">
      <c r="A3518" s="7" t="s">
        <v>4131</v>
      </c>
      <c r="B3518" s="7" t="s">
        <v>46</v>
      </c>
      <c r="C3518" s="7" t="s">
        <v>158</v>
      </c>
      <c r="D3518" s="7" t="s">
        <v>139</v>
      </c>
      <c r="E3518" s="7" t="s">
        <v>140</v>
      </c>
      <c r="F3518" s="7" t="s">
        <v>56</v>
      </c>
      <c r="G3518" s="7" t="s">
        <v>19</v>
      </c>
      <c r="H3518" s="9" t="n">
        <v>46001</v>
      </c>
      <c r="I3518" s="9"/>
      <c r="J3518" s="7" t="n">
        <v>9.8</v>
      </c>
      <c r="K3518" s="7" t="s">
        <v>3856</v>
      </c>
      <c r="L3518" s="7" t="s">
        <v>19</v>
      </c>
      <c r="M3518" s="7" t="s">
        <v>4132</v>
      </c>
      <c r="N3518" s="7" t="s">
        <v>58</v>
      </c>
      <c r="O3518" s="10" t="n">
        <f aca="false">'Exec Summary'!$E$2-H3518</f>
        <v>233</v>
      </c>
      <c r="P3518" s="10" t="str">
        <f aca="false">IF(I3518="","",I3518-H3518)</f>
        <v/>
      </c>
      <c r="Q3518" s="10" t="n">
        <f aca="false">VLOOKUP(G3518,$AA$2:$AB$5,2,FALSE())</f>
        <v>15</v>
      </c>
      <c r="R3518" s="7" t="n">
        <f aca="false">IF(OR(F3518="Open",F3518="Reopened"),1,0)</f>
        <v>1</v>
      </c>
      <c r="S3518" s="7" t="n">
        <f aca="false">IF(AND(H3518&gt;='Exec Summary'!$E$1,H3518&lt;='Exec Summary'!$E$2),1,0)</f>
        <v>0</v>
      </c>
      <c r="T3518" s="7" t="n">
        <f aca="false">IF(AND(F3518="Closed",I3518&lt;&gt;"",I3518&gt;='Exec Summary'!$E$1,I3518&lt;='Exec Summary'!$E$2),1,0)</f>
        <v>0</v>
      </c>
      <c r="U3518" s="7" t="n">
        <f aca="false">IF(F3518="Reopened",1,0)</f>
        <v>0</v>
      </c>
      <c r="V3518" s="7" t="n">
        <f aca="false">IF(AND(R3518=1,O3518&gt;Q3518),1,0)</f>
        <v>1</v>
      </c>
      <c r="W3518" s="7" t="n">
        <f aca="false">IF(AND(T3518=1,P3518&lt;&gt;"",P3518&lt;=Q3518),1,0)</f>
        <v>0</v>
      </c>
    </row>
    <row r="3519" customFormat="false" ht="15" hidden="false" customHeight="false" outlineLevel="0" collapsed="false">
      <c r="A3519" s="7" t="s">
        <v>4131</v>
      </c>
      <c r="B3519" s="7" t="s">
        <v>46</v>
      </c>
      <c r="C3519" s="7" t="s">
        <v>158</v>
      </c>
      <c r="D3519" s="7" t="s">
        <v>98</v>
      </c>
      <c r="E3519" s="7" t="s">
        <v>99</v>
      </c>
      <c r="F3519" s="7" t="s">
        <v>50</v>
      </c>
      <c r="G3519" s="7" t="s">
        <v>19</v>
      </c>
      <c r="H3519" s="9" t="n">
        <v>46017</v>
      </c>
      <c r="I3519" s="9" t="n">
        <v>46023</v>
      </c>
      <c r="J3519" s="7" t="n">
        <v>10</v>
      </c>
      <c r="K3519" s="7" t="s">
        <v>3856</v>
      </c>
      <c r="L3519" s="7" t="s">
        <v>19</v>
      </c>
      <c r="M3519" s="7" t="s">
        <v>4133</v>
      </c>
      <c r="N3519" s="7" t="s">
        <v>58</v>
      </c>
      <c r="O3519" s="10" t="n">
        <f aca="false">'Exec Summary'!$E$2-H3519</f>
        <v>217</v>
      </c>
      <c r="P3519" s="10" t="n">
        <f aca="false">IF(I3519="","",I3519-H3519)</f>
        <v>6</v>
      </c>
      <c r="Q3519" s="10" t="n">
        <f aca="false">VLOOKUP(G3519,$AA$2:$AB$5,2,FALSE())</f>
        <v>15</v>
      </c>
      <c r="R3519" s="7" t="n">
        <f aca="false">IF(OR(F3519="Open",F3519="Reopened"),1,0)</f>
        <v>0</v>
      </c>
      <c r="S3519" s="7" t="n">
        <f aca="false">IF(AND(H3519&gt;='Exec Summary'!$E$1,H3519&lt;='Exec Summary'!$E$2),1,0)</f>
        <v>0</v>
      </c>
      <c r="T3519" s="7" t="n">
        <f aca="false">IF(AND(F3519="Closed",I3519&lt;&gt;"",I3519&gt;='Exec Summary'!$E$1,I3519&lt;='Exec Summary'!$E$2),1,0)</f>
        <v>0</v>
      </c>
      <c r="U3519" s="7" t="n">
        <f aca="false">IF(F3519="Reopened",1,0)</f>
        <v>0</v>
      </c>
      <c r="V3519" s="7" t="n">
        <f aca="false">IF(AND(R3519=1,O3519&gt;Q3519),1,0)</f>
        <v>0</v>
      </c>
      <c r="W3519" s="7" t="n">
        <f aca="false">IF(AND(T3519=1,P3519&lt;&gt;"",P3519&lt;=Q3519),1,0)</f>
        <v>0</v>
      </c>
    </row>
    <row r="3520" customFormat="false" ht="15" hidden="false" customHeight="false" outlineLevel="0" collapsed="false">
      <c r="A3520" s="7" t="s">
        <v>4131</v>
      </c>
      <c r="B3520" s="7" t="s">
        <v>46</v>
      </c>
      <c r="C3520" s="7" t="s">
        <v>158</v>
      </c>
      <c r="D3520" s="7" t="s">
        <v>54</v>
      </c>
      <c r="E3520" s="7" t="s">
        <v>55</v>
      </c>
      <c r="F3520" s="7" t="s">
        <v>50</v>
      </c>
      <c r="G3520" s="7" t="s">
        <v>19</v>
      </c>
      <c r="H3520" s="9" t="n">
        <v>46158</v>
      </c>
      <c r="I3520" s="9" t="n">
        <v>46162</v>
      </c>
      <c r="J3520" s="7" t="n">
        <v>9.8</v>
      </c>
      <c r="K3520" s="7" t="s">
        <v>3856</v>
      </c>
      <c r="L3520" s="7" t="s">
        <v>19</v>
      </c>
      <c r="M3520" s="7" t="s">
        <v>4134</v>
      </c>
      <c r="N3520" s="7" t="s">
        <v>58</v>
      </c>
      <c r="O3520" s="10" t="n">
        <f aca="false">'Exec Summary'!$E$2-H3520</f>
        <v>76</v>
      </c>
      <c r="P3520" s="10" t="n">
        <f aca="false">IF(I3520="","",I3520-H3520)</f>
        <v>4</v>
      </c>
      <c r="Q3520" s="10" t="n">
        <f aca="false">VLOOKUP(G3520,$AA$2:$AB$5,2,FALSE())</f>
        <v>15</v>
      </c>
      <c r="R3520" s="7" t="n">
        <f aca="false">IF(OR(F3520="Open",F3520="Reopened"),1,0)</f>
        <v>0</v>
      </c>
      <c r="S3520" s="7" t="n">
        <f aca="false">IF(AND(H3520&gt;='Exec Summary'!$E$1,H3520&lt;='Exec Summary'!$E$2),1,0)</f>
        <v>0</v>
      </c>
      <c r="T3520" s="7" t="n">
        <f aca="false">IF(AND(F3520="Closed",I3520&lt;&gt;"",I3520&gt;='Exec Summary'!$E$1,I3520&lt;='Exec Summary'!$E$2),1,0)</f>
        <v>0</v>
      </c>
      <c r="U3520" s="7" t="n">
        <f aca="false">IF(F3520="Reopened",1,0)</f>
        <v>0</v>
      </c>
      <c r="V3520" s="7" t="n">
        <f aca="false">IF(AND(R3520=1,O3520&gt;Q3520),1,0)</f>
        <v>0</v>
      </c>
      <c r="W3520" s="7" t="n">
        <f aca="false">IF(AND(T3520=1,P3520&lt;&gt;"",P3520&lt;=Q3520),1,0)</f>
        <v>0</v>
      </c>
    </row>
    <row r="3521" customFormat="false" ht="15" hidden="false" customHeight="false" outlineLevel="0" collapsed="false">
      <c r="A3521" s="7" t="s">
        <v>4131</v>
      </c>
      <c r="B3521" s="7" t="s">
        <v>46</v>
      </c>
      <c r="C3521" s="7" t="s">
        <v>158</v>
      </c>
      <c r="D3521" s="7" t="s">
        <v>68</v>
      </c>
      <c r="E3521" s="7" t="s">
        <v>69</v>
      </c>
      <c r="F3521" s="7" t="s">
        <v>50</v>
      </c>
      <c r="G3521" s="7" t="s">
        <v>19</v>
      </c>
      <c r="H3521" s="9" t="n">
        <v>46163</v>
      </c>
      <c r="I3521" s="9" t="n">
        <v>46182</v>
      </c>
      <c r="J3521" s="7" t="n">
        <v>9.8</v>
      </c>
      <c r="K3521" s="7" t="s">
        <v>3856</v>
      </c>
      <c r="L3521" s="7" t="s">
        <v>19</v>
      </c>
      <c r="M3521" s="7" t="s">
        <v>4135</v>
      </c>
      <c r="N3521" s="7" t="s">
        <v>58</v>
      </c>
      <c r="O3521" s="10" t="n">
        <f aca="false">'Exec Summary'!$E$2-H3521</f>
        <v>71</v>
      </c>
      <c r="P3521" s="10" t="n">
        <f aca="false">IF(I3521="","",I3521-H3521)</f>
        <v>19</v>
      </c>
      <c r="Q3521" s="10" t="n">
        <f aca="false">VLOOKUP(G3521,$AA$2:$AB$5,2,FALSE())</f>
        <v>15</v>
      </c>
      <c r="R3521" s="7" t="n">
        <f aca="false">IF(OR(F3521="Open",F3521="Reopened"),1,0)</f>
        <v>0</v>
      </c>
      <c r="S3521" s="7" t="n">
        <f aca="false">IF(AND(H3521&gt;='Exec Summary'!$E$1,H3521&lt;='Exec Summary'!$E$2),1,0)</f>
        <v>0</v>
      </c>
      <c r="T3521" s="7" t="n">
        <f aca="false">IF(AND(F3521="Closed",I3521&lt;&gt;"",I3521&gt;='Exec Summary'!$E$1,I3521&lt;='Exec Summary'!$E$2),1,0)</f>
        <v>0</v>
      </c>
      <c r="U3521" s="7" t="n">
        <f aca="false">IF(F3521="Reopened",1,0)</f>
        <v>0</v>
      </c>
      <c r="V3521" s="7" t="n">
        <f aca="false">IF(AND(R3521=1,O3521&gt;Q3521),1,0)</f>
        <v>0</v>
      </c>
      <c r="W3521" s="7" t="n">
        <f aca="false">IF(AND(T3521=1,P3521&lt;&gt;"",P3521&lt;=Q3521),1,0)</f>
        <v>0</v>
      </c>
    </row>
    <row r="3522" customFormat="false" ht="15" hidden="false" customHeight="false" outlineLevel="0" collapsed="false">
      <c r="A3522" s="7" t="s">
        <v>4131</v>
      </c>
      <c r="B3522" s="7" t="s">
        <v>46</v>
      </c>
      <c r="C3522" s="7" t="s">
        <v>158</v>
      </c>
      <c r="D3522" s="7" t="s">
        <v>59</v>
      </c>
      <c r="E3522" s="7" t="s">
        <v>60</v>
      </c>
      <c r="F3522" s="7" t="s">
        <v>50</v>
      </c>
      <c r="G3522" s="7" t="s">
        <v>19</v>
      </c>
      <c r="H3522" s="9" t="n">
        <v>46033</v>
      </c>
      <c r="I3522" s="9" t="n">
        <v>46062</v>
      </c>
      <c r="J3522" s="7" t="n">
        <v>7.8</v>
      </c>
      <c r="K3522" s="7" t="s">
        <v>3856</v>
      </c>
      <c r="L3522" s="7" t="s">
        <v>19</v>
      </c>
      <c r="M3522" s="7" t="s">
        <v>4136</v>
      </c>
      <c r="N3522" s="7" t="s">
        <v>58</v>
      </c>
      <c r="O3522" s="10" t="n">
        <f aca="false">'Exec Summary'!$E$2-H3522</f>
        <v>201</v>
      </c>
      <c r="P3522" s="10" t="n">
        <f aca="false">IF(I3522="","",I3522-H3522)</f>
        <v>29</v>
      </c>
      <c r="Q3522" s="10" t="n">
        <f aca="false">VLOOKUP(G3522,$AA$2:$AB$5,2,FALSE())</f>
        <v>15</v>
      </c>
      <c r="R3522" s="7" t="n">
        <f aca="false">IF(OR(F3522="Open",F3522="Reopened"),1,0)</f>
        <v>0</v>
      </c>
      <c r="S3522" s="7" t="n">
        <f aca="false">IF(AND(H3522&gt;='Exec Summary'!$E$1,H3522&lt;='Exec Summary'!$E$2),1,0)</f>
        <v>0</v>
      </c>
      <c r="T3522" s="7" t="n">
        <f aca="false">IF(AND(F3522="Closed",I3522&lt;&gt;"",I3522&gt;='Exec Summary'!$E$1,I3522&lt;='Exec Summary'!$E$2),1,0)</f>
        <v>0</v>
      </c>
      <c r="U3522" s="7" t="n">
        <f aca="false">IF(F3522="Reopened",1,0)</f>
        <v>0</v>
      </c>
      <c r="V3522" s="7" t="n">
        <f aca="false">IF(AND(R3522=1,O3522&gt;Q3522),1,0)</f>
        <v>0</v>
      </c>
      <c r="W3522" s="7" t="n">
        <f aca="false">IF(AND(T3522=1,P3522&lt;&gt;"",P3522&lt;=Q3522),1,0)</f>
        <v>0</v>
      </c>
    </row>
    <row r="3523" customFormat="false" ht="15" hidden="false" customHeight="false" outlineLevel="0" collapsed="false">
      <c r="A3523" s="7" t="s">
        <v>4131</v>
      </c>
      <c r="B3523" s="7" t="s">
        <v>46</v>
      </c>
      <c r="C3523" s="7" t="s">
        <v>158</v>
      </c>
      <c r="D3523" s="7" t="s">
        <v>84</v>
      </c>
      <c r="E3523" s="7" t="s">
        <v>85</v>
      </c>
      <c r="F3523" s="7" t="s">
        <v>50</v>
      </c>
      <c r="G3523" s="7" t="s">
        <v>20</v>
      </c>
      <c r="H3523" s="9" t="n">
        <v>46129</v>
      </c>
      <c r="I3523" s="9" t="n">
        <v>46138</v>
      </c>
      <c r="J3523" s="7" t="n">
        <v>7.5</v>
      </c>
      <c r="K3523" s="7" t="s">
        <v>3856</v>
      </c>
      <c r="L3523" s="7" t="s">
        <v>19</v>
      </c>
      <c r="M3523" s="7" t="s">
        <v>4137</v>
      </c>
      <c r="N3523" s="7" t="s">
        <v>53</v>
      </c>
      <c r="O3523" s="10" t="n">
        <f aca="false">'Exec Summary'!$E$2-H3523</f>
        <v>105</v>
      </c>
      <c r="P3523" s="10" t="n">
        <f aca="false">IF(I3523="","",I3523-H3523)</f>
        <v>9</v>
      </c>
      <c r="Q3523" s="10" t="n">
        <f aca="false">VLOOKUP(G3523,$AA$2:$AB$5,2,FALSE())</f>
        <v>30</v>
      </c>
      <c r="R3523" s="7" t="n">
        <f aca="false">IF(OR(F3523="Open",F3523="Reopened"),1,0)</f>
        <v>0</v>
      </c>
      <c r="S3523" s="7" t="n">
        <f aca="false">IF(AND(H3523&gt;='Exec Summary'!$E$1,H3523&lt;='Exec Summary'!$E$2),1,0)</f>
        <v>0</v>
      </c>
      <c r="T3523" s="7" t="n">
        <f aca="false">IF(AND(F3523="Closed",I3523&lt;&gt;"",I3523&gt;='Exec Summary'!$E$1,I3523&lt;='Exec Summary'!$E$2),1,0)</f>
        <v>0</v>
      </c>
      <c r="U3523" s="7" t="n">
        <f aca="false">IF(F3523="Reopened",1,0)</f>
        <v>0</v>
      </c>
      <c r="V3523" s="7" t="n">
        <f aca="false">IF(AND(R3523=1,O3523&gt;Q3523),1,0)</f>
        <v>0</v>
      </c>
      <c r="W3523" s="7" t="n">
        <f aca="false">IF(AND(T3523=1,P3523&lt;&gt;"",P3523&lt;=Q3523),1,0)</f>
        <v>0</v>
      </c>
    </row>
    <row r="3524" customFormat="false" ht="15" hidden="false" customHeight="false" outlineLevel="0" collapsed="false">
      <c r="A3524" s="7" t="s">
        <v>4131</v>
      </c>
      <c r="B3524" s="7" t="s">
        <v>46</v>
      </c>
      <c r="C3524" s="7" t="s">
        <v>158</v>
      </c>
      <c r="D3524" s="7" t="s">
        <v>87</v>
      </c>
      <c r="E3524" s="7" t="s">
        <v>88</v>
      </c>
      <c r="F3524" s="7" t="s">
        <v>56</v>
      </c>
      <c r="G3524" s="7" t="s">
        <v>19</v>
      </c>
      <c r="H3524" s="9" t="n">
        <v>46036</v>
      </c>
      <c r="I3524" s="9"/>
      <c r="J3524" s="7" t="n">
        <v>10</v>
      </c>
      <c r="K3524" s="7" t="s">
        <v>3856</v>
      </c>
      <c r="L3524" s="7" t="s">
        <v>19</v>
      </c>
      <c r="M3524" s="7" t="s">
        <v>4138</v>
      </c>
      <c r="N3524" s="7" t="s">
        <v>58</v>
      </c>
      <c r="O3524" s="10" t="n">
        <f aca="false">'Exec Summary'!$E$2-H3524</f>
        <v>198</v>
      </c>
      <c r="P3524" s="10" t="str">
        <f aca="false">IF(I3524="","",I3524-H3524)</f>
        <v/>
      </c>
      <c r="Q3524" s="10" t="n">
        <f aca="false">VLOOKUP(G3524,$AA$2:$AB$5,2,FALSE())</f>
        <v>15</v>
      </c>
      <c r="R3524" s="7" t="n">
        <f aca="false">IF(OR(F3524="Open",F3524="Reopened"),1,0)</f>
        <v>1</v>
      </c>
      <c r="S3524" s="7" t="n">
        <f aca="false">IF(AND(H3524&gt;='Exec Summary'!$E$1,H3524&lt;='Exec Summary'!$E$2),1,0)</f>
        <v>0</v>
      </c>
      <c r="T3524" s="7" t="n">
        <f aca="false">IF(AND(F3524="Closed",I3524&lt;&gt;"",I3524&gt;='Exec Summary'!$E$1,I3524&lt;='Exec Summary'!$E$2),1,0)</f>
        <v>0</v>
      </c>
      <c r="U3524" s="7" t="n">
        <f aca="false">IF(F3524="Reopened",1,0)</f>
        <v>0</v>
      </c>
      <c r="V3524" s="7" t="n">
        <f aca="false">IF(AND(R3524=1,O3524&gt;Q3524),1,0)</f>
        <v>1</v>
      </c>
      <c r="W3524" s="7" t="n">
        <f aca="false">IF(AND(T3524=1,P3524&lt;&gt;"",P3524&lt;=Q3524),1,0)</f>
        <v>0</v>
      </c>
    </row>
    <row r="3525" customFormat="false" ht="15" hidden="false" customHeight="false" outlineLevel="0" collapsed="false">
      <c r="A3525" s="7" t="s">
        <v>4131</v>
      </c>
      <c r="B3525" s="7" t="s">
        <v>46</v>
      </c>
      <c r="C3525" s="7" t="s">
        <v>158</v>
      </c>
      <c r="D3525" s="7" t="s">
        <v>131</v>
      </c>
      <c r="E3525" s="7" t="s">
        <v>132</v>
      </c>
      <c r="F3525" s="7" t="s">
        <v>50</v>
      </c>
      <c r="G3525" s="7" t="s">
        <v>19</v>
      </c>
      <c r="H3525" s="9" t="n">
        <v>46062</v>
      </c>
      <c r="I3525" s="9" t="n">
        <v>46066</v>
      </c>
      <c r="J3525" s="7" t="n">
        <v>9.8</v>
      </c>
      <c r="K3525" s="7" t="s">
        <v>3856</v>
      </c>
      <c r="L3525" s="7" t="s">
        <v>19</v>
      </c>
      <c r="M3525" s="7" t="s">
        <v>4139</v>
      </c>
      <c r="N3525" s="7" t="s">
        <v>58</v>
      </c>
      <c r="O3525" s="10" t="n">
        <f aca="false">'Exec Summary'!$E$2-H3525</f>
        <v>172</v>
      </c>
      <c r="P3525" s="10" t="n">
        <f aca="false">IF(I3525="","",I3525-H3525)</f>
        <v>4</v>
      </c>
      <c r="Q3525" s="10" t="n">
        <f aca="false">VLOOKUP(G3525,$AA$2:$AB$5,2,FALSE())</f>
        <v>15</v>
      </c>
      <c r="R3525" s="7" t="n">
        <f aca="false">IF(OR(F3525="Open",F3525="Reopened"),1,0)</f>
        <v>0</v>
      </c>
      <c r="S3525" s="7" t="n">
        <f aca="false">IF(AND(H3525&gt;='Exec Summary'!$E$1,H3525&lt;='Exec Summary'!$E$2),1,0)</f>
        <v>0</v>
      </c>
      <c r="T3525" s="7" t="n">
        <f aca="false">IF(AND(F3525="Closed",I3525&lt;&gt;"",I3525&gt;='Exec Summary'!$E$1,I3525&lt;='Exec Summary'!$E$2),1,0)</f>
        <v>0</v>
      </c>
      <c r="U3525" s="7" t="n">
        <f aca="false">IF(F3525="Reopened",1,0)</f>
        <v>0</v>
      </c>
      <c r="V3525" s="7" t="n">
        <f aca="false">IF(AND(R3525=1,O3525&gt;Q3525),1,0)</f>
        <v>0</v>
      </c>
      <c r="W3525" s="7" t="n">
        <f aca="false">IF(AND(T3525=1,P3525&lt;&gt;"",P3525&lt;=Q3525),1,0)</f>
        <v>0</v>
      </c>
    </row>
    <row r="3526" customFormat="false" ht="15" hidden="false" customHeight="false" outlineLevel="0" collapsed="false">
      <c r="A3526" s="7" t="s">
        <v>4131</v>
      </c>
      <c r="B3526" s="7" t="s">
        <v>46</v>
      </c>
      <c r="C3526" s="7" t="s">
        <v>158</v>
      </c>
      <c r="D3526" s="7" t="s">
        <v>108</v>
      </c>
      <c r="E3526" s="7" t="s">
        <v>109</v>
      </c>
      <c r="F3526" s="7" t="s">
        <v>50</v>
      </c>
      <c r="G3526" s="7" t="s">
        <v>20</v>
      </c>
      <c r="H3526" s="9" t="n">
        <v>45997</v>
      </c>
      <c r="I3526" s="9" t="n">
        <v>46021</v>
      </c>
      <c r="J3526" s="7" t="n">
        <v>8.6</v>
      </c>
      <c r="K3526" s="7" t="s">
        <v>3856</v>
      </c>
      <c r="L3526" s="7" t="s">
        <v>19</v>
      </c>
      <c r="M3526" s="7" t="s">
        <v>4140</v>
      </c>
      <c r="N3526" s="7" t="s">
        <v>53</v>
      </c>
      <c r="O3526" s="10" t="n">
        <f aca="false">'Exec Summary'!$E$2-H3526</f>
        <v>237</v>
      </c>
      <c r="P3526" s="10" t="n">
        <f aca="false">IF(I3526="","",I3526-H3526)</f>
        <v>24</v>
      </c>
      <c r="Q3526" s="10" t="n">
        <f aca="false">VLOOKUP(G3526,$AA$2:$AB$5,2,FALSE())</f>
        <v>30</v>
      </c>
      <c r="R3526" s="7" t="n">
        <f aca="false">IF(OR(F3526="Open",F3526="Reopened"),1,0)</f>
        <v>0</v>
      </c>
      <c r="S3526" s="7" t="n">
        <f aca="false">IF(AND(H3526&gt;='Exec Summary'!$E$1,H3526&lt;='Exec Summary'!$E$2),1,0)</f>
        <v>0</v>
      </c>
      <c r="T3526" s="7" t="n">
        <f aca="false">IF(AND(F3526="Closed",I3526&lt;&gt;"",I3526&gt;='Exec Summary'!$E$1,I3526&lt;='Exec Summary'!$E$2),1,0)</f>
        <v>0</v>
      </c>
      <c r="U3526" s="7" t="n">
        <f aca="false">IF(F3526="Reopened",1,0)</f>
        <v>0</v>
      </c>
      <c r="V3526" s="7" t="n">
        <f aca="false">IF(AND(R3526=1,O3526&gt;Q3526),1,0)</f>
        <v>0</v>
      </c>
      <c r="W3526" s="7" t="n">
        <f aca="false">IF(AND(T3526=1,P3526&lt;&gt;"",P3526&lt;=Q3526),1,0)</f>
        <v>0</v>
      </c>
    </row>
    <row r="3527" customFormat="false" ht="15" hidden="false" customHeight="false" outlineLevel="0" collapsed="false">
      <c r="A3527" s="7" t="s">
        <v>4131</v>
      </c>
      <c r="B3527" s="7" t="s">
        <v>46</v>
      </c>
      <c r="C3527" s="7" t="s">
        <v>158</v>
      </c>
      <c r="D3527" s="7" t="s">
        <v>91</v>
      </c>
      <c r="E3527" s="7" t="s">
        <v>92</v>
      </c>
      <c r="F3527" s="7" t="s">
        <v>56</v>
      </c>
      <c r="G3527" s="7" t="s">
        <v>20</v>
      </c>
      <c r="H3527" s="9" t="n">
        <v>46164</v>
      </c>
      <c r="I3527" s="9"/>
      <c r="J3527" s="7" t="n">
        <v>8.1</v>
      </c>
      <c r="K3527" s="7" t="s">
        <v>3856</v>
      </c>
      <c r="L3527" s="7" t="s">
        <v>19</v>
      </c>
      <c r="M3527" s="7" t="s">
        <v>4141</v>
      </c>
      <c r="N3527" s="7" t="s">
        <v>53</v>
      </c>
      <c r="O3527" s="10" t="n">
        <f aca="false">'Exec Summary'!$E$2-H3527</f>
        <v>70</v>
      </c>
      <c r="P3527" s="10" t="str">
        <f aca="false">IF(I3527="","",I3527-H3527)</f>
        <v/>
      </c>
      <c r="Q3527" s="10" t="n">
        <f aca="false">VLOOKUP(G3527,$AA$2:$AB$5,2,FALSE())</f>
        <v>30</v>
      </c>
      <c r="R3527" s="7" t="n">
        <f aca="false">IF(OR(F3527="Open",F3527="Reopened"),1,0)</f>
        <v>1</v>
      </c>
      <c r="S3527" s="7" t="n">
        <f aca="false">IF(AND(H3527&gt;='Exec Summary'!$E$1,H3527&lt;='Exec Summary'!$E$2),1,0)</f>
        <v>0</v>
      </c>
      <c r="T3527" s="7" t="n">
        <f aca="false">IF(AND(F3527="Closed",I3527&lt;&gt;"",I3527&gt;='Exec Summary'!$E$1,I3527&lt;='Exec Summary'!$E$2),1,0)</f>
        <v>0</v>
      </c>
      <c r="U3527" s="7" t="n">
        <f aca="false">IF(F3527="Reopened",1,0)</f>
        <v>0</v>
      </c>
      <c r="V3527" s="7" t="n">
        <f aca="false">IF(AND(R3527=1,O3527&gt;Q3527),1,0)</f>
        <v>1</v>
      </c>
      <c r="W3527" s="7" t="n">
        <f aca="false">IF(AND(T3527=1,P3527&lt;&gt;"",P3527&lt;=Q3527),1,0)</f>
        <v>0</v>
      </c>
    </row>
    <row r="3528" customFormat="false" ht="15" hidden="false" customHeight="false" outlineLevel="0" collapsed="false">
      <c r="A3528" s="7" t="s">
        <v>4131</v>
      </c>
      <c r="B3528" s="7" t="s">
        <v>46</v>
      </c>
      <c r="C3528" s="7" t="s">
        <v>158</v>
      </c>
      <c r="D3528" s="7" t="s">
        <v>117</v>
      </c>
      <c r="E3528" s="7" t="s">
        <v>118</v>
      </c>
      <c r="F3528" s="7" t="s">
        <v>50</v>
      </c>
      <c r="G3528" s="7" t="s">
        <v>19</v>
      </c>
      <c r="H3528" s="9" t="n">
        <v>46157</v>
      </c>
      <c r="I3528" s="9" t="n">
        <v>46178</v>
      </c>
      <c r="J3528" s="7" t="n">
        <v>10</v>
      </c>
      <c r="K3528" s="7" t="s">
        <v>3856</v>
      </c>
      <c r="L3528" s="7" t="s">
        <v>19</v>
      </c>
      <c r="M3528" s="7" t="s">
        <v>4142</v>
      </c>
      <c r="N3528" s="7" t="s">
        <v>58</v>
      </c>
      <c r="O3528" s="10" t="n">
        <f aca="false">'Exec Summary'!$E$2-H3528</f>
        <v>77</v>
      </c>
      <c r="P3528" s="10" t="n">
        <f aca="false">IF(I3528="","",I3528-H3528)</f>
        <v>21</v>
      </c>
      <c r="Q3528" s="10" t="n">
        <f aca="false">VLOOKUP(G3528,$AA$2:$AB$5,2,FALSE())</f>
        <v>15</v>
      </c>
      <c r="R3528" s="7" t="n">
        <f aca="false">IF(OR(F3528="Open",F3528="Reopened"),1,0)</f>
        <v>0</v>
      </c>
      <c r="S3528" s="7" t="n">
        <f aca="false">IF(AND(H3528&gt;='Exec Summary'!$E$1,H3528&lt;='Exec Summary'!$E$2),1,0)</f>
        <v>0</v>
      </c>
      <c r="T3528" s="7" t="n">
        <f aca="false">IF(AND(F3528="Closed",I3528&lt;&gt;"",I3528&gt;='Exec Summary'!$E$1,I3528&lt;='Exec Summary'!$E$2),1,0)</f>
        <v>0</v>
      </c>
      <c r="U3528" s="7" t="n">
        <f aca="false">IF(F3528="Reopened",1,0)</f>
        <v>0</v>
      </c>
      <c r="V3528" s="7" t="n">
        <f aca="false">IF(AND(R3528=1,O3528&gt;Q3528),1,0)</f>
        <v>0</v>
      </c>
      <c r="W3528" s="7" t="n">
        <f aca="false">IF(AND(T3528=1,P3528&lt;&gt;"",P3528&lt;=Q3528),1,0)</f>
        <v>0</v>
      </c>
    </row>
    <row r="3529" customFormat="false" ht="15" hidden="false" customHeight="false" outlineLevel="0" collapsed="false">
      <c r="A3529" s="7" t="s">
        <v>4131</v>
      </c>
      <c r="B3529" s="7" t="s">
        <v>46</v>
      </c>
      <c r="C3529" s="7" t="s">
        <v>158</v>
      </c>
      <c r="D3529" s="7" t="s">
        <v>192</v>
      </c>
      <c r="E3529" s="7" t="s">
        <v>193</v>
      </c>
      <c r="F3529" s="7" t="s">
        <v>50</v>
      </c>
      <c r="G3529" s="7" t="s">
        <v>19</v>
      </c>
      <c r="H3529" s="9" t="n">
        <v>46146</v>
      </c>
      <c r="I3529" s="9" t="n">
        <v>46150</v>
      </c>
      <c r="J3529" s="7" t="n">
        <v>9.8</v>
      </c>
      <c r="K3529" s="7" t="s">
        <v>3856</v>
      </c>
      <c r="L3529" s="7" t="s">
        <v>19</v>
      </c>
      <c r="M3529" s="7" t="s">
        <v>4143</v>
      </c>
      <c r="N3529" s="7" t="s">
        <v>58</v>
      </c>
      <c r="O3529" s="10" t="n">
        <f aca="false">'Exec Summary'!$E$2-H3529</f>
        <v>88</v>
      </c>
      <c r="P3529" s="10" t="n">
        <f aca="false">IF(I3529="","",I3529-H3529)</f>
        <v>4</v>
      </c>
      <c r="Q3529" s="10" t="n">
        <f aca="false">VLOOKUP(G3529,$AA$2:$AB$5,2,FALSE())</f>
        <v>15</v>
      </c>
      <c r="R3529" s="7" t="n">
        <f aca="false">IF(OR(F3529="Open",F3529="Reopened"),1,0)</f>
        <v>0</v>
      </c>
      <c r="S3529" s="7" t="n">
        <f aca="false">IF(AND(H3529&gt;='Exec Summary'!$E$1,H3529&lt;='Exec Summary'!$E$2),1,0)</f>
        <v>0</v>
      </c>
      <c r="T3529" s="7" t="n">
        <f aca="false">IF(AND(F3529="Closed",I3529&lt;&gt;"",I3529&gt;='Exec Summary'!$E$1,I3529&lt;='Exec Summary'!$E$2),1,0)</f>
        <v>0</v>
      </c>
      <c r="U3529" s="7" t="n">
        <f aca="false">IF(F3529="Reopened",1,0)</f>
        <v>0</v>
      </c>
      <c r="V3529" s="7" t="n">
        <f aca="false">IF(AND(R3529=1,O3529&gt;Q3529),1,0)</f>
        <v>0</v>
      </c>
      <c r="W3529" s="7" t="n">
        <f aca="false">IF(AND(T3529=1,P3529&lt;&gt;"",P3529&lt;=Q3529),1,0)</f>
        <v>0</v>
      </c>
    </row>
    <row r="3530" customFormat="false" ht="15" hidden="false" customHeight="false" outlineLevel="0" collapsed="false">
      <c r="A3530" s="7" t="s">
        <v>4131</v>
      </c>
      <c r="B3530" s="7" t="s">
        <v>46</v>
      </c>
      <c r="C3530" s="7" t="s">
        <v>158</v>
      </c>
      <c r="D3530" s="7" t="s">
        <v>163</v>
      </c>
      <c r="E3530" s="7" t="s">
        <v>164</v>
      </c>
      <c r="F3530" s="7" t="s">
        <v>56</v>
      </c>
      <c r="G3530" s="7" t="s">
        <v>19</v>
      </c>
      <c r="H3530" s="9" t="n">
        <v>46131</v>
      </c>
      <c r="I3530" s="9"/>
      <c r="J3530" s="7" t="n">
        <v>9.1</v>
      </c>
      <c r="K3530" s="7" t="s">
        <v>3856</v>
      </c>
      <c r="L3530" s="7" t="s">
        <v>19</v>
      </c>
      <c r="M3530" s="7" t="s">
        <v>4144</v>
      </c>
      <c r="N3530" s="7" t="s">
        <v>58</v>
      </c>
      <c r="O3530" s="10" t="n">
        <f aca="false">'Exec Summary'!$E$2-H3530</f>
        <v>103</v>
      </c>
      <c r="P3530" s="10" t="str">
        <f aca="false">IF(I3530="","",I3530-H3530)</f>
        <v/>
      </c>
      <c r="Q3530" s="10" t="n">
        <f aca="false">VLOOKUP(G3530,$AA$2:$AB$5,2,FALSE())</f>
        <v>15</v>
      </c>
      <c r="R3530" s="7" t="n">
        <f aca="false">IF(OR(F3530="Open",F3530="Reopened"),1,0)</f>
        <v>1</v>
      </c>
      <c r="S3530" s="7" t="n">
        <f aca="false">IF(AND(H3530&gt;='Exec Summary'!$E$1,H3530&lt;='Exec Summary'!$E$2),1,0)</f>
        <v>0</v>
      </c>
      <c r="T3530" s="7" t="n">
        <f aca="false">IF(AND(F3530="Closed",I3530&lt;&gt;"",I3530&gt;='Exec Summary'!$E$1,I3530&lt;='Exec Summary'!$E$2),1,0)</f>
        <v>0</v>
      </c>
      <c r="U3530" s="7" t="n">
        <f aca="false">IF(F3530="Reopened",1,0)</f>
        <v>0</v>
      </c>
      <c r="V3530" s="7" t="n">
        <f aca="false">IF(AND(R3530=1,O3530&gt;Q3530),1,0)</f>
        <v>1</v>
      </c>
      <c r="W3530" s="7" t="n">
        <f aca="false">IF(AND(T3530=1,P3530&lt;&gt;"",P3530&lt;=Q3530),1,0)</f>
        <v>0</v>
      </c>
    </row>
    <row r="3531" customFormat="false" ht="15" hidden="false" customHeight="false" outlineLevel="0" collapsed="false">
      <c r="A3531" s="7" t="s">
        <v>4145</v>
      </c>
      <c r="B3531" s="7" t="s">
        <v>46</v>
      </c>
      <c r="C3531" s="7" t="s">
        <v>47</v>
      </c>
      <c r="D3531" s="7" t="s">
        <v>87</v>
      </c>
      <c r="E3531" s="7" t="s">
        <v>88</v>
      </c>
      <c r="F3531" s="7" t="s">
        <v>56</v>
      </c>
      <c r="G3531" s="7" t="s">
        <v>19</v>
      </c>
      <c r="H3531" s="9" t="n">
        <v>46175</v>
      </c>
      <c r="I3531" s="9"/>
      <c r="J3531" s="7" t="n">
        <v>10</v>
      </c>
      <c r="K3531" s="7" t="s">
        <v>3856</v>
      </c>
      <c r="L3531" s="7" t="s">
        <v>21</v>
      </c>
      <c r="M3531" s="7" t="s">
        <v>4146</v>
      </c>
      <c r="N3531" s="7" t="s">
        <v>58</v>
      </c>
      <c r="O3531" s="10" t="n">
        <f aca="false">'Exec Summary'!$E$2-H3531</f>
        <v>59</v>
      </c>
      <c r="P3531" s="10" t="str">
        <f aca="false">IF(I3531="","",I3531-H3531)</f>
        <v/>
      </c>
      <c r="Q3531" s="10" t="n">
        <f aca="false">VLOOKUP(G3531,$AA$2:$AB$5,2,FALSE())</f>
        <v>15</v>
      </c>
      <c r="R3531" s="7" t="n">
        <f aca="false">IF(OR(F3531="Open",F3531="Reopened"),1,0)</f>
        <v>1</v>
      </c>
      <c r="S3531" s="7" t="n">
        <f aca="false">IF(AND(H3531&gt;='Exec Summary'!$E$1,H3531&lt;='Exec Summary'!$E$2),1,0)</f>
        <v>0</v>
      </c>
      <c r="T3531" s="7" t="n">
        <f aca="false">IF(AND(F3531="Closed",I3531&lt;&gt;"",I3531&gt;='Exec Summary'!$E$1,I3531&lt;='Exec Summary'!$E$2),1,0)</f>
        <v>0</v>
      </c>
      <c r="U3531" s="7" t="n">
        <f aca="false">IF(F3531="Reopened",1,0)</f>
        <v>0</v>
      </c>
      <c r="V3531" s="7" t="n">
        <f aca="false">IF(AND(R3531=1,O3531&gt;Q3531),1,0)</f>
        <v>1</v>
      </c>
      <c r="W3531" s="7" t="n">
        <f aca="false">IF(AND(T3531=1,P3531&lt;&gt;"",P3531&lt;=Q3531),1,0)</f>
        <v>0</v>
      </c>
    </row>
    <row r="3532" customFormat="false" ht="15" hidden="false" customHeight="false" outlineLevel="0" collapsed="false">
      <c r="A3532" s="7" t="s">
        <v>4147</v>
      </c>
      <c r="B3532" s="7" t="s">
        <v>135</v>
      </c>
      <c r="C3532" s="7" t="s">
        <v>136</v>
      </c>
      <c r="D3532" s="7" t="s">
        <v>98</v>
      </c>
      <c r="E3532" s="7" t="s">
        <v>99</v>
      </c>
      <c r="F3532" s="7" t="s">
        <v>50</v>
      </c>
      <c r="G3532" s="7" t="s">
        <v>19</v>
      </c>
      <c r="H3532" s="9" t="n">
        <v>46204</v>
      </c>
      <c r="I3532" s="9" t="n">
        <v>46216</v>
      </c>
      <c r="J3532" s="7" t="n">
        <v>10</v>
      </c>
      <c r="K3532" s="7" t="s">
        <v>3856</v>
      </c>
      <c r="L3532" s="7" t="s">
        <v>19</v>
      </c>
      <c r="M3532" s="7" t="s">
        <v>4148</v>
      </c>
      <c r="N3532" s="7" t="s">
        <v>58</v>
      </c>
      <c r="O3532" s="10" t="n">
        <f aca="false">'Exec Summary'!$E$2-H3532</f>
        <v>30</v>
      </c>
      <c r="P3532" s="10" t="n">
        <f aca="false">IF(I3532="","",I3532-H3532)</f>
        <v>12</v>
      </c>
      <c r="Q3532" s="10" t="n">
        <f aca="false">VLOOKUP(G3532,$AA$2:$AB$5,2,FALSE())</f>
        <v>15</v>
      </c>
      <c r="R3532" s="7" t="n">
        <f aca="false">IF(OR(F3532="Open",F3532="Reopened"),1,0)</f>
        <v>0</v>
      </c>
      <c r="S3532" s="7" t="n">
        <f aca="false">IF(AND(H3532&gt;='Exec Summary'!$E$1,H3532&lt;='Exec Summary'!$E$2),1,0)</f>
        <v>1</v>
      </c>
      <c r="T3532" s="7" t="n">
        <f aca="false">IF(AND(F3532="Closed",I3532&lt;&gt;"",I3532&gt;='Exec Summary'!$E$1,I3532&lt;='Exec Summary'!$E$2),1,0)</f>
        <v>1</v>
      </c>
      <c r="U3532" s="7" t="n">
        <f aca="false">IF(F3532="Reopened",1,0)</f>
        <v>0</v>
      </c>
      <c r="V3532" s="7" t="n">
        <f aca="false">IF(AND(R3532=1,O3532&gt;Q3532),1,0)</f>
        <v>0</v>
      </c>
      <c r="W3532" s="7" t="n">
        <f aca="false">IF(AND(T3532=1,P3532&lt;&gt;"",P3532&lt;=Q3532),1,0)</f>
        <v>1</v>
      </c>
    </row>
    <row r="3533" customFormat="false" ht="15" hidden="false" customHeight="false" outlineLevel="0" collapsed="false">
      <c r="A3533" s="7" t="s">
        <v>4147</v>
      </c>
      <c r="B3533" s="7" t="s">
        <v>135</v>
      </c>
      <c r="C3533" s="7" t="s">
        <v>136</v>
      </c>
      <c r="D3533" s="7" t="s">
        <v>59</v>
      </c>
      <c r="E3533" s="7" t="s">
        <v>60</v>
      </c>
      <c r="F3533" s="7" t="s">
        <v>56</v>
      </c>
      <c r="G3533" s="7" t="s">
        <v>19</v>
      </c>
      <c r="H3533" s="9" t="n">
        <v>46148</v>
      </c>
      <c r="I3533" s="9"/>
      <c r="J3533" s="7" t="n">
        <v>7.8</v>
      </c>
      <c r="K3533" s="7" t="s">
        <v>3856</v>
      </c>
      <c r="L3533" s="7" t="s">
        <v>19</v>
      </c>
      <c r="M3533" s="7" t="s">
        <v>4149</v>
      </c>
      <c r="N3533" s="7" t="s">
        <v>58</v>
      </c>
      <c r="O3533" s="10" t="n">
        <f aca="false">'Exec Summary'!$E$2-H3533</f>
        <v>86</v>
      </c>
      <c r="P3533" s="10" t="str">
        <f aca="false">IF(I3533="","",I3533-H3533)</f>
        <v/>
      </c>
      <c r="Q3533" s="10" t="n">
        <f aca="false">VLOOKUP(G3533,$AA$2:$AB$5,2,FALSE())</f>
        <v>15</v>
      </c>
      <c r="R3533" s="7" t="n">
        <f aca="false">IF(OR(F3533="Open",F3533="Reopened"),1,0)</f>
        <v>1</v>
      </c>
      <c r="S3533" s="7" t="n">
        <f aca="false">IF(AND(H3533&gt;='Exec Summary'!$E$1,H3533&lt;='Exec Summary'!$E$2),1,0)</f>
        <v>0</v>
      </c>
      <c r="T3533" s="7" t="n">
        <f aca="false">IF(AND(F3533="Closed",I3533&lt;&gt;"",I3533&gt;='Exec Summary'!$E$1,I3533&lt;='Exec Summary'!$E$2),1,0)</f>
        <v>0</v>
      </c>
      <c r="U3533" s="7" t="n">
        <f aca="false">IF(F3533="Reopened",1,0)</f>
        <v>0</v>
      </c>
      <c r="V3533" s="7" t="n">
        <f aca="false">IF(AND(R3533=1,O3533&gt;Q3533),1,0)</f>
        <v>1</v>
      </c>
      <c r="W3533" s="7" t="n">
        <f aca="false">IF(AND(T3533=1,P3533&lt;&gt;"",P3533&lt;=Q3533),1,0)</f>
        <v>0</v>
      </c>
    </row>
    <row r="3534" customFormat="false" ht="15" hidden="false" customHeight="false" outlineLevel="0" collapsed="false">
      <c r="A3534" s="7" t="s">
        <v>4147</v>
      </c>
      <c r="B3534" s="7" t="s">
        <v>135</v>
      </c>
      <c r="C3534" s="7" t="s">
        <v>136</v>
      </c>
      <c r="D3534" s="7" t="s">
        <v>68</v>
      </c>
      <c r="E3534" s="7" t="s">
        <v>69</v>
      </c>
      <c r="F3534" s="7" t="s">
        <v>50</v>
      </c>
      <c r="G3534" s="7" t="s">
        <v>19</v>
      </c>
      <c r="H3534" s="9" t="n">
        <v>45966</v>
      </c>
      <c r="I3534" s="9" t="n">
        <v>45972</v>
      </c>
      <c r="J3534" s="7" t="n">
        <v>9.8</v>
      </c>
      <c r="K3534" s="7" t="s">
        <v>3856</v>
      </c>
      <c r="L3534" s="7" t="s">
        <v>19</v>
      </c>
      <c r="M3534" s="7" t="s">
        <v>4150</v>
      </c>
      <c r="N3534" s="7" t="s">
        <v>58</v>
      </c>
      <c r="O3534" s="10" t="n">
        <f aca="false">'Exec Summary'!$E$2-H3534</f>
        <v>268</v>
      </c>
      <c r="P3534" s="10" t="n">
        <f aca="false">IF(I3534="","",I3534-H3534)</f>
        <v>6</v>
      </c>
      <c r="Q3534" s="10" t="n">
        <f aca="false">VLOOKUP(G3534,$AA$2:$AB$5,2,FALSE())</f>
        <v>15</v>
      </c>
      <c r="R3534" s="7" t="n">
        <f aca="false">IF(OR(F3534="Open",F3534="Reopened"),1,0)</f>
        <v>0</v>
      </c>
      <c r="S3534" s="7" t="n">
        <f aca="false">IF(AND(H3534&gt;='Exec Summary'!$E$1,H3534&lt;='Exec Summary'!$E$2),1,0)</f>
        <v>0</v>
      </c>
      <c r="T3534" s="7" t="n">
        <f aca="false">IF(AND(F3534="Closed",I3534&lt;&gt;"",I3534&gt;='Exec Summary'!$E$1,I3534&lt;='Exec Summary'!$E$2),1,0)</f>
        <v>0</v>
      </c>
      <c r="U3534" s="7" t="n">
        <f aca="false">IF(F3534="Reopened",1,0)</f>
        <v>0</v>
      </c>
      <c r="V3534" s="7" t="n">
        <f aca="false">IF(AND(R3534=1,O3534&gt;Q3534),1,0)</f>
        <v>0</v>
      </c>
      <c r="W3534" s="7" t="n">
        <f aca="false">IF(AND(T3534=1,P3534&lt;&gt;"",P3534&lt;=Q3534),1,0)</f>
        <v>0</v>
      </c>
    </row>
    <row r="3535" customFormat="false" ht="15" hidden="false" customHeight="false" outlineLevel="0" collapsed="false">
      <c r="A3535" s="7" t="s">
        <v>4147</v>
      </c>
      <c r="B3535" s="7" t="s">
        <v>135</v>
      </c>
      <c r="C3535" s="7" t="s">
        <v>136</v>
      </c>
      <c r="D3535" s="7" t="s">
        <v>91</v>
      </c>
      <c r="E3535" s="7" t="s">
        <v>92</v>
      </c>
      <c r="F3535" s="7" t="s">
        <v>56</v>
      </c>
      <c r="G3535" s="7" t="s">
        <v>20</v>
      </c>
      <c r="H3535" s="9" t="n">
        <v>45942</v>
      </c>
      <c r="I3535" s="9"/>
      <c r="J3535" s="7" t="n">
        <v>8.1</v>
      </c>
      <c r="K3535" s="7" t="s">
        <v>3856</v>
      </c>
      <c r="L3535" s="7" t="s">
        <v>19</v>
      </c>
      <c r="M3535" s="7" t="s">
        <v>4151</v>
      </c>
      <c r="N3535" s="7" t="s">
        <v>53</v>
      </c>
      <c r="O3535" s="10" t="n">
        <f aca="false">'Exec Summary'!$E$2-H3535</f>
        <v>292</v>
      </c>
      <c r="P3535" s="10" t="str">
        <f aca="false">IF(I3535="","",I3535-H3535)</f>
        <v/>
      </c>
      <c r="Q3535" s="10" t="n">
        <f aca="false">VLOOKUP(G3535,$AA$2:$AB$5,2,FALSE())</f>
        <v>30</v>
      </c>
      <c r="R3535" s="7" t="n">
        <f aca="false">IF(OR(F3535="Open",F3535="Reopened"),1,0)</f>
        <v>1</v>
      </c>
      <c r="S3535" s="7" t="n">
        <f aca="false">IF(AND(H3535&gt;='Exec Summary'!$E$1,H3535&lt;='Exec Summary'!$E$2),1,0)</f>
        <v>0</v>
      </c>
      <c r="T3535" s="7" t="n">
        <f aca="false">IF(AND(F3535="Closed",I3535&lt;&gt;"",I3535&gt;='Exec Summary'!$E$1,I3535&lt;='Exec Summary'!$E$2),1,0)</f>
        <v>0</v>
      </c>
      <c r="U3535" s="7" t="n">
        <f aca="false">IF(F3535="Reopened",1,0)</f>
        <v>0</v>
      </c>
      <c r="V3535" s="7" t="n">
        <f aca="false">IF(AND(R3535=1,O3535&gt;Q3535),1,0)</f>
        <v>1</v>
      </c>
      <c r="W3535" s="7" t="n">
        <f aca="false">IF(AND(T3535=1,P3535&lt;&gt;"",P3535&lt;=Q3535),1,0)</f>
        <v>0</v>
      </c>
    </row>
    <row r="3536" customFormat="false" ht="15" hidden="false" customHeight="false" outlineLevel="0" collapsed="false">
      <c r="A3536" s="7" t="s">
        <v>4147</v>
      </c>
      <c r="B3536" s="7" t="s">
        <v>135</v>
      </c>
      <c r="C3536" s="7" t="s">
        <v>136</v>
      </c>
      <c r="D3536" s="7" t="s">
        <v>206</v>
      </c>
      <c r="E3536" s="7" t="s">
        <v>207</v>
      </c>
      <c r="F3536" s="7" t="s">
        <v>50</v>
      </c>
      <c r="G3536" s="7" t="s">
        <v>20</v>
      </c>
      <c r="H3536" s="9" t="n">
        <v>46007</v>
      </c>
      <c r="I3536" s="9" t="n">
        <v>46042</v>
      </c>
      <c r="J3536" s="7" t="n">
        <v>8.8</v>
      </c>
      <c r="K3536" s="7" t="s">
        <v>3856</v>
      </c>
      <c r="L3536" s="7" t="s">
        <v>19</v>
      </c>
      <c r="M3536" s="7" t="s">
        <v>4152</v>
      </c>
      <c r="N3536" s="7" t="s">
        <v>53</v>
      </c>
      <c r="O3536" s="10" t="n">
        <f aca="false">'Exec Summary'!$E$2-H3536</f>
        <v>227</v>
      </c>
      <c r="P3536" s="10" t="n">
        <f aca="false">IF(I3536="","",I3536-H3536)</f>
        <v>35</v>
      </c>
      <c r="Q3536" s="10" t="n">
        <f aca="false">VLOOKUP(G3536,$AA$2:$AB$5,2,FALSE())</f>
        <v>30</v>
      </c>
      <c r="R3536" s="7" t="n">
        <f aca="false">IF(OR(F3536="Open",F3536="Reopened"),1,0)</f>
        <v>0</v>
      </c>
      <c r="S3536" s="7" t="n">
        <f aca="false">IF(AND(H3536&gt;='Exec Summary'!$E$1,H3536&lt;='Exec Summary'!$E$2),1,0)</f>
        <v>0</v>
      </c>
      <c r="T3536" s="7" t="n">
        <f aca="false">IF(AND(F3536="Closed",I3536&lt;&gt;"",I3536&gt;='Exec Summary'!$E$1,I3536&lt;='Exec Summary'!$E$2),1,0)</f>
        <v>0</v>
      </c>
      <c r="U3536" s="7" t="n">
        <f aca="false">IF(F3536="Reopened",1,0)</f>
        <v>0</v>
      </c>
      <c r="V3536" s="7" t="n">
        <f aca="false">IF(AND(R3536=1,O3536&gt;Q3536),1,0)</f>
        <v>0</v>
      </c>
      <c r="W3536" s="7" t="n">
        <f aca="false">IF(AND(T3536=1,P3536&lt;&gt;"",P3536&lt;=Q3536),1,0)</f>
        <v>0</v>
      </c>
    </row>
    <row r="3537" customFormat="false" ht="15" hidden="false" customHeight="false" outlineLevel="0" collapsed="false">
      <c r="A3537" s="7" t="s">
        <v>4153</v>
      </c>
      <c r="B3537" s="7" t="s">
        <v>46</v>
      </c>
      <c r="C3537" s="7" t="s">
        <v>158</v>
      </c>
      <c r="D3537" s="7" t="s">
        <v>91</v>
      </c>
      <c r="E3537" s="7" t="s">
        <v>92</v>
      </c>
      <c r="F3537" s="7" t="s">
        <v>56</v>
      </c>
      <c r="G3537" s="7" t="s">
        <v>20</v>
      </c>
      <c r="H3537" s="9" t="n">
        <v>46132</v>
      </c>
      <c r="I3537" s="9"/>
      <c r="J3537" s="7" t="n">
        <v>8.1</v>
      </c>
      <c r="K3537" s="7" t="s">
        <v>3856</v>
      </c>
      <c r="L3537" s="7" t="s">
        <v>19</v>
      </c>
      <c r="M3537" s="7" t="s">
        <v>4154</v>
      </c>
      <c r="N3537" s="7" t="s">
        <v>53</v>
      </c>
      <c r="O3537" s="10" t="n">
        <f aca="false">'Exec Summary'!$E$2-H3537</f>
        <v>102</v>
      </c>
      <c r="P3537" s="10" t="str">
        <f aca="false">IF(I3537="","",I3537-H3537)</f>
        <v/>
      </c>
      <c r="Q3537" s="10" t="n">
        <f aca="false">VLOOKUP(G3537,$AA$2:$AB$5,2,FALSE())</f>
        <v>30</v>
      </c>
      <c r="R3537" s="7" t="n">
        <f aca="false">IF(OR(F3537="Open",F3537="Reopened"),1,0)</f>
        <v>1</v>
      </c>
      <c r="S3537" s="7" t="n">
        <f aca="false">IF(AND(H3537&gt;='Exec Summary'!$E$1,H3537&lt;='Exec Summary'!$E$2),1,0)</f>
        <v>0</v>
      </c>
      <c r="T3537" s="7" t="n">
        <f aca="false">IF(AND(F3537="Closed",I3537&lt;&gt;"",I3537&gt;='Exec Summary'!$E$1,I3537&lt;='Exec Summary'!$E$2),1,0)</f>
        <v>0</v>
      </c>
      <c r="U3537" s="7" t="n">
        <f aca="false">IF(F3537="Reopened",1,0)</f>
        <v>0</v>
      </c>
      <c r="V3537" s="7" t="n">
        <f aca="false">IF(AND(R3537=1,O3537&gt;Q3537),1,0)</f>
        <v>1</v>
      </c>
      <c r="W3537" s="7" t="n">
        <f aca="false">IF(AND(T3537=1,P3537&lt;&gt;"",P3537&lt;=Q3537),1,0)</f>
        <v>0</v>
      </c>
    </row>
    <row r="3538" customFormat="false" ht="15" hidden="false" customHeight="false" outlineLevel="0" collapsed="false">
      <c r="A3538" s="7" t="s">
        <v>4153</v>
      </c>
      <c r="B3538" s="7" t="s">
        <v>46</v>
      </c>
      <c r="C3538" s="7" t="s">
        <v>158</v>
      </c>
      <c r="D3538" s="7" t="s">
        <v>108</v>
      </c>
      <c r="E3538" s="7" t="s">
        <v>109</v>
      </c>
      <c r="F3538" s="7" t="s">
        <v>123</v>
      </c>
      <c r="G3538" s="7" t="s">
        <v>20</v>
      </c>
      <c r="H3538" s="9" t="n">
        <v>45942</v>
      </c>
      <c r="I3538" s="9" t="n">
        <v>45964</v>
      </c>
      <c r="J3538" s="7" t="n">
        <v>8.6</v>
      </c>
      <c r="K3538" s="7" t="s">
        <v>3856</v>
      </c>
      <c r="L3538" s="7" t="s">
        <v>19</v>
      </c>
      <c r="M3538" s="7" t="s">
        <v>4155</v>
      </c>
      <c r="N3538" s="7" t="s">
        <v>53</v>
      </c>
      <c r="O3538" s="10" t="n">
        <f aca="false">'Exec Summary'!$E$2-H3538</f>
        <v>292</v>
      </c>
      <c r="P3538" s="10" t="n">
        <f aca="false">IF(I3538="","",I3538-H3538)</f>
        <v>22</v>
      </c>
      <c r="Q3538" s="10" t="n">
        <f aca="false">VLOOKUP(G3538,$AA$2:$AB$5,2,FALSE())</f>
        <v>30</v>
      </c>
      <c r="R3538" s="7" t="n">
        <f aca="false">IF(OR(F3538="Open",F3538="Reopened"),1,0)</f>
        <v>1</v>
      </c>
      <c r="S3538" s="7" t="n">
        <f aca="false">IF(AND(H3538&gt;='Exec Summary'!$E$1,H3538&lt;='Exec Summary'!$E$2),1,0)</f>
        <v>0</v>
      </c>
      <c r="T3538" s="7" t="n">
        <f aca="false">IF(AND(F3538="Closed",I3538&lt;&gt;"",I3538&gt;='Exec Summary'!$E$1,I3538&lt;='Exec Summary'!$E$2),1,0)</f>
        <v>0</v>
      </c>
      <c r="U3538" s="7" t="n">
        <f aca="false">IF(F3538="Reopened",1,0)</f>
        <v>1</v>
      </c>
      <c r="V3538" s="7" t="n">
        <f aca="false">IF(AND(R3538=1,O3538&gt;Q3538),1,0)</f>
        <v>1</v>
      </c>
      <c r="W3538" s="7" t="n">
        <f aca="false">IF(AND(T3538=1,P3538&lt;&gt;"",P3538&lt;=Q3538),1,0)</f>
        <v>0</v>
      </c>
    </row>
    <row r="3539" customFormat="false" ht="15" hidden="false" customHeight="false" outlineLevel="0" collapsed="false">
      <c r="A3539" s="7" t="s">
        <v>4153</v>
      </c>
      <c r="B3539" s="7" t="s">
        <v>46</v>
      </c>
      <c r="C3539" s="7" t="s">
        <v>158</v>
      </c>
      <c r="D3539" s="7" t="s">
        <v>120</v>
      </c>
      <c r="E3539" s="7" t="s">
        <v>121</v>
      </c>
      <c r="F3539" s="7" t="s">
        <v>56</v>
      </c>
      <c r="G3539" s="7" t="s">
        <v>19</v>
      </c>
      <c r="H3539" s="9" t="n">
        <v>45987</v>
      </c>
      <c r="I3539" s="9"/>
      <c r="J3539" s="7" t="n">
        <v>8.8</v>
      </c>
      <c r="K3539" s="7" t="s">
        <v>3856</v>
      </c>
      <c r="L3539" s="7" t="s">
        <v>19</v>
      </c>
      <c r="M3539" s="7" t="s">
        <v>4156</v>
      </c>
      <c r="N3539" s="7" t="s">
        <v>58</v>
      </c>
      <c r="O3539" s="10" t="n">
        <f aca="false">'Exec Summary'!$E$2-H3539</f>
        <v>247</v>
      </c>
      <c r="P3539" s="10" t="str">
        <f aca="false">IF(I3539="","",I3539-H3539)</f>
        <v/>
      </c>
      <c r="Q3539" s="10" t="n">
        <f aca="false">VLOOKUP(G3539,$AA$2:$AB$5,2,FALSE())</f>
        <v>15</v>
      </c>
      <c r="R3539" s="7" t="n">
        <f aca="false">IF(OR(F3539="Open",F3539="Reopened"),1,0)</f>
        <v>1</v>
      </c>
      <c r="S3539" s="7" t="n">
        <f aca="false">IF(AND(H3539&gt;='Exec Summary'!$E$1,H3539&lt;='Exec Summary'!$E$2),1,0)</f>
        <v>0</v>
      </c>
      <c r="T3539" s="7" t="n">
        <f aca="false">IF(AND(F3539="Closed",I3539&lt;&gt;"",I3539&gt;='Exec Summary'!$E$1,I3539&lt;='Exec Summary'!$E$2),1,0)</f>
        <v>0</v>
      </c>
      <c r="U3539" s="7" t="n">
        <f aca="false">IF(F3539="Reopened",1,0)</f>
        <v>0</v>
      </c>
      <c r="V3539" s="7" t="n">
        <f aca="false">IF(AND(R3539=1,O3539&gt;Q3539),1,0)</f>
        <v>1</v>
      </c>
      <c r="W3539" s="7" t="n">
        <f aca="false">IF(AND(T3539=1,P3539&lt;&gt;"",P3539&lt;=Q3539),1,0)</f>
        <v>0</v>
      </c>
    </row>
    <row r="3540" customFormat="false" ht="15" hidden="false" customHeight="false" outlineLevel="0" collapsed="false">
      <c r="A3540" s="7" t="s">
        <v>4153</v>
      </c>
      <c r="B3540" s="7" t="s">
        <v>46</v>
      </c>
      <c r="C3540" s="7" t="s">
        <v>158</v>
      </c>
      <c r="D3540" s="7" t="s">
        <v>210</v>
      </c>
      <c r="E3540" s="7" t="s">
        <v>211</v>
      </c>
      <c r="F3540" s="7" t="s">
        <v>50</v>
      </c>
      <c r="G3540" s="7" t="s">
        <v>19</v>
      </c>
      <c r="H3540" s="9" t="n">
        <v>46002</v>
      </c>
      <c r="I3540" s="9" t="n">
        <v>46003</v>
      </c>
      <c r="J3540" s="7" t="n">
        <v>9.8</v>
      </c>
      <c r="K3540" s="7" t="s">
        <v>3856</v>
      </c>
      <c r="L3540" s="7" t="s">
        <v>19</v>
      </c>
      <c r="M3540" s="7" t="s">
        <v>4157</v>
      </c>
      <c r="N3540" s="7" t="s">
        <v>58</v>
      </c>
      <c r="O3540" s="10" t="n">
        <f aca="false">'Exec Summary'!$E$2-H3540</f>
        <v>232</v>
      </c>
      <c r="P3540" s="10" t="n">
        <f aca="false">IF(I3540="","",I3540-H3540)</f>
        <v>1</v>
      </c>
      <c r="Q3540" s="10" t="n">
        <f aca="false">VLOOKUP(G3540,$AA$2:$AB$5,2,FALSE())</f>
        <v>15</v>
      </c>
      <c r="R3540" s="7" t="n">
        <f aca="false">IF(OR(F3540="Open",F3540="Reopened"),1,0)</f>
        <v>0</v>
      </c>
      <c r="S3540" s="7" t="n">
        <f aca="false">IF(AND(H3540&gt;='Exec Summary'!$E$1,H3540&lt;='Exec Summary'!$E$2),1,0)</f>
        <v>0</v>
      </c>
      <c r="T3540" s="7" t="n">
        <f aca="false">IF(AND(F3540="Closed",I3540&lt;&gt;"",I3540&gt;='Exec Summary'!$E$1,I3540&lt;='Exec Summary'!$E$2),1,0)</f>
        <v>0</v>
      </c>
      <c r="U3540" s="7" t="n">
        <f aca="false">IF(F3540="Reopened",1,0)</f>
        <v>0</v>
      </c>
      <c r="V3540" s="7" t="n">
        <f aca="false">IF(AND(R3540=1,O3540&gt;Q3540),1,0)</f>
        <v>0</v>
      </c>
      <c r="W3540" s="7" t="n">
        <f aca="false">IF(AND(T3540=1,P3540&lt;&gt;"",P3540&lt;=Q3540),1,0)</f>
        <v>0</v>
      </c>
    </row>
    <row r="3541" customFormat="false" ht="15" hidden="false" customHeight="false" outlineLevel="0" collapsed="false">
      <c r="A3541" s="7" t="s">
        <v>4153</v>
      </c>
      <c r="B3541" s="7" t="s">
        <v>46</v>
      </c>
      <c r="C3541" s="7" t="s">
        <v>158</v>
      </c>
      <c r="D3541" s="7" t="s">
        <v>74</v>
      </c>
      <c r="E3541" s="7" t="s">
        <v>75</v>
      </c>
      <c r="F3541" s="7" t="s">
        <v>56</v>
      </c>
      <c r="G3541" s="7" t="s">
        <v>21</v>
      </c>
      <c r="H3541" s="9" t="n">
        <v>46179</v>
      </c>
      <c r="I3541" s="9"/>
      <c r="J3541" s="7" t="n">
        <v>6.5</v>
      </c>
      <c r="K3541" s="7" t="s">
        <v>3856</v>
      </c>
      <c r="L3541" s="7" t="s">
        <v>19</v>
      </c>
      <c r="M3541" s="7" t="s">
        <v>4158</v>
      </c>
      <c r="N3541" s="7" t="s">
        <v>77</v>
      </c>
      <c r="O3541" s="10" t="n">
        <f aca="false">'Exec Summary'!$E$2-H3541</f>
        <v>55</v>
      </c>
      <c r="P3541" s="10" t="str">
        <f aca="false">IF(I3541="","",I3541-H3541)</f>
        <v/>
      </c>
      <c r="Q3541" s="10" t="n">
        <f aca="false">VLOOKUP(G3541,$AA$2:$AB$5,2,FALSE())</f>
        <v>90</v>
      </c>
      <c r="R3541" s="7" t="n">
        <f aca="false">IF(OR(F3541="Open",F3541="Reopened"),1,0)</f>
        <v>1</v>
      </c>
      <c r="S3541" s="7" t="n">
        <f aca="false">IF(AND(H3541&gt;='Exec Summary'!$E$1,H3541&lt;='Exec Summary'!$E$2),1,0)</f>
        <v>0</v>
      </c>
      <c r="T3541" s="7" t="n">
        <f aca="false">IF(AND(F3541="Closed",I3541&lt;&gt;"",I3541&gt;='Exec Summary'!$E$1,I3541&lt;='Exec Summary'!$E$2),1,0)</f>
        <v>0</v>
      </c>
      <c r="U3541" s="7" t="n">
        <f aca="false">IF(F3541="Reopened",1,0)</f>
        <v>0</v>
      </c>
      <c r="V3541" s="7" t="n">
        <f aca="false">IF(AND(R3541=1,O3541&gt;Q3541),1,0)</f>
        <v>0</v>
      </c>
      <c r="W3541" s="7" t="n">
        <f aca="false">IF(AND(T3541=1,P3541&lt;&gt;"",P3541&lt;=Q3541),1,0)</f>
        <v>0</v>
      </c>
    </row>
    <row r="3542" customFormat="false" ht="15" hidden="false" customHeight="false" outlineLevel="0" collapsed="false">
      <c r="A3542" s="7" t="s">
        <v>4153</v>
      </c>
      <c r="B3542" s="7" t="s">
        <v>46</v>
      </c>
      <c r="C3542" s="7" t="s">
        <v>158</v>
      </c>
      <c r="D3542" s="7" t="s">
        <v>101</v>
      </c>
      <c r="E3542" s="7" t="s">
        <v>102</v>
      </c>
      <c r="F3542" s="7" t="s">
        <v>56</v>
      </c>
      <c r="G3542" s="7" t="s">
        <v>19</v>
      </c>
      <c r="H3542" s="9" t="n">
        <v>45966</v>
      </c>
      <c r="I3542" s="9"/>
      <c r="J3542" s="7" t="n">
        <v>10</v>
      </c>
      <c r="K3542" s="7" t="s">
        <v>3856</v>
      </c>
      <c r="L3542" s="7" t="s">
        <v>19</v>
      </c>
      <c r="M3542" s="7" t="s">
        <v>4159</v>
      </c>
      <c r="N3542" s="7" t="s">
        <v>58</v>
      </c>
      <c r="O3542" s="10" t="n">
        <f aca="false">'Exec Summary'!$E$2-H3542</f>
        <v>268</v>
      </c>
      <c r="P3542" s="10" t="str">
        <f aca="false">IF(I3542="","",I3542-H3542)</f>
        <v/>
      </c>
      <c r="Q3542" s="10" t="n">
        <f aca="false">VLOOKUP(G3542,$AA$2:$AB$5,2,FALSE())</f>
        <v>15</v>
      </c>
      <c r="R3542" s="7" t="n">
        <f aca="false">IF(OR(F3542="Open",F3542="Reopened"),1,0)</f>
        <v>1</v>
      </c>
      <c r="S3542" s="7" t="n">
        <f aca="false">IF(AND(H3542&gt;='Exec Summary'!$E$1,H3542&lt;='Exec Summary'!$E$2),1,0)</f>
        <v>0</v>
      </c>
      <c r="T3542" s="7" t="n">
        <f aca="false">IF(AND(F3542="Closed",I3542&lt;&gt;"",I3542&gt;='Exec Summary'!$E$1,I3542&lt;='Exec Summary'!$E$2),1,0)</f>
        <v>0</v>
      </c>
      <c r="U3542" s="7" t="n">
        <f aca="false">IF(F3542="Reopened",1,0)</f>
        <v>0</v>
      </c>
      <c r="V3542" s="7" t="n">
        <f aca="false">IF(AND(R3542=1,O3542&gt;Q3542),1,0)</f>
        <v>1</v>
      </c>
      <c r="W3542" s="7" t="n">
        <f aca="false">IF(AND(T3542=1,P3542&lt;&gt;"",P3542&lt;=Q3542),1,0)</f>
        <v>0</v>
      </c>
    </row>
    <row r="3543" customFormat="false" ht="15" hidden="false" customHeight="false" outlineLevel="0" collapsed="false">
      <c r="A3543" s="7" t="s">
        <v>4153</v>
      </c>
      <c r="B3543" s="7" t="s">
        <v>46</v>
      </c>
      <c r="C3543" s="7" t="s">
        <v>158</v>
      </c>
      <c r="D3543" s="7" t="s">
        <v>145</v>
      </c>
      <c r="E3543" s="7" t="s">
        <v>146</v>
      </c>
      <c r="F3543" s="7" t="s">
        <v>123</v>
      </c>
      <c r="G3543" s="7" t="s">
        <v>19</v>
      </c>
      <c r="H3543" s="9" t="n">
        <v>45952</v>
      </c>
      <c r="I3543" s="9" t="n">
        <v>45959</v>
      </c>
      <c r="J3543" s="7" t="n">
        <v>9.8</v>
      </c>
      <c r="K3543" s="7" t="s">
        <v>3856</v>
      </c>
      <c r="L3543" s="7" t="s">
        <v>19</v>
      </c>
      <c r="M3543" s="7" t="s">
        <v>4160</v>
      </c>
      <c r="N3543" s="7" t="s">
        <v>58</v>
      </c>
      <c r="O3543" s="10" t="n">
        <f aca="false">'Exec Summary'!$E$2-H3543</f>
        <v>282</v>
      </c>
      <c r="P3543" s="10" t="n">
        <f aca="false">IF(I3543="","",I3543-H3543)</f>
        <v>7</v>
      </c>
      <c r="Q3543" s="10" t="n">
        <f aca="false">VLOOKUP(G3543,$AA$2:$AB$5,2,FALSE())</f>
        <v>15</v>
      </c>
      <c r="R3543" s="7" t="n">
        <f aca="false">IF(OR(F3543="Open",F3543="Reopened"),1,0)</f>
        <v>1</v>
      </c>
      <c r="S3543" s="7" t="n">
        <f aca="false">IF(AND(H3543&gt;='Exec Summary'!$E$1,H3543&lt;='Exec Summary'!$E$2),1,0)</f>
        <v>0</v>
      </c>
      <c r="T3543" s="7" t="n">
        <f aca="false">IF(AND(F3543="Closed",I3543&lt;&gt;"",I3543&gt;='Exec Summary'!$E$1,I3543&lt;='Exec Summary'!$E$2),1,0)</f>
        <v>0</v>
      </c>
      <c r="U3543" s="7" t="n">
        <f aca="false">IF(F3543="Reopened",1,0)</f>
        <v>1</v>
      </c>
      <c r="V3543" s="7" t="n">
        <f aca="false">IF(AND(R3543=1,O3543&gt;Q3543),1,0)</f>
        <v>1</v>
      </c>
      <c r="W3543" s="7" t="n">
        <f aca="false">IF(AND(T3543=1,P3543&lt;&gt;"",P3543&lt;=Q3543),1,0)</f>
        <v>0</v>
      </c>
    </row>
    <row r="3544" customFormat="false" ht="15" hidden="false" customHeight="false" outlineLevel="0" collapsed="false">
      <c r="A3544" s="7" t="s">
        <v>4153</v>
      </c>
      <c r="B3544" s="7" t="s">
        <v>46</v>
      </c>
      <c r="C3544" s="7" t="s">
        <v>158</v>
      </c>
      <c r="D3544" s="7" t="s">
        <v>139</v>
      </c>
      <c r="E3544" s="7" t="s">
        <v>140</v>
      </c>
      <c r="F3544" s="7" t="s">
        <v>50</v>
      </c>
      <c r="G3544" s="7" t="s">
        <v>19</v>
      </c>
      <c r="H3544" s="9" t="n">
        <v>45955</v>
      </c>
      <c r="I3544" s="9" t="n">
        <v>45963</v>
      </c>
      <c r="J3544" s="7" t="n">
        <v>9.8</v>
      </c>
      <c r="K3544" s="7" t="s">
        <v>3856</v>
      </c>
      <c r="L3544" s="7" t="s">
        <v>19</v>
      </c>
      <c r="M3544" s="7" t="s">
        <v>4161</v>
      </c>
      <c r="N3544" s="7" t="s">
        <v>58</v>
      </c>
      <c r="O3544" s="10" t="n">
        <f aca="false">'Exec Summary'!$E$2-H3544</f>
        <v>279</v>
      </c>
      <c r="P3544" s="10" t="n">
        <f aca="false">IF(I3544="","",I3544-H3544)</f>
        <v>8</v>
      </c>
      <c r="Q3544" s="10" t="n">
        <f aca="false">VLOOKUP(G3544,$AA$2:$AB$5,2,FALSE())</f>
        <v>15</v>
      </c>
      <c r="R3544" s="7" t="n">
        <f aca="false">IF(OR(F3544="Open",F3544="Reopened"),1,0)</f>
        <v>0</v>
      </c>
      <c r="S3544" s="7" t="n">
        <f aca="false">IF(AND(H3544&gt;='Exec Summary'!$E$1,H3544&lt;='Exec Summary'!$E$2),1,0)</f>
        <v>0</v>
      </c>
      <c r="T3544" s="7" t="n">
        <f aca="false">IF(AND(F3544="Closed",I3544&lt;&gt;"",I3544&gt;='Exec Summary'!$E$1,I3544&lt;='Exec Summary'!$E$2),1,0)</f>
        <v>0</v>
      </c>
      <c r="U3544" s="7" t="n">
        <f aca="false">IF(F3544="Reopened",1,0)</f>
        <v>0</v>
      </c>
      <c r="V3544" s="7" t="n">
        <f aca="false">IF(AND(R3544=1,O3544&gt;Q3544),1,0)</f>
        <v>0</v>
      </c>
      <c r="W3544" s="7" t="n">
        <f aca="false">IF(AND(T3544=1,P3544&lt;&gt;"",P3544&lt;=Q3544),1,0)</f>
        <v>0</v>
      </c>
    </row>
    <row r="3545" customFormat="false" ht="15" hidden="false" customHeight="false" outlineLevel="0" collapsed="false">
      <c r="A3545" s="7" t="s">
        <v>4153</v>
      </c>
      <c r="B3545" s="7" t="s">
        <v>46</v>
      </c>
      <c r="C3545" s="7" t="s">
        <v>158</v>
      </c>
      <c r="D3545" s="7" t="s">
        <v>192</v>
      </c>
      <c r="E3545" s="7" t="s">
        <v>193</v>
      </c>
      <c r="F3545" s="7" t="s">
        <v>50</v>
      </c>
      <c r="G3545" s="7" t="s">
        <v>19</v>
      </c>
      <c r="H3545" s="9" t="n">
        <v>46063</v>
      </c>
      <c r="I3545" s="9" t="n">
        <v>46080</v>
      </c>
      <c r="J3545" s="7" t="n">
        <v>9.8</v>
      </c>
      <c r="K3545" s="7" t="s">
        <v>3856</v>
      </c>
      <c r="L3545" s="7" t="s">
        <v>19</v>
      </c>
      <c r="M3545" s="7" t="s">
        <v>4162</v>
      </c>
      <c r="N3545" s="7" t="s">
        <v>58</v>
      </c>
      <c r="O3545" s="10" t="n">
        <f aca="false">'Exec Summary'!$E$2-H3545</f>
        <v>171</v>
      </c>
      <c r="P3545" s="10" t="n">
        <f aca="false">IF(I3545="","",I3545-H3545)</f>
        <v>17</v>
      </c>
      <c r="Q3545" s="10" t="n">
        <f aca="false">VLOOKUP(G3545,$AA$2:$AB$5,2,FALSE())</f>
        <v>15</v>
      </c>
      <c r="R3545" s="7" t="n">
        <f aca="false">IF(OR(F3545="Open",F3545="Reopened"),1,0)</f>
        <v>0</v>
      </c>
      <c r="S3545" s="7" t="n">
        <f aca="false">IF(AND(H3545&gt;='Exec Summary'!$E$1,H3545&lt;='Exec Summary'!$E$2),1,0)</f>
        <v>0</v>
      </c>
      <c r="T3545" s="7" t="n">
        <f aca="false">IF(AND(F3545="Closed",I3545&lt;&gt;"",I3545&gt;='Exec Summary'!$E$1,I3545&lt;='Exec Summary'!$E$2),1,0)</f>
        <v>0</v>
      </c>
      <c r="U3545" s="7" t="n">
        <f aca="false">IF(F3545="Reopened",1,0)</f>
        <v>0</v>
      </c>
      <c r="V3545" s="7" t="n">
        <f aca="false">IF(AND(R3545=1,O3545&gt;Q3545),1,0)</f>
        <v>0</v>
      </c>
      <c r="W3545" s="7" t="n">
        <f aca="false">IF(AND(T3545=1,P3545&lt;&gt;"",P3545&lt;=Q3545),1,0)</f>
        <v>0</v>
      </c>
    </row>
    <row r="3546" customFormat="false" ht="15" hidden="false" customHeight="false" outlineLevel="0" collapsed="false">
      <c r="A3546" s="7" t="s">
        <v>4163</v>
      </c>
      <c r="B3546" s="7" t="s">
        <v>46</v>
      </c>
      <c r="C3546" s="7" t="s">
        <v>158</v>
      </c>
      <c r="D3546" s="7" t="s">
        <v>62</v>
      </c>
      <c r="E3546" s="7" t="s">
        <v>63</v>
      </c>
      <c r="F3546" s="7" t="s">
        <v>56</v>
      </c>
      <c r="G3546" s="7" t="s">
        <v>20</v>
      </c>
      <c r="H3546" s="9" t="n">
        <v>46107</v>
      </c>
      <c r="I3546" s="9"/>
      <c r="J3546" s="7" t="n">
        <v>8.1</v>
      </c>
      <c r="K3546" s="7" t="s">
        <v>3856</v>
      </c>
      <c r="L3546" s="7" t="s">
        <v>21</v>
      </c>
      <c r="M3546" s="7" t="s">
        <v>4164</v>
      </c>
      <c r="N3546" s="7" t="s">
        <v>53</v>
      </c>
      <c r="O3546" s="10" t="n">
        <f aca="false">'Exec Summary'!$E$2-H3546</f>
        <v>127</v>
      </c>
      <c r="P3546" s="10" t="str">
        <f aca="false">IF(I3546="","",I3546-H3546)</f>
        <v/>
      </c>
      <c r="Q3546" s="10" t="n">
        <f aca="false">VLOOKUP(G3546,$AA$2:$AB$5,2,FALSE())</f>
        <v>30</v>
      </c>
      <c r="R3546" s="7" t="n">
        <f aca="false">IF(OR(F3546="Open",F3546="Reopened"),1,0)</f>
        <v>1</v>
      </c>
      <c r="S3546" s="7" t="n">
        <f aca="false">IF(AND(H3546&gt;='Exec Summary'!$E$1,H3546&lt;='Exec Summary'!$E$2),1,0)</f>
        <v>0</v>
      </c>
      <c r="T3546" s="7" t="n">
        <f aca="false">IF(AND(F3546="Closed",I3546&lt;&gt;"",I3546&gt;='Exec Summary'!$E$1,I3546&lt;='Exec Summary'!$E$2),1,0)</f>
        <v>0</v>
      </c>
      <c r="U3546" s="7" t="n">
        <f aca="false">IF(F3546="Reopened",1,0)</f>
        <v>0</v>
      </c>
      <c r="V3546" s="7" t="n">
        <f aca="false">IF(AND(R3546=1,O3546&gt;Q3546),1,0)</f>
        <v>1</v>
      </c>
      <c r="W3546" s="7" t="n">
        <f aca="false">IF(AND(T3546=1,P3546&lt;&gt;"",P3546&lt;=Q3546),1,0)</f>
        <v>0</v>
      </c>
    </row>
    <row r="3547" customFormat="false" ht="15" hidden="false" customHeight="false" outlineLevel="0" collapsed="false">
      <c r="A3547" s="7" t="s">
        <v>4163</v>
      </c>
      <c r="B3547" s="7" t="s">
        <v>46</v>
      </c>
      <c r="C3547" s="7" t="s">
        <v>158</v>
      </c>
      <c r="D3547" s="7" t="s">
        <v>210</v>
      </c>
      <c r="E3547" s="7" t="s">
        <v>211</v>
      </c>
      <c r="F3547" s="7" t="s">
        <v>123</v>
      </c>
      <c r="G3547" s="7" t="s">
        <v>19</v>
      </c>
      <c r="H3547" s="9" t="n">
        <v>46188</v>
      </c>
      <c r="I3547" s="9" t="n">
        <v>46200</v>
      </c>
      <c r="J3547" s="7" t="n">
        <v>9.8</v>
      </c>
      <c r="K3547" s="7" t="s">
        <v>3856</v>
      </c>
      <c r="L3547" s="7" t="s">
        <v>21</v>
      </c>
      <c r="M3547" s="7" t="s">
        <v>4165</v>
      </c>
      <c r="N3547" s="7" t="s">
        <v>58</v>
      </c>
      <c r="O3547" s="10" t="n">
        <f aca="false">'Exec Summary'!$E$2-H3547</f>
        <v>46</v>
      </c>
      <c r="P3547" s="10" t="n">
        <f aca="false">IF(I3547="","",I3547-H3547)</f>
        <v>12</v>
      </c>
      <c r="Q3547" s="10" t="n">
        <f aca="false">VLOOKUP(G3547,$AA$2:$AB$5,2,FALSE())</f>
        <v>15</v>
      </c>
      <c r="R3547" s="7" t="n">
        <f aca="false">IF(OR(F3547="Open",F3547="Reopened"),1,0)</f>
        <v>1</v>
      </c>
      <c r="S3547" s="7" t="n">
        <f aca="false">IF(AND(H3547&gt;='Exec Summary'!$E$1,H3547&lt;='Exec Summary'!$E$2),1,0)</f>
        <v>0</v>
      </c>
      <c r="T3547" s="7" t="n">
        <f aca="false">IF(AND(F3547="Closed",I3547&lt;&gt;"",I3547&gt;='Exec Summary'!$E$1,I3547&lt;='Exec Summary'!$E$2),1,0)</f>
        <v>0</v>
      </c>
      <c r="U3547" s="7" t="n">
        <f aca="false">IF(F3547="Reopened",1,0)</f>
        <v>1</v>
      </c>
      <c r="V3547" s="7" t="n">
        <f aca="false">IF(AND(R3547=1,O3547&gt;Q3547),1,0)</f>
        <v>1</v>
      </c>
      <c r="W3547" s="7" t="n">
        <f aca="false">IF(AND(T3547=1,P3547&lt;&gt;"",P3547&lt;=Q3547),1,0)</f>
        <v>0</v>
      </c>
    </row>
    <row r="3548" customFormat="false" ht="15" hidden="false" customHeight="false" outlineLevel="0" collapsed="false">
      <c r="A3548" s="7" t="s">
        <v>4163</v>
      </c>
      <c r="B3548" s="7" t="s">
        <v>46</v>
      </c>
      <c r="C3548" s="7" t="s">
        <v>158</v>
      </c>
      <c r="D3548" s="7" t="s">
        <v>145</v>
      </c>
      <c r="E3548" s="7" t="s">
        <v>146</v>
      </c>
      <c r="F3548" s="7" t="s">
        <v>50</v>
      </c>
      <c r="G3548" s="7" t="s">
        <v>19</v>
      </c>
      <c r="H3548" s="9" t="n">
        <v>45974</v>
      </c>
      <c r="I3548" s="9" t="n">
        <v>45980</v>
      </c>
      <c r="J3548" s="7" t="n">
        <v>9.8</v>
      </c>
      <c r="K3548" s="7" t="s">
        <v>3856</v>
      </c>
      <c r="L3548" s="7" t="s">
        <v>21</v>
      </c>
      <c r="M3548" s="7" t="s">
        <v>4166</v>
      </c>
      <c r="N3548" s="7" t="s">
        <v>58</v>
      </c>
      <c r="O3548" s="10" t="n">
        <f aca="false">'Exec Summary'!$E$2-H3548</f>
        <v>260</v>
      </c>
      <c r="P3548" s="10" t="n">
        <f aca="false">IF(I3548="","",I3548-H3548)</f>
        <v>6</v>
      </c>
      <c r="Q3548" s="10" t="n">
        <f aca="false">VLOOKUP(G3548,$AA$2:$AB$5,2,FALSE())</f>
        <v>15</v>
      </c>
      <c r="R3548" s="7" t="n">
        <f aca="false">IF(OR(F3548="Open",F3548="Reopened"),1,0)</f>
        <v>0</v>
      </c>
      <c r="S3548" s="7" t="n">
        <f aca="false">IF(AND(H3548&gt;='Exec Summary'!$E$1,H3548&lt;='Exec Summary'!$E$2),1,0)</f>
        <v>0</v>
      </c>
      <c r="T3548" s="7" t="n">
        <f aca="false">IF(AND(F3548="Closed",I3548&lt;&gt;"",I3548&gt;='Exec Summary'!$E$1,I3548&lt;='Exec Summary'!$E$2),1,0)</f>
        <v>0</v>
      </c>
      <c r="U3548" s="7" t="n">
        <f aca="false">IF(F3548="Reopened",1,0)</f>
        <v>0</v>
      </c>
      <c r="V3548" s="7" t="n">
        <f aca="false">IF(AND(R3548=1,O3548&gt;Q3548),1,0)</f>
        <v>0</v>
      </c>
      <c r="W3548" s="7" t="n">
        <f aca="false">IF(AND(T3548=1,P3548&lt;&gt;"",P3548&lt;=Q3548),1,0)</f>
        <v>0</v>
      </c>
    </row>
    <row r="3549" customFormat="false" ht="15" hidden="false" customHeight="false" outlineLevel="0" collapsed="false">
      <c r="A3549" s="7" t="s">
        <v>4163</v>
      </c>
      <c r="B3549" s="7" t="s">
        <v>46</v>
      </c>
      <c r="C3549" s="7" t="s">
        <v>158</v>
      </c>
      <c r="D3549" s="7" t="s">
        <v>206</v>
      </c>
      <c r="E3549" s="7" t="s">
        <v>207</v>
      </c>
      <c r="F3549" s="7" t="s">
        <v>50</v>
      </c>
      <c r="G3549" s="7" t="s">
        <v>20</v>
      </c>
      <c r="H3549" s="9" t="n">
        <v>46213</v>
      </c>
      <c r="I3549" s="9" t="n">
        <v>46234</v>
      </c>
      <c r="J3549" s="7" t="n">
        <v>8.8</v>
      </c>
      <c r="K3549" s="7" t="s">
        <v>3856</v>
      </c>
      <c r="L3549" s="7" t="s">
        <v>21</v>
      </c>
      <c r="M3549" s="7" t="s">
        <v>4167</v>
      </c>
      <c r="N3549" s="7" t="s">
        <v>53</v>
      </c>
      <c r="O3549" s="10" t="n">
        <f aca="false">'Exec Summary'!$E$2-H3549</f>
        <v>21</v>
      </c>
      <c r="P3549" s="10" t="n">
        <f aca="false">IF(I3549="","",I3549-H3549)</f>
        <v>21</v>
      </c>
      <c r="Q3549" s="10" t="n">
        <f aca="false">VLOOKUP(G3549,$AA$2:$AB$5,2,FALSE())</f>
        <v>30</v>
      </c>
      <c r="R3549" s="7" t="n">
        <f aca="false">IF(OR(F3549="Open",F3549="Reopened"),1,0)</f>
        <v>0</v>
      </c>
      <c r="S3549" s="7" t="n">
        <f aca="false">IF(AND(H3549&gt;='Exec Summary'!$E$1,H3549&lt;='Exec Summary'!$E$2),1,0)</f>
        <v>1</v>
      </c>
      <c r="T3549" s="7" t="n">
        <f aca="false">IF(AND(F3549="Closed",I3549&lt;&gt;"",I3549&gt;='Exec Summary'!$E$1,I3549&lt;='Exec Summary'!$E$2),1,0)</f>
        <v>1</v>
      </c>
      <c r="U3549" s="7" t="n">
        <f aca="false">IF(F3549="Reopened",1,0)</f>
        <v>0</v>
      </c>
      <c r="V3549" s="7" t="n">
        <f aca="false">IF(AND(R3549=1,O3549&gt;Q3549),1,0)</f>
        <v>0</v>
      </c>
      <c r="W3549" s="7" t="n">
        <f aca="false">IF(AND(T3549=1,P3549&lt;&gt;"",P3549&lt;=Q3549),1,0)</f>
        <v>1</v>
      </c>
    </row>
    <row r="3550" customFormat="false" ht="15" hidden="false" customHeight="false" outlineLevel="0" collapsed="false">
      <c r="A3550" s="7" t="s">
        <v>4163</v>
      </c>
      <c r="B3550" s="7" t="s">
        <v>46</v>
      </c>
      <c r="C3550" s="7" t="s">
        <v>158</v>
      </c>
      <c r="D3550" s="7" t="s">
        <v>112</v>
      </c>
      <c r="E3550" s="7" t="s">
        <v>113</v>
      </c>
      <c r="F3550" s="7" t="s">
        <v>50</v>
      </c>
      <c r="G3550" s="7" t="s">
        <v>20</v>
      </c>
      <c r="H3550" s="9" t="n">
        <v>46152</v>
      </c>
      <c r="I3550" s="9" t="n">
        <v>46181</v>
      </c>
      <c r="J3550" s="7" t="n">
        <v>7.8</v>
      </c>
      <c r="K3550" s="7" t="s">
        <v>3856</v>
      </c>
      <c r="L3550" s="7" t="s">
        <v>21</v>
      </c>
      <c r="M3550" s="7" t="s">
        <v>4168</v>
      </c>
      <c r="N3550" s="7" t="s">
        <v>53</v>
      </c>
      <c r="O3550" s="10" t="n">
        <f aca="false">'Exec Summary'!$E$2-H3550</f>
        <v>82</v>
      </c>
      <c r="P3550" s="10" t="n">
        <f aca="false">IF(I3550="","",I3550-H3550)</f>
        <v>29</v>
      </c>
      <c r="Q3550" s="10" t="n">
        <f aca="false">VLOOKUP(G3550,$AA$2:$AB$5,2,FALSE())</f>
        <v>30</v>
      </c>
      <c r="R3550" s="7" t="n">
        <f aca="false">IF(OR(F3550="Open",F3550="Reopened"),1,0)</f>
        <v>0</v>
      </c>
      <c r="S3550" s="7" t="n">
        <f aca="false">IF(AND(H3550&gt;='Exec Summary'!$E$1,H3550&lt;='Exec Summary'!$E$2),1,0)</f>
        <v>0</v>
      </c>
      <c r="T3550" s="7" t="n">
        <f aca="false">IF(AND(F3550="Closed",I3550&lt;&gt;"",I3550&gt;='Exec Summary'!$E$1,I3550&lt;='Exec Summary'!$E$2),1,0)</f>
        <v>0</v>
      </c>
      <c r="U3550" s="7" t="n">
        <f aca="false">IF(F3550="Reopened",1,0)</f>
        <v>0</v>
      </c>
      <c r="V3550" s="7" t="n">
        <f aca="false">IF(AND(R3550=1,O3550&gt;Q3550),1,0)</f>
        <v>0</v>
      </c>
      <c r="W3550" s="7" t="n">
        <f aca="false">IF(AND(T3550=1,P3550&lt;&gt;"",P3550&lt;=Q3550),1,0)</f>
        <v>0</v>
      </c>
    </row>
    <row r="3551" customFormat="false" ht="15" hidden="false" customHeight="false" outlineLevel="0" collapsed="false">
      <c r="A3551" s="7" t="s">
        <v>4163</v>
      </c>
      <c r="B3551" s="7" t="s">
        <v>46</v>
      </c>
      <c r="C3551" s="7" t="s">
        <v>158</v>
      </c>
      <c r="D3551" s="7" t="s">
        <v>81</v>
      </c>
      <c r="E3551" s="7" t="s">
        <v>82</v>
      </c>
      <c r="F3551" s="7" t="s">
        <v>56</v>
      </c>
      <c r="G3551" s="7" t="s">
        <v>20</v>
      </c>
      <c r="H3551" s="9" t="n">
        <v>45955</v>
      </c>
      <c r="I3551" s="9"/>
      <c r="J3551" s="7" t="n">
        <v>7.8</v>
      </c>
      <c r="K3551" s="7" t="s">
        <v>3856</v>
      </c>
      <c r="L3551" s="7" t="s">
        <v>21</v>
      </c>
      <c r="M3551" s="7" t="s">
        <v>4169</v>
      </c>
      <c r="N3551" s="7" t="s">
        <v>53</v>
      </c>
      <c r="O3551" s="10" t="n">
        <f aca="false">'Exec Summary'!$E$2-H3551</f>
        <v>279</v>
      </c>
      <c r="P3551" s="10" t="str">
        <f aca="false">IF(I3551="","",I3551-H3551)</f>
        <v/>
      </c>
      <c r="Q3551" s="10" t="n">
        <f aca="false">VLOOKUP(G3551,$AA$2:$AB$5,2,FALSE())</f>
        <v>30</v>
      </c>
      <c r="R3551" s="7" t="n">
        <f aca="false">IF(OR(F3551="Open",F3551="Reopened"),1,0)</f>
        <v>1</v>
      </c>
      <c r="S3551" s="7" t="n">
        <f aca="false">IF(AND(H3551&gt;='Exec Summary'!$E$1,H3551&lt;='Exec Summary'!$E$2),1,0)</f>
        <v>0</v>
      </c>
      <c r="T3551" s="7" t="n">
        <f aca="false">IF(AND(F3551="Closed",I3551&lt;&gt;"",I3551&gt;='Exec Summary'!$E$1,I3551&lt;='Exec Summary'!$E$2),1,0)</f>
        <v>0</v>
      </c>
      <c r="U3551" s="7" t="n">
        <f aca="false">IF(F3551="Reopened",1,0)</f>
        <v>0</v>
      </c>
      <c r="V3551" s="7" t="n">
        <f aca="false">IF(AND(R3551=1,O3551&gt;Q3551),1,0)</f>
        <v>1</v>
      </c>
      <c r="W3551" s="7" t="n">
        <f aca="false">IF(AND(T3551=1,P3551&lt;&gt;"",P3551&lt;=Q3551),1,0)</f>
        <v>0</v>
      </c>
    </row>
    <row r="3552" customFormat="false" ht="15" hidden="false" customHeight="false" outlineLevel="0" collapsed="false">
      <c r="A3552" s="7" t="s">
        <v>4170</v>
      </c>
      <c r="B3552" s="7" t="s">
        <v>46</v>
      </c>
      <c r="C3552" s="7" t="s">
        <v>158</v>
      </c>
      <c r="D3552" s="7" t="s">
        <v>98</v>
      </c>
      <c r="E3552" s="7" t="s">
        <v>99</v>
      </c>
      <c r="F3552" s="7" t="s">
        <v>56</v>
      </c>
      <c r="G3552" s="7" t="s">
        <v>19</v>
      </c>
      <c r="H3552" s="9" t="n">
        <v>46161</v>
      </c>
      <c r="I3552" s="9"/>
      <c r="J3552" s="7" t="n">
        <v>10</v>
      </c>
      <c r="K3552" s="7" t="s">
        <v>4171</v>
      </c>
      <c r="L3552" s="7" t="s">
        <v>21</v>
      </c>
      <c r="M3552" s="7" t="s">
        <v>4172</v>
      </c>
      <c r="N3552" s="7" t="s">
        <v>58</v>
      </c>
      <c r="O3552" s="10" t="n">
        <f aca="false">'Exec Summary'!$E$2-H3552</f>
        <v>73</v>
      </c>
      <c r="P3552" s="10" t="str">
        <f aca="false">IF(I3552="","",I3552-H3552)</f>
        <v/>
      </c>
      <c r="Q3552" s="10" t="n">
        <f aca="false">VLOOKUP(G3552,$AA$2:$AB$5,2,FALSE())</f>
        <v>15</v>
      </c>
      <c r="R3552" s="7" t="n">
        <f aca="false">IF(OR(F3552="Open",F3552="Reopened"),1,0)</f>
        <v>1</v>
      </c>
      <c r="S3552" s="7" t="n">
        <f aca="false">IF(AND(H3552&gt;='Exec Summary'!$E$1,H3552&lt;='Exec Summary'!$E$2),1,0)</f>
        <v>0</v>
      </c>
      <c r="T3552" s="7" t="n">
        <f aca="false">IF(AND(F3552="Closed",I3552&lt;&gt;"",I3552&gt;='Exec Summary'!$E$1,I3552&lt;='Exec Summary'!$E$2),1,0)</f>
        <v>0</v>
      </c>
      <c r="U3552" s="7" t="n">
        <f aca="false">IF(F3552="Reopened",1,0)</f>
        <v>0</v>
      </c>
      <c r="V3552" s="7" t="n">
        <f aca="false">IF(AND(R3552=1,O3552&gt;Q3552),1,0)</f>
        <v>1</v>
      </c>
      <c r="W3552" s="7" t="n">
        <f aca="false">IF(AND(T3552=1,P3552&lt;&gt;"",P3552&lt;=Q3552),1,0)</f>
        <v>0</v>
      </c>
    </row>
    <row r="3553" customFormat="false" ht="15" hidden="false" customHeight="false" outlineLevel="0" collapsed="false">
      <c r="A3553" s="7" t="s">
        <v>4170</v>
      </c>
      <c r="B3553" s="7" t="s">
        <v>46</v>
      </c>
      <c r="C3553" s="7" t="s">
        <v>158</v>
      </c>
      <c r="D3553" s="7" t="s">
        <v>210</v>
      </c>
      <c r="E3553" s="7" t="s">
        <v>211</v>
      </c>
      <c r="F3553" s="7" t="s">
        <v>50</v>
      </c>
      <c r="G3553" s="7" t="s">
        <v>19</v>
      </c>
      <c r="H3553" s="9" t="n">
        <v>46103</v>
      </c>
      <c r="I3553" s="9" t="n">
        <v>46104</v>
      </c>
      <c r="J3553" s="7" t="n">
        <v>9.8</v>
      </c>
      <c r="K3553" s="7" t="s">
        <v>4171</v>
      </c>
      <c r="L3553" s="7" t="s">
        <v>21</v>
      </c>
      <c r="M3553" s="7" t="s">
        <v>4173</v>
      </c>
      <c r="N3553" s="7" t="s">
        <v>58</v>
      </c>
      <c r="O3553" s="10" t="n">
        <f aca="false">'Exec Summary'!$E$2-H3553</f>
        <v>131</v>
      </c>
      <c r="P3553" s="10" t="n">
        <f aca="false">IF(I3553="","",I3553-H3553)</f>
        <v>1</v>
      </c>
      <c r="Q3553" s="10" t="n">
        <f aca="false">VLOOKUP(G3553,$AA$2:$AB$5,2,FALSE())</f>
        <v>15</v>
      </c>
      <c r="R3553" s="7" t="n">
        <f aca="false">IF(OR(F3553="Open",F3553="Reopened"),1,0)</f>
        <v>0</v>
      </c>
      <c r="S3553" s="7" t="n">
        <f aca="false">IF(AND(H3553&gt;='Exec Summary'!$E$1,H3553&lt;='Exec Summary'!$E$2),1,0)</f>
        <v>0</v>
      </c>
      <c r="T3553" s="7" t="n">
        <f aca="false">IF(AND(F3553="Closed",I3553&lt;&gt;"",I3553&gt;='Exec Summary'!$E$1,I3553&lt;='Exec Summary'!$E$2),1,0)</f>
        <v>0</v>
      </c>
      <c r="U3553" s="7" t="n">
        <f aca="false">IF(F3553="Reopened",1,0)</f>
        <v>0</v>
      </c>
      <c r="V3553" s="7" t="n">
        <f aca="false">IF(AND(R3553=1,O3553&gt;Q3553),1,0)</f>
        <v>0</v>
      </c>
      <c r="W3553" s="7" t="n">
        <f aca="false">IF(AND(T3553=1,P3553&lt;&gt;"",P3553&lt;=Q3553),1,0)</f>
        <v>0</v>
      </c>
    </row>
    <row r="3554" customFormat="false" ht="15" hidden="false" customHeight="false" outlineLevel="0" collapsed="false">
      <c r="A3554" s="7" t="s">
        <v>4174</v>
      </c>
      <c r="B3554" s="7" t="s">
        <v>46</v>
      </c>
      <c r="C3554" s="7" t="s">
        <v>79</v>
      </c>
      <c r="D3554" s="7" t="s">
        <v>145</v>
      </c>
      <c r="E3554" s="7" t="s">
        <v>146</v>
      </c>
      <c r="F3554" s="7" t="s">
        <v>50</v>
      </c>
      <c r="G3554" s="7" t="s">
        <v>19</v>
      </c>
      <c r="H3554" s="9" t="n">
        <v>46152</v>
      </c>
      <c r="I3554" s="9" t="n">
        <v>46164</v>
      </c>
      <c r="J3554" s="7" t="n">
        <v>9.8</v>
      </c>
      <c r="K3554" s="7" t="s">
        <v>4171</v>
      </c>
      <c r="L3554" s="7" t="s">
        <v>21</v>
      </c>
      <c r="M3554" s="7" t="s">
        <v>4175</v>
      </c>
      <c r="N3554" s="7" t="s">
        <v>58</v>
      </c>
      <c r="O3554" s="10" t="n">
        <f aca="false">'Exec Summary'!$E$2-H3554</f>
        <v>82</v>
      </c>
      <c r="P3554" s="10" t="n">
        <f aca="false">IF(I3554="","",I3554-H3554)</f>
        <v>12</v>
      </c>
      <c r="Q3554" s="10" t="n">
        <f aca="false">VLOOKUP(G3554,$AA$2:$AB$5,2,FALSE())</f>
        <v>15</v>
      </c>
      <c r="R3554" s="7" t="n">
        <f aca="false">IF(OR(F3554="Open",F3554="Reopened"),1,0)</f>
        <v>0</v>
      </c>
      <c r="S3554" s="7" t="n">
        <f aca="false">IF(AND(H3554&gt;='Exec Summary'!$E$1,H3554&lt;='Exec Summary'!$E$2),1,0)</f>
        <v>0</v>
      </c>
      <c r="T3554" s="7" t="n">
        <f aca="false">IF(AND(F3554="Closed",I3554&lt;&gt;"",I3554&gt;='Exec Summary'!$E$1,I3554&lt;='Exec Summary'!$E$2),1,0)</f>
        <v>0</v>
      </c>
      <c r="U3554" s="7" t="n">
        <f aca="false">IF(F3554="Reopened",1,0)</f>
        <v>0</v>
      </c>
      <c r="V3554" s="7" t="n">
        <f aca="false">IF(AND(R3554=1,O3554&gt;Q3554),1,0)</f>
        <v>0</v>
      </c>
      <c r="W3554" s="7" t="n">
        <f aca="false">IF(AND(T3554=1,P3554&lt;&gt;"",P3554&lt;=Q3554),1,0)</f>
        <v>0</v>
      </c>
    </row>
    <row r="3555" customFormat="false" ht="15" hidden="false" customHeight="false" outlineLevel="0" collapsed="false">
      <c r="A3555" s="7" t="s">
        <v>4176</v>
      </c>
      <c r="B3555" s="7" t="s">
        <v>46</v>
      </c>
      <c r="C3555" s="7" t="s">
        <v>79</v>
      </c>
      <c r="D3555" s="7" t="s">
        <v>210</v>
      </c>
      <c r="E3555" s="7" t="s">
        <v>211</v>
      </c>
      <c r="F3555" s="7" t="s">
        <v>50</v>
      </c>
      <c r="G3555" s="7" t="s">
        <v>19</v>
      </c>
      <c r="H3555" s="9" t="n">
        <v>46004</v>
      </c>
      <c r="I3555" s="9" t="n">
        <v>46019</v>
      </c>
      <c r="J3555" s="7" t="n">
        <v>9.8</v>
      </c>
      <c r="K3555" s="7" t="s">
        <v>4171</v>
      </c>
      <c r="L3555" s="7" t="s">
        <v>21</v>
      </c>
      <c r="M3555" s="7" t="s">
        <v>4177</v>
      </c>
      <c r="N3555" s="7" t="s">
        <v>58</v>
      </c>
      <c r="O3555" s="10" t="n">
        <f aca="false">'Exec Summary'!$E$2-H3555</f>
        <v>230</v>
      </c>
      <c r="P3555" s="10" t="n">
        <f aca="false">IF(I3555="","",I3555-H3555)</f>
        <v>15</v>
      </c>
      <c r="Q3555" s="10" t="n">
        <f aca="false">VLOOKUP(G3555,$AA$2:$AB$5,2,FALSE())</f>
        <v>15</v>
      </c>
      <c r="R3555" s="7" t="n">
        <f aca="false">IF(OR(F3555="Open",F3555="Reopened"),1,0)</f>
        <v>0</v>
      </c>
      <c r="S3555" s="7" t="n">
        <f aca="false">IF(AND(H3555&gt;='Exec Summary'!$E$1,H3555&lt;='Exec Summary'!$E$2),1,0)</f>
        <v>0</v>
      </c>
      <c r="T3555" s="7" t="n">
        <f aca="false">IF(AND(F3555="Closed",I3555&lt;&gt;"",I3555&gt;='Exec Summary'!$E$1,I3555&lt;='Exec Summary'!$E$2),1,0)</f>
        <v>0</v>
      </c>
      <c r="U3555" s="7" t="n">
        <f aca="false">IF(F3555="Reopened",1,0)</f>
        <v>0</v>
      </c>
      <c r="V3555" s="7" t="n">
        <f aca="false">IF(AND(R3555=1,O3555&gt;Q3555),1,0)</f>
        <v>0</v>
      </c>
      <c r="W3555" s="7" t="n">
        <f aca="false">IF(AND(T3555=1,P3555&lt;&gt;"",P3555&lt;=Q3555),1,0)</f>
        <v>0</v>
      </c>
    </row>
    <row r="3556" customFormat="false" ht="15" hidden="false" customHeight="false" outlineLevel="0" collapsed="false">
      <c r="A3556" s="7" t="s">
        <v>4176</v>
      </c>
      <c r="B3556" s="7" t="s">
        <v>46</v>
      </c>
      <c r="C3556" s="7" t="s">
        <v>79</v>
      </c>
      <c r="D3556" s="7" t="s">
        <v>91</v>
      </c>
      <c r="E3556" s="7" t="s">
        <v>92</v>
      </c>
      <c r="F3556" s="7" t="s">
        <v>56</v>
      </c>
      <c r="G3556" s="7" t="s">
        <v>20</v>
      </c>
      <c r="H3556" s="9" t="n">
        <v>46061</v>
      </c>
      <c r="I3556" s="9"/>
      <c r="J3556" s="7" t="n">
        <v>8.1</v>
      </c>
      <c r="K3556" s="7" t="s">
        <v>4171</v>
      </c>
      <c r="L3556" s="7" t="s">
        <v>21</v>
      </c>
      <c r="M3556" s="7" t="s">
        <v>4178</v>
      </c>
      <c r="N3556" s="7" t="s">
        <v>53</v>
      </c>
      <c r="O3556" s="10" t="n">
        <f aca="false">'Exec Summary'!$E$2-H3556</f>
        <v>173</v>
      </c>
      <c r="P3556" s="10" t="str">
        <f aca="false">IF(I3556="","",I3556-H3556)</f>
        <v/>
      </c>
      <c r="Q3556" s="10" t="n">
        <f aca="false">VLOOKUP(G3556,$AA$2:$AB$5,2,FALSE())</f>
        <v>30</v>
      </c>
      <c r="R3556" s="7" t="n">
        <f aca="false">IF(OR(F3556="Open",F3556="Reopened"),1,0)</f>
        <v>1</v>
      </c>
      <c r="S3556" s="7" t="n">
        <f aca="false">IF(AND(H3556&gt;='Exec Summary'!$E$1,H3556&lt;='Exec Summary'!$E$2),1,0)</f>
        <v>0</v>
      </c>
      <c r="T3556" s="7" t="n">
        <f aca="false">IF(AND(F3556="Closed",I3556&lt;&gt;"",I3556&gt;='Exec Summary'!$E$1,I3556&lt;='Exec Summary'!$E$2),1,0)</f>
        <v>0</v>
      </c>
      <c r="U3556" s="7" t="n">
        <f aca="false">IF(F3556="Reopened",1,0)</f>
        <v>0</v>
      </c>
      <c r="V3556" s="7" t="n">
        <f aca="false">IF(AND(R3556=1,O3556&gt;Q3556),1,0)</f>
        <v>1</v>
      </c>
      <c r="W3556" s="7" t="n">
        <f aca="false">IF(AND(T3556=1,P3556&lt;&gt;"",P3556&lt;=Q3556),1,0)</f>
        <v>0</v>
      </c>
    </row>
    <row r="3557" customFormat="false" ht="15" hidden="false" customHeight="false" outlineLevel="0" collapsed="false">
      <c r="A3557" s="7" t="s">
        <v>4176</v>
      </c>
      <c r="B3557" s="7" t="s">
        <v>46</v>
      </c>
      <c r="C3557" s="7" t="s">
        <v>79</v>
      </c>
      <c r="D3557" s="7" t="s">
        <v>139</v>
      </c>
      <c r="E3557" s="7" t="s">
        <v>140</v>
      </c>
      <c r="F3557" s="7" t="s">
        <v>56</v>
      </c>
      <c r="G3557" s="7" t="s">
        <v>19</v>
      </c>
      <c r="H3557" s="9" t="n">
        <v>46129</v>
      </c>
      <c r="I3557" s="9"/>
      <c r="J3557" s="7" t="n">
        <v>9.8</v>
      </c>
      <c r="K3557" s="7" t="s">
        <v>4171</v>
      </c>
      <c r="L3557" s="7" t="s">
        <v>21</v>
      </c>
      <c r="M3557" s="7" t="s">
        <v>4179</v>
      </c>
      <c r="N3557" s="7" t="s">
        <v>58</v>
      </c>
      <c r="O3557" s="10" t="n">
        <f aca="false">'Exec Summary'!$E$2-H3557</f>
        <v>105</v>
      </c>
      <c r="P3557" s="10" t="str">
        <f aca="false">IF(I3557="","",I3557-H3557)</f>
        <v/>
      </c>
      <c r="Q3557" s="10" t="n">
        <f aca="false">VLOOKUP(G3557,$AA$2:$AB$5,2,FALSE())</f>
        <v>15</v>
      </c>
      <c r="R3557" s="7" t="n">
        <f aca="false">IF(OR(F3557="Open",F3557="Reopened"),1,0)</f>
        <v>1</v>
      </c>
      <c r="S3557" s="7" t="n">
        <f aca="false">IF(AND(H3557&gt;='Exec Summary'!$E$1,H3557&lt;='Exec Summary'!$E$2),1,0)</f>
        <v>0</v>
      </c>
      <c r="T3557" s="7" t="n">
        <f aca="false">IF(AND(F3557="Closed",I3557&lt;&gt;"",I3557&gt;='Exec Summary'!$E$1,I3557&lt;='Exec Summary'!$E$2),1,0)</f>
        <v>0</v>
      </c>
      <c r="U3557" s="7" t="n">
        <f aca="false">IF(F3557="Reopened",1,0)</f>
        <v>0</v>
      </c>
      <c r="V3557" s="7" t="n">
        <f aca="false">IF(AND(R3557=1,O3557&gt;Q3557),1,0)</f>
        <v>1</v>
      </c>
      <c r="W3557" s="7" t="n">
        <f aca="false">IF(AND(T3557=1,P3557&lt;&gt;"",P3557&lt;=Q3557),1,0)</f>
        <v>0</v>
      </c>
    </row>
    <row r="3558" customFormat="false" ht="15" hidden="false" customHeight="false" outlineLevel="0" collapsed="false">
      <c r="A3558" s="7" t="s">
        <v>4176</v>
      </c>
      <c r="B3558" s="7" t="s">
        <v>46</v>
      </c>
      <c r="C3558" s="7" t="s">
        <v>79</v>
      </c>
      <c r="D3558" s="7" t="s">
        <v>192</v>
      </c>
      <c r="E3558" s="7" t="s">
        <v>193</v>
      </c>
      <c r="F3558" s="7" t="s">
        <v>50</v>
      </c>
      <c r="G3558" s="7" t="s">
        <v>19</v>
      </c>
      <c r="H3558" s="9" t="n">
        <v>46179</v>
      </c>
      <c r="I3558" s="9" t="n">
        <v>46180</v>
      </c>
      <c r="J3558" s="7" t="n">
        <v>9.8</v>
      </c>
      <c r="K3558" s="7" t="s">
        <v>4171</v>
      </c>
      <c r="L3558" s="7" t="s">
        <v>21</v>
      </c>
      <c r="M3558" s="7" t="s">
        <v>4180</v>
      </c>
      <c r="N3558" s="7" t="s">
        <v>58</v>
      </c>
      <c r="O3558" s="10" t="n">
        <f aca="false">'Exec Summary'!$E$2-H3558</f>
        <v>55</v>
      </c>
      <c r="P3558" s="10" t="n">
        <f aca="false">IF(I3558="","",I3558-H3558)</f>
        <v>1</v>
      </c>
      <c r="Q3558" s="10" t="n">
        <f aca="false">VLOOKUP(G3558,$AA$2:$AB$5,2,FALSE())</f>
        <v>15</v>
      </c>
      <c r="R3558" s="7" t="n">
        <f aca="false">IF(OR(F3558="Open",F3558="Reopened"),1,0)</f>
        <v>0</v>
      </c>
      <c r="S3558" s="7" t="n">
        <f aca="false">IF(AND(H3558&gt;='Exec Summary'!$E$1,H3558&lt;='Exec Summary'!$E$2),1,0)</f>
        <v>0</v>
      </c>
      <c r="T3558" s="7" t="n">
        <f aca="false">IF(AND(F3558="Closed",I3558&lt;&gt;"",I3558&gt;='Exec Summary'!$E$1,I3558&lt;='Exec Summary'!$E$2),1,0)</f>
        <v>0</v>
      </c>
      <c r="U3558" s="7" t="n">
        <f aca="false">IF(F3558="Reopened",1,0)</f>
        <v>0</v>
      </c>
      <c r="V3558" s="7" t="n">
        <f aca="false">IF(AND(R3558=1,O3558&gt;Q3558),1,0)</f>
        <v>0</v>
      </c>
      <c r="W3558" s="7" t="n">
        <f aca="false">IF(AND(T3558=1,P3558&lt;&gt;"",P3558&lt;=Q3558),1,0)</f>
        <v>0</v>
      </c>
    </row>
    <row r="3559" customFormat="false" ht="15" hidden="false" customHeight="false" outlineLevel="0" collapsed="false">
      <c r="A3559" s="7" t="s">
        <v>4176</v>
      </c>
      <c r="B3559" s="7" t="s">
        <v>46</v>
      </c>
      <c r="C3559" s="7" t="s">
        <v>79</v>
      </c>
      <c r="D3559" s="7" t="s">
        <v>84</v>
      </c>
      <c r="E3559" s="7" t="s">
        <v>85</v>
      </c>
      <c r="F3559" s="7" t="s">
        <v>50</v>
      </c>
      <c r="G3559" s="7" t="s">
        <v>20</v>
      </c>
      <c r="H3559" s="9" t="n">
        <v>46072</v>
      </c>
      <c r="I3559" s="9" t="n">
        <v>46097</v>
      </c>
      <c r="J3559" s="7" t="n">
        <v>7.5</v>
      </c>
      <c r="K3559" s="7" t="s">
        <v>4171</v>
      </c>
      <c r="L3559" s="7" t="s">
        <v>21</v>
      </c>
      <c r="M3559" s="7" t="s">
        <v>4181</v>
      </c>
      <c r="N3559" s="7" t="s">
        <v>53</v>
      </c>
      <c r="O3559" s="10" t="n">
        <f aca="false">'Exec Summary'!$E$2-H3559</f>
        <v>162</v>
      </c>
      <c r="P3559" s="10" t="n">
        <f aca="false">IF(I3559="","",I3559-H3559)</f>
        <v>25</v>
      </c>
      <c r="Q3559" s="10" t="n">
        <f aca="false">VLOOKUP(G3559,$AA$2:$AB$5,2,FALSE())</f>
        <v>30</v>
      </c>
      <c r="R3559" s="7" t="n">
        <f aca="false">IF(OR(F3559="Open",F3559="Reopened"),1,0)</f>
        <v>0</v>
      </c>
      <c r="S3559" s="7" t="n">
        <f aca="false">IF(AND(H3559&gt;='Exec Summary'!$E$1,H3559&lt;='Exec Summary'!$E$2),1,0)</f>
        <v>0</v>
      </c>
      <c r="T3559" s="7" t="n">
        <f aca="false">IF(AND(F3559="Closed",I3559&lt;&gt;"",I3559&gt;='Exec Summary'!$E$1,I3559&lt;='Exec Summary'!$E$2),1,0)</f>
        <v>0</v>
      </c>
      <c r="U3559" s="7" t="n">
        <f aca="false">IF(F3559="Reopened",1,0)</f>
        <v>0</v>
      </c>
      <c r="V3559" s="7" t="n">
        <f aca="false">IF(AND(R3559=1,O3559&gt;Q3559),1,0)</f>
        <v>0</v>
      </c>
      <c r="W3559" s="7" t="n">
        <f aca="false">IF(AND(T3559=1,P3559&lt;&gt;"",P3559&lt;=Q3559),1,0)</f>
        <v>0</v>
      </c>
    </row>
    <row r="3560" customFormat="false" ht="15" hidden="false" customHeight="false" outlineLevel="0" collapsed="false">
      <c r="A3560" s="7" t="s">
        <v>4176</v>
      </c>
      <c r="B3560" s="7" t="s">
        <v>46</v>
      </c>
      <c r="C3560" s="7" t="s">
        <v>79</v>
      </c>
      <c r="D3560" s="7" t="s">
        <v>95</v>
      </c>
      <c r="E3560" s="7" t="s">
        <v>96</v>
      </c>
      <c r="F3560" s="7" t="s">
        <v>56</v>
      </c>
      <c r="G3560" s="7" t="s">
        <v>20</v>
      </c>
      <c r="H3560" s="9" t="n">
        <v>45949</v>
      </c>
      <c r="I3560" s="9"/>
      <c r="J3560" s="7" t="n">
        <v>8.8</v>
      </c>
      <c r="K3560" s="7" t="s">
        <v>4171</v>
      </c>
      <c r="L3560" s="7" t="s">
        <v>21</v>
      </c>
      <c r="M3560" s="7" t="s">
        <v>4182</v>
      </c>
      <c r="N3560" s="7" t="s">
        <v>53</v>
      </c>
      <c r="O3560" s="10" t="n">
        <f aca="false">'Exec Summary'!$E$2-H3560</f>
        <v>285</v>
      </c>
      <c r="P3560" s="10" t="str">
        <f aca="false">IF(I3560="","",I3560-H3560)</f>
        <v/>
      </c>
      <c r="Q3560" s="10" t="n">
        <f aca="false">VLOOKUP(G3560,$AA$2:$AB$5,2,FALSE())</f>
        <v>30</v>
      </c>
      <c r="R3560" s="7" t="n">
        <f aca="false">IF(OR(F3560="Open",F3560="Reopened"),1,0)</f>
        <v>1</v>
      </c>
      <c r="S3560" s="7" t="n">
        <f aca="false">IF(AND(H3560&gt;='Exec Summary'!$E$1,H3560&lt;='Exec Summary'!$E$2),1,0)</f>
        <v>0</v>
      </c>
      <c r="T3560" s="7" t="n">
        <f aca="false">IF(AND(F3560="Closed",I3560&lt;&gt;"",I3560&gt;='Exec Summary'!$E$1,I3560&lt;='Exec Summary'!$E$2),1,0)</f>
        <v>0</v>
      </c>
      <c r="U3560" s="7" t="n">
        <f aca="false">IF(F3560="Reopened",1,0)</f>
        <v>0</v>
      </c>
      <c r="V3560" s="7" t="n">
        <f aca="false">IF(AND(R3560=1,O3560&gt;Q3560),1,0)</f>
        <v>1</v>
      </c>
      <c r="W3560" s="7" t="n">
        <f aca="false">IF(AND(T3560=1,P3560&lt;&gt;"",P3560&lt;=Q3560),1,0)</f>
        <v>0</v>
      </c>
    </row>
    <row r="3561" customFormat="false" ht="15" hidden="false" customHeight="false" outlineLevel="0" collapsed="false">
      <c r="A3561" s="7" t="s">
        <v>4176</v>
      </c>
      <c r="B3561" s="7" t="s">
        <v>46</v>
      </c>
      <c r="C3561" s="7" t="s">
        <v>79</v>
      </c>
      <c r="D3561" s="7" t="s">
        <v>145</v>
      </c>
      <c r="E3561" s="7" t="s">
        <v>146</v>
      </c>
      <c r="F3561" s="7" t="s">
        <v>56</v>
      </c>
      <c r="G3561" s="7" t="s">
        <v>19</v>
      </c>
      <c r="H3561" s="9" t="n">
        <v>45963</v>
      </c>
      <c r="I3561" s="9"/>
      <c r="J3561" s="7" t="n">
        <v>9.8</v>
      </c>
      <c r="K3561" s="7" t="s">
        <v>4171</v>
      </c>
      <c r="L3561" s="7" t="s">
        <v>21</v>
      </c>
      <c r="M3561" s="7" t="s">
        <v>4183</v>
      </c>
      <c r="N3561" s="7" t="s">
        <v>58</v>
      </c>
      <c r="O3561" s="10" t="n">
        <f aca="false">'Exec Summary'!$E$2-H3561</f>
        <v>271</v>
      </c>
      <c r="P3561" s="10" t="str">
        <f aca="false">IF(I3561="","",I3561-H3561)</f>
        <v/>
      </c>
      <c r="Q3561" s="10" t="n">
        <f aca="false">VLOOKUP(G3561,$AA$2:$AB$5,2,FALSE())</f>
        <v>15</v>
      </c>
      <c r="R3561" s="7" t="n">
        <f aca="false">IF(OR(F3561="Open",F3561="Reopened"),1,0)</f>
        <v>1</v>
      </c>
      <c r="S3561" s="7" t="n">
        <f aca="false">IF(AND(H3561&gt;='Exec Summary'!$E$1,H3561&lt;='Exec Summary'!$E$2),1,0)</f>
        <v>0</v>
      </c>
      <c r="T3561" s="7" t="n">
        <f aca="false">IF(AND(F3561="Closed",I3561&lt;&gt;"",I3561&gt;='Exec Summary'!$E$1,I3561&lt;='Exec Summary'!$E$2),1,0)</f>
        <v>0</v>
      </c>
      <c r="U3561" s="7" t="n">
        <f aca="false">IF(F3561="Reopened",1,0)</f>
        <v>0</v>
      </c>
      <c r="V3561" s="7" t="n">
        <f aca="false">IF(AND(R3561=1,O3561&gt;Q3561),1,0)</f>
        <v>1</v>
      </c>
      <c r="W3561" s="7" t="n">
        <f aca="false">IF(AND(T3561=1,P3561&lt;&gt;"",P3561&lt;=Q3561),1,0)</f>
        <v>0</v>
      </c>
    </row>
    <row r="3562" customFormat="false" ht="15" hidden="false" customHeight="false" outlineLevel="0" collapsed="false">
      <c r="A3562" s="7" t="s">
        <v>4184</v>
      </c>
      <c r="B3562" s="7" t="s">
        <v>46</v>
      </c>
      <c r="C3562" s="7" t="s">
        <v>79</v>
      </c>
      <c r="D3562" s="7" t="s">
        <v>95</v>
      </c>
      <c r="E3562" s="7" t="s">
        <v>96</v>
      </c>
      <c r="F3562" s="7" t="s">
        <v>56</v>
      </c>
      <c r="G3562" s="7" t="s">
        <v>20</v>
      </c>
      <c r="H3562" s="9" t="n">
        <v>45962</v>
      </c>
      <c r="I3562" s="9"/>
      <c r="J3562" s="7" t="n">
        <v>8.8</v>
      </c>
      <c r="K3562" s="7" t="s">
        <v>4171</v>
      </c>
      <c r="L3562" s="7" t="s">
        <v>20</v>
      </c>
      <c r="M3562" s="7" t="s">
        <v>4185</v>
      </c>
      <c r="N3562" s="7" t="s">
        <v>53</v>
      </c>
      <c r="O3562" s="10" t="n">
        <f aca="false">'Exec Summary'!$E$2-H3562</f>
        <v>272</v>
      </c>
      <c r="P3562" s="10" t="str">
        <f aca="false">IF(I3562="","",I3562-H3562)</f>
        <v/>
      </c>
      <c r="Q3562" s="10" t="n">
        <f aca="false">VLOOKUP(G3562,$AA$2:$AB$5,2,FALSE())</f>
        <v>30</v>
      </c>
      <c r="R3562" s="7" t="n">
        <f aca="false">IF(OR(F3562="Open",F3562="Reopened"),1,0)</f>
        <v>1</v>
      </c>
      <c r="S3562" s="7" t="n">
        <f aca="false">IF(AND(H3562&gt;='Exec Summary'!$E$1,H3562&lt;='Exec Summary'!$E$2),1,0)</f>
        <v>0</v>
      </c>
      <c r="T3562" s="7" t="n">
        <f aca="false">IF(AND(F3562="Closed",I3562&lt;&gt;"",I3562&gt;='Exec Summary'!$E$1,I3562&lt;='Exec Summary'!$E$2),1,0)</f>
        <v>0</v>
      </c>
      <c r="U3562" s="7" t="n">
        <f aca="false">IF(F3562="Reopened",1,0)</f>
        <v>0</v>
      </c>
      <c r="V3562" s="7" t="n">
        <f aca="false">IF(AND(R3562=1,O3562&gt;Q3562),1,0)</f>
        <v>1</v>
      </c>
      <c r="W3562" s="7" t="n">
        <f aca="false">IF(AND(T3562=1,P3562&lt;&gt;"",P3562&lt;=Q3562),1,0)</f>
        <v>0</v>
      </c>
    </row>
    <row r="3563" customFormat="false" ht="15" hidden="false" customHeight="false" outlineLevel="0" collapsed="false">
      <c r="A3563" s="7" t="s">
        <v>4184</v>
      </c>
      <c r="B3563" s="7" t="s">
        <v>46</v>
      </c>
      <c r="C3563" s="7" t="s">
        <v>79</v>
      </c>
      <c r="D3563" s="7" t="s">
        <v>91</v>
      </c>
      <c r="E3563" s="7" t="s">
        <v>92</v>
      </c>
      <c r="F3563" s="7" t="s">
        <v>50</v>
      </c>
      <c r="G3563" s="7" t="s">
        <v>20</v>
      </c>
      <c r="H3563" s="9" t="n">
        <v>46132</v>
      </c>
      <c r="I3563" s="9" t="n">
        <v>46168</v>
      </c>
      <c r="J3563" s="7" t="n">
        <v>8.1</v>
      </c>
      <c r="K3563" s="7" t="s">
        <v>4171</v>
      </c>
      <c r="L3563" s="7" t="s">
        <v>20</v>
      </c>
      <c r="M3563" s="7" t="s">
        <v>4186</v>
      </c>
      <c r="N3563" s="7" t="s">
        <v>53</v>
      </c>
      <c r="O3563" s="10" t="n">
        <f aca="false">'Exec Summary'!$E$2-H3563</f>
        <v>102</v>
      </c>
      <c r="P3563" s="10" t="n">
        <f aca="false">IF(I3563="","",I3563-H3563)</f>
        <v>36</v>
      </c>
      <c r="Q3563" s="10" t="n">
        <f aca="false">VLOOKUP(G3563,$AA$2:$AB$5,2,FALSE())</f>
        <v>30</v>
      </c>
      <c r="R3563" s="7" t="n">
        <f aca="false">IF(OR(F3563="Open",F3563="Reopened"),1,0)</f>
        <v>0</v>
      </c>
      <c r="S3563" s="7" t="n">
        <f aca="false">IF(AND(H3563&gt;='Exec Summary'!$E$1,H3563&lt;='Exec Summary'!$E$2),1,0)</f>
        <v>0</v>
      </c>
      <c r="T3563" s="7" t="n">
        <f aca="false">IF(AND(F3563="Closed",I3563&lt;&gt;"",I3563&gt;='Exec Summary'!$E$1,I3563&lt;='Exec Summary'!$E$2),1,0)</f>
        <v>0</v>
      </c>
      <c r="U3563" s="7" t="n">
        <f aca="false">IF(F3563="Reopened",1,0)</f>
        <v>0</v>
      </c>
      <c r="V3563" s="7" t="n">
        <f aca="false">IF(AND(R3563=1,O3563&gt;Q3563),1,0)</f>
        <v>0</v>
      </c>
      <c r="W3563" s="7" t="n">
        <f aca="false">IF(AND(T3563=1,P3563&lt;&gt;"",P3563&lt;=Q3563),1,0)</f>
        <v>0</v>
      </c>
    </row>
    <row r="3564" customFormat="false" ht="15" hidden="false" customHeight="false" outlineLevel="0" collapsed="false">
      <c r="A3564" s="7" t="s">
        <v>4184</v>
      </c>
      <c r="B3564" s="7" t="s">
        <v>46</v>
      </c>
      <c r="C3564" s="7" t="s">
        <v>79</v>
      </c>
      <c r="D3564" s="7" t="s">
        <v>59</v>
      </c>
      <c r="E3564" s="7" t="s">
        <v>60</v>
      </c>
      <c r="F3564" s="7" t="s">
        <v>56</v>
      </c>
      <c r="G3564" s="7" t="s">
        <v>19</v>
      </c>
      <c r="H3564" s="9" t="n">
        <v>46117</v>
      </c>
      <c r="I3564" s="9"/>
      <c r="J3564" s="7" t="n">
        <v>7.8</v>
      </c>
      <c r="K3564" s="7" t="s">
        <v>4171</v>
      </c>
      <c r="L3564" s="7" t="s">
        <v>20</v>
      </c>
      <c r="M3564" s="7" t="s">
        <v>4187</v>
      </c>
      <c r="N3564" s="7" t="s">
        <v>58</v>
      </c>
      <c r="O3564" s="10" t="n">
        <f aca="false">'Exec Summary'!$E$2-H3564</f>
        <v>117</v>
      </c>
      <c r="P3564" s="10" t="str">
        <f aca="false">IF(I3564="","",I3564-H3564)</f>
        <v/>
      </c>
      <c r="Q3564" s="10" t="n">
        <f aca="false">VLOOKUP(G3564,$AA$2:$AB$5,2,FALSE())</f>
        <v>15</v>
      </c>
      <c r="R3564" s="7" t="n">
        <f aca="false">IF(OR(F3564="Open",F3564="Reopened"),1,0)</f>
        <v>1</v>
      </c>
      <c r="S3564" s="7" t="n">
        <f aca="false">IF(AND(H3564&gt;='Exec Summary'!$E$1,H3564&lt;='Exec Summary'!$E$2),1,0)</f>
        <v>0</v>
      </c>
      <c r="T3564" s="7" t="n">
        <f aca="false">IF(AND(F3564="Closed",I3564&lt;&gt;"",I3564&gt;='Exec Summary'!$E$1,I3564&lt;='Exec Summary'!$E$2),1,0)</f>
        <v>0</v>
      </c>
      <c r="U3564" s="7" t="n">
        <f aca="false">IF(F3564="Reopened",1,0)</f>
        <v>0</v>
      </c>
      <c r="V3564" s="7" t="n">
        <f aca="false">IF(AND(R3564=1,O3564&gt;Q3564),1,0)</f>
        <v>1</v>
      </c>
      <c r="W3564" s="7" t="n">
        <f aca="false">IF(AND(T3564=1,P3564&lt;&gt;"",P3564&lt;=Q3564),1,0)</f>
        <v>0</v>
      </c>
    </row>
    <row r="3565" customFormat="false" ht="15" hidden="false" customHeight="false" outlineLevel="0" collapsed="false">
      <c r="A3565" s="7" t="s">
        <v>4184</v>
      </c>
      <c r="B3565" s="7" t="s">
        <v>46</v>
      </c>
      <c r="C3565" s="7" t="s">
        <v>79</v>
      </c>
      <c r="D3565" s="7" t="s">
        <v>120</v>
      </c>
      <c r="E3565" s="7" t="s">
        <v>121</v>
      </c>
      <c r="F3565" s="7" t="s">
        <v>56</v>
      </c>
      <c r="G3565" s="7" t="s">
        <v>19</v>
      </c>
      <c r="H3565" s="9" t="n">
        <v>46114</v>
      </c>
      <c r="I3565" s="9"/>
      <c r="J3565" s="7" t="n">
        <v>8.8</v>
      </c>
      <c r="K3565" s="7" t="s">
        <v>4171</v>
      </c>
      <c r="L3565" s="7" t="s">
        <v>20</v>
      </c>
      <c r="M3565" s="7" t="s">
        <v>4188</v>
      </c>
      <c r="N3565" s="7" t="s">
        <v>58</v>
      </c>
      <c r="O3565" s="10" t="n">
        <f aca="false">'Exec Summary'!$E$2-H3565</f>
        <v>120</v>
      </c>
      <c r="P3565" s="10" t="str">
        <f aca="false">IF(I3565="","",I3565-H3565)</f>
        <v/>
      </c>
      <c r="Q3565" s="10" t="n">
        <f aca="false">VLOOKUP(G3565,$AA$2:$AB$5,2,FALSE())</f>
        <v>15</v>
      </c>
      <c r="R3565" s="7" t="n">
        <f aca="false">IF(OR(F3565="Open",F3565="Reopened"),1,0)</f>
        <v>1</v>
      </c>
      <c r="S3565" s="7" t="n">
        <f aca="false">IF(AND(H3565&gt;='Exec Summary'!$E$1,H3565&lt;='Exec Summary'!$E$2),1,0)</f>
        <v>0</v>
      </c>
      <c r="T3565" s="7" t="n">
        <f aca="false">IF(AND(F3565="Closed",I3565&lt;&gt;"",I3565&gt;='Exec Summary'!$E$1,I3565&lt;='Exec Summary'!$E$2),1,0)</f>
        <v>0</v>
      </c>
      <c r="U3565" s="7" t="n">
        <f aca="false">IF(F3565="Reopened",1,0)</f>
        <v>0</v>
      </c>
      <c r="V3565" s="7" t="n">
        <f aca="false">IF(AND(R3565=1,O3565&gt;Q3565),1,0)</f>
        <v>1</v>
      </c>
      <c r="W3565" s="7" t="n">
        <f aca="false">IF(AND(T3565=1,P3565&lt;&gt;"",P3565&lt;=Q3565),1,0)</f>
        <v>0</v>
      </c>
    </row>
    <row r="3566" customFormat="false" ht="15" hidden="false" customHeight="false" outlineLevel="0" collapsed="false">
      <c r="A3566" s="7" t="s">
        <v>4189</v>
      </c>
      <c r="B3566" s="7" t="s">
        <v>46</v>
      </c>
      <c r="C3566" s="7" t="s">
        <v>128</v>
      </c>
      <c r="D3566" s="7" t="s">
        <v>192</v>
      </c>
      <c r="E3566" s="7" t="s">
        <v>193</v>
      </c>
      <c r="F3566" s="7" t="s">
        <v>50</v>
      </c>
      <c r="G3566" s="7" t="s">
        <v>19</v>
      </c>
      <c r="H3566" s="9" t="n">
        <v>46178</v>
      </c>
      <c r="I3566" s="9" t="n">
        <v>46179</v>
      </c>
      <c r="J3566" s="7" t="n">
        <v>9.8</v>
      </c>
      <c r="K3566" s="7" t="s">
        <v>4171</v>
      </c>
      <c r="L3566" s="7" t="s">
        <v>22</v>
      </c>
      <c r="M3566" s="7" t="s">
        <v>4190</v>
      </c>
      <c r="N3566" s="7" t="s">
        <v>58</v>
      </c>
      <c r="O3566" s="10" t="n">
        <f aca="false">'Exec Summary'!$E$2-H3566</f>
        <v>56</v>
      </c>
      <c r="P3566" s="10" t="n">
        <f aca="false">IF(I3566="","",I3566-H3566)</f>
        <v>1</v>
      </c>
      <c r="Q3566" s="10" t="n">
        <f aca="false">VLOOKUP(G3566,$AA$2:$AB$5,2,FALSE())</f>
        <v>15</v>
      </c>
      <c r="R3566" s="7" t="n">
        <f aca="false">IF(OR(F3566="Open",F3566="Reopened"),1,0)</f>
        <v>0</v>
      </c>
      <c r="S3566" s="7" t="n">
        <f aca="false">IF(AND(H3566&gt;='Exec Summary'!$E$1,H3566&lt;='Exec Summary'!$E$2),1,0)</f>
        <v>0</v>
      </c>
      <c r="T3566" s="7" t="n">
        <f aca="false">IF(AND(F3566="Closed",I3566&lt;&gt;"",I3566&gt;='Exec Summary'!$E$1,I3566&lt;='Exec Summary'!$E$2),1,0)</f>
        <v>0</v>
      </c>
      <c r="U3566" s="7" t="n">
        <f aca="false">IF(F3566="Reopened",1,0)</f>
        <v>0</v>
      </c>
      <c r="V3566" s="7" t="n">
        <f aca="false">IF(AND(R3566=1,O3566&gt;Q3566),1,0)</f>
        <v>0</v>
      </c>
      <c r="W3566" s="7" t="n">
        <f aca="false">IF(AND(T3566=1,P3566&lt;&gt;"",P3566&lt;=Q3566),1,0)</f>
        <v>0</v>
      </c>
    </row>
    <row r="3567" customFormat="false" ht="15" hidden="false" customHeight="false" outlineLevel="0" collapsed="false">
      <c r="A3567" s="7" t="s">
        <v>4189</v>
      </c>
      <c r="B3567" s="7" t="s">
        <v>46</v>
      </c>
      <c r="C3567" s="7" t="s">
        <v>128</v>
      </c>
      <c r="D3567" s="7" t="s">
        <v>84</v>
      </c>
      <c r="E3567" s="7" t="s">
        <v>85</v>
      </c>
      <c r="F3567" s="7" t="s">
        <v>50</v>
      </c>
      <c r="G3567" s="7" t="s">
        <v>20</v>
      </c>
      <c r="H3567" s="9" t="n">
        <v>46000</v>
      </c>
      <c r="I3567" s="9" t="n">
        <v>46033</v>
      </c>
      <c r="J3567" s="7" t="n">
        <v>7.5</v>
      </c>
      <c r="K3567" s="7" t="s">
        <v>4171</v>
      </c>
      <c r="L3567" s="7" t="s">
        <v>22</v>
      </c>
      <c r="M3567" s="7" t="s">
        <v>4191</v>
      </c>
      <c r="N3567" s="7" t="s">
        <v>53</v>
      </c>
      <c r="O3567" s="10" t="n">
        <f aca="false">'Exec Summary'!$E$2-H3567</f>
        <v>234</v>
      </c>
      <c r="P3567" s="10" t="n">
        <f aca="false">IF(I3567="","",I3567-H3567)</f>
        <v>33</v>
      </c>
      <c r="Q3567" s="10" t="n">
        <f aca="false">VLOOKUP(G3567,$AA$2:$AB$5,2,FALSE())</f>
        <v>30</v>
      </c>
      <c r="R3567" s="7" t="n">
        <f aca="false">IF(OR(F3567="Open",F3567="Reopened"),1,0)</f>
        <v>0</v>
      </c>
      <c r="S3567" s="7" t="n">
        <f aca="false">IF(AND(H3567&gt;='Exec Summary'!$E$1,H3567&lt;='Exec Summary'!$E$2),1,0)</f>
        <v>0</v>
      </c>
      <c r="T3567" s="7" t="n">
        <f aca="false">IF(AND(F3567="Closed",I3567&lt;&gt;"",I3567&gt;='Exec Summary'!$E$1,I3567&lt;='Exec Summary'!$E$2),1,0)</f>
        <v>0</v>
      </c>
      <c r="U3567" s="7" t="n">
        <f aca="false">IF(F3567="Reopened",1,0)</f>
        <v>0</v>
      </c>
      <c r="V3567" s="7" t="n">
        <f aca="false">IF(AND(R3567=1,O3567&gt;Q3567),1,0)</f>
        <v>0</v>
      </c>
      <c r="W3567" s="7" t="n">
        <f aca="false">IF(AND(T3567=1,P3567&lt;&gt;"",P3567&lt;=Q3567),1,0)</f>
        <v>0</v>
      </c>
    </row>
    <row r="3568" customFormat="false" ht="15" hidden="false" customHeight="false" outlineLevel="0" collapsed="false">
      <c r="A3568" s="7" t="s">
        <v>4189</v>
      </c>
      <c r="B3568" s="7" t="s">
        <v>46</v>
      </c>
      <c r="C3568" s="7" t="s">
        <v>128</v>
      </c>
      <c r="D3568" s="7" t="s">
        <v>74</v>
      </c>
      <c r="E3568" s="7" t="s">
        <v>75</v>
      </c>
      <c r="F3568" s="7" t="s">
        <v>50</v>
      </c>
      <c r="G3568" s="7" t="s">
        <v>21</v>
      </c>
      <c r="H3568" s="9" t="n">
        <v>45945</v>
      </c>
      <c r="I3568" s="9" t="n">
        <v>46077</v>
      </c>
      <c r="J3568" s="7" t="n">
        <v>6.5</v>
      </c>
      <c r="K3568" s="7" t="s">
        <v>4171</v>
      </c>
      <c r="L3568" s="7" t="s">
        <v>22</v>
      </c>
      <c r="M3568" s="7" t="s">
        <v>4192</v>
      </c>
      <c r="N3568" s="7" t="s">
        <v>77</v>
      </c>
      <c r="O3568" s="10" t="n">
        <f aca="false">'Exec Summary'!$E$2-H3568</f>
        <v>289</v>
      </c>
      <c r="P3568" s="10" t="n">
        <f aca="false">IF(I3568="","",I3568-H3568)</f>
        <v>132</v>
      </c>
      <c r="Q3568" s="10" t="n">
        <f aca="false">VLOOKUP(G3568,$AA$2:$AB$5,2,FALSE())</f>
        <v>90</v>
      </c>
      <c r="R3568" s="7" t="n">
        <f aca="false">IF(OR(F3568="Open",F3568="Reopened"),1,0)</f>
        <v>0</v>
      </c>
      <c r="S3568" s="7" t="n">
        <f aca="false">IF(AND(H3568&gt;='Exec Summary'!$E$1,H3568&lt;='Exec Summary'!$E$2),1,0)</f>
        <v>0</v>
      </c>
      <c r="T3568" s="7" t="n">
        <f aca="false">IF(AND(F3568="Closed",I3568&lt;&gt;"",I3568&gt;='Exec Summary'!$E$1,I3568&lt;='Exec Summary'!$E$2),1,0)</f>
        <v>0</v>
      </c>
      <c r="U3568" s="7" t="n">
        <f aca="false">IF(F3568="Reopened",1,0)</f>
        <v>0</v>
      </c>
      <c r="V3568" s="7" t="n">
        <f aca="false">IF(AND(R3568=1,O3568&gt;Q3568),1,0)</f>
        <v>0</v>
      </c>
      <c r="W3568" s="7" t="n">
        <f aca="false">IF(AND(T3568=1,P3568&lt;&gt;"",P3568&lt;=Q3568),1,0)</f>
        <v>0</v>
      </c>
    </row>
    <row r="3569" customFormat="false" ht="15" hidden="false" customHeight="false" outlineLevel="0" collapsed="false">
      <c r="A3569" s="7" t="s">
        <v>4189</v>
      </c>
      <c r="B3569" s="7" t="s">
        <v>46</v>
      </c>
      <c r="C3569" s="7" t="s">
        <v>128</v>
      </c>
      <c r="D3569" s="7" t="s">
        <v>54</v>
      </c>
      <c r="E3569" s="7" t="s">
        <v>55</v>
      </c>
      <c r="F3569" s="7" t="s">
        <v>56</v>
      </c>
      <c r="G3569" s="7" t="s">
        <v>19</v>
      </c>
      <c r="H3569" s="9" t="n">
        <v>45990</v>
      </c>
      <c r="I3569" s="9"/>
      <c r="J3569" s="7" t="n">
        <v>9.8</v>
      </c>
      <c r="K3569" s="7" t="s">
        <v>4171</v>
      </c>
      <c r="L3569" s="7" t="s">
        <v>22</v>
      </c>
      <c r="M3569" s="7" t="s">
        <v>4193</v>
      </c>
      <c r="N3569" s="7" t="s">
        <v>58</v>
      </c>
      <c r="O3569" s="10" t="n">
        <f aca="false">'Exec Summary'!$E$2-H3569</f>
        <v>244</v>
      </c>
      <c r="P3569" s="10" t="str">
        <f aca="false">IF(I3569="","",I3569-H3569)</f>
        <v/>
      </c>
      <c r="Q3569" s="10" t="n">
        <f aca="false">VLOOKUP(G3569,$AA$2:$AB$5,2,FALSE())</f>
        <v>15</v>
      </c>
      <c r="R3569" s="7" t="n">
        <f aca="false">IF(OR(F3569="Open",F3569="Reopened"),1,0)</f>
        <v>1</v>
      </c>
      <c r="S3569" s="7" t="n">
        <f aca="false">IF(AND(H3569&gt;='Exec Summary'!$E$1,H3569&lt;='Exec Summary'!$E$2),1,0)</f>
        <v>0</v>
      </c>
      <c r="T3569" s="7" t="n">
        <f aca="false">IF(AND(F3569="Closed",I3569&lt;&gt;"",I3569&gt;='Exec Summary'!$E$1,I3569&lt;='Exec Summary'!$E$2),1,0)</f>
        <v>0</v>
      </c>
      <c r="U3569" s="7" t="n">
        <f aca="false">IF(F3569="Reopened",1,0)</f>
        <v>0</v>
      </c>
      <c r="V3569" s="7" t="n">
        <f aca="false">IF(AND(R3569=1,O3569&gt;Q3569),1,0)</f>
        <v>1</v>
      </c>
      <c r="W3569" s="7" t="n">
        <f aca="false">IF(AND(T3569=1,P3569&lt;&gt;"",P3569&lt;=Q3569),1,0)</f>
        <v>0</v>
      </c>
    </row>
    <row r="3570" customFormat="false" ht="15" hidden="false" customHeight="false" outlineLevel="0" collapsed="false">
      <c r="A3570" s="7" t="s">
        <v>4189</v>
      </c>
      <c r="B3570" s="7" t="s">
        <v>46</v>
      </c>
      <c r="C3570" s="7" t="s">
        <v>128</v>
      </c>
      <c r="D3570" s="7" t="s">
        <v>65</v>
      </c>
      <c r="E3570" s="7" t="s">
        <v>66</v>
      </c>
      <c r="F3570" s="7" t="s">
        <v>50</v>
      </c>
      <c r="G3570" s="7" t="s">
        <v>19</v>
      </c>
      <c r="H3570" s="9" t="n">
        <v>45971</v>
      </c>
      <c r="I3570" s="9" t="n">
        <v>45988</v>
      </c>
      <c r="J3570" s="7" t="n">
        <v>9.8</v>
      </c>
      <c r="K3570" s="7" t="s">
        <v>4171</v>
      </c>
      <c r="L3570" s="7" t="s">
        <v>22</v>
      </c>
      <c r="M3570" s="7" t="s">
        <v>4194</v>
      </c>
      <c r="N3570" s="7" t="s">
        <v>58</v>
      </c>
      <c r="O3570" s="10" t="n">
        <f aca="false">'Exec Summary'!$E$2-H3570</f>
        <v>263</v>
      </c>
      <c r="P3570" s="10" t="n">
        <f aca="false">IF(I3570="","",I3570-H3570)</f>
        <v>17</v>
      </c>
      <c r="Q3570" s="10" t="n">
        <f aca="false">VLOOKUP(G3570,$AA$2:$AB$5,2,FALSE())</f>
        <v>15</v>
      </c>
      <c r="R3570" s="7" t="n">
        <f aca="false">IF(OR(F3570="Open",F3570="Reopened"),1,0)</f>
        <v>0</v>
      </c>
      <c r="S3570" s="7" t="n">
        <f aca="false">IF(AND(H3570&gt;='Exec Summary'!$E$1,H3570&lt;='Exec Summary'!$E$2),1,0)</f>
        <v>0</v>
      </c>
      <c r="T3570" s="7" t="n">
        <f aca="false">IF(AND(F3570="Closed",I3570&lt;&gt;"",I3570&gt;='Exec Summary'!$E$1,I3570&lt;='Exec Summary'!$E$2),1,0)</f>
        <v>0</v>
      </c>
      <c r="U3570" s="7" t="n">
        <f aca="false">IF(F3570="Reopened",1,0)</f>
        <v>0</v>
      </c>
      <c r="V3570" s="7" t="n">
        <f aca="false">IF(AND(R3570=1,O3570&gt;Q3570),1,0)</f>
        <v>0</v>
      </c>
      <c r="W3570" s="7" t="n">
        <f aca="false">IF(AND(T3570=1,P3570&lt;&gt;"",P3570&lt;=Q3570),1,0)</f>
        <v>0</v>
      </c>
    </row>
    <row r="3571" customFormat="false" ht="15" hidden="false" customHeight="false" outlineLevel="0" collapsed="false">
      <c r="A3571" s="7" t="s">
        <v>4189</v>
      </c>
      <c r="B3571" s="7" t="s">
        <v>46</v>
      </c>
      <c r="C3571" s="7" t="s">
        <v>128</v>
      </c>
      <c r="D3571" s="7" t="s">
        <v>59</v>
      </c>
      <c r="E3571" s="7" t="s">
        <v>60</v>
      </c>
      <c r="F3571" s="7" t="s">
        <v>50</v>
      </c>
      <c r="G3571" s="7" t="s">
        <v>19</v>
      </c>
      <c r="H3571" s="9" t="n">
        <v>46099</v>
      </c>
      <c r="I3571" s="9" t="n">
        <v>46107</v>
      </c>
      <c r="J3571" s="7" t="n">
        <v>7.8</v>
      </c>
      <c r="K3571" s="7" t="s">
        <v>4171</v>
      </c>
      <c r="L3571" s="7" t="s">
        <v>22</v>
      </c>
      <c r="M3571" s="7" t="s">
        <v>4195</v>
      </c>
      <c r="N3571" s="7" t="s">
        <v>58</v>
      </c>
      <c r="O3571" s="10" t="n">
        <f aca="false">'Exec Summary'!$E$2-H3571</f>
        <v>135</v>
      </c>
      <c r="P3571" s="10" t="n">
        <f aca="false">IF(I3571="","",I3571-H3571)</f>
        <v>8</v>
      </c>
      <c r="Q3571" s="10" t="n">
        <f aca="false">VLOOKUP(G3571,$AA$2:$AB$5,2,FALSE())</f>
        <v>15</v>
      </c>
      <c r="R3571" s="7" t="n">
        <f aca="false">IF(OR(F3571="Open",F3571="Reopened"),1,0)</f>
        <v>0</v>
      </c>
      <c r="S3571" s="7" t="n">
        <f aca="false">IF(AND(H3571&gt;='Exec Summary'!$E$1,H3571&lt;='Exec Summary'!$E$2),1,0)</f>
        <v>0</v>
      </c>
      <c r="T3571" s="7" t="n">
        <f aca="false">IF(AND(F3571="Closed",I3571&lt;&gt;"",I3571&gt;='Exec Summary'!$E$1,I3571&lt;='Exec Summary'!$E$2),1,0)</f>
        <v>0</v>
      </c>
      <c r="U3571" s="7" t="n">
        <f aca="false">IF(F3571="Reopened",1,0)</f>
        <v>0</v>
      </c>
      <c r="V3571" s="7" t="n">
        <f aca="false">IF(AND(R3571=1,O3571&gt;Q3571),1,0)</f>
        <v>0</v>
      </c>
      <c r="W3571" s="7" t="n">
        <f aca="false">IF(AND(T3571=1,P3571&lt;&gt;"",P3571&lt;=Q3571),1,0)</f>
        <v>0</v>
      </c>
    </row>
    <row r="3572" customFormat="false" ht="15" hidden="false" customHeight="false" outlineLevel="0" collapsed="false">
      <c r="A3572" s="7" t="s">
        <v>4189</v>
      </c>
      <c r="B3572" s="7" t="s">
        <v>46</v>
      </c>
      <c r="C3572" s="7" t="s">
        <v>128</v>
      </c>
      <c r="D3572" s="7" t="s">
        <v>101</v>
      </c>
      <c r="E3572" s="7" t="s">
        <v>102</v>
      </c>
      <c r="F3572" s="7" t="s">
        <v>56</v>
      </c>
      <c r="G3572" s="7" t="s">
        <v>19</v>
      </c>
      <c r="H3572" s="9" t="n">
        <v>46183</v>
      </c>
      <c r="I3572" s="9"/>
      <c r="J3572" s="7" t="n">
        <v>10</v>
      </c>
      <c r="K3572" s="7" t="s">
        <v>4171</v>
      </c>
      <c r="L3572" s="7" t="s">
        <v>22</v>
      </c>
      <c r="M3572" s="7" t="s">
        <v>4196</v>
      </c>
      <c r="N3572" s="7" t="s">
        <v>58</v>
      </c>
      <c r="O3572" s="10" t="n">
        <f aca="false">'Exec Summary'!$E$2-H3572</f>
        <v>51</v>
      </c>
      <c r="P3572" s="10" t="str">
        <f aca="false">IF(I3572="","",I3572-H3572)</f>
        <v/>
      </c>
      <c r="Q3572" s="10" t="n">
        <f aca="false">VLOOKUP(G3572,$AA$2:$AB$5,2,FALSE())</f>
        <v>15</v>
      </c>
      <c r="R3572" s="7" t="n">
        <f aca="false">IF(OR(F3572="Open",F3572="Reopened"),1,0)</f>
        <v>1</v>
      </c>
      <c r="S3572" s="7" t="n">
        <f aca="false">IF(AND(H3572&gt;='Exec Summary'!$E$1,H3572&lt;='Exec Summary'!$E$2),1,0)</f>
        <v>0</v>
      </c>
      <c r="T3572" s="7" t="n">
        <f aca="false">IF(AND(F3572="Closed",I3572&lt;&gt;"",I3572&gt;='Exec Summary'!$E$1,I3572&lt;='Exec Summary'!$E$2),1,0)</f>
        <v>0</v>
      </c>
      <c r="U3572" s="7" t="n">
        <f aca="false">IF(F3572="Reopened",1,0)</f>
        <v>0</v>
      </c>
      <c r="V3572" s="7" t="n">
        <f aca="false">IF(AND(R3572=1,O3572&gt;Q3572),1,0)</f>
        <v>1</v>
      </c>
      <c r="W3572" s="7" t="n">
        <f aca="false">IF(AND(T3572=1,P3572&lt;&gt;"",P3572&lt;=Q3572),1,0)</f>
        <v>0</v>
      </c>
    </row>
    <row r="3573" customFormat="false" ht="15" hidden="false" customHeight="false" outlineLevel="0" collapsed="false">
      <c r="A3573" s="7" t="s">
        <v>4189</v>
      </c>
      <c r="B3573" s="7" t="s">
        <v>46</v>
      </c>
      <c r="C3573" s="7" t="s">
        <v>128</v>
      </c>
      <c r="D3573" s="7" t="s">
        <v>108</v>
      </c>
      <c r="E3573" s="7" t="s">
        <v>109</v>
      </c>
      <c r="F3573" s="7" t="s">
        <v>56</v>
      </c>
      <c r="G3573" s="7" t="s">
        <v>20</v>
      </c>
      <c r="H3573" s="9" t="n">
        <v>46221</v>
      </c>
      <c r="I3573" s="9"/>
      <c r="J3573" s="7" t="n">
        <v>8.6</v>
      </c>
      <c r="K3573" s="7" t="s">
        <v>4171</v>
      </c>
      <c r="L3573" s="7" t="s">
        <v>22</v>
      </c>
      <c r="M3573" s="7" t="s">
        <v>4197</v>
      </c>
      <c r="N3573" s="7" t="s">
        <v>53</v>
      </c>
      <c r="O3573" s="10" t="n">
        <f aca="false">'Exec Summary'!$E$2-H3573</f>
        <v>13</v>
      </c>
      <c r="P3573" s="10" t="str">
        <f aca="false">IF(I3573="","",I3573-H3573)</f>
        <v/>
      </c>
      <c r="Q3573" s="10" t="n">
        <f aca="false">VLOOKUP(G3573,$AA$2:$AB$5,2,FALSE())</f>
        <v>30</v>
      </c>
      <c r="R3573" s="7" t="n">
        <f aca="false">IF(OR(F3573="Open",F3573="Reopened"),1,0)</f>
        <v>1</v>
      </c>
      <c r="S3573" s="7" t="n">
        <f aca="false">IF(AND(H3573&gt;='Exec Summary'!$E$1,H3573&lt;='Exec Summary'!$E$2),1,0)</f>
        <v>1</v>
      </c>
      <c r="T3573" s="7" t="n">
        <f aca="false">IF(AND(F3573="Closed",I3573&lt;&gt;"",I3573&gt;='Exec Summary'!$E$1,I3573&lt;='Exec Summary'!$E$2),1,0)</f>
        <v>0</v>
      </c>
      <c r="U3573" s="7" t="n">
        <f aca="false">IF(F3573="Reopened",1,0)</f>
        <v>0</v>
      </c>
      <c r="V3573" s="7" t="n">
        <f aca="false">IF(AND(R3573=1,O3573&gt;Q3573),1,0)</f>
        <v>0</v>
      </c>
      <c r="W3573" s="7" t="n">
        <f aca="false">IF(AND(T3573=1,P3573&lt;&gt;"",P3573&lt;=Q3573),1,0)</f>
        <v>0</v>
      </c>
    </row>
    <row r="3574" customFormat="false" ht="15" hidden="false" customHeight="false" outlineLevel="0" collapsed="false">
      <c r="A3574" s="7" t="s">
        <v>4198</v>
      </c>
      <c r="B3574" s="7" t="s">
        <v>46</v>
      </c>
      <c r="C3574" s="7" t="s">
        <v>79</v>
      </c>
      <c r="D3574" s="7" t="s">
        <v>206</v>
      </c>
      <c r="E3574" s="7" t="s">
        <v>207</v>
      </c>
      <c r="F3574" s="7" t="s">
        <v>56</v>
      </c>
      <c r="G3574" s="7" t="s">
        <v>20</v>
      </c>
      <c r="H3574" s="9" t="n">
        <v>46134</v>
      </c>
      <c r="I3574" s="9"/>
      <c r="J3574" s="7" t="n">
        <v>8.8</v>
      </c>
      <c r="K3574" s="7" t="s">
        <v>4171</v>
      </c>
      <c r="L3574" s="7" t="s">
        <v>22</v>
      </c>
      <c r="M3574" s="7" t="s">
        <v>4199</v>
      </c>
      <c r="N3574" s="7" t="s">
        <v>53</v>
      </c>
      <c r="O3574" s="10" t="n">
        <f aca="false">'Exec Summary'!$E$2-H3574</f>
        <v>100</v>
      </c>
      <c r="P3574" s="10" t="str">
        <f aca="false">IF(I3574="","",I3574-H3574)</f>
        <v/>
      </c>
      <c r="Q3574" s="10" t="n">
        <f aca="false">VLOOKUP(G3574,$AA$2:$AB$5,2,FALSE())</f>
        <v>30</v>
      </c>
      <c r="R3574" s="7" t="n">
        <f aca="false">IF(OR(F3574="Open",F3574="Reopened"),1,0)</f>
        <v>1</v>
      </c>
      <c r="S3574" s="7" t="n">
        <f aca="false">IF(AND(H3574&gt;='Exec Summary'!$E$1,H3574&lt;='Exec Summary'!$E$2),1,0)</f>
        <v>0</v>
      </c>
      <c r="T3574" s="7" t="n">
        <f aca="false">IF(AND(F3574="Closed",I3574&lt;&gt;"",I3574&gt;='Exec Summary'!$E$1,I3574&lt;='Exec Summary'!$E$2),1,0)</f>
        <v>0</v>
      </c>
      <c r="U3574" s="7" t="n">
        <f aca="false">IF(F3574="Reopened",1,0)</f>
        <v>0</v>
      </c>
      <c r="V3574" s="7" t="n">
        <f aca="false">IF(AND(R3574=1,O3574&gt;Q3574),1,0)</f>
        <v>1</v>
      </c>
      <c r="W3574" s="7" t="n">
        <f aca="false">IF(AND(T3574=1,P3574&lt;&gt;"",P3574&lt;=Q3574),1,0)</f>
        <v>0</v>
      </c>
    </row>
    <row r="3575" customFormat="false" ht="15" hidden="false" customHeight="false" outlineLevel="0" collapsed="false">
      <c r="A3575" s="7" t="s">
        <v>4198</v>
      </c>
      <c r="B3575" s="7" t="s">
        <v>46</v>
      </c>
      <c r="C3575" s="7" t="s">
        <v>79</v>
      </c>
      <c r="D3575" s="7" t="s">
        <v>101</v>
      </c>
      <c r="E3575" s="7" t="s">
        <v>102</v>
      </c>
      <c r="F3575" s="7" t="s">
        <v>56</v>
      </c>
      <c r="G3575" s="7" t="s">
        <v>19</v>
      </c>
      <c r="H3575" s="9" t="n">
        <v>46027</v>
      </c>
      <c r="I3575" s="9"/>
      <c r="J3575" s="7" t="n">
        <v>10</v>
      </c>
      <c r="K3575" s="7" t="s">
        <v>4171</v>
      </c>
      <c r="L3575" s="7" t="s">
        <v>22</v>
      </c>
      <c r="M3575" s="7" t="s">
        <v>4200</v>
      </c>
      <c r="N3575" s="7" t="s">
        <v>58</v>
      </c>
      <c r="O3575" s="10" t="n">
        <f aca="false">'Exec Summary'!$E$2-H3575</f>
        <v>207</v>
      </c>
      <c r="P3575" s="10" t="str">
        <f aca="false">IF(I3575="","",I3575-H3575)</f>
        <v/>
      </c>
      <c r="Q3575" s="10" t="n">
        <f aca="false">VLOOKUP(G3575,$AA$2:$AB$5,2,FALSE())</f>
        <v>15</v>
      </c>
      <c r="R3575" s="7" t="n">
        <f aca="false">IF(OR(F3575="Open",F3575="Reopened"),1,0)</f>
        <v>1</v>
      </c>
      <c r="S3575" s="7" t="n">
        <f aca="false">IF(AND(H3575&gt;='Exec Summary'!$E$1,H3575&lt;='Exec Summary'!$E$2),1,0)</f>
        <v>0</v>
      </c>
      <c r="T3575" s="7" t="n">
        <f aca="false">IF(AND(F3575="Closed",I3575&lt;&gt;"",I3575&gt;='Exec Summary'!$E$1,I3575&lt;='Exec Summary'!$E$2),1,0)</f>
        <v>0</v>
      </c>
      <c r="U3575" s="7" t="n">
        <f aca="false">IF(F3575="Reopened",1,0)</f>
        <v>0</v>
      </c>
      <c r="V3575" s="7" t="n">
        <f aca="false">IF(AND(R3575=1,O3575&gt;Q3575),1,0)</f>
        <v>1</v>
      </c>
      <c r="W3575" s="7" t="n">
        <f aca="false">IF(AND(T3575=1,P3575&lt;&gt;"",P3575&lt;=Q3575),1,0)</f>
        <v>0</v>
      </c>
    </row>
    <row r="3576" customFormat="false" ht="15" hidden="false" customHeight="false" outlineLevel="0" collapsed="false">
      <c r="A3576" s="7" t="s">
        <v>4198</v>
      </c>
      <c r="B3576" s="7" t="s">
        <v>46</v>
      </c>
      <c r="C3576" s="7" t="s">
        <v>79</v>
      </c>
      <c r="D3576" s="7" t="s">
        <v>173</v>
      </c>
      <c r="E3576" s="7" t="s">
        <v>174</v>
      </c>
      <c r="F3576" s="7" t="s">
        <v>123</v>
      </c>
      <c r="G3576" s="7" t="s">
        <v>19</v>
      </c>
      <c r="H3576" s="9" t="n">
        <v>46223</v>
      </c>
      <c r="I3576" s="9" t="n">
        <v>46228</v>
      </c>
      <c r="J3576" s="7" t="n">
        <v>9.8</v>
      </c>
      <c r="K3576" s="7" t="s">
        <v>4171</v>
      </c>
      <c r="L3576" s="7" t="s">
        <v>22</v>
      </c>
      <c r="M3576" s="7" t="s">
        <v>4201</v>
      </c>
      <c r="N3576" s="7" t="s">
        <v>58</v>
      </c>
      <c r="O3576" s="10" t="n">
        <f aca="false">'Exec Summary'!$E$2-H3576</f>
        <v>11</v>
      </c>
      <c r="P3576" s="10" t="n">
        <f aca="false">IF(I3576="","",I3576-H3576)</f>
        <v>5</v>
      </c>
      <c r="Q3576" s="10" t="n">
        <f aca="false">VLOOKUP(G3576,$AA$2:$AB$5,2,FALSE())</f>
        <v>15</v>
      </c>
      <c r="R3576" s="7" t="n">
        <f aca="false">IF(OR(F3576="Open",F3576="Reopened"),1,0)</f>
        <v>1</v>
      </c>
      <c r="S3576" s="7" t="n">
        <f aca="false">IF(AND(H3576&gt;='Exec Summary'!$E$1,H3576&lt;='Exec Summary'!$E$2),1,0)</f>
        <v>1</v>
      </c>
      <c r="T3576" s="7" t="n">
        <f aca="false">IF(AND(F3576="Closed",I3576&lt;&gt;"",I3576&gt;='Exec Summary'!$E$1,I3576&lt;='Exec Summary'!$E$2),1,0)</f>
        <v>0</v>
      </c>
      <c r="U3576" s="7" t="n">
        <f aca="false">IF(F3576="Reopened",1,0)</f>
        <v>1</v>
      </c>
      <c r="V3576" s="7" t="n">
        <f aca="false">IF(AND(R3576=1,O3576&gt;Q3576),1,0)</f>
        <v>0</v>
      </c>
      <c r="W3576" s="7" t="n">
        <f aca="false">IF(AND(T3576=1,P3576&lt;&gt;"",P3576&lt;=Q3576),1,0)</f>
        <v>0</v>
      </c>
    </row>
    <row r="3577" customFormat="false" ht="15" hidden="false" customHeight="false" outlineLevel="0" collapsed="false">
      <c r="A3577" s="7" t="s">
        <v>4202</v>
      </c>
      <c r="B3577" s="7" t="s">
        <v>135</v>
      </c>
      <c r="C3577" s="7" t="s">
        <v>306</v>
      </c>
      <c r="D3577" s="7" t="s">
        <v>117</v>
      </c>
      <c r="E3577" s="7" t="s">
        <v>118</v>
      </c>
      <c r="F3577" s="7" t="s">
        <v>56</v>
      </c>
      <c r="G3577" s="7" t="s">
        <v>19</v>
      </c>
      <c r="H3577" s="9" t="n">
        <v>45989</v>
      </c>
      <c r="I3577" s="9"/>
      <c r="J3577" s="7" t="n">
        <v>10</v>
      </c>
      <c r="K3577" s="7" t="s">
        <v>4171</v>
      </c>
      <c r="L3577" s="7" t="s">
        <v>21</v>
      </c>
      <c r="M3577" s="7" t="s">
        <v>4203</v>
      </c>
      <c r="N3577" s="7" t="s">
        <v>58</v>
      </c>
      <c r="O3577" s="10" t="n">
        <f aca="false">'Exec Summary'!$E$2-H3577</f>
        <v>245</v>
      </c>
      <c r="P3577" s="10" t="str">
        <f aca="false">IF(I3577="","",I3577-H3577)</f>
        <v/>
      </c>
      <c r="Q3577" s="10" t="n">
        <f aca="false">VLOOKUP(G3577,$AA$2:$AB$5,2,FALSE())</f>
        <v>15</v>
      </c>
      <c r="R3577" s="7" t="n">
        <f aca="false">IF(OR(F3577="Open",F3577="Reopened"),1,0)</f>
        <v>1</v>
      </c>
      <c r="S3577" s="7" t="n">
        <f aca="false">IF(AND(H3577&gt;='Exec Summary'!$E$1,H3577&lt;='Exec Summary'!$E$2),1,0)</f>
        <v>0</v>
      </c>
      <c r="T3577" s="7" t="n">
        <f aca="false">IF(AND(F3577="Closed",I3577&lt;&gt;"",I3577&gt;='Exec Summary'!$E$1,I3577&lt;='Exec Summary'!$E$2),1,0)</f>
        <v>0</v>
      </c>
      <c r="U3577" s="7" t="n">
        <f aca="false">IF(F3577="Reopened",1,0)</f>
        <v>0</v>
      </c>
      <c r="V3577" s="7" t="n">
        <f aca="false">IF(AND(R3577=1,O3577&gt;Q3577),1,0)</f>
        <v>1</v>
      </c>
      <c r="W3577" s="7" t="n">
        <f aca="false">IF(AND(T3577=1,P3577&lt;&gt;"",P3577&lt;=Q3577),1,0)</f>
        <v>0</v>
      </c>
    </row>
    <row r="3578" customFormat="false" ht="15" hidden="false" customHeight="false" outlineLevel="0" collapsed="false">
      <c r="A3578" s="7" t="s">
        <v>4202</v>
      </c>
      <c r="B3578" s="7" t="s">
        <v>135</v>
      </c>
      <c r="C3578" s="7" t="s">
        <v>306</v>
      </c>
      <c r="D3578" s="7" t="s">
        <v>104</v>
      </c>
      <c r="E3578" s="7" t="s">
        <v>105</v>
      </c>
      <c r="F3578" s="7" t="s">
        <v>50</v>
      </c>
      <c r="G3578" s="7" t="s">
        <v>19</v>
      </c>
      <c r="H3578" s="9" t="n">
        <v>46131</v>
      </c>
      <c r="I3578" s="9" t="n">
        <v>46142</v>
      </c>
      <c r="J3578" s="7" t="n">
        <v>9.8</v>
      </c>
      <c r="K3578" s="7" t="s">
        <v>4171</v>
      </c>
      <c r="L3578" s="7" t="s">
        <v>21</v>
      </c>
      <c r="M3578" s="7" t="s">
        <v>4204</v>
      </c>
      <c r="N3578" s="7" t="s">
        <v>58</v>
      </c>
      <c r="O3578" s="10" t="n">
        <f aca="false">'Exec Summary'!$E$2-H3578</f>
        <v>103</v>
      </c>
      <c r="P3578" s="10" t="n">
        <f aca="false">IF(I3578="","",I3578-H3578)</f>
        <v>11</v>
      </c>
      <c r="Q3578" s="10" t="n">
        <f aca="false">VLOOKUP(G3578,$AA$2:$AB$5,2,FALSE())</f>
        <v>15</v>
      </c>
      <c r="R3578" s="7" t="n">
        <f aca="false">IF(OR(F3578="Open",F3578="Reopened"),1,0)</f>
        <v>0</v>
      </c>
      <c r="S3578" s="7" t="n">
        <f aca="false">IF(AND(H3578&gt;='Exec Summary'!$E$1,H3578&lt;='Exec Summary'!$E$2),1,0)</f>
        <v>0</v>
      </c>
      <c r="T3578" s="7" t="n">
        <f aca="false">IF(AND(F3578="Closed",I3578&lt;&gt;"",I3578&gt;='Exec Summary'!$E$1,I3578&lt;='Exec Summary'!$E$2),1,0)</f>
        <v>0</v>
      </c>
      <c r="U3578" s="7" t="n">
        <f aca="false">IF(F3578="Reopened",1,0)</f>
        <v>0</v>
      </c>
      <c r="V3578" s="7" t="n">
        <f aca="false">IF(AND(R3578=1,O3578&gt;Q3578),1,0)</f>
        <v>0</v>
      </c>
      <c r="W3578" s="7" t="n">
        <f aca="false">IF(AND(T3578=1,P3578&lt;&gt;"",P3578&lt;=Q3578),1,0)</f>
        <v>0</v>
      </c>
    </row>
    <row r="3579" customFormat="false" ht="15" hidden="false" customHeight="false" outlineLevel="0" collapsed="false">
      <c r="A3579" s="7" t="s">
        <v>4202</v>
      </c>
      <c r="B3579" s="7" t="s">
        <v>135</v>
      </c>
      <c r="C3579" s="7" t="s">
        <v>306</v>
      </c>
      <c r="D3579" s="7" t="s">
        <v>206</v>
      </c>
      <c r="E3579" s="7" t="s">
        <v>207</v>
      </c>
      <c r="F3579" s="7" t="s">
        <v>50</v>
      </c>
      <c r="G3579" s="7" t="s">
        <v>20</v>
      </c>
      <c r="H3579" s="9" t="n">
        <v>46145</v>
      </c>
      <c r="I3579" s="9" t="n">
        <v>46155</v>
      </c>
      <c r="J3579" s="7" t="n">
        <v>8.8</v>
      </c>
      <c r="K3579" s="7" t="s">
        <v>4171</v>
      </c>
      <c r="L3579" s="7" t="s">
        <v>21</v>
      </c>
      <c r="M3579" s="7" t="s">
        <v>4205</v>
      </c>
      <c r="N3579" s="7" t="s">
        <v>53</v>
      </c>
      <c r="O3579" s="10" t="n">
        <f aca="false">'Exec Summary'!$E$2-H3579</f>
        <v>89</v>
      </c>
      <c r="P3579" s="10" t="n">
        <f aca="false">IF(I3579="","",I3579-H3579)</f>
        <v>10</v>
      </c>
      <c r="Q3579" s="10" t="n">
        <f aca="false">VLOOKUP(G3579,$AA$2:$AB$5,2,FALSE())</f>
        <v>30</v>
      </c>
      <c r="R3579" s="7" t="n">
        <f aca="false">IF(OR(F3579="Open",F3579="Reopened"),1,0)</f>
        <v>0</v>
      </c>
      <c r="S3579" s="7" t="n">
        <f aca="false">IF(AND(H3579&gt;='Exec Summary'!$E$1,H3579&lt;='Exec Summary'!$E$2),1,0)</f>
        <v>0</v>
      </c>
      <c r="T3579" s="7" t="n">
        <f aca="false">IF(AND(F3579="Closed",I3579&lt;&gt;"",I3579&gt;='Exec Summary'!$E$1,I3579&lt;='Exec Summary'!$E$2),1,0)</f>
        <v>0</v>
      </c>
      <c r="U3579" s="7" t="n">
        <f aca="false">IF(F3579="Reopened",1,0)</f>
        <v>0</v>
      </c>
      <c r="V3579" s="7" t="n">
        <f aca="false">IF(AND(R3579=1,O3579&gt;Q3579),1,0)</f>
        <v>0</v>
      </c>
      <c r="W3579" s="7" t="n">
        <f aca="false">IF(AND(T3579=1,P3579&lt;&gt;"",P3579&lt;=Q3579),1,0)</f>
        <v>0</v>
      </c>
    </row>
    <row r="3580" customFormat="false" ht="15" hidden="false" customHeight="false" outlineLevel="0" collapsed="false">
      <c r="A3580" s="7" t="s">
        <v>4202</v>
      </c>
      <c r="B3580" s="7" t="s">
        <v>135</v>
      </c>
      <c r="C3580" s="7" t="s">
        <v>306</v>
      </c>
      <c r="D3580" s="7" t="s">
        <v>163</v>
      </c>
      <c r="E3580" s="7" t="s">
        <v>164</v>
      </c>
      <c r="F3580" s="7" t="s">
        <v>123</v>
      </c>
      <c r="G3580" s="7" t="s">
        <v>19</v>
      </c>
      <c r="H3580" s="9" t="n">
        <v>46049</v>
      </c>
      <c r="I3580" s="9" t="n">
        <v>46066</v>
      </c>
      <c r="J3580" s="7" t="n">
        <v>9.1</v>
      </c>
      <c r="K3580" s="7" t="s">
        <v>4171</v>
      </c>
      <c r="L3580" s="7" t="s">
        <v>21</v>
      </c>
      <c r="M3580" s="7" t="s">
        <v>4206</v>
      </c>
      <c r="N3580" s="7" t="s">
        <v>58</v>
      </c>
      <c r="O3580" s="10" t="n">
        <f aca="false">'Exec Summary'!$E$2-H3580</f>
        <v>185</v>
      </c>
      <c r="P3580" s="10" t="n">
        <f aca="false">IF(I3580="","",I3580-H3580)</f>
        <v>17</v>
      </c>
      <c r="Q3580" s="10" t="n">
        <f aca="false">VLOOKUP(G3580,$AA$2:$AB$5,2,FALSE())</f>
        <v>15</v>
      </c>
      <c r="R3580" s="7" t="n">
        <f aca="false">IF(OR(F3580="Open",F3580="Reopened"),1,0)</f>
        <v>1</v>
      </c>
      <c r="S3580" s="7" t="n">
        <f aca="false">IF(AND(H3580&gt;='Exec Summary'!$E$1,H3580&lt;='Exec Summary'!$E$2),1,0)</f>
        <v>0</v>
      </c>
      <c r="T3580" s="7" t="n">
        <f aca="false">IF(AND(F3580="Closed",I3580&lt;&gt;"",I3580&gt;='Exec Summary'!$E$1,I3580&lt;='Exec Summary'!$E$2),1,0)</f>
        <v>0</v>
      </c>
      <c r="U3580" s="7" t="n">
        <f aca="false">IF(F3580="Reopened",1,0)</f>
        <v>1</v>
      </c>
      <c r="V3580" s="7" t="n">
        <f aca="false">IF(AND(R3580=1,O3580&gt;Q3580),1,0)</f>
        <v>1</v>
      </c>
      <c r="W3580" s="7" t="n">
        <f aca="false">IF(AND(T3580=1,P3580&lt;&gt;"",P3580&lt;=Q3580),1,0)</f>
        <v>0</v>
      </c>
    </row>
    <row r="3581" customFormat="false" ht="15" hidden="false" customHeight="false" outlineLevel="0" collapsed="false">
      <c r="A3581" s="7" t="s">
        <v>4202</v>
      </c>
      <c r="B3581" s="7" t="s">
        <v>135</v>
      </c>
      <c r="C3581" s="7" t="s">
        <v>306</v>
      </c>
      <c r="D3581" s="7" t="s">
        <v>112</v>
      </c>
      <c r="E3581" s="7" t="s">
        <v>113</v>
      </c>
      <c r="F3581" s="7" t="s">
        <v>50</v>
      </c>
      <c r="G3581" s="7" t="s">
        <v>20</v>
      </c>
      <c r="H3581" s="9" t="n">
        <v>46084</v>
      </c>
      <c r="I3581" s="9" t="n">
        <v>46106</v>
      </c>
      <c r="J3581" s="7" t="n">
        <v>7.8</v>
      </c>
      <c r="K3581" s="7" t="s">
        <v>4171</v>
      </c>
      <c r="L3581" s="7" t="s">
        <v>21</v>
      </c>
      <c r="M3581" s="7" t="s">
        <v>4207</v>
      </c>
      <c r="N3581" s="7" t="s">
        <v>53</v>
      </c>
      <c r="O3581" s="10" t="n">
        <f aca="false">'Exec Summary'!$E$2-H3581</f>
        <v>150</v>
      </c>
      <c r="P3581" s="10" t="n">
        <f aca="false">IF(I3581="","",I3581-H3581)</f>
        <v>22</v>
      </c>
      <c r="Q3581" s="10" t="n">
        <f aca="false">VLOOKUP(G3581,$AA$2:$AB$5,2,FALSE())</f>
        <v>30</v>
      </c>
      <c r="R3581" s="7" t="n">
        <f aca="false">IF(OR(F3581="Open",F3581="Reopened"),1,0)</f>
        <v>0</v>
      </c>
      <c r="S3581" s="7" t="n">
        <f aca="false">IF(AND(H3581&gt;='Exec Summary'!$E$1,H3581&lt;='Exec Summary'!$E$2),1,0)</f>
        <v>0</v>
      </c>
      <c r="T3581" s="7" t="n">
        <f aca="false">IF(AND(F3581="Closed",I3581&lt;&gt;"",I3581&gt;='Exec Summary'!$E$1,I3581&lt;='Exec Summary'!$E$2),1,0)</f>
        <v>0</v>
      </c>
      <c r="U3581" s="7" t="n">
        <f aca="false">IF(F3581="Reopened",1,0)</f>
        <v>0</v>
      </c>
      <c r="V3581" s="7" t="n">
        <f aca="false">IF(AND(R3581=1,O3581&gt;Q3581),1,0)</f>
        <v>0</v>
      </c>
      <c r="W3581" s="7" t="n">
        <f aca="false">IF(AND(T3581=1,P3581&lt;&gt;"",P3581&lt;=Q3581),1,0)</f>
        <v>0</v>
      </c>
    </row>
    <row r="3582" customFormat="false" ht="15" hidden="false" customHeight="false" outlineLevel="0" collapsed="false">
      <c r="A3582" s="7" t="s">
        <v>4202</v>
      </c>
      <c r="B3582" s="7" t="s">
        <v>135</v>
      </c>
      <c r="C3582" s="7" t="s">
        <v>306</v>
      </c>
      <c r="D3582" s="7" t="s">
        <v>101</v>
      </c>
      <c r="E3582" s="7" t="s">
        <v>102</v>
      </c>
      <c r="F3582" s="7" t="s">
        <v>56</v>
      </c>
      <c r="G3582" s="7" t="s">
        <v>19</v>
      </c>
      <c r="H3582" s="9" t="n">
        <v>46016</v>
      </c>
      <c r="I3582" s="9"/>
      <c r="J3582" s="7" t="n">
        <v>10</v>
      </c>
      <c r="K3582" s="7" t="s">
        <v>4171</v>
      </c>
      <c r="L3582" s="7" t="s">
        <v>21</v>
      </c>
      <c r="M3582" s="7" t="s">
        <v>4208</v>
      </c>
      <c r="N3582" s="7" t="s">
        <v>58</v>
      </c>
      <c r="O3582" s="10" t="n">
        <f aca="false">'Exec Summary'!$E$2-H3582</f>
        <v>218</v>
      </c>
      <c r="P3582" s="10" t="str">
        <f aca="false">IF(I3582="","",I3582-H3582)</f>
        <v/>
      </c>
      <c r="Q3582" s="10" t="n">
        <f aca="false">VLOOKUP(G3582,$AA$2:$AB$5,2,FALSE())</f>
        <v>15</v>
      </c>
      <c r="R3582" s="7" t="n">
        <f aca="false">IF(OR(F3582="Open",F3582="Reopened"),1,0)</f>
        <v>1</v>
      </c>
      <c r="S3582" s="7" t="n">
        <f aca="false">IF(AND(H3582&gt;='Exec Summary'!$E$1,H3582&lt;='Exec Summary'!$E$2),1,0)</f>
        <v>0</v>
      </c>
      <c r="T3582" s="7" t="n">
        <f aca="false">IF(AND(F3582="Closed",I3582&lt;&gt;"",I3582&gt;='Exec Summary'!$E$1,I3582&lt;='Exec Summary'!$E$2),1,0)</f>
        <v>0</v>
      </c>
      <c r="U3582" s="7" t="n">
        <f aca="false">IF(F3582="Reopened",1,0)</f>
        <v>0</v>
      </c>
      <c r="V3582" s="7" t="n">
        <f aca="false">IF(AND(R3582=1,O3582&gt;Q3582),1,0)</f>
        <v>1</v>
      </c>
      <c r="W3582" s="7" t="n">
        <f aca="false">IF(AND(T3582=1,P3582&lt;&gt;"",P3582&lt;=Q3582),1,0)</f>
        <v>0</v>
      </c>
    </row>
    <row r="3583" customFormat="false" ht="15" hidden="false" customHeight="false" outlineLevel="0" collapsed="false">
      <c r="A3583" s="7" t="s">
        <v>4202</v>
      </c>
      <c r="B3583" s="7" t="s">
        <v>135</v>
      </c>
      <c r="C3583" s="7" t="s">
        <v>306</v>
      </c>
      <c r="D3583" s="7" t="s">
        <v>95</v>
      </c>
      <c r="E3583" s="7" t="s">
        <v>96</v>
      </c>
      <c r="F3583" s="7" t="s">
        <v>56</v>
      </c>
      <c r="G3583" s="7" t="s">
        <v>20</v>
      </c>
      <c r="H3583" s="9" t="n">
        <v>46107</v>
      </c>
      <c r="I3583" s="9"/>
      <c r="J3583" s="7" t="n">
        <v>8.8</v>
      </c>
      <c r="K3583" s="7" t="s">
        <v>4171</v>
      </c>
      <c r="L3583" s="7" t="s">
        <v>21</v>
      </c>
      <c r="M3583" s="7" t="s">
        <v>4209</v>
      </c>
      <c r="N3583" s="7" t="s">
        <v>53</v>
      </c>
      <c r="O3583" s="10" t="n">
        <f aca="false">'Exec Summary'!$E$2-H3583</f>
        <v>127</v>
      </c>
      <c r="P3583" s="10" t="str">
        <f aca="false">IF(I3583="","",I3583-H3583)</f>
        <v/>
      </c>
      <c r="Q3583" s="10" t="n">
        <f aca="false">VLOOKUP(G3583,$AA$2:$AB$5,2,FALSE())</f>
        <v>30</v>
      </c>
      <c r="R3583" s="7" t="n">
        <f aca="false">IF(OR(F3583="Open",F3583="Reopened"),1,0)</f>
        <v>1</v>
      </c>
      <c r="S3583" s="7" t="n">
        <f aca="false">IF(AND(H3583&gt;='Exec Summary'!$E$1,H3583&lt;='Exec Summary'!$E$2),1,0)</f>
        <v>0</v>
      </c>
      <c r="T3583" s="7" t="n">
        <f aca="false">IF(AND(F3583="Closed",I3583&lt;&gt;"",I3583&gt;='Exec Summary'!$E$1,I3583&lt;='Exec Summary'!$E$2),1,0)</f>
        <v>0</v>
      </c>
      <c r="U3583" s="7" t="n">
        <f aca="false">IF(F3583="Reopened",1,0)</f>
        <v>0</v>
      </c>
      <c r="V3583" s="7" t="n">
        <f aca="false">IF(AND(R3583=1,O3583&gt;Q3583),1,0)</f>
        <v>1</v>
      </c>
      <c r="W3583" s="7" t="n">
        <f aca="false">IF(AND(T3583=1,P3583&lt;&gt;"",P3583&lt;=Q3583),1,0)</f>
        <v>0</v>
      </c>
    </row>
    <row r="3584" customFormat="false" ht="15" hidden="false" customHeight="false" outlineLevel="0" collapsed="false">
      <c r="A3584" s="7" t="s">
        <v>4202</v>
      </c>
      <c r="B3584" s="7" t="s">
        <v>135</v>
      </c>
      <c r="C3584" s="7" t="s">
        <v>306</v>
      </c>
      <c r="D3584" s="7" t="s">
        <v>98</v>
      </c>
      <c r="E3584" s="7" t="s">
        <v>99</v>
      </c>
      <c r="F3584" s="7" t="s">
        <v>50</v>
      </c>
      <c r="G3584" s="7" t="s">
        <v>19</v>
      </c>
      <c r="H3584" s="9" t="n">
        <v>45949</v>
      </c>
      <c r="I3584" s="9" t="n">
        <v>45963</v>
      </c>
      <c r="J3584" s="7" t="n">
        <v>10</v>
      </c>
      <c r="K3584" s="7" t="s">
        <v>4171</v>
      </c>
      <c r="L3584" s="7" t="s">
        <v>21</v>
      </c>
      <c r="M3584" s="7" t="s">
        <v>4210</v>
      </c>
      <c r="N3584" s="7" t="s">
        <v>58</v>
      </c>
      <c r="O3584" s="10" t="n">
        <f aca="false">'Exec Summary'!$E$2-H3584</f>
        <v>285</v>
      </c>
      <c r="P3584" s="10" t="n">
        <f aca="false">IF(I3584="","",I3584-H3584)</f>
        <v>14</v>
      </c>
      <c r="Q3584" s="10" t="n">
        <f aca="false">VLOOKUP(G3584,$AA$2:$AB$5,2,FALSE())</f>
        <v>15</v>
      </c>
      <c r="R3584" s="7" t="n">
        <f aca="false">IF(OR(F3584="Open",F3584="Reopened"),1,0)</f>
        <v>0</v>
      </c>
      <c r="S3584" s="7" t="n">
        <f aca="false">IF(AND(H3584&gt;='Exec Summary'!$E$1,H3584&lt;='Exec Summary'!$E$2),1,0)</f>
        <v>0</v>
      </c>
      <c r="T3584" s="7" t="n">
        <f aca="false">IF(AND(F3584="Closed",I3584&lt;&gt;"",I3584&gt;='Exec Summary'!$E$1,I3584&lt;='Exec Summary'!$E$2),1,0)</f>
        <v>0</v>
      </c>
      <c r="U3584" s="7" t="n">
        <f aca="false">IF(F3584="Reopened",1,0)</f>
        <v>0</v>
      </c>
      <c r="V3584" s="7" t="n">
        <f aca="false">IF(AND(R3584=1,O3584&gt;Q3584),1,0)</f>
        <v>0</v>
      </c>
      <c r="W3584" s="7" t="n">
        <f aca="false">IF(AND(T3584=1,P3584&lt;&gt;"",P3584&lt;=Q3584),1,0)</f>
        <v>0</v>
      </c>
    </row>
    <row r="3585" customFormat="false" ht="15" hidden="false" customHeight="false" outlineLevel="0" collapsed="false">
      <c r="A3585" s="7" t="s">
        <v>4202</v>
      </c>
      <c r="B3585" s="7" t="s">
        <v>135</v>
      </c>
      <c r="C3585" s="7" t="s">
        <v>306</v>
      </c>
      <c r="D3585" s="7" t="s">
        <v>54</v>
      </c>
      <c r="E3585" s="7" t="s">
        <v>55</v>
      </c>
      <c r="F3585" s="7" t="s">
        <v>50</v>
      </c>
      <c r="G3585" s="7" t="s">
        <v>19</v>
      </c>
      <c r="H3585" s="9" t="n">
        <v>46014</v>
      </c>
      <c r="I3585" s="9" t="n">
        <v>46016</v>
      </c>
      <c r="J3585" s="7" t="n">
        <v>9.8</v>
      </c>
      <c r="K3585" s="7" t="s">
        <v>4171</v>
      </c>
      <c r="L3585" s="7" t="s">
        <v>21</v>
      </c>
      <c r="M3585" s="7" t="s">
        <v>4211</v>
      </c>
      <c r="N3585" s="7" t="s">
        <v>58</v>
      </c>
      <c r="O3585" s="10" t="n">
        <f aca="false">'Exec Summary'!$E$2-H3585</f>
        <v>220</v>
      </c>
      <c r="P3585" s="10" t="n">
        <f aca="false">IF(I3585="","",I3585-H3585)</f>
        <v>2</v>
      </c>
      <c r="Q3585" s="10" t="n">
        <f aca="false">VLOOKUP(G3585,$AA$2:$AB$5,2,FALSE())</f>
        <v>15</v>
      </c>
      <c r="R3585" s="7" t="n">
        <f aca="false">IF(OR(F3585="Open",F3585="Reopened"),1,0)</f>
        <v>0</v>
      </c>
      <c r="S3585" s="7" t="n">
        <f aca="false">IF(AND(H3585&gt;='Exec Summary'!$E$1,H3585&lt;='Exec Summary'!$E$2),1,0)</f>
        <v>0</v>
      </c>
      <c r="T3585" s="7" t="n">
        <f aca="false">IF(AND(F3585="Closed",I3585&lt;&gt;"",I3585&gt;='Exec Summary'!$E$1,I3585&lt;='Exec Summary'!$E$2),1,0)</f>
        <v>0</v>
      </c>
      <c r="U3585" s="7" t="n">
        <f aca="false">IF(F3585="Reopened",1,0)</f>
        <v>0</v>
      </c>
      <c r="V3585" s="7" t="n">
        <f aca="false">IF(AND(R3585=1,O3585&gt;Q3585),1,0)</f>
        <v>0</v>
      </c>
      <c r="W3585" s="7" t="n">
        <f aca="false">IF(AND(T3585=1,P3585&lt;&gt;"",P3585&lt;=Q3585),1,0)</f>
        <v>0</v>
      </c>
    </row>
    <row r="3586" customFormat="false" ht="15" hidden="false" customHeight="false" outlineLevel="0" collapsed="false">
      <c r="A3586" s="7" t="s">
        <v>4202</v>
      </c>
      <c r="B3586" s="7" t="s">
        <v>135</v>
      </c>
      <c r="C3586" s="7" t="s">
        <v>306</v>
      </c>
      <c r="D3586" s="7" t="s">
        <v>84</v>
      </c>
      <c r="E3586" s="7" t="s">
        <v>85</v>
      </c>
      <c r="F3586" s="7" t="s">
        <v>123</v>
      </c>
      <c r="G3586" s="7" t="s">
        <v>20</v>
      </c>
      <c r="H3586" s="9" t="n">
        <v>46078</v>
      </c>
      <c r="I3586" s="9" t="n">
        <v>46132</v>
      </c>
      <c r="J3586" s="7" t="n">
        <v>7.5</v>
      </c>
      <c r="K3586" s="7" t="s">
        <v>4171</v>
      </c>
      <c r="L3586" s="7" t="s">
        <v>21</v>
      </c>
      <c r="M3586" s="7" t="s">
        <v>4212</v>
      </c>
      <c r="N3586" s="7" t="s">
        <v>53</v>
      </c>
      <c r="O3586" s="10" t="n">
        <f aca="false">'Exec Summary'!$E$2-H3586</f>
        <v>156</v>
      </c>
      <c r="P3586" s="10" t="n">
        <f aca="false">IF(I3586="","",I3586-H3586)</f>
        <v>54</v>
      </c>
      <c r="Q3586" s="10" t="n">
        <f aca="false">VLOOKUP(G3586,$AA$2:$AB$5,2,FALSE())</f>
        <v>30</v>
      </c>
      <c r="R3586" s="7" t="n">
        <f aca="false">IF(OR(F3586="Open",F3586="Reopened"),1,0)</f>
        <v>1</v>
      </c>
      <c r="S3586" s="7" t="n">
        <f aca="false">IF(AND(H3586&gt;='Exec Summary'!$E$1,H3586&lt;='Exec Summary'!$E$2),1,0)</f>
        <v>0</v>
      </c>
      <c r="T3586" s="7" t="n">
        <f aca="false">IF(AND(F3586="Closed",I3586&lt;&gt;"",I3586&gt;='Exec Summary'!$E$1,I3586&lt;='Exec Summary'!$E$2),1,0)</f>
        <v>0</v>
      </c>
      <c r="U3586" s="7" t="n">
        <f aca="false">IF(F3586="Reopened",1,0)</f>
        <v>1</v>
      </c>
      <c r="V3586" s="7" t="n">
        <f aca="false">IF(AND(R3586=1,O3586&gt;Q3586),1,0)</f>
        <v>1</v>
      </c>
      <c r="W3586" s="7" t="n">
        <f aca="false">IF(AND(T3586=1,P3586&lt;&gt;"",P3586&lt;=Q3586),1,0)</f>
        <v>0</v>
      </c>
    </row>
    <row r="3587" customFormat="false" ht="15" hidden="false" customHeight="false" outlineLevel="0" collapsed="false">
      <c r="A3587" s="7" t="s">
        <v>4202</v>
      </c>
      <c r="B3587" s="7" t="s">
        <v>135</v>
      </c>
      <c r="C3587" s="7" t="s">
        <v>306</v>
      </c>
      <c r="D3587" s="7" t="s">
        <v>166</v>
      </c>
      <c r="E3587" s="7" t="s">
        <v>167</v>
      </c>
      <c r="F3587" s="7" t="s">
        <v>56</v>
      </c>
      <c r="G3587" s="7" t="s">
        <v>19</v>
      </c>
      <c r="H3587" s="9" t="n">
        <v>46215</v>
      </c>
      <c r="I3587" s="9"/>
      <c r="J3587" s="7" t="n">
        <v>9.8</v>
      </c>
      <c r="K3587" s="7" t="s">
        <v>4171</v>
      </c>
      <c r="L3587" s="7" t="s">
        <v>21</v>
      </c>
      <c r="M3587" s="7" t="s">
        <v>4213</v>
      </c>
      <c r="N3587" s="7" t="s">
        <v>58</v>
      </c>
      <c r="O3587" s="10" t="n">
        <f aca="false">'Exec Summary'!$E$2-H3587</f>
        <v>19</v>
      </c>
      <c r="P3587" s="10" t="str">
        <f aca="false">IF(I3587="","",I3587-H3587)</f>
        <v/>
      </c>
      <c r="Q3587" s="10" t="n">
        <f aca="false">VLOOKUP(G3587,$AA$2:$AB$5,2,FALSE())</f>
        <v>15</v>
      </c>
      <c r="R3587" s="7" t="n">
        <f aca="false">IF(OR(F3587="Open",F3587="Reopened"),1,0)</f>
        <v>1</v>
      </c>
      <c r="S3587" s="7" t="n">
        <f aca="false">IF(AND(H3587&gt;='Exec Summary'!$E$1,H3587&lt;='Exec Summary'!$E$2),1,0)</f>
        <v>1</v>
      </c>
      <c r="T3587" s="7" t="n">
        <f aca="false">IF(AND(F3587="Closed",I3587&lt;&gt;"",I3587&gt;='Exec Summary'!$E$1,I3587&lt;='Exec Summary'!$E$2),1,0)</f>
        <v>0</v>
      </c>
      <c r="U3587" s="7" t="n">
        <f aca="false">IF(F3587="Reopened",1,0)</f>
        <v>0</v>
      </c>
      <c r="V3587" s="7" t="n">
        <f aca="false">IF(AND(R3587=1,O3587&gt;Q3587),1,0)</f>
        <v>1</v>
      </c>
      <c r="W3587" s="7" t="n">
        <f aca="false">IF(AND(T3587=1,P3587&lt;&gt;"",P3587&lt;=Q3587),1,0)</f>
        <v>0</v>
      </c>
    </row>
    <row r="3588" customFormat="false" ht="15" hidden="false" customHeight="false" outlineLevel="0" collapsed="false">
      <c r="A3588" s="7" t="s">
        <v>4202</v>
      </c>
      <c r="B3588" s="7" t="s">
        <v>135</v>
      </c>
      <c r="C3588" s="7" t="s">
        <v>306</v>
      </c>
      <c r="D3588" s="7" t="s">
        <v>81</v>
      </c>
      <c r="E3588" s="7" t="s">
        <v>82</v>
      </c>
      <c r="F3588" s="7" t="s">
        <v>50</v>
      </c>
      <c r="G3588" s="7" t="s">
        <v>20</v>
      </c>
      <c r="H3588" s="9" t="n">
        <v>45961</v>
      </c>
      <c r="I3588" s="9" t="n">
        <v>45973</v>
      </c>
      <c r="J3588" s="7" t="n">
        <v>7.8</v>
      </c>
      <c r="K3588" s="7" t="s">
        <v>4171</v>
      </c>
      <c r="L3588" s="7" t="s">
        <v>21</v>
      </c>
      <c r="M3588" s="7" t="s">
        <v>4214</v>
      </c>
      <c r="N3588" s="7" t="s">
        <v>53</v>
      </c>
      <c r="O3588" s="10" t="n">
        <f aca="false">'Exec Summary'!$E$2-H3588</f>
        <v>273</v>
      </c>
      <c r="P3588" s="10" t="n">
        <f aca="false">IF(I3588="","",I3588-H3588)</f>
        <v>12</v>
      </c>
      <c r="Q3588" s="10" t="n">
        <f aca="false">VLOOKUP(G3588,$AA$2:$AB$5,2,FALSE())</f>
        <v>30</v>
      </c>
      <c r="R3588" s="7" t="n">
        <f aca="false">IF(OR(F3588="Open",F3588="Reopened"),1,0)</f>
        <v>0</v>
      </c>
      <c r="S3588" s="7" t="n">
        <f aca="false">IF(AND(H3588&gt;='Exec Summary'!$E$1,H3588&lt;='Exec Summary'!$E$2),1,0)</f>
        <v>0</v>
      </c>
      <c r="T3588" s="7" t="n">
        <f aca="false">IF(AND(F3588="Closed",I3588&lt;&gt;"",I3588&gt;='Exec Summary'!$E$1,I3588&lt;='Exec Summary'!$E$2),1,0)</f>
        <v>0</v>
      </c>
      <c r="U3588" s="7" t="n">
        <f aca="false">IF(F3588="Reopened",1,0)</f>
        <v>0</v>
      </c>
      <c r="V3588" s="7" t="n">
        <f aca="false">IF(AND(R3588=1,O3588&gt;Q3588),1,0)</f>
        <v>0</v>
      </c>
      <c r="W3588" s="7" t="n">
        <f aca="false">IF(AND(T3588=1,P3588&lt;&gt;"",P3588&lt;=Q3588),1,0)</f>
        <v>0</v>
      </c>
    </row>
    <row r="3589" customFormat="false" ht="15" hidden="false" customHeight="false" outlineLevel="0" collapsed="false">
      <c r="A3589" s="7" t="s">
        <v>4215</v>
      </c>
      <c r="B3589" s="7" t="s">
        <v>46</v>
      </c>
      <c r="C3589" s="7" t="s">
        <v>158</v>
      </c>
      <c r="D3589" s="7" t="s">
        <v>139</v>
      </c>
      <c r="E3589" s="7" t="s">
        <v>140</v>
      </c>
      <c r="F3589" s="7" t="s">
        <v>50</v>
      </c>
      <c r="G3589" s="7" t="s">
        <v>19</v>
      </c>
      <c r="H3589" s="9" t="n">
        <v>45993</v>
      </c>
      <c r="I3589" s="9" t="n">
        <v>46006</v>
      </c>
      <c r="J3589" s="7" t="n">
        <v>9.8</v>
      </c>
      <c r="K3589" s="7" t="s">
        <v>4171</v>
      </c>
      <c r="L3589" s="7" t="s">
        <v>21</v>
      </c>
      <c r="M3589" s="7" t="s">
        <v>4216</v>
      </c>
      <c r="N3589" s="7" t="s">
        <v>58</v>
      </c>
      <c r="O3589" s="10" t="n">
        <f aca="false">'Exec Summary'!$E$2-H3589</f>
        <v>241</v>
      </c>
      <c r="P3589" s="10" t="n">
        <f aca="false">IF(I3589="","",I3589-H3589)</f>
        <v>13</v>
      </c>
      <c r="Q3589" s="10" t="n">
        <f aca="false">VLOOKUP(G3589,$AA$2:$AB$5,2,FALSE())</f>
        <v>15</v>
      </c>
      <c r="R3589" s="7" t="n">
        <f aca="false">IF(OR(F3589="Open",F3589="Reopened"),1,0)</f>
        <v>0</v>
      </c>
      <c r="S3589" s="7" t="n">
        <f aca="false">IF(AND(H3589&gt;='Exec Summary'!$E$1,H3589&lt;='Exec Summary'!$E$2),1,0)</f>
        <v>0</v>
      </c>
      <c r="T3589" s="7" t="n">
        <f aca="false">IF(AND(F3589="Closed",I3589&lt;&gt;"",I3589&gt;='Exec Summary'!$E$1,I3589&lt;='Exec Summary'!$E$2),1,0)</f>
        <v>0</v>
      </c>
      <c r="U3589" s="7" t="n">
        <f aca="false">IF(F3589="Reopened",1,0)</f>
        <v>0</v>
      </c>
      <c r="V3589" s="7" t="n">
        <f aca="false">IF(AND(R3589=1,O3589&gt;Q3589),1,0)</f>
        <v>0</v>
      </c>
      <c r="W3589" s="7" t="n">
        <f aca="false">IF(AND(T3589=1,P3589&lt;&gt;"",P3589&lt;=Q3589),1,0)</f>
        <v>0</v>
      </c>
    </row>
    <row r="3590" customFormat="false" ht="15" hidden="false" customHeight="false" outlineLevel="0" collapsed="false">
      <c r="A3590" s="7" t="s">
        <v>4215</v>
      </c>
      <c r="B3590" s="7" t="s">
        <v>46</v>
      </c>
      <c r="C3590" s="7" t="s">
        <v>158</v>
      </c>
      <c r="D3590" s="7" t="s">
        <v>81</v>
      </c>
      <c r="E3590" s="7" t="s">
        <v>82</v>
      </c>
      <c r="F3590" s="7" t="s">
        <v>50</v>
      </c>
      <c r="G3590" s="7" t="s">
        <v>20</v>
      </c>
      <c r="H3590" s="9" t="n">
        <v>46069</v>
      </c>
      <c r="I3590" s="9" t="n">
        <v>46083</v>
      </c>
      <c r="J3590" s="7" t="n">
        <v>7.8</v>
      </c>
      <c r="K3590" s="7" t="s">
        <v>4171</v>
      </c>
      <c r="L3590" s="7" t="s">
        <v>21</v>
      </c>
      <c r="M3590" s="7" t="s">
        <v>4217</v>
      </c>
      <c r="N3590" s="7" t="s">
        <v>53</v>
      </c>
      <c r="O3590" s="10" t="n">
        <f aca="false">'Exec Summary'!$E$2-H3590</f>
        <v>165</v>
      </c>
      <c r="P3590" s="10" t="n">
        <f aca="false">IF(I3590="","",I3590-H3590)</f>
        <v>14</v>
      </c>
      <c r="Q3590" s="10" t="n">
        <f aca="false">VLOOKUP(G3590,$AA$2:$AB$5,2,FALSE())</f>
        <v>30</v>
      </c>
      <c r="R3590" s="7" t="n">
        <f aca="false">IF(OR(F3590="Open",F3590="Reopened"),1,0)</f>
        <v>0</v>
      </c>
      <c r="S3590" s="7" t="n">
        <f aca="false">IF(AND(H3590&gt;='Exec Summary'!$E$1,H3590&lt;='Exec Summary'!$E$2),1,0)</f>
        <v>0</v>
      </c>
      <c r="T3590" s="7" t="n">
        <f aca="false">IF(AND(F3590="Closed",I3590&lt;&gt;"",I3590&gt;='Exec Summary'!$E$1,I3590&lt;='Exec Summary'!$E$2),1,0)</f>
        <v>0</v>
      </c>
      <c r="U3590" s="7" t="n">
        <f aca="false">IF(F3590="Reopened",1,0)</f>
        <v>0</v>
      </c>
      <c r="V3590" s="7" t="n">
        <f aca="false">IF(AND(R3590=1,O3590&gt;Q3590),1,0)</f>
        <v>0</v>
      </c>
      <c r="W3590" s="7" t="n">
        <f aca="false">IF(AND(T3590=1,P3590&lt;&gt;"",P3590&lt;=Q3590),1,0)</f>
        <v>0</v>
      </c>
    </row>
    <row r="3591" customFormat="false" ht="15" hidden="false" customHeight="false" outlineLevel="0" collapsed="false">
      <c r="A3591" s="7" t="s">
        <v>4218</v>
      </c>
      <c r="B3591" s="7" t="s">
        <v>46</v>
      </c>
      <c r="C3591" s="7" t="s">
        <v>158</v>
      </c>
      <c r="D3591" s="7" t="s">
        <v>95</v>
      </c>
      <c r="E3591" s="7" t="s">
        <v>96</v>
      </c>
      <c r="F3591" s="7" t="s">
        <v>56</v>
      </c>
      <c r="G3591" s="7" t="s">
        <v>20</v>
      </c>
      <c r="H3591" s="9" t="n">
        <v>46132</v>
      </c>
      <c r="I3591" s="9"/>
      <c r="J3591" s="7" t="n">
        <v>8.8</v>
      </c>
      <c r="K3591" s="7" t="s">
        <v>4171</v>
      </c>
      <c r="L3591" s="7" t="s">
        <v>21</v>
      </c>
      <c r="M3591" s="7" t="s">
        <v>4219</v>
      </c>
      <c r="N3591" s="7" t="s">
        <v>53</v>
      </c>
      <c r="O3591" s="10" t="n">
        <f aca="false">'Exec Summary'!$E$2-H3591</f>
        <v>102</v>
      </c>
      <c r="P3591" s="10" t="str">
        <f aca="false">IF(I3591="","",I3591-H3591)</f>
        <v/>
      </c>
      <c r="Q3591" s="10" t="n">
        <f aca="false">VLOOKUP(G3591,$AA$2:$AB$5,2,FALSE())</f>
        <v>30</v>
      </c>
      <c r="R3591" s="7" t="n">
        <f aca="false">IF(OR(F3591="Open",F3591="Reopened"),1,0)</f>
        <v>1</v>
      </c>
      <c r="S3591" s="7" t="n">
        <f aca="false">IF(AND(H3591&gt;='Exec Summary'!$E$1,H3591&lt;='Exec Summary'!$E$2),1,0)</f>
        <v>0</v>
      </c>
      <c r="T3591" s="7" t="n">
        <f aca="false">IF(AND(F3591="Closed",I3591&lt;&gt;"",I3591&gt;='Exec Summary'!$E$1,I3591&lt;='Exec Summary'!$E$2),1,0)</f>
        <v>0</v>
      </c>
      <c r="U3591" s="7" t="n">
        <f aca="false">IF(F3591="Reopened",1,0)</f>
        <v>0</v>
      </c>
      <c r="V3591" s="7" t="n">
        <f aca="false">IF(AND(R3591=1,O3591&gt;Q3591),1,0)</f>
        <v>1</v>
      </c>
      <c r="W3591" s="7" t="n">
        <f aca="false">IF(AND(T3591=1,P3591&lt;&gt;"",P3591&lt;=Q3591),1,0)</f>
        <v>0</v>
      </c>
    </row>
    <row r="3592" customFormat="false" ht="15" hidden="false" customHeight="false" outlineLevel="0" collapsed="false">
      <c r="A3592" s="7" t="s">
        <v>4218</v>
      </c>
      <c r="B3592" s="7" t="s">
        <v>46</v>
      </c>
      <c r="C3592" s="7" t="s">
        <v>158</v>
      </c>
      <c r="D3592" s="7" t="s">
        <v>71</v>
      </c>
      <c r="E3592" s="7" t="s">
        <v>72</v>
      </c>
      <c r="F3592" s="7" t="s">
        <v>56</v>
      </c>
      <c r="G3592" s="7" t="s">
        <v>19</v>
      </c>
      <c r="H3592" s="9" t="n">
        <v>46208</v>
      </c>
      <c r="I3592" s="9"/>
      <c r="J3592" s="7" t="n">
        <v>9.8</v>
      </c>
      <c r="K3592" s="7" t="s">
        <v>4171</v>
      </c>
      <c r="L3592" s="7" t="s">
        <v>21</v>
      </c>
      <c r="M3592" s="7" t="s">
        <v>4220</v>
      </c>
      <c r="N3592" s="7" t="s">
        <v>58</v>
      </c>
      <c r="O3592" s="10" t="n">
        <f aca="false">'Exec Summary'!$E$2-H3592</f>
        <v>26</v>
      </c>
      <c r="P3592" s="10" t="str">
        <f aca="false">IF(I3592="","",I3592-H3592)</f>
        <v/>
      </c>
      <c r="Q3592" s="10" t="n">
        <f aca="false">VLOOKUP(G3592,$AA$2:$AB$5,2,FALSE())</f>
        <v>15</v>
      </c>
      <c r="R3592" s="7" t="n">
        <f aca="false">IF(OR(F3592="Open",F3592="Reopened"),1,0)</f>
        <v>1</v>
      </c>
      <c r="S3592" s="7" t="n">
        <f aca="false">IF(AND(H3592&gt;='Exec Summary'!$E$1,H3592&lt;='Exec Summary'!$E$2),1,0)</f>
        <v>1</v>
      </c>
      <c r="T3592" s="7" t="n">
        <f aca="false">IF(AND(F3592="Closed",I3592&lt;&gt;"",I3592&gt;='Exec Summary'!$E$1,I3592&lt;='Exec Summary'!$E$2),1,0)</f>
        <v>0</v>
      </c>
      <c r="U3592" s="7" t="n">
        <f aca="false">IF(F3592="Reopened",1,0)</f>
        <v>0</v>
      </c>
      <c r="V3592" s="7" t="n">
        <f aca="false">IF(AND(R3592=1,O3592&gt;Q3592),1,0)</f>
        <v>1</v>
      </c>
      <c r="W3592" s="7" t="n">
        <f aca="false">IF(AND(T3592=1,P3592&lt;&gt;"",P3592&lt;=Q3592),1,0)</f>
        <v>0</v>
      </c>
    </row>
    <row r="3593" customFormat="false" ht="15" hidden="false" customHeight="false" outlineLevel="0" collapsed="false">
      <c r="A3593" s="7" t="s">
        <v>4218</v>
      </c>
      <c r="B3593" s="7" t="s">
        <v>46</v>
      </c>
      <c r="C3593" s="7" t="s">
        <v>158</v>
      </c>
      <c r="D3593" s="7" t="s">
        <v>192</v>
      </c>
      <c r="E3593" s="7" t="s">
        <v>193</v>
      </c>
      <c r="F3593" s="7" t="s">
        <v>123</v>
      </c>
      <c r="G3593" s="7" t="s">
        <v>19</v>
      </c>
      <c r="H3593" s="9" t="n">
        <v>46054</v>
      </c>
      <c r="I3593" s="9" t="n">
        <v>46064</v>
      </c>
      <c r="J3593" s="7" t="n">
        <v>9.8</v>
      </c>
      <c r="K3593" s="7" t="s">
        <v>4171</v>
      </c>
      <c r="L3593" s="7" t="s">
        <v>21</v>
      </c>
      <c r="M3593" s="7" t="s">
        <v>4221</v>
      </c>
      <c r="N3593" s="7" t="s">
        <v>58</v>
      </c>
      <c r="O3593" s="10" t="n">
        <f aca="false">'Exec Summary'!$E$2-H3593</f>
        <v>180</v>
      </c>
      <c r="P3593" s="10" t="n">
        <f aca="false">IF(I3593="","",I3593-H3593)</f>
        <v>10</v>
      </c>
      <c r="Q3593" s="10" t="n">
        <f aca="false">VLOOKUP(G3593,$AA$2:$AB$5,2,FALSE())</f>
        <v>15</v>
      </c>
      <c r="R3593" s="7" t="n">
        <f aca="false">IF(OR(F3593="Open",F3593="Reopened"),1,0)</f>
        <v>1</v>
      </c>
      <c r="S3593" s="7" t="n">
        <f aca="false">IF(AND(H3593&gt;='Exec Summary'!$E$1,H3593&lt;='Exec Summary'!$E$2),1,0)</f>
        <v>0</v>
      </c>
      <c r="T3593" s="7" t="n">
        <f aca="false">IF(AND(F3593="Closed",I3593&lt;&gt;"",I3593&gt;='Exec Summary'!$E$1,I3593&lt;='Exec Summary'!$E$2),1,0)</f>
        <v>0</v>
      </c>
      <c r="U3593" s="7" t="n">
        <f aca="false">IF(F3593="Reopened",1,0)</f>
        <v>1</v>
      </c>
      <c r="V3593" s="7" t="n">
        <f aca="false">IF(AND(R3593=1,O3593&gt;Q3593),1,0)</f>
        <v>1</v>
      </c>
      <c r="W3593" s="7" t="n">
        <f aca="false">IF(AND(T3593=1,P3593&lt;&gt;"",P3593&lt;=Q3593),1,0)</f>
        <v>0</v>
      </c>
    </row>
    <row r="3594" customFormat="false" ht="15" hidden="false" customHeight="false" outlineLevel="0" collapsed="false">
      <c r="A3594" s="7" t="s">
        <v>4218</v>
      </c>
      <c r="B3594" s="7" t="s">
        <v>46</v>
      </c>
      <c r="C3594" s="7" t="s">
        <v>158</v>
      </c>
      <c r="D3594" s="7" t="s">
        <v>68</v>
      </c>
      <c r="E3594" s="7" t="s">
        <v>69</v>
      </c>
      <c r="F3594" s="7" t="s">
        <v>50</v>
      </c>
      <c r="G3594" s="7" t="s">
        <v>19</v>
      </c>
      <c r="H3594" s="9" t="n">
        <v>46191</v>
      </c>
      <c r="I3594" s="9" t="n">
        <v>46193</v>
      </c>
      <c r="J3594" s="7" t="n">
        <v>9.8</v>
      </c>
      <c r="K3594" s="7" t="s">
        <v>4171</v>
      </c>
      <c r="L3594" s="7" t="s">
        <v>21</v>
      </c>
      <c r="M3594" s="7" t="s">
        <v>4222</v>
      </c>
      <c r="N3594" s="7" t="s">
        <v>58</v>
      </c>
      <c r="O3594" s="10" t="n">
        <f aca="false">'Exec Summary'!$E$2-H3594</f>
        <v>43</v>
      </c>
      <c r="P3594" s="10" t="n">
        <f aca="false">IF(I3594="","",I3594-H3594)</f>
        <v>2</v>
      </c>
      <c r="Q3594" s="10" t="n">
        <f aca="false">VLOOKUP(G3594,$AA$2:$AB$5,2,FALSE())</f>
        <v>15</v>
      </c>
      <c r="R3594" s="7" t="n">
        <f aca="false">IF(OR(F3594="Open",F3594="Reopened"),1,0)</f>
        <v>0</v>
      </c>
      <c r="S3594" s="7" t="n">
        <f aca="false">IF(AND(H3594&gt;='Exec Summary'!$E$1,H3594&lt;='Exec Summary'!$E$2),1,0)</f>
        <v>0</v>
      </c>
      <c r="T3594" s="7" t="n">
        <f aca="false">IF(AND(F3594="Closed",I3594&lt;&gt;"",I3594&gt;='Exec Summary'!$E$1,I3594&lt;='Exec Summary'!$E$2),1,0)</f>
        <v>0</v>
      </c>
      <c r="U3594" s="7" t="n">
        <f aca="false">IF(F3594="Reopened",1,0)</f>
        <v>0</v>
      </c>
      <c r="V3594" s="7" t="n">
        <f aca="false">IF(AND(R3594=1,O3594&gt;Q3594),1,0)</f>
        <v>0</v>
      </c>
      <c r="W3594" s="7" t="n">
        <f aca="false">IF(AND(T3594=1,P3594&lt;&gt;"",P3594&lt;=Q3594),1,0)</f>
        <v>0</v>
      </c>
    </row>
    <row r="3595" customFormat="false" ht="15" hidden="false" customHeight="false" outlineLevel="0" collapsed="false">
      <c r="A3595" s="7" t="s">
        <v>4218</v>
      </c>
      <c r="B3595" s="7" t="s">
        <v>46</v>
      </c>
      <c r="C3595" s="7" t="s">
        <v>158</v>
      </c>
      <c r="D3595" s="7" t="s">
        <v>152</v>
      </c>
      <c r="E3595" s="7" t="s">
        <v>153</v>
      </c>
      <c r="F3595" s="7" t="s">
        <v>56</v>
      </c>
      <c r="G3595" s="7" t="s">
        <v>20</v>
      </c>
      <c r="H3595" s="9" t="n">
        <v>45995</v>
      </c>
      <c r="I3595" s="9"/>
      <c r="J3595" s="7" t="n">
        <v>7.5</v>
      </c>
      <c r="K3595" s="7" t="s">
        <v>4171</v>
      </c>
      <c r="L3595" s="7" t="s">
        <v>21</v>
      </c>
      <c r="M3595" s="7" t="s">
        <v>4223</v>
      </c>
      <c r="N3595" s="7" t="s">
        <v>53</v>
      </c>
      <c r="O3595" s="10" t="n">
        <f aca="false">'Exec Summary'!$E$2-H3595</f>
        <v>239</v>
      </c>
      <c r="P3595" s="10" t="str">
        <f aca="false">IF(I3595="","",I3595-H3595)</f>
        <v/>
      </c>
      <c r="Q3595" s="10" t="n">
        <f aca="false">VLOOKUP(G3595,$AA$2:$AB$5,2,FALSE())</f>
        <v>30</v>
      </c>
      <c r="R3595" s="7" t="n">
        <f aca="false">IF(OR(F3595="Open",F3595="Reopened"),1,0)</f>
        <v>1</v>
      </c>
      <c r="S3595" s="7" t="n">
        <f aca="false">IF(AND(H3595&gt;='Exec Summary'!$E$1,H3595&lt;='Exec Summary'!$E$2),1,0)</f>
        <v>0</v>
      </c>
      <c r="T3595" s="7" t="n">
        <f aca="false">IF(AND(F3595="Closed",I3595&lt;&gt;"",I3595&gt;='Exec Summary'!$E$1,I3595&lt;='Exec Summary'!$E$2),1,0)</f>
        <v>0</v>
      </c>
      <c r="U3595" s="7" t="n">
        <f aca="false">IF(F3595="Reopened",1,0)</f>
        <v>0</v>
      </c>
      <c r="V3595" s="7" t="n">
        <f aca="false">IF(AND(R3595=1,O3595&gt;Q3595),1,0)</f>
        <v>1</v>
      </c>
      <c r="W3595" s="7" t="n">
        <f aca="false">IF(AND(T3595=1,P3595&lt;&gt;"",P3595&lt;=Q3595),1,0)</f>
        <v>0</v>
      </c>
    </row>
    <row r="3596" customFormat="false" ht="15" hidden="false" customHeight="false" outlineLevel="0" collapsed="false">
      <c r="A3596" s="7" t="s">
        <v>4218</v>
      </c>
      <c r="B3596" s="7" t="s">
        <v>46</v>
      </c>
      <c r="C3596" s="7" t="s">
        <v>158</v>
      </c>
      <c r="D3596" s="7" t="s">
        <v>173</v>
      </c>
      <c r="E3596" s="7" t="s">
        <v>174</v>
      </c>
      <c r="F3596" s="7" t="s">
        <v>56</v>
      </c>
      <c r="G3596" s="7" t="s">
        <v>19</v>
      </c>
      <c r="H3596" s="9" t="n">
        <v>46022</v>
      </c>
      <c r="I3596" s="9"/>
      <c r="J3596" s="7" t="n">
        <v>9.8</v>
      </c>
      <c r="K3596" s="7" t="s">
        <v>4171</v>
      </c>
      <c r="L3596" s="7" t="s">
        <v>21</v>
      </c>
      <c r="M3596" s="7" t="s">
        <v>4224</v>
      </c>
      <c r="N3596" s="7" t="s">
        <v>58</v>
      </c>
      <c r="O3596" s="10" t="n">
        <f aca="false">'Exec Summary'!$E$2-H3596</f>
        <v>212</v>
      </c>
      <c r="P3596" s="10" t="str">
        <f aca="false">IF(I3596="","",I3596-H3596)</f>
        <v/>
      </c>
      <c r="Q3596" s="10" t="n">
        <f aca="false">VLOOKUP(G3596,$AA$2:$AB$5,2,FALSE())</f>
        <v>15</v>
      </c>
      <c r="R3596" s="7" t="n">
        <f aca="false">IF(OR(F3596="Open",F3596="Reopened"),1,0)</f>
        <v>1</v>
      </c>
      <c r="S3596" s="7" t="n">
        <f aca="false">IF(AND(H3596&gt;='Exec Summary'!$E$1,H3596&lt;='Exec Summary'!$E$2),1,0)</f>
        <v>0</v>
      </c>
      <c r="T3596" s="7" t="n">
        <f aca="false">IF(AND(F3596="Closed",I3596&lt;&gt;"",I3596&gt;='Exec Summary'!$E$1,I3596&lt;='Exec Summary'!$E$2),1,0)</f>
        <v>0</v>
      </c>
      <c r="U3596" s="7" t="n">
        <f aca="false">IF(F3596="Reopened",1,0)</f>
        <v>0</v>
      </c>
      <c r="V3596" s="7" t="n">
        <f aca="false">IF(AND(R3596=1,O3596&gt;Q3596),1,0)</f>
        <v>1</v>
      </c>
      <c r="W3596" s="7" t="n">
        <f aca="false">IF(AND(T3596=1,P3596&lt;&gt;"",P3596&lt;=Q3596),1,0)</f>
        <v>0</v>
      </c>
    </row>
    <row r="3597" customFormat="false" ht="15" hidden="false" customHeight="false" outlineLevel="0" collapsed="false">
      <c r="A3597" s="7" t="s">
        <v>4218</v>
      </c>
      <c r="B3597" s="7" t="s">
        <v>46</v>
      </c>
      <c r="C3597" s="7" t="s">
        <v>158</v>
      </c>
      <c r="D3597" s="7" t="s">
        <v>117</v>
      </c>
      <c r="E3597" s="7" t="s">
        <v>118</v>
      </c>
      <c r="F3597" s="7" t="s">
        <v>56</v>
      </c>
      <c r="G3597" s="7" t="s">
        <v>19</v>
      </c>
      <c r="H3597" s="9" t="n">
        <v>46042</v>
      </c>
      <c r="I3597" s="9"/>
      <c r="J3597" s="7" t="n">
        <v>10</v>
      </c>
      <c r="K3597" s="7" t="s">
        <v>4171</v>
      </c>
      <c r="L3597" s="7" t="s">
        <v>21</v>
      </c>
      <c r="M3597" s="7" t="s">
        <v>4225</v>
      </c>
      <c r="N3597" s="7" t="s">
        <v>58</v>
      </c>
      <c r="O3597" s="10" t="n">
        <f aca="false">'Exec Summary'!$E$2-H3597</f>
        <v>192</v>
      </c>
      <c r="P3597" s="10" t="str">
        <f aca="false">IF(I3597="","",I3597-H3597)</f>
        <v/>
      </c>
      <c r="Q3597" s="10" t="n">
        <f aca="false">VLOOKUP(G3597,$AA$2:$AB$5,2,FALSE())</f>
        <v>15</v>
      </c>
      <c r="R3597" s="7" t="n">
        <f aca="false">IF(OR(F3597="Open",F3597="Reopened"),1,0)</f>
        <v>1</v>
      </c>
      <c r="S3597" s="7" t="n">
        <f aca="false">IF(AND(H3597&gt;='Exec Summary'!$E$1,H3597&lt;='Exec Summary'!$E$2),1,0)</f>
        <v>0</v>
      </c>
      <c r="T3597" s="7" t="n">
        <f aca="false">IF(AND(F3597="Closed",I3597&lt;&gt;"",I3597&gt;='Exec Summary'!$E$1,I3597&lt;='Exec Summary'!$E$2),1,0)</f>
        <v>0</v>
      </c>
      <c r="U3597" s="7" t="n">
        <f aca="false">IF(F3597="Reopened",1,0)</f>
        <v>0</v>
      </c>
      <c r="V3597" s="7" t="n">
        <f aca="false">IF(AND(R3597=1,O3597&gt;Q3597),1,0)</f>
        <v>1</v>
      </c>
      <c r="W3597" s="7" t="n">
        <f aca="false">IF(AND(T3597=1,P3597&lt;&gt;"",P3597&lt;=Q3597),1,0)</f>
        <v>0</v>
      </c>
    </row>
    <row r="3598" customFormat="false" ht="15" hidden="false" customHeight="false" outlineLevel="0" collapsed="false">
      <c r="A3598" s="7" t="s">
        <v>4218</v>
      </c>
      <c r="B3598" s="7" t="s">
        <v>46</v>
      </c>
      <c r="C3598" s="7" t="s">
        <v>158</v>
      </c>
      <c r="D3598" s="7" t="s">
        <v>131</v>
      </c>
      <c r="E3598" s="7" t="s">
        <v>132</v>
      </c>
      <c r="F3598" s="7" t="s">
        <v>50</v>
      </c>
      <c r="G3598" s="7" t="s">
        <v>19</v>
      </c>
      <c r="H3598" s="9" t="n">
        <v>45955</v>
      </c>
      <c r="I3598" s="9" t="n">
        <v>45965</v>
      </c>
      <c r="J3598" s="7" t="n">
        <v>9.8</v>
      </c>
      <c r="K3598" s="7" t="s">
        <v>4171</v>
      </c>
      <c r="L3598" s="7" t="s">
        <v>21</v>
      </c>
      <c r="M3598" s="7" t="s">
        <v>4226</v>
      </c>
      <c r="N3598" s="7" t="s">
        <v>58</v>
      </c>
      <c r="O3598" s="10" t="n">
        <f aca="false">'Exec Summary'!$E$2-H3598</f>
        <v>279</v>
      </c>
      <c r="P3598" s="10" t="n">
        <f aca="false">IF(I3598="","",I3598-H3598)</f>
        <v>10</v>
      </c>
      <c r="Q3598" s="10" t="n">
        <f aca="false">VLOOKUP(G3598,$AA$2:$AB$5,2,FALSE())</f>
        <v>15</v>
      </c>
      <c r="R3598" s="7" t="n">
        <f aca="false">IF(OR(F3598="Open",F3598="Reopened"),1,0)</f>
        <v>0</v>
      </c>
      <c r="S3598" s="7" t="n">
        <f aca="false">IF(AND(H3598&gt;='Exec Summary'!$E$1,H3598&lt;='Exec Summary'!$E$2),1,0)</f>
        <v>0</v>
      </c>
      <c r="T3598" s="7" t="n">
        <f aca="false">IF(AND(F3598="Closed",I3598&lt;&gt;"",I3598&gt;='Exec Summary'!$E$1,I3598&lt;='Exec Summary'!$E$2),1,0)</f>
        <v>0</v>
      </c>
      <c r="U3598" s="7" t="n">
        <f aca="false">IF(F3598="Reopened",1,0)</f>
        <v>0</v>
      </c>
      <c r="V3598" s="7" t="n">
        <f aca="false">IF(AND(R3598=1,O3598&gt;Q3598),1,0)</f>
        <v>0</v>
      </c>
      <c r="W3598" s="7" t="n">
        <f aca="false">IF(AND(T3598=1,P3598&lt;&gt;"",P3598&lt;=Q3598),1,0)</f>
        <v>0</v>
      </c>
    </row>
    <row r="3599" customFormat="false" ht="15" hidden="false" customHeight="false" outlineLevel="0" collapsed="false">
      <c r="A3599" s="7" t="s">
        <v>4218</v>
      </c>
      <c r="B3599" s="7" t="s">
        <v>46</v>
      </c>
      <c r="C3599" s="7" t="s">
        <v>158</v>
      </c>
      <c r="D3599" s="7" t="s">
        <v>84</v>
      </c>
      <c r="E3599" s="7" t="s">
        <v>85</v>
      </c>
      <c r="F3599" s="7" t="s">
        <v>56</v>
      </c>
      <c r="G3599" s="7" t="s">
        <v>20</v>
      </c>
      <c r="H3599" s="9" t="n">
        <v>46037</v>
      </c>
      <c r="I3599" s="9"/>
      <c r="J3599" s="7" t="n">
        <v>7.5</v>
      </c>
      <c r="K3599" s="7" t="s">
        <v>4171</v>
      </c>
      <c r="L3599" s="7" t="s">
        <v>21</v>
      </c>
      <c r="M3599" s="7" t="s">
        <v>4227</v>
      </c>
      <c r="N3599" s="7" t="s">
        <v>53</v>
      </c>
      <c r="O3599" s="10" t="n">
        <f aca="false">'Exec Summary'!$E$2-H3599</f>
        <v>197</v>
      </c>
      <c r="P3599" s="10" t="str">
        <f aca="false">IF(I3599="","",I3599-H3599)</f>
        <v/>
      </c>
      <c r="Q3599" s="10" t="n">
        <f aca="false">VLOOKUP(G3599,$AA$2:$AB$5,2,FALSE())</f>
        <v>30</v>
      </c>
      <c r="R3599" s="7" t="n">
        <f aca="false">IF(OR(F3599="Open",F3599="Reopened"),1,0)</f>
        <v>1</v>
      </c>
      <c r="S3599" s="7" t="n">
        <f aca="false">IF(AND(H3599&gt;='Exec Summary'!$E$1,H3599&lt;='Exec Summary'!$E$2),1,0)</f>
        <v>0</v>
      </c>
      <c r="T3599" s="7" t="n">
        <f aca="false">IF(AND(F3599="Closed",I3599&lt;&gt;"",I3599&gt;='Exec Summary'!$E$1,I3599&lt;='Exec Summary'!$E$2),1,0)</f>
        <v>0</v>
      </c>
      <c r="U3599" s="7" t="n">
        <f aca="false">IF(F3599="Reopened",1,0)</f>
        <v>0</v>
      </c>
      <c r="V3599" s="7" t="n">
        <f aca="false">IF(AND(R3599=1,O3599&gt;Q3599),1,0)</f>
        <v>1</v>
      </c>
      <c r="W3599" s="7" t="n">
        <f aca="false">IF(AND(T3599=1,P3599&lt;&gt;"",P3599&lt;=Q3599),1,0)</f>
        <v>0</v>
      </c>
    </row>
    <row r="3600" customFormat="false" ht="15" hidden="false" customHeight="false" outlineLevel="0" collapsed="false">
      <c r="A3600" s="7" t="s">
        <v>4218</v>
      </c>
      <c r="B3600" s="7" t="s">
        <v>46</v>
      </c>
      <c r="C3600" s="7" t="s">
        <v>158</v>
      </c>
      <c r="D3600" s="7" t="s">
        <v>166</v>
      </c>
      <c r="E3600" s="7" t="s">
        <v>167</v>
      </c>
      <c r="F3600" s="7" t="s">
        <v>123</v>
      </c>
      <c r="G3600" s="7" t="s">
        <v>19</v>
      </c>
      <c r="H3600" s="9" t="n">
        <v>46066</v>
      </c>
      <c r="I3600" s="9" t="n">
        <v>46075</v>
      </c>
      <c r="J3600" s="7" t="n">
        <v>9.8</v>
      </c>
      <c r="K3600" s="7" t="s">
        <v>4171</v>
      </c>
      <c r="L3600" s="7" t="s">
        <v>21</v>
      </c>
      <c r="M3600" s="7" t="s">
        <v>4228</v>
      </c>
      <c r="N3600" s="7" t="s">
        <v>58</v>
      </c>
      <c r="O3600" s="10" t="n">
        <f aca="false">'Exec Summary'!$E$2-H3600</f>
        <v>168</v>
      </c>
      <c r="P3600" s="10" t="n">
        <f aca="false">IF(I3600="","",I3600-H3600)</f>
        <v>9</v>
      </c>
      <c r="Q3600" s="10" t="n">
        <f aca="false">VLOOKUP(G3600,$AA$2:$AB$5,2,FALSE())</f>
        <v>15</v>
      </c>
      <c r="R3600" s="7" t="n">
        <f aca="false">IF(OR(F3600="Open",F3600="Reopened"),1,0)</f>
        <v>1</v>
      </c>
      <c r="S3600" s="7" t="n">
        <f aca="false">IF(AND(H3600&gt;='Exec Summary'!$E$1,H3600&lt;='Exec Summary'!$E$2),1,0)</f>
        <v>0</v>
      </c>
      <c r="T3600" s="7" t="n">
        <f aca="false">IF(AND(F3600="Closed",I3600&lt;&gt;"",I3600&gt;='Exec Summary'!$E$1,I3600&lt;='Exec Summary'!$E$2),1,0)</f>
        <v>0</v>
      </c>
      <c r="U3600" s="7" t="n">
        <f aca="false">IF(F3600="Reopened",1,0)</f>
        <v>1</v>
      </c>
      <c r="V3600" s="7" t="n">
        <f aca="false">IF(AND(R3600=1,O3600&gt;Q3600),1,0)</f>
        <v>1</v>
      </c>
      <c r="W3600" s="7" t="n">
        <f aca="false">IF(AND(T3600=1,P3600&lt;&gt;"",P3600&lt;=Q3600),1,0)</f>
        <v>0</v>
      </c>
    </row>
    <row r="3601" customFormat="false" ht="15" hidden="false" customHeight="false" outlineLevel="0" collapsed="false">
      <c r="A3601" s="7" t="s">
        <v>4218</v>
      </c>
      <c r="B3601" s="7" t="s">
        <v>46</v>
      </c>
      <c r="C3601" s="7" t="s">
        <v>158</v>
      </c>
      <c r="D3601" s="7" t="s">
        <v>91</v>
      </c>
      <c r="E3601" s="7" t="s">
        <v>92</v>
      </c>
      <c r="F3601" s="7" t="s">
        <v>50</v>
      </c>
      <c r="G3601" s="7" t="s">
        <v>20</v>
      </c>
      <c r="H3601" s="9" t="n">
        <v>46216</v>
      </c>
      <c r="I3601" s="9" t="n">
        <v>46217</v>
      </c>
      <c r="J3601" s="7" t="n">
        <v>8.1</v>
      </c>
      <c r="K3601" s="7" t="s">
        <v>4171</v>
      </c>
      <c r="L3601" s="7" t="s">
        <v>21</v>
      </c>
      <c r="M3601" s="7" t="s">
        <v>4229</v>
      </c>
      <c r="N3601" s="7" t="s">
        <v>53</v>
      </c>
      <c r="O3601" s="10" t="n">
        <f aca="false">'Exec Summary'!$E$2-H3601</f>
        <v>18</v>
      </c>
      <c r="P3601" s="10" t="n">
        <f aca="false">IF(I3601="","",I3601-H3601)</f>
        <v>1</v>
      </c>
      <c r="Q3601" s="10" t="n">
        <f aca="false">VLOOKUP(G3601,$AA$2:$AB$5,2,FALSE())</f>
        <v>30</v>
      </c>
      <c r="R3601" s="7" t="n">
        <f aca="false">IF(OR(F3601="Open",F3601="Reopened"),1,0)</f>
        <v>0</v>
      </c>
      <c r="S3601" s="7" t="n">
        <f aca="false">IF(AND(H3601&gt;='Exec Summary'!$E$1,H3601&lt;='Exec Summary'!$E$2),1,0)</f>
        <v>1</v>
      </c>
      <c r="T3601" s="7" t="n">
        <f aca="false">IF(AND(F3601="Closed",I3601&lt;&gt;"",I3601&gt;='Exec Summary'!$E$1,I3601&lt;='Exec Summary'!$E$2),1,0)</f>
        <v>1</v>
      </c>
      <c r="U3601" s="7" t="n">
        <f aca="false">IF(F3601="Reopened",1,0)</f>
        <v>0</v>
      </c>
      <c r="V3601" s="7" t="n">
        <f aca="false">IF(AND(R3601=1,O3601&gt;Q3601),1,0)</f>
        <v>0</v>
      </c>
      <c r="W3601" s="7" t="n">
        <f aca="false">IF(AND(T3601=1,P3601&lt;&gt;"",P3601&lt;=Q3601),1,0)</f>
        <v>1</v>
      </c>
    </row>
    <row r="3602" customFormat="false" ht="15" hidden="false" customHeight="false" outlineLevel="0" collapsed="false">
      <c r="A3602" s="7" t="s">
        <v>4218</v>
      </c>
      <c r="B3602" s="7" t="s">
        <v>46</v>
      </c>
      <c r="C3602" s="7" t="s">
        <v>158</v>
      </c>
      <c r="D3602" s="7" t="s">
        <v>62</v>
      </c>
      <c r="E3602" s="7" t="s">
        <v>63</v>
      </c>
      <c r="F3602" s="7" t="s">
        <v>56</v>
      </c>
      <c r="G3602" s="7" t="s">
        <v>20</v>
      </c>
      <c r="H3602" s="9" t="n">
        <v>45940</v>
      </c>
      <c r="I3602" s="9"/>
      <c r="J3602" s="7" t="n">
        <v>8.1</v>
      </c>
      <c r="K3602" s="7" t="s">
        <v>4171</v>
      </c>
      <c r="L3602" s="7" t="s">
        <v>21</v>
      </c>
      <c r="M3602" s="7" t="s">
        <v>4230</v>
      </c>
      <c r="N3602" s="7" t="s">
        <v>53</v>
      </c>
      <c r="O3602" s="10" t="n">
        <f aca="false">'Exec Summary'!$E$2-H3602</f>
        <v>294</v>
      </c>
      <c r="P3602" s="10" t="str">
        <f aca="false">IF(I3602="","",I3602-H3602)</f>
        <v/>
      </c>
      <c r="Q3602" s="10" t="n">
        <f aca="false">VLOOKUP(G3602,$AA$2:$AB$5,2,FALSE())</f>
        <v>30</v>
      </c>
      <c r="R3602" s="7" t="n">
        <f aca="false">IF(OR(F3602="Open",F3602="Reopened"),1,0)</f>
        <v>1</v>
      </c>
      <c r="S3602" s="7" t="n">
        <f aca="false">IF(AND(H3602&gt;='Exec Summary'!$E$1,H3602&lt;='Exec Summary'!$E$2),1,0)</f>
        <v>0</v>
      </c>
      <c r="T3602" s="7" t="n">
        <f aca="false">IF(AND(F3602="Closed",I3602&lt;&gt;"",I3602&gt;='Exec Summary'!$E$1,I3602&lt;='Exec Summary'!$E$2),1,0)</f>
        <v>0</v>
      </c>
      <c r="U3602" s="7" t="n">
        <f aca="false">IF(F3602="Reopened",1,0)</f>
        <v>0</v>
      </c>
      <c r="V3602" s="7" t="n">
        <f aca="false">IF(AND(R3602=1,O3602&gt;Q3602),1,0)</f>
        <v>1</v>
      </c>
      <c r="W3602" s="7" t="n">
        <f aca="false">IF(AND(T3602=1,P3602&lt;&gt;"",P3602&lt;=Q3602),1,0)</f>
        <v>0</v>
      </c>
    </row>
    <row r="3603" customFormat="false" ht="15" hidden="false" customHeight="false" outlineLevel="0" collapsed="false">
      <c r="A3603" s="7" t="s">
        <v>4218</v>
      </c>
      <c r="B3603" s="7" t="s">
        <v>46</v>
      </c>
      <c r="C3603" s="7" t="s">
        <v>158</v>
      </c>
      <c r="D3603" s="7" t="s">
        <v>54</v>
      </c>
      <c r="E3603" s="7" t="s">
        <v>55</v>
      </c>
      <c r="F3603" s="7" t="s">
        <v>50</v>
      </c>
      <c r="G3603" s="7" t="s">
        <v>19</v>
      </c>
      <c r="H3603" s="9" t="n">
        <v>46148</v>
      </c>
      <c r="I3603" s="9" t="n">
        <v>46164</v>
      </c>
      <c r="J3603" s="7" t="n">
        <v>9.8</v>
      </c>
      <c r="K3603" s="7" t="s">
        <v>4171</v>
      </c>
      <c r="L3603" s="7" t="s">
        <v>21</v>
      </c>
      <c r="M3603" s="7" t="s">
        <v>4231</v>
      </c>
      <c r="N3603" s="7" t="s">
        <v>58</v>
      </c>
      <c r="O3603" s="10" t="n">
        <f aca="false">'Exec Summary'!$E$2-H3603</f>
        <v>86</v>
      </c>
      <c r="P3603" s="10" t="n">
        <f aca="false">IF(I3603="","",I3603-H3603)</f>
        <v>16</v>
      </c>
      <c r="Q3603" s="10" t="n">
        <f aca="false">VLOOKUP(G3603,$AA$2:$AB$5,2,FALSE())</f>
        <v>15</v>
      </c>
      <c r="R3603" s="7" t="n">
        <f aca="false">IF(OR(F3603="Open",F3603="Reopened"),1,0)</f>
        <v>0</v>
      </c>
      <c r="S3603" s="7" t="n">
        <f aca="false">IF(AND(H3603&gt;='Exec Summary'!$E$1,H3603&lt;='Exec Summary'!$E$2),1,0)</f>
        <v>0</v>
      </c>
      <c r="T3603" s="7" t="n">
        <f aca="false">IF(AND(F3603="Closed",I3603&lt;&gt;"",I3603&gt;='Exec Summary'!$E$1,I3603&lt;='Exec Summary'!$E$2),1,0)</f>
        <v>0</v>
      </c>
      <c r="U3603" s="7" t="n">
        <f aca="false">IF(F3603="Reopened",1,0)</f>
        <v>0</v>
      </c>
      <c r="V3603" s="7" t="n">
        <f aca="false">IF(AND(R3603=1,O3603&gt;Q3603),1,0)</f>
        <v>0</v>
      </c>
      <c r="W3603" s="7" t="n">
        <f aca="false">IF(AND(T3603=1,P3603&lt;&gt;"",P3603&lt;=Q3603),1,0)</f>
        <v>0</v>
      </c>
    </row>
    <row r="3604" customFormat="false" ht="15" hidden="false" customHeight="false" outlineLevel="0" collapsed="false">
      <c r="A3604" s="7" t="s">
        <v>4218</v>
      </c>
      <c r="B3604" s="7" t="s">
        <v>46</v>
      </c>
      <c r="C3604" s="7" t="s">
        <v>158</v>
      </c>
      <c r="D3604" s="7" t="s">
        <v>81</v>
      </c>
      <c r="E3604" s="7" t="s">
        <v>82</v>
      </c>
      <c r="F3604" s="7" t="s">
        <v>50</v>
      </c>
      <c r="G3604" s="7" t="s">
        <v>20</v>
      </c>
      <c r="H3604" s="9" t="n">
        <v>45988</v>
      </c>
      <c r="I3604" s="9" t="n">
        <v>46024</v>
      </c>
      <c r="J3604" s="7" t="n">
        <v>7.8</v>
      </c>
      <c r="K3604" s="7" t="s">
        <v>4171</v>
      </c>
      <c r="L3604" s="7" t="s">
        <v>21</v>
      </c>
      <c r="M3604" s="7" t="s">
        <v>4232</v>
      </c>
      <c r="N3604" s="7" t="s">
        <v>53</v>
      </c>
      <c r="O3604" s="10" t="n">
        <f aca="false">'Exec Summary'!$E$2-H3604</f>
        <v>246</v>
      </c>
      <c r="P3604" s="10" t="n">
        <f aca="false">IF(I3604="","",I3604-H3604)</f>
        <v>36</v>
      </c>
      <c r="Q3604" s="10" t="n">
        <f aca="false">VLOOKUP(G3604,$AA$2:$AB$5,2,FALSE())</f>
        <v>30</v>
      </c>
      <c r="R3604" s="7" t="n">
        <f aca="false">IF(OR(F3604="Open",F3604="Reopened"),1,0)</f>
        <v>0</v>
      </c>
      <c r="S3604" s="7" t="n">
        <f aca="false">IF(AND(H3604&gt;='Exec Summary'!$E$1,H3604&lt;='Exec Summary'!$E$2),1,0)</f>
        <v>0</v>
      </c>
      <c r="T3604" s="7" t="n">
        <f aca="false">IF(AND(F3604="Closed",I3604&lt;&gt;"",I3604&gt;='Exec Summary'!$E$1,I3604&lt;='Exec Summary'!$E$2),1,0)</f>
        <v>0</v>
      </c>
      <c r="U3604" s="7" t="n">
        <f aca="false">IF(F3604="Reopened",1,0)</f>
        <v>0</v>
      </c>
      <c r="V3604" s="7" t="n">
        <f aca="false">IF(AND(R3604=1,O3604&gt;Q3604),1,0)</f>
        <v>0</v>
      </c>
      <c r="W3604" s="7" t="n">
        <f aca="false">IF(AND(T3604=1,P3604&lt;&gt;"",P3604&lt;=Q3604),1,0)</f>
        <v>0</v>
      </c>
    </row>
    <row r="3605" customFormat="false" ht="15" hidden="false" customHeight="false" outlineLevel="0" collapsed="false">
      <c r="A3605" s="7" t="s">
        <v>4233</v>
      </c>
      <c r="B3605" s="7" t="s">
        <v>135</v>
      </c>
      <c r="C3605" s="7" t="s">
        <v>136</v>
      </c>
      <c r="D3605" s="7" t="s">
        <v>139</v>
      </c>
      <c r="E3605" s="7" t="s">
        <v>140</v>
      </c>
      <c r="F3605" s="7" t="s">
        <v>123</v>
      </c>
      <c r="G3605" s="7" t="s">
        <v>19</v>
      </c>
      <c r="H3605" s="9" t="n">
        <v>45953</v>
      </c>
      <c r="I3605" s="9" t="n">
        <v>45971</v>
      </c>
      <c r="J3605" s="7" t="n">
        <v>9.8</v>
      </c>
      <c r="K3605" s="7" t="s">
        <v>4171</v>
      </c>
      <c r="L3605" s="7" t="s">
        <v>21</v>
      </c>
      <c r="M3605" s="7" t="s">
        <v>4234</v>
      </c>
      <c r="N3605" s="7" t="s">
        <v>58</v>
      </c>
      <c r="O3605" s="10" t="n">
        <f aca="false">'Exec Summary'!$E$2-H3605</f>
        <v>281</v>
      </c>
      <c r="P3605" s="10" t="n">
        <f aca="false">IF(I3605="","",I3605-H3605)</f>
        <v>18</v>
      </c>
      <c r="Q3605" s="10" t="n">
        <f aca="false">VLOOKUP(G3605,$AA$2:$AB$5,2,FALSE())</f>
        <v>15</v>
      </c>
      <c r="R3605" s="7" t="n">
        <f aca="false">IF(OR(F3605="Open",F3605="Reopened"),1,0)</f>
        <v>1</v>
      </c>
      <c r="S3605" s="7" t="n">
        <f aca="false">IF(AND(H3605&gt;='Exec Summary'!$E$1,H3605&lt;='Exec Summary'!$E$2),1,0)</f>
        <v>0</v>
      </c>
      <c r="T3605" s="7" t="n">
        <f aca="false">IF(AND(F3605="Closed",I3605&lt;&gt;"",I3605&gt;='Exec Summary'!$E$1,I3605&lt;='Exec Summary'!$E$2),1,0)</f>
        <v>0</v>
      </c>
      <c r="U3605" s="7" t="n">
        <f aca="false">IF(F3605="Reopened",1,0)</f>
        <v>1</v>
      </c>
      <c r="V3605" s="7" t="n">
        <f aca="false">IF(AND(R3605=1,O3605&gt;Q3605),1,0)</f>
        <v>1</v>
      </c>
      <c r="W3605" s="7" t="n">
        <f aca="false">IF(AND(T3605=1,P3605&lt;&gt;"",P3605&lt;=Q3605),1,0)</f>
        <v>0</v>
      </c>
    </row>
    <row r="3606" customFormat="false" ht="15" hidden="false" customHeight="false" outlineLevel="0" collapsed="false">
      <c r="A3606" s="7" t="s">
        <v>4233</v>
      </c>
      <c r="B3606" s="7" t="s">
        <v>135</v>
      </c>
      <c r="C3606" s="7" t="s">
        <v>136</v>
      </c>
      <c r="D3606" s="7" t="s">
        <v>192</v>
      </c>
      <c r="E3606" s="7" t="s">
        <v>193</v>
      </c>
      <c r="F3606" s="7" t="s">
        <v>56</v>
      </c>
      <c r="G3606" s="7" t="s">
        <v>19</v>
      </c>
      <c r="H3606" s="9" t="n">
        <v>46071</v>
      </c>
      <c r="I3606" s="9"/>
      <c r="J3606" s="7" t="n">
        <v>9.8</v>
      </c>
      <c r="K3606" s="7" t="s">
        <v>4171</v>
      </c>
      <c r="L3606" s="7" t="s">
        <v>21</v>
      </c>
      <c r="M3606" s="7" t="s">
        <v>4235</v>
      </c>
      <c r="N3606" s="7" t="s">
        <v>58</v>
      </c>
      <c r="O3606" s="10" t="n">
        <f aca="false">'Exec Summary'!$E$2-H3606</f>
        <v>163</v>
      </c>
      <c r="P3606" s="10" t="str">
        <f aca="false">IF(I3606="","",I3606-H3606)</f>
        <v/>
      </c>
      <c r="Q3606" s="10" t="n">
        <f aca="false">VLOOKUP(G3606,$AA$2:$AB$5,2,FALSE())</f>
        <v>15</v>
      </c>
      <c r="R3606" s="7" t="n">
        <f aca="false">IF(OR(F3606="Open",F3606="Reopened"),1,0)</f>
        <v>1</v>
      </c>
      <c r="S3606" s="7" t="n">
        <f aca="false">IF(AND(H3606&gt;='Exec Summary'!$E$1,H3606&lt;='Exec Summary'!$E$2),1,0)</f>
        <v>0</v>
      </c>
      <c r="T3606" s="7" t="n">
        <f aca="false">IF(AND(F3606="Closed",I3606&lt;&gt;"",I3606&gt;='Exec Summary'!$E$1,I3606&lt;='Exec Summary'!$E$2),1,0)</f>
        <v>0</v>
      </c>
      <c r="U3606" s="7" t="n">
        <f aca="false">IF(F3606="Reopened",1,0)</f>
        <v>0</v>
      </c>
      <c r="V3606" s="7" t="n">
        <f aca="false">IF(AND(R3606=1,O3606&gt;Q3606),1,0)</f>
        <v>1</v>
      </c>
      <c r="W3606" s="7" t="n">
        <f aca="false">IF(AND(T3606=1,P3606&lt;&gt;"",P3606&lt;=Q3606),1,0)</f>
        <v>0</v>
      </c>
    </row>
    <row r="3607" customFormat="false" ht="15" hidden="false" customHeight="false" outlineLevel="0" collapsed="false">
      <c r="A3607" s="7" t="s">
        <v>4233</v>
      </c>
      <c r="B3607" s="7" t="s">
        <v>135</v>
      </c>
      <c r="C3607" s="7" t="s">
        <v>136</v>
      </c>
      <c r="D3607" s="7" t="s">
        <v>48</v>
      </c>
      <c r="E3607" s="7" t="s">
        <v>49</v>
      </c>
      <c r="F3607" s="7" t="s">
        <v>56</v>
      </c>
      <c r="G3607" s="7" t="s">
        <v>20</v>
      </c>
      <c r="H3607" s="9" t="n">
        <v>46106</v>
      </c>
      <c r="I3607" s="9"/>
      <c r="J3607" s="7" t="n">
        <v>7.5</v>
      </c>
      <c r="K3607" s="7" t="s">
        <v>4171</v>
      </c>
      <c r="L3607" s="7" t="s">
        <v>21</v>
      </c>
      <c r="M3607" s="7" t="s">
        <v>4236</v>
      </c>
      <c r="N3607" s="7" t="s">
        <v>53</v>
      </c>
      <c r="O3607" s="10" t="n">
        <f aca="false">'Exec Summary'!$E$2-H3607</f>
        <v>128</v>
      </c>
      <c r="P3607" s="10" t="str">
        <f aca="false">IF(I3607="","",I3607-H3607)</f>
        <v/>
      </c>
      <c r="Q3607" s="10" t="n">
        <f aca="false">VLOOKUP(G3607,$AA$2:$AB$5,2,FALSE())</f>
        <v>30</v>
      </c>
      <c r="R3607" s="7" t="n">
        <f aca="false">IF(OR(F3607="Open",F3607="Reopened"),1,0)</f>
        <v>1</v>
      </c>
      <c r="S3607" s="7" t="n">
        <f aca="false">IF(AND(H3607&gt;='Exec Summary'!$E$1,H3607&lt;='Exec Summary'!$E$2),1,0)</f>
        <v>0</v>
      </c>
      <c r="T3607" s="7" t="n">
        <f aca="false">IF(AND(F3607="Closed",I3607&lt;&gt;"",I3607&gt;='Exec Summary'!$E$1,I3607&lt;='Exec Summary'!$E$2),1,0)</f>
        <v>0</v>
      </c>
      <c r="U3607" s="7" t="n">
        <f aca="false">IF(F3607="Reopened",1,0)</f>
        <v>0</v>
      </c>
      <c r="V3607" s="7" t="n">
        <f aca="false">IF(AND(R3607=1,O3607&gt;Q3607),1,0)</f>
        <v>1</v>
      </c>
      <c r="W3607" s="7" t="n">
        <f aca="false">IF(AND(T3607=1,P3607&lt;&gt;"",P3607&lt;=Q3607),1,0)</f>
        <v>0</v>
      </c>
    </row>
    <row r="3608" customFormat="false" ht="15" hidden="false" customHeight="false" outlineLevel="0" collapsed="false">
      <c r="A3608" s="7" t="s">
        <v>4233</v>
      </c>
      <c r="B3608" s="7" t="s">
        <v>135</v>
      </c>
      <c r="C3608" s="7" t="s">
        <v>136</v>
      </c>
      <c r="D3608" s="7" t="s">
        <v>95</v>
      </c>
      <c r="E3608" s="7" t="s">
        <v>96</v>
      </c>
      <c r="F3608" s="7" t="s">
        <v>50</v>
      </c>
      <c r="G3608" s="7" t="s">
        <v>20</v>
      </c>
      <c r="H3608" s="9" t="n">
        <v>46093</v>
      </c>
      <c r="I3608" s="9" t="n">
        <v>46101</v>
      </c>
      <c r="J3608" s="7" t="n">
        <v>8.8</v>
      </c>
      <c r="K3608" s="7" t="s">
        <v>4171</v>
      </c>
      <c r="L3608" s="7" t="s">
        <v>21</v>
      </c>
      <c r="M3608" s="7" t="s">
        <v>4237</v>
      </c>
      <c r="N3608" s="7" t="s">
        <v>53</v>
      </c>
      <c r="O3608" s="10" t="n">
        <f aca="false">'Exec Summary'!$E$2-H3608</f>
        <v>141</v>
      </c>
      <c r="P3608" s="10" t="n">
        <f aca="false">IF(I3608="","",I3608-H3608)</f>
        <v>8</v>
      </c>
      <c r="Q3608" s="10" t="n">
        <f aca="false">VLOOKUP(G3608,$AA$2:$AB$5,2,FALSE())</f>
        <v>30</v>
      </c>
      <c r="R3608" s="7" t="n">
        <f aca="false">IF(OR(F3608="Open",F3608="Reopened"),1,0)</f>
        <v>0</v>
      </c>
      <c r="S3608" s="7" t="n">
        <f aca="false">IF(AND(H3608&gt;='Exec Summary'!$E$1,H3608&lt;='Exec Summary'!$E$2),1,0)</f>
        <v>0</v>
      </c>
      <c r="T3608" s="7" t="n">
        <f aca="false">IF(AND(F3608="Closed",I3608&lt;&gt;"",I3608&gt;='Exec Summary'!$E$1,I3608&lt;='Exec Summary'!$E$2),1,0)</f>
        <v>0</v>
      </c>
      <c r="U3608" s="7" t="n">
        <f aca="false">IF(F3608="Reopened",1,0)</f>
        <v>0</v>
      </c>
      <c r="V3608" s="7" t="n">
        <f aca="false">IF(AND(R3608=1,O3608&gt;Q3608),1,0)</f>
        <v>0</v>
      </c>
      <c r="W3608" s="7" t="n">
        <f aca="false">IF(AND(T3608=1,P3608&lt;&gt;"",P3608&lt;=Q3608),1,0)</f>
        <v>0</v>
      </c>
    </row>
    <row r="3609" customFormat="false" ht="15" hidden="false" customHeight="false" outlineLevel="0" collapsed="false">
      <c r="A3609" s="7" t="s">
        <v>4233</v>
      </c>
      <c r="B3609" s="7" t="s">
        <v>135</v>
      </c>
      <c r="C3609" s="7" t="s">
        <v>136</v>
      </c>
      <c r="D3609" s="7" t="s">
        <v>145</v>
      </c>
      <c r="E3609" s="7" t="s">
        <v>146</v>
      </c>
      <c r="F3609" s="7" t="s">
        <v>50</v>
      </c>
      <c r="G3609" s="7" t="s">
        <v>19</v>
      </c>
      <c r="H3609" s="9" t="n">
        <v>46050</v>
      </c>
      <c r="I3609" s="9" t="n">
        <v>46068</v>
      </c>
      <c r="J3609" s="7" t="n">
        <v>9.8</v>
      </c>
      <c r="K3609" s="7" t="s">
        <v>4171</v>
      </c>
      <c r="L3609" s="7" t="s">
        <v>21</v>
      </c>
      <c r="M3609" s="7" t="s">
        <v>4238</v>
      </c>
      <c r="N3609" s="7" t="s">
        <v>58</v>
      </c>
      <c r="O3609" s="10" t="n">
        <f aca="false">'Exec Summary'!$E$2-H3609</f>
        <v>184</v>
      </c>
      <c r="P3609" s="10" t="n">
        <f aca="false">IF(I3609="","",I3609-H3609)</f>
        <v>18</v>
      </c>
      <c r="Q3609" s="10" t="n">
        <f aca="false">VLOOKUP(G3609,$AA$2:$AB$5,2,FALSE())</f>
        <v>15</v>
      </c>
      <c r="R3609" s="7" t="n">
        <f aca="false">IF(OR(F3609="Open",F3609="Reopened"),1,0)</f>
        <v>0</v>
      </c>
      <c r="S3609" s="7" t="n">
        <f aca="false">IF(AND(H3609&gt;='Exec Summary'!$E$1,H3609&lt;='Exec Summary'!$E$2),1,0)</f>
        <v>0</v>
      </c>
      <c r="T3609" s="7" t="n">
        <f aca="false">IF(AND(F3609="Closed",I3609&lt;&gt;"",I3609&gt;='Exec Summary'!$E$1,I3609&lt;='Exec Summary'!$E$2),1,0)</f>
        <v>0</v>
      </c>
      <c r="U3609" s="7" t="n">
        <f aca="false">IF(F3609="Reopened",1,0)</f>
        <v>0</v>
      </c>
      <c r="V3609" s="7" t="n">
        <f aca="false">IF(AND(R3609=1,O3609&gt;Q3609),1,0)</f>
        <v>0</v>
      </c>
      <c r="W3609" s="7" t="n">
        <f aca="false">IF(AND(T3609=1,P3609&lt;&gt;"",P3609&lt;=Q3609),1,0)</f>
        <v>0</v>
      </c>
    </row>
    <row r="3610" customFormat="false" ht="15" hidden="false" customHeight="false" outlineLevel="0" collapsed="false">
      <c r="A3610" s="7" t="s">
        <v>4233</v>
      </c>
      <c r="B3610" s="7" t="s">
        <v>135</v>
      </c>
      <c r="C3610" s="7" t="s">
        <v>136</v>
      </c>
      <c r="D3610" s="7" t="s">
        <v>68</v>
      </c>
      <c r="E3610" s="7" t="s">
        <v>69</v>
      </c>
      <c r="F3610" s="7" t="s">
        <v>56</v>
      </c>
      <c r="G3610" s="7" t="s">
        <v>19</v>
      </c>
      <c r="H3610" s="9" t="n">
        <v>46147</v>
      </c>
      <c r="I3610" s="9"/>
      <c r="J3610" s="7" t="n">
        <v>9.8</v>
      </c>
      <c r="K3610" s="7" t="s">
        <v>4171</v>
      </c>
      <c r="L3610" s="7" t="s">
        <v>21</v>
      </c>
      <c r="M3610" s="7" t="s">
        <v>4239</v>
      </c>
      <c r="N3610" s="7" t="s">
        <v>58</v>
      </c>
      <c r="O3610" s="10" t="n">
        <f aca="false">'Exec Summary'!$E$2-H3610</f>
        <v>87</v>
      </c>
      <c r="P3610" s="10" t="str">
        <f aca="false">IF(I3610="","",I3610-H3610)</f>
        <v/>
      </c>
      <c r="Q3610" s="10" t="n">
        <f aca="false">VLOOKUP(G3610,$AA$2:$AB$5,2,FALSE())</f>
        <v>15</v>
      </c>
      <c r="R3610" s="7" t="n">
        <f aca="false">IF(OR(F3610="Open",F3610="Reopened"),1,0)</f>
        <v>1</v>
      </c>
      <c r="S3610" s="7" t="n">
        <f aca="false">IF(AND(H3610&gt;='Exec Summary'!$E$1,H3610&lt;='Exec Summary'!$E$2),1,0)</f>
        <v>0</v>
      </c>
      <c r="T3610" s="7" t="n">
        <f aca="false">IF(AND(F3610="Closed",I3610&lt;&gt;"",I3610&gt;='Exec Summary'!$E$1,I3610&lt;='Exec Summary'!$E$2),1,0)</f>
        <v>0</v>
      </c>
      <c r="U3610" s="7" t="n">
        <f aca="false">IF(F3610="Reopened",1,0)</f>
        <v>0</v>
      </c>
      <c r="V3610" s="7" t="n">
        <f aca="false">IF(AND(R3610=1,O3610&gt;Q3610),1,0)</f>
        <v>1</v>
      </c>
      <c r="W3610" s="7" t="n">
        <f aca="false">IF(AND(T3610=1,P3610&lt;&gt;"",P3610&lt;=Q3610),1,0)</f>
        <v>0</v>
      </c>
    </row>
    <row r="3611" customFormat="false" ht="15" hidden="false" customHeight="false" outlineLevel="0" collapsed="false">
      <c r="A3611" s="7" t="s">
        <v>4233</v>
      </c>
      <c r="B3611" s="7" t="s">
        <v>135</v>
      </c>
      <c r="C3611" s="7" t="s">
        <v>136</v>
      </c>
      <c r="D3611" s="7" t="s">
        <v>65</v>
      </c>
      <c r="E3611" s="7" t="s">
        <v>66</v>
      </c>
      <c r="F3611" s="7" t="s">
        <v>50</v>
      </c>
      <c r="G3611" s="7" t="s">
        <v>19</v>
      </c>
      <c r="H3611" s="9" t="n">
        <v>46030</v>
      </c>
      <c r="I3611" s="9" t="n">
        <v>46040</v>
      </c>
      <c r="J3611" s="7" t="n">
        <v>9.8</v>
      </c>
      <c r="K3611" s="7" t="s">
        <v>4171</v>
      </c>
      <c r="L3611" s="7" t="s">
        <v>21</v>
      </c>
      <c r="M3611" s="7" t="s">
        <v>4240</v>
      </c>
      <c r="N3611" s="7" t="s">
        <v>58</v>
      </c>
      <c r="O3611" s="10" t="n">
        <f aca="false">'Exec Summary'!$E$2-H3611</f>
        <v>204</v>
      </c>
      <c r="P3611" s="10" t="n">
        <f aca="false">IF(I3611="","",I3611-H3611)</f>
        <v>10</v>
      </c>
      <c r="Q3611" s="10" t="n">
        <f aca="false">VLOOKUP(G3611,$AA$2:$AB$5,2,FALSE())</f>
        <v>15</v>
      </c>
      <c r="R3611" s="7" t="n">
        <f aca="false">IF(OR(F3611="Open",F3611="Reopened"),1,0)</f>
        <v>0</v>
      </c>
      <c r="S3611" s="7" t="n">
        <f aca="false">IF(AND(H3611&gt;='Exec Summary'!$E$1,H3611&lt;='Exec Summary'!$E$2),1,0)</f>
        <v>0</v>
      </c>
      <c r="T3611" s="7" t="n">
        <f aca="false">IF(AND(F3611="Closed",I3611&lt;&gt;"",I3611&gt;='Exec Summary'!$E$1,I3611&lt;='Exec Summary'!$E$2),1,0)</f>
        <v>0</v>
      </c>
      <c r="U3611" s="7" t="n">
        <f aca="false">IF(F3611="Reopened",1,0)</f>
        <v>0</v>
      </c>
      <c r="V3611" s="7" t="n">
        <f aca="false">IF(AND(R3611=1,O3611&gt;Q3611),1,0)</f>
        <v>0</v>
      </c>
      <c r="W3611" s="7" t="n">
        <f aca="false">IF(AND(T3611=1,P3611&lt;&gt;"",P3611&lt;=Q3611),1,0)</f>
        <v>0</v>
      </c>
    </row>
    <row r="3612" customFormat="false" ht="15" hidden="false" customHeight="false" outlineLevel="0" collapsed="false">
      <c r="A3612" s="7" t="s">
        <v>4233</v>
      </c>
      <c r="B3612" s="7" t="s">
        <v>135</v>
      </c>
      <c r="C3612" s="7" t="s">
        <v>136</v>
      </c>
      <c r="D3612" s="7" t="s">
        <v>206</v>
      </c>
      <c r="E3612" s="7" t="s">
        <v>207</v>
      </c>
      <c r="F3612" s="7" t="s">
        <v>56</v>
      </c>
      <c r="G3612" s="7" t="s">
        <v>20</v>
      </c>
      <c r="H3612" s="9" t="n">
        <v>46182</v>
      </c>
      <c r="I3612" s="9"/>
      <c r="J3612" s="7" t="n">
        <v>8.8</v>
      </c>
      <c r="K3612" s="7" t="s">
        <v>4171</v>
      </c>
      <c r="L3612" s="7" t="s">
        <v>21</v>
      </c>
      <c r="M3612" s="7" t="s">
        <v>4241</v>
      </c>
      <c r="N3612" s="7" t="s">
        <v>53</v>
      </c>
      <c r="O3612" s="10" t="n">
        <f aca="false">'Exec Summary'!$E$2-H3612</f>
        <v>52</v>
      </c>
      <c r="P3612" s="10" t="str">
        <f aca="false">IF(I3612="","",I3612-H3612)</f>
        <v/>
      </c>
      <c r="Q3612" s="10" t="n">
        <f aca="false">VLOOKUP(G3612,$AA$2:$AB$5,2,FALSE())</f>
        <v>30</v>
      </c>
      <c r="R3612" s="7" t="n">
        <f aca="false">IF(OR(F3612="Open",F3612="Reopened"),1,0)</f>
        <v>1</v>
      </c>
      <c r="S3612" s="7" t="n">
        <f aca="false">IF(AND(H3612&gt;='Exec Summary'!$E$1,H3612&lt;='Exec Summary'!$E$2),1,0)</f>
        <v>0</v>
      </c>
      <c r="T3612" s="7" t="n">
        <f aca="false">IF(AND(F3612="Closed",I3612&lt;&gt;"",I3612&gt;='Exec Summary'!$E$1,I3612&lt;='Exec Summary'!$E$2),1,0)</f>
        <v>0</v>
      </c>
      <c r="U3612" s="7" t="n">
        <f aca="false">IF(F3612="Reopened",1,0)</f>
        <v>0</v>
      </c>
      <c r="V3612" s="7" t="n">
        <f aca="false">IF(AND(R3612=1,O3612&gt;Q3612),1,0)</f>
        <v>1</v>
      </c>
      <c r="W3612" s="7" t="n">
        <f aca="false">IF(AND(T3612=1,P3612&lt;&gt;"",P3612&lt;=Q3612),1,0)</f>
        <v>0</v>
      </c>
    </row>
    <row r="3613" customFormat="false" ht="15" hidden="false" customHeight="false" outlineLevel="0" collapsed="false">
      <c r="A3613" s="7" t="s">
        <v>4233</v>
      </c>
      <c r="B3613" s="7" t="s">
        <v>135</v>
      </c>
      <c r="C3613" s="7" t="s">
        <v>136</v>
      </c>
      <c r="D3613" s="7" t="s">
        <v>117</v>
      </c>
      <c r="E3613" s="7" t="s">
        <v>118</v>
      </c>
      <c r="F3613" s="7" t="s">
        <v>50</v>
      </c>
      <c r="G3613" s="7" t="s">
        <v>19</v>
      </c>
      <c r="H3613" s="9" t="n">
        <v>45962</v>
      </c>
      <c r="I3613" s="9" t="n">
        <v>45976</v>
      </c>
      <c r="J3613" s="7" t="n">
        <v>10</v>
      </c>
      <c r="K3613" s="7" t="s">
        <v>4171</v>
      </c>
      <c r="L3613" s="7" t="s">
        <v>21</v>
      </c>
      <c r="M3613" s="7" t="s">
        <v>4242</v>
      </c>
      <c r="N3613" s="7" t="s">
        <v>58</v>
      </c>
      <c r="O3613" s="10" t="n">
        <f aca="false">'Exec Summary'!$E$2-H3613</f>
        <v>272</v>
      </c>
      <c r="P3613" s="10" t="n">
        <f aca="false">IF(I3613="","",I3613-H3613)</f>
        <v>14</v>
      </c>
      <c r="Q3613" s="10" t="n">
        <f aca="false">VLOOKUP(G3613,$AA$2:$AB$5,2,FALSE())</f>
        <v>15</v>
      </c>
      <c r="R3613" s="7" t="n">
        <f aca="false">IF(OR(F3613="Open",F3613="Reopened"),1,0)</f>
        <v>0</v>
      </c>
      <c r="S3613" s="7" t="n">
        <f aca="false">IF(AND(H3613&gt;='Exec Summary'!$E$1,H3613&lt;='Exec Summary'!$E$2),1,0)</f>
        <v>0</v>
      </c>
      <c r="T3613" s="7" t="n">
        <f aca="false">IF(AND(F3613="Closed",I3613&lt;&gt;"",I3613&gt;='Exec Summary'!$E$1,I3613&lt;='Exec Summary'!$E$2),1,0)</f>
        <v>0</v>
      </c>
      <c r="U3613" s="7" t="n">
        <f aca="false">IF(F3613="Reopened",1,0)</f>
        <v>0</v>
      </c>
      <c r="V3613" s="7" t="n">
        <f aca="false">IF(AND(R3613=1,O3613&gt;Q3613),1,0)</f>
        <v>0</v>
      </c>
      <c r="W3613" s="7" t="n">
        <f aca="false">IF(AND(T3613=1,P3613&lt;&gt;"",P3613&lt;=Q3613),1,0)</f>
        <v>0</v>
      </c>
    </row>
    <row r="3614" customFormat="false" ht="15" hidden="false" customHeight="false" outlineLevel="0" collapsed="false">
      <c r="A3614" s="7" t="s">
        <v>4233</v>
      </c>
      <c r="B3614" s="7" t="s">
        <v>135</v>
      </c>
      <c r="C3614" s="7" t="s">
        <v>136</v>
      </c>
      <c r="D3614" s="7" t="s">
        <v>120</v>
      </c>
      <c r="E3614" s="7" t="s">
        <v>121</v>
      </c>
      <c r="F3614" s="7" t="s">
        <v>56</v>
      </c>
      <c r="G3614" s="7" t="s">
        <v>19</v>
      </c>
      <c r="H3614" s="9" t="n">
        <v>46202</v>
      </c>
      <c r="I3614" s="9"/>
      <c r="J3614" s="7" t="n">
        <v>8.8</v>
      </c>
      <c r="K3614" s="7" t="s">
        <v>4171</v>
      </c>
      <c r="L3614" s="7" t="s">
        <v>21</v>
      </c>
      <c r="M3614" s="7" t="s">
        <v>4243</v>
      </c>
      <c r="N3614" s="7" t="s">
        <v>58</v>
      </c>
      <c r="O3614" s="10" t="n">
        <f aca="false">'Exec Summary'!$E$2-H3614</f>
        <v>32</v>
      </c>
      <c r="P3614" s="10" t="str">
        <f aca="false">IF(I3614="","",I3614-H3614)</f>
        <v/>
      </c>
      <c r="Q3614" s="10" t="n">
        <f aca="false">VLOOKUP(G3614,$AA$2:$AB$5,2,FALSE())</f>
        <v>15</v>
      </c>
      <c r="R3614" s="7" t="n">
        <f aca="false">IF(OR(F3614="Open",F3614="Reopened"),1,0)</f>
        <v>1</v>
      </c>
      <c r="S3614" s="7" t="n">
        <f aca="false">IF(AND(H3614&gt;='Exec Summary'!$E$1,H3614&lt;='Exec Summary'!$E$2),1,0)</f>
        <v>0</v>
      </c>
      <c r="T3614" s="7" t="n">
        <f aca="false">IF(AND(F3614="Closed",I3614&lt;&gt;"",I3614&gt;='Exec Summary'!$E$1,I3614&lt;='Exec Summary'!$E$2),1,0)</f>
        <v>0</v>
      </c>
      <c r="U3614" s="7" t="n">
        <f aca="false">IF(F3614="Reopened",1,0)</f>
        <v>0</v>
      </c>
      <c r="V3614" s="7" t="n">
        <f aca="false">IF(AND(R3614=1,O3614&gt;Q3614),1,0)</f>
        <v>1</v>
      </c>
      <c r="W3614" s="7" t="n">
        <f aca="false">IF(AND(T3614=1,P3614&lt;&gt;"",P3614&lt;=Q3614),1,0)</f>
        <v>0</v>
      </c>
    </row>
    <row r="3615" customFormat="false" ht="15" hidden="false" customHeight="false" outlineLevel="0" collapsed="false">
      <c r="A3615" s="7" t="s">
        <v>4244</v>
      </c>
      <c r="B3615" s="7" t="s">
        <v>46</v>
      </c>
      <c r="C3615" s="7" t="s">
        <v>128</v>
      </c>
      <c r="D3615" s="7" t="s">
        <v>173</v>
      </c>
      <c r="E3615" s="7" t="s">
        <v>174</v>
      </c>
      <c r="F3615" s="7" t="s">
        <v>56</v>
      </c>
      <c r="G3615" s="7" t="s">
        <v>19</v>
      </c>
      <c r="H3615" s="9" t="n">
        <v>46137</v>
      </c>
      <c r="I3615" s="9"/>
      <c r="J3615" s="7" t="n">
        <v>9.8</v>
      </c>
      <c r="K3615" s="7" t="s">
        <v>4171</v>
      </c>
      <c r="L3615" s="7" t="s">
        <v>20</v>
      </c>
      <c r="M3615" s="7" t="s">
        <v>4245</v>
      </c>
      <c r="N3615" s="7" t="s">
        <v>58</v>
      </c>
      <c r="O3615" s="10" t="n">
        <f aca="false">'Exec Summary'!$E$2-H3615</f>
        <v>97</v>
      </c>
      <c r="P3615" s="10" t="str">
        <f aca="false">IF(I3615="","",I3615-H3615)</f>
        <v/>
      </c>
      <c r="Q3615" s="10" t="n">
        <f aca="false">VLOOKUP(G3615,$AA$2:$AB$5,2,FALSE())</f>
        <v>15</v>
      </c>
      <c r="R3615" s="7" t="n">
        <f aca="false">IF(OR(F3615="Open",F3615="Reopened"),1,0)</f>
        <v>1</v>
      </c>
      <c r="S3615" s="7" t="n">
        <f aca="false">IF(AND(H3615&gt;='Exec Summary'!$E$1,H3615&lt;='Exec Summary'!$E$2),1,0)</f>
        <v>0</v>
      </c>
      <c r="T3615" s="7" t="n">
        <f aca="false">IF(AND(F3615="Closed",I3615&lt;&gt;"",I3615&gt;='Exec Summary'!$E$1,I3615&lt;='Exec Summary'!$E$2),1,0)</f>
        <v>0</v>
      </c>
      <c r="U3615" s="7" t="n">
        <f aca="false">IF(F3615="Reopened",1,0)</f>
        <v>0</v>
      </c>
      <c r="V3615" s="7" t="n">
        <f aca="false">IF(AND(R3615=1,O3615&gt;Q3615),1,0)</f>
        <v>1</v>
      </c>
      <c r="W3615" s="7" t="n">
        <f aca="false">IF(AND(T3615=1,P3615&lt;&gt;"",P3615&lt;=Q3615),1,0)</f>
        <v>0</v>
      </c>
    </row>
    <row r="3616" customFormat="false" ht="15" hidden="false" customHeight="false" outlineLevel="0" collapsed="false">
      <c r="A3616" s="7" t="s">
        <v>4244</v>
      </c>
      <c r="B3616" s="7" t="s">
        <v>46</v>
      </c>
      <c r="C3616" s="7" t="s">
        <v>128</v>
      </c>
      <c r="D3616" s="7" t="s">
        <v>98</v>
      </c>
      <c r="E3616" s="7" t="s">
        <v>99</v>
      </c>
      <c r="F3616" s="7" t="s">
        <v>50</v>
      </c>
      <c r="G3616" s="7" t="s">
        <v>19</v>
      </c>
      <c r="H3616" s="9" t="n">
        <v>45949</v>
      </c>
      <c r="I3616" s="9" t="n">
        <v>45965</v>
      </c>
      <c r="J3616" s="7" t="n">
        <v>10</v>
      </c>
      <c r="K3616" s="7" t="s">
        <v>4171</v>
      </c>
      <c r="L3616" s="7" t="s">
        <v>20</v>
      </c>
      <c r="M3616" s="7" t="s">
        <v>4246</v>
      </c>
      <c r="N3616" s="7" t="s">
        <v>58</v>
      </c>
      <c r="O3616" s="10" t="n">
        <f aca="false">'Exec Summary'!$E$2-H3616</f>
        <v>285</v>
      </c>
      <c r="P3616" s="10" t="n">
        <f aca="false">IF(I3616="","",I3616-H3616)</f>
        <v>16</v>
      </c>
      <c r="Q3616" s="10" t="n">
        <f aca="false">VLOOKUP(G3616,$AA$2:$AB$5,2,FALSE())</f>
        <v>15</v>
      </c>
      <c r="R3616" s="7" t="n">
        <f aca="false">IF(OR(F3616="Open",F3616="Reopened"),1,0)</f>
        <v>0</v>
      </c>
      <c r="S3616" s="7" t="n">
        <f aca="false">IF(AND(H3616&gt;='Exec Summary'!$E$1,H3616&lt;='Exec Summary'!$E$2),1,0)</f>
        <v>0</v>
      </c>
      <c r="T3616" s="7" t="n">
        <f aca="false">IF(AND(F3616="Closed",I3616&lt;&gt;"",I3616&gt;='Exec Summary'!$E$1,I3616&lt;='Exec Summary'!$E$2),1,0)</f>
        <v>0</v>
      </c>
      <c r="U3616" s="7" t="n">
        <f aca="false">IF(F3616="Reopened",1,0)</f>
        <v>0</v>
      </c>
      <c r="V3616" s="7" t="n">
        <f aca="false">IF(AND(R3616=1,O3616&gt;Q3616),1,0)</f>
        <v>0</v>
      </c>
      <c r="W3616" s="7" t="n">
        <f aca="false">IF(AND(T3616=1,P3616&lt;&gt;"",P3616&lt;=Q3616),1,0)</f>
        <v>0</v>
      </c>
    </row>
    <row r="3617" customFormat="false" ht="15" hidden="false" customHeight="false" outlineLevel="0" collapsed="false">
      <c r="A3617" s="7" t="s">
        <v>4244</v>
      </c>
      <c r="B3617" s="7" t="s">
        <v>46</v>
      </c>
      <c r="C3617" s="7" t="s">
        <v>128</v>
      </c>
      <c r="D3617" s="7" t="s">
        <v>95</v>
      </c>
      <c r="E3617" s="7" t="s">
        <v>96</v>
      </c>
      <c r="F3617" s="7" t="s">
        <v>56</v>
      </c>
      <c r="G3617" s="7" t="s">
        <v>20</v>
      </c>
      <c r="H3617" s="9" t="n">
        <v>46024</v>
      </c>
      <c r="I3617" s="9"/>
      <c r="J3617" s="7" t="n">
        <v>8.8</v>
      </c>
      <c r="K3617" s="7" t="s">
        <v>4171</v>
      </c>
      <c r="L3617" s="7" t="s">
        <v>20</v>
      </c>
      <c r="M3617" s="7" t="s">
        <v>4247</v>
      </c>
      <c r="N3617" s="7" t="s">
        <v>53</v>
      </c>
      <c r="O3617" s="10" t="n">
        <f aca="false">'Exec Summary'!$E$2-H3617</f>
        <v>210</v>
      </c>
      <c r="P3617" s="10" t="str">
        <f aca="false">IF(I3617="","",I3617-H3617)</f>
        <v/>
      </c>
      <c r="Q3617" s="10" t="n">
        <f aca="false">VLOOKUP(G3617,$AA$2:$AB$5,2,FALSE())</f>
        <v>30</v>
      </c>
      <c r="R3617" s="7" t="n">
        <f aca="false">IF(OR(F3617="Open",F3617="Reopened"),1,0)</f>
        <v>1</v>
      </c>
      <c r="S3617" s="7" t="n">
        <f aca="false">IF(AND(H3617&gt;='Exec Summary'!$E$1,H3617&lt;='Exec Summary'!$E$2),1,0)</f>
        <v>0</v>
      </c>
      <c r="T3617" s="7" t="n">
        <f aca="false">IF(AND(F3617="Closed",I3617&lt;&gt;"",I3617&gt;='Exec Summary'!$E$1,I3617&lt;='Exec Summary'!$E$2),1,0)</f>
        <v>0</v>
      </c>
      <c r="U3617" s="7" t="n">
        <f aca="false">IF(F3617="Reopened",1,0)</f>
        <v>0</v>
      </c>
      <c r="V3617" s="7" t="n">
        <f aca="false">IF(AND(R3617=1,O3617&gt;Q3617),1,0)</f>
        <v>1</v>
      </c>
      <c r="W3617" s="7" t="n">
        <f aca="false">IF(AND(T3617=1,P3617&lt;&gt;"",P3617&lt;=Q3617),1,0)</f>
        <v>0</v>
      </c>
    </row>
    <row r="3618" customFormat="false" ht="15" hidden="false" customHeight="false" outlineLevel="0" collapsed="false">
      <c r="A3618" s="7" t="s">
        <v>4244</v>
      </c>
      <c r="B3618" s="7" t="s">
        <v>46</v>
      </c>
      <c r="C3618" s="7" t="s">
        <v>128</v>
      </c>
      <c r="D3618" s="7" t="s">
        <v>166</v>
      </c>
      <c r="E3618" s="7" t="s">
        <v>167</v>
      </c>
      <c r="F3618" s="7" t="s">
        <v>50</v>
      </c>
      <c r="G3618" s="7" t="s">
        <v>19</v>
      </c>
      <c r="H3618" s="9" t="n">
        <v>46216</v>
      </c>
      <c r="I3618" s="9" t="n">
        <v>46234</v>
      </c>
      <c r="J3618" s="7" t="n">
        <v>9.8</v>
      </c>
      <c r="K3618" s="7" t="s">
        <v>4171</v>
      </c>
      <c r="L3618" s="7" t="s">
        <v>20</v>
      </c>
      <c r="M3618" s="7" t="s">
        <v>4248</v>
      </c>
      <c r="N3618" s="7" t="s">
        <v>58</v>
      </c>
      <c r="O3618" s="10" t="n">
        <f aca="false">'Exec Summary'!$E$2-H3618</f>
        <v>18</v>
      </c>
      <c r="P3618" s="10" t="n">
        <f aca="false">IF(I3618="","",I3618-H3618)</f>
        <v>18</v>
      </c>
      <c r="Q3618" s="10" t="n">
        <f aca="false">VLOOKUP(G3618,$AA$2:$AB$5,2,FALSE())</f>
        <v>15</v>
      </c>
      <c r="R3618" s="7" t="n">
        <f aca="false">IF(OR(F3618="Open",F3618="Reopened"),1,0)</f>
        <v>0</v>
      </c>
      <c r="S3618" s="7" t="n">
        <f aca="false">IF(AND(H3618&gt;='Exec Summary'!$E$1,H3618&lt;='Exec Summary'!$E$2),1,0)</f>
        <v>1</v>
      </c>
      <c r="T3618" s="7" t="n">
        <f aca="false">IF(AND(F3618="Closed",I3618&lt;&gt;"",I3618&gt;='Exec Summary'!$E$1,I3618&lt;='Exec Summary'!$E$2),1,0)</f>
        <v>1</v>
      </c>
      <c r="U3618" s="7" t="n">
        <f aca="false">IF(F3618="Reopened",1,0)</f>
        <v>0</v>
      </c>
      <c r="V3618" s="7" t="n">
        <f aca="false">IF(AND(R3618=1,O3618&gt;Q3618),1,0)</f>
        <v>0</v>
      </c>
      <c r="W3618" s="7" t="n">
        <f aca="false">IF(AND(T3618=1,P3618&lt;&gt;"",P3618&lt;=Q3618),1,0)</f>
        <v>0</v>
      </c>
    </row>
    <row r="3619" customFormat="false" ht="15" hidden="false" customHeight="false" outlineLevel="0" collapsed="false">
      <c r="A3619" s="7" t="s">
        <v>4244</v>
      </c>
      <c r="B3619" s="7" t="s">
        <v>46</v>
      </c>
      <c r="C3619" s="7" t="s">
        <v>128</v>
      </c>
      <c r="D3619" s="7" t="s">
        <v>112</v>
      </c>
      <c r="E3619" s="7" t="s">
        <v>113</v>
      </c>
      <c r="F3619" s="7" t="s">
        <v>123</v>
      </c>
      <c r="G3619" s="7" t="s">
        <v>20</v>
      </c>
      <c r="H3619" s="9" t="n">
        <v>46079</v>
      </c>
      <c r="I3619" s="9" t="n">
        <v>46126</v>
      </c>
      <c r="J3619" s="7" t="n">
        <v>7.8</v>
      </c>
      <c r="K3619" s="7" t="s">
        <v>4171</v>
      </c>
      <c r="L3619" s="7" t="s">
        <v>20</v>
      </c>
      <c r="M3619" s="7" t="s">
        <v>4249</v>
      </c>
      <c r="N3619" s="7" t="s">
        <v>53</v>
      </c>
      <c r="O3619" s="10" t="n">
        <f aca="false">'Exec Summary'!$E$2-H3619</f>
        <v>155</v>
      </c>
      <c r="P3619" s="10" t="n">
        <f aca="false">IF(I3619="","",I3619-H3619)</f>
        <v>47</v>
      </c>
      <c r="Q3619" s="10" t="n">
        <f aca="false">VLOOKUP(G3619,$AA$2:$AB$5,2,FALSE())</f>
        <v>30</v>
      </c>
      <c r="R3619" s="7" t="n">
        <f aca="false">IF(OR(F3619="Open",F3619="Reopened"),1,0)</f>
        <v>1</v>
      </c>
      <c r="S3619" s="7" t="n">
        <f aca="false">IF(AND(H3619&gt;='Exec Summary'!$E$1,H3619&lt;='Exec Summary'!$E$2),1,0)</f>
        <v>0</v>
      </c>
      <c r="T3619" s="7" t="n">
        <f aca="false">IF(AND(F3619="Closed",I3619&lt;&gt;"",I3619&gt;='Exec Summary'!$E$1,I3619&lt;='Exec Summary'!$E$2),1,0)</f>
        <v>0</v>
      </c>
      <c r="U3619" s="7" t="n">
        <f aca="false">IF(F3619="Reopened",1,0)</f>
        <v>1</v>
      </c>
      <c r="V3619" s="7" t="n">
        <f aca="false">IF(AND(R3619=1,O3619&gt;Q3619),1,0)</f>
        <v>1</v>
      </c>
      <c r="W3619" s="7" t="n">
        <f aca="false">IF(AND(T3619=1,P3619&lt;&gt;"",P3619&lt;=Q3619),1,0)</f>
        <v>0</v>
      </c>
    </row>
    <row r="3620" customFormat="false" ht="15" hidden="false" customHeight="false" outlineLevel="0" collapsed="false">
      <c r="A3620" s="7" t="s">
        <v>4244</v>
      </c>
      <c r="B3620" s="7" t="s">
        <v>46</v>
      </c>
      <c r="C3620" s="7" t="s">
        <v>128</v>
      </c>
      <c r="D3620" s="7" t="s">
        <v>108</v>
      </c>
      <c r="E3620" s="7" t="s">
        <v>109</v>
      </c>
      <c r="F3620" s="7" t="s">
        <v>56</v>
      </c>
      <c r="G3620" s="7" t="s">
        <v>20</v>
      </c>
      <c r="H3620" s="9" t="n">
        <v>46047</v>
      </c>
      <c r="I3620" s="9"/>
      <c r="J3620" s="7" t="n">
        <v>8.6</v>
      </c>
      <c r="K3620" s="7" t="s">
        <v>4171</v>
      </c>
      <c r="L3620" s="7" t="s">
        <v>20</v>
      </c>
      <c r="M3620" s="7" t="s">
        <v>4250</v>
      </c>
      <c r="N3620" s="7" t="s">
        <v>53</v>
      </c>
      <c r="O3620" s="10" t="n">
        <f aca="false">'Exec Summary'!$E$2-H3620</f>
        <v>187</v>
      </c>
      <c r="P3620" s="10" t="str">
        <f aca="false">IF(I3620="","",I3620-H3620)</f>
        <v/>
      </c>
      <c r="Q3620" s="10" t="n">
        <f aca="false">VLOOKUP(G3620,$AA$2:$AB$5,2,FALSE())</f>
        <v>30</v>
      </c>
      <c r="R3620" s="7" t="n">
        <f aca="false">IF(OR(F3620="Open",F3620="Reopened"),1,0)</f>
        <v>1</v>
      </c>
      <c r="S3620" s="7" t="n">
        <f aca="false">IF(AND(H3620&gt;='Exec Summary'!$E$1,H3620&lt;='Exec Summary'!$E$2),1,0)</f>
        <v>0</v>
      </c>
      <c r="T3620" s="7" t="n">
        <f aca="false">IF(AND(F3620="Closed",I3620&lt;&gt;"",I3620&gt;='Exec Summary'!$E$1,I3620&lt;='Exec Summary'!$E$2),1,0)</f>
        <v>0</v>
      </c>
      <c r="U3620" s="7" t="n">
        <f aca="false">IF(F3620="Reopened",1,0)</f>
        <v>0</v>
      </c>
      <c r="V3620" s="7" t="n">
        <f aca="false">IF(AND(R3620=1,O3620&gt;Q3620),1,0)</f>
        <v>1</v>
      </c>
      <c r="W3620" s="7" t="n">
        <f aca="false">IF(AND(T3620=1,P3620&lt;&gt;"",P3620&lt;=Q3620),1,0)</f>
        <v>0</v>
      </c>
    </row>
    <row r="3621" customFormat="false" ht="15" hidden="false" customHeight="false" outlineLevel="0" collapsed="false">
      <c r="A3621" s="7" t="s">
        <v>4251</v>
      </c>
      <c r="B3621" s="7" t="s">
        <v>46</v>
      </c>
      <c r="C3621" s="7" t="s">
        <v>177</v>
      </c>
      <c r="D3621" s="7" t="s">
        <v>104</v>
      </c>
      <c r="E3621" s="7" t="s">
        <v>105</v>
      </c>
      <c r="F3621" s="7" t="s">
        <v>50</v>
      </c>
      <c r="G3621" s="7" t="s">
        <v>19</v>
      </c>
      <c r="H3621" s="9" t="n">
        <v>45938</v>
      </c>
      <c r="I3621" s="9" t="n">
        <v>45939</v>
      </c>
      <c r="J3621" s="7" t="n">
        <v>9.8</v>
      </c>
      <c r="K3621" s="7" t="s">
        <v>4171</v>
      </c>
      <c r="L3621" s="7" t="s">
        <v>21</v>
      </c>
      <c r="M3621" s="7" t="s">
        <v>4252</v>
      </c>
      <c r="N3621" s="7" t="s">
        <v>58</v>
      </c>
      <c r="O3621" s="10" t="n">
        <f aca="false">'Exec Summary'!$E$2-H3621</f>
        <v>296</v>
      </c>
      <c r="P3621" s="10" t="n">
        <f aca="false">IF(I3621="","",I3621-H3621)</f>
        <v>1</v>
      </c>
      <c r="Q3621" s="10" t="n">
        <f aca="false">VLOOKUP(G3621,$AA$2:$AB$5,2,FALSE())</f>
        <v>15</v>
      </c>
      <c r="R3621" s="7" t="n">
        <f aca="false">IF(OR(F3621="Open",F3621="Reopened"),1,0)</f>
        <v>0</v>
      </c>
      <c r="S3621" s="7" t="n">
        <f aca="false">IF(AND(H3621&gt;='Exec Summary'!$E$1,H3621&lt;='Exec Summary'!$E$2),1,0)</f>
        <v>0</v>
      </c>
      <c r="T3621" s="7" t="n">
        <f aca="false">IF(AND(F3621="Closed",I3621&lt;&gt;"",I3621&gt;='Exec Summary'!$E$1,I3621&lt;='Exec Summary'!$E$2),1,0)</f>
        <v>0</v>
      </c>
      <c r="U3621" s="7" t="n">
        <f aca="false">IF(F3621="Reopened",1,0)</f>
        <v>0</v>
      </c>
      <c r="V3621" s="7" t="n">
        <f aca="false">IF(AND(R3621=1,O3621&gt;Q3621),1,0)</f>
        <v>0</v>
      </c>
      <c r="W3621" s="7" t="n">
        <f aca="false">IF(AND(T3621=1,P3621&lt;&gt;"",P3621&lt;=Q3621),1,0)</f>
        <v>0</v>
      </c>
    </row>
    <row r="3622" customFormat="false" ht="15" hidden="false" customHeight="false" outlineLevel="0" collapsed="false">
      <c r="A3622" s="7" t="s">
        <v>4251</v>
      </c>
      <c r="B3622" s="7" t="s">
        <v>46</v>
      </c>
      <c r="C3622" s="7" t="s">
        <v>177</v>
      </c>
      <c r="D3622" s="7" t="s">
        <v>48</v>
      </c>
      <c r="E3622" s="7" t="s">
        <v>49</v>
      </c>
      <c r="F3622" s="7" t="s">
        <v>56</v>
      </c>
      <c r="G3622" s="7" t="s">
        <v>20</v>
      </c>
      <c r="H3622" s="9" t="n">
        <v>46150</v>
      </c>
      <c r="I3622" s="9"/>
      <c r="J3622" s="7" t="n">
        <v>7.5</v>
      </c>
      <c r="K3622" s="7" t="s">
        <v>4171</v>
      </c>
      <c r="L3622" s="7" t="s">
        <v>21</v>
      </c>
      <c r="M3622" s="7" t="s">
        <v>4253</v>
      </c>
      <c r="N3622" s="7" t="s">
        <v>53</v>
      </c>
      <c r="O3622" s="10" t="n">
        <f aca="false">'Exec Summary'!$E$2-H3622</f>
        <v>84</v>
      </c>
      <c r="P3622" s="10" t="str">
        <f aca="false">IF(I3622="","",I3622-H3622)</f>
        <v/>
      </c>
      <c r="Q3622" s="10" t="n">
        <f aca="false">VLOOKUP(G3622,$AA$2:$AB$5,2,FALSE())</f>
        <v>30</v>
      </c>
      <c r="R3622" s="7" t="n">
        <f aca="false">IF(OR(F3622="Open",F3622="Reopened"),1,0)</f>
        <v>1</v>
      </c>
      <c r="S3622" s="7" t="n">
        <f aca="false">IF(AND(H3622&gt;='Exec Summary'!$E$1,H3622&lt;='Exec Summary'!$E$2),1,0)</f>
        <v>0</v>
      </c>
      <c r="T3622" s="7" t="n">
        <f aca="false">IF(AND(F3622="Closed",I3622&lt;&gt;"",I3622&gt;='Exec Summary'!$E$1,I3622&lt;='Exec Summary'!$E$2),1,0)</f>
        <v>0</v>
      </c>
      <c r="U3622" s="7" t="n">
        <f aca="false">IF(F3622="Reopened",1,0)</f>
        <v>0</v>
      </c>
      <c r="V3622" s="7" t="n">
        <f aca="false">IF(AND(R3622=1,O3622&gt;Q3622),1,0)</f>
        <v>1</v>
      </c>
      <c r="W3622" s="7" t="n">
        <f aca="false">IF(AND(T3622=1,P3622&lt;&gt;"",P3622&lt;=Q3622),1,0)</f>
        <v>0</v>
      </c>
    </row>
    <row r="3623" customFormat="false" ht="15" hidden="false" customHeight="false" outlineLevel="0" collapsed="false">
      <c r="A3623" s="7" t="s">
        <v>4251</v>
      </c>
      <c r="B3623" s="7" t="s">
        <v>46</v>
      </c>
      <c r="C3623" s="7" t="s">
        <v>177</v>
      </c>
      <c r="D3623" s="7" t="s">
        <v>65</v>
      </c>
      <c r="E3623" s="7" t="s">
        <v>66</v>
      </c>
      <c r="F3623" s="7" t="s">
        <v>50</v>
      </c>
      <c r="G3623" s="7" t="s">
        <v>19</v>
      </c>
      <c r="H3623" s="9" t="n">
        <v>46169</v>
      </c>
      <c r="I3623" s="9" t="n">
        <v>46170</v>
      </c>
      <c r="J3623" s="7" t="n">
        <v>9.8</v>
      </c>
      <c r="K3623" s="7" t="s">
        <v>4171</v>
      </c>
      <c r="L3623" s="7" t="s">
        <v>21</v>
      </c>
      <c r="M3623" s="7" t="s">
        <v>4254</v>
      </c>
      <c r="N3623" s="7" t="s">
        <v>58</v>
      </c>
      <c r="O3623" s="10" t="n">
        <f aca="false">'Exec Summary'!$E$2-H3623</f>
        <v>65</v>
      </c>
      <c r="P3623" s="10" t="n">
        <f aca="false">IF(I3623="","",I3623-H3623)</f>
        <v>1</v>
      </c>
      <c r="Q3623" s="10" t="n">
        <f aca="false">VLOOKUP(G3623,$AA$2:$AB$5,2,FALSE())</f>
        <v>15</v>
      </c>
      <c r="R3623" s="7" t="n">
        <f aca="false">IF(OR(F3623="Open",F3623="Reopened"),1,0)</f>
        <v>0</v>
      </c>
      <c r="S3623" s="7" t="n">
        <f aca="false">IF(AND(H3623&gt;='Exec Summary'!$E$1,H3623&lt;='Exec Summary'!$E$2),1,0)</f>
        <v>0</v>
      </c>
      <c r="T3623" s="7" t="n">
        <f aca="false">IF(AND(F3623="Closed",I3623&lt;&gt;"",I3623&gt;='Exec Summary'!$E$1,I3623&lt;='Exec Summary'!$E$2),1,0)</f>
        <v>0</v>
      </c>
      <c r="U3623" s="7" t="n">
        <f aca="false">IF(F3623="Reopened",1,0)</f>
        <v>0</v>
      </c>
      <c r="V3623" s="7" t="n">
        <f aca="false">IF(AND(R3623=1,O3623&gt;Q3623),1,0)</f>
        <v>0</v>
      </c>
      <c r="W3623" s="7" t="n">
        <f aca="false">IF(AND(T3623=1,P3623&lt;&gt;"",P3623&lt;=Q3623),1,0)</f>
        <v>0</v>
      </c>
    </row>
    <row r="3624" customFormat="false" ht="15" hidden="false" customHeight="false" outlineLevel="0" collapsed="false">
      <c r="A3624" s="7" t="s">
        <v>4255</v>
      </c>
      <c r="B3624" s="7" t="s">
        <v>135</v>
      </c>
      <c r="C3624" s="7" t="s">
        <v>136</v>
      </c>
      <c r="D3624" s="7" t="s">
        <v>65</v>
      </c>
      <c r="E3624" s="7" t="s">
        <v>66</v>
      </c>
      <c r="F3624" s="7" t="s">
        <v>50</v>
      </c>
      <c r="G3624" s="7" t="s">
        <v>19</v>
      </c>
      <c r="H3624" s="9" t="n">
        <v>46075</v>
      </c>
      <c r="I3624" s="9" t="n">
        <v>46082</v>
      </c>
      <c r="J3624" s="7" t="n">
        <v>9.8</v>
      </c>
      <c r="K3624" s="7" t="s">
        <v>4171</v>
      </c>
      <c r="L3624" s="7" t="s">
        <v>21</v>
      </c>
      <c r="M3624" s="7" t="s">
        <v>4256</v>
      </c>
      <c r="N3624" s="7" t="s">
        <v>58</v>
      </c>
      <c r="O3624" s="10" t="n">
        <f aca="false">'Exec Summary'!$E$2-H3624</f>
        <v>159</v>
      </c>
      <c r="P3624" s="10" t="n">
        <f aca="false">IF(I3624="","",I3624-H3624)</f>
        <v>7</v>
      </c>
      <c r="Q3624" s="10" t="n">
        <f aca="false">VLOOKUP(G3624,$AA$2:$AB$5,2,FALSE())</f>
        <v>15</v>
      </c>
      <c r="R3624" s="7" t="n">
        <f aca="false">IF(OR(F3624="Open",F3624="Reopened"),1,0)</f>
        <v>0</v>
      </c>
      <c r="S3624" s="7" t="n">
        <f aca="false">IF(AND(H3624&gt;='Exec Summary'!$E$1,H3624&lt;='Exec Summary'!$E$2),1,0)</f>
        <v>0</v>
      </c>
      <c r="T3624" s="7" t="n">
        <f aca="false">IF(AND(F3624="Closed",I3624&lt;&gt;"",I3624&gt;='Exec Summary'!$E$1,I3624&lt;='Exec Summary'!$E$2),1,0)</f>
        <v>0</v>
      </c>
      <c r="U3624" s="7" t="n">
        <f aca="false">IF(F3624="Reopened",1,0)</f>
        <v>0</v>
      </c>
      <c r="V3624" s="7" t="n">
        <f aca="false">IF(AND(R3624=1,O3624&gt;Q3624),1,0)</f>
        <v>0</v>
      </c>
      <c r="W3624" s="7" t="n">
        <f aca="false">IF(AND(T3624=1,P3624&lt;&gt;"",P3624&lt;=Q3624),1,0)</f>
        <v>0</v>
      </c>
    </row>
    <row r="3625" customFormat="false" ht="15" hidden="false" customHeight="false" outlineLevel="0" collapsed="false">
      <c r="A3625" s="7" t="s">
        <v>4255</v>
      </c>
      <c r="B3625" s="7" t="s">
        <v>135</v>
      </c>
      <c r="C3625" s="7" t="s">
        <v>136</v>
      </c>
      <c r="D3625" s="7" t="s">
        <v>74</v>
      </c>
      <c r="E3625" s="7" t="s">
        <v>75</v>
      </c>
      <c r="F3625" s="7" t="s">
        <v>56</v>
      </c>
      <c r="G3625" s="7" t="s">
        <v>21</v>
      </c>
      <c r="H3625" s="9" t="n">
        <v>46198</v>
      </c>
      <c r="I3625" s="9"/>
      <c r="J3625" s="7" t="n">
        <v>6.5</v>
      </c>
      <c r="K3625" s="7" t="s">
        <v>4171</v>
      </c>
      <c r="L3625" s="7" t="s">
        <v>21</v>
      </c>
      <c r="M3625" s="7" t="s">
        <v>4257</v>
      </c>
      <c r="N3625" s="7" t="s">
        <v>77</v>
      </c>
      <c r="O3625" s="10" t="n">
        <f aca="false">'Exec Summary'!$E$2-H3625</f>
        <v>36</v>
      </c>
      <c r="P3625" s="10" t="str">
        <f aca="false">IF(I3625="","",I3625-H3625)</f>
        <v/>
      </c>
      <c r="Q3625" s="10" t="n">
        <f aca="false">VLOOKUP(G3625,$AA$2:$AB$5,2,FALSE())</f>
        <v>90</v>
      </c>
      <c r="R3625" s="7" t="n">
        <f aca="false">IF(OR(F3625="Open",F3625="Reopened"),1,0)</f>
        <v>1</v>
      </c>
      <c r="S3625" s="7" t="n">
        <f aca="false">IF(AND(H3625&gt;='Exec Summary'!$E$1,H3625&lt;='Exec Summary'!$E$2),1,0)</f>
        <v>0</v>
      </c>
      <c r="T3625" s="7" t="n">
        <f aca="false">IF(AND(F3625="Closed",I3625&lt;&gt;"",I3625&gt;='Exec Summary'!$E$1,I3625&lt;='Exec Summary'!$E$2),1,0)</f>
        <v>0</v>
      </c>
      <c r="U3625" s="7" t="n">
        <f aca="false">IF(F3625="Reopened",1,0)</f>
        <v>0</v>
      </c>
      <c r="V3625" s="7" t="n">
        <f aca="false">IF(AND(R3625=1,O3625&gt;Q3625),1,0)</f>
        <v>0</v>
      </c>
      <c r="W3625" s="7" t="n">
        <f aca="false">IF(AND(T3625=1,P3625&lt;&gt;"",P3625&lt;=Q3625),1,0)</f>
        <v>0</v>
      </c>
    </row>
    <row r="3626" customFormat="false" ht="15" hidden="false" customHeight="false" outlineLevel="0" collapsed="false">
      <c r="A3626" s="7" t="s">
        <v>4255</v>
      </c>
      <c r="B3626" s="7" t="s">
        <v>135</v>
      </c>
      <c r="C3626" s="7" t="s">
        <v>136</v>
      </c>
      <c r="D3626" s="7" t="s">
        <v>87</v>
      </c>
      <c r="E3626" s="7" t="s">
        <v>88</v>
      </c>
      <c r="F3626" s="7" t="s">
        <v>56</v>
      </c>
      <c r="G3626" s="7" t="s">
        <v>19</v>
      </c>
      <c r="H3626" s="9" t="n">
        <v>46140</v>
      </c>
      <c r="I3626" s="9"/>
      <c r="J3626" s="7" t="n">
        <v>10</v>
      </c>
      <c r="K3626" s="7" t="s">
        <v>4171</v>
      </c>
      <c r="L3626" s="7" t="s">
        <v>21</v>
      </c>
      <c r="M3626" s="7" t="s">
        <v>4258</v>
      </c>
      <c r="N3626" s="7" t="s">
        <v>58</v>
      </c>
      <c r="O3626" s="10" t="n">
        <f aca="false">'Exec Summary'!$E$2-H3626</f>
        <v>94</v>
      </c>
      <c r="P3626" s="10" t="str">
        <f aca="false">IF(I3626="","",I3626-H3626)</f>
        <v/>
      </c>
      <c r="Q3626" s="10" t="n">
        <f aca="false">VLOOKUP(G3626,$AA$2:$AB$5,2,FALSE())</f>
        <v>15</v>
      </c>
      <c r="R3626" s="7" t="n">
        <f aca="false">IF(OR(F3626="Open",F3626="Reopened"),1,0)</f>
        <v>1</v>
      </c>
      <c r="S3626" s="7" t="n">
        <f aca="false">IF(AND(H3626&gt;='Exec Summary'!$E$1,H3626&lt;='Exec Summary'!$E$2),1,0)</f>
        <v>0</v>
      </c>
      <c r="T3626" s="7" t="n">
        <f aca="false">IF(AND(F3626="Closed",I3626&lt;&gt;"",I3626&gt;='Exec Summary'!$E$1,I3626&lt;='Exec Summary'!$E$2),1,0)</f>
        <v>0</v>
      </c>
      <c r="U3626" s="7" t="n">
        <f aca="false">IF(F3626="Reopened",1,0)</f>
        <v>0</v>
      </c>
      <c r="V3626" s="7" t="n">
        <f aca="false">IF(AND(R3626=1,O3626&gt;Q3626),1,0)</f>
        <v>1</v>
      </c>
      <c r="W3626" s="7" t="n">
        <f aca="false">IF(AND(T3626=1,P3626&lt;&gt;"",P3626&lt;=Q3626),1,0)</f>
        <v>0</v>
      </c>
    </row>
    <row r="3627" customFormat="false" ht="15" hidden="false" customHeight="false" outlineLevel="0" collapsed="false">
      <c r="A3627" s="7" t="s">
        <v>4255</v>
      </c>
      <c r="B3627" s="7" t="s">
        <v>135</v>
      </c>
      <c r="C3627" s="7" t="s">
        <v>136</v>
      </c>
      <c r="D3627" s="7" t="s">
        <v>81</v>
      </c>
      <c r="E3627" s="7" t="s">
        <v>82</v>
      </c>
      <c r="F3627" s="7" t="s">
        <v>56</v>
      </c>
      <c r="G3627" s="7" t="s">
        <v>20</v>
      </c>
      <c r="H3627" s="9" t="n">
        <v>45947</v>
      </c>
      <c r="I3627" s="9"/>
      <c r="J3627" s="7" t="n">
        <v>7.8</v>
      </c>
      <c r="K3627" s="7" t="s">
        <v>4171</v>
      </c>
      <c r="L3627" s="7" t="s">
        <v>21</v>
      </c>
      <c r="M3627" s="7" t="s">
        <v>4259</v>
      </c>
      <c r="N3627" s="7" t="s">
        <v>53</v>
      </c>
      <c r="O3627" s="10" t="n">
        <f aca="false">'Exec Summary'!$E$2-H3627</f>
        <v>287</v>
      </c>
      <c r="P3627" s="10" t="str">
        <f aca="false">IF(I3627="","",I3627-H3627)</f>
        <v/>
      </c>
      <c r="Q3627" s="10" t="n">
        <f aca="false">VLOOKUP(G3627,$AA$2:$AB$5,2,FALSE())</f>
        <v>30</v>
      </c>
      <c r="R3627" s="7" t="n">
        <f aca="false">IF(OR(F3627="Open",F3627="Reopened"),1,0)</f>
        <v>1</v>
      </c>
      <c r="S3627" s="7" t="n">
        <f aca="false">IF(AND(H3627&gt;='Exec Summary'!$E$1,H3627&lt;='Exec Summary'!$E$2),1,0)</f>
        <v>0</v>
      </c>
      <c r="T3627" s="7" t="n">
        <f aca="false">IF(AND(F3627="Closed",I3627&lt;&gt;"",I3627&gt;='Exec Summary'!$E$1,I3627&lt;='Exec Summary'!$E$2),1,0)</f>
        <v>0</v>
      </c>
      <c r="U3627" s="7" t="n">
        <f aca="false">IF(F3627="Reopened",1,0)</f>
        <v>0</v>
      </c>
      <c r="V3627" s="7" t="n">
        <f aca="false">IF(AND(R3627=1,O3627&gt;Q3627),1,0)</f>
        <v>1</v>
      </c>
      <c r="W3627" s="7" t="n">
        <f aca="false">IF(AND(T3627=1,P3627&lt;&gt;"",P3627&lt;=Q3627),1,0)</f>
        <v>0</v>
      </c>
    </row>
    <row r="3628" customFormat="false" ht="15" hidden="false" customHeight="false" outlineLevel="0" collapsed="false">
      <c r="A3628" s="7" t="s">
        <v>4255</v>
      </c>
      <c r="B3628" s="7" t="s">
        <v>135</v>
      </c>
      <c r="C3628" s="7" t="s">
        <v>136</v>
      </c>
      <c r="D3628" s="7" t="s">
        <v>117</v>
      </c>
      <c r="E3628" s="7" t="s">
        <v>118</v>
      </c>
      <c r="F3628" s="7" t="s">
        <v>56</v>
      </c>
      <c r="G3628" s="7" t="s">
        <v>19</v>
      </c>
      <c r="H3628" s="9" t="n">
        <v>46066</v>
      </c>
      <c r="I3628" s="9"/>
      <c r="J3628" s="7" t="n">
        <v>10</v>
      </c>
      <c r="K3628" s="7" t="s">
        <v>4171</v>
      </c>
      <c r="L3628" s="7" t="s">
        <v>21</v>
      </c>
      <c r="M3628" s="7" t="s">
        <v>4260</v>
      </c>
      <c r="N3628" s="7" t="s">
        <v>58</v>
      </c>
      <c r="O3628" s="10" t="n">
        <f aca="false">'Exec Summary'!$E$2-H3628</f>
        <v>168</v>
      </c>
      <c r="P3628" s="10" t="str">
        <f aca="false">IF(I3628="","",I3628-H3628)</f>
        <v/>
      </c>
      <c r="Q3628" s="10" t="n">
        <f aca="false">VLOOKUP(G3628,$AA$2:$AB$5,2,FALSE())</f>
        <v>15</v>
      </c>
      <c r="R3628" s="7" t="n">
        <f aca="false">IF(OR(F3628="Open",F3628="Reopened"),1,0)</f>
        <v>1</v>
      </c>
      <c r="S3628" s="7" t="n">
        <f aca="false">IF(AND(H3628&gt;='Exec Summary'!$E$1,H3628&lt;='Exec Summary'!$E$2),1,0)</f>
        <v>0</v>
      </c>
      <c r="T3628" s="7" t="n">
        <f aca="false">IF(AND(F3628="Closed",I3628&lt;&gt;"",I3628&gt;='Exec Summary'!$E$1,I3628&lt;='Exec Summary'!$E$2),1,0)</f>
        <v>0</v>
      </c>
      <c r="U3628" s="7" t="n">
        <f aca="false">IF(F3628="Reopened",1,0)</f>
        <v>0</v>
      </c>
      <c r="V3628" s="7" t="n">
        <f aca="false">IF(AND(R3628=1,O3628&gt;Q3628),1,0)</f>
        <v>1</v>
      </c>
      <c r="W3628" s="7" t="n">
        <f aca="false">IF(AND(T3628=1,P3628&lt;&gt;"",P3628&lt;=Q3628),1,0)</f>
        <v>0</v>
      </c>
    </row>
    <row r="3629" customFormat="false" ht="15" hidden="false" customHeight="false" outlineLevel="0" collapsed="false">
      <c r="A3629" s="7" t="s">
        <v>4255</v>
      </c>
      <c r="B3629" s="7" t="s">
        <v>135</v>
      </c>
      <c r="C3629" s="7" t="s">
        <v>136</v>
      </c>
      <c r="D3629" s="7" t="s">
        <v>131</v>
      </c>
      <c r="E3629" s="7" t="s">
        <v>132</v>
      </c>
      <c r="F3629" s="7" t="s">
        <v>56</v>
      </c>
      <c r="G3629" s="7" t="s">
        <v>19</v>
      </c>
      <c r="H3629" s="9" t="n">
        <v>46132</v>
      </c>
      <c r="I3629" s="9"/>
      <c r="J3629" s="7" t="n">
        <v>9.8</v>
      </c>
      <c r="K3629" s="7" t="s">
        <v>4171</v>
      </c>
      <c r="L3629" s="7" t="s">
        <v>21</v>
      </c>
      <c r="M3629" s="7" t="s">
        <v>4261</v>
      </c>
      <c r="N3629" s="7" t="s">
        <v>58</v>
      </c>
      <c r="O3629" s="10" t="n">
        <f aca="false">'Exec Summary'!$E$2-H3629</f>
        <v>102</v>
      </c>
      <c r="P3629" s="10" t="str">
        <f aca="false">IF(I3629="","",I3629-H3629)</f>
        <v/>
      </c>
      <c r="Q3629" s="10" t="n">
        <f aca="false">VLOOKUP(G3629,$AA$2:$AB$5,2,FALSE())</f>
        <v>15</v>
      </c>
      <c r="R3629" s="7" t="n">
        <f aca="false">IF(OR(F3629="Open",F3629="Reopened"),1,0)</f>
        <v>1</v>
      </c>
      <c r="S3629" s="7" t="n">
        <f aca="false">IF(AND(H3629&gt;='Exec Summary'!$E$1,H3629&lt;='Exec Summary'!$E$2),1,0)</f>
        <v>0</v>
      </c>
      <c r="T3629" s="7" t="n">
        <f aca="false">IF(AND(F3629="Closed",I3629&lt;&gt;"",I3629&gt;='Exec Summary'!$E$1,I3629&lt;='Exec Summary'!$E$2),1,0)</f>
        <v>0</v>
      </c>
      <c r="U3629" s="7" t="n">
        <f aca="false">IF(F3629="Reopened",1,0)</f>
        <v>0</v>
      </c>
      <c r="V3629" s="7" t="n">
        <f aca="false">IF(AND(R3629=1,O3629&gt;Q3629),1,0)</f>
        <v>1</v>
      </c>
      <c r="W3629" s="7" t="n">
        <f aca="false">IF(AND(T3629=1,P3629&lt;&gt;"",P3629&lt;=Q3629),1,0)</f>
        <v>0</v>
      </c>
    </row>
    <row r="3630" customFormat="false" ht="15" hidden="false" customHeight="false" outlineLevel="0" collapsed="false">
      <c r="A3630" s="7" t="s">
        <v>4255</v>
      </c>
      <c r="B3630" s="7" t="s">
        <v>135</v>
      </c>
      <c r="C3630" s="7" t="s">
        <v>136</v>
      </c>
      <c r="D3630" s="7" t="s">
        <v>139</v>
      </c>
      <c r="E3630" s="7" t="s">
        <v>140</v>
      </c>
      <c r="F3630" s="7" t="s">
        <v>56</v>
      </c>
      <c r="G3630" s="7" t="s">
        <v>19</v>
      </c>
      <c r="H3630" s="9" t="n">
        <v>46109</v>
      </c>
      <c r="I3630" s="9"/>
      <c r="J3630" s="7" t="n">
        <v>9.8</v>
      </c>
      <c r="K3630" s="7" t="s">
        <v>4171</v>
      </c>
      <c r="L3630" s="7" t="s">
        <v>21</v>
      </c>
      <c r="M3630" s="7" t="s">
        <v>4262</v>
      </c>
      <c r="N3630" s="7" t="s">
        <v>58</v>
      </c>
      <c r="O3630" s="10" t="n">
        <f aca="false">'Exec Summary'!$E$2-H3630</f>
        <v>125</v>
      </c>
      <c r="P3630" s="10" t="str">
        <f aca="false">IF(I3630="","",I3630-H3630)</f>
        <v/>
      </c>
      <c r="Q3630" s="10" t="n">
        <f aca="false">VLOOKUP(G3630,$AA$2:$AB$5,2,FALSE())</f>
        <v>15</v>
      </c>
      <c r="R3630" s="7" t="n">
        <f aca="false">IF(OR(F3630="Open",F3630="Reopened"),1,0)</f>
        <v>1</v>
      </c>
      <c r="S3630" s="7" t="n">
        <f aca="false">IF(AND(H3630&gt;='Exec Summary'!$E$1,H3630&lt;='Exec Summary'!$E$2),1,0)</f>
        <v>0</v>
      </c>
      <c r="T3630" s="7" t="n">
        <f aca="false">IF(AND(F3630="Closed",I3630&lt;&gt;"",I3630&gt;='Exec Summary'!$E$1,I3630&lt;='Exec Summary'!$E$2),1,0)</f>
        <v>0</v>
      </c>
      <c r="U3630" s="7" t="n">
        <f aca="false">IF(F3630="Reopened",1,0)</f>
        <v>0</v>
      </c>
      <c r="V3630" s="7" t="n">
        <f aca="false">IF(AND(R3630=1,O3630&gt;Q3630),1,0)</f>
        <v>1</v>
      </c>
      <c r="W3630" s="7" t="n">
        <f aca="false">IF(AND(T3630=1,P3630&lt;&gt;"",P3630&lt;=Q3630),1,0)</f>
        <v>0</v>
      </c>
    </row>
    <row r="3631" customFormat="false" ht="15" hidden="false" customHeight="false" outlineLevel="0" collapsed="false">
      <c r="A3631" s="7" t="s">
        <v>4255</v>
      </c>
      <c r="B3631" s="7" t="s">
        <v>135</v>
      </c>
      <c r="C3631" s="7" t="s">
        <v>136</v>
      </c>
      <c r="D3631" s="7" t="s">
        <v>84</v>
      </c>
      <c r="E3631" s="7" t="s">
        <v>85</v>
      </c>
      <c r="F3631" s="7" t="s">
        <v>56</v>
      </c>
      <c r="G3631" s="7" t="s">
        <v>20</v>
      </c>
      <c r="H3631" s="9" t="n">
        <v>46207</v>
      </c>
      <c r="I3631" s="9"/>
      <c r="J3631" s="7" t="n">
        <v>7.5</v>
      </c>
      <c r="K3631" s="7" t="s">
        <v>4171</v>
      </c>
      <c r="L3631" s="7" t="s">
        <v>21</v>
      </c>
      <c r="M3631" s="7" t="s">
        <v>4263</v>
      </c>
      <c r="N3631" s="7" t="s">
        <v>53</v>
      </c>
      <c r="O3631" s="10" t="n">
        <f aca="false">'Exec Summary'!$E$2-H3631</f>
        <v>27</v>
      </c>
      <c r="P3631" s="10" t="str">
        <f aca="false">IF(I3631="","",I3631-H3631)</f>
        <v/>
      </c>
      <c r="Q3631" s="10" t="n">
        <f aca="false">VLOOKUP(G3631,$AA$2:$AB$5,2,FALSE())</f>
        <v>30</v>
      </c>
      <c r="R3631" s="7" t="n">
        <f aca="false">IF(OR(F3631="Open",F3631="Reopened"),1,0)</f>
        <v>1</v>
      </c>
      <c r="S3631" s="7" t="n">
        <f aca="false">IF(AND(H3631&gt;='Exec Summary'!$E$1,H3631&lt;='Exec Summary'!$E$2),1,0)</f>
        <v>1</v>
      </c>
      <c r="T3631" s="7" t="n">
        <f aca="false">IF(AND(F3631="Closed",I3631&lt;&gt;"",I3631&gt;='Exec Summary'!$E$1,I3631&lt;='Exec Summary'!$E$2),1,0)</f>
        <v>0</v>
      </c>
      <c r="U3631" s="7" t="n">
        <f aca="false">IF(F3631="Reopened",1,0)</f>
        <v>0</v>
      </c>
      <c r="V3631" s="7" t="n">
        <f aca="false">IF(AND(R3631=1,O3631&gt;Q3631),1,0)</f>
        <v>0</v>
      </c>
      <c r="W3631" s="7" t="n">
        <f aca="false">IF(AND(T3631=1,P3631&lt;&gt;"",P3631&lt;=Q3631),1,0)</f>
        <v>0</v>
      </c>
    </row>
    <row r="3632" customFormat="false" ht="15" hidden="false" customHeight="false" outlineLevel="0" collapsed="false">
      <c r="A3632" s="7" t="s">
        <v>4255</v>
      </c>
      <c r="B3632" s="7" t="s">
        <v>135</v>
      </c>
      <c r="C3632" s="7" t="s">
        <v>136</v>
      </c>
      <c r="D3632" s="7" t="s">
        <v>163</v>
      </c>
      <c r="E3632" s="7" t="s">
        <v>164</v>
      </c>
      <c r="F3632" s="7" t="s">
        <v>50</v>
      </c>
      <c r="G3632" s="7" t="s">
        <v>19</v>
      </c>
      <c r="H3632" s="9" t="n">
        <v>46117</v>
      </c>
      <c r="I3632" s="9" t="n">
        <v>46118</v>
      </c>
      <c r="J3632" s="7" t="n">
        <v>9.1</v>
      </c>
      <c r="K3632" s="7" t="s">
        <v>4171</v>
      </c>
      <c r="L3632" s="7" t="s">
        <v>21</v>
      </c>
      <c r="M3632" s="7" t="s">
        <v>4264</v>
      </c>
      <c r="N3632" s="7" t="s">
        <v>58</v>
      </c>
      <c r="O3632" s="10" t="n">
        <f aca="false">'Exec Summary'!$E$2-H3632</f>
        <v>117</v>
      </c>
      <c r="P3632" s="10" t="n">
        <f aca="false">IF(I3632="","",I3632-H3632)</f>
        <v>1</v>
      </c>
      <c r="Q3632" s="10" t="n">
        <f aca="false">VLOOKUP(G3632,$AA$2:$AB$5,2,FALSE())</f>
        <v>15</v>
      </c>
      <c r="R3632" s="7" t="n">
        <f aca="false">IF(OR(F3632="Open",F3632="Reopened"),1,0)</f>
        <v>0</v>
      </c>
      <c r="S3632" s="7" t="n">
        <f aca="false">IF(AND(H3632&gt;='Exec Summary'!$E$1,H3632&lt;='Exec Summary'!$E$2),1,0)</f>
        <v>0</v>
      </c>
      <c r="T3632" s="7" t="n">
        <f aca="false">IF(AND(F3632="Closed",I3632&lt;&gt;"",I3632&gt;='Exec Summary'!$E$1,I3632&lt;='Exec Summary'!$E$2),1,0)</f>
        <v>0</v>
      </c>
      <c r="U3632" s="7" t="n">
        <f aca="false">IF(F3632="Reopened",1,0)</f>
        <v>0</v>
      </c>
      <c r="V3632" s="7" t="n">
        <f aca="false">IF(AND(R3632=1,O3632&gt;Q3632),1,0)</f>
        <v>0</v>
      </c>
      <c r="W3632" s="7" t="n">
        <f aca="false">IF(AND(T3632=1,P3632&lt;&gt;"",P3632&lt;=Q3632),1,0)</f>
        <v>0</v>
      </c>
    </row>
    <row r="3633" customFormat="false" ht="15" hidden="false" customHeight="false" outlineLevel="0" collapsed="false">
      <c r="A3633" s="7" t="s">
        <v>4255</v>
      </c>
      <c r="B3633" s="7" t="s">
        <v>135</v>
      </c>
      <c r="C3633" s="7" t="s">
        <v>136</v>
      </c>
      <c r="D3633" s="7" t="s">
        <v>95</v>
      </c>
      <c r="E3633" s="7" t="s">
        <v>96</v>
      </c>
      <c r="F3633" s="7" t="s">
        <v>50</v>
      </c>
      <c r="G3633" s="7" t="s">
        <v>20</v>
      </c>
      <c r="H3633" s="9" t="n">
        <v>46084</v>
      </c>
      <c r="I3633" s="9" t="n">
        <v>46113</v>
      </c>
      <c r="J3633" s="7" t="n">
        <v>8.8</v>
      </c>
      <c r="K3633" s="7" t="s">
        <v>4171</v>
      </c>
      <c r="L3633" s="7" t="s">
        <v>21</v>
      </c>
      <c r="M3633" s="7" t="s">
        <v>4265</v>
      </c>
      <c r="N3633" s="7" t="s">
        <v>53</v>
      </c>
      <c r="O3633" s="10" t="n">
        <f aca="false">'Exec Summary'!$E$2-H3633</f>
        <v>150</v>
      </c>
      <c r="P3633" s="10" t="n">
        <f aca="false">IF(I3633="","",I3633-H3633)</f>
        <v>29</v>
      </c>
      <c r="Q3633" s="10" t="n">
        <f aca="false">VLOOKUP(G3633,$AA$2:$AB$5,2,FALSE())</f>
        <v>30</v>
      </c>
      <c r="R3633" s="7" t="n">
        <f aca="false">IF(OR(F3633="Open",F3633="Reopened"),1,0)</f>
        <v>0</v>
      </c>
      <c r="S3633" s="7" t="n">
        <f aca="false">IF(AND(H3633&gt;='Exec Summary'!$E$1,H3633&lt;='Exec Summary'!$E$2),1,0)</f>
        <v>0</v>
      </c>
      <c r="T3633" s="7" t="n">
        <f aca="false">IF(AND(F3633="Closed",I3633&lt;&gt;"",I3633&gt;='Exec Summary'!$E$1,I3633&lt;='Exec Summary'!$E$2),1,0)</f>
        <v>0</v>
      </c>
      <c r="U3633" s="7" t="n">
        <f aca="false">IF(F3633="Reopened",1,0)</f>
        <v>0</v>
      </c>
      <c r="V3633" s="7" t="n">
        <f aca="false">IF(AND(R3633=1,O3633&gt;Q3633),1,0)</f>
        <v>0</v>
      </c>
      <c r="W3633" s="7" t="n">
        <f aca="false">IF(AND(T3633=1,P3633&lt;&gt;"",P3633&lt;=Q3633),1,0)</f>
        <v>0</v>
      </c>
    </row>
    <row r="3634" customFormat="false" ht="15" hidden="false" customHeight="false" outlineLevel="0" collapsed="false">
      <c r="A3634" s="7" t="s">
        <v>4255</v>
      </c>
      <c r="B3634" s="7" t="s">
        <v>135</v>
      </c>
      <c r="C3634" s="7" t="s">
        <v>136</v>
      </c>
      <c r="D3634" s="7" t="s">
        <v>120</v>
      </c>
      <c r="E3634" s="7" t="s">
        <v>121</v>
      </c>
      <c r="F3634" s="7" t="s">
        <v>56</v>
      </c>
      <c r="G3634" s="7" t="s">
        <v>19</v>
      </c>
      <c r="H3634" s="9" t="n">
        <v>46105</v>
      </c>
      <c r="I3634" s="9"/>
      <c r="J3634" s="7" t="n">
        <v>8.8</v>
      </c>
      <c r="K3634" s="7" t="s">
        <v>4171</v>
      </c>
      <c r="L3634" s="7" t="s">
        <v>21</v>
      </c>
      <c r="M3634" s="7" t="s">
        <v>4266</v>
      </c>
      <c r="N3634" s="7" t="s">
        <v>58</v>
      </c>
      <c r="O3634" s="10" t="n">
        <f aca="false">'Exec Summary'!$E$2-H3634</f>
        <v>129</v>
      </c>
      <c r="P3634" s="10" t="str">
        <f aca="false">IF(I3634="","",I3634-H3634)</f>
        <v/>
      </c>
      <c r="Q3634" s="10" t="n">
        <f aca="false">VLOOKUP(G3634,$AA$2:$AB$5,2,FALSE())</f>
        <v>15</v>
      </c>
      <c r="R3634" s="7" t="n">
        <f aca="false">IF(OR(F3634="Open",F3634="Reopened"),1,0)</f>
        <v>1</v>
      </c>
      <c r="S3634" s="7" t="n">
        <f aca="false">IF(AND(H3634&gt;='Exec Summary'!$E$1,H3634&lt;='Exec Summary'!$E$2),1,0)</f>
        <v>0</v>
      </c>
      <c r="T3634" s="7" t="n">
        <f aca="false">IF(AND(F3634="Closed",I3634&lt;&gt;"",I3634&gt;='Exec Summary'!$E$1,I3634&lt;='Exec Summary'!$E$2),1,0)</f>
        <v>0</v>
      </c>
      <c r="U3634" s="7" t="n">
        <f aca="false">IF(F3634="Reopened",1,0)</f>
        <v>0</v>
      </c>
      <c r="V3634" s="7" t="n">
        <f aca="false">IF(AND(R3634=1,O3634&gt;Q3634),1,0)</f>
        <v>1</v>
      </c>
      <c r="W3634" s="7" t="n">
        <f aca="false">IF(AND(T3634=1,P3634&lt;&gt;"",P3634&lt;=Q3634),1,0)</f>
        <v>0</v>
      </c>
    </row>
    <row r="3635" customFormat="false" ht="15" hidden="false" customHeight="false" outlineLevel="0" collapsed="false">
      <c r="A3635" s="7" t="s">
        <v>4267</v>
      </c>
      <c r="B3635" s="7" t="s">
        <v>46</v>
      </c>
      <c r="C3635" s="7" t="s">
        <v>47</v>
      </c>
      <c r="D3635" s="7" t="s">
        <v>71</v>
      </c>
      <c r="E3635" s="7" t="s">
        <v>72</v>
      </c>
      <c r="F3635" s="7" t="s">
        <v>50</v>
      </c>
      <c r="G3635" s="7" t="s">
        <v>19</v>
      </c>
      <c r="H3635" s="9" t="n">
        <v>46174</v>
      </c>
      <c r="I3635" s="9" t="n">
        <v>46189</v>
      </c>
      <c r="J3635" s="7" t="n">
        <v>9.8</v>
      </c>
      <c r="K3635" s="7" t="s">
        <v>4171</v>
      </c>
      <c r="L3635" s="7" t="s">
        <v>21</v>
      </c>
      <c r="M3635" s="7" t="s">
        <v>4268</v>
      </c>
      <c r="N3635" s="7" t="s">
        <v>58</v>
      </c>
      <c r="O3635" s="10" t="n">
        <f aca="false">'Exec Summary'!$E$2-H3635</f>
        <v>60</v>
      </c>
      <c r="P3635" s="10" t="n">
        <f aca="false">IF(I3635="","",I3635-H3635)</f>
        <v>15</v>
      </c>
      <c r="Q3635" s="10" t="n">
        <f aca="false">VLOOKUP(G3635,$AA$2:$AB$5,2,FALSE())</f>
        <v>15</v>
      </c>
      <c r="R3635" s="7" t="n">
        <f aca="false">IF(OR(F3635="Open",F3635="Reopened"),1,0)</f>
        <v>0</v>
      </c>
      <c r="S3635" s="7" t="n">
        <f aca="false">IF(AND(H3635&gt;='Exec Summary'!$E$1,H3635&lt;='Exec Summary'!$E$2),1,0)</f>
        <v>0</v>
      </c>
      <c r="T3635" s="7" t="n">
        <f aca="false">IF(AND(F3635="Closed",I3635&lt;&gt;"",I3635&gt;='Exec Summary'!$E$1,I3635&lt;='Exec Summary'!$E$2),1,0)</f>
        <v>0</v>
      </c>
      <c r="U3635" s="7" t="n">
        <f aca="false">IF(F3635="Reopened",1,0)</f>
        <v>0</v>
      </c>
      <c r="V3635" s="7" t="n">
        <f aca="false">IF(AND(R3635=1,O3635&gt;Q3635),1,0)</f>
        <v>0</v>
      </c>
      <c r="W3635" s="7" t="n">
        <f aca="false">IF(AND(T3635=1,P3635&lt;&gt;"",P3635&lt;=Q3635),1,0)</f>
        <v>0</v>
      </c>
    </row>
    <row r="3636" customFormat="false" ht="15" hidden="false" customHeight="false" outlineLevel="0" collapsed="false">
      <c r="A3636" s="7" t="s">
        <v>4267</v>
      </c>
      <c r="B3636" s="7" t="s">
        <v>46</v>
      </c>
      <c r="C3636" s="7" t="s">
        <v>47</v>
      </c>
      <c r="D3636" s="7" t="s">
        <v>87</v>
      </c>
      <c r="E3636" s="7" t="s">
        <v>88</v>
      </c>
      <c r="F3636" s="7" t="s">
        <v>56</v>
      </c>
      <c r="G3636" s="7" t="s">
        <v>19</v>
      </c>
      <c r="H3636" s="9" t="n">
        <v>46175</v>
      </c>
      <c r="I3636" s="9"/>
      <c r="J3636" s="7" t="n">
        <v>10</v>
      </c>
      <c r="K3636" s="7" t="s">
        <v>4171</v>
      </c>
      <c r="L3636" s="7" t="s">
        <v>21</v>
      </c>
      <c r="M3636" s="7" t="s">
        <v>4269</v>
      </c>
      <c r="N3636" s="7" t="s">
        <v>58</v>
      </c>
      <c r="O3636" s="10" t="n">
        <f aca="false">'Exec Summary'!$E$2-H3636</f>
        <v>59</v>
      </c>
      <c r="P3636" s="10" t="str">
        <f aca="false">IF(I3636="","",I3636-H3636)</f>
        <v/>
      </c>
      <c r="Q3636" s="10" t="n">
        <f aca="false">VLOOKUP(G3636,$AA$2:$AB$5,2,FALSE())</f>
        <v>15</v>
      </c>
      <c r="R3636" s="7" t="n">
        <f aca="false">IF(OR(F3636="Open",F3636="Reopened"),1,0)</f>
        <v>1</v>
      </c>
      <c r="S3636" s="7" t="n">
        <f aca="false">IF(AND(H3636&gt;='Exec Summary'!$E$1,H3636&lt;='Exec Summary'!$E$2),1,0)</f>
        <v>0</v>
      </c>
      <c r="T3636" s="7" t="n">
        <f aca="false">IF(AND(F3636="Closed",I3636&lt;&gt;"",I3636&gt;='Exec Summary'!$E$1,I3636&lt;='Exec Summary'!$E$2),1,0)</f>
        <v>0</v>
      </c>
      <c r="U3636" s="7" t="n">
        <f aca="false">IF(F3636="Reopened",1,0)</f>
        <v>0</v>
      </c>
      <c r="V3636" s="7" t="n">
        <f aca="false">IF(AND(R3636=1,O3636&gt;Q3636),1,0)</f>
        <v>1</v>
      </c>
      <c r="W3636" s="7" t="n">
        <f aca="false">IF(AND(T3636=1,P3636&lt;&gt;"",P3636&lt;=Q3636),1,0)</f>
        <v>0</v>
      </c>
    </row>
    <row r="3637" customFormat="false" ht="15" hidden="false" customHeight="false" outlineLevel="0" collapsed="false">
      <c r="A3637" s="7" t="s">
        <v>4267</v>
      </c>
      <c r="B3637" s="7" t="s">
        <v>46</v>
      </c>
      <c r="C3637" s="7" t="s">
        <v>47</v>
      </c>
      <c r="D3637" s="7" t="s">
        <v>112</v>
      </c>
      <c r="E3637" s="7" t="s">
        <v>113</v>
      </c>
      <c r="F3637" s="7" t="s">
        <v>56</v>
      </c>
      <c r="G3637" s="7" t="s">
        <v>20</v>
      </c>
      <c r="H3637" s="9" t="n">
        <v>45995</v>
      </c>
      <c r="I3637" s="9"/>
      <c r="J3637" s="7" t="n">
        <v>7.8</v>
      </c>
      <c r="K3637" s="7" t="s">
        <v>4171</v>
      </c>
      <c r="L3637" s="7" t="s">
        <v>21</v>
      </c>
      <c r="M3637" s="7" t="s">
        <v>4270</v>
      </c>
      <c r="N3637" s="7" t="s">
        <v>53</v>
      </c>
      <c r="O3637" s="10" t="n">
        <f aca="false">'Exec Summary'!$E$2-H3637</f>
        <v>239</v>
      </c>
      <c r="P3637" s="10" t="str">
        <f aca="false">IF(I3637="","",I3637-H3637)</f>
        <v/>
      </c>
      <c r="Q3637" s="10" t="n">
        <f aca="false">VLOOKUP(G3637,$AA$2:$AB$5,2,FALSE())</f>
        <v>30</v>
      </c>
      <c r="R3637" s="7" t="n">
        <f aca="false">IF(OR(F3637="Open",F3637="Reopened"),1,0)</f>
        <v>1</v>
      </c>
      <c r="S3637" s="7" t="n">
        <f aca="false">IF(AND(H3637&gt;='Exec Summary'!$E$1,H3637&lt;='Exec Summary'!$E$2),1,0)</f>
        <v>0</v>
      </c>
      <c r="T3637" s="7" t="n">
        <f aca="false">IF(AND(F3637="Closed",I3637&lt;&gt;"",I3637&gt;='Exec Summary'!$E$1,I3637&lt;='Exec Summary'!$E$2),1,0)</f>
        <v>0</v>
      </c>
      <c r="U3637" s="7" t="n">
        <f aca="false">IF(F3637="Reopened",1,0)</f>
        <v>0</v>
      </c>
      <c r="V3637" s="7" t="n">
        <f aca="false">IF(AND(R3637=1,O3637&gt;Q3637),1,0)</f>
        <v>1</v>
      </c>
      <c r="W3637" s="7" t="n">
        <f aca="false">IF(AND(T3637=1,P3637&lt;&gt;"",P3637&lt;=Q3637),1,0)</f>
        <v>0</v>
      </c>
    </row>
    <row r="3638" customFormat="false" ht="15" hidden="false" customHeight="false" outlineLevel="0" collapsed="false">
      <c r="A3638" s="7" t="s">
        <v>4267</v>
      </c>
      <c r="B3638" s="7" t="s">
        <v>46</v>
      </c>
      <c r="C3638" s="7" t="s">
        <v>47</v>
      </c>
      <c r="D3638" s="7" t="s">
        <v>81</v>
      </c>
      <c r="E3638" s="7" t="s">
        <v>82</v>
      </c>
      <c r="F3638" s="7" t="s">
        <v>50</v>
      </c>
      <c r="G3638" s="7" t="s">
        <v>20</v>
      </c>
      <c r="H3638" s="9" t="n">
        <v>46205</v>
      </c>
      <c r="I3638" s="9" t="n">
        <v>46234</v>
      </c>
      <c r="J3638" s="7" t="n">
        <v>7.8</v>
      </c>
      <c r="K3638" s="7" t="s">
        <v>4171</v>
      </c>
      <c r="L3638" s="7" t="s">
        <v>21</v>
      </c>
      <c r="M3638" s="7" t="s">
        <v>4271</v>
      </c>
      <c r="N3638" s="7" t="s">
        <v>53</v>
      </c>
      <c r="O3638" s="10" t="n">
        <f aca="false">'Exec Summary'!$E$2-H3638</f>
        <v>29</v>
      </c>
      <c r="P3638" s="10" t="n">
        <f aca="false">IF(I3638="","",I3638-H3638)</f>
        <v>29</v>
      </c>
      <c r="Q3638" s="10" t="n">
        <f aca="false">VLOOKUP(G3638,$AA$2:$AB$5,2,FALSE())</f>
        <v>30</v>
      </c>
      <c r="R3638" s="7" t="n">
        <f aca="false">IF(OR(F3638="Open",F3638="Reopened"),1,0)</f>
        <v>0</v>
      </c>
      <c r="S3638" s="7" t="n">
        <f aca="false">IF(AND(H3638&gt;='Exec Summary'!$E$1,H3638&lt;='Exec Summary'!$E$2),1,0)</f>
        <v>1</v>
      </c>
      <c r="T3638" s="7" t="n">
        <f aca="false">IF(AND(F3638="Closed",I3638&lt;&gt;"",I3638&gt;='Exec Summary'!$E$1,I3638&lt;='Exec Summary'!$E$2),1,0)</f>
        <v>1</v>
      </c>
      <c r="U3638" s="7" t="n">
        <f aca="false">IF(F3638="Reopened",1,0)</f>
        <v>0</v>
      </c>
      <c r="V3638" s="7" t="n">
        <f aca="false">IF(AND(R3638=1,O3638&gt;Q3638),1,0)</f>
        <v>0</v>
      </c>
      <c r="W3638" s="7" t="n">
        <f aca="false">IF(AND(T3638=1,P3638&lt;&gt;"",P3638&lt;=Q3638),1,0)</f>
        <v>1</v>
      </c>
    </row>
    <row r="3639" customFormat="false" ht="15" hidden="false" customHeight="false" outlineLevel="0" collapsed="false">
      <c r="A3639" s="7" t="s">
        <v>4267</v>
      </c>
      <c r="B3639" s="7" t="s">
        <v>46</v>
      </c>
      <c r="C3639" s="7" t="s">
        <v>47</v>
      </c>
      <c r="D3639" s="7" t="s">
        <v>131</v>
      </c>
      <c r="E3639" s="7" t="s">
        <v>132</v>
      </c>
      <c r="F3639" s="7" t="s">
        <v>50</v>
      </c>
      <c r="G3639" s="7" t="s">
        <v>19</v>
      </c>
      <c r="H3639" s="9" t="n">
        <v>46109</v>
      </c>
      <c r="I3639" s="9" t="n">
        <v>46124</v>
      </c>
      <c r="J3639" s="7" t="n">
        <v>9.8</v>
      </c>
      <c r="K3639" s="7" t="s">
        <v>4171</v>
      </c>
      <c r="L3639" s="7" t="s">
        <v>21</v>
      </c>
      <c r="M3639" s="7" t="s">
        <v>4272</v>
      </c>
      <c r="N3639" s="7" t="s">
        <v>58</v>
      </c>
      <c r="O3639" s="10" t="n">
        <f aca="false">'Exec Summary'!$E$2-H3639</f>
        <v>125</v>
      </c>
      <c r="P3639" s="10" t="n">
        <f aca="false">IF(I3639="","",I3639-H3639)</f>
        <v>15</v>
      </c>
      <c r="Q3639" s="10" t="n">
        <f aca="false">VLOOKUP(G3639,$AA$2:$AB$5,2,FALSE())</f>
        <v>15</v>
      </c>
      <c r="R3639" s="7" t="n">
        <f aca="false">IF(OR(F3639="Open",F3639="Reopened"),1,0)</f>
        <v>0</v>
      </c>
      <c r="S3639" s="7" t="n">
        <f aca="false">IF(AND(H3639&gt;='Exec Summary'!$E$1,H3639&lt;='Exec Summary'!$E$2),1,0)</f>
        <v>0</v>
      </c>
      <c r="T3639" s="7" t="n">
        <f aca="false">IF(AND(F3639="Closed",I3639&lt;&gt;"",I3639&gt;='Exec Summary'!$E$1,I3639&lt;='Exec Summary'!$E$2),1,0)</f>
        <v>0</v>
      </c>
      <c r="U3639" s="7" t="n">
        <f aca="false">IF(F3639="Reopened",1,0)</f>
        <v>0</v>
      </c>
      <c r="V3639" s="7" t="n">
        <f aca="false">IF(AND(R3639=1,O3639&gt;Q3639),1,0)</f>
        <v>0</v>
      </c>
      <c r="W3639" s="7" t="n">
        <f aca="false">IF(AND(T3639=1,P3639&lt;&gt;"",P3639&lt;=Q3639),1,0)</f>
        <v>0</v>
      </c>
    </row>
    <row r="3640" customFormat="false" ht="15" hidden="false" customHeight="false" outlineLevel="0" collapsed="false">
      <c r="A3640" s="7" t="s">
        <v>4273</v>
      </c>
      <c r="B3640" s="7" t="s">
        <v>46</v>
      </c>
      <c r="C3640" s="7" t="s">
        <v>128</v>
      </c>
      <c r="D3640" s="7" t="s">
        <v>192</v>
      </c>
      <c r="E3640" s="7" t="s">
        <v>193</v>
      </c>
      <c r="F3640" s="7" t="s">
        <v>56</v>
      </c>
      <c r="G3640" s="7" t="s">
        <v>19</v>
      </c>
      <c r="H3640" s="9" t="n">
        <v>46000</v>
      </c>
      <c r="I3640" s="9"/>
      <c r="J3640" s="7" t="n">
        <v>9.8</v>
      </c>
      <c r="K3640" s="7" t="s">
        <v>4171</v>
      </c>
      <c r="L3640" s="7" t="s">
        <v>22</v>
      </c>
      <c r="M3640" s="7" t="s">
        <v>4274</v>
      </c>
      <c r="N3640" s="7" t="s">
        <v>58</v>
      </c>
      <c r="O3640" s="10" t="n">
        <f aca="false">'Exec Summary'!$E$2-H3640</f>
        <v>234</v>
      </c>
      <c r="P3640" s="10" t="str">
        <f aca="false">IF(I3640="","",I3640-H3640)</f>
        <v/>
      </c>
      <c r="Q3640" s="10" t="n">
        <f aca="false">VLOOKUP(G3640,$AA$2:$AB$5,2,FALSE())</f>
        <v>15</v>
      </c>
      <c r="R3640" s="7" t="n">
        <f aca="false">IF(OR(F3640="Open",F3640="Reopened"),1,0)</f>
        <v>1</v>
      </c>
      <c r="S3640" s="7" t="n">
        <f aca="false">IF(AND(H3640&gt;='Exec Summary'!$E$1,H3640&lt;='Exec Summary'!$E$2),1,0)</f>
        <v>0</v>
      </c>
      <c r="T3640" s="7" t="n">
        <f aca="false">IF(AND(F3640="Closed",I3640&lt;&gt;"",I3640&gt;='Exec Summary'!$E$1,I3640&lt;='Exec Summary'!$E$2),1,0)</f>
        <v>0</v>
      </c>
      <c r="U3640" s="7" t="n">
        <f aca="false">IF(F3640="Reopened",1,0)</f>
        <v>0</v>
      </c>
      <c r="V3640" s="7" t="n">
        <f aca="false">IF(AND(R3640=1,O3640&gt;Q3640),1,0)</f>
        <v>1</v>
      </c>
      <c r="W3640" s="7" t="n">
        <f aca="false">IF(AND(T3640=1,P3640&lt;&gt;"",P3640&lt;=Q3640),1,0)</f>
        <v>0</v>
      </c>
    </row>
    <row r="3641" customFormat="false" ht="15" hidden="false" customHeight="false" outlineLevel="0" collapsed="false">
      <c r="A3641" s="7" t="s">
        <v>4273</v>
      </c>
      <c r="B3641" s="7" t="s">
        <v>46</v>
      </c>
      <c r="C3641" s="7" t="s">
        <v>128</v>
      </c>
      <c r="D3641" s="7" t="s">
        <v>101</v>
      </c>
      <c r="E3641" s="7" t="s">
        <v>102</v>
      </c>
      <c r="F3641" s="7" t="s">
        <v>50</v>
      </c>
      <c r="G3641" s="7" t="s">
        <v>19</v>
      </c>
      <c r="H3641" s="9" t="n">
        <v>46140</v>
      </c>
      <c r="I3641" s="9" t="n">
        <v>46150</v>
      </c>
      <c r="J3641" s="7" t="n">
        <v>10</v>
      </c>
      <c r="K3641" s="7" t="s">
        <v>4171</v>
      </c>
      <c r="L3641" s="7" t="s">
        <v>22</v>
      </c>
      <c r="M3641" s="7" t="s">
        <v>4275</v>
      </c>
      <c r="N3641" s="7" t="s">
        <v>58</v>
      </c>
      <c r="O3641" s="10" t="n">
        <f aca="false">'Exec Summary'!$E$2-H3641</f>
        <v>94</v>
      </c>
      <c r="P3641" s="10" t="n">
        <f aca="false">IF(I3641="","",I3641-H3641)</f>
        <v>10</v>
      </c>
      <c r="Q3641" s="10" t="n">
        <f aca="false">VLOOKUP(G3641,$AA$2:$AB$5,2,FALSE())</f>
        <v>15</v>
      </c>
      <c r="R3641" s="7" t="n">
        <f aca="false">IF(OR(F3641="Open",F3641="Reopened"),1,0)</f>
        <v>0</v>
      </c>
      <c r="S3641" s="7" t="n">
        <f aca="false">IF(AND(H3641&gt;='Exec Summary'!$E$1,H3641&lt;='Exec Summary'!$E$2),1,0)</f>
        <v>0</v>
      </c>
      <c r="T3641" s="7" t="n">
        <f aca="false">IF(AND(F3641="Closed",I3641&lt;&gt;"",I3641&gt;='Exec Summary'!$E$1,I3641&lt;='Exec Summary'!$E$2),1,0)</f>
        <v>0</v>
      </c>
      <c r="U3641" s="7" t="n">
        <f aca="false">IF(F3641="Reopened",1,0)</f>
        <v>0</v>
      </c>
      <c r="V3641" s="7" t="n">
        <f aca="false">IF(AND(R3641=1,O3641&gt;Q3641),1,0)</f>
        <v>0</v>
      </c>
      <c r="W3641" s="7" t="n">
        <f aca="false">IF(AND(T3641=1,P3641&lt;&gt;"",P3641&lt;=Q3641),1,0)</f>
        <v>0</v>
      </c>
    </row>
    <row r="3642" customFormat="false" ht="15" hidden="false" customHeight="false" outlineLevel="0" collapsed="false">
      <c r="A3642" s="7" t="s">
        <v>4273</v>
      </c>
      <c r="B3642" s="7" t="s">
        <v>46</v>
      </c>
      <c r="C3642" s="7" t="s">
        <v>128</v>
      </c>
      <c r="D3642" s="7" t="s">
        <v>112</v>
      </c>
      <c r="E3642" s="7" t="s">
        <v>113</v>
      </c>
      <c r="F3642" s="7" t="s">
        <v>56</v>
      </c>
      <c r="G3642" s="7" t="s">
        <v>20</v>
      </c>
      <c r="H3642" s="9" t="n">
        <v>45941</v>
      </c>
      <c r="I3642" s="9"/>
      <c r="J3642" s="7" t="n">
        <v>7.8</v>
      </c>
      <c r="K3642" s="7" t="s">
        <v>4171</v>
      </c>
      <c r="L3642" s="7" t="s">
        <v>22</v>
      </c>
      <c r="M3642" s="7" t="s">
        <v>4276</v>
      </c>
      <c r="N3642" s="7" t="s">
        <v>53</v>
      </c>
      <c r="O3642" s="10" t="n">
        <f aca="false">'Exec Summary'!$E$2-H3642</f>
        <v>293</v>
      </c>
      <c r="P3642" s="10" t="str">
        <f aca="false">IF(I3642="","",I3642-H3642)</f>
        <v/>
      </c>
      <c r="Q3642" s="10" t="n">
        <f aca="false">VLOOKUP(G3642,$AA$2:$AB$5,2,FALSE())</f>
        <v>30</v>
      </c>
      <c r="R3642" s="7" t="n">
        <f aca="false">IF(OR(F3642="Open",F3642="Reopened"),1,0)</f>
        <v>1</v>
      </c>
      <c r="S3642" s="7" t="n">
        <f aca="false">IF(AND(H3642&gt;='Exec Summary'!$E$1,H3642&lt;='Exec Summary'!$E$2),1,0)</f>
        <v>0</v>
      </c>
      <c r="T3642" s="7" t="n">
        <f aca="false">IF(AND(F3642="Closed",I3642&lt;&gt;"",I3642&gt;='Exec Summary'!$E$1,I3642&lt;='Exec Summary'!$E$2),1,0)</f>
        <v>0</v>
      </c>
      <c r="U3642" s="7" t="n">
        <f aca="false">IF(F3642="Reopened",1,0)</f>
        <v>0</v>
      </c>
      <c r="V3642" s="7" t="n">
        <f aca="false">IF(AND(R3642=1,O3642&gt;Q3642),1,0)</f>
        <v>1</v>
      </c>
      <c r="W3642" s="7" t="n">
        <f aca="false">IF(AND(T3642=1,P3642&lt;&gt;"",P3642&lt;=Q3642),1,0)</f>
        <v>0</v>
      </c>
    </row>
    <row r="3643" customFormat="false" ht="15" hidden="false" customHeight="false" outlineLevel="0" collapsed="false">
      <c r="A3643" s="7" t="s">
        <v>4273</v>
      </c>
      <c r="B3643" s="7" t="s">
        <v>46</v>
      </c>
      <c r="C3643" s="7" t="s">
        <v>128</v>
      </c>
      <c r="D3643" s="7" t="s">
        <v>95</v>
      </c>
      <c r="E3643" s="7" t="s">
        <v>96</v>
      </c>
      <c r="F3643" s="7" t="s">
        <v>123</v>
      </c>
      <c r="G3643" s="7" t="s">
        <v>20</v>
      </c>
      <c r="H3643" s="9" t="n">
        <v>46031</v>
      </c>
      <c r="I3643" s="9" t="n">
        <v>46053</v>
      </c>
      <c r="J3643" s="7" t="n">
        <v>8.8</v>
      </c>
      <c r="K3643" s="7" t="s">
        <v>4171</v>
      </c>
      <c r="L3643" s="7" t="s">
        <v>22</v>
      </c>
      <c r="M3643" s="7" t="s">
        <v>4277</v>
      </c>
      <c r="N3643" s="7" t="s">
        <v>53</v>
      </c>
      <c r="O3643" s="10" t="n">
        <f aca="false">'Exec Summary'!$E$2-H3643</f>
        <v>203</v>
      </c>
      <c r="P3643" s="10" t="n">
        <f aca="false">IF(I3643="","",I3643-H3643)</f>
        <v>22</v>
      </c>
      <c r="Q3643" s="10" t="n">
        <f aca="false">VLOOKUP(G3643,$AA$2:$AB$5,2,FALSE())</f>
        <v>30</v>
      </c>
      <c r="R3643" s="7" t="n">
        <f aca="false">IF(OR(F3643="Open",F3643="Reopened"),1,0)</f>
        <v>1</v>
      </c>
      <c r="S3643" s="7" t="n">
        <f aca="false">IF(AND(H3643&gt;='Exec Summary'!$E$1,H3643&lt;='Exec Summary'!$E$2),1,0)</f>
        <v>0</v>
      </c>
      <c r="T3643" s="7" t="n">
        <f aca="false">IF(AND(F3643="Closed",I3643&lt;&gt;"",I3643&gt;='Exec Summary'!$E$1,I3643&lt;='Exec Summary'!$E$2),1,0)</f>
        <v>0</v>
      </c>
      <c r="U3643" s="7" t="n">
        <f aca="false">IF(F3643="Reopened",1,0)</f>
        <v>1</v>
      </c>
      <c r="V3643" s="7" t="n">
        <f aca="false">IF(AND(R3643=1,O3643&gt;Q3643),1,0)</f>
        <v>1</v>
      </c>
      <c r="W3643" s="7" t="n">
        <f aca="false">IF(AND(T3643=1,P3643&lt;&gt;"",P3643&lt;=Q3643),1,0)</f>
        <v>0</v>
      </c>
    </row>
    <row r="3644" customFormat="false" ht="15" hidden="false" customHeight="false" outlineLevel="0" collapsed="false">
      <c r="A3644" s="7" t="s">
        <v>4273</v>
      </c>
      <c r="B3644" s="7" t="s">
        <v>46</v>
      </c>
      <c r="C3644" s="7" t="s">
        <v>128</v>
      </c>
      <c r="D3644" s="7" t="s">
        <v>98</v>
      </c>
      <c r="E3644" s="7" t="s">
        <v>99</v>
      </c>
      <c r="F3644" s="7" t="s">
        <v>56</v>
      </c>
      <c r="G3644" s="7" t="s">
        <v>19</v>
      </c>
      <c r="H3644" s="9" t="n">
        <v>46049</v>
      </c>
      <c r="I3644" s="9"/>
      <c r="J3644" s="7" t="n">
        <v>10</v>
      </c>
      <c r="K3644" s="7" t="s">
        <v>4171</v>
      </c>
      <c r="L3644" s="7" t="s">
        <v>22</v>
      </c>
      <c r="M3644" s="7" t="s">
        <v>4278</v>
      </c>
      <c r="N3644" s="7" t="s">
        <v>58</v>
      </c>
      <c r="O3644" s="10" t="n">
        <f aca="false">'Exec Summary'!$E$2-H3644</f>
        <v>185</v>
      </c>
      <c r="P3644" s="10" t="str">
        <f aca="false">IF(I3644="","",I3644-H3644)</f>
        <v/>
      </c>
      <c r="Q3644" s="10" t="n">
        <f aca="false">VLOOKUP(G3644,$AA$2:$AB$5,2,FALSE())</f>
        <v>15</v>
      </c>
      <c r="R3644" s="7" t="n">
        <f aca="false">IF(OR(F3644="Open",F3644="Reopened"),1,0)</f>
        <v>1</v>
      </c>
      <c r="S3644" s="7" t="n">
        <f aca="false">IF(AND(H3644&gt;='Exec Summary'!$E$1,H3644&lt;='Exec Summary'!$E$2),1,0)</f>
        <v>0</v>
      </c>
      <c r="T3644" s="7" t="n">
        <f aca="false">IF(AND(F3644="Closed",I3644&lt;&gt;"",I3644&gt;='Exec Summary'!$E$1,I3644&lt;='Exec Summary'!$E$2),1,0)</f>
        <v>0</v>
      </c>
      <c r="U3644" s="7" t="n">
        <f aca="false">IF(F3644="Reopened",1,0)</f>
        <v>0</v>
      </c>
      <c r="V3644" s="7" t="n">
        <f aca="false">IF(AND(R3644=1,O3644&gt;Q3644),1,0)</f>
        <v>1</v>
      </c>
      <c r="W3644" s="7" t="n">
        <f aca="false">IF(AND(T3644=1,P3644&lt;&gt;"",P3644&lt;=Q3644),1,0)</f>
        <v>0</v>
      </c>
    </row>
    <row r="3645" customFormat="false" ht="15" hidden="false" customHeight="false" outlineLevel="0" collapsed="false">
      <c r="A3645" s="7" t="s">
        <v>4273</v>
      </c>
      <c r="B3645" s="7" t="s">
        <v>46</v>
      </c>
      <c r="C3645" s="7" t="s">
        <v>128</v>
      </c>
      <c r="D3645" s="7" t="s">
        <v>152</v>
      </c>
      <c r="E3645" s="7" t="s">
        <v>153</v>
      </c>
      <c r="F3645" s="7" t="s">
        <v>50</v>
      </c>
      <c r="G3645" s="7" t="s">
        <v>20</v>
      </c>
      <c r="H3645" s="9" t="n">
        <v>46093</v>
      </c>
      <c r="I3645" s="9" t="n">
        <v>46102</v>
      </c>
      <c r="J3645" s="7" t="n">
        <v>7.5</v>
      </c>
      <c r="K3645" s="7" t="s">
        <v>4171</v>
      </c>
      <c r="L3645" s="7" t="s">
        <v>22</v>
      </c>
      <c r="M3645" s="7" t="s">
        <v>4279</v>
      </c>
      <c r="N3645" s="7" t="s">
        <v>53</v>
      </c>
      <c r="O3645" s="10" t="n">
        <f aca="false">'Exec Summary'!$E$2-H3645</f>
        <v>141</v>
      </c>
      <c r="P3645" s="10" t="n">
        <f aca="false">IF(I3645="","",I3645-H3645)</f>
        <v>9</v>
      </c>
      <c r="Q3645" s="10" t="n">
        <f aca="false">VLOOKUP(G3645,$AA$2:$AB$5,2,FALSE())</f>
        <v>30</v>
      </c>
      <c r="R3645" s="7" t="n">
        <f aca="false">IF(OR(F3645="Open",F3645="Reopened"),1,0)</f>
        <v>0</v>
      </c>
      <c r="S3645" s="7" t="n">
        <f aca="false">IF(AND(H3645&gt;='Exec Summary'!$E$1,H3645&lt;='Exec Summary'!$E$2),1,0)</f>
        <v>0</v>
      </c>
      <c r="T3645" s="7" t="n">
        <f aca="false">IF(AND(F3645="Closed",I3645&lt;&gt;"",I3645&gt;='Exec Summary'!$E$1,I3645&lt;='Exec Summary'!$E$2),1,0)</f>
        <v>0</v>
      </c>
      <c r="U3645" s="7" t="n">
        <f aca="false">IF(F3645="Reopened",1,0)</f>
        <v>0</v>
      </c>
      <c r="V3645" s="7" t="n">
        <f aca="false">IF(AND(R3645=1,O3645&gt;Q3645),1,0)</f>
        <v>0</v>
      </c>
      <c r="W3645" s="7" t="n">
        <f aca="false">IF(AND(T3645=1,P3645&lt;&gt;"",P3645&lt;=Q3645),1,0)</f>
        <v>0</v>
      </c>
    </row>
    <row r="3646" customFormat="false" ht="15" hidden="false" customHeight="false" outlineLevel="0" collapsed="false">
      <c r="A3646" s="7" t="s">
        <v>4273</v>
      </c>
      <c r="B3646" s="7" t="s">
        <v>46</v>
      </c>
      <c r="C3646" s="7" t="s">
        <v>128</v>
      </c>
      <c r="D3646" s="7" t="s">
        <v>48</v>
      </c>
      <c r="E3646" s="7" t="s">
        <v>49</v>
      </c>
      <c r="F3646" s="7" t="s">
        <v>56</v>
      </c>
      <c r="G3646" s="7" t="s">
        <v>20</v>
      </c>
      <c r="H3646" s="9" t="n">
        <v>46086</v>
      </c>
      <c r="I3646" s="9"/>
      <c r="J3646" s="7" t="n">
        <v>7.5</v>
      </c>
      <c r="K3646" s="7" t="s">
        <v>4171</v>
      </c>
      <c r="L3646" s="7" t="s">
        <v>22</v>
      </c>
      <c r="M3646" s="7" t="s">
        <v>4280</v>
      </c>
      <c r="N3646" s="7" t="s">
        <v>53</v>
      </c>
      <c r="O3646" s="10" t="n">
        <f aca="false">'Exec Summary'!$E$2-H3646</f>
        <v>148</v>
      </c>
      <c r="P3646" s="10" t="str">
        <f aca="false">IF(I3646="","",I3646-H3646)</f>
        <v/>
      </c>
      <c r="Q3646" s="10" t="n">
        <f aca="false">VLOOKUP(G3646,$AA$2:$AB$5,2,FALSE())</f>
        <v>30</v>
      </c>
      <c r="R3646" s="7" t="n">
        <f aca="false">IF(OR(F3646="Open",F3646="Reopened"),1,0)</f>
        <v>1</v>
      </c>
      <c r="S3646" s="7" t="n">
        <f aca="false">IF(AND(H3646&gt;='Exec Summary'!$E$1,H3646&lt;='Exec Summary'!$E$2),1,0)</f>
        <v>0</v>
      </c>
      <c r="T3646" s="7" t="n">
        <f aca="false">IF(AND(F3646="Closed",I3646&lt;&gt;"",I3646&gt;='Exec Summary'!$E$1,I3646&lt;='Exec Summary'!$E$2),1,0)</f>
        <v>0</v>
      </c>
      <c r="U3646" s="7" t="n">
        <f aca="false">IF(F3646="Reopened",1,0)</f>
        <v>0</v>
      </c>
      <c r="V3646" s="7" t="n">
        <f aca="false">IF(AND(R3646=1,O3646&gt;Q3646),1,0)</f>
        <v>1</v>
      </c>
      <c r="W3646" s="7" t="n">
        <f aca="false">IF(AND(T3646=1,P3646&lt;&gt;"",P3646&lt;=Q3646),1,0)</f>
        <v>0</v>
      </c>
    </row>
    <row r="3647" customFormat="false" ht="15" hidden="false" customHeight="false" outlineLevel="0" collapsed="false">
      <c r="A3647" s="7" t="s">
        <v>4273</v>
      </c>
      <c r="B3647" s="7" t="s">
        <v>46</v>
      </c>
      <c r="C3647" s="7" t="s">
        <v>128</v>
      </c>
      <c r="D3647" s="7" t="s">
        <v>71</v>
      </c>
      <c r="E3647" s="7" t="s">
        <v>72</v>
      </c>
      <c r="F3647" s="7" t="s">
        <v>56</v>
      </c>
      <c r="G3647" s="7" t="s">
        <v>19</v>
      </c>
      <c r="H3647" s="9" t="n">
        <v>46200</v>
      </c>
      <c r="I3647" s="9"/>
      <c r="J3647" s="7" t="n">
        <v>9.8</v>
      </c>
      <c r="K3647" s="7" t="s">
        <v>4171</v>
      </c>
      <c r="L3647" s="7" t="s">
        <v>22</v>
      </c>
      <c r="M3647" s="7" t="s">
        <v>4281</v>
      </c>
      <c r="N3647" s="7" t="s">
        <v>58</v>
      </c>
      <c r="O3647" s="10" t="n">
        <f aca="false">'Exec Summary'!$E$2-H3647</f>
        <v>34</v>
      </c>
      <c r="P3647" s="10" t="str">
        <f aca="false">IF(I3647="","",I3647-H3647)</f>
        <v/>
      </c>
      <c r="Q3647" s="10" t="n">
        <f aca="false">VLOOKUP(G3647,$AA$2:$AB$5,2,FALSE())</f>
        <v>15</v>
      </c>
      <c r="R3647" s="7" t="n">
        <f aca="false">IF(OR(F3647="Open",F3647="Reopened"),1,0)</f>
        <v>1</v>
      </c>
      <c r="S3647" s="7" t="n">
        <f aca="false">IF(AND(H3647&gt;='Exec Summary'!$E$1,H3647&lt;='Exec Summary'!$E$2),1,0)</f>
        <v>0</v>
      </c>
      <c r="T3647" s="7" t="n">
        <f aca="false">IF(AND(F3647="Closed",I3647&lt;&gt;"",I3647&gt;='Exec Summary'!$E$1,I3647&lt;='Exec Summary'!$E$2),1,0)</f>
        <v>0</v>
      </c>
      <c r="U3647" s="7" t="n">
        <f aca="false">IF(F3647="Reopened",1,0)</f>
        <v>0</v>
      </c>
      <c r="V3647" s="7" t="n">
        <f aca="false">IF(AND(R3647=1,O3647&gt;Q3647),1,0)</f>
        <v>1</v>
      </c>
      <c r="W3647" s="7" t="n">
        <f aca="false">IF(AND(T3647=1,P3647&lt;&gt;"",P3647&lt;=Q3647),1,0)</f>
        <v>0</v>
      </c>
    </row>
    <row r="3648" customFormat="false" ht="15" hidden="false" customHeight="false" outlineLevel="0" collapsed="false">
      <c r="A3648" s="7" t="s">
        <v>4273</v>
      </c>
      <c r="B3648" s="7" t="s">
        <v>46</v>
      </c>
      <c r="C3648" s="7" t="s">
        <v>128</v>
      </c>
      <c r="D3648" s="7" t="s">
        <v>206</v>
      </c>
      <c r="E3648" s="7" t="s">
        <v>207</v>
      </c>
      <c r="F3648" s="7" t="s">
        <v>56</v>
      </c>
      <c r="G3648" s="7" t="s">
        <v>20</v>
      </c>
      <c r="H3648" s="9" t="n">
        <v>46156</v>
      </c>
      <c r="I3648" s="9"/>
      <c r="J3648" s="7" t="n">
        <v>8.8</v>
      </c>
      <c r="K3648" s="7" t="s">
        <v>4171</v>
      </c>
      <c r="L3648" s="7" t="s">
        <v>22</v>
      </c>
      <c r="M3648" s="7" t="s">
        <v>4282</v>
      </c>
      <c r="N3648" s="7" t="s">
        <v>53</v>
      </c>
      <c r="O3648" s="10" t="n">
        <f aca="false">'Exec Summary'!$E$2-H3648</f>
        <v>78</v>
      </c>
      <c r="P3648" s="10" t="str">
        <f aca="false">IF(I3648="","",I3648-H3648)</f>
        <v/>
      </c>
      <c r="Q3648" s="10" t="n">
        <f aca="false">VLOOKUP(G3648,$AA$2:$AB$5,2,FALSE())</f>
        <v>30</v>
      </c>
      <c r="R3648" s="7" t="n">
        <f aca="false">IF(OR(F3648="Open",F3648="Reopened"),1,0)</f>
        <v>1</v>
      </c>
      <c r="S3648" s="7" t="n">
        <f aca="false">IF(AND(H3648&gt;='Exec Summary'!$E$1,H3648&lt;='Exec Summary'!$E$2),1,0)</f>
        <v>0</v>
      </c>
      <c r="T3648" s="7" t="n">
        <f aca="false">IF(AND(F3648="Closed",I3648&lt;&gt;"",I3648&gt;='Exec Summary'!$E$1,I3648&lt;='Exec Summary'!$E$2),1,0)</f>
        <v>0</v>
      </c>
      <c r="U3648" s="7" t="n">
        <f aca="false">IF(F3648="Reopened",1,0)</f>
        <v>0</v>
      </c>
      <c r="V3648" s="7" t="n">
        <f aca="false">IF(AND(R3648=1,O3648&gt;Q3648),1,0)</f>
        <v>1</v>
      </c>
      <c r="W3648" s="7" t="n">
        <f aca="false">IF(AND(T3648=1,P3648&lt;&gt;"",P3648&lt;=Q3648),1,0)</f>
        <v>0</v>
      </c>
    </row>
    <row r="3649" customFormat="false" ht="15" hidden="false" customHeight="false" outlineLevel="0" collapsed="false">
      <c r="A3649" s="7" t="s">
        <v>4273</v>
      </c>
      <c r="B3649" s="7" t="s">
        <v>46</v>
      </c>
      <c r="C3649" s="7" t="s">
        <v>128</v>
      </c>
      <c r="D3649" s="7" t="s">
        <v>139</v>
      </c>
      <c r="E3649" s="7" t="s">
        <v>140</v>
      </c>
      <c r="F3649" s="7" t="s">
        <v>56</v>
      </c>
      <c r="G3649" s="7" t="s">
        <v>19</v>
      </c>
      <c r="H3649" s="9" t="n">
        <v>46109</v>
      </c>
      <c r="I3649" s="9"/>
      <c r="J3649" s="7" t="n">
        <v>9.8</v>
      </c>
      <c r="K3649" s="7" t="s">
        <v>4171</v>
      </c>
      <c r="L3649" s="7" t="s">
        <v>22</v>
      </c>
      <c r="M3649" s="7" t="s">
        <v>4283</v>
      </c>
      <c r="N3649" s="7" t="s">
        <v>58</v>
      </c>
      <c r="O3649" s="10" t="n">
        <f aca="false">'Exec Summary'!$E$2-H3649</f>
        <v>125</v>
      </c>
      <c r="P3649" s="10" t="str">
        <f aca="false">IF(I3649="","",I3649-H3649)</f>
        <v/>
      </c>
      <c r="Q3649" s="10" t="n">
        <f aca="false">VLOOKUP(G3649,$AA$2:$AB$5,2,FALSE())</f>
        <v>15</v>
      </c>
      <c r="R3649" s="7" t="n">
        <f aca="false">IF(OR(F3649="Open",F3649="Reopened"),1,0)</f>
        <v>1</v>
      </c>
      <c r="S3649" s="7" t="n">
        <f aca="false">IF(AND(H3649&gt;='Exec Summary'!$E$1,H3649&lt;='Exec Summary'!$E$2),1,0)</f>
        <v>0</v>
      </c>
      <c r="T3649" s="7" t="n">
        <f aca="false">IF(AND(F3649="Closed",I3649&lt;&gt;"",I3649&gt;='Exec Summary'!$E$1,I3649&lt;='Exec Summary'!$E$2),1,0)</f>
        <v>0</v>
      </c>
      <c r="U3649" s="7" t="n">
        <f aca="false">IF(F3649="Reopened",1,0)</f>
        <v>0</v>
      </c>
      <c r="V3649" s="7" t="n">
        <f aca="false">IF(AND(R3649=1,O3649&gt;Q3649),1,0)</f>
        <v>1</v>
      </c>
      <c r="W3649" s="7" t="n">
        <f aca="false">IF(AND(T3649=1,P3649&lt;&gt;"",P3649&lt;=Q3649),1,0)</f>
        <v>0</v>
      </c>
    </row>
    <row r="3650" customFormat="false" ht="15" hidden="false" customHeight="false" outlineLevel="0" collapsed="false">
      <c r="A3650" s="7" t="s">
        <v>4273</v>
      </c>
      <c r="B3650" s="7" t="s">
        <v>46</v>
      </c>
      <c r="C3650" s="7" t="s">
        <v>128</v>
      </c>
      <c r="D3650" s="7" t="s">
        <v>84</v>
      </c>
      <c r="E3650" s="7" t="s">
        <v>85</v>
      </c>
      <c r="F3650" s="7" t="s">
        <v>56</v>
      </c>
      <c r="G3650" s="7" t="s">
        <v>20</v>
      </c>
      <c r="H3650" s="9" t="n">
        <v>46117</v>
      </c>
      <c r="I3650" s="9"/>
      <c r="J3650" s="7" t="n">
        <v>7.5</v>
      </c>
      <c r="K3650" s="7" t="s">
        <v>4171</v>
      </c>
      <c r="L3650" s="7" t="s">
        <v>22</v>
      </c>
      <c r="M3650" s="7" t="s">
        <v>4284</v>
      </c>
      <c r="N3650" s="7" t="s">
        <v>53</v>
      </c>
      <c r="O3650" s="10" t="n">
        <f aca="false">'Exec Summary'!$E$2-H3650</f>
        <v>117</v>
      </c>
      <c r="P3650" s="10" t="str">
        <f aca="false">IF(I3650="","",I3650-H3650)</f>
        <v/>
      </c>
      <c r="Q3650" s="10" t="n">
        <f aca="false">VLOOKUP(G3650,$AA$2:$AB$5,2,FALSE())</f>
        <v>30</v>
      </c>
      <c r="R3650" s="7" t="n">
        <f aca="false">IF(OR(F3650="Open",F3650="Reopened"),1,0)</f>
        <v>1</v>
      </c>
      <c r="S3650" s="7" t="n">
        <f aca="false">IF(AND(H3650&gt;='Exec Summary'!$E$1,H3650&lt;='Exec Summary'!$E$2),1,0)</f>
        <v>0</v>
      </c>
      <c r="T3650" s="7" t="n">
        <f aca="false">IF(AND(F3650="Closed",I3650&lt;&gt;"",I3650&gt;='Exec Summary'!$E$1,I3650&lt;='Exec Summary'!$E$2),1,0)</f>
        <v>0</v>
      </c>
      <c r="U3650" s="7" t="n">
        <f aca="false">IF(F3650="Reopened",1,0)</f>
        <v>0</v>
      </c>
      <c r="V3650" s="7" t="n">
        <f aca="false">IF(AND(R3650=1,O3650&gt;Q3650),1,0)</f>
        <v>1</v>
      </c>
      <c r="W3650" s="7" t="n">
        <f aca="false">IF(AND(T3650=1,P3650&lt;&gt;"",P3650&lt;=Q3650),1,0)</f>
        <v>0</v>
      </c>
    </row>
    <row r="3651" customFormat="false" ht="15" hidden="false" customHeight="false" outlineLevel="0" collapsed="false">
      <c r="A3651" s="7" t="s">
        <v>4285</v>
      </c>
      <c r="B3651" s="7" t="s">
        <v>135</v>
      </c>
      <c r="C3651" s="7" t="s">
        <v>136</v>
      </c>
      <c r="D3651" s="7" t="s">
        <v>101</v>
      </c>
      <c r="E3651" s="7" t="s">
        <v>102</v>
      </c>
      <c r="F3651" s="7" t="s">
        <v>56</v>
      </c>
      <c r="G3651" s="7" t="s">
        <v>19</v>
      </c>
      <c r="H3651" s="9" t="n">
        <v>45958</v>
      </c>
      <c r="I3651" s="9"/>
      <c r="J3651" s="7" t="n">
        <v>10</v>
      </c>
      <c r="K3651" s="7" t="s">
        <v>4171</v>
      </c>
      <c r="L3651" s="7" t="s">
        <v>21</v>
      </c>
      <c r="M3651" s="7" t="s">
        <v>4286</v>
      </c>
      <c r="N3651" s="7" t="s">
        <v>58</v>
      </c>
      <c r="O3651" s="10" t="n">
        <f aca="false">'Exec Summary'!$E$2-H3651</f>
        <v>276</v>
      </c>
      <c r="P3651" s="10" t="str">
        <f aca="false">IF(I3651="","",I3651-H3651)</f>
        <v/>
      </c>
      <c r="Q3651" s="10" t="n">
        <f aca="false">VLOOKUP(G3651,$AA$2:$AB$5,2,FALSE())</f>
        <v>15</v>
      </c>
      <c r="R3651" s="7" t="n">
        <f aca="false">IF(OR(F3651="Open",F3651="Reopened"),1,0)</f>
        <v>1</v>
      </c>
      <c r="S3651" s="7" t="n">
        <f aca="false">IF(AND(H3651&gt;='Exec Summary'!$E$1,H3651&lt;='Exec Summary'!$E$2),1,0)</f>
        <v>0</v>
      </c>
      <c r="T3651" s="7" t="n">
        <f aca="false">IF(AND(F3651="Closed",I3651&lt;&gt;"",I3651&gt;='Exec Summary'!$E$1,I3651&lt;='Exec Summary'!$E$2),1,0)</f>
        <v>0</v>
      </c>
      <c r="U3651" s="7" t="n">
        <f aca="false">IF(F3651="Reopened",1,0)</f>
        <v>0</v>
      </c>
      <c r="V3651" s="7" t="n">
        <f aca="false">IF(AND(R3651=1,O3651&gt;Q3651),1,0)</f>
        <v>1</v>
      </c>
      <c r="W3651" s="7" t="n">
        <f aca="false">IF(AND(T3651=1,P3651&lt;&gt;"",P3651&lt;=Q3651),1,0)</f>
        <v>0</v>
      </c>
    </row>
    <row r="3652" customFormat="false" ht="15" hidden="false" customHeight="false" outlineLevel="0" collapsed="false">
      <c r="A3652" s="7" t="s">
        <v>4285</v>
      </c>
      <c r="B3652" s="7" t="s">
        <v>135</v>
      </c>
      <c r="C3652" s="7" t="s">
        <v>136</v>
      </c>
      <c r="D3652" s="7" t="s">
        <v>71</v>
      </c>
      <c r="E3652" s="7" t="s">
        <v>72</v>
      </c>
      <c r="F3652" s="7" t="s">
        <v>56</v>
      </c>
      <c r="G3652" s="7" t="s">
        <v>19</v>
      </c>
      <c r="H3652" s="9" t="n">
        <v>45989</v>
      </c>
      <c r="I3652" s="9"/>
      <c r="J3652" s="7" t="n">
        <v>9.8</v>
      </c>
      <c r="K3652" s="7" t="s">
        <v>4171</v>
      </c>
      <c r="L3652" s="7" t="s">
        <v>21</v>
      </c>
      <c r="M3652" s="7" t="s">
        <v>4287</v>
      </c>
      <c r="N3652" s="7" t="s">
        <v>58</v>
      </c>
      <c r="O3652" s="10" t="n">
        <f aca="false">'Exec Summary'!$E$2-H3652</f>
        <v>245</v>
      </c>
      <c r="P3652" s="10" t="str">
        <f aca="false">IF(I3652="","",I3652-H3652)</f>
        <v/>
      </c>
      <c r="Q3652" s="10" t="n">
        <f aca="false">VLOOKUP(G3652,$AA$2:$AB$5,2,FALSE())</f>
        <v>15</v>
      </c>
      <c r="R3652" s="7" t="n">
        <f aca="false">IF(OR(F3652="Open",F3652="Reopened"),1,0)</f>
        <v>1</v>
      </c>
      <c r="S3652" s="7" t="n">
        <f aca="false">IF(AND(H3652&gt;='Exec Summary'!$E$1,H3652&lt;='Exec Summary'!$E$2),1,0)</f>
        <v>0</v>
      </c>
      <c r="T3652" s="7" t="n">
        <f aca="false">IF(AND(F3652="Closed",I3652&lt;&gt;"",I3652&gt;='Exec Summary'!$E$1,I3652&lt;='Exec Summary'!$E$2),1,0)</f>
        <v>0</v>
      </c>
      <c r="U3652" s="7" t="n">
        <f aca="false">IF(F3652="Reopened",1,0)</f>
        <v>0</v>
      </c>
      <c r="V3652" s="7" t="n">
        <f aca="false">IF(AND(R3652=1,O3652&gt;Q3652),1,0)</f>
        <v>1</v>
      </c>
      <c r="W3652" s="7" t="n">
        <f aca="false">IF(AND(T3652=1,P3652&lt;&gt;"",P3652&lt;=Q3652),1,0)</f>
        <v>0</v>
      </c>
    </row>
    <row r="3653" customFormat="false" ht="15" hidden="false" customHeight="false" outlineLevel="0" collapsed="false">
      <c r="A3653" s="7" t="s">
        <v>4285</v>
      </c>
      <c r="B3653" s="7" t="s">
        <v>135</v>
      </c>
      <c r="C3653" s="7" t="s">
        <v>136</v>
      </c>
      <c r="D3653" s="7" t="s">
        <v>108</v>
      </c>
      <c r="E3653" s="7" t="s">
        <v>109</v>
      </c>
      <c r="F3653" s="7" t="s">
        <v>56</v>
      </c>
      <c r="G3653" s="7" t="s">
        <v>20</v>
      </c>
      <c r="H3653" s="9" t="n">
        <v>45958</v>
      </c>
      <c r="I3653" s="9"/>
      <c r="J3653" s="7" t="n">
        <v>8.6</v>
      </c>
      <c r="K3653" s="7" t="s">
        <v>4171</v>
      </c>
      <c r="L3653" s="7" t="s">
        <v>21</v>
      </c>
      <c r="M3653" s="7" t="s">
        <v>4288</v>
      </c>
      <c r="N3653" s="7" t="s">
        <v>53</v>
      </c>
      <c r="O3653" s="10" t="n">
        <f aca="false">'Exec Summary'!$E$2-H3653</f>
        <v>276</v>
      </c>
      <c r="P3653" s="10" t="str">
        <f aca="false">IF(I3653="","",I3653-H3653)</f>
        <v/>
      </c>
      <c r="Q3653" s="10" t="n">
        <f aca="false">VLOOKUP(G3653,$AA$2:$AB$5,2,FALSE())</f>
        <v>30</v>
      </c>
      <c r="R3653" s="7" t="n">
        <f aca="false">IF(OR(F3653="Open",F3653="Reopened"),1,0)</f>
        <v>1</v>
      </c>
      <c r="S3653" s="7" t="n">
        <f aca="false">IF(AND(H3653&gt;='Exec Summary'!$E$1,H3653&lt;='Exec Summary'!$E$2),1,0)</f>
        <v>0</v>
      </c>
      <c r="T3653" s="7" t="n">
        <f aca="false">IF(AND(F3653="Closed",I3653&lt;&gt;"",I3653&gt;='Exec Summary'!$E$1,I3653&lt;='Exec Summary'!$E$2),1,0)</f>
        <v>0</v>
      </c>
      <c r="U3653" s="7" t="n">
        <f aca="false">IF(F3653="Reopened",1,0)</f>
        <v>0</v>
      </c>
      <c r="V3653" s="7" t="n">
        <f aca="false">IF(AND(R3653=1,O3653&gt;Q3653),1,0)</f>
        <v>1</v>
      </c>
      <c r="W3653" s="7" t="n">
        <f aca="false">IF(AND(T3653=1,P3653&lt;&gt;"",P3653&lt;=Q3653),1,0)</f>
        <v>0</v>
      </c>
    </row>
    <row r="3654" customFormat="false" ht="15" hidden="false" customHeight="false" outlineLevel="0" collapsed="false">
      <c r="A3654" s="7" t="s">
        <v>4285</v>
      </c>
      <c r="B3654" s="7" t="s">
        <v>135</v>
      </c>
      <c r="C3654" s="7" t="s">
        <v>136</v>
      </c>
      <c r="D3654" s="7" t="s">
        <v>48</v>
      </c>
      <c r="E3654" s="7" t="s">
        <v>49</v>
      </c>
      <c r="F3654" s="7" t="s">
        <v>50</v>
      </c>
      <c r="G3654" s="7" t="s">
        <v>20</v>
      </c>
      <c r="H3654" s="9" t="n">
        <v>46161</v>
      </c>
      <c r="I3654" s="9" t="n">
        <v>46195</v>
      </c>
      <c r="J3654" s="7" t="n">
        <v>7.5</v>
      </c>
      <c r="K3654" s="7" t="s">
        <v>4171</v>
      </c>
      <c r="L3654" s="7" t="s">
        <v>21</v>
      </c>
      <c r="M3654" s="7" t="s">
        <v>4289</v>
      </c>
      <c r="N3654" s="7" t="s">
        <v>53</v>
      </c>
      <c r="O3654" s="10" t="n">
        <f aca="false">'Exec Summary'!$E$2-H3654</f>
        <v>73</v>
      </c>
      <c r="P3654" s="10" t="n">
        <f aca="false">IF(I3654="","",I3654-H3654)</f>
        <v>34</v>
      </c>
      <c r="Q3654" s="10" t="n">
        <f aca="false">VLOOKUP(G3654,$AA$2:$AB$5,2,FALSE())</f>
        <v>30</v>
      </c>
      <c r="R3654" s="7" t="n">
        <f aca="false">IF(OR(F3654="Open",F3654="Reopened"),1,0)</f>
        <v>0</v>
      </c>
      <c r="S3654" s="7" t="n">
        <f aca="false">IF(AND(H3654&gt;='Exec Summary'!$E$1,H3654&lt;='Exec Summary'!$E$2),1,0)</f>
        <v>0</v>
      </c>
      <c r="T3654" s="7" t="n">
        <f aca="false">IF(AND(F3654="Closed",I3654&lt;&gt;"",I3654&gt;='Exec Summary'!$E$1,I3654&lt;='Exec Summary'!$E$2),1,0)</f>
        <v>0</v>
      </c>
      <c r="U3654" s="7" t="n">
        <f aca="false">IF(F3654="Reopened",1,0)</f>
        <v>0</v>
      </c>
      <c r="V3654" s="7" t="n">
        <f aca="false">IF(AND(R3654=1,O3654&gt;Q3654),1,0)</f>
        <v>0</v>
      </c>
      <c r="W3654" s="7" t="n">
        <f aca="false">IF(AND(T3654=1,P3654&lt;&gt;"",P3654&lt;=Q3654),1,0)</f>
        <v>0</v>
      </c>
    </row>
    <row r="3655" customFormat="false" ht="15" hidden="false" customHeight="false" outlineLevel="0" collapsed="false">
      <c r="A3655" s="7" t="s">
        <v>4285</v>
      </c>
      <c r="B3655" s="7" t="s">
        <v>135</v>
      </c>
      <c r="C3655" s="7" t="s">
        <v>136</v>
      </c>
      <c r="D3655" s="7" t="s">
        <v>131</v>
      </c>
      <c r="E3655" s="7" t="s">
        <v>132</v>
      </c>
      <c r="F3655" s="7" t="s">
        <v>50</v>
      </c>
      <c r="G3655" s="7" t="s">
        <v>19</v>
      </c>
      <c r="H3655" s="9" t="n">
        <v>46012</v>
      </c>
      <c r="I3655" s="9" t="n">
        <v>46022</v>
      </c>
      <c r="J3655" s="7" t="n">
        <v>9.8</v>
      </c>
      <c r="K3655" s="7" t="s">
        <v>4171</v>
      </c>
      <c r="L3655" s="7" t="s">
        <v>21</v>
      </c>
      <c r="M3655" s="7" t="s">
        <v>4290</v>
      </c>
      <c r="N3655" s="7" t="s">
        <v>58</v>
      </c>
      <c r="O3655" s="10" t="n">
        <f aca="false">'Exec Summary'!$E$2-H3655</f>
        <v>222</v>
      </c>
      <c r="P3655" s="10" t="n">
        <f aca="false">IF(I3655="","",I3655-H3655)</f>
        <v>10</v>
      </c>
      <c r="Q3655" s="10" t="n">
        <f aca="false">VLOOKUP(G3655,$AA$2:$AB$5,2,FALSE())</f>
        <v>15</v>
      </c>
      <c r="R3655" s="7" t="n">
        <f aca="false">IF(OR(F3655="Open",F3655="Reopened"),1,0)</f>
        <v>0</v>
      </c>
      <c r="S3655" s="7" t="n">
        <f aca="false">IF(AND(H3655&gt;='Exec Summary'!$E$1,H3655&lt;='Exec Summary'!$E$2),1,0)</f>
        <v>0</v>
      </c>
      <c r="T3655" s="7" t="n">
        <f aca="false">IF(AND(F3655="Closed",I3655&lt;&gt;"",I3655&gt;='Exec Summary'!$E$1,I3655&lt;='Exec Summary'!$E$2),1,0)</f>
        <v>0</v>
      </c>
      <c r="U3655" s="7" t="n">
        <f aca="false">IF(F3655="Reopened",1,0)</f>
        <v>0</v>
      </c>
      <c r="V3655" s="7" t="n">
        <f aca="false">IF(AND(R3655=1,O3655&gt;Q3655),1,0)</f>
        <v>0</v>
      </c>
      <c r="W3655" s="7" t="n">
        <f aca="false">IF(AND(T3655=1,P3655&lt;&gt;"",P3655&lt;=Q3655),1,0)</f>
        <v>0</v>
      </c>
    </row>
    <row r="3656" customFormat="false" ht="15" hidden="false" customHeight="false" outlineLevel="0" collapsed="false">
      <c r="A3656" s="7" t="s">
        <v>4285</v>
      </c>
      <c r="B3656" s="7" t="s">
        <v>135</v>
      </c>
      <c r="C3656" s="7" t="s">
        <v>136</v>
      </c>
      <c r="D3656" s="7" t="s">
        <v>166</v>
      </c>
      <c r="E3656" s="7" t="s">
        <v>167</v>
      </c>
      <c r="F3656" s="7" t="s">
        <v>50</v>
      </c>
      <c r="G3656" s="7" t="s">
        <v>19</v>
      </c>
      <c r="H3656" s="9" t="n">
        <v>46200</v>
      </c>
      <c r="I3656" s="9" t="n">
        <v>46210</v>
      </c>
      <c r="J3656" s="7" t="n">
        <v>9.8</v>
      </c>
      <c r="K3656" s="7" t="s">
        <v>4171</v>
      </c>
      <c r="L3656" s="7" t="s">
        <v>21</v>
      </c>
      <c r="M3656" s="7" t="s">
        <v>4291</v>
      </c>
      <c r="N3656" s="7" t="s">
        <v>58</v>
      </c>
      <c r="O3656" s="10" t="n">
        <f aca="false">'Exec Summary'!$E$2-H3656</f>
        <v>34</v>
      </c>
      <c r="P3656" s="10" t="n">
        <f aca="false">IF(I3656="","",I3656-H3656)</f>
        <v>10</v>
      </c>
      <c r="Q3656" s="10" t="n">
        <f aca="false">VLOOKUP(G3656,$AA$2:$AB$5,2,FALSE())</f>
        <v>15</v>
      </c>
      <c r="R3656" s="7" t="n">
        <f aca="false">IF(OR(F3656="Open",F3656="Reopened"),1,0)</f>
        <v>0</v>
      </c>
      <c r="S3656" s="7" t="n">
        <f aca="false">IF(AND(H3656&gt;='Exec Summary'!$E$1,H3656&lt;='Exec Summary'!$E$2),1,0)</f>
        <v>0</v>
      </c>
      <c r="T3656" s="7" t="n">
        <f aca="false">IF(AND(F3656="Closed",I3656&lt;&gt;"",I3656&gt;='Exec Summary'!$E$1,I3656&lt;='Exec Summary'!$E$2),1,0)</f>
        <v>1</v>
      </c>
      <c r="U3656" s="7" t="n">
        <f aca="false">IF(F3656="Reopened",1,0)</f>
        <v>0</v>
      </c>
      <c r="V3656" s="7" t="n">
        <f aca="false">IF(AND(R3656=1,O3656&gt;Q3656),1,0)</f>
        <v>0</v>
      </c>
      <c r="W3656" s="7" t="n">
        <f aca="false">IF(AND(T3656=1,P3656&lt;&gt;"",P3656&lt;=Q3656),1,0)</f>
        <v>1</v>
      </c>
    </row>
    <row r="3657" customFormat="false" ht="15" hidden="false" customHeight="false" outlineLevel="0" collapsed="false">
      <c r="A3657" s="7" t="s">
        <v>4285</v>
      </c>
      <c r="B3657" s="7" t="s">
        <v>135</v>
      </c>
      <c r="C3657" s="7" t="s">
        <v>136</v>
      </c>
      <c r="D3657" s="7" t="s">
        <v>173</v>
      </c>
      <c r="E3657" s="7" t="s">
        <v>174</v>
      </c>
      <c r="F3657" s="7" t="s">
        <v>56</v>
      </c>
      <c r="G3657" s="7" t="s">
        <v>19</v>
      </c>
      <c r="H3657" s="9" t="n">
        <v>46148</v>
      </c>
      <c r="I3657" s="9"/>
      <c r="J3657" s="7" t="n">
        <v>9.8</v>
      </c>
      <c r="K3657" s="7" t="s">
        <v>4171</v>
      </c>
      <c r="L3657" s="7" t="s">
        <v>21</v>
      </c>
      <c r="M3657" s="7" t="s">
        <v>4292</v>
      </c>
      <c r="N3657" s="7" t="s">
        <v>58</v>
      </c>
      <c r="O3657" s="10" t="n">
        <f aca="false">'Exec Summary'!$E$2-H3657</f>
        <v>86</v>
      </c>
      <c r="P3657" s="10" t="str">
        <f aca="false">IF(I3657="","",I3657-H3657)</f>
        <v/>
      </c>
      <c r="Q3657" s="10" t="n">
        <f aca="false">VLOOKUP(G3657,$AA$2:$AB$5,2,FALSE())</f>
        <v>15</v>
      </c>
      <c r="R3657" s="7" t="n">
        <f aca="false">IF(OR(F3657="Open",F3657="Reopened"),1,0)</f>
        <v>1</v>
      </c>
      <c r="S3657" s="7" t="n">
        <f aca="false">IF(AND(H3657&gt;='Exec Summary'!$E$1,H3657&lt;='Exec Summary'!$E$2),1,0)</f>
        <v>0</v>
      </c>
      <c r="T3657" s="7" t="n">
        <f aca="false">IF(AND(F3657="Closed",I3657&lt;&gt;"",I3657&gt;='Exec Summary'!$E$1,I3657&lt;='Exec Summary'!$E$2),1,0)</f>
        <v>0</v>
      </c>
      <c r="U3657" s="7" t="n">
        <f aca="false">IF(F3657="Reopened",1,0)</f>
        <v>0</v>
      </c>
      <c r="V3657" s="7" t="n">
        <f aca="false">IF(AND(R3657=1,O3657&gt;Q3657),1,0)</f>
        <v>1</v>
      </c>
      <c r="W3657" s="7" t="n">
        <f aca="false">IF(AND(T3657=1,P3657&lt;&gt;"",P3657&lt;=Q3657),1,0)</f>
        <v>0</v>
      </c>
    </row>
    <row r="3658" customFormat="false" ht="15" hidden="false" customHeight="false" outlineLevel="0" collapsed="false">
      <c r="A3658" s="7" t="s">
        <v>4285</v>
      </c>
      <c r="B3658" s="7" t="s">
        <v>135</v>
      </c>
      <c r="C3658" s="7" t="s">
        <v>136</v>
      </c>
      <c r="D3658" s="7" t="s">
        <v>104</v>
      </c>
      <c r="E3658" s="7" t="s">
        <v>105</v>
      </c>
      <c r="F3658" s="7" t="s">
        <v>56</v>
      </c>
      <c r="G3658" s="7" t="s">
        <v>19</v>
      </c>
      <c r="H3658" s="9" t="n">
        <v>46195</v>
      </c>
      <c r="I3658" s="9"/>
      <c r="J3658" s="7" t="n">
        <v>9.8</v>
      </c>
      <c r="K3658" s="7" t="s">
        <v>4171</v>
      </c>
      <c r="L3658" s="7" t="s">
        <v>21</v>
      </c>
      <c r="M3658" s="7" t="s">
        <v>4293</v>
      </c>
      <c r="N3658" s="7" t="s">
        <v>58</v>
      </c>
      <c r="O3658" s="10" t="n">
        <f aca="false">'Exec Summary'!$E$2-H3658</f>
        <v>39</v>
      </c>
      <c r="P3658" s="10" t="str">
        <f aca="false">IF(I3658="","",I3658-H3658)</f>
        <v/>
      </c>
      <c r="Q3658" s="10" t="n">
        <f aca="false">VLOOKUP(G3658,$AA$2:$AB$5,2,FALSE())</f>
        <v>15</v>
      </c>
      <c r="R3658" s="7" t="n">
        <f aca="false">IF(OR(F3658="Open",F3658="Reopened"),1,0)</f>
        <v>1</v>
      </c>
      <c r="S3658" s="7" t="n">
        <f aca="false">IF(AND(H3658&gt;='Exec Summary'!$E$1,H3658&lt;='Exec Summary'!$E$2),1,0)</f>
        <v>0</v>
      </c>
      <c r="T3658" s="7" t="n">
        <f aca="false">IF(AND(F3658="Closed",I3658&lt;&gt;"",I3658&gt;='Exec Summary'!$E$1,I3658&lt;='Exec Summary'!$E$2),1,0)</f>
        <v>0</v>
      </c>
      <c r="U3658" s="7" t="n">
        <f aca="false">IF(F3658="Reopened",1,0)</f>
        <v>0</v>
      </c>
      <c r="V3658" s="7" t="n">
        <f aca="false">IF(AND(R3658=1,O3658&gt;Q3658),1,0)</f>
        <v>1</v>
      </c>
      <c r="W3658" s="7" t="n">
        <f aca="false">IF(AND(T3658=1,P3658&lt;&gt;"",P3658&lt;=Q3658),1,0)</f>
        <v>0</v>
      </c>
    </row>
    <row r="3659" customFormat="false" ht="15" hidden="false" customHeight="false" outlineLevel="0" collapsed="false">
      <c r="A3659" s="7" t="s">
        <v>4285</v>
      </c>
      <c r="B3659" s="7" t="s">
        <v>135</v>
      </c>
      <c r="C3659" s="7" t="s">
        <v>136</v>
      </c>
      <c r="D3659" s="7" t="s">
        <v>192</v>
      </c>
      <c r="E3659" s="7" t="s">
        <v>193</v>
      </c>
      <c r="F3659" s="7" t="s">
        <v>50</v>
      </c>
      <c r="G3659" s="7" t="s">
        <v>19</v>
      </c>
      <c r="H3659" s="9" t="n">
        <v>46078</v>
      </c>
      <c r="I3659" s="9" t="n">
        <v>46092</v>
      </c>
      <c r="J3659" s="7" t="n">
        <v>9.8</v>
      </c>
      <c r="K3659" s="7" t="s">
        <v>4171</v>
      </c>
      <c r="L3659" s="7" t="s">
        <v>21</v>
      </c>
      <c r="M3659" s="7" t="s">
        <v>4294</v>
      </c>
      <c r="N3659" s="7" t="s">
        <v>58</v>
      </c>
      <c r="O3659" s="10" t="n">
        <f aca="false">'Exec Summary'!$E$2-H3659</f>
        <v>156</v>
      </c>
      <c r="P3659" s="10" t="n">
        <f aca="false">IF(I3659="","",I3659-H3659)</f>
        <v>14</v>
      </c>
      <c r="Q3659" s="10" t="n">
        <f aca="false">VLOOKUP(G3659,$AA$2:$AB$5,2,FALSE())</f>
        <v>15</v>
      </c>
      <c r="R3659" s="7" t="n">
        <f aca="false">IF(OR(F3659="Open",F3659="Reopened"),1,0)</f>
        <v>0</v>
      </c>
      <c r="S3659" s="7" t="n">
        <f aca="false">IF(AND(H3659&gt;='Exec Summary'!$E$1,H3659&lt;='Exec Summary'!$E$2),1,0)</f>
        <v>0</v>
      </c>
      <c r="T3659" s="7" t="n">
        <f aca="false">IF(AND(F3659="Closed",I3659&lt;&gt;"",I3659&gt;='Exec Summary'!$E$1,I3659&lt;='Exec Summary'!$E$2),1,0)</f>
        <v>0</v>
      </c>
      <c r="U3659" s="7" t="n">
        <f aca="false">IF(F3659="Reopened",1,0)</f>
        <v>0</v>
      </c>
      <c r="V3659" s="7" t="n">
        <f aca="false">IF(AND(R3659=1,O3659&gt;Q3659),1,0)</f>
        <v>0</v>
      </c>
      <c r="W3659" s="7" t="n">
        <f aca="false">IF(AND(T3659=1,P3659&lt;&gt;"",P3659&lt;=Q3659),1,0)</f>
        <v>0</v>
      </c>
    </row>
    <row r="3660" customFormat="false" ht="15" hidden="false" customHeight="false" outlineLevel="0" collapsed="false">
      <c r="A3660" s="7" t="s">
        <v>4285</v>
      </c>
      <c r="B3660" s="7" t="s">
        <v>135</v>
      </c>
      <c r="C3660" s="7" t="s">
        <v>136</v>
      </c>
      <c r="D3660" s="7" t="s">
        <v>145</v>
      </c>
      <c r="E3660" s="7" t="s">
        <v>146</v>
      </c>
      <c r="F3660" s="7" t="s">
        <v>56</v>
      </c>
      <c r="G3660" s="7" t="s">
        <v>19</v>
      </c>
      <c r="H3660" s="9" t="n">
        <v>46201</v>
      </c>
      <c r="I3660" s="9"/>
      <c r="J3660" s="7" t="n">
        <v>9.8</v>
      </c>
      <c r="K3660" s="7" t="s">
        <v>4171</v>
      </c>
      <c r="L3660" s="7" t="s">
        <v>21</v>
      </c>
      <c r="M3660" s="7" t="s">
        <v>4295</v>
      </c>
      <c r="N3660" s="7" t="s">
        <v>58</v>
      </c>
      <c r="O3660" s="10" t="n">
        <f aca="false">'Exec Summary'!$E$2-H3660</f>
        <v>33</v>
      </c>
      <c r="P3660" s="10" t="str">
        <f aca="false">IF(I3660="","",I3660-H3660)</f>
        <v/>
      </c>
      <c r="Q3660" s="10" t="n">
        <f aca="false">VLOOKUP(G3660,$AA$2:$AB$5,2,FALSE())</f>
        <v>15</v>
      </c>
      <c r="R3660" s="7" t="n">
        <f aca="false">IF(OR(F3660="Open",F3660="Reopened"),1,0)</f>
        <v>1</v>
      </c>
      <c r="S3660" s="7" t="n">
        <f aca="false">IF(AND(H3660&gt;='Exec Summary'!$E$1,H3660&lt;='Exec Summary'!$E$2),1,0)</f>
        <v>0</v>
      </c>
      <c r="T3660" s="7" t="n">
        <f aca="false">IF(AND(F3660="Closed",I3660&lt;&gt;"",I3660&gt;='Exec Summary'!$E$1,I3660&lt;='Exec Summary'!$E$2),1,0)</f>
        <v>0</v>
      </c>
      <c r="U3660" s="7" t="n">
        <f aca="false">IF(F3660="Reopened",1,0)</f>
        <v>0</v>
      </c>
      <c r="V3660" s="7" t="n">
        <f aca="false">IF(AND(R3660=1,O3660&gt;Q3660),1,0)</f>
        <v>1</v>
      </c>
      <c r="W3660" s="7" t="n">
        <f aca="false">IF(AND(T3660=1,P3660&lt;&gt;"",P3660&lt;=Q3660),1,0)</f>
        <v>0</v>
      </c>
    </row>
    <row r="3661" customFormat="false" ht="15" hidden="false" customHeight="false" outlineLevel="0" collapsed="false">
      <c r="A3661" s="7" t="s">
        <v>4285</v>
      </c>
      <c r="B3661" s="7" t="s">
        <v>135</v>
      </c>
      <c r="C3661" s="7" t="s">
        <v>136</v>
      </c>
      <c r="D3661" s="7" t="s">
        <v>95</v>
      </c>
      <c r="E3661" s="7" t="s">
        <v>96</v>
      </c>
      <c r="F3661" s="7" t="s">
        <v>123</v>
      </c>
      <c r="G3661" s="7" t="s">
        <v>20</v>
      </c>
      <c r="H3661" s="9" t="n">
        <v>46143</v>
      </c>
      <c r="I3661" s="9" t="n">
        <v>46171</v>
      </c>
      <c r="J3661" s="7" t="n">
        <v>8.8</v>
      </c>
      <c r="K3661" s="7" t="s">
        <v>4171</v>
      </c>
      <c r="L3661" s="7" t="s">
        <v>21</v>
      </c>
      <c r="M3661" s="7" t="s">
        <v>4296</v>
      </c>
      <c r="N3661" s="7" t="s">
        <v>53</v>
      </c>
      <c r="O3661" s="10" t="n">
        <f aca="false">'Exec Summary'!$E$2-H3661</f>
        <v>91</v>
      </c>
      <c r="P3661" s="10" t="n">
        <f aca="false">IF(I3661="","",I3661-H3661)</f>
        <v>28</v>
      </c>
      <c r="Q3661" s="10" t="n">
        <f aca="false">VLOOKUP(G3661,$AA$2:$AB$5,2,FALSE())</f>
        <v>30</v>
      </c>
      <c r="R3661" s="7" t="n">
        <f aca="false">IF(OR(F3661="Open",F3661="Reopened"),1,0)</f>
        <v>1</v>
      </c>
      <c r="S3661" s="7" t="n">
        <f aca="false">IF(AND(H3661&gt;='Exec Summary'!$E$1,H3661&lt;='Exec Summary'!$E$2),1,0)</f>
        <v>0</v>
      </c>
      <c r="T3661" s="7" t="n">
        <f aca="false">IF(AND(F3661="Closed",I3661&lt;&gt;"",I3661&gt;='Exec Summary'!$E$1,I3661&lt;='Exec Summary'!$E$2),1,0)</f>
        <v>0</v>
      </c>
      <c r="U3661" s="7" t="n">
        <f aca="false">IF(F3661="Reopened",1,0)</f>
        <v>1</v>
      </c>
      <c r="V3661" s="7" t="n">
        <f aca="false">IF(AND(R3661=1,O3661&gt;Q3661),1,0)</f>
        <v>1</v>
      </c>
      <c r="W3661" s="7" t="n">
        <f aca="false">IF(AND(T3661=1,P3661&lt;&gt;"",P3661&lt;=Q3661),1,0)</f>
        <v>0</v>
      </c>
    </row>
    <row r="3662" customFormat="false" ht="15" hidden="false" customHeight="false" outlineLevel="0" collapsed="false">
      <c r="A3662" s="7" t="s">
        <v>4285</v>
      </c>
      <c r="B3662" s="7" t="s">
        <v>135</v>
      </c>
      <c r="C3662" s="7" t="s">
        <v>136</v>
      </c>
      <c r="D3662" s="7" t="s">
        <v>91</v>
      </c>
      <c r="E3662" s="7" t="s">
        <v>92</v>
      </c>
      <c r="F3662" s="7" t="s">
        <v>56</v>
      </c>
      <c r="G3662" s="7" t="s">
        <v>20</v>
      </c>
      <c r="H3662" s="9" t="n">
        <v>46040</v>
      </c>
      <c r="I3662" s="9"/>
      <c r="J3662" s="7" t="n">
        <v>8.1</v>
      </c>
      <c r="K3662" s="7" t="s">
        <v>4171</v>
      </c>
      <c r="L3662" s="7" t="s">
        <v>21</v>
      </c>
      <c r="M3662" s="7" t="s">
        <v>4297</v>
      </c>
      <c r="N3662" s="7" t="s">
        <v>53</v>
      </c>
      <c r="O3662" s="10" t="n">
        <f aca="false">'Exec Summary'!$E$2-H3662</f>
        <v>194</v>
      </c>
      <c r="P3662" s="10" t="str">
        <f aca="false">IF(I3662="","",I3662-H3662)</f>
        <v/>
      </c>
      <c r="Q3662" s="10" t="n">
        <f aca="false">VLOOKUP(G3662,$AA$2:$AB$5,2,FALSE())</f>
        <v>30</v>
      </c>
      <c r="R3662" s="7" t="n">
        <f aca="false">IF(OR(F3662="Open",F3662="Reopened"),1,0)</f>
        <v>1</v>
      </c>
      <c r="S3662" s="7" t="n">
        <f aca="false">IF(AND(H3662&gt;='Exec Summary'!$E$1,H3662&lt;='Exec Summary'!$E$2),1,0)</f>
        <v>0</v>
      </c>
      <c r="T3662" s="7" t="n">
        <f aca="false">IF(AND(F3662="Closed",I3662&lt;&gt;"",I3662&gt;='Exec Summary'!$E$1,I3662&lt;='Exec Summary'!$E$2),1,0)</f>
        <v>0</v>
      </c>
      <c r="U3662" s="7" t="n">
        <f aca="false">IF(F3662="Reopened",1,0)</f>
        <v>0</v>
      </c>
      <c r="V3662" s="7" t="n">
        <f aca="false">IF(AND(R3662=1,O3662&gt;Q3662),1,0)</f>
        <v>1</v>
      </c>
      <c r="W3662" s="7" t="n">
        <f aca="false">IF(AND(T3662=1,P3662&lt;&gt;"",P3662&lt;=Q3662),1,0)</f>
        <v>0</v>
      </c>
    </row>
    <row r="3663" customFormat="false" ht="15" hidden="false" customHeight="false" outlineLevel="0" collapsed="false">
      <c r="A3663" s="7" t="s">
        <v>4298</v>
      </c>
      <c r="B3663" s="7" t="s">
        <v>46</v>
      </c>
      <c r="C3663" s="7" t="s">
        <v>158</v>
      </c>
      <c r="D3663" s="7" t="s">
        <v>117</v>
      </c>
      <c r="E3663" s="7" t="s">
        <v>118</v>
      </c>
      <c r="F3663" s="7" t="s">
        <v>123</v>
      </c>
      <c r="G3663" s="7" t="s">
        <v>19</v>
      </c>
      <c r="H3663" s="9" t="n">
        <v>46052</v>
      </c>
      <c r="I3663" s="9" t="n">
        <v>46068</v>
      </c>
      <c r="J3663" s="7" t="n">
        <v>10</v>
      </c>
      <c r="K3663" s="7" t="s">
        <v>4171</v>
      </c>
      <c r="L3663" s="7" t="s">
        <v>21</v>
      </c>
      <c r="M3663" s="7" t="s">
        <v>4299</v>
      </c>
      <c r="N3663" s="7" t="s">
        <v>58</v>
      </c>
      <c r="O3663" s="10" t="n">
        <f aca="false">'Exec Summary'!$E$2-H3663</f>
        <v>182</v>
      </c>
      <c r="P3663" s="10" t="n">
        <f aca="false">IF(I3663="","",I3663-H3663)</f>
        <v>16</v>
      </c>
      <c r="Q3663" s="10" t="n">
        <f aca="false">VLOOKUP(G3663,$AA$2:$AB$5,2,FALSE())</f>
        <v>15</v>
      </c>
      <c r="R3663" s="7" t="n">
        <f aca="false">IF(OR(F3663="Open",F3663="Reopened"),1,0)</f>
        <v>1</v>
      </c>
      <c r="S3663" s="7" t="n">
        <f aca="false">IF(AND(H3663&gt;='Exec Summary'!$E$1,H3663&lt;='Exec Summary'!$E$2),1,0)</f>
        <v>0</v>
      </c>
      <c r="T3663" s="7" t="n">
        <f aca="false">IF(AND(F3663="Closed",I3663&lt;&gt;"",I3663&gt;='Exec Summary'!$E$1,I3663&lt;='Exec Summary'!$E$2),1,0)</f>
        <v>0</v>
      </c>
      <c r="U3663" s="7" t="n">
        <f aca="false">IF(F3663="Reopened",1,0)</f>
        <v>1</v>
      </c>
      <c r="V3663" s="7" t="n">
        <f aca="false">IF(AND(R3663=1,O3663&gt;Q3663),1,0)</f>
        <v>1</v>
      </c>
      <c r="W3663" s="7" t="n">
        <f aca="false">IF(AND(T3663=1,P3663&lt;&gt;"",P3663&lt;=Q3663),1,0)</f>
        <v>0</v>
      </c>
    </row>
    <row r="3664" customFormat="false" ht="15" hidden="false" customHeight="false" outlineLevel="0" collapsed="false">
      <c r="A3664" s="7" t="s">
        <v>4298</v>
      </c>
      <c r="B3664" s="7" t="s">
        <v>46</v>
      </c>
      <c r="C3664" s="7" t="s">
        <v>158</v>
      </c>
      <c r="D3664" s="7" t="s">
        <v>139</v>
      </c>
      <c r="E3664" s="7" t="s">
        <v>140</v>
      </c>
      <c r="F3664" s="7" t="s">
        <v>56</v>
      </c>
      <c r="G3664" s="7" t="s">
        <v>19</v>
      </c>
      <c r="H3664" s="9" t="n">
        <v>45954</v>
      </c>
      <c r="I3664" s="9"/>
      <c r="J3664" s="7" t="n">
        <v>9.8</v>
      </c>
      <c r="K3664" s="7" t="s">
        <v>4171</v>
      </c>
      <c r="L3664" s="7" t="s">
        <v>21</v>
      </c>
      <c r="M3664" s="7" t="s">
        <v>4300</v>
      </c>
      <c r="N3664" s="7" t="s">
        <v>58</v>
      </c>
      <c r="O3664" s="10" t="n">
        <f aca="false">'Exec Summary'!$E$2-H3664</f>
        <v>280</v>
      </c>
      <c r="P3664" s="10" t="str">
        <f aca="false">IF(I3664="","",I3664-H3664)</f>
        <v/>
      </c>
      <c r="Q3664" s="10" t="n">
        <f aca="false">VLOOKUP(G3664,$AA$2:$AB$5,2,FALSE())</f>
        <v>15</v>
      </c>
      <c r="R3664" s="7" t="n">
        <f aca="false">IF(OR(F3664="Open",F3664="Reopened"),1,0)</f>
        <v>1</v>
      </c>
      <c r="S3664" s="7" t="n">
        <f aca="false">IF(AND(H3664&gt;='Exec Summary'!$E$1,H3664&lt;='Exec Summary'!$E$2),1,0)</f>
        <v>0</v>
      </c>
      <c r="T3664" s="7" t="n">
        <f aca="false">IF(AND(F3664="Closed",I3664&lt;&gt;"",I3664&gt;='Exec Summary'!$E$1,I3664&lt;='Exec Summary'!$E$2),1,0)</f>
        <v>0</v>
      </c>
      <c r="U3664" s="7" t="n">
        <f aca="false">IF(F3664="Reopened",1,0)</f>
        <v>0</v>
      </c>
      <c r="V3664" s="7" t="n">
        <f aca="false">IF(AND(R3664=1,O3664&gt;Q3664),1,0)</f>
        <v>1</v>
      </c>
      <c r="W3664" s="7" t="n">
        <f aca="false">IF(AND(T3664=1,P3664&lt;&gt;"",P3664&lt;=Q3664),1,0)</f>
        <v>0</v>
      </c>
    </row>
    <row r="3665" customFormat="false" ht="15" hidden="false" customHeight="false" outlineLevel="0" collapsed="false">
      <c r="A3665" s="7" t="s">
        <v>4298</v>
      </c>
      <c r="B3665" s="7" t="s">
        <v>46</v>
      </c>
      <c r="C3665" s="7" t="s">
        <v>158</v>
      </c>
      <c r="D3665" s="7" t="s">
        <v>68</v>
      </c>
      <c r="E3665" s="7" t="s">
        <v>69</v>
      </c>
      <c r="F3665" s="7" t="s">
        <v>50</v>
      </c>
      <c r="G3665" s="7" t="s">
        <v>19</v>
      </c>
      <c r="H3665" s="9" t="n">
        <v>46094</v>
      </c>
      <c r="I3665" s="9" t="n">
        <v>46104</v>
      </c>
      <c r="J3665" s="7" t="n">
        <v>9.8</v>
      </c>
      <c r="K3665" s="7" t="s">
        <v>4171</v>
      </c>
      <c r="L3665" s="7" t="s">
        <v>21</v>
      </c>
      <c r="M3665" s="7" t="s">
        <v>4301</v>
      </c>
      <c r="N3665" s="7" t="s">
        <v>58</v>
      </c>
      <c r="O3665" s="10" t="n">
        <f aca="false">'Exec Summary'!$E$2-H3665</f>
        <v>140</v>
      </c>
      <c r="P3665" s="10" t="n">
        <f aca="false">IF(I3665="","",I3665-H3665)</f>
        <v>10</v>
      </c>
      <c r="Q3665" s="10" t="n">
        <f aca="false">VLOOKUP(G3665,$AA$2:$AB$5,2,FALSE())</f>
        <v>15</v>
      </c>
      <c r="R3665" s="7" t="n">
        <f aca="false">IF(OR(F3665="Open",F3665="Reopened"),1,0)</f>
        <v>0</v>
      </c>
      <c r="S3665" s="7" t="n">
        <f aca="false">IF(AND(H3665&gt;='Exec Summary'!$E$1,H3665&lt;='Exec Summary'!$E$2),1,0)</f>
        <v>0</v>
      </c>
      <c r="T3665" s="7" t="n">
        <f aca="false">IF(AND(F3665="Closed",I3665&lt;&gt;"",I3665&gt;='Exec Summary'!$E$1,I3665&lt;='Exec Summary'!$E$2),1,0)</f>
        <v>0</v>
      </c>
      <c r="U3665" s="7" t="n">
        <f aca="false">IF(F3665="Reopened",1,0)</f>
        <v>0</v>
      </c>
      <c r="V3665" s="7" t="n">
        <f aca="false">IF(AND(R3665=1,O3665&gt;Q3665),1,0)</f>
        <v>0</v>
      </c>
      <c r="W3665" s="7" t="n">
        <f aca="false">IF(AND(T3665=1,P3665&lt;&gt;"",P3665&lt;=Q3665),1,0)</f>
        <v>0</v>
      </c>
    </row>
    <row r="3666" customFormat="false" ht="15" hidden="false" customHeight="false" outlineLevel="0" collapsed="false">
      <c r="A3666" s="7" t="s">
        <v>4298</v>
      </c>
      <c r="B3666" s="7" t="s">
        <v>46</v>
      </c>
      <c r="C3666" s="7" t="s">
        <v>158</v>
      </c>
      <c r="D3666" s="7" t="s">
        <v>84</v>
      </c>
      <c r="E3666" s="7" t="s">
        <v>85</v>
      </c>
      <c r="F3666" s="7" t="s">
        <v>56</v>
      </c>
      <c r="G3666" s="7" t="s">
        <v>20</v>
      </c>
      <c r="H3666" s="9" t="n">
        <v>45938</v>
      </c>
      <c r="I3666" s="9"/>
      <c r="J3666" s="7" t="n">
        <v>7.5</v>
      </c>
      <c r="K3666" s="7" t="s">
        <v>4171</v>
      </c>
      <c r="L3666" s="7" t="s">
        <v>21</v>
      </c>
      <c r="M3666" s="7" t="s">
        <v>4302</v>
      </c>
      <c r="N3666" s="7" t="s">
        <v>53</v>
      </c>
      <c r="O3666" s="10" t="n">
        <f aca="false">'Exec Summary'!$E$2-H3666</f>
        <v>296</v>
      </c>
      <c r="P3666" s="10" t="str">
        <f aca="false">IF(I3666="","",I3666-H3666)</f>
        <v/>
      </c>
      <c r="Q3666" s="10" t="n">
        <f aca="false">VLOOKUP(G3666,$AA$2:$AB$5,2,FALSE())</f>
        <v>30</v>
      </c>
      <c r="R3666" s="7" t="n">
        <f aca="false">IF(OR(F3666="Open",F3666="Reopened"),1,0)</f>
        <v>1</v>
      </c>
      <c r="S3666" s="7" t="n">
        <f aca="false">IF(AND(H3666&gt;='Exec Summary'!$E$1,H3666&lt;='Exec Summary'!$E$2),1,0)</f>
        <v>0</v>
      </c>
      <c r="T3666" s="7" t="n">
        <f aca="false">IF(AND(F3666="Closed",I3666&lt;&gt;"",I3666&gt;='Exec Summary'!$E$1,I3666&lt;='Exec Summary'!$E$2),1,0)</f>
        <v>0</v>
      </c>
      <c r="U3666" s="7" t="n">
        <f aca="false">IF(F3666="Reopened",1,0)</f>
        <v>0</v>
      </c>
      <c r="V3666" s="7" t="n">
        <f aca="false">IF(AND(R3666=1,O3666&gt;Q3666),1,0)</f>
        <v>1</v>
      </c>
      <c r="W3666" s="7" t="n">
        <f aca="false">IF(AND(T3666=1,P3666&lt;&gt;"",P3666&lt;=Q3666),1,0)</f>
        <v>0</v>
      </c>
    </row>
    <row r="3667" customFormat="false" ht="15" hidden="false" customHeight="false" outlineLevel="0" collapsed="false">
      <c r="A3667" s="7" t="s">
        <v>4298</v>
      </c>
      <c r="B3667" s="7" t="s">
        <v>46</v>
      </c>
      <c r="C3667" s="7" t="s">
        <v>158</v>
      </c>
      <c r="D3667" s="7" t="s">
        <v>152</v>
      </c>
      <c r="E3667" s="7" t="s">
        <v>153</v>
      </c>
      <c r="F3667" s="7" t="s">
        <v>50</v>
      </c>
      <c r="G3667" s="7" t="s">
        <v>20</v>
      </c>
      <c r="H3667" s="9" t="n">
        <v>46102</v>
      </c>
      <c r="I3667" s="9" t="n">
        <v>46107</v>
      </c>
      <c r="J3667" s="7" t="n">
        <v>7.5</v>
      </c>
      <c r="K3667" s="7" t="s">
        <v>4171</v>
      </c>
      <c r="L3667" s="7" t="s">
        <v>21</v>
      </c>
      <c r="M3667" s="7" t="s">
        <v>4303</v>
      </c>
      <c r="N3667" s="7" t="s">
        <v>53</v>
      </c>
      <c r="O3667" s="10" t="n">
        <f aca="false">'Exec Summary'!$E$2-H3667</f>
        <v>132</v>
      </c>
      <c r="P3667" s="10" t="n">
        <f aca="false">IF(I3667="","",I3667-H3667)</f>
        <v>5</v>
      </c>
      <c r="Q3667" s="10" t="n">
        <f aca="false">VLOOKUP(G3667,$AA$2:$AB$5,2,FALSE())</f>
        <v>30</v>
      </c>
      <c r="R3667" s="7" t="n">
        <f aca="false">IF(OR(F3667="Open",F3667="Reopened"),1,0)</f>
        <v>0</v>
      </c>
      <c r="S3667" s="7" t="n">
        <f aca="false">IF(AND(H3667&gt;='Exec Summary'!$E$1,H3667&lt;='Exec Summary'!$E$2),1,0)</f>
        <v>0</v>
      </c>
      <c r="T3667" s="7" t="n">
        <f aca="false">IF(AND(F3667="Closed",I3667&lt;&gt;"",I3667&gt;='Exec Summary'!$E$1,I3667&lt;='Exec Summary'!$E$2),1,0)</f>
        <v>0</v>
      </c>
      <c r="U3667" s="7" t="n">
        <f aca="false">IF(F3667="Reopened",1,0)</f>
        <v>0</v>
      </c>
      <c r="V3667" s="7" t="n">
        <f aca="false">IF(AND(R3667=1,O3667&gt;Q3667),1,0)</f>
        <v>0</v>
      </c>
      <c r="W3667" s="7" t="n">
        <f aca="false">IF(AND(T3667=1,P3667&lt;&gt;"",P3667&lt;=Q3667),1,0)</f>
        <v>0</v>
      </c>
    </row>
    <row r="3668" customFormat="false" ht="15" hidden="false" customHeight="false" outlineLevel="0" collapsed="false">
      <c r="A3668" s="7" t="s">
        <v>4298</v>
      </c>
      <c r="B3668" s="7" t="s">
        <v>46</v>
      </c>
      <c r="C3668" s="7" t="s">
        <v>158</v>
      </c>
      <c r="D3668" s="7" t="s">
        <v>108</v>
      </c>
      <c r="E3668" s="7" t="s">
        <v>109</v>
      </c>
      <c r="F3668" s="7" t="s">
        <v>56</v>
      </c>
      <c r="G3668" s="7" t="s">
        <v>20</v>
      </c>
      <c r="H3668" s="9" t="n">
        <v>46124</v>
      </c>
      <c r="I3668" s="9"/>
      <c r="J3668" s="7" t="n">
        <v>8.6</v>
      </c>
      <c r="K3668" s="7" t="s">
        <v>4171</v>
      </c>
      <c r="L3668" s="7" t="s">
        <v>21</v>
      </c>
      <c r="M3668" s="7" t="s">
        <v>4304</v>
      </c>
      <c r="N3668" s="7" t="s">
        <v>53</v>
      </c>
      <c r="O3668" s="10" t="n">
        <f aca="false">'Exec Summary'!$E$2-H3668</f>
        <v>110</v>
      </c>
      <c r="P3668" s="10" t="str">
        <f aca="false">IF(I3668="","",I3668-H3668)</f>
        <v/>
      </c>
      <c r="Q3668" s="10" t="n">
        <f aca="false">VLOOKUP(G3668,$AA$2:$AB$5,2,FALSE())</f>
        <v>30</v>
      </c>
      <c r="R3668" s="7" t="n">
        <f aca="false">IF(OR(F3668="Open",F3668="Reopened"),1,0)</f>
        <v>1</v>
      </c>
      <c r="S3668" s="7" t="n">
        <f aca="false">IF(AND(H3668&gt;='Exec Summary'!$E$1,H3668&lt;='Exec Summary'!$E$2),1,0)</f>
        <v>0</v>
      </c>
      <c r="T3668" s="7" t="n">
        <f aca="false">IF(AND(F3668="Closed",I3668&lt;&gt;"",I3668&gt;='Exec Summary'!$E$1,I3668&lt;='Exec Summary'!$E$2),1,0)</f>
        <v>0</v>
      </c>
      <c r="U3668" s="7" t="n">
        <f aca="false">IF(F3668="Reopened",1,0)</f>
        <v>0</v>
      </c>
      <c r="V3668" s="7" t="n">
        <f aca="false">IF(AND(R3668=1,O3668&gt;Q3668),1,0)</f>
        <v>1</v>
      </c>
      <c r="W3668" s="7" t="n">
        <f aca="false">IF(AND(T3668=1,P3668&lt;&gt;"",P3668&lt;=Q3668),1,0)</f>
        <v>0</v>
      </c>
    </row>
    <row r="3669" customFormat="false" ht="15" hidden="false" customHeight="false" outlineLevel="0" collapsed="false">
      <c r="A3669" s="7" t="s">
        <v>4298</v>
      </c>
      <c r="B3669" s="7" t="s">
        <v>46</v>
      </c>
      <c r="C3669" s="7" t="s">
        <v>158</v>
      </c>
      <c r="D3669" s="7" t="s">
        <v>59</v>
      </c>
      <c r="E3669" s="7" t="s">
        <v>60</v>
      </c>
      <c r="F3669" s="7" t="s">
        <v>50</v>
      </c>
      <c r="G3669" s="7" t="s">
        <v>19</v>
      </c>
      <c r="H3669" s="9" t="n">
        <v>45992</v>
      </c>
      <c r="I3669" s="9" t="n">
        <v>46006</v>
      </c>
      <c r="J3669" s="7" t="n">
        <v>7.8</v>
      </c>
      <c r="K3669" s="7" t="s">
        <v>4171</v>
      </c>
      <c r="L3669" s="7" t="s">
        <v>21</v>
      </c>
      <c r="M3669" s="7" t="s">
        <v>4305</v>
      </c>
      <c r="N3669" s="7" t="s">
        <v>58</v>
      </c>
      <c r="O3669" s="10" t="n">
        <f aca="false">'Exec Summary'!$E$2-H3669</f>
        <v>242</v>
      </c>
      <c r="P3669" s="10" t="n">
        <f aca="false">IF(I3669="","",I3669-H3669)</f>
        <v>14</v>
      </c>
      <c r="Q3669" s="10" t="n">
        <f aca="false">VLOOKUP(G3669,$AA$2:$AB$5,2,FALSE())</f>
        <v>15</v>
      </c>
      <c r="R3669" s="7" t="n">
        <f aca="false">IF(OR(F3669="Open",F3669="Reopened"),1,0)</f>
        <v>0</v>
      </c>
      <c r="S3669" s="7" t="n">
        <f aca="false">IF(AND(H3669&gt;='Exec Summary'!$E$1,H3669&lt;='Exec Summary'!$E$2),1,0)</f>
        <v>0</v>
      </c>
      <c r="T3669" s="7" t="n">
        <f aca="false">IF(AND(F3669="Closed",I3669&lt;&gt;"",I3669&gt;='Exec Summary'!$E$1,I3669&lt;='Exec Summary'!$E$2),1,0)</f>
        <v>0</v>
      </c>
      <c r="U3669" s="7" t="n">
        <f aca="false">IF(F3669="Reopened",1,0)</f>
        <v>0</v>
      </c>
      <c r="V3669" s="7" t="n">
        <f aca="false">IF(AND(R3669=1,O3669&gt;Q3669),1,0)</f>
        <v>0</v>
      </c>
      <c r="W3669" s="7" t="n">
        <f aca="false">IF(AND(T3669=1,P3669&lt;&gt;"",P3669&lt;=Q3669),1,0)</f>
        <v>0</v>
      </c>
    </row>
    <row r="3670" customFormat="false" ht="15" hidden="false" customHeight="false" outlineLevel="0" collapsed="false">
      <c r="A3670" s="7" t="s">
        <v>4298</v>
      </c>
      <c r="B3670" s="7" t="s">
        <v>46</v>
      </c>
      <c r="C3670" s="7" t="s">
        <v>158</v>
      </c>
      <c r="D3670" s="7" t="s">
        <v>131</v>
      </c>
      <c r="E3670" s="7" t="s">
        <v>132</v>
      </c>
      <c r="F3670" s="7" t="s">
        <v>56</v>
      </c>
      <c r="G3670" s="7" t="s">
        <v>19</v>
      </c>
      <c r="H3670" s="9" t="n">
        <v>46131</v>
      </c>
      <c r="I3670" s="9"/>
      <c r="J3670" s="7" t="n">
        <v>9.8</v>
      </c>
      <c r="K3670" s="7" t="s">
        <v>4171</v>
      </c>
      <c r="L3670" s="7" t="s">
        <v>21</v>
      </c>
      <c r="M3670" s="7" t="s">
        <v>4306</v>
      </c>
      <c r="N3670" s="7" t="s">
        <v>58</v>
      </c>
      <c r="O3670" s="10" t="n">
        <f aca="false">'Exec Summary'!$E$2-H3670</f>
        <v>103</v>
      </c>
      <c r="P3670" s="10" t="str">
        <f aca="false">IF(I3670="","",I3670-H3670)</f>
        <v/>
      </c>
      <c r="Q3670" s="10" t="n">
        <f aca="false">VLOOKUP(G3670,$AA$2:$AB$5,2,FALSE())</f>
        <v>15</v>
      </c>
      <c r="R3670" s="7" t="n">
        <f aca="false">IF(OR(F3670="Open",F3670="Reopened"),1,0)</f>
        <v>1</v>
      </c>
      <c r="S3670" s="7" t="n">
        <f aca="false">IF(AND(H3670&gt;='Exec Summary'!$E$1,H3670&lt;='Exec Summary'!$E$2),1,0)</f>
        <v>0</v>
      </c>
      <c r="T3670" s="7" t="n">
        <f aca="false">IF(AND(F3670="Closed",I3670&lt;&gt;"",I3670&gt;='Exec Summary'!$E$1,I3670&lt;='Exec Summary'!$E$2),1,0)</f>
        <v>0</v>
      </c>
      <c r="U3670" s="7" t="n">
        <f aca="false">IF(F3670="Reopened",1,0)</f>
        <v>0</v>
      </c>
      <c r="V3670" s="7" t="n">
        <f aca="false">IF(AND(R3670=1,O3670&gt;Q3670),1,0)</f>
        <v>1</v>
      </c>
      <c r="W3670" s="7" t="n">
        <f aca="false">IF(AND(T3670=1,P3670&lt;&gt;"",P3670&lt;=Q3670),1,0)</f>
        <v>0</v>
      </c>
    </row>
    <row r="3671" customFormat="false" ht="15" hidden="false" customHeight="false" outlineLevel="0" collapsed="false">
      <c r="A3671" s="7" t="s">
        <v>4298</v>
      </c>
      <c r="B3671" s="7" t="s">
        <v>46</v>
      </c>
      <c r="C3671" s="7" t="s">
        <v>158</v>
      </c>
      <c r="D3671" s="7" t="s">
        <v>95</v>
      </c>
      <c r="E3671" s="7" t="s">
        <v>96</v>
      </c>
      <c r="F3671" s="7" t="s">
        <v>56</v>
      </c>
      <c r="G3671" s="7" t="s">
        <v>20</v>
      </c>
      <c r="H3671" s="9" t="n">
        <v>46149</v>
      </c>
      <c r="I3671" s="9"/>
      <c r="J3671" s="7" t="n">
        <v>8.8</v>
      </c>
      <c r="K3671" s="7" t="s">
        <v>4171</v>
      </c>
      <c r="L3671" s="7" t="s">
        <v>21</v>
      </c>
      <c r="M3671" s="7" t="s">
        <v>4307</v>
      </c>
      <c r="N3671" s="7" t="s">
        <v>53</v>
      </c>
      <c r="O3671" s="10" t="n">
        <f aca="false">'Exec Summary'!$E$2-H3671</f>
        <v>85</v>
      </c>
      <c r="P3671" s="10" t="str">
        <f aca="false">IF(I3671="","",I3671-H3671)</f>
        <v/>
      </c>
      <c r="Q3671" s="10" t="n">
        <f aca="false">VLOOKUP(G3671,$AA$2:$AB$5,2,FALSE())</f>
        <v>30</v>
      </c>
      <c r="R3671" s="7" t="n">
        <f aca="false">IF(OR(F3671="Open",F3671="Reopened"),1,0)</f>
        <v>1</v>
      </c>
      <c r="S3671" s="7" t="n">
        <f aca="false">IF(AND(H3671&gt;='Exec Summary'!$E$1,H3671&lt;='Exec Summary'!$E$2),1,0)</f>
        <v>0</v>
      </c>
      <c r="T3671" s="7" t="n">
        <f aca="false">IF(AND(F3671="Closed",I3671&lt;&gt;"",I3671&gt;='Exec Summary'!$E$1,I3671&lt;='Exec Summary'!$E$2),1,0)</f>
        <v>0</v>
      </c>
      <c r="U3671" s="7" t="n">
        <f aca="false">IF(F3671="Reopened",1,0)</f>
        <v>0</v>
      </c>
      <c r="V3671" s="7" t="n">
        <f aca="false">IF(AND(R3671=1,O3671&gt;Q3671),1,0)</f>
        <v>1</v>
      </c>
      <c r="W3671" s="7" t="n">
        <f aca="false">IF(AND(T3671=1,P3671&lt;&gt;"",P3671&lt;=Q3671),1,0)</f>
        <v>0</v>
      </c>
    </row>
    <row r="3672" customFormat="false" ht="15" hidden="false" customHeight="false" outlineLevel="0" collapsed="false">
      <c r="A3672" s="7" t="s">
        <v>4298</v>
      </c>
      <c r="B3672" s="7" t="s">
        <v>46</v>
      </c>
      <c r="C3672" s="7" t="s">
        <v>158</v>
      </c>
      <c r="D3672" s="7" t="s">
        <v>104</v>
      </c>
      <c r="E3672" s="7" t="s">
        <v>105</v>
      </c>
      <c r="F3672" s="7" t="s">
        <v>50</v>
      </c>
      <c r="G3672" s="7" t="s">
        <v>19</v>
      </c>
      <c r="H3672" s="9" t="n">
        <v>45991</v>
      </c>
      <c r="I3672" s="9" t="n">
        <v>45999</v>
      </c>
      <c r="J3672" s="7" t="n">
        <v>9.8</v>
      </c>
      <c r="K3672" s="7" t="s">
        <v>4171</v>
      </c>
      <c r="L3672" s="7" t="s">
        <v>21</v>
      </c>
      <c r="M3672" s="7" t="s">
        <v>4308</v>
      </c>
      <c r="N3672" s="7" t="s">
        <v>58</v>
      </c>
      <c r="O3672" s="10" t="n">
        <f aca="false">'Exec Summary'!$E$2-H3672</f>
        <v>243</v>
      </c>
      <c r="P3672" s="10" t="n">
        <f aca="false">IF(I3672="","",I3672-H3672)</f>
        <v>8</v>
      </c>
      <c r="Q3672" s="10" t="n">
        <f aca="false">VLOOKUP(G3672,$AA$2:$AB$5,2,FALSE())</f>
        <v>15</v>
      </c>
      <c r="R3672" s="7" t="n">
        <f aca="false">IF(OR(F3672="Open",F3672="Reopened"),1,0)</f>
        <v>0</v>
      </c>
      <c r="S3672" s="7" t="n">
        <f aca="false">IF(AND(H3672&gt;='Exec Summary'!$E$1,H3672&lt;='Exec Summary'!$E$2),1,0)</f>
        <v>0</v>
      </c>
      <c r="T3672" s="7" t="n">
        <f aca="false">IF(AND(F3672="Closed",I3672&lt;&gt;"",I3672&gt;='Exec Summary'!$E$1,I3672&lt;='Exec Summary'!$E$2),1,0)</f>
        <v>0</v>
      </c>
      <c r="U3672" s="7" t="n">
        <f aca="false">IF(F3672="Reopened",1,0)</f>
        <v>0</v>
      </c>
      <c r="V3672" s="7" t="n">
        <f aca="false">IF(AND(R3672=1,O3672&gt;Q3672),1,0)</f>
        <v>0</v>
      </c>
      <c r="W3672" s="7" t="n">
        <f aca="false">IF(AND(T3672=1,P3672&lt;&gt;"",P3672&lt;=Q3672),1,0)</f>
        <v>0</v>
      </c>
    </row>
    <row r="3673" customFormat="false" ht="15" hidden="false" customHeight="false" outlineLevel="0" collapsed="false">
      <c r="A3673" s="7" t="s">
        <v>4309</v>
      </c>
      <c r="B3673" s="7" t="s">
        <v>46</v>
      </c>
      <c r="C3673" s="7" t="s">
        <v>79</v>
      </c>
      <c r="D3673" s="7" t="s">
        <v>145</v>
      </c>
      <c r="E3673" s="7" t="s">
        <v>146</v>
      </c>
      <c r="F3673" s="7" t="s">
        <v>56</v>
      </c>
      <c r="G3673" s="7" t="s">
        <v>19</v>
      </c>
      <c r="H3673" s="9" t="n">
        <v>45991</v>
      </c>
      <c r="I3673" s="9"/>
      <c r="J3673" s="7" t="n">
        <v>9.8</v>
      </c>
      <c r="K3673" s="7" t="s">
        <v>4171</v>
      </c>
      <c r="L3673" s="7" t="s">
        <v>21</v>
      </c>
      <c r="M3673" s="7" t="s">
        <v>4310</v>
      </c>
      <c r="N3673" s="7" t="s">
        <v>58</v>
      </c>
      <c r="O3673" s="10" t="n">
        <f aca="false">'Exec Summary'!$E$2-H3673</f>
        <v>243</v>
      </c>
      <c r="P3673" s="10" t="str">
        <f aca="false">IF(I3673="","",I3673-H3673)</f>
        <v/>
      </c>
      <c r="Q3673" s="10" t="n">
        <f aca="false">VLOOKUP(G3673,$AA$2:$AB$5,2,FALSE())</f>
        <v>15</v>
      </c>
      <c r="R3673" s="7" t="n">
        <f aca="false">IF(OR(F3673="Open",F3673="Reopened"),1,0)</f>
        <v>1</v>
      </c>
      <c r="S3673" s="7" t="n">
        <f aca="false">IF(AND(H3673&gt;='Exec Summary'!$E$1,H3673&lt;='Exec Summary'!$E$2),1,0)</f>
        <v>0</v>
      </c>
      <c r="T3673" s="7" t="n">
        <f aca="false">IF(AND(F3673="Closed",I3673&lt;&gt;"",I3673&gt;='Exec Summary'!$E$1,I3673&lt;='Exec Summary'!$E$2),1,0)</f>
        <v>0</v>
      </c>
      <c r="U3673" s="7" t="n">
        <f aca="false">IF(F3673="Reopened",1,0)</f>
        <v>0</v>
      </c>
      <c r="V3673" s="7" t="n">
        <f aca="false">IF(AND(R3673=1,O3673&gt;Q3673),1,0)</f>
        <v>1</v>
      </c>
      <c r="W3673" s="7" t="n">
        <f aca="false">IF(AND(T3673=1,P3673&lt;&gt;"",P3673&lt;=Q3673),1,0)</f>
        <v>0</v>
      </c>
    </row>
    <row r="3674" customFormat="false" ht="15" hidden="false" customHeight="false" outlineLevel="0" collapsed="false">
      <c r="A3674" s="7" t="s">
        <v>4309</v>
      </c>
      <c r="B3674" s="7" t="s">
        <v>46</v>
      </c>
      <c r="C3674" s="7" t="s">
        <v>79</v>
      </c>
      <c r="D3674" s="7" t="s">
        <v>152</v>
      </c>
      <c r="E3674" s="7" t="s">
        <v>153</v>
      </c>
      <c r="F3674" s="7" t="s">
        <v>50</v>
      </c>
      <c r="G3674" s="7" t="s">
        <v>20</v>
      </c>
      <c r="H3674" s="9" t="n">
        <v>45957</v>
      </c>
      <c r="I3674" s="9" t="n">
        <v>45958</v>
      </c>
      <c r="J3674" s="7" t="n">
        <v>7.5</v>
      </c>
      <c r="K3674" s="7" t="s">
        <v>4171</v>
      </c>
      <c r="L3674" s="7" t="s">
        <v>21</v>
      </c>
      <c r="M3674" s="7" t="s">
        <v>4311</v>
      </c>
      <c r="N3674" s="7" t="s">
        <v>53</v>
      </c>
      <c r="O3674" s="10" t="n">
        <f aca="false">'Exec Summary'!$E$2-H3674</f>
        <v>277</v>
      </c>
      <c r="P3674" s="10" t="n">
        <f aca="false">IF(I3674="","",I3674-H3674)</f>
        <v>1</v>
      </c>
      <c r="Q3674" s="10" t="n">
        <f aca="false">VLOOKUP(G3674,$AA$2:$AB$5,2,FALSE())</f>
        <v>30</v>
      </c>
      <c r="R3674" s="7" t="n">
        <f aca="false">IF(OR(F3674="Open",F3674="Reopened"),1,0)</f>
        <v>0</v>
      </c>
      <c r="S3674" s="7" t="n">
        <f aca="false">IF(AND(H3674&gt;='Exec Summary'!$E$1,H3674&lt;='Exec Summary'!$E$2),1,0)</f>
        <v>0</v>
      </c>
      <c r="T3674" s="7" t="n">
        <f aca="false">IF(AND(F3674="Closed",I3674&lt;&gt;"",I3674&gt;='Exec Summary'!$E$1,I3674&lt;='Exec Summary'!$E$2),1,0)</f>
        <v>0</v>
      </c>
      <c r="U3674" s="7" t="n">
        <f aca="false">IF(F3674="Reopened",1,0)</f>
        <v>0</v>
      </c>
      <c r="V3674" s="7" t="n">
        <f aca="false">IF(AND(R3674=1,O3674&gt;Q3674),1,0)</f>
        <v>0</v>
      </c>
      <c r="W3674" s="7" t="n">
        <f aca="false">IF(AND(T3674=1,P3674&lt;&gt;"",P3674&lt;=Q3674),1,0)</f>
        <v>0</v>
      </c>
    </row>
    <row r="3675" customFormat="false" ht="15" hidden="false" customHeight="false" outlineLevel="0" collapsed="false">
      <c r="A3675" s="7" t="s">
        <v>4309</v>
      </c>
      <c r="B3675" s="7" t="s">
        <v>46</v>
      </c>
      <c r="C3675" s="7" t="s">
        <v>79</v>
      </c>
      <c r="D3675" s="7" t="s">
        <v>166</v>
      </c>
      <c r="E3675" s="7" t="s">
        <v>167</v>
      </c>
      <c r="F3675" s="7" t="s">
        <v>56</v>
      </c>
      <c r="G3675" s="7" t="s">
        <v>19</v>
      </c>
      <c r="H3675" s="9" t="n">
        <v>46202</v>
      </c>
      <c r="I3675" s="9"/>
      <c r="J3675" s="7" t="n">
        <v>9.8</v>
      </c>
      <c r="K3675" s="7" t="s">
        <v>4171</v>
      </c>
      <c r="L3675" s="7" t="s">
        <v>21</v>
      </c>
      <c r="M3675" s="7" t="s">
        <v>4312</v>
      </c>
      <c r="N3675" s="7" t="s">
        <v>58</v>
      </c>
      <c r="O3675" s="10" t="n">
        <f aca="false">'Exec Summary'!$E$2-H3675</f>
        <v>32</v>
      </c>
      <c r="P3675" s="10" t="str">
        <f aca="false">IF(I3675="","",I3675-H3675)</f>
        <v/>
      </c>
      <c r="Q3675" s="10" t="n">
        <f aca="false">VLOOKUP(G3675,$AA$2:$AB$5,2,FALSE())</f>
        <v>15</v>
      </c>
      <c r="R3675" s="7" t="n">
        <f aca="false">IF(OR(F3675="Open",F3675="Reopened"),1,0)</f>
        <v>1</v>
      </c>
      <c r="S3675" s="7" t="n">
        <f aca="false">IF(AND(H3675&gt;='Exec Summary'!$E$1,H3675&lt;='Exec Summary'!$E$2),1,0)</f>
        <v>0</v>
      </c>
      <c r="T3675" s="7" t="n">
        <f aca="false">IF(AND(F3675="Closed",I3675&lt;&gt;"",I3675&gt;='Exec Summary'!$E$1,I3675&lt;='Exec Summary'!$E$2),1,0)</f>
        <v>0</v>
      </c>
      <c r="U3675" s="7" t="n">
        <f aca="false">IF(F3675="Reopened",1,0)</f>
        <v>0</v>
      </c>
      <c r="V3675" s="7" t="n">
        <f aca="false">IF(AND(R3675=1,O3675&gt;Q3675),1,0)</f>
        <v>1</v>
      </c>
      <c r="W3675" s="7" t="n">
        <f aca="false">IF(AND(T3675=1,P3675&lt;&gt;"",P3675&lt;=Q3675),1,0)</f>
        <v>0</v>
      </c>
    </row>
    <row r="3676" customFormat="false" ht="15" hidden="false" customHeight="false" outlineLevel="0" collapsed="false">
      <c r="A3676" s="7" t="s">
        <v>4309</v>
      </c>
      <c r="B3676" s="7" t="s">
        <v>46</v>
      </c>
      <c r="C3676" s="7" t="s">
        <v>79</v>
      </c>
      <c r="D3676" s="7" t="s">
        <v>65</v>
      </c>
      <c r="E3676" s="7" t="s">
        <v>66</v>
      </c>
      <c r="F3676" s="7" t="s">
        <v>50</v>
      </c>
      <c r="G3676" s="7" t="s">
        <v>19</v>
      </c>
      <c r="H3676" s="9" t="n">
        <v>46107</v>
      </c>
      <c r="I3676" s="9" t="n">
        <v>46114</v>
      </c>
      <c r="J3676" s="7" t="n">
        <v>9.8</v>
      </c>
      <c r="K3676" s="7" t="s">
        <v>4171</v>
      </c>
      <c r="L3676" s="7" t="s">
        <v>21</v>
      </c>
      <c r="M3676" s="7" t="s">
        <v>4313</v>
      </c>
      <c r="N3676" s="7" t="s">
        <v>58</v>
      </c>
      <c r="O3676" s="10" t="n">
        <f aca="false">'Exec Summary'!$E$2-H3676</f>
        <v>127</v>
      </c>
      <c r="P3676" s="10" t="n">
        <f aca="false">IF(I3676="","",I3676-H3676)</f>
        <v>7</v>
      </c>
      <c r="Q3676" s="10" t="n">
        <f aca="false">VLOOKUP(G3676,$AA$2:$AB$5,2,FALSE())</f>
        <v>15</v>
      </c>
      <c r="R3676" s="7" t="n">
        <f aca="false">IF(OR(F3676="Open",F3676="Reopened"),1,0)</f>
        <v>0</v>
      </c>
      <c r="S3676" s="7" t="n">
        <f aca="false">IF(AND(H3676&gt;='Exec Summary'!$E$1,H3676&lt;='Exec Summary'!$E$2),1,0)</f>
        <v>0</v>
      </c>
      <c r="T3676" s="7" t="n">
        <f aca="false">IF(AND(F3676="Closed",I3676&lt;&gt;"",I3676&gt;='Exec Summary'!$E$1,I3676&lt;='Exec Summary'!$E$2),1,0)</f>
        <v>0</v>
      </c>
      <c r="U3676" s="7" t="n">
        <f aca="false">IF(F3676="Reopened",1,0)</f>
        <v>0</v>
      </c>
      <c r="V3676" s="7" t="n">
        <f aca="false">IF(AND(R3676=1,O3676&gt;Q3676),1,0)</f>
        <v>0</v>
      </c>
      <c r="W3676" s="7" t="n">
        <f aca="false">IF(AND(T3676=1,P3676&lt;&gt;"",P3676&lt;=Q3676),1,0)</f>
        <v>0</v>
      </c>
    </row>
    <row r="3677" customFormat="false" ht="15" hidden="false" customHeight="false" outlineLevel="0" collapsed="false">
      <c r="A3677" s="7" t="s">
        <v>4309</v>
      </c>
      <c r="B3677" s="7" t="s">
        <v>46</v>
      </c>
      <c r="C3677" s="7" t="s">
        <v>79</v>
      </c>
      <c r="D3677" s="7" t="s">
        <v>101</v>
      </c>
      <c r="E3677" s="7" t="s">
        <v>102</v>
      </c>
      <c r="F3677" s="7" t="s">
        <v>50</v>
      </c>
      <c r="G3677" s="7" t="s">
        <v>19</v>
      </c>
      <c r="H3677" s="9" t="n">
        <v>46180</v>
      </c>
      <c r="I3677" s="9" t="n">
        <v>46182</v>
      </c>
      <c r="J3677" s="7" t="n">
        <v>10</v>
      </c>
      <c r="K3677" s="7" t="s">
        <v>4171</v>
      </c>
      <c r="L3677" s="7" t="s">
        <v>21</v>
      </c>
      <c r="M3677" s="7" t="s">
        <v>4314</v>
      </c>
      <c r="N3677" s="7" t="s">
        <v>58</v>
      </c>
      <c r="O3677" s="10" t="n">
        <f aca="false">'Exec Summary'!$E$2-H3677</f>
        <v>54</v>
      </c>
      <c r="P3677" s="10" t="n">
        <f aca="false">IF(I3677="","",I3677-H3677)</f>
        <v>2</v>
      </c>
      <c r="Q3677" s="10" t="n">
        <f aca="false">VLOOKUP(G3677,$AA$2:$AB$5,2,FALSE())</f>
        <v>15</v>
      </c>
      <c r="R3677" s="7" t="n">
        <f aca="false">IF(OR(F3677="Open",F3677="Reopened"),1,0)</f>
        <v>0</v>
      </c>
      <c r="S3677" s="7" t="n">
        <f aca="false">IF(AND(H3677&gt;='Exec Summary'!$E$1,H3677&lt;='Exec Summary'!$E$2),1,0)</f>
        <v>0</v>
      </c>
      <c r="T3677" s="7" t="n">
        <f aca="false">IF(AND(F3677="Closed",I3677&lt;&gt;"",I3677&gt;='Exec Summary'!$E$1,I3677&lt;='Exec Summary'!$E$2),1,0)</f>
        <v>0</v>
      </c>
      <c r="U3677" s="7" t="n">
        <f aca="false">IF(F3677="Reopened",1,0)</f>
        <v>0</v>
      </c>
      <c r="V3677" s="7" t="n">
        <f aca="false">IF(AND(R3677=1,O3677&gt;Q3677),1,0)</f>
        <v>0</v>
      </c>
      <c r="W3677" s="7" t="n">
        <f aca="false">IF(AND(T3677=1,P3677&lt;&gt;"",P3677&lt;=Q3677),1,0)</f>
        <v>0</v>
      </c>
    </row>
    <row r="3678" customFormat="false" ht="15" hidden="false" customHeight="false" outlineLevel="0" collapsed="false">
      <c r="A3678" s="7" t="s">
        <v>4309</v>
      </c>
      <c r="B3678" s="7" t="s">
        <v>46</v>
      </c>
      <c r="C3678" s="7" t="s">
        <v>79</v>
      </c>
      <c r="D3678" s="7" t="s">
        <v>117</v>
      </c>
      <c r="E3678" s="7" t="s">
        <v>118</v>
      </c>
      <c r="F3678" s="7" t="s">
        <v>56</v>
      </c>
      <c r="G3678" s="7" t="s">
        <v>19</v>
      </c>
      <c r="H3678" s="9" t="n">
        <v>46010</v>
      </c>
      <c r="I3678" s="9"/>
      <c r="J3678" s="7" t="n">
        <v>10</v>
      </c>
      <c r="K3678" s="7" t="s">
        <v>4171</v>
      </c>
      <c r="L3678" s="7" t="s">
        <v>21</v>
      </c>
      <c r="M3678" s="7" t="s">
        <v>4315</v>
      </c>
      <c r="N3678" s="7" t="s">
        <v>58</v>
      </c>
      <c r="O3678" s="10" t="n">
        <f aca="false">'Exec Summary'!$E$2-H3678</f>
        <v>224</v>
      </c>
      <c r="P3678" s="10" t="str">
        <f aca="false">IF(I3678="","",I3678-H3678)</f>
        <v/>
      </c>
      <c r="Q3678" s="10" t="n">
        <f aca="false">VLOOKUP(G3678,$AA$2:$AB$5,2,FALSE())</f>
        <v>15</v>
      </c>
      <c r="R3678" s="7" t="n">
        <f aca="false">IF(OR(F3678="Open",F3678="Reopened"),1,0)</f>
        <v>1</v>
      </c>
      <c r="S3678" s="7" t="n">
        <f aca="false">IF(AND(H3678&gt;='Exec Summary'!$E$1,H3678&lt;='Exec Summary'!$E$2),1,0)</f>
        <v>0</v>
      </c>
      <c r="T3678" s="7" t="n">
        <f aca="false">IF(AND(F3678="Closed",I3678&lt;&gt;"",I3678&gt;='Exec Summary'!$E$1,I3678&lt;='Exec Summary'!$E$2),1,0)</f>
        <v>0</v>
      </c>
      <c r="U3678" s="7" t="n">
        <f aca="false">IF(F3678="Reopened",1,0)</f>
        <v>0</v>
      </c>
      <c r="V3678" s="7" t="n">
        <f aca="false">IF(AND(R3678=1,O3678&gt;Q3678),1,0)</f>
        <v>1</v>
      </c>
      <c r="W3678" s="7" t="n">
        <f aca="false">IF(AND(T3678=1,P3678&lt;&gt;"",P3678&lt;=Q3678),1,0)</f>
        <v>0</v>
      </c>
    </row>
    <row r="3679" customFormat="false" ht="15" hidden="false" customHeight="false" outlineLevel="0" collapsed="false">
      <c r="A3679" s="7" t="s">
        <v>4309</v>
      </c>
      <c r="B3679" s="7" t="s">
        <v>46</v>
      </c>
      <c r="C3679" s="7" t="s">
        <v>79</v>
      </c>
      <c r="D3679" s="7" t="s">
        <v>206</v>
      </c>
      <c r="E3679" s="7" t="s">
        <v>207</v>
      </c>
      <c r="F3679" s="7" t="s">
        <v>56</v>
      </c>
      <c r="G3679" s="7" t="s">
        <v>20</v>
      </c>
      <c r="H3679" s="9" t="n">
        <v>45939</v>
      </c>
      <c r="I3679" s="9"/>
      <c r="J3679" s="7" t="n">
        <v>8.8</v>
      </c>
      <c r="K3679" s="7" t="s">
        <v>4171</v>
      </c>
      <c r="L3679" s="7" t="s">
        <v>21</v>
      </c>
      <c r="M3679" s="7" t="s">
        <v>4316</v>
      </c>
      <c r="N3679" s="7" t="s">
        <v>53</v>
      </c>
      <c r="O3679" s="10" t="n">
        <f aca="false">'Exec Summary'!$E$2-H3679</f>
        <v>295</v>
      </c>
      <c r="P3679" s="10" t="str">
        <f aca="false">IF(I3679="","",I3679-H3679)</f>
        <v/>
      </c>
      <c r="Q3679" s="10" t="n">
        <f aca="false">VLOOKUP(G3679,$AA$2:$AB$5,2,FALSE())</f>
        <v>30</v>
      </c>
      <c r="R3679" s="7" t="n">
        <f aca="false">IF(OR(F3679="Open",F3679="Reopened"),1,0)</f>
        <v>1</v>
      </c>
      <c r="S3679" s="7" t="n">
        <f aca="false">IF(AND(H3679&gt;='Exec Summary'!$E$1,H3679&lt;='Exec Summary'!$E$2),1,0)</f>
        <v>0</v>
      </c>
      <c r="T3679" s="7" t="n">
        <f aca="false">IF(AND(F3679="Closed",I3679&lt;&gt;"",I3679&gt;='Exec Summary'!$E$1,I3679&lt;='Exec Summary'!$E$2),1,0)</f>
        <v>0</v>
      </c>
      <c r="U3679" s="7" t="n">
        <f aca="false">IF(F3679="Reopened",1,0)</f>
        <v>0</v>
      </c>
      <c r="V3679" s="7" t="n">
        <f aca="false">IF(AND(R3679=1,O3679&gt;Q3679),1,0)</f>
        <v>1</v>
      </c>
      <c r="W3679" s="7" t="n">
        <f aca="false">IF(AND(T3679=1,P3679&lt;&gt;"",P3679&lt;=Q3679),1,0)</f>
        <v>0</v>
      </c>
    </row>
    <row r="3680" customFormat="false" ht="15" hidden="false" customHeight="false" outlineLevel="0" collapsed="false">
      <c r="A3680" s="7" t="s">
        <v>4309</v>
      </c>
      <c r="B3680" s="7" t="s">
        <v>46</v>
      </c>
      <c r="C3680" s="7" t="s">
        <v>79</v>
      </c>
      <c r="D3680" s="7" t="s">
        <v>68</v>
      </c>
      <c r="E3680" s="7" t="s">
        <v>69</v>
      </c>
      <c r="F3680" s="7" t="s">
        <v>56</v>
      </c>
      <c r="G3680" s="7" t="s">
        <v>19</v>
      </c>
      <c r="H3680" s="9" t="n">
        <v>46192</v>
      </c>
      <c r="I3680" s="9"/>
      <c r="J3680" s="7" t="n">
        <v>9.8</v>
      </c>
      <c r="K3680" s="7" t="s">
        <v>4171</v>
      </c>
      <c r="L3680" s="7" t="s">
        <v>21</v>
      </c>
      <c r="M3680" s="7" t="s">
        <v>4317</v>
      </c>
      <c r="N3680" s="7" t="s">
        <v>58</v>
      </c>
      <c r="O3680" s="10" t="n">
        <f aca="false">'Exec Summary'!$E$2-H3680</f>
        <v>42</v>
      </c>
      <c r="P3680" s="10" t="str">
        <f aca="false">IF(I3680="","",I3680-H3680)</f>
        <v/>
      </c>
      <c r="Q3680" s="10" t="n">
        <f aca="false">VLOOKUP(G3680,$AA$2:$AB$5,2,FALSE())</f>
        <v>15</v>
      </c>
      <c r="R3680" s="7" t="n">
        <f aca="false">IF(OR(F3680="Open",F3680="Reopened"),1,0)</f>
        <v>1</v>
      </c>
      <c r="S3680" s="7" t="n">
        <f aca="false">IF(AND(H3680&gt;='Exec Summary'!$E$1,H3680&lt;='Exec Summary'!$E$2),1,0)</f>
        <v>0</v>
      </c>
      <c r="T3680" s="7" t="n">
        <f aca="false">IF(AND(F3680="Closed",I3680&lt;&gt;"",I3680&gt;='Exec Summary'!$E$1,I3680&lt;='Exec Summary'!$E$2),1,0)</f>
        <v>0</v>
      </c>
      <c r="U3680" s="7" t="n">
        <f aca="false">IF(F3680="Reopened",1,0)</f>
        <v>0</v>
      </c>
      <c r="V3680" s="7" t="n">
        <f aca="false">IF(AND(R3680=1,O3680&gt;Q3680),1,0)</f>
        <v>1</v>
      </c>
      <c r="W3680" s="7" t="n">
        <f aca="false">IF(AND(T3680=1,P3680&lt;&gt;"",P3680&lt;=Q3680),1,0)</f>
        <v>0</v>
      </c>
    </row>
    <row r="3681" customFormat="false" ht="15" hidden="false" customHeight="false" outlineLevel="0" collapsed="false">
      <c r="A3681" s="7" t="s">
        <v>4309</v>
      </c>
      <c r="B3681" s="7" t="s">
        <v>46</v>
      </c>
      <c r="C3681" s="7" t="s">
        <v>79</v>
      </c>
      <c r="D3681" s="7" t="s">
        <v>139</v>
      </c>
      <c r="E3681" s="7" t="s">
        <v>140</v>
      </c>
      <c r="F3681" s="7" t="s">
        <v>50</v>
      </c>
      <c r="G3681" s="7" t="s">
        <v>19</v>
      </c>
      <c r="H3681" s="9" t="n">
        <v>46018</v>
      </c>
      <c r="I3681" s="9" t="n">
        <v>46024</v>
      </c>
      <c r="J3681" s="7" t="n">
        <v>9.8</v>
      </c>
      <c r="K3681" s="7" t="s">
        <v>4171</v>
      </c>
      <c r="L3681" s="7" t="s">
        <v>21</v>
      </c>
      <c r="M3681" s="7" t="s">
        <v>4318</v>
      </c>
      <c r="N3681" s="7" t="s">
        <v>58</v>
      </c>
      <c r="O3681" s="10" t="n">
        <f aca="false">'Exec Summary'!$E$2-H3681</f>
        <v>216</v>
      </c>
      <c r="P3681" s="10" t="n">
        <f aca="false">IF(I3681="","",I3681-H3681)</f>
        <v>6</v>
      </c>
      <c r="Q3681" s="10" t="n">
        <f aca="false">VLOOKUP(G3681,$AA$2:$AB$5,2,FALSE())</f>
        <v>15</v>
      </c>
      <c r="R3681" s="7" t="n">
        <f aca="false">IF(OR(F3681="Open",F3681="Reopened"),1,0)</f>
        <v>0</v>
      </c>
      <c r="S3681" s="7" t="n">
        <f aca="false">IF(AND(H3681&gt;='Exec Summary'!$E$1,H3681&lt;='Exec Summary'!$E$2),1,0)</f>
        <v>0</v>
      </c>
      <c r="T3681" s="7" t="n">
        <f aca="false">IF(AND(F3681="Closed",I3681&lt;&gt;"",I3681&gt;='Exec Summary'!$E$1,I3681&lt;='Exec Summary'!$E$2),1,0)</f>
        <v>0</v>
      </c>
      <c r="U3681" s="7" t="n">
        <f aca="false">IF(F3681="Reopened",1,0)</f>
        <v>0</v>
      </c>
      <c r="V3681" s="7" t="n">
        <f aca="false">IF(AND(R3681=1,O3681&gt;Q3681),1,0)</f>
        <v>0</v>
      </c>
      <c r="W3681" s="7" t="n">
        <f aca="false">IF(AND(T3681=1,P3681&lt;&gt;"",P3681&lt;=Q3681),1,0)</f>
        <v>0</v>
      </c>
    </row>
    <row r="3682" customFormat="false" ht="15" hidden="false" customHeight="false" outlineLevel="0" collapsed="false">
      <c r="A3682" s="7" t="s">
        <v>4309</v>
      </c>
      <c r="B3682" s="7" t="s">
        <v>46</v>
      </c>
      <c r="C3682" s="7" t="s">
        <v>79</v>
      </c>
      <c r="D3682" s="7" t="s">
        <v>210</v>
      </c>
      <c r="E3682" s="7" t="s">
        <v>211</v>
      </c>
      <c r="F3682" s="7" t="s">
        <v>50</v>
      </c>
      <c r="G3682" s="7" t="s">
        <v>19</v>
      </c>
      <c r="H3682" s="9" t="n">
        <v>46193</v>
      </c>
      <c r="I3682" s="9" t="n">
        <v>46204</v>
      </c>
      <c r="J3682" s="7" t="n">
        <v>9.8</v>
      </c>
      <c r="K3682" s="7" t="s">
        <v>4171</v>
      </c>
      <c r="L3682" s="7" t="s">
        <v>21</v>
      </c>
      <c r="M3682" s="7" t="s">
        <v>4319</v>
      </c>
      <c r="N3682" s="7" t="s">
        <v>58</v>
      </c>
      <c r="O3682" s="10" t="n">
        <f aca="false">'Exec Summary'!$E$2-H3682</f>
        <v>41</v>
      </c>
      <c r="P3682" s="10" t="n">
        <f aca="false">IF(I3682="","",I3682-H3682)</f>
        <v>11</v>
      </c>
      <c r="Q3682" s="10" t="n">
        <f aca="false">VLOOKUP(G3682,$AA$2:$AB$5,2,FALSE())</f>
        <v>15</v>
      </c>
      <c r="R3682" s="7" t="n">
        <f aca="false">IF(OR(F3682="Open",F3682="Reopened"),1,0)</f>
        <v>0</v>
      </c>
      <c r="S3682" s="7" t="n">
        <f aca="false">IF(AND(H3682&gt;='Exec Summary'!$E$1,H3682&lt;='Exec Summary'!$E$2),1,0)</f>
        <v>0</v>
      </c>
      <c r="T3682" s="7" t="n">
        <f aca="false">IF(AND(F3682="Closed",I3682&lt;&gt;"",I3682&gt;='Exec Summary'!$E$1,I3682&lt;='Exec Summary'!$E$2),1,0)</f>
        <v>1</v>
      </c>
      <c r="U3682" s="7" t="n">
        <f aca="false">IF(F3682="Reopened",1,0)</f>
        <v>0</v>
      </c>
      <c r="V3682" s="7" t="n">
        <f aca="false">IF(AND(R3682=1,O3682&gt;Q3682),1,0)</f>
        <v>0</v>
      </c>
      <c r="W3682" s="7" t="n">
        <f aca="false">IF(AND(T3682=1,P3682&lt;&gt;"",P3682&lt;=Q3682),1,0)</f>
        <v>1</v>
      </c>
    </row>
    <row r="3683" customFormat="false" ht="15" hidden="false" customHeight="false" outlineLevel="0" collapsed="false">
      <c r="A3683" s="7" t="s">
        <v>4320</v>
      </c>
      <c r="B3683" s="7" t="s">
        <v>135</v>
      </c>
      <c r="C3683" s="7" t="s">
        <v>306</v>
      </c>
      <c r="D3683" s="7" t="s">
        <v>139</v>
      </c>
      <c r="E3683" s="7" t="s">
        <v>140</v>
      </c>
      <c r="F3683" s="7" t="s">
        <v>56</v>
      </c>
      <c r="G3683" s="7" t="s">
        <v>19</v>
      </c>
      <c r="H3683" s="9" t="n">
        <v>45980</v>
      </c>
      <c r="I3683" s="9"/>
      <c r="J3683" s="7" t="n">
        <v>9.8</v>
      </c>
      <c r="K3683" s="7" t="s">
        <v>4171</v>
      </c>
      <c r="L3683" s="7" t="s">
        <v>21</v>
      </c>
      <c r="M3683" s="7" t="s">
        <v>4321</v>
      </c>
      <c r="N3683" s="7" t="s">
        <v>58</v>
      </c>
      <c r="O3683" s="10" t="n">
        <f aca="false">'Exec Summary'!$E$2-H3683</f>
        <v>254</v>
      </c>
      <c r="P3683" s="10" t="str">
        <f aca="false">IF(I3683="","",I3683-H3683)</f>
        <v/>
      </c>
      <c r="Q3683" s="10" t="n">
        <f aca="false">VLOOKUP(G3683,$AA$2:$AB$5,2,FALSE())</f>
        <v>15</v>
      </c>
      <c r="R3683" s="7" t="n">
        <f aca="false">IF(OR(F3683="Open",F3683="Reopened"),1,0)</f>
        <v>1</v>
      </c>
      <c r="S3683" s="7" t="n">
        <f aca="false">IF(AND(H3683&gt;='Exec Summary'!$E$1,H3683&lt;='Exec Summary'!$E$2),1,0)</f>
        <v>0</v>
      </c>
      <c r="T3683" s="7" t="n">
        <f aca="false">IF(AND(F3683="Closed",I3683&lt;&gt;"",I3683&gt;='Exec Summary'!$E$1,I3683&lt;='Exec Summary'!$E$2),1,0)</f>
        <v>0</v>
      </c>
      <c r="U3683" s="7" t="n">
        <f aca="false">IF(F3683="Reopened",1,0)</f>
        <v>0</v>
      </c>
      <c r="V3683" s="7" t="n">
        <f aca="false">IF(AND(R3683=1,O3683&gt;Q3683),1,0)</f>
        <v>1</v>
      </c>
      <c r="W3683" s="7" t="n">
        <f aca="false">IF(AND(T3683=1,P3683&lt;&gt;"",P3683&lt;=Q3683),1,0)</f>
        <v>0</v>
      </c>
    </row>
    <row r="3684" customFormat="false" ht="15" hidden="false" customHeight="false" outlineLevel="0" collapsed="false">
      <c r="A3684" s="7" t="s">
        <v>4320</v>
      </c>
      <c r="B3684" s="7" t="s">
        <v>135</v>
      </c>
      <c r="C3684" s="7" t="s">
        <v>306</v>
      </c>
      <c r="D3684" s="7" t="s">
        <v>112</v>
      </c>
      <c r="E3684" s="7" t="s">
        <v>113</v>
      </c>
      <c r="F3684" s="7" t="s">
        <v>50</v>
      </c>
      <c r="G3684" s="7" t="s">
        <v>20</v>
      </c>
      <c r="H3684" s="9" t="n">
        <v>46194</v>
      </c>
      <c r="I3684" s="9" t="n">
        <v>46208</v>
      </c>
      <c r="J3684" s="7" t="n">
        <v>7.8</v>
      </c>
      <c r="K3684" s="7" t="s">
        <v>4171</v>
      </c>
      <c r="L3684" s="7" t="s">
        <v>21</v>
      </c>
      <c r="M3684" s="7" t="s">
        <v>4322</v>
      </c>
      <c r="N3684" s="7" t="s">
        <v>53</v>
      </c>
      <c r="O3684" s="10" t="n">
        <f aca="false">'Exec Summary'!$E$2-H3684</f>
        <v>40</v>
      </c>
      <c r="P3684" s="10" t="n">
        <f aca="false">IF(I3684="","",I3684-H3684)</f>
        <v>14</v>
      </c>
      <c r="Q3684" s="10" t="n">
        <f aca="false">VLOOKUP(G3684,$AA$2:$AB$5,2,FALSE())</f>
        <v>30</v>
      </c>
      <c r="R3684" s="7" t="n">
        <f aca="false">IF(OR(F3684="Open",F3684="Reopened"),1,0)</f>
        <v>0</v>
      </c>
      <c r="S3684" s="7" t="n">
        <f aca="false">IF(AND(H3684&gt;='Exec Summary'!$E$1,H3684&lt;='Exec Summary'!$E$2),1,0)</f>
        <v>0</v>
      </c>
      <c r="T3684" s="7" t="n">
        <f aca="false">IF(AND(F3684="Closed",I3684&lt;&gt;"",I3684&gt;='Exec Summary'!$E$1,I3684&lt;='Exec Summary'!$E$2),1,0)</f>
        <v>1</v>
      </c>
      <c r="U3684" s="7" t="n">
        <f aca="false">IF(F3684="Reopened",1,0)</f>
        <v>0</v>
      </c>
      <c r="V3684" s="7" t="n">
        <f aca="false">IF(AND(R3684=1,O3684&gt;Q3684),1,0)</f>
        <v>0</v>
      </c>
      <c r="W3684" s="7" t="n">
        <f aca="false">IF(AND(T3684=1,P3684&lt;&gt;"",P3684&lt;=Q3684),1,0)</f>
        <v>1</v>
      </c>
    </row>
    <row r="3685" customFormat="false" ht="15" hidden="false" customHeight="false" outlineLevel="0" collapsed="false">
      <c r="A3685" s="7" t="s">
        <v>4320</v>
      </c>
      <c r="B3685" s="7" t="s">
        <v>135</v>
      </c>
      <c r="C3685" s="7" t="s">
        <v>306</v>
      </c>
      <c r="D3685" s="7" t="s">
        <v>163</v>
      </c>
      <c r="E3685" s="7" t="s">
        <v>164</v>
      </c>
      <c r="F3685" s="7" t="s">
        <v>56</v>
      </c>
      <c r="G3685" s="7" t="s">
        <v>19</v>
      </c>
      <c r="H3685" s="9" t="n">
        <v>46048</v>
      </c>
      <c r="I3685" s="9"/>
      <c r="J3685" s="7" t="n">
        <v>9.1</v>
      </c>
      <c r="K3685" s="7" t="s">
        <v>4171</v>
      </c>
      <c r="L3685" s="7" t="s">
        <v>21</v>
      </c>
      <c r="M3685" s="7" t="s">
        <v>4323</v>
      </c>
      <c r="N3685" s="7" t="s">
        <v>58</v>
      </c>
      <c r="O3685" s="10" t="n">
        <f aca="false">'Exec Summary'!$E$2-H3685</f>
        <v>186</v>
      </c>
      <c r="P3685" s="10" t="str">
        <f aca="false">IF(I3685="","",I3685-H3685)</f>
        <v/>
      </c>
      <c r="Q3685" s="10" t="n">
        <f aca="false">VLOOKUP(G3685,$AA$2:$AB$5,2,FALSE())</f>
        <v>15</v>
      </c>
      <c r="R3685" s="7" t="n">
        <f aca="false">IF(OR(F3685="Open",F3685="Reopened"),1,0)</f>
        <v>1</v>
      </c>
      <c r="S3685" s="7" t="n">
        <f aca="false">IF(AND(H3685&gt;='Exec Summary'!$E$1,H3685&lt;='Exec Summary'!$E$2),1,0)</f>
        <v>0</v>
      </c>
      <c r="T3685" s="7" t="n">
        <f aca="false">IF(AND(F3685="Closed",I3685&lt;&gt;"",I3685&gt;='Exec Summary'!$E$1,I3685&lt;='Exec Summary'!$E$2),1,0)</f>
        <v>0</v>
      </c>
      <c r="U3685" s="7" t="n">
        <f aca="false">IF(F3685="Reopened",1,0)</f>
        <v>0</v>
      </c>
      <c r="V3685" s="7" t="n">
        <f aca="false">IF(AND(R3685=1,O3685&gt;Q3685),1,0)</f>
        <v>1</v>
      </c>
      <c r="W3685" s="7" t="n">
        <f aca="false">IF(AND(T3685=1,P3685&lt;&gt;"",P3685&lt;=Q3685),1,0)</f>
        <v>0</v>
      </c>
    </row>
    <row r="3686" customFormat="false" ht="15" hidden="false" customHeight="false" outlineLevel="0" collapsed="false">
      <c r="A3686" s="7" t="s">
        <v>4320</v>
      </c>
      <c r="B3686" s="7" t="s">
        <v>135</v>
      </c>
      <c r="C3686" s="7" t="s">
        <v>306</v>
      </c>
      <c r="D3686" s="7" t="s">
        <v>131</v>
      </c>
      <c r="E3686" s="7" t="s">
        <v>132</v>
      </c>
      <c r="F3686" s="7" t="s">
        <v>56</v>
      </c>
      <c r="G3686" s="7" t="s">
        <v>19</v>
      </c>
      <c r="H3686" s="9" t="n">
        <v>46220</v>
      </c>
      <c r="I3686" s="9"/>
      <c r="J3686" s="7" t="n">
        <v>9.8</v>
      </c>
      <c r="K3686" s="7" t="s">
        <v>4171</v>
      </c>
      <c r="L3686" s="7" t="s">
        <v>21</v>
      </c>
      <c r="M3686" s="7" t="s">
        <v>4324</v>
      </c>
      <c r="N3686" s="7" t="s">
        <v>58</v>
      </c>
      <c r="O3686" s="10" t="n">
        <f aca="false">'Exec Summary'!$E$2-H3686</f>
        <v>14</v>
      </c>
      <c r="P3686" s="10" t="str">
        <f aca="false">IF(I3686="","",I3686-H3686)</f>
        <v/>
      </c>
      <c r="Q3686" s="10" t="n">
        <f aca="false">VLOOKUP(G3686,$AA$2:$AB$5,2,FALSE())</f>
        <v>15</v>
      </c>
      <c r="R3686" s="7" t="n">
        <f aca="false">IF(OR(F3686="Open",F3686="Reopened"),1,0)</f>
        <v>1</v>
      </c>
      <c r="S3686" s="7" t="n">
        <f aca="false">IF(AND(H3686&gt;='Exec Summary'!$E$1,H3686&lt;='Exec Summary'!$E$2),1,0)</f>
        <v>1</v>
      </c>
      <c r="T3686" s="7" t="n">
        <f aca="false">IF(AND(F3686="Closed",I3686&lt;&gt;"",I3686&gt;='Exec Summary'!$E$1,I3686&lt;='Exec Summary'!$E$2),1,0)</f>
        <v>0</v>
      </c>
      <c r="U3686" s="7" t="n">
        <f aca="false">IF(F3686="Reopened",1,0)</f>
        <v>0</v>
      </c>
      <c r="V3686" s="7" t="n">
        <f aca="false">IF(AND(R3686=1,O3686&gt;Q3686),1,0)</f>
        <v>0</v>
      </c>
      <c r="W3686" s="7" t="n">
        <f aca="false">IF(AND(T3686=1,P3686&lt;&gt;"",P3686&lt;=Q3686),1,0)</f>
        <v>0</v>
      </c>
    </row>
    <row r="3687" customFormat="false" ht="15" hidden="false" customHeight="false" outlineLevel="0" collapsed="false">
      <c r="A3687" s="7" t="s">
        <v>4320</v>
      </c>
      <c r="B3687" s="7" t="s">
        <v>135</v>
      </c>
      <c r="C3687" s="7" t="s">
        <v>306</v>
      </c>
      <c r="D3687" s="7" t="s">
        <v>74</v>
      </c>
      <c r="E3687" s="7" t="s">
        <v>75</v>
      </c>
      <c r="F3687" s="7" t="s">
        <v>56</v>
      </c>
      <c r="G3687" s="7" t="s">
        <v>21</v>
      </c>
      <c r="H3687" s="9" t="n">
        <v>46120</v>
      </c>
      <c r="I3687" s="9"/>
      <c r="J3687" s="7" t="n">
        <v>6.5</v>
      </c>
      <c r="K3687" s="7" t="s">
        <v>4171</v>
      </c>
      <c r="L3687" s="7" t="s">
        <v>21</v>
      </c>
      <c r="M3687" s="7" t="s">
        <v>4325</v>
      </c>
      <c r="N3687" s="7" t="s">
        <v>77</v>
      </c>
      <c r="O3687" s="10" t="n">
        <f aca="false">'Exec Summary'!$E$2-H3687</f>
        <v>114</v>
      </c>
      <c r="P3687" s="10" t="str">
        <f aca="false">IF(I3687="","",I3687-H3687)</f>
        <v/>
      </c>
      <c r="Q3687" s="10" t="n">
        <f aca="false">VLOOKUP(G3687,$AA$2:$AB$5,2,FALSE())</f>
        <v>90</v>
      </c>
      <c r="R3687" s="7" t="n">
        <f aca="false">IF(OR(F3687="Open",F3687="Reopened"),1,0)</f>
        <v>1</v>
      </c>
      <c r="S3687" s="7" t="n">
        <f aca="false">IF(AND(H3687&gt;='Exec Summary'!$E$1,H3687&lt;='Exec Summary'!$E$2),1,0)</f>
        <v>0</v>
      </c>
      <c r="T3687" s="7" t="n">
        <f aca="false">IF(AND(F3687="Closed",I3687&lt;&gt;"",I3687&gt;='Exec Summary'!$E$1,I3687&lt;='Exec Summary'!$E$2),1,0)</f>
        <v>0</v>
      </c>
      <c r="U3687" s="7" t="n">
        <f aca="false">IF(F3687="Reopened",1,0)</f>
        <v>0</v>
      </c>
      <c r="V3687" s="7" t="n">
        <f aca="false">IF(AND(R3687=1,O3687&gt;Q3687),1,0)</f>
        <v>1</v>
      </c>
      <c r="W3687" s="7" t="n">
        <f aca="false">IF(AND(T3687=1,P3687&lt;&gt;"",P3687&lt;=Q3687),1,0)</f>
        <v>0</v>
      </c>
    </row>
    <row r="3688" customFormat="false" ht="15" hidden="false" customHeight="false" outlineLevel="0" collapsed="false">
      <c r="A3688" s="7" t="s">
        <v>4320</v>
      </c>
      <c r="B3688" s="7" t="s">
        <v>135</v>
      </c>
      <c r="C3688" s="7" t="s">
        <v>306</v>
      </c>
      <c r="D3688" s="7" t="s">
        <v>206</v>
      </c>
      <c r="E3688" s="7" t="s">
        <v>207</v>
      </c>
      <c r="F3688" s="7" t="s">
        <v>56</v>
      </c>
      <c r="G3688" s="7" t="s">
        <v>20</v>
      </c>
      <c r="H3688" s="9" t="n">
        <v>45983</v>
      </c>
      <c r="I3688" s="9"/>
      <c r="J3688" s="7" t="n">
        <v>8.8</v>
      </c>
      <c r="K3688" s="7" t="s">
        <v>4171</v>
      </c>
      <c r="L3688" s="7" t="s">
        <v>21</v>
      </c>
      <c r="M3688" s="7" t="s">
        <v>4326</v>
      </c>
      <c r="N3688" s="7" t="s">
        <v>53</v>
      </c>
      <c r="O3688" s="10" t="n">
        <f aca="false">'Exec Summary'!$E$2-H3688</f>
        <v>251</v>
      </c>
      <c r="P3688" s="10" t="str">
        <f aca="false">IF(I3688="","",I3688-H3688)</f>
        <v/>
      </c>
      <c r="Q3688" s="10" t="n">
        <f aca="false">VLOOKUP(G3688,$AA$2:$AB$5,2,FALSE())</f>
        <v>30</v>
      </c>
      <c r="R3688" s="7" t="n">
        <f aca="false">IF(OR(F3688="Open",F3688="Reopened"),1,0)</f>
        <v>1</v>
      </c>
      <c r="S3688" s="7" t="n">
        <f aca="false">IF(AND(H3688&gt;='Exec Summary'!$E$1,H3688&lt;='Exec Summary'!$E$2),1,0)</f>
        <v>0</v>
      </c>
      <c r="T3688" s="7" t="n">
        <f aca="false">IF(AND(F3688="Closed",I3688&lt;&gt;"",I3688&gt;='Exec Summary'!$E$1,I3688&lt;='Exec Summary'!$E$2),1,0)</f>
        <v>0</v>
      </c>
      <c r="U3688" s="7" t="n">
        <f aca="false">IF(F3688="Reopened",1,0)</f>
        <v>0</v>
      </c>
      <c r="V3688" s="7" t="n">
        <f aca="false">IF(AND(R3688=1,O3688&gt;Q3688),1,0)</f>
        <v>1</v>
      </c>
      <c r="W3688" s="7" t="n">
        <f aca="false">IF(AND(T3688=1,P3688&lt;&gt;"",P3688&lt;=Q3688),1,0)</f>
        <v>0</v>
      </c>
    </row>
    <row r="3689" customFormat="false" ht="15" hidden="false" customHeight="false" outlineLevel="0" collapsed="false">
      <c r="A3689" s="7" t="s">
        <v>4320</v>
      </c>
      <c r="B3689" s="7" t="s">
        <v>135</v>
      </c>
      <c r="C3689" s="7" t="s">
        <v>306</v>
      </c>
      <c r="D3689" s="7" t="s">
        <v>104</v>
      </c>
      <c r="E3689" s="7" t="s">
        <v>105</v>
      </c>
      <c r="F3689" s="7" t="s">
        <v>50</v>
      </c>
      <c r="G3689" s="7" t="s">
        <v>19</v>
      </c>
      <c r="H3689" s="9" t="n">
        <v>45935</v>
      </c>
      <c r="I3689" s="9" t="n">
        <v>45940</v>
      </c>
      <c r="J3689" s="7" t="n">
        <v>9.8</v>
      </c>
      <c r="K3689" s="7" t="s">
        <v>4171</v>
      </c>
      <c r="L3689" s="7" t="s">
        <v>21</v>
      </c>
      <c r="M3689" s="7" t="s">
        <v>4327</v>
      </c>
      <c r="N3689" s="7" t="s">
        <v>58</v>
      </c>
      <c r="O3689" s="10" t="n">
        <f aca="false">'Exec Summary'!$E$2-H3689</f>
        <v>299</v>
      </c>
      <c r="P3689" s="10" t="n">
        <f aca="false">IF(I3689="","",I3689-H3689)</f>
        <v>5</v>
      </c>
      <c r="Q3689" s="10" t="n">
        <f aca="false">VLOOKUP(G3689,$AA$2:$AB$5,2,FALSE())</f>
        <v>15</v>
      </c>
      <c r="R3689" s="7" t="n">
        <f aca="false">IF(OR(F3689="Open",F3689="Reopened"),1,0)</f>
        <v>0</v>
      </c>
      <c r="S3689" s="7" t="n">
        <f aca="false">IF(AND(H3689&gt;='Exec Summary'!$E$1,H3689&lt;='Exec Summary'!$E$2),1,0)</f>
        <v>0</v>
      </c>
      <c r="T3689" s="7" t="n">
        <f aca="false">IF(AND(F3689="Closed",I3689&lt;&gt;"",I3689&gt;='Exec Summary'!$E$1,I3689&lt;='Exec Summary'!$E$2),1,0)</f>
        <v>0</v>
      </c>
      <c r="U3689" s="7" t="n">
        <f aca="false">IF(F3689="Reopened",1,0)</f>
        <v>0</v>
      </c>
      <c r="V3689" s="7" t="n">
        <f aca="false">IF(AND(R3689=1,O3689&gt;Q3689),1,0)</f>
        <v>0</v>
      </c>
      <c r="W3689" s="7" t="n">
        <f aca="false">IF(AND(T3689=1,P3689&lt;&gt;"",P3689&lt;=Q3689),1,0)</f>
        <v>0</v>
      </c>
    </row>
    <row r="3690" customFormat="false" ht="15" hidden="false" customHeight="false" outlineLevel="0" collapsed="false">
      <c r="A3690" s="7" t="s">
        <v>4320</v>
      </c>
      <c r="B3690" s="7" t="s">
        <v>135</v>
      </c>
      <c r="C3690" s="7" t="s">
        <v>306</v>
      </c>
      <c r="D3690" s="7" t="s">
        <v>101</v>
      </c>
      <c r="E3690" s="7" t="s">
        <v>102</v>
      </c>
      <c r="F3690" s="7" t="s">
        <v>50</v>
      </c>
      <c r="G3690" s="7" t="s">
        <v>19</v>
      </c>
      <c r="H3690" s="9" t="n">
        <v>46214</v>
      </c>
      <c r="I3690" s="9" t="n">
        <v>46224</v>
      </c>
      <c r="J3690" s="7" t="n">
        <v>10</v>
      </c>
      <c r="K3690" s="7" t="s">
        <v>4171</v>
      </c>
      <c r="L3690" s="7" t="s">
        <v>21</v>
      </c>
      <c r="M3690" s="7" t="s">
        <v>4328</v>
      </c>
      <c r="N3690" s="7" t="s">
        <v>58</v>
      </c>
      <c r="O3690" s="10" t="n">
        <f aca="false">'Exec Summary'!$E$2-H3690</f>
        <v>20</v>
      </c>
      <c r="P3690" s="10" t="n">
        <f aca="false">IF(I3690="","",I3690-H3690)</f>
        <v>10</v>
      </c>
      <c r="Q3690" s="10" t="n">
        <f aca="false">VLOOKUP(G3690,$AA$2:$AB$5,2,FALSE())</f>
        <v>15</v>
      </c>
      <c r="R3690" s="7" t="n">
        <f aca="false">IF(OR(F3690="Open",F3690="Reopened"),1,0)</f>
        <v>0</v>
      </c>
      <c r="S3690" s="7" t="n">
        <f aca="false">IF(AND(H3690&gt;='Exec Summary'!$E$1,H3690&lt;='Exec Summary'!$E$2),1,0)</f>
        <v>1</v>
      </c>
      <c r="T3690" s="7" t="n">
        <f aca="false">IF(AND(F3690="Closed",I3690&lt;&gt;"",I3690&gt;='Exec Summary'!$E$1,I3690&lt;='Exec Summary'!$E$2),1,0)</f>
        <v>1</v>
      </c>
      <c r="U3690" s="7" t="n">
        <f aca="false">IF(F3690="Reopened",1,0)</f>
        <v>0</v>
      </c>
      <c r="V3690" s="7" t="n">
        <f aca="false">IF(AND(R3690=1,O3690&gt;Q3690),1,0)</f>
        <v>0</v>
      </c>
      <c r="W3690" s="7" t="n">
        <f aca="false">IF(AND(T3690=1,P3690&lt;&gt;"",P3690&lt;=Q3690),1,0)</f>
        <v>1</v>
      </c>
    </row>
    <row r="3691" customFormat="false" ht="15" hidden="false" customHeight="false" outlineLevel="0" collapsed="false">
      <c r="A3691" s="7" t="s">
        <v>4320</v>
      </c>
      <c r="B3691" s="7" t="s">
        <v>135</v>
      </c>
      <c r="C3691" s="7" t="s">
        <v>306</v>
      </c>
      <c r="D3691" s="7" t="s">
        <v>59</v>
      </c>
      <c r="E3691" s="7" t="s">
        <v>60</v>
      </c>
      <c r="F3691" s="7" t="s">
        <v>50</v>
      </c>
      <c r="G3691" s="7" t="s">
        <v>19</v>
      </c>
      <c r="H3691" s="9" t="n">
        <v>46143</v>
      </c>
      <c r="I3691" s="9" t="n">
        <v>46152</v>
      </c>
      <c r="J3691" s="7" t="n">
        <v>7.8</v>
      </c>
      <c r="K3691" s="7" t="s">
        <v>4171</v>
      </c>
      <c r="L3691" s="7" t="s">
        <v>21</v>
      </c>
      <c r="M3691" s="7" t="s">
        <v>4329</v>
      </c>
      <c r="N3691" s="7" t="s">
        <v>58</v>
      </c>
      <c r="O3691" s="10" t="n">
        <f aca="false">'Exec Summary'!$E$2-H3691</f>
        <v>91</v>
      </c>
      <c r="P3691" s="10" t="n">
        <f aca="false">IF(I3691="","",I3691-H3691)</f>
        <v>9</v>
      </c>
      <c r="Q3691" s="10" t="n">
        <f aca="false">VLOOKUP(G3691,$AA$2:$AB$5,2,FALSE())</f>
        <v>15</v>
      </c>
      <c r="R3691" s="7" t="n">
        <f aca="false">IF(OR(F3691="Open",F3691="Reopened"),1,0)</f>
        <v>0</v>
      </c>
      <c r="S3691" s="7" t="n">
        <f aca="false">IF(AND(H3691&gt;='Exec Summary'!$E$1,H3691&lt;='Exec Summary'!$E$2),1,0)</f>
        <v>0</v>
      </c>
      <c r="T3691" s="7" t="n">
        <f aca="false">IF(AND(F3691="Closed",I3691&lt;&gt;"",I3691&gt;='Exec Summary'!$E$1,I3691&lt;='Exec Summary'!$E$2),1,0)</f>
        <v>0</v>
      </c>
      <c r="U3691" s="7" t="n">
        <f aca="false">IF(F3691="Reopened",1,0)</f>
        <v>0</v>
      </c>
      <c r="V3691" s="7" t="n">
        <f aca="false">IF(AND(R3691=1,O3691&gt;Q3691),1,0)</f>
        <v>0</v>
      </c>
      <c r="W3691" s="7" t="n">
        <f aca="false">IF(AND(T3691=1,P3691&lt;&gt;"",P3691&lt;=Q3691),1,0)</f>
        <v>0</v>
      </c>
    </row>
    <row r="3692" customFormat="false" ht="15" hidden="false" customHeight="false" outlineLevel="0" collapsed="false">
      <c r="A3692" s="7" t="s">
        <v>4320</v>
      </c>
      <c r="B3692" s="7" t="s">
        <v>135</v>
      </c>
      <c r="C3692" s="7" t="s">
        <v>306</v>
      </c>
      <c r="D3692" s="7" t="s">
        <v>145</v>
      </c>
      <c r="E3692" s="7" t="s">
        <v>146</v>
      </c>
      <c r="F3692" s="7" t="s">
        <v>56</v>
      </c>
      <c r="G3692" s="7" t="s">
        <v>19</v>
      </c>
      <c r="H3692" s="9" t="n">
        <v>45995</v>
      </c>
      <c r="I3692" s="9"/>
      <c r="J3692" s="7" t="n">
        <v>9.8</v>
      </c>
      <c r="K3692" s="7" t="s">
        <v>4171</v>
      </c>
      <c r="L3692" s="7" t="s">
        <v>21</v>
      </c>
      <c r="M3692" s="7" t="s">
        <v>4330</v>
      </c>
      <c r="N3692" s="7" t="s">
        <v>58</v>
      </c>
      <c r="O3692" s="10" t="n">
        <f aca="false">'Exec Summary'!$E$2-H3692</f>
        <v>239</v>
      </c>
      <c r="P3692" s="10" t="str">
        <f aca="false">IF(I3692="","",I3692-H3692)</f>
        <v/>
      </c>
      <c r="Q3692" s="10" t="n">
        <f aca="false">VLOOKUP(G3692,$AA$2:$AB$5,2,FALSE())</f>
        <v>15</v>
      </c>
      <c r="R3692" s="7" t="n">
        <f aca="false">IF(OR(F3692="Open",F3692="Reopened"),1,0)</f>
        <v>1</v>
      </c>
      <c r="S3692" s="7" t="n">
        <f aca="false">IF(AND(H3692&gt;='Exec Summary'!$E$1,H3692&lt;='Exec Summary'!$E$2),1,0)</f>
        <v>0</v>
      </c>
      <c r="T3692" s="7" t="n">
        <f aca="false">IF(AND(F3692="Closed",I3692&lt;&gt;"",I3692&gt;='Exec Summary'!$E$1,I3692&lt;='Exec Summary'!$E$2),1,0)</f>
        <v>0</v>
      </c>
      <c r="U3692" s="7" t="n">
        <f aca="false">IF(F3692="Reopened",1,0)</f>
        <v>0</v>
      </c>
      <c r="V3692" s="7" t="n">
        <f aca="false">IF(AND(R3692=1,O3692&gt;Q3692),1,0)</f>
        <v>1</v>
      </c>
      <c r="W3692" s="7" t="n">
        <f aca="false">IF(AND(T3692=1,P3692&lt;&gt;"",P3692&lt;=Q3692),1,0)</f>
        <v>0</v>
      </c>
    </row>
    <row r="3693" customFormat="false" ht="15" hidden="false" customHeight="false" outlineLevel="0" collapsed="false">
      <c r="A3693" s="7" t="s">
        <v>4320</v>
      </c>
      <c r="B3693" s="7" t="s">
        <v>135</v>
      </c>
      <c r="C3693" s="7" t="s">
        <v>306</v>
      </c>
      <c r="D3693" s="7" t="s">
        <v>62</v>
      </c>
      <c r="E3693" s="7" t="s">
        <v>63</v>
      </c>
      <c r="F3693" s="7" t="s">
        <v>50</v>
      </c>
      <c r="G3693" s="7" t="s">
        <v>20</v>
      </c>
      <c r="H3693" s="9" t="n">
        <v>46044</v>
      </c>
      <c r="I3693" s="9" t="n">
        <v>46070</v>
      </c>
      <c r="J3693" s="7" t="n">
        <v>8.1</v>
      </c>
      <c r="K3693" s="7" t="s">
        <v>4171</v>
      </c>
      <c r="L3693" s="7" t="s">
        <v>21</v>
      </c>
      <c r="M3693" s="7" t="s">
        <v>4331</v>
      </c>
      <c r="N3693" s="7" t="s">
        <v>53</v>
      </c>
      <c r="O3693" s="10" t="n">
        <f aca="false">'Exec Summary'!$E$2-H3693</f>
        <v>190</v>
      </c>
      <c r="P3693" s="10" t="n">
        <f aca="false">IF(I3693="","",I3693-H3693)</f>
        <v>26</v>
      </c>
      <c r="Q3693" s="10" t="n">
        <f aca="false">VLOOKUP(G3693,$AA$2:$AB$5,2,FALSE())</f>
        <v>30</v>
      </c>
      <c r="R3693" s="7" t="n">
        <f aca="false">IF(OR(F3693="Open",F3693="Reopened"),1,0)</f>
        <v>0</v>
      </c>
      <c r="S3693" s="7" t="n">
        <f aca="false">IF(AND(H3693&gt;='Exec Summary'!$E$1,H3693&lt;='Exec Summary'!$E$2),1,0)</f>
        <v>0</v>
      </c>
      <c r="T3693" s="7" t="n">
        <f aca="false">IF(AND(F3693="Closed",I3693&lt;&gt;"",I3693&gt;='Exec Summary'!$E$1,I3693&lt;='Exec Summary'!$E$2),1,0)</f>
        <v>0</v>
      </c>
      <c r="U3693" s="7" t="n">
        <f aca="false">IF(F3693="Reopened",1,0)</f>
        <v>0</v>
      </c>
      <c r="V3693" s="7" t="n">
        <f aca="false">IF(AND(R3693=1,O3693&gt;Q3693),1,0)</f>
        <v>0</v>
      </c>
      <c r="W3693" s="7" t="n">
        <f aca="false">IF(AND(T3693=1,P3693&lt;&gt;"",P3693&lt;=Q3693),1,0)</f>
        <v>0</v>
      </c>
    </row>
    <row r="3694" customFormat="false" ht="15" hidden="false" customHeight="false" outlineLevel="0" collapsed="false">
      <c r="A3694" s="7" t="s">
        <v>4320</v>
      </c>
      <c r="B3694" s="7" t="s">
        <v>135</v>
      </c>
      <c r="C3694" s="7" t="s">
        <v>306</v>
      </c>
      <c r="D3694" s="7" t="s">
        <v>192</v>
      </c>
      <c r="E3694" s="7" t="s">
        <v>193</v>
      </c>
      <c r="F3694" s="7" t="s">
        <v>56</v>
      </c>
      <c r="G3694" s="7" t="s">
        <v>19</v>
      </c>
      <c r="H3694" s="9" t="n">
        <v>45957</v>
      </c>
      <c r="I3694" s="9"/>
      <c r="J3694" s="7" t="n">
        <v>9.8</v>
      </c>
      <c r="K3694" s="7" t="s">
        <v>4171</v>
      </c>
      <c r="L3694" s="7" t="s">
        <v>21</v>
      </c>
      <c r="M3694" s="7" t="s">
        <v>4332</v>
      </c>
      <c r="N3694" s="7" t="s">
        <v>58</v>
      </c>
      <c r="O3694" s="10" t="n">
        <f aca="false">'Exec Summary'!$E$2-H3694</f>
        <v>277</v>
      </c>
      <c r="P3694" s="10" t="str">
        <f aca="false">IF(I3694="","",I3694-H3694)</f>
        <v/>
      </c>
      <c r="Q3694" s="10" t="n">
        <f aca="false">VLOOKUP(G3694,$AA$2:$AB$5,2,FALSE())</f>
        <v>15</v>
      </c>
      <c r="R3694" s="7" t="n">
        <f aca="false">IF(OR(F3694="Open",F3694="Reopened"),1,0)</f>
        <v>1</v>
      </c>
      <c r="S3694" s="7" t="n">
        <f aca="false">IF(AND(H3694&gt;='Exec Summary'!$E$1,H3694&lt;='Exec Summary'!$E$2),1,0)</f>
        <v>0</v>
      </c>
      <c r="T3694" s="7" t="n">
        <f aca="false">IF(AND(F3694="Closed",I3694&lt;&gt;"",I3694&gt;='Exec Summary'!$E$1,I3694&lt;='Exec Summary'!$E$2),1,0)</f>
        <v>0</v>
      </c>
      <c r="U3694" s="7" t="n">
        <f aca="false">IF(F3694="Reopened",1,0)</f>
        <v>0</v>
      </c>
      <c r="V3694" s="7" t="n">
        <f aca="false">IF(AND(R3694=1,O3694&gt;Q3694),1,0)</f>
        <v>1</v>
      </c>
      <c r="W3694" s="7" t="n">
        <f aca="false">IF(AND(T3694=1,P3694&lt;&gt;"",P3694&lt;=Q3694),1,0)</f>
        <v>0</v>
      </c>
    </row>
    <row r="3695" customFormat="false" ht="15" hidden="false" customHeight="false" outlineLevel="0" collapsed="false">
      <c r="A3695" s="7" t="s">
        <v>4320</v>
      </c>
      <c r="B3695" s="7" t="s">
        <v>135</v>
      </c>
      <c r="C3695" s="7" t="s">
        <v>306</v>
      </c>
      <c r="D3695" s="7" t="s">
        <v>91</v>
      </c>
      <c r="E3695" s="7" t="s">
        <v>92</v>
      </c>
      <c r="F3695" s="7" t="s">
        <v>50</v>
      </c>
      <c r="G3695" s="7" t="s">
        <v>20</v>
      </c>
      <c r="H3695" s="9" t="n">
        <v>46164</v>
      </c>
      <c r="I3695" s="9" t="n">
        <v>46165</v>
      </c>
      <c r="J3695" s="7" t="n">
        <v>8.1</v>
      </c>
      <c r="K3695" s="7" t="s">
        <v>4171</v>
      </c>
      <c r="L3695" s="7" t="s">
        <v>21</v>
      </c>
      <c r="M3695" s="7" t="s">
        <v>4333</v>
      </c>
      <c r="N3695" s="7" t="s">
        <v>53</v>
      </c>
      <c r="O3695" s="10" t="n">
        <f aca="false">'Exec Summary'!$E$2-H3695</f>
        <v>70</v>
      </c>
      <c r="P3695" s="10" t="n">
        <f aca="false">IF(I3695="","",I3695-H3695)</f>
        <v>1</v>
      </c>
      <c r="Q3695" s="10" t="n">
        <f aca="false">VLOOKUP(G3695,$AA$2:$AB$5,2,FALSE())</f>
        <v>30</v>
      </c>
      <c r="R3695" s="7" t="n">
        <f aca="false">IF(OR(F3695="Open",F3695="Reopened"),1,0)</f>
        <v>0</v>
      </c>
      <c r="S3695" s="7" t="n">
        <f aca="false">IF(AND(H3695&gt;='Exec Summary'!$E$1,H3695&lt;='Exec Summary'!$E$2),1,0)</f>
        <v>0</v>
      </c>
      <c r="T3695" s="7" t="n">
        <f aca="false">IF(AND(F3695="Closed",I3695&lt;&gt;"",I3695&gt;='Exec Summary'!$E$1,I3695&lt;='Exec Summary'!$E$2),1,0)</f>
        <v>0</v>
      </c>
      <c r="U3695" s="7" t="n">
        <f aca="false">IF(F3695="Reopened",1,0)</f>
        <v>0</v>
      </c>
      <c r="V3695" s="7" t="n">
        <f aca="false">IF(AND(R3695=1,O3695&gt;Q3695),1,0)</f>
        <v>0</v>
      </c>
      <c r="W3695" s="7" t="n">
        <f aca="false">IF(AND(T3695=1,P3695&lt;&gt;"",P3695&lt;=Q3695),1,0)</f>
        <v>0</v>
      </c>
    </row>
    <row r="3696" customFormat="false" ht="15" hidden="false" customHeight="false" outlineLevel="0" collapsed="false">
      <c r="A3696" s="7" t="s">
        <v>4320</v>
      </c>
      <c r="B3696" s="7" t="s">
        <v>135</v>
      </c>
      <c r="C3696" s="7" t="s">
        <v>306</v>
      </c>
      <c r="D3696" s="7" t="s">
        <v>173</v>
      </c>
      <c r="E3696" s="7" t="s">
        <v>174</v>
      </c>
      <c r="F3696" s="7" t="s">
        <v>56</v>
      </c>
      <c r="G3696" s="7" t="s">
        <v>19</v>
      </c>
      <c r="H3696" s="9" t="n">
        <v>46002</v>
      </c>
      <c r="I3696" s="9"/>
      <c r="J3696" s="7" t="n">
        <v>9.8</v>
      </c>
      <c r="K3696" s="7" t="s">
        <v>4171</v>
      </c>
      <c r="L3696" s="7" t="s">
        <v>21</v>
      </c>
      <c r="M3696" s="7" t="s">
        <v>4334</v>
      </c>
      <c r="N3696" s="7" t="s">
        <v>58</v>
      </c>
      <c r="O3696" s="10" t="n">
        <f aca="false">'Exec Summary'!$E$2-H3696</f>
        <v>232</v>
      </c>
      <c r="P3696" s="10" t="str">
        <f aca="false">IF(I3696="","",I3696-H3696)</f>
        <v/>
      </c>
      <c r="Q3696" s="10" t="n">
        <f aca="false">VLOOKUP(G3696,$AA$2:$AB$5,2,FALSE())</f>
        <v>15</v>
      </c>
      <c r="R3696" s="7" t="n">
        <f aca="false">IF(OR(F3696="Open",F3696="Reopened"),1,0)</f>
        <v>1</v>
      </c>
      <c r="S3696" s="7" t="n">
        <f aca="false">IF(AND(H3696&gt;='Exec Summary'!$E$1,H3696&lt;='Exec Summary'!$E$2),1,0)</f>
        <v>0</v>
      </c>
      <c r="T3696" s="7" t="n">
        <f aca="false">IF(AND(F3696="Closed",I3696&lt;&gt;"",I3696&gt;='Exec Summary'!$E$1,I3696&lt;='Exec Summary'!$E$2),1,0)</f>
        <v>0</v>
      </c>
      <c r="U3696" s="7" t="n">
        <f aca="false">IF(F3696="Reopened",1,0)</f>
        <v>0</v>
      </c>
      <c r="V3696" s="7" t="n">
        <f aca="false">IF(AND(R3696=1,O3696&gt;Q3696),1,0)</f>
        <v>1</v>
      </c>
      <c r="W3696" s="7" t="n">
        <f aca="false">IF(AND(T3696=1,P3696&lt;&gt;"",P3696&lt;=Q3696),1,0)</f>
        <v>0</v>
      </c>
    </row>
    <row r="3697" customFormat="false" ht="15" hidden="false" customHeight="false" outlineLevel="0" collapsed="false">
      <c r="A3697" s="7" t="s">
        <v>4335</v>
      </c>
      <c r="B3697" s="7" t="s">
        <v>46</v>
      </c>
      <c r="C3697" s="7" t="s">
        <v>158</v>
      </c>
      <c r="D3697" s="7" t="s">
        <v>152</v>
      </c>
      <c r="E3697" s="7" t="s">
        <v>153</v>
      </c>
      <c r="F3697" s="7" t="s">
        <v>50</v>
      </c>
      <c r="G3697" s="7" t="s">
        <v>20</v>
      </c>
      <c r="H3697" s="9" t="n">
        <v>46098</v>
      </c>
      <c r="I3697" s="9" t="n">
        <v>46099</v>
      </c>
      <c r="J3697" s="7" t="n">
        <v>7.5</v>
      </c>
      <c r="K3697" s="7" t="s">
        <v>4171</v>
      </c>
      <c r="L3697" s="7" t="s">
        <v>21</v>
      </c>
      <c r="M3697" s="7" t="s">
        <v>4336</v>
      </c>
      <c r="N3697" s="7" t="s">
        <v>53</v>
      </c>
      <c r="O3697" s="10" t="n">
        <f aca="false">'Exec Summary'!$E$2-H3697</f>
        <v>136</v>
      </c>
      <c r="P3697" s="10" t="n">
        <f aca="false">IF(I3697="","",I3697-H3697)</f>
        <v>1</v>
      </c>
      <c r="Q3697" s="10" t="n">
        <f aca="false">VLOOKUP(G3697,$AA$2:$AB$5,2,FALSE())</f>
        <v>30</v>
      </c>
      <c r="R3697" s="7" t="n">
        <f aca="false">IF(OR(F3697="Open",F3697="Reopened"),1,0)</f>
        <v>0</v>
      </c>
      <c r="S3697" s="7" t="n">
        <f aca="false">IF(AND(H3697&gt;='Exec Summary'!$E$1,H3697&lt;='Exec Summary'!$E$2),1,0)</f>
        <v>0</v>
      </c>
      <c r="T3697" s="7" t="n">
        <f aca="false">IF(AND(F3697="Closed",I3697&lt;&gt;"",I3697&gt;='Exec Summary'!$E$1,I3697&lt;='Exec Summary'!$E$2),1,0)</f>
        <v>0</v>
      </c>
      <c r="U3697" s="7" t="n">
        <f aca="false">IF(F3697="Reopened",1,0)</f>
        <v>0</v>
      </c>
      <c r="V3697" s="7" t="n">
        <f aca="false">IF(AND(R3697=1,O3697&gt;Q3697),1,0)</f>
        <v>0</v>
      </c>
      <c r="W3697" s="7" t="n">
        <f aca="false">IF(AND(T3697=1,P3697&lt;&gt;"",P3697&lt;=Q3697),1,0)</f>
        <v>0</v>
      </c>
    </row>
    <row r="3698" customFormat="false" ht="15" hidden="false" customHeight="false" outlineLevel="0" collapsed="false">
      <c r="A3698" s="7" t="s">
        <v>4335</v>
      </c>
      <c r="B3698" s="7" t="s">
        <v>46</v>
      </c>
      <c r="C3698" s="7" t="s">
        <v>158</v>
      </c>
      <c r="D3698" s="7" t="s">
        <v>48</v>
      </c>
      <c r="E3698" s="7" t="s">
        <v>49</v>
      </c>
      <c r="F3698" s="7" t="s">
        <v>50</v>
      </c>
      <c r="G3698" s="7" t="s">
        <v>20</v>
      </c>
      <c r="H3698" s="9" t="n">
        <v>46074</v>
      </c>
      <c r="I3698" s="9" t="n">
        <v>46121</v>
      </c>
      <c r="J3698" s="7" t="n">
        <v>7.5</v>
      </c>
      <c r="K3698" s="7" t="s">
        <v>4171</v>
      </c>
      <c r="L3698" s="7" t="s">
        <v>21</v>
      </c>
      <c r="M3698" s="7" t="s">
        <v>4337</v>
      </c>
      <c r="N3698" s="7" t="s">
        <v>53</v>
      </c>
      <c r="O3698" s="10" t="n">
        <f aca="false">'Exec Summary'!$E$2-H3698</f>
        <v>160</v>
      </c>
      <c r="P3698" s="10" t="n">
        <f aca="false">IF(I3698="","",I3698-H3698)</f>
        <v>47</v>
      </c>
      <c r="Q3698" s="10" t="n">
        <f aca="false">VLOOKUP(G3698,$AA$2:$AB$5,2,FALSE())</f>
        <v>30</v>
      </c>
      <c r="R3698" s="7" t="n">
        <f aca="false">IF(OR(F3698="Open",F3698="Reopened"),1,0)</f>
        <v>0</v>
      </c>
      <c r="S3698" s="7" t="n">
        <f aca="false">IF(AND(H3698&gt;='Exec Summary'!$E$1,H3698&lt;='Exec Summary'!$E$2),1,0)</f>
        <v>0</v>
      </c>
      <c r="T3698" s="7" t="n">
        <f aca="false">IF(AND(F3698="Closed",I3698&lt;&gt;"",I3698&gt;='Exec Summary'!$E$1,I3698&lt;='Exec Summary'!$E$2),1,0)</f>
        <v>0</v>
      </c>
      <c r="U3698" s="7" t="n">
        <f aca="false">IF(F3698="Reopened",1,0)</f>
        <v>0</v>
      </c>
      <c r="V3698" s="7" t="n">
        <f aca="false">IF(AND(R3698=1,O3698&gt;Q3698),1,0)</f>
        <v>0</v>
      </c>
      <c r="W3698" s="7" t="n">
        <f aca="false">IF(AND(T3698=1,P3698&lt;&gt;"",P3698&lt;=Q3698),1,0)</f>
        <v>0</v>
      </c>
    </row>
    <row r="3699" customFormat="false" ht="15" hidden="false" customHeight="false" outlineLevel="0" collapsed="false">
      <c r="A3699" s="7" t="s">
        <v>4335</v>
      </c>
      <c r="B3699" s="7" t="s">
        <v>46</v>
      </c>
      <c r="C3699" s="7" t="s">
        <v>158</v>
      </c>
      <c r="D3699" s="7" t="s">
        <v>173</v>
      </c>
      <c r="E3699" s="7" t="s">
        <v>174</v>
      </c>
      <c r="F3699" s="7" t="s">
        <v>56</v>
      </c>
      <c r="G3699" s="7" t="s">
        <v>19</v>
      </c>
      <c r="H3699" s="9" t="n">
        <v>46165</v>
      </c>
      <c r="I3699" s="9"/>
      <c r="J3699" s="7" t="n">
        <v>9.8</v>
      </c>
      <c r="K3699" s="7" t="s">
        <v>4171</v>
      </c>
      <c r="L3699" s="7" t="s">
        <v>21</v>
      </c>
      <c r="M3699" s="7" t="s">
        <v>4338</v>
      </c>
      <c r="N3699" s="7" t="s">
        <v>58</v>
      </c>
      <c r="O3699" s="10" t="n">
        <f aca="false">'Exec Summary'!$E$2-H3699</f>
        <v>69</v>
      </c>
      <c r="P3699" s="10" t="str">
        <f aca="false">IF(I3699="","",I3699-H3699)</f>
        <v/>
      </c>
      <c r="Q3699" s="10" t="n">
        <f aca="false">VLOOKUP(G3699,$AA$2:$AB$5,2,FALSE())</f>
        <v>15</v>
      </c>
      <c r="R3699" s="7" t="n">
        <f aca="false">IF(OR(F3699="Open",F3699="Reopened"),1,0)</f>
        <v>1</v>
      </c>
      <c r="S3699" s="7" t="n">
        <f aca="false">IF(AND(H3699&gt;='Exec Summary'!$E$1,H3699&lt;='Exec Summary'!$E$2),1,0)</f>
        <v>0</v>
      </c>
      <c r="T3699" s="7" t="n">
        <f aca="false">IF(AND(F3699="Closed",I3699&lt;&gt;"",I3699&gt;='Exec Summary'!$E$1,I3699&lt;='Exec Summary'!$E$2),1,0)</f>
        <v>0</v>
      </c>
      <c r="U3699" s="7" t="n">
        <f aca="false">IF(F3699="Reopened",1,0)</f>
        <v>0</v>
      </c>
      <c r="V3699" s="7" t="n">
        <f aca="false">IF(AND(R3699=1,O3699&gt;Q3699),1,0)</f>
        <v>1</v>
      </c>
      <c r="W3699" s="7" t="n">
        <f aca="false">IF(AND(T3699=1,P3699&lt;&gt;"",P3699&lt;=Q3699),1,0)</f>
        <v>0</v>
      </c>
    </row>
    <row r="3700" customFormat="false" ht="15" hidden="false" customHeight="false" outlineLevel="0" collapsed="false">
      <c r="A3700" s="7" t="s">
        <v>4335</v>
      </c>
      <c r="B3700" s="7" t="s">
        <v>46</v>
      </c>
      <c r="C3700" s="7" t="s">
        <v>158</v>
      </c>
      <c r="D3700" s="7" t="s">
        <v>71</v>
      </c>
      <c r="E3700" s="7" t="s">
        <v>72</v>
      </c>
      <c r="F3700" s="7" t="s">
        <v>56</v>
      </c>
      <c r="G3700" s="7" t="s">
        <v>19</v>
      </c>
      <c r="H3700" s="9" t="n">
        <v>46145</v>
      </c>
      <c r="I3700" s="9"/>
      <c r="J3700" s="7" t="n">
        <v>9.8</v>
      </c>
      <c r="K3700" s="7" t="s">
        <v>4171</v>
      </c>
      <c r="L3700" s="7" t="s">
        <v>21</v>
      </c>
      <c r="M3700" s="7" t="s">
        <v>4339</v>
      </c>
      <c r="N3700" s="7" t="s">
        <v>58</v>
      </c>
      <c r="O3700" s="10" t="n">
        <f aca="false">'Exec Summary'!$E$2-H3700</f>
        <v>89</v>
      </c>
      <c r="P3700" s="10" t="str">
        <f aca="false">IF(I3700="","",I3700-H3700)</f>
        <v/>
      </c>
      <c r="Q3700" s="10" t="n">
        <f aca="false">VLOOKUP(G3700,$AA$2:$AB$5,2,FALSE())</f>
        <v>15</v>
      </c>
      <c r="R3700" s="7" t="n">
        <f aca="false">IF(OR(F3700="Open",F3700="Reopened"),1,0)</f>
        <v>1</v>
      </c>
      <c r="S3700" s="7" t="n">
        <f aca="false">IF(AND(H3700&gt;='Exec Summary'!$E$1,H3700&lt;='Exec Summary'!$E$2),1,0)</f>
        <v>0</v>
      </c>
      <c r="T3700" s="7" t="n">
        <f aca="false">IF(AND(F3700="Closed",I3700&lt;&gt;"",I3700&gt;='Exec Summary'!$E$1,I3700&lt;='Exec Summary'!$E$2),1,0)</f>
        <v>0</v>
      </c>
      <c r="U3700" s="7" t="n">
        <f aca="false">IF(F3700="Reopened",1,0)</f>
        <v>0</v>
      </c>
      <c r="V3700" s="7" t="n">
        <f aca="false">IF(AND(R3700=1,O3700&gt;Q3700),1,0)</f>
        <v>1</v>
      </c>
      <c r="W3700" s="7" t="n">
        <f aca="false">IF(AND(T3700=1,P3700&lt;&gt;"",P3700&lt;=Q3700),1,0)</f>
        <v>0</v>
      </c>
    </row>
    <row r="3701" customFormat="false" ht="15" hidden="false" customHeight="false" outlineLevel="0" collapsed="false">
      <c r="A3701" s="7" t="s">
        <v>4335</v>
      </c>
      <c r="B3701" s="7" t="s">
        <v>46</v>
      </c>
      <c r="C3701" s="7" t="s">
        <v>158</v>
      </c>
      <c r="D3701" s="7" t="s">
        <v>210</v>
      </c>
      <c r="E3701" s="7" t="s">
        <v>211</v>
      </c>
      <c r="F3701" s="7" t="s">
        <v>56</v>
      </c>
      <c r="G3701" s="7" t="s">
        <v>19</v>
      </c>
      <c r="H3701" s="9" t="n">
        <v>46087</v>
      </c>
      <c r="I3701" s="9"/>
      <c r="J3701" s="7" t="n">
        <v>9.8</v>
      </c>
      <c r="K3701" s="7" t="s">
        <v>4171</v>
      </c>
      <c r="L3701" s="7" t="s">
        <v>21</v>
      </c>
      <c r="M3701" s="7" t="s">
        <v>4340</v>
      </c>
      <c r="N3701" s="7" t="s">
        <v>58</v>
      </c>
      <c r="O3701" s="10" t="n">
        <f aca="false">'Exec Summary'!$E$2-H3701</f>
        <v>147</v>
      </c>
      <c r="P3701" s="10" t="str">
        <f aca="false">IF(I3701="","",I3701-H3701)</f>
        <v/>
      </c>
      <c r="Q3701" s="10" t="n">
        <f aca="false">VLOOKUP(G3701,$AA$2:$AB$5,2,FALSE())</f>
        <v>15</v>
      </c>
      <c r="R3701" s="7" t="n">
        <f aca="false">IF(OR(F3701="Open",F3701="Reopened"),1,0)</f>
        <v>1</v>
      </c>
      <c r="S3701" s="7" t="n">
        <f aca="false">IF(AND(H3701&gt;='Exec Summary'!$E$1,H3701&lt;='Exec Summary'!$E$2),1,0)</f>
        <v>0</v>
      </c>
      <c r="T3701" s="7" t="n">
        <f aca="false">IF(AND(F3701="Closed",I3701&lt;&gt;"",I3701&gt;='Exec Summary'!$E$1,I3701&lt;='Exec Summary'!$E$2),1,0)</f>
        <v>0</v>
      </c>
      <c r="U3701" s="7" t="n">
        <f aca="false">IF(F3701="Reopened",1,0)</f>
        <v>0</v>
      </c>
      <c r="V3701" s="7" t="n">
        <f aca="false">IF(AND(R3701=1,O3701&gt;Q3701),1,0)</f>
        <v>1</v>
      </c>
      <c r="W3701" s="7" t="n">
        <f aca="false">IF(AND(T3701=1,P3701&lt;&gt;"",P3701&lt;=Q3701),1,0)</f>
        <v>0</v>
      </c>
    </row>
    <row r="3702" customFormat="false" ht="15" hidden="false" customHeight="false" outlineLevel="0" collapsed="false">
      <c r="A3702" s="7" t="s">
        <v>4335</v>
      </c>
      <c r="B3702" s="7" t="s">
        <v>46</v>
      </c>
      <c r="C3702" s="7" t="s">
        <v>158</v>
      </c>
      <c r="D3702" s="7" t="s">
        <v>206</v>
      </c>
      <c r="E3702" s="7" t="s">
        <v>207</v>
      </c>
      <c r="F3702" s="7" t="s">
        <v>56</v>
      </c>
      <c r="G3702" s="7" t="s">
        <v>20</v>
      </c>
      <c r="H3702" s="9" t="n">
        <v>46217</v>
      </c>
      <c r="I3702" s="9"/>
      <c r="J3702" s="7" t="n">
        <v>8.8</v>
      </c>
      <c r="K3702" s="7" t="s">
        <v>4171</v>
      </c>
      <c r="L3702" s="7" t="s">
        <v>21</v>
      </c>
      <c r="M3702" s="7" t="s">
        <v>4341</v>
      </c>
      <c r="N3702" s="7" t="s">
        <v>53</v>
      </c>
      <c r="O3702" s="10" t="n">
        <f aca="false">'Exec Summary'!$E$2-H3702</f>
        <v>17</v>
      </c>
      <c r="P3702" s="10" t="str">
        <f aca="false">IF(I3702="","",I3702-H3702)</f>
        <v/>
      </c>
      <c r="Q3702" s="10" t="n">
        <f aca="false">VLOOKUP(G3702,$AA$2:$AB$5,2,FALSE())</f>
        <v>30</v>
      </c>
      <c r="R3702" s="7" t="n">
        <f aca="false">IF(OR(F3702="Open",F3702="Reopened"),1,0)</f>
        <v>1</v>
      </c>
      <c r="S3702" s="7" t="n">
        <f aca="false">IF(AND(H3702&gt;='Exec Summary'!$E$1,H3702&lt;='Exec Summary'!$E$2),1,0)</f>
        <v>1</v>
      </c>
      <c r="T3702" s="7" t="n">
        <f aca="false">IF(AND(F3702="Closed",I3702&lt;&gt;"",I3702&gt;='Exec Summary'!$E$1,I3702&lt;='Exec Summary'!$E$2),1,0)</f>
        <v>0</v>
      </c>
      <c r="U3702" s="7" t="n">
        <f aca="false">IF(F3702="Reopened",1,0)</f>
        <v>0</v>
      </c>
      <c r="V3702" s="7" t="n">
        <f aca="false">IF(AND(R3702=1,O3702&gt;Q3702),1,0)</f>
        <v>0</v>
      </c>
      <c r="W3702" s="7" t="n">
        <f aca="false">IF(AND(T3702=1,P3702&lt;&gt;"",P3702&lt;=Q3702),1,0)</f>
        <v>0</v>
      </c>
    </row>
    <row r="3703" customFormat="false" ht="15" hidden="false" customHeight="false" outlineLevel="0" collapsed="false">
      <c r="A3703" s="7" t="s">
        <v>4335</v>
      </c>
      <c r="B3703" s="7" t="s">
        <v>46</v>
      </c>
      <c r="C3703" s="7" t="s">
        <v>158</v>
      </c>
      <c r="D3703" s="7" t="s">
        <v>68</v>
      </c>
      <c r="E3703" s="7" t="s">
        <v>69</v>
      </c>
      <c r="F3703" s="7" t="s">
        <v>56</v>
      </c>
      <c r="G3703" s="7" t="s">
        <v>19</v>
      </c>
      <c r="H3703" s="9" t="n">
        <v>46041</v>
      </c>
      <c r="I3703" s="9"/>
      <c r="J3703" s="7" t="n">
        <v>9.8</v>
      </c>
      <c r="K3703" s="7" t="s">
        <v>4171</v>
      </c>
      <c r="L3703" s="7" t="s">
        <v>21</v>
      </c>
      <c r="M3703" s="7" t="s">
        <v>4342</v>
      </c>
      <c r="N3703" s="7" t="s">
        <v>58</v>
      </c>
      <c r="O3703" s="10" t="n">
        <f aca="false">'Exec Summary'!$E$2-H3703</f>
        <v>193</v>
      </c>
      <c r="P3703" s="10" t="str">
        <f aca="false">IF(I3703="","",I3703-H3703)</f>
        <v/>
      </c>
      <c r="Q3703" s="10" t="n">
        <f aca="false">VLOOKUP(G3703,$AA$2:$AB$5,2,FALSE())</f>
        <v>15</v>
      </c>
      <c r="R3703" s="7" t="n">
        <f aca="false">IF(OR(F3703="Open",F3703="Reopened"),1,0)</f>
        <v>1</v>
      </c>
      <c r="S3703" s="7" t="n">
        <f aca="false">IF(AND(H3703&gt;='Exec Summary'!$E$1,H3703&lt;='Exec Summary'!$E$2),1,0)</f>
        <v>0</v>
      </c>
      <c r="T3703" s="7" t="n">
        <f aca="false">IF(AND(F3703="Closed",I3703&lt;&gt;"",I3703&gt;='Exec Summary'!$E$1,I3703&lt;='Exec Summary'!$E$2),1,0)</f>
        <v>0</v>
      </c>
      <c r="U3703" s="7" t="n">
        <f aca="false">IF(F3703="Reopened",1,0)</f>
        <v>0</v>
      </c>
      <c r="V3703" s="7" t="n">
        <f aca="false">IF(AND(R3703=1,O3703&gt;Q3703),1,0)</f>
        <v>1</v>
      </c>
      <c r="W3703" s="7" t="n">
        <f aca="false">IF(AND(T3703=1,P3703&lt;&gt;"",P3703&lt;=Q3703),1,0)</f>
        <v>0</v>
      </c>
    </row>
    <row r="3704" customFormat="false" ht="15" hidden="false" customHeight="false" outlineLevel="0" collapsed="false">
      <c r="A3704" s="7" t="s">
        <v>4335</v>
      </c>
      <c r="B3704" s="7" t="s">
        <v>46</v>
      </c>
      <c r="C3704" s="7" t="s">
        <v>158</v>
      </c>
      <c r="D3704" s="7" t="s">
        <v>131</v>
      </c>
      <c r="E3704" s="7" t="s">
        <v>132</v>
      </c>
      <c r="F3704" s="7" t="s">
        <v>56</v>
      </c>
      <c r="G3704" s="7" t="s">
        <v>19</v>
      </c>
      <c r="H3704" s="9" t="n">
        <v>46110</v>
      </c>
      <c r="I3704" s="9"/>
      <c r="J3704" s="7" t="n">
        <v>9.8</v>
      </c>
      <c r="K3704" s="7" t="s">
        <v>4171</v>
      </c>
      <c r="L3704" s="7" t="s">
        <v>21</v>
      </c>
      <c r="M3704" s="7" t="s">
        <v>4343</v>
      </c>
      <c r="N3704" s="7" t="s">
        <v>58</v>
      </c>
      <c r="O3704" s="10" t="n">
        <f aca="false">'Exec Summary'!$E$2-H3704</f>
        <v>124</v>
      </c>
      <c r="P3704" s="10" t="str">
        <f aca="false">IF(I3704="","",I3704-H3704)</f>
        <v/>
      </c>
      <c r="Q3704" s="10" t="n">
        <f aca="false">VLOOKUP(G3704,$AA$2:$AB$5,2,FALSE())</f>
        <v>15</v>
      </c>
      <c r="R3704" s="7" t="n">
        <f aca="false">IF(OR(F3704="Open",F3704="Reopened"),1,0)</f>
        <v>1</v>
      </c>
      <c r="S3704" s="7" t="n">
        <f aca="false">IF(AND(H3704&gt;='Exec Summary'!$E$1,H3704&lt;='Exec Summary'!$E$2),1,0)</f>
        <v>0</v>
      </c>
      <c r="T3704" s="7" t="n">
        <f aca="false">IF(AND(F3704="Closed",I3704&lt;&gt;"",I3704&gt;='Exec Summary'!$E$1,I3704&lt;='Exec Summary'!$E$2),1,0)</f>
        <v>0</v>
      </c>
      <c r="U3704" s="7" t="n">
        <f aca="false">IF(F3704="Reopened",1,0)</f>
        <v>0</v>
      </c>
      <c r="V3704" s="7" t="n">
        <f aca="false">IF(AND(R3704=1,O3704&gt;Q3704),1,0)</f>
        <v>1</v>
      </c>
      <c r="W3704" s="7" t="n">
        <f aca="false">IF(AND(T3704=1,P3704&lt;&gt;"",P3704&lt;=Q3704),1,0)</f>
        <v>0</v>
      </c>
    </row>
    <row r="3705" customFormat="false" ht="15" hidden="false" customHeight="false" outlineLevel="0" collapsed="false">
      <c r="A3705" s="7" t="s">
        <v>4335</v>
      </c>
      <c r="B3705" s="7" t="s">
        <v>46</v>
      </c>
      <c r="C3705" s="7" t="s">
        <v>158</v>
      </c>
      <c r="D3705" s="7" t="s">
        <v>145</v>
      </c>
      <c r="E3705" s="7" t="s">
        <v>146</v>
      </c>
      <c r="F3705" s="7" t="s">
        <v>50</v>
      </c>
      <c r="G3705" s="7" t="s">
        <v>19</v>
      </c>
      <c r="H3705" s="9" t="n">
        <v>46025</v>
      </c>
      <c r="I3705" s="9" t="n">
        <v>46034</v>
      </c>
      <c r="J3705" s="7" t="n">
        <v>9.8</v>
      </c>
      <c r="K3705" s="7" t="s">
        <v>4171</v>
      </c>
      <c r="L3705" s="7" t="s">
        <v>21</v>
      </c>
      <c r="M3705" s="7" t="s">
        <v>4344</v>
      </c>
      <c r="N3705" s="7" t="s">
        <v>58</v>
      </c>
      <c r="O3705" s="10" t="n">
        <f aca="false">'Exec Summary'!$E$2-H3705</f>
        <v>209</v>
      </c>
      <c r="P3705" s="10" t="n">
        <f aca="false">IF(I3705="","",I3705-H3705)</f>
        <v>9</v>
      </c>
      <c r="Q3705" s="10" t="n">
        <f aca="false">VLOOKUP(G3705,$AA$2:$AB$5,2,FALSE())</f>
        <v>15</v>
      </c>
      <c r="R3705" s="7" t="n">
        <f aca="false">IF(OR(F3705="Open",F3705="Reopened"),1,0)</f>
        <v>0</v>
      </c>
      <c r="S3705" s="7" t="n">
        <f aca="false">IF(AND(H3705&gt;='Exec Summary'!$E$1,H3705&lt;='Exec Summary'!$E$2),1,0)</f>
        <v>0</v>
      </c>
      <c r="T3705" s="7" t="n">
        <f aca="false">IF(AND(F3705="Closed",I3705&lt;&gt;"",I3705&gt;='Exec Summary'!$E$1,I3705&lt;='Exec Summary'!$E$2),1,0)</f>
        <v>0</v>
      </c>
      <c r="U3705" s="7" t="n">
        <f aca="false">IF(F3705="Reopened",1,0)</f>
        <v>0</v>
      </c>
      <c r="V3705" s="7" t="n">
        <f aca="false">IF(AND(R3705=1,O3705&gt;Q3705),1,0)</f>
        <v>0</v>
      </c>
      <c r="W3705" s="7" t="n">
        <f aca="false">IF(AND(T3705=1,P3705&lt;&gt;"",P3705&lt;=Q3705),1,0)</f>
        <v>0</v>
      </c>
    </row>
    <row r="3706" customFormat="false" ht="15" hidden="false" customHeight="false" outlineLevel="0" collapsed="false">
      <c r="A3706" s="7" t="s">
        <v>4345</v>
      </c>
      <c r="B3706" s="7" t="s">
        <v>46</v>
      </c>
      <c r="C3706" s="7" t="s">
        <v>79</v>
      </c>
      <c r="D3706" s="7" t="s">
        <v>210</v>
      </c>
      <c r="E3706" s="7" t="s">
        <v>211</v>
      </c>
      <c r="F3706" s="7" t="s">
        <v>50</v>
      </c>
      <c r="G3706" s="7" t="s">
        <v>19</v>
      </c>
      <c r="H3706" s="9" t="n">
        <v>45962</v>
      </c>
      <c r="I3706" s="9" t="n">
        <v>45967</v>
      </c>
      <c r="J3706" s="7" t="n">
        <v>9.8</v>
      </c>
      <c r="K3706" s="7" t="s">
        <v>4171</v>
      </c>
      <c r="L3706" s="7" t="s">
        <v>21</v>
      </c>
      <c r="M3706" s="7" t="s">
        <v>4346</v>
      </c>
      <c r="N3706" s="7" t="s">
        <v>58</v>
      </c>
      <c r="O3706" s="10" t="n">
        <f aca="false">'Exec Summary'!$E$2-H3706</f>
        <v>272</v>
      </c>
      <c r="P3706" s="10" t="n">
        <f aca="false">IF(I3706="","",I3706-H3706)</f>
        <v>5</v>
      </c>
      <c r="Q3706" s="10" t="n">
        <f aca="false">VLOOKUP(G3706,$AA$2:$AB$5,2,FALSE())</f>
        <v>15</v>
      </c>
      <c r="R3706" s="7" t="n">
        <f aca="false">IF(OR(F3706="Open",F3706="Reopened"),1,0)</f>
        <v>0</v>
      </c>
      <c r="S3706" s="7" t="n">
        <f aca="false">IF(AND(H3706&gt;='Exec Summary'!$E$1,H3706&lt;='Exec Summary'!$E$2),1,0)</f>
        <v>0</v>
      </c>
      <c r="T3706" s="7" t="n">
        <f aca="false">IF(AND(F3706="Closed",I3706&lt;&gt;"",I3706&gt;='Exec Summary'!$E$1,I3706&lt;='Exec Summary'!$E$2),1,0)</f>
        <v>0</v>
      </c>
      <c r="U3706" s="7" t="n">
        <f aca="false">IF(F3706="Reopened",1,0)</f>
        <v>0</v>
      </c>
      <c r="V3706" s="7" t="n">
        <f aca="false">IF(AND(R3706=1,O3706&gt;Q3706),1,0)</f>
        <v>0</v>
      </c>
      <c r="W3706" s="7" t="n">
        <f aca="false">IF(AND(T3706=1,P3706&lt;&gt;"",P3706&lt;=Q3706),1,0)</f>
        <v>0</v>
      </c>
    </row>
    <row r="3707" customFormat="false" ht="15" hidden="false" customHeight="false" outlineLevel="0" collapsed="false">
      <c r="A3707" s="7" t="s">
        <v>4345</v>
      </c>
      <c r="B3707" s="7" t="s">
        <v>46</v>
      </c>
      <c r="C3707" s="7" t="s">
        <v>79</v>
      </c>
      <c r="D3707" s="7" t="s">
        <v>59</v>
      </c>
      <c r="E3707" s="7" t="s">
        <v>60</v>
      </c>
      <c r="F3707" s="7" t="s">
        <v>56</v>
      </c>
      <c r="G3707" s="7" t="s">
        <v>19</v>
      </c>
      <c r="H3707" s="9" t="n">
        <v>46080</v>
      </c>
      <c r="I3707" s="9"/>
      <c r="J3707" s="7" t="n">
        <v>7.8</v>
      </c>
      <c r="K3707" s="7" t="s">
        <v>4171</v>
      </c>
      <c r="L3707" s="7" t="s">
        <v>21</v>
      </c>
      <c r="M3707" s="7" t="s">
        <v>4347</v>
      </c>
      <c r="N3707" s="7" t="s">
        <v>58</v>
      </c>
      <c r="O3707" s="10" t="n">
        <f aca="false">'Exec Summary'!$E$2-H3707</f>
        <v>154</v>
      </c>
      <c r="P3707" s="10" t="str">
        <f aca="false">IF(I3707="","",I3707-H3707)</f>
        <v/>
      </c>
      <c r="Q3707" s="10" t="n">
        <f aca="false">VLOOKUP(G3707,$AA$2:$AB$5,2,FALSE())</f>
        <v>15</v>
      </c>
      <c r="R3707" s="7" t="n">
        <f aca="false">IF(OR(F3707="Open",F3707="Reopened"),1,0)</f>
        <v>1</v>
      </c>
      <c r="S3707" s="7" t="n">
        <f aca="false">IF(AND(H3707&gt;='Exec Summary'!$E$1,H3707&lt;='Exec Summary'!$E$2),1,0)</f>
        <v>0</v>
      </c>
      <c r="T3707" s="7" t="n">
        <f aca="false">IF(AND(F3707="Closed",I3707&lt;&gt;"",I3707&gt;='Exec Summary'!$E$1,I3707&lt;='Exec Summary'!$E$2),1,0)</f>
        <v>0</v>
      </c>
      <c r="U3707" s="7" t="n">
        <f aca="false">IF(F3707="Reopened",1,0)</f>
        <v>0</v>
      </c>
      <c r="V3707" s="7" t="n">
        <f aca="false">IF(AND(R3707=1,O3707&gt;Q3707),1,0)</f>
        <v>1</v>
      </c>
      <c r="W3707" s="7" t="n">
        <f aca="false">IF(AND(T3707=1,P3707&lt;&gt;"",P3707&lt;=Q3707),1,0)</f>
        <v>0</v>
      </c>
    </row>
    <row r="3708" customFormat="false" ht="15" hidden="false" customHeight="false" outlineLevel="0" collapsed="false">
      <c r="A3708" s="7" t="s">
        <v>4345</v>
      </c>
      <c r="B3708" s="7" t="s">
        <v>46</v>
      </c>
      <c r="C3708" s="7" t="s">
        <v>79</v>
      </c>
      <c r="D3708" s="7" t="s">
        <v>91</v>
      </c>
      <c r="E3708" s="7" t="s">
        <v>92</v>
      </c>
      <c r="F3708" s="7" t="s">
        <v>56</v>
      </c>
      <c r="G3708" s="7" t="s">
        <v>20</v>
      </c>
      <c r="H3708" s="9" t="n">
        <v>45965</v>
      </c>
      <c r="I3708" s="9"/>
      <c r="J3708" s="7" t="n">
        <v>8.1</v>
      </c>
      <c r="K3708" s="7" t="s">
        <v>4171</v>
      </c>
      <c r="L3708" s="7" t="s">
        <v>21</v>
      </c>
      <c r="M3708" s="7" t="s">
        <v>4348</v>
      </c>
      <c r="N3708" s="7" t="s">
        <v>53</v>
      </c>
      <c r="O3708" s="10" t="n">
        <f aca="false">'Exec Summary'!$E$2-H3708</f>
        <v>269</v>
      </c>
      <c r="P3708" s="10" t="str">
        <f aca="false">IF(I3708="","",I3708-H3708)</f>
        <v/>
      </c>
      <c r="Q3708" s="10" t="n">
        <f aca="false">VLOOKUP(G3708,$AA$2:$AB$5,2,FALSE())</f>
        <v>30</v>
      </c>
      <c r="R3708" s="7" t="n">
        <f aca="false">IF(OR(F3708="Open",F3708="Reopened"),1,0)</f>
        <v>1</v>
      </c>
      <c r="S3708" s="7" t="n">
        <f aca="false">IF(AND(H3708&gt;='Exec Summary'!$E$1,H3708&lt;='Exec Summary'!$E$2),1,0)</f>
        <v>0</v>
      </c>
      <c r="T3708" s="7" t="n">
        <f aca="false">IF(AND(F3708="Closed",I3708&lt;&gt;"",I3708&gt;='Exec Summary'!$E$1,I3708&lt;='Exec Summary'!$E$2),1,0)</f>
        <v>0</v>
      </c>
      <c r="U3708" s="7" t="n">
        <f aca="false">IF(F3708="Reopened",1,0)</f>
        <v>0</v>
      </c>
      <c r="V3708" s="7" t="n">
        <f aca="false">IF(AND(R3708=1,O3708&gt;Q3708),1,0)</f>
        <v>1</v>
      </c>
      <c r="W3708" s="7" t="n">
        <f aca="false">IF(AND(T3708=1,P3708&lt;&gt;"",P3708&lt;=Q3708),1,0)</f>
        <v>0</v>
      </c>
    </row>
    <row r="3709" customFormat="false" ht="15" hidden="false" customHeight="false" outlineLevel="0" collapsed="false">
      <c r="A3709" s="7" t="s">
        <v>4345</v>
      </c>
      <c r="B3709" s="7" t="s">
        <v>46</v>
      </c>
      <c r="C3709" s="7" t="s">
        <v>79</v>
      </c>
      <c r="D3709" s="7" t="s">
        <v>87</v>
      </c>
      <c r="E3709" s="7" t="s">
        <v>88</v>
      </c>
      <c r="F3709" s="7" t="s">
        <v>56</v>
      </c>
      <c r="G3709" s="7" t="s">
        <v>19</v>
      </c>
      <c r="H3709" s="9" t="n">
        <v>46038</v>
      </c>
      <c r="I3709" s="9"/>
      <c r="J3709" s="7" t="n">
        <v>10</v>
      </c>
      <c r="K3709" s="7" t="s">
        <v>4171</v>
      </c>
      <c r="L3709" s="7" t="s">
        <v>21</v>
      </c>
      <c r="M3709" s="7" t="s">
        <v>4349</v>
      </c>
      <c r="N3709" s="7" t="s">
        <v>58</v>
      </c>
      <c r="O3709" s="10" t="n">
        <f aca="false">'Exec Summary'!$E$2-H3709</f>
        <v>196</v>
      </c>
      <c r="P3709" s="10" t="str">
        <f aca="false">IF(I3709="","",I3709-H3709)</f>
        <v/>
      </c>
      <c r="Q3709" s="10" t="n">
        <f aca="false">VLOOKUP(G3709,$AA$2:$AB$5,2,FALSE())</f>
        <v>15</v>
      </c>
      <c r="R3709" s="7" t="n">
        <f aca="false">IF(OR(F3709="Open",F3709="Reopened"),1,0)</f>
        <v>1</v>
      </c>
      <c r="S3709" s="7" t="n">
        <f aca="false">IF(AND(H3709&gt;='Exec Summary'!$E$1,H3709&lt;='Exec Summary'!$E$2),1,0)</f>
        <v>0</v>
      </c>
      <c r="T3709" s="7" t="n">
        <f aca="false">IF(AND(F3709="Closed",I3709&lt;&gt;"",I3709&gt;='Exec Summary'!$E$1,I3709&lt;='Exec Summary'!$E$2),1,0)</f>
        <v>0</v>
      </c>
      <c r="U3709" s="7" t="n">
        <f aca="false">IF(F3709="Reopened",1,0)</f>
        <v>0</v>
      </c>
      <c r="V3709" s="7" t="n">
        <f aca="false">IF(AND(R3709=1,O3709&gt;Q3709),1,0)</f>
        <v>1</v>
      </c>
      <c r="W3709" s="7" t="n">
        <f aca="false">IF(AND(T3709=1,P3709&lt;&gt;"",P3709&lt;=Q3709),1,0)</f>
        <v>0</v>
      </c>
    </row>
    <row r="3710" customFormat="false" ht="15" hidden="false" customHeight="false" outlineLevel="0" collapsed="false">
      <c r="A3710" s="7" t="s">
        <v>4345</v>
      </c>
      <c r="B3710" s="7" t="s">
        <v>46</v>
      </c>
      <c r="C3710" s="7" t="s">
        <v>79</v>
      </c>
      <c r="D3710" s="7" t="s">
        <v>62</v>
      </c>
      <c r="E3710" s="7" t="s">
        <v>63</v>
      </c>
      <c r="F3710" s="7" t="s">
        <v>56</v>
      </c>
      <c r="G3710" s="7" t="s">
        <v>20</v>
      </c>
      <c r="H3710" s="9" t="n">
        <v>46117</v>
      </c>
      <c r="I3710" s="9"/>
      <c r="J3710" s="7" t="n">
        <v>8.1</v>
      </c>
      <c r="K3710" s="7" t="s">
        <v>4171</v>
      </c>
      <c r="L3710" s="7" t="s">
        <v>21</v>
      </c>
      <c r="M3710" s="7" t="s">
        <v>4350</v>
      </c>
      <c r="N3710" s="7" t="s">
        <v>53</v>
      </c>
      <c r="O3710" s="10" t="n">
        <f aca="false">'Exec Summary'!$E$2-H3710</f>
        <v>117</v>
      </c>
      <c r="P3710" s="10" t="str">
        <f aca="false">IF(I3710="","",I3710-H3710)</f>
        <v/>
      </c>
      <c r="Q3710" s="10" t="n">
        <f aca="false">VLOOKUP(G3710,$AA$2:$AB$5,2,FALSE())</f>
        <v>30</v>
      </c>
      <c r="R3710" s="7" t="n">
        <f aca="false">IF(OR(F3710="Open",F3710="Reopened"),1,0)</f>
        <v>1</v>
      </c>
      <c r="S3710" s="7" t="n">
        <f aca="false">IF(AND(H3710&gt;='Exec Summary'!$E$1,H3710&lt;='Exec Summary'!$E$2),1,0)</f>
        <v>0</v>
      </c>
      <c r="T3710" s="7" t="n">
        <f aca="false">IF(AND(F3710="Closed",I3710&lt;&gt;"",I3710&gt;='Exec Summary'!$E$1,I3710&lt;='Exec Summary'!$E$2),1,0)</f>
        <v>0</v>
      </c>
      <c r="U3710" s="7" t="n">
        <f aca="false">IF(F3710="Reopened",1,0)</f>
        <v>0</v>
      </c>
      <c r="V3710" s="7" t="n">
        <f aca="false">IF(AND(R3710=1,O3710&gt;Q3710),1,0)</f>
        <v>1</v>
      </c>
      <c r="W3710" s="7" t="n">
        <f aca="false">IF(AND(T3710=1,P3710&lt;&gt;"",P3710&lt;=Q3710),1,0)</f>
        <v>0</v>
      </c>
    </row>
    <row r="3711" customFormat="false" ht="15" hidden="false" customHeight="false" outlineLevel="0" collapsed="false">
      <c r="A3711" s="7" t="s">
        <v>4345</v>
      </c>
      <c r="B3711" s="7" t="s">
        <v>46</v>
      </c>
      <c r="C3711" s="7" t="s">
        <v>79</v>
      </c>
      <c r="D3711" s="7" t="s">
        <v>101</v>
      </c>
      <c r="E3711" s="7" t="s">
        <v>102</v>
      </c>
      <c r="F3711" s="7" t="s">
        <v>56</v>
      </c>
      <c r="G3711" s="7" t="s">
        <v>19</v>
      </c>
      <c r="H3711" s="9" t="n">
        <v>46221</v>
      </c>
      <c r="I3711" s="9"/>
      <c r="J3711" s="7" t="n">
        <v>10</v>
      </c>
      <c r="K3711" s="7" t="s">
        <v>4171</v>
      </c>
      <c r="L3711" s="7" t="s">
        <v>21</v>
      </c>
      <c r="M3711" s="7" t="s">
        <v>4351</v>
      </c>
      <c r="N3711" s="7" t="s">
        <v>58</v>
      </c>
      <c r="O3711" s="10" t="n">
        <f aca="false">'Exec Summary'!$E$2-H3711</f>
        <v>13</v>
      </c>
      <c r="P3711" s="10" t="str">
        <f aca="false">IF(I3711="","",I3711-H3711)</f>
        <v/>
      </c>
      <c r="Q3711" s="10" t="n">
        <f aca="false">VLOOKUP(G3711,$AA$2:$AB$5,2,FALSE())</f>
        <v>15</v>
      </c>
      <c r="R3711" s="7" t="n">
        <f aca="false">IF(OR(F3711="Open",F3711="Reopened"),1,0)</f>
        <v>1</v>
      </c>
      <c r="S3711" s="7" t="n">
        <f aca="false">IF(AND(H3711&gt;='Exec Summary'!$E$1,H3711&lt;='Exec Summary'!$E$2),1,0)</f>
        <v>1</v>
      </c>
      <c r="T3711" s="7" t="n">
        <f aca="false">IF(AND(F3711="Closed",I3711&lt;&gt;"",I3711&gt;='Exec Summary'!$E$1,I3711&lt;='Exec Summary'!$E$2),1,0)</f>
        <v>0</v>
      </c>
      <c r="U3711" s="7" t="n">
        <f aca="false">IF(F3711="Reopened",1,0)</f>
        <v>0</v>
      </c>
      <c r="V3711" s="7" t="n">
        <f aca="false">IF(AND(R3711=1,O3711&gt;Q3711),1,0)</f>
        <v>0</v>
      </c>
      <c r="W3711" s="7" t="n">
        <f aca="false">IF(AND(T3711=1,P3711&lt;&gt;"",P3711&lt;=Q3711),1,0)</f>
        <v>0</v>
      </c>
    </row>
    <row r="3712" customFormat="false" ht="15" hidden="false" customHeight="false" outlineLevel="0" collapsed="false">
      <c r="A3712" s="7" t="s">
        <v>4345</v>
      </c>
      <c r="B3712" s="7" t="s">
        <v>46</v>
      </c>
      <c r="C3712" s="7" t="s">
        <v>79</v>
      </c>
      <c r="D3712" s="7" t="s">
        <v>108</v>
      </c>
      <c r="E3712" s="7" t="s">
        <v>109</v>
      </c>
      <c r="F3712" s="7" t="s">
        <v>50</v>
      </c>
      <c r="G3712" s="7" t="s">
        <v>20</v>
      </c>
      <c r="H3712" s="9" t="n">
        <v>46055</v>
      </c>
      <c r="I3712" s="9" t="n">
        <v>46083</v>
      </c>
      <c r="J3712" s="7" t="n">
        <v>8.6</v>
      </c>
      <c r="K3712" s="7" t="s">
        <v>4171</v>
      </c>
      <c r="L3712" s="7" t="s">
        <v>21</v>
      </c>
      <c r="M3712" s="7" t="s">
        <v>4352</v>
      </c>
      <c r="N3712" s="7" t="s">
        <v>53</v>
      </c>
      <c r="O3712" s="10" t="n">
        <f aca="false">'Exec Summary'!$E$2-H3712</f>
        <v>179</v>
      </c>
      <c r="P3712" s="10" t="n">
        <f aca="false">IF(I3712="","",I3712-H3712)</f>
        <v>28</v>
      </c>
      <c r="Q3712" s="10" t="n">
        <f aca="false">VLOOKUP(G3712,$AA$2:$AB$5,2,FALSE())</f>
        <v>30</v>
      </c>
      <c r="R3712" s="7" t="n">
        <f aca="false">IF(OR(F3712="Open",F3712="Reopened"),1,0)</f>
        <v>0</v>
      </c>
      <c r="S3712" s="7" t="n">
        <f aca="false">IF(AND(H3712&gt;='Exec Summary'!$E$1,H3712&lt;='Exec Summary'!$E$2),1,0)</f>
        <v>0</v>
      </c>
      <c r="T3712" s="7" t="n">
        <f aca="false">IF(AND(F3712="Closed",I3712&lt;&gt;"",I3712&gt;='Exec Summary'!$E$1,I3712&lt;='Exec Summary'!$E$2),1,0)</f>
        <v>0</v>
      </c>
      <c r="U3712" s="7" t="n">
        <f aca="false">IF(F3712="Reopened",1,0)</f>
        <v>0</v>
      </c>
      <c r="V3712" s="7" t="n">
        <f aca="false">IF(AND(R3712=1,O3712&gt;Q3712),1,0)</f>
        <v>0</v>
      </c>
      <c r="W3712" s="7" t="n">
        <f aca="false">IF(AND(T3712=1,P3712&lt;&gt;"",P3712&lt;=Q3712),1,0)</f>
        <v>0</v>
      </c>
    </row>
    <row r="3713" customFormat="false" ht="15" hidden="false" customHeight="false" outlineLevel="0" collapsed="false">
      <c r="A3713" s="7" t="s">
        <v>4345</v>
      </c>
      <c r="B3713" s="7" t="s">
        <v>46</v>
      </c>
      <c r="C3713" s="7" t="s">
        <v>79</v>
      </c>
      <c r="D3713" s="7" t="s">
        <v>131</v>
      </c>
      <c r="E3713" s="7" t="s">
        <v>132</v>
      </c>
      <c r="F3713" s="7" t="s">
        <v>50</v>
      </c>
      <c r="G3713" s="7" t="s">
        <v>19</v>
      </c>
      <c r="H3713" s="9" t="n">
        <v>46129</v>
      </c>
      <c r="I3713" s="9" t="n">
        <v>46130</v>
      </c>
      <c r="J3713" s="7" t="n">
        <v>9.8</v>
      </c>
      <c r="K3713" s="7" t="s">
        <v>4171</v>
      </c>
      <c r="L3713" s="7" t="s">
        <v>21</v>
      </c>
      <c r="M3713" s="7" t="s">
        <v>4353</v>
      </c>
      <c r="N3713" s="7" t="s">
        <v>58</v>
      </c>
      <c r="O3713" s="10" t="n">
        <f aca="false">'Exec Summary'!$E$2-H3713</f>
        <v>105</v>
      </c>
      <c r="P3713" s="10" t="n">
        <f aca="false">IF(I3713="","",I3713-H3713)</f>
        <v>1</v>
      </c>
      <c r="Q3713" s="10" t="n">
        <f aca="false">VLOOKUP(G3713,$AA$2:$AB$5,2,FALSE())</f>
        <v>15</v>
      </c>
      <c r="R3713" s="7" t="n">
        <f aca="false">IF(OR(F3713="Open",F3713="Reopened"),1,0)</f>
        <v>0</v>
      </c>
      <c r="S3713" s="7" t="n">
        <f aca="false">IF(AND(H3713&gt;='Exec Summary'!$E$1,H3713&lt;='Exec Summary'!$E$2),1,0)</f>
        <v>0</v>
      </c>
      <c r="T3713" s="7" t="n">
        <f aca="false">IF(AND(F3713="Closed",I3713&lt;&gt;"",I3713&gt;='Exec Summary'!$E$1,I3713&lt;='Exec Summary'!$E$2),1,0)</f>
        <v>0</v>
      </c>
      <c r="U3713" s="7" t="n">
        <f aca="false">IF(F3713="Reopened",1,0)</f>
        <v>0</v>
      </c>
      <c r="V3713" s="7" t="n">
        <f aca="false">IF(AND(R3713=1,O3713&gt;Q3713),1,0)</f>
        <v>0</v>
      </c>
      <c r="W3713" s="7" t="n">
        <f aca="false">IF(AND(T3713=1,P3713&lt;&gt;"",P3713&lt;=Q3713),1,0)</f>
        <v>0</v>
      </c>
    </row>
    <row r="3714" customFormat="false" ht="15" hidden="false" customHeight="false" outlineLevel="0" collapsed="false">
      <c r="A3714" s="7" t="s">
        <v>4345</v>
      </c>
      <c r="B3714" s="7" t="s">
        <v>46</v>
      </c>
      <c r="C3714" s="7" t="s">
        <v>79</v>
      </c>
      <c r="D3714" s="7" t="s">
        <v>152</v>
      </c>
      <c r="E3714" s="7" t="s">
        <v>153</v>
      </c>
      <c r="F3714" s="7" t="s">
        <v>50</v>
      </c>
      <c r="G3714" s="7" t="s">
        <v>20</v>
      </c>
      <c r="H3714" s="9" t="n">
        <v>46216</v>
      </c>
      <c r="I3714" s="9" t="n">
        <v>46234</v>
      </c>
      <c r="J3714" s="7" t="n">
        <v>7.5</v>
      </c>
      <c r="K3714" s="7" t="s">
        <v>4171</v>
      </c>
      <c r="L3714" s="7" t="s">
        <v>21</v>
      </c>
      <c r="M3714" s="7" t="s">
        <v>4354</v>
      </c>
      <c r="N3714" s="7" t="s">
        <v>53</v>
      </c>
      <c r="O3714" s="10" t="n">
        <f aca="false">'Exec Summary'!$E$2-H3714</f>
        <v>18</v>
      </c>
      <c r="P3714" s="10" t="n">
        <f aca="false">IF(I3714="","",I3714-H3714)</f>
        <v>18</v>
      </c>
      <c r="Q3714" s="10" t="n">
        <f aca="false">VLOOKUP(G3714,$AA$2:$AB$5,2,FALSE())</f>
        <v>30</v>
      </c>
      <c r="R3714" s="7" t="n">
        <f aca="false">IF(OR(F3714="Open",F3714="Reopened"),1,0)</f>
        <v>0</v>
      </c>
      <c r="S3714" s="7" t="n">
        <f aca="false">IF(AND(H3714&gt;='Exec Summary'!$E$1,H3714&lt;='Exec Summary'!$E$2),1,0)</f>
        <v>1</v>
      </c>
      <c r="T3714" s="7" t="n">
        <f aca="false">IF(AND(F3714="Closed",I3714&lt;&gt;"",I3714&gt;='Exec Summary'!$E$1,I3714&lt;='Exec Summary'!$E$2),1,0)</f>
        <v>1</v>
      </c>
      <c r="U3714" s="7" t="n">
        <f aca="false">IF(F3714="Reopened",1,0)</f>
        <v>0</v>
      </c>
      <c r="V3714" s="7" t="n">
        <f aca="false">IF(AND(R3714=1,O3714&gt;Q3714),1,0)</f>
        <v>0</v>
      </c>
      <c r="W3714" s="7" t="n">
        <f aca="false">IF(AND(T3714=1,P3714&lt;&gt;"",P3714&lt;=Q3714),1,0)</f>
        <v>1</v>
      </c>
    </row>
    <row r="3715" customFormat="false" ht="15" hidden="false" customHeight="false" outlineLevel="0" collapsed="false">
      <c r="A3715" s="7" t="s">
        <v>4345</v>
      </c>
      <c r="B3715" s="7" t="s">
        <v>46</v>
      </c>
      <c r="C3715" s="7" t="s">
        <v>79</v>
      </c>
      <c r="D3715" s="7" t="s">
        <v>145</v>
      </c>
      <c r="E3715" s="7" t="s">
        <v>146</v>
      </c>
      <c r="F3715" s="7" t="s">
        <v>56</v>
      </c>
      <c r="G3715" s="7" t="s">
        <v>19</v>
      </c>
      <c r="H3715" s="9" t="n">
        <v>46049</v>
      </c>
      <c r="I3715" s="9"/>
      <c r="J3715" s="7" t="n">
        <v>9.8</v>
      </c>
      <c r="K3715" s="7" t="s">
        <v>4171</v>
      </c>
      <c r="L3715" s="7" t="s">
        <v>21</v>
      </c>
      <c r="M3715" s="7" t="s">
        <v>4355</v>
      </c>
      <c r="N3715" s="7" t="s">
        <v>58</v>
      </c>
      <c r="O3715" s="10" t="n">
        <f aca="false">'Exec Summary'!$E$2-H3715</f>
        <v>185</v>
      </c>
      <c r="P3715" s="10" t="str">
        <f aca="false">IF(I3715="","",I3715-H3715)</f>
        <v/>
      </c>
      <c r="Q3715" s="10" t="n">
        <f aca="false">VLOOKUP(G3715,$AA$2:$AB$5,2,FALSE())</f>
        <v>15</v>
      </c>
      <c r="R3715" s="7" t="n">
        <f aca="false">IF(OR(F3715="Open",F3715="Reopened"),1,0)</f>
        <v>1</v>
      </c>
      <c r="S3715" s="7" t="n">
        <f aca="false">IF(AND(H3715&gt;='Exec Summary'!$E$1,H3715&lt;='Exec Summary'!$E$2),1,0)</f>
        <v>0</v>
      </c>
      <c r="T3715" s="7" t="n">
        <f aca="false">IF(AND(F3715="Closed",I3715&lt;&gt;"",I3715&gt;='Exec Summary'!$E$1,I3715&lt;='Exec Summary'!$E$2),1,0)</f>
        <v>0</v>
      </c>
      <c r="U3715" s="7" t="n">
        <f aca="false">IF(F3715="Reopened",1,0)</f>
        <v>0</v>
      </c>
      <c r="V3715" s="7" t="n">
        <f aca="false">IF(AND(R3715=1,O3715&gt;Q3715),1,0)</f>
        <v>1</v>
      </c>
      <c r="W3715" s="7" t="n">
        <f aca="false">IF(AND(T3715=1,P3715&lt;&gt;"",P3715&lt;=Q3715),1,0)</f>
        <v>0</v>
      </c>
    </row>
    <row r="3716" customFormat="false" ht="15" hidden="false" customHeight="false" outlineLevel="0" collapsed="false">
      <c r="A3716" s="7" t="s">
        <v>4345</v>
      </c>
      <c r="B3716" s="7" t="s">
        <v>46</v>
      </c>
      <c r="C3716" s="7" t="s">
        <v>79</v>
      </c>
      <c r="D3716" s="7" t="s">
        <v>68</v>
      </c>
      <c r="E3716" s="7" t="s">
        <v>69</v>
      </c>
      <c r="F3716" s="7" t="s">
        <v>56</v>
      </c>
      <c r="G3716" s="7" t="s">
        <v>19</v>
      </c>
      <c r="H3716" s="9" t="n">
        <v>46213</v>
      </c>
      <c r="I3716" s="9"/>
      <c r="J3716" s="7" t="n">
        <v>9.8</v>
      </c>
      <c r="K3716" s="7" t="s">
        <v>4171</v>
      </c>
      <c r="L3716" s="7" t="s">
        <v>21</v>
      </c>
      <c r="M3716" s="7" t="s">
        <v>4356</v>
      </c>
      <c r="N3716" s="7" t="s">
        <v>58</v>
      </c>
      <c r="O3716" s="10" t="n">
        <f aca="false">'Exec Summary'!$E$2-H3716</f>
        <v>21</v>
      </c>
      <c r="P3716" s="10" t="str">
        <f aca="false">IF(I3716="","",I3716-H3716)</f>
        <v/>
      </c>
      <c r="Q3716" s="10" t="n">
        <f aca="false">VLOOKUP(G3716,$AA$2:$AB$5,2,FALSE())</f>
        <v>15</v>
      </c>
      <c r="R3716" s="7" t="n">
        <f aca="false">IF(OR(F3716="Open",F3716="Reopened"),1,0)</f>
        <v>1</v>
      </c>
      <c r="S3716" s="7" t="n">
        <f aca="false">IF(AND(H3716&gt;='Exec Summary'!$E$1,H3716&lt;='Exec Summary'!$E$2),1,0)</f>
        <v>1</v>
      </c>
      <c r="T3716" s="7" t="n">
        <f aca="false">IF(AND(F3716="Closed",I3716&lt;&gt;"",I3716&gt;='Exec Summary'!$E$1,I3716&lt;='Exec Summary'!$E$2),1,0)</f>
        <v>0</v>
      </c>
      <c r="U3716" s="7" t="n">
        <f aca="false">IF(F3716="Reopened",1,0)</f>
        <v>0</v>
      </c>
      <c r="V3716" s="7" t="n">
        <f aca="false">IF(AND(R3716=1,O3716&gt;Q3716),1,0)</f>
        <v>1</v>
      </c>
      <c r="W3716" s="7" t="n">
        <f aca="false">IF(AND(T3716=1,P3716&lt;&gt;"",P3716&lt;=Q3716),1,0)</f>
        <v>0</v>
      </c>
    </row>
    <row r="3717" customFormat="false" ht="15" hidden="false" customHeight="false" outlineLevel="0" collapsed="false">
      <c r="A3717" s="7" t="s">
        <v>4345</v>
      </c>
      <c r="B3717" s="7" t="s">
        <v>46</v>
      </c>
      <c r="C3717" s="7" t="s">
        <v>79</v>
      </c>
      <c r="D3717" s="7" t="s">
        <v>192</v>
      </c>
      <c r="E3717" s="7" t="s">
        <v>193</v>
      </c>
      <c r="F3717" s="7" t="s">
        <v>50</v>
      </c>
      <c r="G3717" s="7" t="s">
        <v>19</v>
      </c>
      <c r="H3717" s="9" t="n">
        <v>46033</v>
      </c>
      <c r="I3717" s="9" t="n">
        <v>46039</v>
      </c>
      <c r="J3717" s="7" t="n">
        <v>9.8</v>
      </c>
      <c r="K3717" s="7" t="s">
        <v>4171</v>
      </c>
      <c r="L3717" s="7" t="s">
        <v>21</v>
      </c>
      <c r="M3717" s="7" t="s">
        <v>4357</v>
      </c>
      <c r="N3717" s="7" t="s">
        <v>58</v>
      </c>
      <c r="O3717" s="10" t="n">
        <f aca="false">'Exec Summary'!$E$2-H3717</f>
        <v>201</v>
      </c>
      <c r="P3717" s="10" t="n">
        <f aca="false">IF(I3717="","",I3717-H3717)</f>
        <v>6</v>
      </c>
      <c r="Q3717" s="10" t="n">
        <f aca="false">VLOOKUP(G3717,$AA$2:$AB$5,2,FALSE())</f>
        <v>15</v>
      </c>
      <c r="R3717" s="7" t="n">
        <f aca="false">IF(OR(F3717="Open",F3717="Reopened"),1,0)</f>
        <v>0</v>
      </c>
      <c r="S3717" s="7" t="n">
        <f aca="false">IF(AND(H3717&gt;='Exec Summary'!$E$1,H3717&lt;='Exec Summary'!$E$2),1,0)</f>
        <v>0</v>
      </c>
      <c r="T3717" s="7" t="n">
        <f aca="false">IF(AND(F3717="Closed",I3717&lt;&gt;"",I3717&gt;='Exec Summary'!$E$1,I3717&lt;='Exec Summary'!$E$2),1,0)</f>
        <v>0</v>
      </c>
      <c r="U3717" s="7" t="n">
        <f aca="false">IF(F3717="Reopened",1,0)</f>
        <v>0</v>
      </c>
      <c r="V3717" s="7" t="n">
        <f aca="false">IF(AND(R3717=1,O3717&gt;Q3717),1,0)</f>
        <v>0</v>
      </c>
      <c r="W3717" s="7" t="n">
        <f aca="false">IF(AND(T3717=1,P3717&lt;&gt;"",P3717&lt;=Q3717),1,0)</f>
        <v>0</v>
      </c>
    </row>
    <row r="3718" customFormat="false" ht="15" hidden="false" customHeight="false" outlineLevel="0" collapsed="false">
      <c r="A3718" s="7" t="s">
        <v>4358</v>
      </c>
      <c r="B3718" s="7" t="s">
        <v>46</v>
      </c>
      <c r="C3718" s="7" t="s">
        <v>128</v>
      </c>
      <c r="D3718" s="7" t="s">
        <v>91</v>
      </c>
      <c r="E3718" s="7" t="s">
        <v>92</v>
      </c>
      <c r="F3718" s="7" t="s">
        <v>123</v>
      </c>
      <c r="G3718" s="7" t="s">
        <v>20</v>
      </c>
      <c r="H3718" s="9" t="n">
        <v>46064</v>
      </c>
      <c r="I3718" s="9" t="n">
        <v>46065</v>
      </c>
      <c r="J3718" s="7" t="n">
        <v>8.1</v>
      </c>
      <c r="K3718" s="7" t="s">
        <v>4171</v>
      </c>
      <c r="L3718" s="7" t="s">
        <v>19</v>
      </c>
      <c r="M3718" s="7" t="s">
        <v>4359</v>
      </c>
      <c r="N3718" s="7" t="s">
        <v>53</v>
      </c>
      <c r="O3718" s="10" t="n">
        <f aca="false">'Exec Summary'!$E$2-H3718</f>
        <v>170</v>
      </c>
      <c r="P3718" s="10" t="n">
        <f aca="false">IF(I3718="","",I3718-H3718)</f>
        <v>1</v>
      </c>
      <c r="Q3718" s="10" t="n">
        <f aca="false">VLOOKUP(G3718,$AA$2:$AB$5,2,FALSE())</f>
        <v>30</v>
      </c>
      <c r="R3718" s="7" t="n">
        <f aca="false">IF(OR(F3718="Open",F3718="Reopened"),1,0)</f>
        <v>1</v>
      </c>
      <c r="S3718" s="7" t="n">
        <f aca="false">IF(AND(H3718&gt;='Exec Summary'!$E$1,H3718&lt;='Exec Summary'!$E$2),1,0)</f>
        <v>0</v>
      </c>
      <c r="T3718" s="7" t="n">
        <f aca="false">IF(AND(F3718="Closed",I3718&lt;&gt;"",I3718&gt;='Exec Summary'!$E$1,I3718&lt;='Exec Summary'!$E$2),1,0)</f>
        <v>0</v>
      </c>
      <c r="U3718" s="7" t="n">
        <f aca="false">IF(F3718="Reopened",1,0)</f>
        <v>1</v>
      </c>
      <c r="V3718" s="7" t="n">
        <f aca="false">IF(AND(R3718=1,O3718&gt;Q3718),1,0)</f>
        <v>1</v>
      </c>
      <c r="W3718" s="7" t="n">
        <f aca="false">IF(AND(T3718=1,P3718&lt;&gt;"",P3718&lt;=Q3718),1,0)</f>
        <v>0</v>
      </c>
    </row>
    <row r="3719" customFormat="false" ht="15" hidden="false" customHeight="false" outlineLevel="0" collapsed="false">
      <c r="A3719" s="7" t="s">
        <v>4358</v>
      </c>
      <c r="B3719" s="7" t="s">
        <v>46</v>
      </c>
      <c r="C3719" s="7" t="s">
        <v>128</v>
      </c>
      <c r="D3719" s="7" t="s">
        <v>95</v>
      </c>
      <c r="E3719" s="7" t="s">
        <v>96</v>
      </c>
      <c r="F3719" s="7" t="s">
        <v>56</v>
      </c>
      <c r="G3719" s="7" t="s">
        <v>20</v>
      </c>
      <c r="H3719" s="9" t="n">
        <v>45960</v>
      </c>
      <c r="I3719" s="9"/>
      <c r="J3719" s="7" t="n">
        <v>8.8</v>
      </c>
      <c r="K3719" s="7" t="s">
        <v>4171</v>
      </c>
      <c r="L3719" s="7" t="s">
        <v>19</v>
      </c>
      <c r="M3719" s="7" t="s">
        <v>4360</v>
      </c>
      <c r="N3719" s="7" t="s">
        <v>53</v>
      </c>
      <c r="O3719" s="10" t="n">
        <f aca="false">'Exec Summary'!$E$2-H3719</f>
        <v>274</v>
      </c>
      <c r="P3719" s="10" t="str">
        <f aca="false">IF(I3719="","",I3719-H3719)</f>
        <v/>
      </c>
      <c r="Q3719" s="10" t="n">
        <f aca="false">VLOOKUP(G3719,$AA$2:$AB$5,2,FALSE())</f>
        <v>30</v>
      </c>
      <c r="R3719" s="7" t="n">
        <f aca="false">IF(OR(F3719="Open",F3719="Reopened"),1,0)</f>
        <v>1</v>
      </c>
      <c r="S3719" s="7" t="n">
        <f aca="false">IF(AND(H3719&gt;='Exec Summary'!$E$1,H3719&lt;='Exec Summary'!$E$2),1,0)</f>
        <v>0</v>
      </c>
      <c r="T3719" s="7" t="n">
        <f aca="false">IF(AND(F3719="Closed",I3719&lt;&gt;"",I3719&gt;='Exec Summary'!$E$1,I3719&lt;='Exec Summary'!$E$2),1,0)</f>
        <v>0</v>
      </c>
      <c r="U3719" s="7" t="n">
        <f aca="false">IF(F3719="Reopened",1,0)</f>
        <v>0</v>
      </c>
      <c r="V3719" s="7" t="n">
        <f aca="false">IF(AND(R3719=1,O3719&gt;Q3719),1,0)</f>
        <v>1</v>
      </c>
      <c r="W3719" s="7" t="n">
        <f aca="false">IF(AND(T3719=1,P3719&lt;&gt;"",P3719&lt;=Q3719),1,0)</f>
        <v>0</v>
      </c>
    </row>
    <row r="3720" customFormat="false" ht="15" hidden="false" customHeight="false" outlineLevel="0" collapsed="false">
      <c r="A3720" s="7" t="s">
        <v>4358</v>
      </c>
      <c r="B3720" s="7" t="s">
        <v>46</v>
      </c>
      <c r="C3720" s="7" t="s">
        <v>128</v>
      </c>
      <c r="D3720" s="7" t="s">
        <v>68</v>
      </c>
      <c r="E3720" s="7" t="s">
        <v>69</v>
      </c>
      <c r="F3720" s="7" t="s">
        <v>56</v>
      </c>
      <c r="G3720" s="7" t="s">
        <v>19</v>
      </c>
      <c r="H3720" s="9" t="n">
        <v>46185</v>
      </c>
      <c r="I3720" s="9"/>
      <c r="J3720" s="7" t="n">
        <v>9.8</v>
      </c>
      <c r="K3720" s="7" t="s">
        <v>4171</v>
      </c>
      <c r="L3720" s="7" t="s">
        <v>19</v>
      </c>
      <c r="M3720" s="7" t="s">
        <v>4361</v>
      </c>
      <c r="N3720" s="7" t="s">
        <v>58</v>
      </c>
      <c r="O3720" s="10" t="n">
        <f aca="false">'Exec Summary'!$E$2-H3720</f>
        <v>49</v>
      </c>
      <c r="P3720" s="10" t="str">
        <f aca="false">IF(I3720="","",I3720-H3720)</f>
        <v/>
      </c>
      <c r="Q3720" s="10" t="n">
        <f aca="false">VLOOKUP(G3720,$AA$2:$AB$5,2,FALSE())</f>
        <v>15</v>
      </c>
      <c r="R3720" s="7" t="n">
        <f aca="false">IF(OR(F3720="Open",F3720="Reopened"),1,0)</f>
        <v>1</v>
      </c>
      <c r="S3720" s="7" t="n">
        <f aca="false">IF(AND(H3720&gt;='Exec Summary'!$E$1,H3720&lt;='Exec Summary'!$E$2),1,0)</f>
        <v>0</v>
      </c>
      <c r="T3720" s="7" t="n">
        <f aca="false">IF(AND(F3720="Closed",I3720&lt;&gt;"",I3720&gt;='Exec Summary'!$E$1,I3720&lt;='Exec Summary'!$E$2),1,0)</f>
        <v>0</v>
      </c>
      <c r="U3720" s="7" t="n">
        <f aca="false">IF(F3720="Reopened",1,0)</f>
        <v>0</v>
      </c>
      <c r="V3720" s="7" t="n">
        <f aca="false">IF(AND(R3720=1,O3720&gt;Q3720),1,0)</f>
        <v>1</v>
      </c>
      <c r="W3720" s="7" t="n">
        <f aca="false">IF(AND(T3720=1,P3720&lt;&gt;"",P3720&lt;=Q3720),1,0)</f>
        <v>0</v>
      </c>
    </row>
    <row r="3721" customFormat="false" ht="15" hidden="false" customHeight="false" outlineLevel="0" collapsed="false">
      <c r="A3721" s="7" t="s">
        <v>4358</v>
      </c>
      <c r="B3721" s="7" t="s">
        <v>46</v>
      </c>
      <c r="C3721" s="7" t="s">
        <v>128</v>
      </c>
      <c r="D3721" s="7" t="s">
        <v>48</v>
      </c>
      <c r="E3721" s="7" t="s">
        <v>49</v>
      </c>
      <c r="F3721" s="7" t="s">
        <v>56</v>
      </c>
      <c r="G3721" s="7" t="s">
        <v>20</v>
      </c>
      <c r="H3721" s="9" t="n">
        <v>45971</v>
      </c>
      <c r="I3721" s="9"/>
      <c r="J3721" s="7" t="n">
        <v>7.5</v>
      </c>
      <c r="K3721" s="7" t="s">
        <v>4171</v>
      </c>
      <c r="L3721" s="7" t="s">
        <v>19</v>
      </c>
      <c r="M3721" s="7" t="s">
        <v>4362</v>
      </c>
      <c r="N3721" s="7" t="s">
        <v>53</v>
      </c>
      <c r="O3721" s="10" t="n">
        <f aca="false">'Exec Summary'!$E$2-H3721</f>
        <v>263</v>
      </c>
      <c r="P3721" s="10" t="str">
        <f aca="false">IF(I3721="","",I3721-H3721)</f>
        <v/>
      </c>
      <c r="Q3721" s="10" t="n">
        <f aca="false">VLOOKUP(G3721,$AA$2:$AB$5,2,FALSE())</f>
        <v>30</v>
      </c>
      <c r="R3721" s="7" t="n">
        <f aca="false">IF(OR(F3721="Open",F3721="Reopened"),1,0)</f>
        <v>1</v>
      </c>
      <c r="S3721" s="7" t="n">
        <f aca="false">IF(AND(H3721&gt;='Exec Summary'!$E$1,H3721&lt;='Exec Summary'!$E$2),1,0)</f>
        <v>0</v>
      </c>
      <c r="T3721" s="7" t="n">
        <f aca="false">IF(AND(F3721="Closed",I3721&lt;&gt;"",I3721&gt;='Exec Summary'!$E$1,I3721&lt;='Exec Summary'!$E$2),1,0)</f>
        <v>0</v>
      </c>
      <c r="U3721" s="7" t="n">
        <f aca="false">IF(F3721="Reopened",1,0)</f>
        <v>0</v>
      </c>
      <c r="V3721" s="7" t="n">
        <f aca="false">IF(AND(R3721=1,O3721&gt;Q3721),1,0)</f>
        <v>1</v>
      </c>
      <c r="W3721" s="7" t="n">
        <f aca="false">IF(AND(T3721=1,P3721&lt;&gt;"",P3721&lt;=Q3721),1,0)</f>
        <v>0</v>
      </c>
    </row>
    <row r="3722" customFormat="false" ht="15" hidden="false" customHeight="false" outlineLevel="0" collapsed="false">
      <c r="A3722" s="7" t="s">
        <v>4358</v>
      </c>
      <c r="B3722" s="7" t="s">
        <v>46</v>
      </c>
      <c r="C3722" s="7" t="s">
        <v>128</v>
      </c>
      <c r="D3722" s="7" t="s">
        <v>71</v>
      </c>
      <c r="E3722" s="7" t="s">
        <v>72</v>
      </c>
      <c r="F3722" s="7" t="s">
        <v>50</v>
      </c>
      <c r="G3722" s="7" t="s">
        <v>19</v>
      </c>
      <c r="H3722" s="9" t="n">
        <v>46203</v>
      </c>
      <c r="I3722" s="9" t="n">
        <v>46217</v>
      </c>
      <c r="J3722" s="7" t="n">
        <v>9.8</v>
      </c>
      <c r="K3722" s="7" t="s">
        <v>4171</v>
      </c>
      <c r="L3722" s="7" t="s">
        <v>19</v>
      </c>
      <c r="M3722" s="7" t="s">
        <v>4363</v>
      </c>
      <c r="N3722" s="7" t="s">
        <v>58</v>
      </c>
      <c r="O3722" s="10" t="n">
        <f aca="false">'Exec Summary'!$E$2-H3722</f>
        <v>31</v>
      </c>
      <c r="P3722" s="10" t="n">
        <f aca="false">IF(I3722="","",I3722-H3722)</f>
        <v>14</v>
      </c>
      <c r="Q3722" s="10" t="n">
        <f aca="false">VLOOKUP(G3722,$AA$2:$AB$5,2,FALSE())</f>
        <v>15</v>
      </c>
      <c r="R3722" s="7" t="n">
        <f aca="false">IF(OR(F3722="Open",F3722="Reopened"),1,0)</f>
        <v>0</v>
      </c>
      <c r="S3722" s="7" t="n">
        <f aca="false">IF(AND(H3722&gt;='Exec Summary'!$E$1,H3722&lt;='Exec Summary'!$E$2),1,0)</f>
        <v>0</v>
      </c>
      <c r="T3722" s="7" t="n">
        <f aca="false">IF(AND(F3722="Closed",I3722&lt;&gt;"",I3722&gt;='Exec Summary'!$E$1,I3722&lt;='Exec Summary'!$E$2),1,0)</f>
        <v>1</v>
      </c>
      <c r="U3722" s="7" t="n">
        <f aca="false">IF(F3722="Reopened",1,0)</f>
        <v>0</v>
      </c>
      <c r="V3722" s="7" t="n">
        <f aca="false">IF(AND(R3722=1,O3722&gt;Q3722),1,0)</f>
        <v>0</v>
      </c>
      <c r="W3722" s="7" t="n">
        <f aca="false">IF(AND(T3722=1,P3722&lt;&gt;"",P3722&lt;=Q3722),1,0)</f>
        <v>1</v>
      </c>
    </row>
    <row r="3723" customFormat="false" ht="15" hidden="false" customHeight="false" outlineLevel="0" collapsed="false">
      <c r="A3723" s="7" t="s">
        <v>4364</v>
      </c>
      <c r="B3723" s="7" t="s">
        <v>135</v>
      </c>
      <c r="C3723" s="7" t="s">
        <v>306</v>
      </c>
      <c r="D3723" s="7" t="s">
        <v>54</v>
      </c>
      <c r="E3723" s="7" t="s">
        <v>55</v>
      </c>
      <c r="F3723" s="7" t="s">
        <v>50</v>
      </c>
      <c r="G3723" s="7" t="s">
        <v>19</v>
      </c>
      <c r="H3723" s="9" t="n">
        <v>46118</v>
      </c>
      <c r="I3723" s="9" t="n">
        <v>46138</v>
      </c>
      <c r="J3723" s="7" t="n">
        <v>9.8</v>
      </c>
      <c r="K3723" s="7" t="s">
        <v>4171</v>
      </c>
      <c r="L3723" s="7" t="s">
        <v>21</v>
      </c>
      <c r="M3723" s="7" t="s">
        <v>4365</v>
      </c>
      <c r="N3723" s="7" t="s">
        <v>58</v>
      </c>
      <c r="O3723" s="10" t="n">
        <f aca="false">'Exec Summary'!$E$2-H3723</f>
        <v>116</v>
      </c>
      <c r="P3723" s="10" t="n">
        <f aca="false">IF(I3723="","",I3723-H3723)</f>
        <v>20</v>
      </c>
      <c r="Q3723" s="10" t="n">
        <f aca="false">VLOOKUP(G3723,$AA$2:$AB$5,2,FALSE())</f>
        <v>15</v>
      </c>
      <c r="R3723" s="7" t="n">
        <f aca="false">IF(OR(F3723="Open",F3723="Reopened"),1,0)</f>
        <v>0</v>
      </c>
      <c r="S3723" s="7" t="n">
        <f aca="false">IF(AND(H3723&gt;='Exec Summary'!$E$1,H3723&lt;='Exec Summary'!$E$2),1,0)</f>
        <v>0</v>
      </c>
      <c r="T3723" s="7" t="n">
        <f aca="false">IF(AND(F3723="Closed",I3723&lt;&gt;"",I3723&gt;='Exec Summary'!$E$1,I3723&lt;='Exec Summary'!$E$2),1,0)</f>
        <v>0</v>
      </c>
      <c r="U3723" s="7" t="n">
        <f aca="false">IF(F3723="Reopened",1,0)</f>
        <v>0</v>
      </c>
      <c r="V3723" s="7" t="n">
        <f aca="false">IF(AND(R3723=1,O3723&gt;Q3723),1,0)</f>
        <v>0</v>
      </c>
      <c r="W3723" s="7" t="n">
        <f aca="false">IF(AND(T3723=1,P3723&lt;&gt;"",P3723&lt;=Q3723),1,0)</f>
        <v>0</v>
      </c>
    </row>
    <row r="3724" customFormat="false" ht="15" hidden="false" customHeight="false" outlineLevel="0" collapsed="false">
      <c r="A3724" s="7" t="s">
        <v>4364</v>
      </c>
      <c r="B3724" s="7" t="s">
        <v>135</v>
      </c>
      <c r="C3724" s="7" t="s">
        <v>306</v>
      </c>
      <c r="D3724" s="7" t="s">
        <v>210</v>
      </c>
      <c r="E3724" s="7" t="s">
        <v>211</v>
      </c>
      <c r="F3724" s="7" t="s">
        <v>56</v>
      </c>
      <c r="G3724" s="7" t="s">
        <v>19</v>
      </c>
      <c r="H3724" s="9" t="n">
        <v>45992</v>
      </c>
      <c r="I3724" s="9"/>
      <c r="J3724" s="7" t="n">
        <v>9.8</v>
      </c>
      <c r="K3724" s="7" t="s">
        <v>4171</v>
      </c>
      <c r="L3724" s="7" t="s">
        <v>21</v>
      </c>
      <c r="M3724" s="7" t="s">
        <v>4366</v>
      </c>
      <c r="N3724" s="7" t="s">
        <v>58</v>
      </c>
      <c r="O3724" s="10" t="n">
        <f aca="false">'Exec Summary'!$E$2-H3724</f>
        <v>242</v>
      </c>
      <c r="P3724" s="10" t="str">
        <f aca="false">IF(I3724="","",I3724-H3724)</f>
        <v/>
      </c>
      <c r="Q3724" s="10" t="n">
        <f aca="false">VLOOKUP(G3724,$AA$2:$AB$5,2,FALSE())</f>
        <v>15</v>
      </c>
      <c r="R3724" s="7" t="n">
        <f aca="false">IF(OR(F3724="Open",F3724="Reopened"),1,0)</f>
        <v>1</v>
      </c>
      <c r="S3724" s="7" t="n">
        <f aca="false">IF(AND(H3724&gt;='Exec Summary'!$E$1,H3724&lt;='Exec Summary'!$E$2),1,0)</f>
        <v>0</v>
      </c>
      <c r="T3724" s="7" t="n">
        <f aca="false">IF(AND(F3724="Closed",I3724&lt;&gt;"",I3724&gt;='Exec Summary'!$E$1,I3724&lt;='Exec Summary'!$E$2),1,0)</f>
        <v>0</v>
      </c>
      <c r="U3724" s="7" t="n">
        <f aca="false">IF(F3724="Reopened",1,0)</f>
        <v>0</v>
      </c>
      <c r="V3724" s="7" t="n">
        <f aca="false">IF(AND(R3724=1,O3724&gt;Q3724),1,0)</f>
        <v>1</v>
      </c>
      <c r="W3724" s="7" t="n">
        <f aca="false">IF(AND(T3724=1,P3724&lt;&gt;"",P3724&lt;=Q3724),1,0)</f>
        <v>0</v>
      </c>
    </row>
    <row r="3725" customFormat="false" ht="15" hidden="false" customHeight="false" outlineLevel="0" collapsed="false">
      <c r="A3725" s="7" t="s">
        <v>4364</v>
      </c>
      <c r="B3725" s="7" t="s">
        <v>135</v>
      </c>
      <c r="C3725" s="7" t="s">
        <v>306</v>
      </c>
      <c r="D3725" s="7" t="s">
        <v>98</v>
      </c>
      <c r="E3725" s="7" t="s">
        <v>99</v>
      </c>
      <c r="F3725" s="7" t="s">
        <v>56</v>
      </c>
      <c r="G3725" s="7" t="s">
        <v>19</v>
      </c>
      <c r="H3725" s="9" t="n">
        <v>46057</v>
      </c>
      <c r="I3725" s="9"/>
      <c r="J3725" s="7" t="n">
        <v>10</v>
      </c>
      <c r="K3725" s="7" t="s">
        <v>4171</v>
      </c>
      <c r="L3725" s="7" t="s">
        <v>21</v>
      </c>
      <c r="M3725" s="7" t="s">
        <v>4367</v>
      </c>
      <c r="N3725" s="7" t="s">
        <v>58</v>
      </c>
      <c r="O3725" s="10" t="n">
        <f aca="false">'Exec Summary'!$E$2-H3725</f>
        <v>177</v>
      </c>
      <c r="P3725" s="10" t="str">
        <f aca="false">IF(I3725="","",I3725-H3725)</f>
        <v/>
      </c>
      <c r="Q3725" s="10" t="n">
        <f aca="false">VLOOKUP(G3725,$AA$2:$AB$5,2,FALSE())</f>
        <v>15</v>
      </c>
      <c r="R3725" s="7" t="n">
        <f aca="false">IF(OR(F3725="Open",F3725="Reopened"),1,0)</f>
        <v>1</v>
      </c>
      <c r="S3725" s="7" t="n">
        <f aca="false">IF(AND(H3725&gt;='Exec Summary'!$E$1,H3725&lt;='Exec Summary'!$E$2),1,0)</f>
        <v>0</v>
      </c>
      <c r="T3725" s="7" t="n">
        <f aca="false">IF(AND(F3725="Closed",I3725&lt;&gt;"",I3725&gt;='Exec Summary'!$E$1,I3725&lt;='Exec Summary'!$E$2),1,0)</f>
        <v>0</v>
      </c>
      <c r="U3725" s="7" t="n">
        <f aca="false">IF(F3725="Reopened",1,0)</f>
        <v>0</v>
      </c>
      <c r="V3725" s="7" t="n">
        <f aca="false">IF(AND(R3725=1,O3725&gt;Q3725),1,0)</f>
        <v>1</v>
      </c>
      <c r="W3725" s="7" t="n">
        <f aca="false">IF(AND(T3725=1,P3725&lt;&gt;"",P3725&lt;=Q3725),1,0)</f>
        <v>0</v>
      </c>
    </row>
    <row r="3726" customFormat="false" ht="15" hidden="false" customHeight="false" outlineLevel="0" collapsed="false">
      <c r="A3726" s="7" t="s">
        <v>4364</v>
      </c>
      <c r="B3726" s="7" t="s">
        <v>135</v>
      </c>
      <c r="C3726" s="7" t="s">
        <v>306</v>
      </c>
      <c r="D3726" s="7" t="s">
        <v>117</v>
      </c>
      <c r="E3726" s="7" t="s">
        <v>118</v>
      </c>
      <c r="F3726" s="7" t="s">
        <v>56</v>
      </c>
      <c r="G3726" s="7" t="s">
        <v>19</v>
      </c>
      <c r="H3726" s="9" t="n">
        <v>45954</v>
      </c>
      <c r="I3726" s="9"/>
      <c r="J3726" s="7" t="n">
        <v>10</v>
      </c>
      <c r="K3726" s="7" t="s">
        <v>4171</v>
      </c>
      <c r="L3726" s="7" t="s">
        <v>21</v>
      </c>
      <c r="M3726" s="7" t="s">
        <v>4368</v>
      </c>
      <c r="N3726" s="7" t="s">
        <v>58</v>
      </c>
      <c r="O3726" s="10" t="n">
        <f aca="false">'Exec Summary'!$E$2-H3726</f>
        <v>280</v>
      </c>
      <c r="P3726" s="10" t="str">
        <f aca="false">IF(I3726="","",I3726-H3726)</f>
        <v/>
      </c>
      <c r="Q3726" s="10" t="n">
        <f aca="false">VLOOKUP(G3726,$AA$2:$AB$5,2,FALSE())</f>
        <v>15</v>
      </c>
      <c r="R3726" s="7" t="n">
        <f aca="false">IF(OR(F3726="Open",F3726="Reopened"),1,0)</f>
        <v>1</v>
      </c>
      <c r="S3726" s="7" t="n">
        <f aca="false">IF(AND(H3726&gt;='Exec Summary'!$E$1,H3726&lt;='Exec Summary'!$E$2),1,0)</f>
        <v>0</v>
      </c>
      <c r="T3726" s="7" t="n">
        <f aca="false">IF(AND(F3726="Closed",I3726&lt;&gt;"",I3726&gt;='Exec Summary'!$E$1,I3726&lt;='Exec Summary'!$E$2),1,0)</f>
        <v>0</v>
      </c>
      <c r="U3726" s="7" t="n">
        <f aca="false">IF(F3726="Reopened",1,0)</f>
        <v>0</v>
      </c>
      <c r="V3726" s="7" t="n">
        <f aca="false">IF(AND(R3726=1,O3726&gt;Q3726),1,0)</f>
        <v>1</v>
      </c>
      <c r="W3726" s="7" t="n">
        <f aca="false">IF(AND(T3726=1,P3726&lt;&gt;"",P3726&lt;=Q3726),1,0)</f>
        <v>0</v>
      </c>
    </row>
    <row r="3727" customFormat="false" ht="15" hidden="false" customHeight="false" outlineLevel="0" collapsed="false">
      <c r="A3727" s="7" t="s">
        <v>4364</v>
      </c>
      <c r="B3727" s="7" t="s">
        <v>135</v>
      </c>
      <c r="C3727" s="7" t="s">
        <v>306</v>
      </c>
      <c r="D3727" s="7" t="s">
        <v>163</v>
      </c>
      <c r="E3727" s="7" t="s">
        <v>164</v>
      </c>
      <c r="F3727" s="7" t="s">
        <v>56</v>
      </c>
      <c r="G3727" s="7" t="s">
        <v>19</v>
      </c>
      <c r="H3727" s="9" t="n">
        <v>46129</v>
      </c>
      <c r="I3727" s="9"/>
      <c r="J3727" s="7" t="n">
        <v>9.1</v>
      </c>
      <c r="K3727" s="7" t="s">
        <v>4171</v>
      </c>
      <c r="L3727" s="7" t="s">
        <v>21</v>
      </c>
      <c r="M3727" s="7" t="s">
        <v>4369</v>
      </c>
      <c r="N3727" s="7" t="s">
        <v>58</v>
      </c>
      <c r="O3727" s="10" t="n">
        <f aca="false">'Exec Summary'!$E$2-H3727</f>
        <v>105</v>
      </c>
      <c r="P3727" s="10" t="str">
        <f aca="false">IF(I3727="","",I3727-H3727)</f>
        <v/>
      </c>
      <c r="Q3727" s="10" t="n">
        <f aca="false">VLOOKUP(G3727,$AA$2:$AB$5,2,FALSE())</f>
        <v>15</v>
      </c>
      <c r="R3727" s="7" t="n">
        <f aca="false">IF(OR(F3727="Open",F3727="Reopened"),1,0)</f>
        <v>1</v>
      </c>
      <c r="S3727" s="7" t="n">
        <f aca="false">IF(AND(H3727&gt;='Exec Summary'!$E$1,H3727&lt;='Exec Summary'!$E$2),1,0)</f>
        <v>0</v>
      </c>
      <c r="T3727" s="7" t="n">
        <f aca="false">IF(AND(F3727="Closed",I3727&lt;&gt;"",I3727&gt;='Exec Summary'!$E$1,I3727&lt;='Exec Summary'!$E$2),1,0)</f>
        <v>0</v>
      </c>
      <c r="U3727" s="7" t="n">
        <f aca="false">IF(F3727="Reopened",1,0)</f>
        <v>0</v>
      </c>
      <c r="V3727" s="7" t="n">
        <f aca="false">IF(AND(R3727=1,O3727&gt;Q3727),1,0)</f>
        <v>1</v>
      </c>
      <c r="W3727" s="7" t="n">
        <f aca="false">IF(AND(T3727=1,P3727&lt;&gt;"",P3727&lt;=Q3727),1,0)</f>
        <v>0</v>
      </c>
    </row>
    <row r="3728" customFormat="false" ht="15" hidden="false" customHeight="false" outlineLevel="0" collapsed="false">
      <c r="A3728" s="7" t="s">
        <v>4364</v>
      </c>
      <c r="B3728" s="7" t="s">
        <v>135</v>
      </c>
      <c r="C3728" s="7" t="s">
        <v>306</v>
      </c>
      <c r="D3728" s="7" t="s">
        <v>120</v>
      </c>
      <c r="E3728" s="7" t="s">
        <v>121</v>
      </c>
      <c r="F3728" s="7" t="s">
        <v>50</v>
      </c>
      <c r="G3728" s="7" t="s">
        <v>19</v>
      </c>
      <c r="H3728" s="9" t="n">
        <v>46131</v>
      </c>
      <c r="I3728" s="9" t="n">
        <v>46139</v>
      </c>
      <c r="J3728" s="7" t="n">
        <v>8.8</v>
      </c>
      <c r="K3728" s="7" t="s">
        <v>4171</v>
      </c>
      <c r="L3728" s="7" t="s">
        <v>21</v>
      </c>
      <c r="M3728" s="7" t="s">
        <v>4370</v>
      </c>
      <c r="N3728" s="7" t="s">
        <v>58</v>
      </c>
      <c r="O3728" s="10" t="n">
        <f aca="false">'Exec Summary'!$E$2-H3728</f>
        <v>103</v>
      </c>
      <c r="P3728" s="10" t="n">
        <f aca="false">IF(I3728="","",I3728-H3728)</f>
        <v>8</v>
      </c>
      <c r="Q3728" s="10" t="n">
        <f aca="false">VLOOKUP(G3728,$AA$2:$AB$5,2,FALSE())</f>
        <v>15</v>
      </c>
      <c r="R3728" s="7" t="n">
        <f aca="false">IF(OR(F3728="Open",F3728="Reopened"),1,0)</f>
        <v>0</v>
      </c>
      <c r="S3728" s="7" t="n">
        <f aca="false">IF(AND(H3728&gt;='Exec Summary'!$E$1,H3728&lt;='Exec Summary'!$E$2),1,0)</f>
        <v>0</v>
      </c>
      <c r="T3728" s="7" t="n">
        <f aca="false">IF(AND(F3728="Closed",I3728&lt;&gt;"",I3728&gt;='Exec Summary'!$E$1,I3728&lt;='Exec Summary'!$E$2),1,0)</f>
        <v>0</v>
      </c>
      <c r="U3728" s="7" t="n">
        <f aca="false">IF(F3728="Reopened",1,0)</f>
        <v>0</v>
      </c>
      <c r="V3728" s="7" t="n">
        <f aca="false">IF(AND(R3728=1,O3728&gt;Q3728),1,0)</f>
        <v>0</v>
      </c>
      <c r="W3728" s="7" t="n">
        <f aca="false">IF(AND(T3728=1,P3728&lt;&gt;"",P3728&lt;=Q3728),1,0)</f>
        <v>0</v>
      </c>
    </row>
    <row r="3729" customFormat="false" ht="15" hidden="false" customHeight="false" outlineLevel="0" collapsed="false">
      <c r="A3729" s="7" t="s">
        <v>4371</v>
      </c>
      <c r="B3729" s="7" t="s">
        <v>135</v>
      </c>
      <c r="C3729" s="7" t="s">
        <v>136</v>
      </c>
      <c r="D3729" s="7" t="s">
        <v>87</v>
      </c>
      <c r="E3729" s="7" t="s">
        <v>88</v>
      </c>
      <c r="F3729" s="7" t="s">
        <v>50</v>
      </c>
      <c r="G3729" s="7" t="s">
        <v>19</v>
      </c>
      <c r="H3729" s="9" t="n">
        <v>46032</v>
      </c>
      <c r="I3729" s="9" t="n">
        <v>46045</v>
      </c>
      <c r="J3729" s="7" t="n">
        <v>10</v>
      </c>
      <c r="K3729" s="7" t="s">
        <v>4171</v>
      </c>
      <c r="L3729" s="7" t="s">
        <v>21</v>
      </c>
      <c r="M3729" s="7" t="s">
        <v>4372</v>
      </c>
      <c r="N3729" s="7" t="s">
        <v>58</v>
      </c>
      <c r="O3729" s="10" t="n">
        <f aca="false">'Exec Summary'!$E$2-H3729</f>
        <v>202</v>
      </c>
      <c r="P3729" s="10" t="n">
        <f aca="false">IF(I3729="","",I3729-H3729)</f>
        <v>13</v>
      </c>
      <c r="Q3729" s="10" t="n">
        <f aca="false">VLOOKUP(G3729,$AA$2:$AB$5,2,FALSE())</f>
        <v>15</v>
      </c>
      <c r="R3729" s="7" t="n">
        <f aca="false">IF(OR(F3729="Open",F3729="Reopened"),1,0)</f>
        <v>0</v>
      </c>
      <c r="S3729" s="7" t="n">
        <f aca="false">IF(AND(H3729&gt;='Exec Summary'!$E$1,H3729&lt;='Exec Summary'!$E$2),1,0)</f>
        <v>0</v>
      </c>
      <c r="T3729" s="7" t="n">
        <f aca="false">IF(AND(F3729="Closed",I3729&lt;&gt;"",I3729&gt;='Exec Summary'!$E$1,I3729&lt;='Exec Summary'!$E$2),1,0)</f>
        <v>0</v>
      </c>
      <c r="U3729" s="7" t="n">
        <f aca="false">IF(F3729="Reopened",1,0)</f>
        <v>0</v>
      </c>
      <c r="V3729" s="7" t="n">
        <f aca="false">IF(AND(R3729=1,O3729&gt;Q3729),1,0)</f>
        <v>0</v>
      </c>
      <c r="W3729" s="7" t="n">
        <f aca="false">IF(AND(T3729=1,P3729&lt;&gt;"",P3729&lt;=Q3729),1,0)</f>
        <v>0</v>
      </c>
    </row>
    <row r="3730" customFormat="false" ht="15" hidden="false" customHeight="false" outlineLevel="0" collapsed="false">
      <c r="A3730" s="7" t="s">
        <v>4373</v>
      </c>
      <c r="B3730" s="7" t="s">
        <v>46</v>
      </c>
      <c r="C3730" s="7" t="s">
        <v>158</v>
      </c>
      <c r="D3730" s="7" t="s">
        <v>62</v>
      </c>
      <c r="E3730" s="7" t="s">
        <v>63</v>
      </c>
      <c r="F3730" s="7" t="s">
        <v>50</v>
      </c>
      <c r="G3730" s="7" t="s">
        <v>20</v>
      </c>
      <c r="H3730" s="9" t="n">
        <v>45946</v>
      </c>
      <c r="I3730" s="9" t="n">
        <v>45971</v>
      </c>
      <c r="J3730" s="7" t="n">
        <v>8.1</v>
      </c>
      <c r="K3730" s="7" t="s">
        <v>4171</v>
      </c>
      <c r="L3730" s="7" t="s">
        <v>21</v>
      </c>
      <c r="M3730" s="7" t="s">
        <v>4374</v>
      </c>
      <c r="N3730" s="7" t="s">
        <v>53</v>
      </c>
      <c r="O3730" s="10" t="n">
        <f aca="false">'Exec Summary'!$E$2-H3730</f>
        <v>288</v>
      </c>
      <c r="P3730" s="10" t="n">
        <f aca="false">IF(I3730="","",I3730-H3730)</f>
        <v>25</v>
      </c>
      <c r="Q3730" s="10" t="n">
        <f aca="false">VLOOKUP(G3730,$AA$2:$AB$5,2,FALSE())</f>
        <v>30</v>
      </c>
      <c r="R3730" s="7" t="n">
        <f aca="false">IF(OR(F3730="Open",F3730="Reopened"),1,0)</f>
        <v>0</v>
      </c>
      <c r="S3730" s="7" t="n">
        <f aca="false">IF(AND(H3730&gt;='Exec Summary'!$E$1,H3730&lt;='Exec Summary'!$E$2),1,0)</f>
        <v>0</v>
      </c>
      <c r="T3730" s="7" t="n">
        <f aca="false">IF(AND(F3730="Closed",I3730&lt;&gt;"",I3730&gt;='Exec Summary'!$E$1,I3730&lt;='Exec Summary'!$E$2),1,0)</f>
        <v>0</v>
      </c>
      <c r="U3730" s="7" t="n">
        <f aca="false">IF(F3730="Reopened",1,0)</f>
        <v>0</v>
      </c>
      <c r="V3730" s="7" t="n">
        <f aca="false">IF(AND(R3730=1,O3730&gt;Q3730),1,0)</f>
        <v>0</v>
      </c>
      <c r="W3730" s="7" t="n">
        <f aca="false">IF(AND(T3730=1,P3730&lt;&gt;"",P3730&lt;=Q3730),1,0)</f>
        <v>0</v>
      </c>
    </row>
    <row r="3731" customFormat="false" ht="15" hidden="false" customHeight="false" outlineLevel="0" collapsed="false">
      <c r="A3731" s="7" t="s">
        <v>4373</v>
      </c>
      <c r="B3731" s="7" t="s">
        <v>46</v>
      </c>
      <c r="C3731" s="7" t="s">
        <v>158</v>
      </c>
      <c r="D3731" s="7" t="s">
        <v>59</v>
      </c>
      <c r="E3731" s="7" t="s">
        <v>60</v>
      </c>
      <c r="F3731" s="7" t="s">
        <v>50</v>
      </c>
      <c r="G3731" s="7" t="s">
        <v>19</v>
      </c>
      <c r="H3731" s="9" t="n">
        <v>45971</v>
      </c>
      <c r="I3731" s="9" t="n">
        <v>45984</v>
      </c>
      <c r="J3731" s="7" t="n">
        <v>7.8</v>
      </c>
      <c r="K3731" s="7" t="s">
        <v>4171</v>
      </c>
      <c r="L3731" s="7" t="s">
        <v>21</v>
      </c>
      <c r="M3731" s="7" t="s">
        <v>4375</v>
      </c>
      <c r="N3731" s="7" t="s">
        <v>58</v>
      </c>
      <c r="O3731" s="10" t="n">
        <f aca="false">'Exec Summary'!$E$2-H3731</f>
        <v>263</v>
      </c>
      <c r="P3731" s="10" t="n">
        <f aca="false">IF(I3731="","",I3731-H3731)</f>
        <v>13</v>
      </c>
      <c r="Q3731" s="10" t="n">
        <f aca="false">VLOOKUP(G3731,$AA$2:$AB$5,2,FALSE())</f>
        <v>15</v>
      </c>
      <c r="R3731" s="7" t="n">
        <f aca="false">IF(OR(F3731="Open",F3731="Reopened"),1,0)</f>
        <v>0</v>
      </c>
      <c r="S3731" s="7" t="n">
        <f aca="false">IF(AND(H3731&gt;='Exec Summary'!$E$1,H3731&lt;='Exec Summary'!$E$2),1,0)</f>
        <v>0</v>
      </c>
      <c r="T3731" s="7" t="n">
        <f aca="false">IF(AND(F3731="Closed",I3731&lt;&gt;"",I3731&gt;='Exec Summary'!$E$1,I3731&lt;='Exec Summary'!$E$2),1,0)</f>
        <v>0</v>
      </c>
      <c r="U3731" s="7" t="n">
        <f aca="false">IF(F3731="Reopened",1,0)</f>
        <v>0</v>
      </c>
      <c r="V3731" s="7" t="n">
        <f aca="false">IF(AND(R3731=1,O3731&gt;Q3731),1,0)</f>
        <v>0</v>
      </c>
      <c r="W3731" s="7" t="n">
        <f aca="false">IF(AND(T3731=1,P3731&lt;&gt;"",P3731&lt;=Q3731),1,0)</f>
        <v>0</v>
      </c>
    </row>
    <row r="3732" customFormat="false" ht="15" hidden="false" customHeight="false" outlineLevel="0" collapsed="false">
      <c r="A3732" s="7" t="s">
        <v>4373</v>
      </c>
      <c r="B3732" s="7" t="s">
        <v>46</v>
      </c>
      <c r="C3732" s="7" t="s">
        <v>158</v>
      </c>
      <c r="D3732" s="7" t="s">
        <v>131</v>
      </c>
      <c r="E3732" s="7" t="s">
        <v>132</v>
      </c>
      <c r="F3732" s="7" t="s">
        <v>50</v>
      </c>
      <c r="G3732" s="7" t="s">
        <v>19</v>
      </c>
      <c r="H3732" s="9" t="n">
        <v>46066</v>
      </c>
      <c r="I3732" s="9" t="n">
        <v>46068</v>
      </c>
      <c r="J3732" s="7" t="n">
        <v>9.8</v>
      </c>
      <c r="K3732" s="7" t="s">
        <v>4171</v>
      </c>
      <c r="L3732" s="7" t="s">
        <v>21</v>
      </c>
      <c r="M3732" s="7" t="s">
        <v>4376</v>
      </c>
      <c r="N3732" s="7" t="s">
        <v>58</v>
      </c>
      <c r="O3732" s="10" t="n">
        <f aca="false">'Exec Summary'!$E$2-H3732</f>
        <v>168</v>
      </c>
      <c r="P3732" s="10" t="n">
        <f aca="false">IF(I3732="","",I3732-H3732)</f>
        <v>2</v>
      </c>
      <c r="Q3732" s="10" t="n">
        <f aca="false">VLOOKUP(G3732,$AA$2:$AB$5,2,FALSE())</f>
        <v>15</v>
      </c>
      <c r="R3732" s="7" t="n">
        <f aca="false">IF(OR(F3732="Open",F3732="Reopened"),1,0)</f>
        <v>0</v>
      </c>
      <c r="S3732" s="7" t="n">
        <f aca="false">IF(AND(H3732&gt;='Exec Summary'!$E$1,H3732&lt;='Exec Summary'!$E$2),1,0)</f>
        <v>0</v>
      </c>
      <c r="T3732" s="7" t="n">
        <f aca="false">IF(AND(F3732="Closed",I3732&lt;&gt;"",I3732&gt;='Exec Summary'!$E$1,I3732&lt;='Exec Summary'!$E$2),1,0)</f>
        <v>0</v>
      </c>
      <c r="U3732" s="7" t="n">
        <f aca="false">IF(F3732="Reopened",1,0)</f>
        <v>0</v>
      </c>
      <c r="V3732" s="7" t="n">
        <f aca="false">IF(AND(R3732=1,O3732&gt;Q3732),1,0)</f>
        <v>0</v>
      </c>
      <c r="W3732" s="7" t="n">
        <f aca="false">IF(AND(T3732=1,P3732&lt;&gt;"",P3732&lt;=Q3732),1,0)</f>
        <v>0</v>
      </c>
    </row>
    <row r="3733" customFormat="false" ht="15" hidden="false" customHeight="false" outlineLevel="0" collapsed="false">
      <c r="A3733" s="7" t="s">
        <v>4373</v>
      </c>
      <c r="B3733" s="7" t="s">
        <v>46</v>
      </c>
      <c r="C3733" s="7" t="s">
        <v>158</v>
      </c>
      <c r="D3733" s="7" t="s">
        <v>98</v>
      </c>
      <c r="E3733" s="7" t="s">
        <v>99</v>
      </c>
      <c r="F3733" s="7" t="s">
        <v>123</v>
      </c>
      <c r="G3733" s="7" t="s">
        <v>19</v>
      </c>
      <c r="H3733" s="9" t="n">
        <v>46155</v>
      </c>
      <c r="I3733" s="9" t="n">
        <v>46163</v>
      </c>
      <c r="J3733" s="7" t="n">
        <v>10</v>
      </c>
      <c r="K3733" s="7" t="s">
        <v>4171</v>
      </c>
      <c r="L3733" s="7" t="s">
        <v>21</v>
      </c>
      <c r="M3733" s="7" t="s">
        <v>4377</v>
      </c>
      <c r="N3733" s="7" t="s">
        <v>58</v>
      </c>
      <c r="O3733" s="10" t="n">
        <f aca="false">'Exec Summary'!$E$2-H3733</f>
        <v>79</v>
      </c>
      <c r="P3733" s="10" t="n">
        <f aca="false">IF(I3733="","",I3733-H3733)</f>
        <v>8</v>
      </c>
      <c r="Q3733" s="10" t="n">
        <f aca="false">VLOOKUP(G3733,$AA$2:$AB$5,2,FALSE())</f>
        <v>15</v>
      </c>
      <c r="R3733" s="7" t="n">
        <f aca="false">IF(OR(F3733="Open",F3733="Reopened"),1,0)</f>
        <v>1</v>
      </c>
      <c r="S3733" s="7" t="n">
        <f aca="false">IF(AND(H3733&gt;='Exec Summary'!$E$1,H3733&lt;='Exec Summary'!$E$2),1,0)</f>
        <v>0</v>
      </c>
      <c r="T3733" s="7" t="n">
        <f aca="false">IF(AND(F3733="Closed",I3733&lt;&gt;"",I3733&gt;='Exec Summary'!$E$1,I3733&lt;='Exec Summary'!$E$2),1,0)</f>
        <v>0</v>
      </c>
      <c r="U3733" s="7" t="n">
        <f aca="false">IF(F3733="Reopened",1,0)</f>
        <v>1</v>
      </c>
      <c r="V3733" s="7" t="n">
        <f aca="false">IF(AND(R3733=1,O3733&gt;Q3733),1,0)</f>
        <v>1</v>
      </c>
      <c r="W3733" s="7" t="n">
        <f aca="false">IF(AND(T3733=1,P3733&lt;&gt;"",P3733&lt;=Q3733),1,0)</f>
        <v>0</v>
      </c>
    </row>
    <row r="3734" customFormat="false" ht="15" hidden="false" customHeight="false" outlineLevel="0" collapsed="false">
      <c r="A3734" s="7" t="s">
        <v>4373</v>
      </c>
      <c r="B3734" s="7" t="s">
        <v>46</v>
      </c>
      <c r="C3734" s="7" t="s">
        <v>158</v>
      </c>
      <c r="D3734" s="7" t="s">
        <v>91</v>
      </c>
      <c r="E3734" s="7" t="s">
        <v>92</v>
      </c>
      <c r="F3734" s="7" t="s">
        <v>56</v>
      </c>
      <c r="G3734" s="7" t="s">
        <v>20</v>
      </c>
      <c r="H3734" s="9" t="n">
        <v>45957</v>
      </c>
      <c r="I3734" s="9"/>
      <c r="J3734" s="7" t="n">
        <v>8.1</v>
      </c>
      <c r="K3734" s="7" t="s">
        <v>4171</v>
      </c>
      <c r="L3734" s="7" t="s">
        <v>21</v>
      </c>
      <c r="M3734" s="7" t="s">
        <v>4378</v>
      </c>
      <c r="N3734" s="7" t="s">
        <v>53</v>
      </c>
      <c r="O3734" s="10" t="n">
        <f aca="false">'Exec Summary'!$E$2-H3734</f>
        <v>277</v>
      </c>
      <c r="P3734" s="10" t="str">
        <f aca="false">IF(I3734="","",I3734-H3734)</f>
        <v/>
      </c>
      <c r="Q3734" s="10" t="n">
        <f aca="false">VLOOKUP(G3734,$AA$2:$AB$5,2,FALSE())</f>
        <v>30</v>
      </c>
      <c r="R3734" s="7" t="n">
        <f aca="false">IF(OR(F3734="Open",F3734="Reopened"),1,0)</f>
        <v>1</v>
      </c>
      <c r="S3734" s="7" t="n">
        <f aca="false">IF(AND(H3734&gt;='Exec Summary'!$E$1,H3734&lt;='Exec Summary'!$E$2),1,0)</f>
        <v>0</v>
      </c>
      <c r="T3734" s="7" t="n">
        <f aca="false">IF(AND(F3734="Closed",I3734&lt;&gt;"",I3734&gt;='Exec Summary'!$E$1,I3734&lt;='Exec Summary'!$E$2),1,0)</f>
        <v>0</v>
      </c>
      <c r="U3734" s="7" t="n">
        <f aca="false">IF(F3734="Reopened",1,0)</f>
        <v>0</v>
      </c>
      <c r="V3734" s="7" t="n">
        <f aca="false">IF(AND(R3734=1,O3734&gt;Q3734),1,0)</f>
        <v>1</v>
      </c>
      <c r="W3734" s="7" t="n">
        <f aca="false">IF(AND(T3734=1,P3734&lt;&gt;"",P3734&lt;=Q3734),1,0)</f>
        <v>0</v>
      </c>
    </row>
    <row r="3735" customFormat="false" ht="15" hidden="false" customHeight="false" outlineLevel="0" collapsed="false">
      <c r="A3735" s="7" t="s">
        <v>4373</v>
      </c>
      <c r="B3735" s="7" t="s">
        <v>46</v>
      </c>
      <c r="C3735" s="7" t="s">
        <v>158</v>
      </c>
      <c r="D3735" s="7" t="s">
        <v>173</v>
      </c>
      <c r="E3735" s="7" t="s">
        <v>174</v>
      </c>
      <c r="F3735" s="7" t="s">
        <v>56</v>
      </c>
      <c r="G3735" s="7" t="s">
        <v>19</v>
      </c>
      <c r="H3735" s="9" t="n">
        <v>46117</v>
      </c>
      <c r="I3735" s="9"/>
      <c r="J3735" s="7" t="n">
        <v>9.8</v>
      </c>
      <c r="K3735" s="7" t="s">
        <v>4171</v>
      </c>
      <c r="L3735" s="7" t="s">
        <v>21</v>
      </c>
      <c r="M3735" s="7" t="s">
        <v>4379</v>
      </c>
      <c r="N3735" s="7" t="s">
        <v>58</v>
      </c>
      <c r="O3735" s="10" t="n">
        <f aca="false">'Exec Summary'!$E$2-H3735</f>
        <v>117</v>
      </c>
      <c r="P3735" s="10" t="str">
        <f aca="false">IF(I3735="","",I3735-H3735)</f>
        <v/>
      </c>
      <c r="Q3735" s="10" t="n">
        <f aca="false">VLOOKUP(G3735,$AA$2:$AB$5,2,FALSE())</f>
        <v>15</v>
      </c>
      <c r="R3735" s="7" t="n">
        <f aca="false">IF(OR(F3735="Open",F3735="Reopened"),1,0)</f>
        <v>1</v>
      </c>
      <c r="S3735" s="7" t="n">
        <f aca="false">IF(AND(H3735&gt;='Exec Summary'!$E$1,H3735&lt;='Exec Summary'!$E$2),1,0)</f>
        <v>0</v>
      </c>
      <c r="T3735" s="7" t="n">
        <f aca="false">IF(AND(F3735="Closed",I3735&lt;&gt;"",I3735&gt;='Exec Summary'!$E$1,I3735&lt;='Exec Summary'!$E$2),1,0)</f>
        <v>0</v>
      </c>
      <c r="U3735" s="7" t="n">
        <f aca="false">IF(F3735="Reopened",1,0)</f>
        <v>0</v>
      </c>
      <c r="V3735" s="7" t="n">
        <f aca="false">IF(AND(R3735=1,O3735&gt;Q3735),1,0)</f>
        <v>1</v>
      </c>
      <c r="W3735" s="7" t="n">
        <f aca="false">IF(AND(T3735=1,P3735&lt;&gt;"",P3735&lt;=Q3735),1,0)</f>
        <v>0</v>
      </c>
    </row>
    <row r="3736" customFormat="false" ht="15" hidden="false" customHeight="false" outlineLevel="0" collapsed="false">
      <c r="A3736" s="7" t="s">
        <v>4373</v>
      </c>
      <c r="B3736" s="7" t="s">
        <v>46</v>
      </c>
      <c r="C3736" s="7" t="s">
        <v>158</v>
      </c>
      <c r="D3736" s="7" t="s">
        <v>206</v>
      </c>
      <c r="E3736" s="7" t="s">
        <v>207</v>
      </c>
      <c r="F3736" s="7" t="s">
        <v>56</v>
      </c>
      <c r="G3736" s="7" t="s">
        <v>20</v>
      </c>
      <c r="H3736" s="9" t="n">
        <v>46082</v>
      </c>
      <c r="I3736" s="9"/>
      <c r="J3736" s="7" t="n">
        <v>8.8</v>
      </c>
      <c r="K3736" s="7" t="s">
        <v>4171</v>
      </c>
      <c r="L3736" s="7" t="s">
        <v>21</v>
      </c>
      <c r="M3736" s="7" t="s">
        <v>4380</v>
      </c>
      <c r="N3736" s="7" t="s">
        <v>53</v>
      </c>
      <c r="O3736" s="10" t="n">
        <f aca="false">'Exec Summary'!$E$2-H3736</f>
        <v>152</v>
      </c>
      <c r="P3736" s="10" t="str">
        <f aca="false">IF(I3736="","",I3736-H3736)</f>
        <v/>
      </c>
      <c r="Q3736" s="10" t="n">
        <f aca="false">VLOOKUP(G3736,$AA$2:$AB$5,2,FALSE())</f>
        <v>30</v>
      </c>
      <c r="R3736" s="7" t="n">
        <f aca="false">IF(OR(F3736="Open",F3736="Reopened"),1,0)</f>
        <v>1</v>
      </c>
      <c r="S3736" s="7" t="n">
        <f aca="false">IF(AND(H3736&gt;='Exec Summary'!$E$1,H3736&lt;='Exec Summary'!$E$2),1,0)</f>
        <v>0</v>
      </c>
      <c r="T3736" s="7" t="n">
        <f aca="false">IF(AND(F3736="Closed",I3736&lt;&gt;"",I3736&gt;='Exec Summary'!$E$1,I3736&lt;='Exec Summary'!$E$2),1,0)</f>
        <v>0</v>
      </c>
      <c r="U3736" s="7" t="n">
        <f aca="false">IF(F3736="Reopened",1,0)</f>
        <v>0</v>
      </c>
      <c r="V3736" s="7" t="n">
        <f aca="false">IF(AND(R3736=1,O3736&gt;Q3736),1,0)</f>
        <v>1</v>
      </c>
      <c r="W3736" s="7" t="n">
        <f aca="false">IF(AND(T3736=1,P3736&lt;&gt;"",P3736&lt;=Q3736),1,0)</f>
        <v>0</v>
      </c>
    </row>
    <row r="3737" customFormat="false" ht="15" hidden="false" customHeight="false" outlineLevel="0" collapsed="false">
      <c r="A3737" s="7" t="s">
        <v>4373</v>
      </c>
      <c r="B3737" s="7" t="s">
        <v>46</v>
      </c>
      <c r="C3737" s="7" t="s">
        <v>158</v>
      </c>
      <c r="D3737" s="7" t="s">
        <v>74</v>
      </c>
      <c r="E3737" s="7" t="s">
        <v>75</v>
      </c>
      <c r="F3737" s="7" t="s">
        <v>50</v>
      </c>
      <c r="G3737" s="7" t="s">
        <v>21</v>
      </c>
      <c r="H3737" s="9" t="n">
        <v>45978</v>
      </c>
      <c r="I3737" s="9" t="n">
        <v>46058</v>
      </c>
      <c r="J3737" s="7" t="n">
        <v>6.5</v>
      </c>
      <c r="K3737" s="7" t="s">
        <v>4171</v>
      </c>
      <c r="L3737" s="7" t="s">
        <v>21</v>
      </c>
      <c r="M3737" s="7" t="s">
        <v>4381</v>
      </c>
      <c r="N3737" s="7" t="s">
        <v>77</v>
      </c>
      <c r="O3737" s="10" t="n">
        <f aca="false">'Exec Summary'!$E$2-H3737</f>
        <v>256</v>
      </c>
      <c r="P3737" s="10" t="n">
        <f aca="false">IF(I3737="","",I3737-H3737)</f>
        <v>80</v>
      </c>
      <c r="Q3737" s="10" t="n">
        <f aca="false">VLOOKUP(G3737,$AA$2:$AB$5,2,FALSE())</f>
        <v>90</v>
      </c>
      <c r="R3737" s="7" t="n">
        <f aca="false">IF(OR(F3737="Open",F3737="Reopened"),1,0)</f>
        <v>0</v>
      </c>
      <c r="S3737" s="7" t="n">
        <f aca="false">IF(AND(H3737&gt;='Exec Summary'!$E$1,H3737&lt;='Exec Summary'!$E$2),1,0)</f>
        <v>0</v>
      </c>
      <c r="T3737" s="7" t="n">
        <f aca="false">IF(AND(F3737="Closed",I3737&lt;&gt;"",I3737&gt;='Exec Summary'!$E$1,I3737&lt;='Exec Summary'!$E$2),1,0)</f>
        <v>0</v>
      </c>
      <c r="U3737" s="7" t="n">
        <f aca="false">IF(F3737="Reopened",1,0)</f>
        <v>0</v>
      </c>
      <c r="V3737" s="7" t="n">
        <f aca="false">IF(AND(R3737=1,O3737&gt;Q3737),1,0)</f>
        <v>0</v>
      </c>
      <c r="W3737" s="7" t="n">
        <f aca="false">IF(AND(T3737=1,P3737&lt;&gt;"",P3737&lt;=Q3737),1,0)</f>
        <v>0</v>
      </c>
    </row>
    <row r="3738" customFormat="false" ht="15" hidden="false" customHeight="false" outlineLevel="0" collapsed="false">
      <c r="A3738" s="7" t="s">
        <v>4373</v>
      </c>
      <c r="B3738" s="7" t="s">
        <v>46</v>
      </c>
      <c r="C3738" s="7" t="s">
        <v>158</v>
      </c>
      <c r="D3738" s="7" t="s">
        <v>104</v>
      </c>
      <c r="E3738" s="7" t="s">
        <v>105</v>
      </c>
      <c r="F3738" s="7" t="s">
        <v>56</v>
      </c>
      <c r="G3738" s="7" t="s">
        <v>19</v>
      </c>
      <c r="H3738" s="9" t="n">
        <v>46136</v>
      </c>
      <c r="I3738" s="9"/>
      <c r="J3738" s="7" t="n">
        <v>9.8</v>
      </c>
      <c r="K3738" s="7" t="s">
        <v>4171</v>
      </c>
      <c r="L3738" s="7" t="s">
        <v>21</v>
      </c>
      <c r="M3738" s="7" t="s">
        <v>4382</v>
      </c>
      <c r="N3738" s="7" t="s">
        <v>58</v>
      </c>
      <c r="O3738" s="10" t="n">
        <f aca="false">'Exec Summary'!$E$2-H3738</f>
        <v>98</v>
      </c>
      <c r="P3738" s="10" t="str">
        <f aca="false">IF(I3738="","",I3738-H3738)</f>
        <v/>
      </c>
      <c r="Q3738" s="10" t="n">
        <f aca="false">VLOOKUP(G3738,$AA$2:$AB$5,2,FALSE())</f>
        <v>15</v>
      </c>
      <c r="R3738" s="7" t="n">
        <f aca="false">IF(OR(F3738="Open",F3738="Reopened"),1,0)</f>
        <v>1</v>
      </c>
      <c r="S3738" s="7" t="n">
        <f aca="false">IF(AND(H3738&gt;='Exec Summary'!$E$1,H3738&lt;='Exec Summary'!$E$2),1,0)</f>
        <v>0</v>
      </c>
      <c r="T3738" s="7" t="n">
        <f aca="false">IF(AND(F3738="Closed",I3738&lt;&gt;"",I3738&gt;='Exec Summary'!$E$1,I3738&lt;='Exec Summary'!$E$2),1,0)</f>
        <v>0</v>
      </c>
      <c r="U3738" s="7" t="n">
        <f aca="false">IF(F3738="Reopened",1,0)</f>
        <v>0</v>
      </c>
      <c r="V3738" s="7" t="n">
        <f aca="false">IF(AND(R3738=1,O3738&gt;Q3738),1,0)</f>
        <v>1</v>
      </c>
      <c r="W3738" s="7" t="n">
        <f aca="false">IF(AND(T3738=1,P3738&lt;&gt;"",P3738&lt;=Q3738),1,0)</f>
        <v>0</v>
      </c>
    </row>
    <row r="3739" customFormat="false" ht="15" hidden="false" customHeight="false" outlineLevel="0" collapsed="false">
      <c r="A3739" s="7" t="s">
        <v>4373</v>
      </c>
      <c r="B3739" s="7" t="s">
        <v>46</v>
      </c>
      <c r="C3739" s="7" t="s">
        <v>158</v>
      </c>
      <c r="D3739" s="7" t="s">
        <v>84</v>
      </c>
      <c r="E3739" s="7" t="s">
        <v>85</v>
      </c>
      <c r="F3739" s="7" t="s">
        <v>50</v>
      </c>
      <c r="G3739" s="7" t="s">
        <v>20</v>
      </c>
      <c r="H3739" s="9" t="n">
        <v>46176</v>
      </c>
      <c r="I3739" s="9" t="n">
        <v>46202</v>
      </c>
      <c r="J3739" s="7" t="n">
        <v>7.5</v>
      </c>
      <c r="K3739" s="7" t="s">
        <v>4171</v>
      </c>
      <c r="L3739" s="7" t="s">
        <v>21</v>
      </c>
      <c r="M3739" s="7" t="s">
        <v>4383</v>
      </c>
      <c r="N3739" s="7" t="s">
        <v>53</v>
      </c>
      <c r="O3739" s="10" t="n">
        <f aca="false">'Exec Summary'!$E$2-H3739</f>
        <v>58</v>
      </c>
      <c r="P3739" s="10" t="n">
        <f aca="false">IF(I3739="","",I3739-H3739)</f>
        <v>26</v>
      </c>
      <c r="Q3739" s="10" t="n">
        <f aca="false">VLOOKUP(G3739,$AA$2:$AB$5,2,FALSE())</f>
        <v>30</v>
      </c>
      <c r="R3739" s="7" t="n">
        <f aca="false">IF(OR(F3739="Open",F3739="Reopened"),1,0)</f>
        <v>0</v>
      </c>
      <c r="S3739" s="7" t="n">
        <f aca="false">IF(AND(H3739&gt;='Exec Summary'!$E$1,H3739&lt;='Exec Summary'!$E$2),1,0)</f>
        <v>0</v>
      </c>
      <c r="T3739" s="7" t="n">
        <f aca="false">IF(AND(F3739="Closed",I3739&lt;&gt;"",I3739&gt;='Exec Summary'!$E$1,I3739&lt;='Exec Summary'!$E$2),1,0)</f>
        <v>0</v>
      </c>
      <c r="U3739" s="7" t="n">
        <f aca="false">IF(F3739="Reopened",1,0)</f>
        <v>0</v>
      </c>
      <c r="V3739" s="7" t="n">
        <f aca="false">IF(AND(R3739=1,O3739&gt;Q3739),1,0)</f>
        <v>0</v>
      </c>
      <c r="W3739" s="7" t="n">
        <f aca="false">IF(AND(T3739=1,P3739&lt;&gt;"",P3739&lt;=Q3739),1,0)</f>
        <v>0</v>
      </c>
    </row>
    <row r="3740" customFormat="false" ht="15" hidden="false" customHeight="false" outlineLevel="0" collapsed="false">
      <c r="A3740" s="7" t="s">
        <v>4373</v>
      </c>
      <c r="B3740" s="7" t="s">
        <v>46</v>
      </c>
      <c r="C3740" s="7" t="s">
        <v>158</v>
      </c>
      <c r="D3740" s="7" t="s">
        <v>68</v>
      </c>
      <c r="E3740" s="7" t="s">
        <v>69</v>
      </c>
      <c r="F3740" s="7" t="s">
        <v>50</v>
      </c>
      <c r="G3740" s="7" t="s">
        <v>19</v>
      </c>
      <c r="H3740" s="9" t="n">
        <v>46007</v>
      </c>
      <c r="I3740" s="9" t="n">
        <v>46029</v>
      </c>
      <c r="J3740" s="7" t="n">
        <v>9.8</v>
      </c>
      <c r="K3740" s="7" t="s">
        <v>4171</v>
      </c>
      <c r="L3740" s="7" t="s">
        <v>21</v>
      </c>
      <c r="M3740" s="7" t="s">
        <v>4384</v>
      </c>
      <c r="N3740" s="7" t="s">
        <v>58</v>
      </c>
      <c r="O3740" s="10" t="n">
        <f aca="false">'Exec Summary'!$E$2-H3740</f>
        <v>227</v>
      </c>
      <c r="P3740" s="10" t="n">
        <f aca="false">IF(I3740="","",I3740-H3740)</f>
        <v>22</v>
      </c>
      <c r="Q3740" s="10" t="n">
        <f aca="false">VLOOKUP(G3740,$AA$2:$AB$5,2,FALSE())</f>
        <v>15</v>
      </c>
      <c r="R3740" s="7" t="n">
        <f aca="false">IF(OR(F3740="Open",F3740="Reopened"),1,0)</f>
        <v>0</v>
      </c>
      <c r="S3740" s="7" t="n">
        <f aca="false">IF(AND(H3740&gt;='Exec Summary'!$E$1,H3740&lt;='Exec Summary'!$E$2),1,0)</f>
        <v>0</v>
      </c>
      <c r="T3740" s="7" t="n">
        <f aca="false">IF(AND(F3740="Closed",I3740&lt;&gt;"",I3740&gt;='Exec Summary'!$E$1,I3740&lt;='Exec Summary'!$E$2),1,0)</f>
        <v>0</v>
      </c>
      <c r="U3740" s="7" t="n">
        <f aca="false">IF(F3740="Reopened",1,0)</f>
        <v>0</v>
      </c>
      <c r="V3740" s="7" t="n">
        <f aca="false">IF(AND(R3740=1,O3740&gt;Q3740),1,0)</f>
        <v>0</v>
      </c>
      <c r="W3740" s="7" t="n">
        <f aca="false">IF(AND(T3740=1,P3740&lt;&gt;"",P3740&lt;=Q3740),1,0)</f>
        <v>0</v>
      </c>
    </row>
    <row r="3741" customFormat="false" ht="15" hidden="false" customHeight="false" outlineLevel="0" collapsed="false">
      <c r="A3741" s="7" t="s">
        <v>4385</v>
      </c>
      <c r="B3741" s="7" t="s">
        <v>135</v>
      </c>
      <c r="C3741" s="7" t="s">
        <v>306</v>
      </c>
      <c r="D3741" s="7" t="s">
        <v>101</v>
      </c>
      <c r="E3741" s="7" t="s">
        <v>102</v>
      </c>
      <c r="F3741" s="7" t="s">
        <v>50</v>
      </c>
      <c r="G3741" s="7" t="s">
        <v>19</v>
      </c>
      <c r="H3741" s="9" t="n">
        <v>46135</v>
      </c>
      <c r="I3741" s="9" t="n">
        <v>46151</v>
      </c>
      <c r="J3741" s="7" t="n">
        <v>10</v>
      </c>
      <c r="K3741" s="7" t="s">
        <v>4171</v>
      </c>
      <c r="L3741" s="7" t="s">
        <v>21</v>
      </c>
      <c r="M3741" s="7" t="s">
        <v>4386</v>
      </c>
      <c r="N3741" s="7" t="s">
        <v>58</v>
      </c>
      <c r="O3741" s="10" t="n">
        <f aca="false">'Exec Summary'!$E$2-H3741</f>
        <v>99</v>
      </c>
      <c r="P3741" s="10" t="n">
        <f aca="false">IF(I3741="","",I3741-H3741)</f>
        <v>16</v>
      </c>
      <c r="Q3741" s="10" t="n">
        <f aca="false">VLOOKUP(G3741,$AA$2:$AB$5,2,FALSE())</f>
        <v>15</v>
      </c>
      <c r="R3741" s="7" t="n">
        <f aca="false">IF(OR(F3741="Open",F3741="Reopened"),1,0)</f>
        <v>0</v>
      </c>
      <c r="S3741" s="7" t="n">
        <f aca="false">IF(AND(H3741&gt;='Exec Summary'!$E$1,H3741&lt;='Exec Summary'!$E$2),1,0)</f>
        <v>0</v>
      </c>
      <c r="T3741" s="7" t="n">
        <f aca="false">IF(AND(F3741="Closed",I3741&lt;&gt;"",I3741&gt;='Exec Summary'!$E$1,I3741&lt;='Exec Summary'!$E$2),1,0)</f>
        <v>0</v>
      </c>
      <c r="U3741" s="7" t="n">
        <f aca="false">IF(F3741="Reopened",1,0)</f>
        <v>0</v>
      </c>
      <c r="V3741" s="7" t="n">
        <f aca="false">IF(AND(R3741=1,O3741&gt;Q3741),1,0)</f>
        <v>0</v>
      </c>
      <c r="W3741" s="7" t="n">
        <f aca="false">IF(AND(T3741=1,P3741&lt;&gt;"",P3741&lt;=Q3741),1,0)</f>
        <v>0</v>
      </c>
    </row>
    <row r="3742" customFormat="false" ht="15" hidden="false" customHeight="false" outlineLevel="0" collapsed="false">
      <c r="A3742" s="7" t="s">
        <v>4387</v>
      </c>
      <c r="B3742" s="7" t="s">
        <v>46</v>
      </c>
      <c r="C3742" s="7" t="s">
        <v>79</v>
      </c>
      <c r="D3742" s="7" t="s">
        <v>95</v>
      </c>
      <c r="E3742" s="7" t="s">
        <v>96</v>
      </c>
      <c r="F3742" s="7" t="s">
        <v>50</v>
      </c>
      <c r="G3742" s="7" t="s">
        <v>20</v>
      </c>
      <c r="H3742" s="9" t="n">
        <v>46062</v>
      </c>
      <c r="I3742" s="9" t="n">
        <v>46080</v>
      </c>
      <c r="J3742" s="7" t="n">
        <v>8.8</v>
      </c>
      <c r="K3742" s="7" t="s">
        <v>4171</v>
      </c>
      <c r="L3742" s="7" t="s">
        <v>21</v>
      </c>
      <c r="M3742" s="7" t="s">
        <v>4388</v>
      </c>
      <c r="N3742" s="7" t="s">
        <v>53</v>
      </c>
      <c r="O3742" s="10" t="n">
        <f aca="false">'Exec Summary'!$E$2-H3742</f>
        <v>172</v>
      </c>
      <c r="P3742" s="10" t="n">
        <f aca="false">IF(I3742="","",I3742-H3742)</f>
        <v>18</v>
      </c>
      <c r="Q3742" s="10" t="n">
        <f aca="false">VLOOKUP(G3742,$AA$2:$AB$5,2,FALSE())</f>
        <v>30</v>
      </c>
      <c r="R3742" s="7" t="n">
        <f aca="false">IF(OR(F3742="Open",F3742="Reopened"),1,0)</f>
        <v>0</v>
      </c>
      <c r="S3742" s="7" t="n">
        <f aca="false">IF(AND(H3742&gt;='Exec Summary'!$E$1,H3742&lt;='Exec Summary'!$E$2),1,0)</f>
        <v>0</v>
      </c>
      <c r="T3742" s="7" t="n">
        <f aca="false">IF(AND(F3742="Closed",I3742&lt;&gt;"",I3742&gt;='Exec Summary'!$E$1,I3742&lt;='Exec Summary'!$E$2),1,0)</f>
        <v>0</v>
      </c>
      <c r="U3742" s="7" t="n">
        <f aca="false">IF(F3742="Reopened",1,0)</f>
        <v>0</v>
      </c>
      <c r="V3742" s="7" t="n">
        <f aca="false">IF(AND(R3742=1,O3742&gt;Q3742),1,0)</f>
        <v>0</v>
      </c>
      <c r="W3742" s="7" t="n">
        <f aca="false">IF(AND(T3742=1,P3742&lt;&gt;"",P3742&lt;=Q3742),1,0)</f>
        <v>0</v>
      </c>
    </row>
    <row r="3743" customFormat="false" ht="15" hidden="false" customHeight="false" outlineLevel="0" collapsed="false">
      <c r="A3743" s="7" t="s">
        <v>4387</v>
      </c>
      <c r="B3743" s="7" t="s">
        <v>46</v>
      </c>
      <c r="C3743" s="7" t="s">
        <v>79</v>
      </c>
      <c r="D3743" s="7" t="s">
        <v>98</v>
      </c>
      <c r="E3743" s="7" t="s">
        <v>99</v>
      </c>
      <c r="F3743" s="7" t="s">
        <v>50</v>
      </c>
      <c r="G3743" s="7" t="s">
        <v>19</v>
      </c>
      <c r="H3743" s="9" t="n">
        <v>46103</v>
      </c>
      <c r="I3743" s="9" t="n">
        <v>46111</v>
      </c>
      <c r="J3743" s="7" t="n">
        <v>10</v>
      </c>
      <c r="K3743" s="7" t="s">
        <v>4171</v>
      </c>
      <c r="L3743" s="7" t="s">
        <v>21</v>
      </c>
      <c r="M3743" s="7" t="s">
        <v>4389</v>
      </c>
      <c r="N3743" s="7" t="s">
        <v>58</v>
      </c>
      <c r="O3743" s="10" t="n">
        <f aca="false">'Exec Summary'!$E$2-H3743</f>
        <v>131</v>
      </c>
      <c r="P3743" s="10" t="n">
        <f aca="false">IF(I3743="","",I3743-H3743)</f>
        <v>8</v>
      </c>
      <c r="Q3743" s="10" t="n">
        <f aca="false">VLOOKUP(G3743,$AA$2:$AB$5,2,FALSE())</f>
        <v>15</v>
      </c>
      <c r="R3743" s="7" t="n">
        <f aca="false">IF(OR(F3743="Open",F3743="Reopened"),1,0)</f>
        <v>0</v>
      </c>
      <c r="S3743" s="7" t="n">
        <f aca="false">IF(AND(H3743&gt;='Exec Summary'!$E$1,H3743&lt;='Exec Summary'!$E$2),1,0)</f>
        <v>0</v>
      </c>
      <c r="T3743" s="7" t="n">
        <f aca="false">IF(AND(F3743="Closed",I3743&lt;&gt;"",I3743&gt;='Exec Summary'!$E$1,I3743&lt;='Exec Summary'!$E$2),1,0)</f>
        <v>0</v>
      </c>
      <c r="U3743" s="7" t="n">
        <f aca="false">IF(F3743="Reopened",1,0)</f>
        <v>0</v>
      </c>
      <c r="V3743" s="7" t="n">
        <f aca="false">IF(AND(R3743=1,O3743&gt;Q3743),1,0)</f>
        <v>0</v>
      </c>
      <c r="W3743" s="7" t="n">
        <f aca="false">IF(AND(T3743=1,P3743&lt;&gt;"",P3743&lt;=Q3743),1,0)</f>
        <v>0</v>
      </c>
    </row>
    <row r="3744" customFormat="false" ht="15" hidden="false" customHeight="false" outlineLevel="0" collapsed="false">
      <c r="A3744" s="7" t="s">
        <v>4387</v>
      </c>
      <c r="B3744" s="7" t="s">
        <v>46</v>
      </c>
      <c r="C3744" s="7" t="s">
        <v>79</v>
      </c>
      <c r="D3744" s="7" t="s">
        <v>131</v>
      </c>
      <c r="E3744" s="7" t="s">
        <v>132</v>
      </c>
      <c r="F3744" s="7" t="s">
        <v>50</v>
      </c>
      <c r="G3744" s="7" t="s">
        <v>19</v>
      </c>
      <c r="H3744" s="9" t="n">
        <v>46033</v>
      </c>
      <c r="I3744" s="9" t="n">
        <v>46039</v>
      </c>
      <c r="J3744" s="7" t="n">
        <v>9.8</v>
      </c>
      <c r="K3744" s="7" t="s">
        <v>4171</v>
      </c>
      <c r="L3744" s="7" t="s">
        <v>21</v>
      </c>
      <c r="M3744" s="7" t="s">
        <v>4390</v>
      </c>
      <c r="N3744" s="7" t="s">
        <v>58</v>
      </c>
      <c r="O3744" s="10" t="n">
        <f aca="false">'Exec Summary'!$E$2-H3744</f>
        <v>201</v>
      </c>
      <c r="P3744" s="10" t="n">
        <f aca="false">IF(I3744="","",I3744-H3744)</f>
        <v>6</v>
      </c>
      <c r="Q3744" s="10" t="n">
        <f aca="false">VLOOKUP(G3744,$AA$2:$AB$5,2,FALSE())</f>
        <v>15</v>
      </c>
      <c r="R3744" s="7" t="n">
        <f aca="false">IF(OR(F3744="Open",F3744="Reopened"),1,0)</f>
        <v>0</v>
      </c>
      <c r="S3744" s="7" t="n">
        <f aca="false">IF(AND(H3744&gt;='Exec Summary'!$E$1,H3744&lt;='Exec Summary'!$E$2),1,0)</f>
        <v>0</v>
      </c>
      <c r="T3744" s="7" t="n">
        <f aca="false">IF(AND(F3744="Closed",I3744&lt;&gt;"",I3744&gt;='Exec Summary'!$E$1,I3744&lt;='Exec Summary'!$E$2),1,0)</f>
        <v>0</v>
      </c>
      <c r="U3744" s="7" t="n">
        <f aca="false">IF(F3744="Reopened",1,0)</f>
        <v>0</v>
      </c>
      <c r="V3744" s="7" t="n">
        <f aca="false">IF(AND(R3744=1,O3744&gt;Q3744),1,0)</f>
        <v>0</v>
      </c>
      <c r="W3744" s="7" t="n">
        <f aca="false">IF(AND(T3744=1,P3744&lt;&gt;"",P3744&lt;=Q3744),1,0)</f>
        <v>0</v>
      </c>
    </row>
    <row r="3745" customFormat="false" ht="15" hidden="false" customHeight="false" outlineLevel="0" collapsed="false">
      <c r="A3745" s="7" t="s">
        <v>4387</v>
      </c>
      <c r="B3745" s="7" t="s">
        <v>46</v>
      </c>
      <c r="C3745" s="7" t="s">
        <v>79</v>
      </c>
      <c r="D3745" s="7" t="s">
        <v>48</v>
      </c>
      <c r="E3745" s="7" t="s">
        <v>49</v>
      </c>
      <c r="F3745" s="7" t="s">
        <v>50</v>
      </c>
      <c r="G3745" s="7" t="s">
        <v>20</v>
      </c>
      <c r="H3745" s="9" t="n">
        <v>46012</v>
      </c>
      <c r="I3745" s="9" t="n">
        <v>46026</v>
      </c>
      <c r="J3745" s="7" t="n">
        <v>7.5</v>
      </c>
      <c r="K3745" s="7" t="s">
        <v>4171</v>
      </c>
      <c r="L3745" s="7" t="s">
        <v>21</v>
      </c>
      <c r="M3745" s="7" t="s">
        <v>4391</v>
      </c>
      <c r="N3745" s="7" t="s">
        <v>53</v>
      </c>
      <c r="O3745" s="10" t="n">
        <f aca="false">'Exec Summary'!$E$2-H3745</f>
        <v>222</v>
      </c>
      <c r="P3745" s="10" t="n">
        <f aca="false">IF(I3745="","",I3745-H3745)</f>
        <v>14</v>
      </c>
      <c r="Q3745" s="10" t="n">
        <f aca="false">VLOOKUP(G3745,$AA$2:$AB$5,2,FALSE())</f>
        <v>30</v>
      </c>
      <c r="R3745" s="7" t="n">
        <f aca="false">IF(OR(F3745="Open",F3745="Reopened"),1,0)</f>
        <v>0</v>
      </c>
      <c r="S3745" s="7" t="n">
        <f aca="false">IF(AND(H3745&gt;='Exec Summary'!$E$1,H3745&lt;='Exec Summary'!$E$2),1,0)</f>
        <v>0</v>
      </c>
      <c r="T3745" s="7" t="n">
        <f aca="false">IF(AND(F3745="Closed",I3745&lt;&gt;"",I3745&gt;='Exec Summary'!$E$1,I3745&lt;='Exec Summary'!$E$2),1,0)</f>
        <v>0</v>
      </c>
      <c r="U3745" s="7" t="n">
        <f aca="false">IF(F3745="Reopened",1,0)</f>
        <v>0</v>
      </c>
      <c r="V3745" s="7" t="n">
        <f aca="false">IF(AND(R3745=1,O3745&gt;Q3745),1,0)</f>
        <v>0</v>
      </c>
      <c r="W3745" s="7" t="n">
        <f aca="false">IF(AND(T3745=1,P3745&lt;&gt;"",P3745&lt;=Q3745),1,0)</f>
        <v>0</v>
      </c>
    </row>
    <row r="3746" customFormat="false" ht="15" hidden="false" customHeight="false" outlineLevel="0" collapsed="false">
      <c r="A3746" s="7" t="s">
        <v>4387</v>
      </c>
      <c r="B3746" s="7" t="s">
        <v>46</v>
      </c>
      <c r="C3746" s="7" t="s">
        <v>79</v>
      </c>
      <c r="D3746" s="7" t="s">
        <v>117</v>
      </c>
      <c r="E3746" s="7" t="s">
        <v>118</v>
      </c>
      <c r="F3746" s="7" t="s">
        <v>50</v>
      </c>
      <c r="G3746" s="7" t="s">
        <v>19</v>
      </c>
      <c r="H3746" s="9" t="n">
        <v>46094</v>
      </c>
      <c r="I3746" s="9" t="n">
        <v>46109</v>
      </c>
      <c r="J3746" s="7" t="n">
        <v>10</v>
      </c>
      <c r="K3746" s="7" t="s">
        <v>4171</v>
      </c>
      <c r="L3746" s="7" t="s">
        <v>21</v>
      </c>
      <c r="M3746" s="7" t="s">
        <v>4392</v>
      </c>
      <c r="N3746" s="7" t="s">
        <v>58</v>
      </c>
      <c r="O3746" s="10" t="n">
        <f aca="false">'Exec Summary'!$E$2-H3746</f>
        <v>140</v>
      </c>
      <c r="P3746" s="10" t="n">
        <f aca="false">IF(I3746="","",I3746-H3746)</f>
        <v>15</v>
      </c>
      <c r="Q3746" s="10" t="n">
        <f aca="false">VLOOKUP(G3746,$AA$2:$AB$5,2,FALSE())</f>
        <v>15</v>
      </c>
      <c r="R3746" s="7" t="n">
        <f aca="false">IF(OR(F3746="Open",F3746="Reopened"),1,0)</f>
        <v>0</v>
      </c>
      <c r="S3746" s="7" t="n">
        <f aca="false">IF(AND(H3746&gt;='Exec Summary'!$E$1,H3746&lt;='Exec Summary'!$E$2),1,0)</f>
        <v>0</v>
      </c>
      <c r="T3746" s="7" t="n">
        <f aca="false">IF(AND(F3746="Closed",I3746&lt;&gt;"",I3746&gt;='Exec Summary'!$E$1,I3746&lt;='Exec Summary'!$E$2),1,0)</f>
        <v>0</v>
      </c>
      <c r="U3746" s="7" t="n">
        <f aca="false">IF(F3746="Reopened",1,0)</f>
        <v>0</v>
      </c>
      <c r="V3746" s="7" t="n">
        <f aca="false">IF(AND(R3746=1,O3746&gt;Q3746),1,0)</f>
        <v>0</v>
      </c>
      <c r="W3746" s="7" t="n">
        <f aca="false">IF(AND(T3746=1,P3746&lt;&gt;"",P3746&lt;=Q3746),1,0)</f>
        <v>0</v>
      </c>
    </row>
    <row r="3747" customFormat="false" ht="15" hidden="false" customHeight="false" outlineLevel="0" collapsed="false">
      <c r="A3747" s="7" t="s">
        <v>4387</v>
      </c>
      <c r="B3747" s="7" t="s">
        <v>46</v>
      </c>
      <c r="C3747" s="7" t="s">
        <v>79</v>
      </c>
      <c r="D3747" s="7" t="s">
        <v>71</v>
      </c>
      <c r="E3747" s="7" t="s">
        <v>72</v>
      </c>
      <c r="F3747" s="7" t="s">
        <v>56</v>
      </c>
      <c r="G3747" s="7" t="s">
        <v>19</v>
      </c>
      <c r="H3747" s="9" t="n">
        <v>46075</v>
      </c>
      <c r="I3747" s="9"/>
      <c r="J3747" s="7" t="n">
        <v>9.8</v>
      </c>
      <c r="K3747" s="7" t="s">
        <v>4171</v>
      </c>
      <c r="L3747" s="7" t="s">
        <v>21</v>
      </c>
      <c r="M3747" s="7" t="s">
        <v>4393</v>
      </c>
      <c r="N3747" s="7" t="s">
        <v>58</v>
      </c>
      <c r="O3747" s="10" t="n">
        <f aca="false">'Exec Summary'!$E$2-H3747</f>
        <v>159</v>
      </c>
      <c r="P3747" s="10" t="str">
        <f aca="false">IF(I3747="","",I3747-H3747)</f>
        <v/>
      </c>
      <c r="Q3747" s="10" t="n">
        <f aca="false">VLOOKUP(G3747,$AA$2:$AB$5,2,FALSE())</f>
        <v>15</v>
      </c>
      <c r="R3747" s="7" t="n">
        <f aca="false">IF(OR(F3747="Open",F3747="Reopened"),1,0)</f>
        <v>1</v>
      </c>
      <c r="S3747" s="7" t="n">
        <f aca="false">IF(AND(H3747&gt;='Exec Summary'!$E$1,H3747&lt;='Exec Summary'!$E$2),1,0)</f>
        <v>0</v>
      </c>
      <c r="T3747" s="7" t="n">
        <f aca="false">IF(AND(F3747="Closed",I3747&lt;&gt;"",I3747&gt;='Exec Summary'!$E$1,I3747&lt;='Exec Summary'!$E$2),1,0)</f>
        <v>0</v>
      </c>
      <c r="U3747" s="7" t="n">
        <f aca="false">IF(F3747="Reopened",1,0)</f>
        <v>0</v>
      </c>
      <c r="V3747" s="7" t="n">
        <f aca="false">IF(AND(R3747=1,O3747&gt;Q3747),1,0)</f>
        <v>1</v>
      </c>
      <c r="W3747" s="7" t="n">
        <f aca="false">IF(AND(T3747=1,P3747&lt;&gt;"",P3747&lt;=Q3747),1,0)</f>
        <v>0</v>
      </c>
    </row>
    <row r="3748" customFormat="false" ht="15" hidden="false" customHeight="false" outlineLevel="0" collapsed="false">
      <c r="A3748" s="7" t="s">
        <v>4387</v>
      </c>
      <c r="B3748" s="7" t="s">
        <v>46</v>
      </c>
      <c r="C3748" s="7" t="s">
        <v>79</v>
      </c>
      <c r="D3748" s="7" t="s">
        <v>192</v>
      </c>
      <c r="E3748" s="7" t="s">
        <v>193</v>
      </c>
      <c r="F3748" s="7" t="s">
        <v>56</v>
      </c>
      <c r="G3748" s="7" t="s">
        <v>19</v>
      </c>
      <c r="H3748" s="9" t="n">
        <v>46103</v>
      </c>
      <c r="I3748" s="9"/>
      <c r="J3748" s="7" t="n">
        <v>9.8</v>
      </c>
      <c r="K3748" s="7" t="s">
        <v>4171</v>
      </c>
      <c r="L3748" s="7" t="s">
        <v>21</v>
      </c>
      <c r="M3748" s="7" t="s">
        <v>4394</v>
      </c>
      <c r="N3748" s="7" t="s">
        <v>58</v>
      </c>
      <c r="O3748" s="10" t="n">
        <f aca="false">'Exec Summary'!$E$2-H3748</f>
        <v>131</v>
      </c>
      <c r="P3748" s="10" t="str">
        <f aca="false">IF(I3748="","",I3748-H3748)</f>
        <v/>
      </c>
      <c r="Q3748" s="10" t="n">
        <f aca="false">VLOOKUP(G3748,$AA$2:$AB$5,2,FALSE())</f>
        <v>15</v>
      </c>
      <c r="R3748" s="7" t="n">
        <f aca="false">IF(OR(F3748="Open",F3748="Reopened"),1,0)</f>
        <v>1</v>
      </c>
      <c r="S3748" s="7" t="n">
        <f aca="false">IF(AND(H3748&gt;='Exec Summary'!$E$1,H3748&lt;='Exec Summary'!$E$2),1,0)</f>
        <v>0</v>
      </c>
      <c r="T3748" s="7" t="n">
        <f aca="false">IF(AND(F3748="Closed",I3748&lt;&gt;"",I3748&gt;='Exec Summary'!$E$1,I3748&lt;='Exec Summary'!$E$2),1,0)</f>
        <v>0</v>
      </c>
      <c r="U3748" s="7" t="n">
        <f aca="false">IF(F3748="Reopened",1,0)</f>
        <v>0</v>
      </c>
      <c r="V3748" s="7" t="n">
        <f aca="false">IF(AND(R3748=1,O3748&gt;Q3748),1,0)</f>
        <v>1</v>
      </c>
      <c r="W3748" s="7" t="n">
        <f aca="false">IF(AND(T3748=1,P3748&lt;&gt;"",P3748&lt;=Q3748),1,0)</f>
        <v>0</v>
      </c>
    </row>
    <row r="3749" customFormat="false" ht="15" hidden="false" customHeight="false" outlineLevel="0" collapsed="false">
      <c r="A3749" s="7" t="s">
        <v>4387</v>
      </c>
      <c r="B3749" s="7" t="s">
        <v>46</v>
      </c>
      <c r="C3749" s="7" t="s">
        <v>79</v>
      </c>
      <c r="D3749" s="7" t="s">
        <v>91</v>
      </c>
      <c r="E3749" s="7" t="s">
        <v>92</v>
      </c>
      <c r="F3749" s="7" t="s">
        <v>50</v>
      </c>
      <c r="G3749" s="7" t="s">
        <v>20</v>
      </c>
      <c r="H3749" s="9" t="n">
        <v>46162</v>
      </c>
      <c r="I3749" s="9" t="n">
        <v>46178</v>
      </c>
      <c r="J3749" s="7" t="n">
        <v>8.1</v>
      </c>
      <c r="K3749" s="7" t="s">
        <v>4171</v>
      </c>
      <c r="L3749" s="7" t="s">
        <v>21</v>
      </c>
      <c r="M3749" s="7" t="s">
        <v>4395</v>
      </c>
      <c r="N3749" s="7" t="s">
        <v>53</v>
      </c>
      <c r="O3749" s="10" t="n">
        <f aca="false">'Exec Summary'!$E$2-H3749</f>
        <v>72</v>
      </c>
      <c r="P3749" s="10" t="n">
        <f aca="false">IF(I3749="","",I3749-H3749)</f>
        <v>16</v>
      </c>
      <c r="Q3749" s="10" t="n">
        <f aca="false">VLOOKUP(G3749,$AA$2:$AB$5,2,FALSE())</f>
        <v>30</v>
      </c>
      <c r="R3749" s="7" t="n">
        <f aca="false">IF(OR(F3749="Open",F3749="Reopened"),1,0)</f>
        <v>0</v>
      </c>
      <c r="S3749" s="7" t="n">
        <f aca="false">IF(AND(H3749&gt;='Exec Summary'!$E$1,H3749&lt;='Exec Summary'!$E$2),1,0)</f>
        <v>0</v>
      </c>
      <c r="T3749" s="7" t="n">
        <f aca="false">IF(AND(F3749="Closed",I3749&lt;&gt;"",I3749&gt;='Exec Summary'!$E$1,I3749&lt;='Exec Summary'!$E$2),1,0)</f>
        <v>0</v>
      </c>
      <c r="U3749" s="7" t="n">
        <f aca="false">IF(F3749="Reopened",1,0)</f>
        <v>0</v>
      </c>
      <c r="V3749" s="7" t="n">
        <f aca="false">IF(AND(R3749=1,O3749&gt;Q3749),1,0)</f>
        <v>0</v>
      </c>
      <c r="W3749" s="7" t="n">
        <f aca="false">IF(AND(T3749=1,P3749&lt;&gt;"",P3749&lt;=Q3749),1,0)</f>
        <v>0</v>
      </c>
    </row>
    <row r="3750" customFormat="false" ht="15" hidden="false" customHeight="false" outlineLevel="0" collapsed="false">
      <c r="A3750" s="7" t="s">
        <v>4387</v>
      </c>
      <c r="B3750" s="7" t="s">
        <v>46</v>
      </c>
      <c r="C3750" s="7" t="s">
        <v>79</v>
      </c>
      <c r="D3750" s="7" t="s">
        <v>112</v>
      </c>
      <c r="E3750" s="7" t="s">
        <v>113</v>
      </c>
      <c r="F3750" s="7" t="s">
        <v>56</v>
      </c>
      <c r="G3750" s="7" t="s">
        <v>20</v>
      </c>
      <c r="H3750" s="9" t="n">
        <v>46077</v>
      </c>
      <c r="I3750" s="9"/>
      <c r="J3750" s="7" t="n">
        <v>7.8</v>
      </c>
      <c r="K3750" s="7" t="s">
        <v>4171</v>
      </c>
      <c r="L3750" s="7" t="s">
        <v>21</v>
      </c>
      <c r="M3750" s="7" t="s">
        <v>4396</v>
      </c>
      <c r="N3750" s="7" t="s">
        <v>53</v>
      </c>
      <c r="O3750" s="10" t="n">
        <f aca="false">'Exec Summary'!$E$2-H3750</f>
        <v>157</v>
      </c>
      <c r="P3750" s="10" t="str">
        <f aca="false">IF(I3750="","",I3750-H3750)</f>
        <v/>
      </c>
      <c r="Q3750" s="10" t="n">
        <f aca="false">VLOOKUP(G3750,$AA$2:$AB$5,2,FALSE())</f>
        <v>30</v>
      </c>
      <c r="R3750" s="7" t="n">
        <f aca="false">IF(OR(F3750="Open",F3750="Reopened"),1,0)</f>
        <v>1</v>
      </c>
      <c r="S3750" s="7" t="n">
        <f aca="false">IF(AND(H3750&gt;='Exec Summary'!$E$1,H3750&lt;='Exec Summary'!$E$2),1,0)</f>
        <v>0</v>
      </c>
      <c r="T3750" s="7" t="n">
        <f aca="false">IF(AND(F3750="Closed",I3750&lt;&gt;"",I3750&gt;='Exec Summary'!$E$1,I3750&lt;='Exec Summary'!$E$2),1,0)</f>
        <v>0</v>
      </c>
      <c r="U3750" s="7" t="n">
        <f aca="false">IF(F3750="Reopened",1,0)</f>
        <v>0</v>
      </c>
      <c r="V3750" s="7" t="n">
        <f aca="false">IF(AND(R3750=1,O3750&gt;Q3750),1,0)</f>
        <v>1</v>
      </c>
      <c r="W3750" s="7" t="n">
        <f aca="false">IF(AND(T3750=1,P3750&lt;&gt;"",P3750&lt;=Q3750),1,0)</f>
        <v>0</v>
      </c>
    </row>
    <row r="3751" customFormat="false" ht="15" hidden="false" customHeight="false" outlineLevel="0" collapsed="false">
      <c r="A3751" s="7" t="s">
        <v>4387</v>
      </c>
      <c r="B3751" s="7" t="s">
        <v>46</v>
      </c>
      <c r="C3751" s="7" t="s">
        <v>79</v>
      </c>
      <c r="D3751" s="7" t="s">
        <v>104</v>
      </c>
      <c r="E3751" s="7" t="s">
        <v>105</v>
      </c>
      <c r="F3751" s="7" t="s">
        <v>50</v>
      </c>
      <c r="G3751" s="7" t="s">
        <v>19</v>
      </c>
      <c r="H3751" s="9" t="n">
        <v>46209</v>
      </c>
      <c r="I3751" s="9" t="n">
        <v>46228</v>
      </c>
      <c r="J3751" s="7" t="n">
        <v>9.8</v>
      </c>
      <c r="K3751" s="7" t="s">
        <v>4171</v>
      </c>
      <c r="L3751" s="7" t="s">
        <v>21</v>
      </c>
      <c r="M3751" s="7" t="s">
        <v>4397</v>
      </c>
      <c r="N3751" s="7" t="s">
        <v>58</v>
      </c>
      <c r="O3751" s="10" t="n">
        <f aca="false">'Exec Summary'!$E$2-H3751</f>
        <v>25</v>
      </c>
      <c r="P3751" s="10" t="n">
        <f aca="false">IF(I3751="","",I3751-H3751)</f>
        <v>19</v>
      </c>
      <c r="Q3751" s="10" t="n">
        <f aca="false">VLOOKUP(G3751,$AA$2:$AB$5,2,FALSE())</f>
        <v>15</v>
      </c>
      <c r="R3751" s="7" t="n">
        <f aca="false">IF(OR(F3751="Open",F3751="Reopened"),1,0)</f>
        <v>0</v>
      </c>
      <c r="S3751" s="7" t="n">
        <f aca="false">IF(AND(H3751&gt;='Exec Summary'!$E$1,H3751&lt;='Exec Summary'!$E$2),1,0)</f>
        <v>1</v>
      </c>
      <c r="T3751" s="7" t="n">
        <f aca="false">IF(AND(F3751="Closed",I3751&lt;&gt;"",I3751&gt;='Exec Summary'!$E$1,I3751&lt;='Exec Summary'!$E$2),1,0)</f>
        <v>1</v>
      </c>
      <c r="U3751" s="7" t="n">
        <f aca="false">IF(F3751="Reopened",1,0)</f>
        <v>0</v>
      </c>
      <c r="V3751" s="7" t="n">
        <f aca="false">IF(AND(R3751=1,O3751&gt;Q3751),1,0)</f>
        <v>0</v>
      </c>
      <c r="W3751" s="7" t="n">
        <f aca="false">IF(AND(T3751=1,P3751&lt;&gt;"",P3751&lt;=Q3751),1,0)</f>
        <v>0</v>
      </c>
    </row>
    <row r="3752" customFormat="false" ht="15" hidden="false" customHeight="false" outlineLevel="0" collapsed="false">
      <c r="A3752" s="7" t="s">
        <v>4387</v>
      </c>
      <c r="B3752" s="7" t="s">
        <v>46</v>
      </c>
      <c r="C3752" s="7" t="s">
        <v>79</v>
      </c>
      <c r="D3752" s="7" t="s">
        <v>173</v>
      </c>
      <c r="E3752" s="7" t="s">
        <v>174</v>
      </c>
      <c r="F3752" s="7" t="s">
        <v>56</v>
      </c>
      <c r="G3752" s="7" t="s">
        <v>19</v>
      </c>
      <c r="H3752" s="9" t="n">
        <v>45972</v>
      </c>
      <c r="I3752" s="9"/>
      <c r="J3752" s="7" t="n">
        <v>9.8</v>
      </c>
      <c r="K3752" s="7" t="s">
        <v>4171</v>
      </c>
      <c r="L3752" s="7" t="s">
        <v>21</v>
      </c>
      <c r="M3752" s="7" t="s">
        <v>4398</v>
      </c>
      <c r="N3752" s="7" t="s">
        <v>58</v>
      </c>
      <c r="O3752" s="10" t="n">
        <f aca="false">'Exec Summary'!$E$2-H3752</f>
        <v>262</v>
      </c>
      <c r="P3752" s="10" t="str">
        <f aca="false">IF(I3752="","",I3752-H3752)</f>
        <v/>
      </c>
      <c r="Q3752" s="10" t="n">
        <f aca="false">VLOOKUP(G3752,$AA$2:$AB$5,2,FALSE())</f>
        <v>15</v>
      </c>
      <c r="R3752" s="7" t="n">
        <f aca="false">IF(OR(F3752="Open",F3752="Reopened"),1,0)</f>
        <v>1</v>
      </c>
      <c r="S3752" s="7" t="n">
        <f aca="false">IF(AND(H3752&gt;='Exec Summary'!$E$1,H3752&lt;='Exec Summary'!$E$2),1,0)</f>
        <v>0</v>
      </c>
      <c r="T3752" s="7" t="n">
        <f aca="false">IF(AND(F3752="Closed",I3752&lt;&gt;"",I3752&gt;='Exec Summary'!$E$1,I3752&lt;='Exec Summary'!$E$2),1,0)</f>
        <v>0</v>
      </c>
      <c r="U3752" s="7" t="n">
        <f aca="false">IF(F3752="Reopened",1,0)</f>
        <v>0</v>
      </c>
      <c r="V3752" s="7" t="n">
        <f aca="false">IF(AND(R3752=1,O3752&gt;Q3752),1,0)</f>
        <v>1</v>
      </c>
      <c r="W3752" s="7" t="n">
        <f aca="false">IF(AND(T3752=1,P3752&lt;&gt;"",P3752&lt;=Q3752),1,0)</f>
        <v>0</v>
      </c>
    </row>
    <row r="3753" customFormat="false" ht="15" hidden="false" customHeight="false" outlineLevel="0" collapsed="false">
      <c r="A3753" s="7" t="s">
        <v>4387</v>
      </c>
      <c r="B3753" s="7" t="s">
        <v>46</v>
      </c>
      <c r="C3753" s="7" t="s">
        <v>79</v>
      </c>
      <c r="D3753" s="7" t="s">
        <v>84</v>
      </c>
      <c r="E3753" s="7" t="s">
        <v>85</v>
      </c>
      <c r="F3753" s="7" t="s">
        <v>56</v>
      </c>
      <c r="G3753" s="7" t="s">
        <v>20</v>
      </c>
      <c r="H3753" s="9" t="n">
        <v>45949</v>
      </c>
      <c r="I3753" s="9"/>
      <c r="J3753" s="7" t="n">
        <v>7.5</v>
      </c>
      <c r="K3753" s="7" t="s">
        <v>4171</v>
      </c>
      <c r="L3753" s="7" t="s">
        <v>21</v>
      </c>
      <c r="M3753" s="7" t="s">
        <v>4399</v>
      </c>
      <c r="N3753" s="7" t="s">
        <v>53</v>
      </c>
      <c r="O3753" s="10" t="n">
        <f aca="false">'Exec Summary'!$E$2-H3753</f>
        <v>285</v>
      </c>
      <c r="P3753" s="10" t="str">
        <f aca="false">IF(I3753="","",I3753-H3753)</f>
        <v/>
      </c>
      <c r="Q3753" s="10" t="n">
        <f aca="false">VLOOKUP(G3753,$AA$2:$AB$5,2,FALSE())</f>
        <v>30</v>
      </c>
      <c r="R3753" s="7" t="n">
        <f aca="false">IF(OR(F3753="Open",F3753="Reopened"),1,0)</f>
        <v>1</v>
      </c>
      <c r="S3753" s="7" t="n">
        <f aca="false">IF(AND(H3753&gt;='Exec Summary'!$E$1,H3753&lt;='Exec Summary'!$E$2),1,0)</f>
        <v>0</v>
      </c>
      <c r="T3753" s="7" t="n">
        <f aca="false">IF(AND(F3753="Closed",I3753&lt;&gt;"",I3753&gt;='Exec Summary'!$E$1,I3753&lt;='Exec Summary'!$E$2),1,0)</f>
        <v>0</v>
      </c>
      <c r="U3753" s="7" t="n">
        <f aca="false">IF(F3753="Reopened",1,0)</f>
        <v>0</v>
      </c>
      <c r="V3753" s="7" t="n">
        <f aca="false">IF(AND(R3753=1,O3753&gt;Q3753),1,0)</f>
        <v>1</v>
      </c>
      <c r="W3753" s="7" t="n">
        <f aca="false">IF(AND(T3753=1,P3753&lt;&gt;"",P3753&lt;=Q3753),1,0)</f>
        <v>0</v>
      </c>
    </row>
    <row r="3754" customFormat="false" ht="15" hidden="false" customHeight="false" outlineLevel="0" collapsed="false">
      <c r="A3754" s="7" t="s">
        <v>4387</v>
      </c>
      <c r="B3754" s="7" t="s">
        <v>46</v>
      </c>
      <c r="C3754" s="7" t="s">
        <v>79</v>
      </c>
      <c r="D3754" s="7" t="s">
        <v>87</v>
      </c>
      <c r="E3754" s="7" t="s">
        <v>88</v>
      </c>
      <c r="F3754" s="7" t="s">
        <v>56</v>
      </c>
      <c r="G3754" s="7" t="s">
        <v>19</v>
      </c>
      <c r="H3754" s="9" t="n">
        <v>46042</v>
      </c>
      <c r="I3754" s="9"/>
      <c r="J3754" s="7" t="n">
        <v>10</v>
      </c>
      <c r="K3754" s="7" t="s">
        <v>4171</v>
      </c>
      <c r="L3754" s="7" t="s">
        <v>21</v>
      </c>
      <c r="M3754" s="7" t="s">
        <v>4400</v>
      </c>
      <c r="N3754" s="7" t="s">
        <v>58</v>
      </c>
      <c r="O3754" s="10" t="n">
        <f aca="false">'Exec Summary'!$E$2-H3754</f>
        <v>192</v>
      </c>
      <c r="P3754" s="10" t="str">
        <f aca="false">IF(I3754="","",I3754-H3754)</f>
        <v/>
      </c>
      <c r="Q3754" s="10" t="n">
        <f aca="false">VLOOKUP(G3754,$AA$2:$AB$5,2,FALSE())</f>
        <v>15</v>
      </c>
      <c r="R3754" s="7" t="n">
        <f aca="false">IF(OR(F3754="Open",F3754="Reopened"),1,0)</f>
        <v>1</v>
      </c>
      <c r="S3754" s="7" t="n">
        <f aca="false">IF(AND(H3754&gt;='Exec Summary'!$E$1,H3754&lt;='Exec Summary'!$E$2),1,0)</f>
        <v>0</v>
      </c>
      <c r="T3754" s="7" t="n">
        <f aca="false">IF(AND(F3754="Closed",I3754&lt;&gt;"",I3754&gt;='Exec Summary'!$E$1,I3754&lt;='Exec Summary'!$E$2),1,0)</f>
        <v>0</v>
      </c>
      <c r="U3754" s="7" t="n">
        <f aca="false">IF(F3754="Reopened",1,0)</f>
        <v>0</v>
      </c>
      <c r="V3754" s="7" t="n">
        <f aca="false">IF(AND(R3754=1,O3754&gt;Q3754),1,0)</f>
        <v>1</v>
      </c>
      <c r="W3754" s="7" t="n">
        <f aca="false">IF(AND(T3754=1,P3754&lt;&gt;"",P3754&lt;=Q3754),1,0)</f>
        <v>0</v>
      </c>
    </row>
    <row r="3755" customFormat="false" ht="15" hidden="false" customHeight="false" outlineLevel="0" collapsed="false">
      <c r="A3755" s="7" t="s">
        <v>4387</v>
      </c>
      <c r="B3755" s="7" t="s">
        <v>46</v>
      </c>
      <c r="C3755" s="7" t="s">
        <v>79</v>
      </c>
      <c r="D3755" s="7" t="s">
        <v>152</v>
      </c>
      <c r="E3755" s="7" t="s">
        <v>153</v>
      </c>
      <c r="F3755" s="7" t="s">
        <v>56</v>
      </c>
      <c r="G3755" s="7" t="s">
        <v>20</v>
      </c>
      <c r="H3755" s="9" t="n">
        <v>46212</v>
      </c>
      <c r="I3755" s="9"/>
      <c r="J3755" s="7" t="n">
        <v>7.5</v>
      </c>
      <c r="K3755" s="7" t="s">
        <v>4171</v>
      </c>
      <c r="L3755" s="7" t="s">
        <v>21</v>
      </c>
      <c r="M3755" s="7" t="s">
        <v>4401</v>
      </c>
      <c r="N3755" s="7" t="s">
        <v>53</v>
      </c>
      <c r="O3755" s="10" t="n">
        <f aca="false">'Exec Summary'!$E$2-H3755</f>
        <v>22</v>
      </c>
      <c r="P3755" s="10" t="str">
        <f aca="false">IF(I3755="","",I3755-H3755)</f>
        <v/>
      </c>
      <c r="Q3755" s="10" t="n">
        <f aca="false">VLOOKUP(G3755,$AA$2:$AB$5,2,FALSE())</f>
        <v>30</v>
      </c>
      <c r="R3755" s="7" t="n">
        <f aca="false">IF(OR(F3755="Open",F3755="Reopened"),1,0)</f>
        <v>1</v>
      </c>
      <c r="S3755" s="7" t="n">
        <f aca="false">IF(AND(H3755&gt;='Exec Summary'!$E$1,H3755&lt;='Exec Summary'!$E$2),1,0)</f>
        <v>1</v>
      </c>
      <c r="T3755" s="7" t="n">
        <f aca="false">IF(AND(F3755="Closed",I3755&lt;&gt;"",I3755&gt;='Exec Summary'!$E$1,I3755&lt;='Exec Summary'!$E$2),1,0)</f>
        <v>0</v>
      </c>
      <c r="U3755" s="7" t="n">
        <f aca="false">IF(F3755="Reopened",1,0)</f>
        <v>0</v>
      </c>
      <c r="V3755" s="7" t="n">
        <f aca="false">IF(AND(R3755=1,O3755&gt;Q3755),1,0)</f>
        <v>0</v>
      </c>
      <c r="W3755" s="7" t="n">
        <f aca="false">IF(AND(T3755=1,P3755&lt;&gt;"",P3755&lt;=Q3755),1,0)</f>
        <v>0</v>
      </c>
    </row>
    <row r="3756" customFormat="false" ht="15" hidden="false" customHeight="false" outlineLevel="0" collapsed="false">
      <c r="A3756" s="7" t="s">
        <v>4402</v>
      </c>
      <c r="B3756" s="7" t="s">
        <v>46</v>
      </c>
      <c r="C3756" s="7" t="s">
        <v>128</v>
      </c>
      <c r="D3756" s="7" t="s">
        <v>108</v>
      </c>
      <c r="E3756" s="7" t="s">
        <v>109</v>
      </c>
      <c r="F3756" s="7" t="s">
        <v>56</v>
      </c>
      <c r="G3756" s="7" t="s">
        <v>20</v>
      </c>
      <c r="H3756" s="9" t="n">
        <v>46056</v>
      </c>
      <c r="I3756" s="9"/>
      <c r="J3756" s="7" t="n">
        <v>8.6</v>
      </c>
      <c r="K3756" s="7" t="s">
        <v>4171</v>
      </c>
      <c r="L3756" s="7" t="s">
        <v>21</v>
      </c>
      <c r="M3756" s="7" t="s">
        <v>4403</v>
      </c>
      <c r="N3756" s="7" t="s">
        <v>53</v>
      </c>
      <c r="O3756" s="10" t="n">
        <f aca="false">'Exec Summary'!$E$2-H3756</f>
        <v>178</v>
      </c>
      <c r="P3756" s="10" t="str">
        <f aca="false">IF(I3756="","",I3756-H3756)</f>
        <v/>
      </c>
      <c r="Q3756" s="10" t="n">
        <f aca="false">VLOOKUP(G3756,$AA$2:$AB$5,2,FALSE())</f>
        <v>30</v>
      </c>
      <c r="R3756" s="7" t="n">
        <f aca="false">IF(OR(F3756="Open",F3756="Reopened"),1,0)</f>
        <v>1</v>
      </c>
      <c r="S3756" s="7" t="n">
        <f aca="false">IF(AND(H3756&gt;='Exec Summary'!$E$1,H3756&lt;='Exec Summary'!$E$2),1,0)</f>
        <v>0</v>
      </c>
      <c r="T3756" s="7" t="n">
        <f aca="false">IF(AND(F3756="Closed",I3756&lt;&gt;"",I3756&gt;='Exec Summary'!$E$1,I3756&lt;='Exec Summary'!$E$2),1,0)</f>
        <v>0</v>
      </c>
      <c r="U3756" s="7" t="n">
        <f aca="false">IF(F3756="Reopened",1,0)</f>
        <v>0</v>
      </c>
      <c r="V3756" s="7" t="n">
        <f aca="false">IF(AND(R3756=1,O3756&gt;Q3756),1,0)</f>
        <v>1</v>
      </c>
      <c r="W3756" s="7" t="n">
        <f aca="false">IF(AND(T3756=1,P3756&lt;&gt;"",P3756&lt;=Q3756),1,0)</f>
        <v>0</v>
      </c>
    </row>
    <row r="3757" customFormat="false" ht="15" hidden="false" customHeight="false" outlineLevel="0" collapsed="false">
      <c r="A3757" s="7" t="s">
        <v>4402</v>
      </c>
      <c r="B3757" s="7" t="s">
        <v>46</v>
      </c>
      <c r="C3757" s="7" t="s">
        <v>128</v>
      </c>
      <c r="D3757" s="7" t="s">
        <v>74</v>
      </c>
      <c r="E3757" s="7" t="s">
        <v>75</v>
      </c>
      <c r="F3757" s="7" t="s">
        <v>50</v>
      </c>
      <c r="G3757" s="7" t="s">
        <v>21</v>
      </c>
      <c r="H3757" s="9" t="n">
        <v>46197</v>
      </c>
      <c r="I3757" s="9" t="n">
        <v>46234</v>
      </c>
      <c r="J3757" s="7" t="n">
        <v>6.5</v>
      </c>
      <c r="K3757" s="7" t="s">
        <v>4171</v>
      </c>
      <c r="L3757" s="7" t="s">
        <v>21</v>
      </c>
      <c r="M3757" s="7" t="s">
        <v>4404</v>
      </c>
      <c r="N3757" s="7" t="s">
        <v>77</v>
      </c>
      <c r="O3757" s="10" t="n">
        <f aca="false">'Exec Summary'!$E$2-H3757</f>
        <v>37</v>
      </c>
      <c r="P3757" s="10" t="n">
        <f aca="false">IF(I3757="","",I3757-H3757)</f>
        <v>37</v>
      </c>
      <c r="Q3757" s="10" t="n">
        <f aca="false">VLOOKUP(G3757,$AA$2:$AB$5,2,FALSE())</f>
        <v>90</v>
      </c>
      <c r="R3757" s="7" t="n">
        <f aca="false">IF(OR(F3757="Open",F3757="Reopened"),1,0)</f>
        <v>0</v>
      </c>
      <c r="S3757" s="7" t="n">
        <f aca="false">IF(AND(H3757&gt;='Exec Summary'!$E$1,H3757&lt;='Exec Summary'!$E$2),1,0)</f>
        <v>0</v>
      </c>
      <c r="T3757" s="7" t="n">
        <f aca="false">IF(AND(F3757="Closed",I3757&lt;&gt;"",I3757&gt;='Exec Summary'!$E$1,I3757&lt;='Exec Summary'!$E$2),1,0)</f>
        <v>1</v>
      </c>
      <c r="U3757" s="7" t="n">
        <f aca="false">IF(F3757="Reopened",1,0)</f>
        <v>0</v>
      </c>
      <c r="V3757" s="7" t="n">
        <f aca="false">IF(AND(R3757=1,O3757&gt;Q3757),1,0)</f>
        <v>0</v>
      </c>
      <c r="W3757" s="7" t="n">
        <f aca="false">IF(AND(T3757=1,P3757&lt;&gt;"",P3757&lt;=Q3757),1,0)</f>
        <v>1</v>
      </c>
    </row>
    <row r="3758" customFormat="false" ht="15" hidden="false" customHeight="false" outlineLevel="0" collapsed="false">
      <c r="A3758" s="7" t="s">
        <v>4402</v>
      </c>
      <c r="B3758" s="7" t="s">
        <v>46</v>
      </c>
      <c r="C3758" s="7" t="s">
        <v>128</v>
      </c>
      <c r="D3758" s="7" t="s">
        <v>84</v>
      </c>
      <c r="E3758" s="7" t="s">
        <v>85</v>
      </c>
      <c r="F3758" s="7" t="s">
        <v>56</v>
      </c>
      <c r="G3758" s="7" t="s">
        <v>20</v>
      </c>
      <c r="H3758" s="9" t="n">
        <v>46181</v>
      </c>
      <c r="I3758" s="9"/>
      <c r="J3758" s="7" t="n">
        <v>7.5</v>
      </c>
      <c r="K3758" s="7" t="s">
        <v>4171</v>
      </c>
      <c r="L3758" s="7" t="s">
        <v>21</v>
      </c>
      <c r="M3758" s="7" t="s">
        <v>4405</v>
      </c>
      <c r="N3758" s="7" t="s">
        <v>53</v>
      </c>
      <c r="O3758" s="10" t="n">
        <f aca="false">'Exec Summary'!$E$2-H3758</f>
        <v>53</v>
      </c>
      <c r="P3758" s="10" t="str">
        <f aca="false">IF(I3758="","",I3758-H3758)</f>
        <v/>
      </c>
      <c r="Q3758" s="10" t="n">
        <f aca="false">VLOOKUP(G3758,$AA$2:$AB$5,2,FALSE())</f>
        <v>30</v>
      </c>
      <c r="R3758" s="7" t="n">
        <f aca="false">IF(OR(F3758="Open",F3758="Reopened"),1,0)</f>
        <v>1</v>
      </c>
      <c r="S3758" s="7" t="n">
        <f aca="false">IF(AND(H3758&gt;='Exec Summary'!$E$1,H3758&lt;='Exec Summary'!$E$2),1,0)</f>
        <v>0</v>
      </c>
      <c r="T3758" s="7" t="n">
        <f aca="false">IF(AND(F3758="Closed",I3758&lt;&gt;"",I3758&gt;='Exec Summary'!$E$1,I3758&lt;='Exec Summary'!$E$2),1,0)</f>
        <v>0</v>
      </c>
      <c r="U3758" s="7" t="n">
        <f aca="false">IF(F3758="Reopened",1,0)</f>
        <v>0</v>
      </c>
      <c r="V3758" s="7" t="n">
        <f aca="false">IF(AND(R3758=1,O3758&gt;Q3758),1,0)</f>
        <v>1</v>
      </c>
      <c r="W3758" s="7" t="n">
        <f aca="false">IF(AND(T3758=1,P3758&lt;&gt;"",P3758&lt;=Q3758),1,0)</f>
        <v>0</v>
      </c>
    </row>
    <row r="3759" customFormat="false" ht="15" hidden="false" customHeight="false" outlineLevel="0" collapsed="false">
      <c r="A3759" s="7" t="s">
        <v>4402</v>
      </c>
      <c r="B3759" s="7" t="s">
        <v>46</v>
      </c>
      <c r="C3759" s="7" t="s">
        <v>128</v>
      </c>
      <c r="D3759" s="7" t="s">
        <v>145</v>
      </c>
      <c r="E3759" s="7" t="s">
        <v>146</v>
      </c>
      <c r="F3759" s="7" t="s">
        <v>56</v>
      </c>
      <c r="G3759" s="7" t="s">
        <v>19</v>
      </c>
      <c r="H3759" s="9" t="n">
        <v>46046</v>
      </c>
      <c r="I3759" s="9"/>
      <c r="J3759" s="7" t="n">
        <v>9.8</v>
      </c>
      <c r="K3759" s="7" t="s">
        <v>4171</v>
      </c>
      <c r="L3759" s="7" t="s">
        <v>21</v>
      </c>
      <c r="M3759" s="7" t="s">
        <v>4406</v>
      </c>
      <c r="N3759" s="7" t="s">
        <v>58</v>
      </c>
      <c r="O3759" s="10" t="n">
        <f aca="false">'Exec Summary'!$E$2-H3759</f>
        <v>188</v>
      </c>
      <c r="P3759" s="10" t="str">
        <f aca="false">IF(I3759="","",I3759-H3759)</f>
        <v/>
      </c>
      <c r="Q3759" s="10" t="n">
        <f aca="false">VLOOKUP(G3759,$AA$2:$AB$5,2,FALSE())</f>
        <v>15</v>
      </c>
      <c r="R3759" s="7" t="n">
        <f aca="false">IF(OR(F3759="Open",F3759="Reopened"),1,0)</f>
        <v>1</v>
      </c>
      <c r="S3759" s="7" t="n">
        <f aca="false">IF(AND(H3759&gt;='Exec Summary'!$E$1,H3759&lt;='Exec Summary'!$E$2),1,0)</f>
        <v>0</v>
      </c>
      <c r="T3759" s="7" t="n">
        <f aca="false">IF(AND(F3759="Closed",I3759&lt;&gt;"",I3759&gt;='Exec Summary'!$E$1,I3759&lt;='Exec Summary'!$E$2),1,0)</f>
        <v>0</v>
      </c>
      <c r="U3759" s="7" t="n">
        <f aca="false">IF(F3759="Reopened",1,0)</f>
        <v>0</v>
      </c>
      <c r="V3759" s="7" t="n">
        <f aca="false">IF(AND(R3759=1,O3759&gt;Q3759),1,0)</f>
        <v>1</v>
      </c>
      <c r="W3759" s="7" t="n">
        <f aca="false">IF(AND(T3759=1,P3759&lt;&gt;"",P3759&lt;=Q3759),1,0)</f>
        <v>0</v>
      </c>
    </row>
    <row r="3760" customFormat="false" ht="15" hidden="false" customHeight="false" outlineLevel="0" collapsed="false">
      <c r="A3760" s="7" t="s">
        <v>4402</v>
      </c>
      <c r="B3760" s="7" t="s">
        <v>46</v>
      </c>
      <c r="C3760" s="7" t="s">
        <v>128</v>
      </c>
      <c r="D3760" s="7" t="s">
        <v>166</v>
      </c>
      <c r="E3760" s="7" t="s">
        <v>167</v>
      </c>
      <c r="F3760" s="7" t="s">
        <v>50</v>
      </c>
      <c r="G3760" s="7" t="s">
        <v>19</v>
      </c>
      <c r="H3760" s="9" t="n">
        <v>45966</v>
      </c>
      <c r="I3760" s="9" t="n">
        <v>45984</v>
      </c>
      <c r="J3760" s="7" t="n">
        <v>9.8</v>
      </c>
      <c r="K3760" s="7" t="s">
        <v>4171</v>
      </c>
      <c r="L3760" s="7" t="s">
        <v>21</v>
      </c>
      <c r="M3760" s="7" t="s">
        <v>4407</v>
      </c>
      <c r="N3760" s="7" t="s">
        <v>58</v>
      </c>
      <c r="O3760" s="10" t="n">
        <f aca="false">'Exec Summary'!$E$2-H3760</f>
        <v>268</v>
      </c>
      <c r="P3760" s="10" t="n">
        <f aca="false">IF(I3760="","",I3760-H3760)</f>
        <v>18</v>
      </c>
      <c r="Q3760" s="10" t="n">
        <f aca="false">VLOOKUP(G3760,$AA$2:$AB$5,2,FALSE())</f>
        <v>15</v>
      </c>
      <c r="R3760" s="7" t="n">
        <f aca="false">IF(OR(F3760="Open",F3760="Reopened"),1,0)</f>
        <v>0</v>
      </c>
      <c r="S3760" s="7" t="n">
        <f aca="false">IF(AND(H3760&gt;='Exec Summary'!$E$1,H3760&lt;='Exec Summary'!$E$2),1,0)</f>
        <v>0</v>
      </c>
      <c r="T3760" s="7" t="n">
        <f aca="false">IF(AND(F3760="Closed",I3760&lt;&gt;"",I3760&gt;='Exec Summary'!$E$1,I3760&lt;='Exec Summary'!$E$2),1,0)</f>
        <v>0</v>
      </c>
      <c r="U3760" s="7" t="n">
        <f aca="false">IF(F3760="Reopened",1,0)</f>
        <v>0</v>
      </c>
      <c r="V3760" s="7" t="n">
        <f aca="false">IF(AND(R3760=1,O3760&gt;Q3760),1,0)</f>
        <v>0</v>
      </c>
      <c r="W3760" s="7" t="n">
        <f aca="false">IF(AND(T3760=1,P3760&lt;&gt;"",P3760&lt;=Q3760),1,0)</f>
        <v>0</v>
      </c>
    </row>
    <row r="3761" customFormat="false" ht="15" hidden="false" customHeight="false" outlineLevel="0" collapsed="false">
      <c r="A3761" s="7" t="s">
        <v>4402</v>
      </c>
      <c r="B3761" s="7" t="s">
        <v>46</v>
      </c>
      <c r="C3761" s="7" t="s">
        <v>128</v>
      </c>
      <c r="D3761" s="7" t="s">
        <v>210</v>
      </c>
      <c r="E3761" s="7" t="s">
        <v>211</v>
      </c>
      <c r="F3761" s="7" t="s">
        <v>56</v>
      </c>
      <c r="G3761" s="7" t="s">
        <v>19</v>
      </c>
      <c r="H3761" s="9" t="n">
        <v>46199</v>
      </c>
      <c r="I3761" s="9"/>
      <c r="J3761" s="7" t="n">
        <v>9.8</v>
      </c>
      <c r="K3761" s="7" t="s">
        <v>4171</v>
      </c>
      <c r="L3761" s="7" t="s">
        <v>21</v>
      </c>
      <c r="M3761" s="7" t="s">
        <v>4408</v>
      </c>
      <c r="N3761" s="7" t="s">
        <v>58</v>
      </c>
      <c r="O3761" s="10" t="n">
        <f aca="false">'Exec Summary'!$E$2-H3761</f>
        <v>35</v>
      </c>
      <c r="P3761" s="10" t="str">
        <f aca="false">IF(I3761="","",I3761-H3761)</f>
        <v/>
      </c>
      <c r="Q3761" s="10" t="n">
        <f aca="false">VLOOKUP(G3761,$AA$2:$AB$5,2,FALSE())</f>
        <v>15</v>
      </c>
      <c r="R3761" s="7" t="n">
        <f aca="false">IF(OR(F3761="Open",F3761="Reopened"),1,0)</f>
        <v>1</v>
      </c>
      <c r="S3761" s="7" t="n">
        <f aca="false">IF(AND(H3761&gt;='Exec Summary'!$E$1,H3761&lt;='Exec Summary'!$E$2),1,0)</f>
        <v>0</v>
      </c>
      <c r="T3761" s="7" t="n">
        <f aca="false">IF(AND(F3761="Closed",I3761&lt;&gt;"",I3761&gt;='Exec Summary'!$E$1,I3761&lt;='Exec Summary'!$E$2),1,0)</f>
        <v>0</v>
      </c>
      <c r="U3761" s="7" t="n">
        <f aca="false">IF(F3761="Reopened",1,0)</f>
        <v>0</v>
      </c>
      <c r="V3761" s="7" t="n">
        <f aca="false">IF(AND(R3761=1,O3761&gt;Q3761),1,0)</f>
        <v>1</v>
      </c>
      <c r="W3761" s="7" t="n">
        <f aca="false">IF(AND(T3761=1,P3761&lt;&gt;"",P3761&lt;=Q3761),1,0)</f>
        <v>0</v>
      </c>
    </row>
    <row r="3762" customFormat="false" ht="15" hidden="false" customHeight="false" outlineLevel="0" collapsed="false">
      <c r="A3762" s="7" t="s">
        <v>4402</v>
      </c>
      <c r="B3762" s="7" t="s">
        <v>46</v>
      </c>
      <c r="C3762" s="7" t="s">
        <v>128</v>
      </c>
      <c r="D3762" s="7" t="s">
        <v>101</v>
      </c>
      <c r="E3762" s="7" t="s">
        <v>102</v>
      </c>
      <c r="F3762" s="7" t="s">
        <v>50</v>
      </c>
      <c r="G3762" s="7" t="s">
        <v>19</v>
      </c>
      <c r="H3762" s="9" t="n">
        <v>46132</v>
      </c>
      <c r="I3762" s="9" t="n">
        <v>46141</v>
      </c>
      <c r="J3762" s="7" t="n">
        <v>10</v>
      </c>
      <c r="K3762" s="7" t="s">
        <v>4171</v>
      </c>
      <c r="L3762" s="7" t="s">
        <v>21</v>
      </c>
      <c r="M3762" s="7" t="s">
        <v>4409</v>
      </c>
      <c r="N3762" s="7" t="s">
        <v>58</v>
      </c>
      <c r="O3762" s="10" t="n">
        <f aca="false">'Exec Summary'!$E$2-H3762</f>
        <v>102</v>
      </c>
      <c r="P3762" s="10" t="n">
        <f aca="false">IF(I3762="","",I3762-H3762)</f>
        <v>9</v>
      </c>
      <c r="Q3762" s="10" t="n">
        <f aca="false">VLOOKUP(G3762,$AA$2:$AB$5,2,FALSE())</f>
        <v>15</v>
      </c>
      <c r="R3762" s="7" t="n">
        <f aca="false">IF(OR(F3762="Open",F3762="Reopened"),1,0)</f>
        <v>0</v>
      </c>
      <c r="S3762" s="7" t="n">
        <f aca="false">IF(AND(H3762&gt;='Exec Summary'!$E$1,H3762&lt;='Exec Summary'!$E$2),1,0)</f>
        <v>0</v>
      </c>
      <c r="T3762" s="7" t="n">
        <f aca="false">IF(AND(F3762="Closed",I3762&lt;&gt;"",I3762&gt;='Exec Summary'!$E$1,I3762&lt;='Exec Summary'!$E$2),1,0)</f>
        <v>0</v>
      </c>
      <c r="U3762" s="7" t="n">
        <f aca="false">IF(F3762="Reopened",1,0)</f>
        <v>0</v>
      </c>
      <c r="V3762" s="7" t="n">
        <f aca="false">IF(AND(R3762=1,O3762&gt;Q3762),1,0)</f>
        <v>0</v>
      </c>
      <c r="W3762" s="7" t="n">
        <f aca="false">IF(AND(T3762=1,P3762&lt;&gt;"",P3762&lt;=Q3762),1,0)</f>
        <v>0</v>
      </c>
    </row>
    <row r="3763" customFormat="false" ht="15" hidden="false" customHeight="false" outlineLevel="0" collapsed="false">
      <c r="A3763" s="7" t="s">
        <v>4402</v>
      </c>
      <c r="B3763" s="7" t="s">
        <v>46</v>
      </c>
      <c r="C3763" s="7" t="s">
        <v>128</v>
      </c>
      <c r="D3763" s="7" t="s">
        <v>117</v>
      </c>
      <c r="E3763" s="7" t="s">
        <v>118</v>
      </c>
      <c r="F3763" s="7" t="s">
        <v>56</v>
      </c>
      <c r="G3763" s="7" t="s">
        <v>19</v>
      </c>
      <c r="H3763" s="9" t="n">
        <v>45986</v>
      </c>
      <c r="I3763" s="9"/>
      <c r="J3763" s="7" t="n">
        <v>10</v>
      </c>
      <c r="K3763" s="7" t="s">
        <v>4171</v>
      </c>
      <c r="L3763" s="7" t="s">
        <v>21</v>
      </c>
      <c r="M3763" s="7" t="s">
        <v>4410</v>
      </c>
      <c r="N3763" s="7" t="s">
        <v>58</v>
      </c>
      <c r="O3763" s="10" t="n">
        <f aca="false">'Exec Summary'!$E$2-H3763</f>
        <v>248</v>
      </c>
      <c r="P3763" s="10" t="str">
        <f aca="false">IF(I3763="","",I3763-H3763)</f>
        <v/>
      </c>
      <c r="Q3763" s="10" t="n">
        <f aca="false">VLOOKUP(G3763,$AA$2:$AB$5,2,FALSE())</f>
        <v>15</v>
      </c>
      <c r="R3763" s="7" t="n">
        <f aca="false">IF(OR(F3763="Open",F3763="Reopened"),1,0)</f>
        <v>1</v>
      </c>
      <c r="S3763" s="7" t="n">
        <f aca="false">IF(AND(H3763&gt;='Exec Summary'!$E$1,H3763&lt;='Exec Summary'!$E$2),1,0)</f>
        <v>0</v>
      </c>
      <c r="T3763" s="7" t="n">
        <f aca="false">IF(AND(F3763="Closed",I3763&lt;&gt;"",I3763&gt;='Exec Summary'!$E$1,I3763&lt;='Exec Summary'!$E$2),1,0)</f>
        <v>0</v>
      </c>
      <c r="U3763" s="7" t="n">
        <f aca="false">IF(F3763="Reopened",1,0)</f>
        <v>0</v>
      </c>
      <c r="V3763" s="7" t="n">
        <f aca="false">IF(AND(R3763=1,O3763&gt;Q3763),1,0)</f>
        <v>1</v>
      </c>
      <c r="W3763" s="7" t="n">
        <f aca="false">IF(AND(T3763=1,P3763&lt;&gt;"",P3763&lt;=Q3763),1,0)</f>
        <v>0</v>
      </c>
    </row>
    <row r="3764" customFormat="false" ht="15" hidden="false" customHeight="false" outlineLevel="0" collapsed="false">
      <c r="A3764" s="7" t="s">
        <v>4411</v>
      </c>
      <c r="B3764" s="7" t="s">
        <v>46</v>
      </c>
      <c r="C3764" s="7" t="s">
        <v>47</v>
      </c>
      <c r="D3764" s="7" t="s">
        <v>145</v>
      </c>
      <c r="E3764" s="7" t="s">
        <v>146</v>
      </c>
      <c r="F3764" s="7" t="s">
        <v>56</v>
      </c>
      <c r="G3764" s="7" t="s">
        <v>19</v>
      </c>
      <c r="H3764" s="9" t="n">
        <v>46114</v>
      </c>
      <c r="I3764" s="9"/>
      <c r="J3764" s="7" t="n">
        <v>9.8</v>
      </c>
      <c r="K3764" s="7" t="s">
        <v>4171</v>
      </c>
      <c r="L3764" s="7" t="s">
        <v>21</v>
      </c>
      <c r="M3764" s="7" t="s">
        <v>4412</v>
      </c>
      <c r="N3764" s="7" t="s">
        <v>58</v>
      </c>
      <c r="O3764" s="10" t="n">
        <f aca="false">'Exec Summary'!$E$2-H3764</f>
        <v>120</v>
      </c>
      <c r="P3764" s="10" t="str">
        <f aca="false">IF(I3764="","",I3764-H3764)</f>
        <v/>
      </c>
      <c r="Q3764" s="10" t="n">
        <f aca="false">VLOOKUP(G3764,$AA$2:$AB$5,2,FALSE())</f>
        <v>15</v>
      </c>
      <c r="R3764" s="7" t="n">
        <f aca="false">IF(OR(F3764="Open",F3764="Reopened"),1,0)</f>
        <v>1</v>
      </c>
      <c r="S3764" s="7" t="n">
        <f aca="false">IF(AND(H3764&gt;='Exec Summary'!$E$1,H3764&lt;='Exec Summary'!$E$2),1,0)</f>
        <v>0</v>
      </c>
      <c r="T3764" s="7" t="n">
        <f aca="false">IF(AND(F3764="Closed",I3764&lt;&gt;"",I3764&gt;='Exec Summary'!$E$1,I3764&lt;='Exec Summary'!$E$2),1,0)</f>
        <v>0</v>
      </c>
      <c r="U3764" s="7" t="n">
        <f aca="false">IF(F3764="Reopened",1,0)</f>
        <v>0</v>
      </c>
      <c r="V3764" s="7" t="n">
        <f aca="false">IF(AND(R3764=1,O3764&gt;Q3764),1,0)</f>
        <v>1</v>
      </c>
      <c r="W3764" s="7" t="n">
        <f aca="false">IF(AND(T3764=1,P3764&lt;&gt;"",P3764&lt;=Q3764),1,0)</f>
        <v>0</v>
      </c>
    </row>
    <row r="3765" customFormat="false" ht="15" hidden="false" customHeight="false" outlineLevel="0" collapsed="false">
      <c r="A3765" s="7" t="s">
        <v>4411</v>
      </c>
      <c r="B3765" s="7" t="s">
        <v>46</v>
      </c>
      <c r="C3765" s="7" t="s">
        <v>47</v>
      </c>
      <c r="D3765" s="7" t="s">
        <v>166</v>
      </c>
      <c r="E3765" s="7" t="s">
        <v>167</v>
      </c>
      <c r="F3765" s="7" t="s">
        <v>56</v>
      </c>
      <c r="G3765" s="7" t="s">
        <v>19</v>
      </c>
      <c r="H3765" s="9" t="n">
        <v>46183</v>
      </c>
      <c r="I3765" s="9"/>
      <c r="J3765" s="7" t="n">
        <v>9.8</v>
      </c>
      <c r="K3765" s="7" t="s">
        <v>4171</v>
      </c>
      <c r="L3765" s="7" t="s">
        <v>21</v>
      </c>
      <c r="M3765" s="7" t="s">
        <v>4413</v>
      </c>
      <c r="N3765" s="7" t="s">
        <v>58</v>
      </c>
      <c r="O3765" s="10" t="n">
        <f aca="false">'Exec Summary'!$E$2-H3765</f>
        <v>51</v>
      </c>
      <c r="P3765" s="10" t="str">
        <f aca="false">IF(I3765="","",I3765-H3765)</f>
        <v/>
      </c>
      <c r="Q3765" s="10" t="n">
        <f aca="false">VLOOKUP(G3765,$AA$2:$AB$5,2,FALSE())</f>
        <v>15</v>
      </c>
      <c r="R3765" s="7" t="n">
        <f aca="false">IF(OR(F3765="Open",F3765="Reopened"),1,0)</f>
        <v>1</v>
      </c>
      <c r="S3765" s="7" t="n">
        <f aca="false">IF(AND(H3765&gt;='Exec Summary'!$E$1,H3765&lt;='Exec Summary'!$E$2),1,0)</f>
        <v>0</v>
      </c>
      <c r="T3765" s="7" t="n">
        <f aca="false">IF(AND(F3765="Closed",I3765&lt;&gt;"",I3765&gt;='Exec Summary'!$E$1,I3765&lt;='Exec Summary'!$E$2),1,0)</f>
        <v>0</v>
      </c>
      <c r="U3765" s="7" t="n">
        <f aca="false">IF(F3765="Reopened",1,0)</f>
        <v>0</v>
      </c>
      <c r="V3765" s="7" t="n">
        <f aca="false">IF(AND(R3765=1,O3765&gt;Q3765),1,0)</f>
        <v>1</v>
      </c>
      <c r="W3765" s="7" t="n">
        <f aca="false">IF(AND(T3765=1,P3765&lt;&gt;"",P3765&lt;=Q3765),1,0)</f>
        <v>0</v>
      </c>
    </row>
    <row r="3766" customFormat="false" ht="15" hidden="false" customHeight="false" outlineLevel="0" collapsed="false">
      <c r="A3766" s="7" t="s">
        <v>4411</v>
      </c>
      <c r="B3766" s="7" t="s">
        <v>46</v>
      </c>
      <c r="C3766" s="7" t="s">
        <v>47</v>
      </c>
      <c r="D3766" s="7" t="s">
        <v>71</v>
      </c>
      <c r="E3766" s="7" t="s">
        <v>72</v>
      </c>
      <c r="F3766" s="7" t="s">
        <v>56</v>
      </c>
      <c r="G3766" s="7" t="s">
        <v>19</v>
      </c>
      <c r="H3766" s="9" t="n">
        <v>46190</v>
      </c>
      <c r="I3766" s="9"/>
      <c r="J3766" s="7" t="n">
        <v>9.8</v>
      </c>
      <c r="K3766" s="7" t="s">
        <v>4171</v>
      </c>
      <c r="L3766" s="7" t="s">
        <v>21</v>
      </c>
      <c r="M3766" s="7" t="s">
        <v>4414</v>
      </c>
      <c r="N3766" s="7" t="s">
        <v>58</v>
      </c>
      <c r="O3766" s="10" t="n">
        <f aca="false">'Exec Summary'!$E$2-H3766</f>
        <v>44</v>
      </c>
      <c r="P3766" s="10" t="str">
        <f aca="false">IF(I3766="","",I3766-H3766)</f>
        <v/>
      </c>
      <c r="Q3766" s="10" t="n">
        <f aca="false">VLOOKUP(G3766,$AA$2:$AB$5,2,FALSE())</f>
        <v>15</v>
      </c>
      <c r="R3766" s="7" t="n">
        <f aca="false">IF(OR(F3766="Open",F3766="Reopened"),1,0)</f>
        <v>1</v>
      </c>
      <c r="S3766" s="7" t="n">
        <f aca="false">IF(AND(H3766&gt;='Exec Summary'!$E$1,H3766&lt;='Exec Summary'!$E$2),1,0)</f>
        <v>0</v>
      </c>
      <c r="T3766" s="7" t="n">
        <f aca="false">IF(AND(F3766="Closed",I3766&lt;&gt;"",I3766&gt;='Exec Summary'!$E$1,I3766&lt;='Exec Summary'!$E$2),1,0)</f>
        <v>0</v>
      </c>
      <c r="U3766" s="7" t="n">
        <f aca="false">IF(F3766="Reopened",1,0)</f>
        <v>0</v>
      </c>
      <c r="V3766" s="7" t="n">
        <f aca="false">IF(AND(R3766=1,O3766&gt;Q3766),1,0)</f>
        <v>1</v>
      </c>
      <c r="W3766" s="7" t="n">
        <f aca="false">IF(AND(T3766=1,P3766&lt;&gt;"",P3766&lt;=Q3766),1,0)</f>
        <v>0</v>
      </c>
    </row>
    <row r="3767" customFormat="false" ht="15" hidden="false" customHeight="false" outlineLevel="0" collapsed="false">
      <c r="A3767" s="7" t="s">
        <v>4411</v>
      </c>
      <c r="B3767" s="7" t="s">
        <v>46</v>
      </c>
      <c r="C3767" s="7" t="s">
        <v>47</v>
      </c>
      <c r="D3767" s="7" t="s">
        <v>104</v>
      </c>
      <c r="E3767" s="7" t="s">
        <v>105</v>
      </c>
      <c r="F3767" s="7" t="s">
        <v>50</v>
      </c>
      <c r="G3767" s="7" t="s">
        <v>19</v>
      </c>
      <c r="H3767" s="9" t="n">
        <v>46018</v>
      </c>
      <c r="I3767" s="9" t="n">
        <v>46029</v>
      </c>
      <c r="J3767" s="7" t="n">
        <v>9.8</v>
      </c>
      <c r="K3767" s="7" t="s">
        <v>4171</v>
      </c>
      <c r="L3767" s="7" t="s">
        <v>21</v>
      </c>
      <c r="M3767" s="7" t="s">
        <v>4415</v>
      </c>
      <c r="N3767" s="7" t="s">
        <v>58</v>
      </c>
      <c r="O3767" s="10" t="n">
        <f aca="false">'Exec Summary'!$E$2-H3767</f>
        <v>216</v>
      </c>
      <c r="P3767" s="10" t="n">
        <f aca="false">IF(I3767="","",I3767-H3767)</f>
        <v>11</v>
      </c>
      <c r="Q3767" s="10" t="n">
        <f aca="false">VLOOKUP(G3767,$AA$2:$AB$5,2,FALSE())</f>
        <v>15</v>
      </c>
      <c r="R3767" s="7" t="n">
        <f aca="false">IF(OR(F3767="Open",F3767="Reopened"),1,0)</f>
        <v>0</v>
      </c>
      <c r="S3767" s="7" t="n">
        <f aca="false">IF(AND(H3767&gt;='Exec Summary'!$E$1,H3767&lt;='Exec Summary'!$E$2),1,0)</f>
        <v>0</v>
      </c>
      <c r="T3767" s="7" t="n">
        <f aca="false">IF(AND(F3767="Closed",I3767&lt;&gt;"",I3767&gt;='Exec Summary'!$E$1,I3767&lt;='Exec Summary'!$E$2),1,0)</f>
        <v>0</v>
      </c>
      <c r="U3767" s="7" t="n">
        <f aca="false">IF(F3767="Reopened",1,0)</f>
        <v>0</v>
      </c>
      <c r="V3767" s="7" t="n">
        <f aca="false">IF(AND(R3767=1,O3767&gt;Q3767),1,0)</f>
        <v>0</v>
      </c>
      <c r="W3767" s="7" t="n">
        <f aca="false">IF(AND(T3767=1,P3767&lt;&gt;"",P3767&lt;=Q3767),1,0)</f>
        <v>0</v>
      </c>
    </row>
    <row r="3768" customFormat="false" ht="15" hidden="false" customHeight="false" outlineLevel="0" collapsed="false">
      <c r="A3768" s="7" t="s">
        <v>4411</v>
      </c>
      <c r="B3768" s="7" t="s">
        <v>46</v>
      </c>
      <c r="C3768" s="7" t="s">
        <v>47</v>
      </c>
      <c r="D3768" s="7" t="s">
        <v>84</v>
      </c>
      <c r="E3768" s="7" t="s">
        <v>85</v>
      </c>
      <c r="F3768" s="7" t="s">
        <v>50</v>
      </c>
      <c r="G3768" s="7" t="s">
        <v>20</v>
      </c>
      <c r="H3768" s="9" t="n">
        <v>46042</v>
      </c>
      <c r="I3768" s="9" t="n">
        <v>46074</v>
      </c>
      <c r="J3768" s="7" t="n">
        <v>7.5</v>
      </c>
      <c r="K3768" s="7" t="s">
        <v>4171</v>
      </c>
      <c r="L3768" s="7" t="s">
        <v>21</v>
      </c>
      <c r="M3768" s="7" t="s">
        <v>4416</v>
      </c>
      <c r="N3768" s="7" t="s">
        <v>53</v>
      </c>
      <c r="O3768" s="10" t="n">
        <f aca="false">'Exec Summary'!$E$2-H3768</f>
        <v>192</v>
      </c>
      <c r="P3768" s="10" t="n">
        <f aca="false">IF(I3768="","",I3768-H3768)</f>
        <v>32</v>
      </c>
      <c r="Q3768" s="10" t="n">
        <f aca="false">VLOOKUP(G3768,$AA$2:$AB$5,2,FALSE())</f>
        <v>30</v>
      </c>
      <c r="R3768" s="7" t="n">
        <f aca="false">IF(OR(F3768="Open",F3768="Reopened"),1,0)</f>
        <v>0</v>
      </c>
      <c r="S3768" s="7" t="n">
        <f aca="false">IF(AND(H3768&gt;='Exec Summary'!$E$1,H3768&lt;='Exec Summary'!$E$2),1,0)</f>
        <v>0</v>
      </c>
      <c r="T3768" s="7" t="n">
        <f aca="false">IF(AND(F3768="Closed",I3768&lt;&gt;"",I3768&gt;='Exec Summary'!$E$1,I3768&lt;='Exec Summary'!$E$2),1,0)</f>
        <v>0</v>
      </c>
      <c r="U3768" s="7" t="n">
        <f aca="false">IF(F3768="Reopened",1,0)</f>
        <v>0</v>
      </c>
      <c r="V3768" s="7" t="n">
        <f aca="false">IF(AND(R3768=1,O3768&gt;Q3768),1,0)</f>
        <v>0</v>
      </c>
      <c r="W3768" s="7" t="n">
        <f aca="false">IF(AND(T3768=1,P3768&lt;&gt;"",P3768&lt;=Q3768),1,0)</f>
        <v>0</v>
      </c>
    </row>
    <row r="3769" customFormat="false" ht="15" hidden="false" customHeight="false" outlineLevel="0" collapsed="false">
      <c r="A3769" s="7" t="s">
        <v>4411</v>
      </c>
      <c r="B3769" s="7" t="s">
        <v>46</v>
      </c>
      <c r="C3769" s="7" t="s">
        <v>47</v>
      </c>
      <c r="D3769" s="7" t="s">
        <v>108</v>
      </c>
      <c r="E3769" s="7" t="s">
        <v>109</v>
      </c>
      <c r="F3769" s="7" t="s">
        <v>56</v>
      </c>
      <c r="G3769" s="7" t="s">
        <v>20</v>
      </c>
      <c r="H3769" s="9" t="n">
        <v>46146</v>
      </c>
      <c r="I3769" s="9"/>
      <c r="J3769" s="7" t="n">
        <v>8.6</v>
      </c>
      <c r="K3769" s="7" t="s">
        <v>4171</v>
      </c>
      <c r="L3769" s="7" t="s">
        <v>21</v>
      </c>
      <c r="M3769" s="7" t="s">
        <v>4417</v>
      </c>
      <c r="N3769" s="7" t="s">
        <v>53</v>
      </c>
      <c r="O3769" s="10" t="n">
        <f aca="false">'Exec Summary'!$E$2-H3769</f>
        <v>88</v>
      </c>
      <c r="P3769" s="10" t="str">
        <f aca="false">IF(I3769="","",I3769-H3769)</f>
        <v/>
      </c>
      <c r="Q3769" s="10" t="n">
        <f aca="false">VLOOKUP(G3769,$AA$2:$AB$5,2,FALSE())</f>
        <v>30</v>
      </c>
      <c r="R3769" s="7" t="n">
        <f aca="false">IF(OR(F3769="Open",F3769="Reopened"),1,0)</f>
        <v>1</v>
      </c>
      <c r="S3769" s="7" t="n">
        <f aca="false">IF(AND(H3769&gt;='Exec Summary'!$E$1,H3769&lt;='Exec Summary'!$E$2),1,0)</f>
        <v>0</v>
      </c>
      <c r="T3769" s="7" t="n">
        <f aca="false">IF(AND(F3769="Closed",I3769&lt;&gt;"",I3769&gt;='Exec Summary'!$E$1,I3769&lt;='Exec Summary'!$E$2),1,0)</f>
        <v>0</v>
      </c>
      <c r="U3769" s="7" t="n">
        <f aca="false">IF(F3769="Reopened",1,0)</f>
        <v>0</v>
      </c>
      <c r="V3769" s="7" t="n">
        <f aca="false">IF(AND(R3769=1,O3769&gt;Q3769),1,0)</f>
        <v>1</v>
      </c>
      <c r="W3769" s="7" t="n">
        <f aca="false">IF(AND(T3769=1,P3769&lt;&gt;"",P3769&lt;=Q3769),1,0)</f>
        <v>0</v>
      </c>
    </row>
    <row r="3770" customFormat="false" ht="15" hidden="false" customHeight="false" outlineLevel="0" collapsed="false">
      <c r="A3770" s="7" t="s">
        <v>4411</v>
      </c>
      <c r="B3770" s="7" t="s">
        <v>46</v>
      </c>
      <c r="C3770" s="7" t="s">
        <v>47</v>
      </c>
      <c r="D3770" s="7" t="s">
        <v>95</v>
      </c>
      <c r="E3770" s="7" t="s">
        <v>96</v>
      </c>
      <c r="F3770" s="7" t="s">
        <v>56</v>
      </c>
      <c r="G3770" s="7" t="s">
        <v>20</v>
      </c>
      <c r="H3770" s="9" t="n">
        <v>46180</v>
      </c>
      <c r="I3770" s="9"/>
      <c r="J3770" s="7" t="n">
        <v>8.8</v>
      </c>
      <c r="K3770" s="7" t="s">
        <v>4171</v>
      </c>
      <c r="L3770" s="7" t="s">
        <v>21</v>
      </c>
      <c r="M3770" s="7" t="s">
        <v>4418</v>
      </c>
      <c r="N3770" s="7" t="s">
        <v>53</v>
      </c>
      <c r="O3770" s="10" t="n">
        <f aca="false">'Exec Summary'!$E$2-H3770</f>
        <v>54</v>
      </c>
      <c r="P3770" s="10" t="str">
        <f aca="false">IF(I3770="","",I3770-H3770)</f>
        <v/>
      </c>
      <c r="Q3770" s="10" t="n">
        <f aca="false">VLOOKUP(G3770,$AA$2:$AB$5,2,FALSE())</f>
        <v>30</v>
      </c>
      <c r="R3770" s="7" t="n">
        <f aca="false">IF(OR(F3770="Open",F3770="Reopened"),1,0)</f>
        <v>1</v>
      </c>
      <c r="S3770" s="7" t="n">
        <f aca="false">IF(AND(H3770&gt;='Exec Summary'!$E$1,H3770&lt;='Exec Summary'!$E$2),1,0)</f>
        <v>0</v>
      </c>
      <c r="T3770" s="7" t="n">
        <f aca="false">IF(AND(F3770="Closed",I3770&lt;&gt;"",I3770&gt;='Exec Summary'!$E$1,I3770&lt;='Exec Summary'!$E$2),1,0)</f>
        <v>0</v>
      </c>
      <c r="U3770" s="7" t="n">
        <f aca="false">IF(F3770="Reopened",1,0)</f>
        <v>0</v>
      </c>
      <c r="V3770" s="7" t="n">
        <f aca="false">IF(AND(R3770=1,O3770&gt;Q3770),1,0)</f>
        <v>1</v>
      </c>
      <c r="W3770" s="7" t="n">
        <f aca="false">IF(AND(T3770=1,P3770&lt;&gt;"",P3770&lt;=Q3770),1,0)</f>
        <v>0</v>
      </c>
    </row>
    <row r="3771" customFormat="false" ht="15" hidden="false" customHeight="false" outlineLevel="0" collapsed="false">
      <c r="A3771" s="7" t="s">
        <v>4411</v>
      </c>
      <c r="B3771" s="7" t="s">
        <v>46</v>
      </c>
      <c r="C3771" s="7" t="s">
        <v>47</v>
      </c>
      <c r="D3771" s="7" t="s">
        <v>74</v>
      </c>
      <c r="E3771" s="7" t="s">
        <v>75</v>
      </c>
      <c r="F3771" s="7" t="s">
        <v>56</v>
      </c>
      <c r="G3771" s="7" t="s">
        <v>21</v>
      </c>
      <c r="H3771" s="9" t="n">
        <v>46041</v>
      </c>
      <c r="I3771" s="9"/>
      <c r="J3771" s="7" t="n">
        <v>6.5</v>
      </c>
      <c r="K3771" s="7" t="s">
        <v>4171</v>
      </c>
      <c r="L3771" s="7" t="s">
        <v>21</v>
      </c>
      <c r="M3771" s="7" t="s">
        <v>4419</v>
      </c>
      <c r="N3771" s="7" t="s">
        <v>77</v>
      </c>
      <c r="O3771" s="10" t="n">
        <f aca="false">'Exec Summary'!$E$2-H3771</f>
        <v>193</v>
      </c>
      <c r="P3771" s="10" t="str">
        <f aca="false">IF(I3771="","",I3771-H3771)</f>
        <v/>
      </c>
      <c r="Q3771" s="10" t="n">
        <f aca="false">VLOOKUP(G3771,$AA$2:$AB$5,2,FALSE())</f>
        <v>90</v>
      </c>
      <c r="R3771" s="7" t="n">
        <f aca="false">IF(OR(F3771="Open",F3771="Reopened"),1,0)</f>
        <v>1</v>
      </c>
      <c r="S3771" s="7" t="n">
        <f aca="false">IF(AND(H3771&gt;='Exec Summary'!$E$1,H3771&lt;='Exec Summary'!$E$2),1,0)</f>
        <v>0</v>
      </c>
      <c r="T3771" s="7" t="n">
        <f aca="false">IF(AND(F3771="Closed",I3771&lt;&gt;"",I3771&gt;='Exec Summary'!$E$1,I3771&lt;='Exec Summary'!$E$2),1,0)</f>
        <v>0</v>
      </c>
      <c r="U3771" s="7" t="n">
        <f aca="false">IF(F3771="Reopened",1,0)</f>
        <v>0</v>
      </c>
      <c r="V3771" s="7" t="n">
        <f aca="false">IF(AND(R3771=1,O3771&gt;Q3771),1,0)</f>
        <v>1</v>
      </c>
      <c r="W3771" s="7" t="n">
        <f aca="false">IF(AND(T3771=1,P3771&lt;&gt;"",P3771&lt;=Q3771),1,0)</f>
        <v>0</v>
      </c>
    </row>
    <row r="3772" customFormat="false" ht="15" hidden="false" customHeight="false" outlineLevel="0" collapsed="false">
      <c r="A3772" s="7" t="s">
        <v>4411</v>
      </c>
      <c r="B3772" s="7" t="s">
        <v>46</v>
      </c>
      <c r="C3772" s="7" t="s">
        <v>47</v>
      </c>
      <c r="D3772" s="7" t="s">
        <v>54</v>
      </c>
      <c r="E3772" s="7" t="s">
        <v>55</v>
      </c>
      <c r="F3772" s="7" t="s">
        <v>50</v>
      </c>
      <c r="G3772" s="7" t="s">
        <v>19</v>
      </c>
      <c r="H3772" s="9" t="n">
        <v>45945</v>
      </c>
      <c r="I3772" s="9" t="n">
        <v>45963</v>
      </c>
      <c r="J3772" s="7" t="n">
        <v>9.8</v>
      </c>
      <c r="K3772" s="7" t="s">
        <v>4171</v>
      </c>
      <c r="L3772" s="7" t="s">
        <v>21</v>
      </c>
      <c r="M3772" s="7" t="s">
        <v>4420</v>
      </c>
      <c r="N3772" s="7" t="s">
        <v>58</v>
      </c>
      <c r="O3772" s="10" t="n">
        <f aca="false">'Exec Summary'!$E$2-H3772</f>
        <v>289</v>
      </c>
      <c r="P3772" s="10" t="n">
        <f aca="false">IF(I3772="","",I3772-H3772)</f>
        <v>18</v>
      </c>
      <c r="Q3772" s="10" t="n">
        <f aca="false">VLOOKUP(G3772,$AA$2:$AB$5,2,FALSE())</f>
        <v>15</v>
      </c>
      <c r="R3772" s="7" t="n">
        <f aca="false">IF(OR(F3772="Open",F3772="Reopened"),1,0)</f>
        <v>0</v>
      </c>
      <c r="S3772" s="7" t="n">
        <f aca="false">IF(AND(H3772&gt;='Exec Summary'!$E$1,H3772&lt;='Exec Summary'!$E$2),1,0)</f>
        <v>0</v>
      </c>
      <c r="T3772" s="7" t="n">
        <f aca="false">IF(AND(F3772="Closed",I3772&lt;&gt;"",I3772&gt;='Exec Summary'!$E$1,I3772&lt;='Exec Summary'!$E$2),1,0)</f>
        <v>0</v>
      </c>
      <c r="U3772" s="7" t="n">
        <f aca="false">IF(F3772="Reopened",1,0)</f>
        <v>0</v>
      </c>
      <c r="V3772" s="7" t="n">
        <f aca="false">IF(AND(R3772=1,O3772&gt;Q3772),1,0)</f>
        <v>0</v>
      </c>
      <c r="W3772" s="7" t="n">
        <f aca="false">IF(AND(T3772=1,P3772&lt;&gt;"",P3772&lt;=Q3772),1,0)</f>
        <v>0</v>
      </c>
    </row>
    <row r="3773" customFormat="false" ht="15" hidden="false" customHeight="false" outlineLevel="0" collapsed="false">
      <c r="A3773" s="7" t="s">
        <v>4411</v>
      </c>
      <c r="B3773" s="7" t="s">
        <v>46</v>
      </c>
      <c r="C3773" s="7" t="s">
        <v>47</v>
      </c>
      <c r="D3773" s="7" t="s">
        <v>152</v>
      </c>
      <c r="E3773" s="7" t="s">
        <v>153</v>
      </c>
      <c r="F3773" s="7" t="s">
        <v>56</v>
      </c>
      <c r="G3773" s="7" t="s">
        <v>20</v>
      </c>
      <c r="H3773" s="9" t="n">
        <v>46002</v>
      </c>
      <c r="I3773" s="9"/>
      <c r="J3773" s="7" t="n">
        <v>7.5</v>
      </c>
      <c r="K3773" s="7" t="s">
        <v>4171</v>
      </c>
      <c r="L3773" s="7" t="s">
        <v>21</v>
      </c>
      <c r="M3773" s="7" t="s">
        <v>4421</v>
      </c>
      <c r="N3773" s="7" t="s">
        <v>53</v>
      </c>
      <c r="O3773" s="10" t="n">
        <f aca="false">'Exec Summary'!$E$2-H3773</f>
        <v>232</v>
      </c>
      <c r="P3773" s="10" t="str">
        <f aca="false">IF(I3773="","",I3773-H3773)</f>
        <v/>
      </c>
      <c r="Q3773" s="10" t="n">
        <f aca="false">VLOOKUP(G3773,$AA$2:$AB$5,2,FALSE())</f>
        <v>30</v>
      </c>
      <c r="R3773" s="7" t="n">
        <f aca="false">IF(OR(F3773="Open",F3773="Reopened"),1,0)</f>
        <v>1</v>
      </c>
      <c r="S3773" s="7" t="n">
        <f aca="false">IF(AND(H3773&gt;='Exec Summary'!$E$1,H3773&lt;='Exec Summary'!$E$2),1,0)</f>
        <v>0</v>
      </c>
      <c r="T3773" s="7" t="n">
        <f aca="false">IF(AND(F3773="Closed",I3773&lt;&gt;"",I3773&gt;='Exec Summary'!$E$1,I3773&lt;='Exec Summary'!$E$2),1,0)</f>
        <v>0</v>
      </c>
      <c r="U3773" s="7" t="n">
        <f aca="false">IF(F3773="Reopened",1,0)</f>
        <v>0</v>
      </c>
      <c r="V3773" s="7" t="n">
        <f aca="false">IF(AND(R3773=1,O3773&gt;Q3773),1,0)</f>
        <v>1</v>
      </c>
      <c r="W3773" s="7" t="n">
        <f aca="false">IF(AND(T3773=1,P3773&lt;&gt;"",P3773&lt;=Q3773),1,0)</f>
        <v>0</v>
      </c>
    </row>
    <row r="3774" customFormat="false" ht="15" hidden="false" customHeight="false" outlineLevel="0" collapsed="false">
      <c r="A3774" s="7" t="s">
        <v>4411</v>
      </c>
      <c r="B3774" s="7" t="s">
        <v>46</v>
      </c>
      <c r="C3774" s="7" t="s">
        <v>47</v>
      </c>
      <c r="D3774" s="7" t="s">
        <v>173</v>
      </c>
      <c r="E3774" s="7" t="s">
        <v>174</v>
      </c>
      <c r="F3774" s="7" t="s">
        <v>50</v>
      </c>
      <c r="G3774" s="7" t="s">
        <v>19</v>
      </c>
      <c r="H3774" s="9" t="n">
        <v>46009</v>
      </c>
      <c r="I3774" s="9" t="n">
        <v>46020</v>
      </c>
      <c r="J3774" s="7" t="n">
        <v>9.8</v>
      </c>
      <c r="K3774" s="7" t="s">
        <v>4171</v>
      </c>
      <c r="L3774" s="7" t="s">
        <v>21</v>
      </c>
      <c r="M3774" s="7" t="s">
        <v>4422</v>
      </c>
      <c r="N3774" s="7" t="s">
        <v>58</v>
      </c>
      <c r="O3774" s="10" t="n">
        <f aca="false">'Exec Summary'!$E$2-H3774</f>
        <v>225</v>
      </c>
      <c r="P3774" s="10" t="n">
        <f aca="false">IF(I3774="","",I3774-H3774)</f>
        <v>11</v>
      </c>
      <c r="Q3774" s="10" t="n">
        <f aca="false">VLOOKUP(G3774,$AA$2:$AB$5,2,FALSE())</f>
        <v>15</v>
      </c>
      <c r="R3774" s="7" t="n">
        <f aca="false">IF(OR(F3774="Open",F3774="Reopened"),1,0)</f>
        <v>0</v>
      </c>
      <c r="S3774" s="7" t="n">
        <f aca="false">IF(AND(H3774&gt;='Exec Summary'!$E$1,H3774&lt;='Exec Summary'!$E$2),1,0)</f>
        <v>0</v>
      </c>
      <c r="T3774" s="7" t="n">
        <f aca="false">IF(AND(F3774="Closed",I3774&lt;&gt;"",I3774&gt;='Exec Summary'!$E$1,I3774&lt;='Exec Summary'!$E$2),1,0)</f>
        <v>0</v>
      </c>
      <c r="U3774" s="7" t="n">
        <f aca="false">IF(F3774="Reopened",1,0)</f>
        <v>0</v>
      </c>
      <c r="V3774" s="7" t="n">
        <f aca="false">IF(AND(R3774=1,O3774&gt;Q3774),1,0)</f>
        <v>0</v>
      </c>
      <c r="W3774" s="7" t="n">
        <f aca="false">IF(AND(T3774=1,P3774&lt;&gt;"",P3774&lt;=Q3774),1,0)</f>
        <v>0</v>
      </c>
    </row>
  </sheetData>
  <autoFilter ref="A1:W37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16"/>
  </cols>
  <sheetData>
    <row r="1" customFormat="false" ht="19.7" hidden="false" customHeight="false" outlineLevel="0" collapsed="false">
      <c r="A1" s="1" t="s">
        <v>4423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23.85" hidden="false" customHeight="false" outlineLevel="0" collapsed="false">
      <c r="A3" s="6" t="s">
        <v>32</v>
      </c>
      <c r="B3" s="6" t="s">
        <v>4424</v>
      </c>
      <c r="C3" s="6" t="s">
        <v>4425</v>
      </c>
      <c r="D3" s="6" t="s">
        <v>4426</v>
      </c>
      <c r="E3" s="6" t="s">
        <v>4427</v>
      </c>
      <c r="F3" s="6" t="s">
        <v>4428</v>
      </c>
      <c r="G3" s="6" t="s">
        <v>123</v>
      </c>
      <c r="H3" s="6" t="s">
        <v>4429</v>
      </c>
      <c r="I3" s="6" t="s">
        <v>18</v>
      </c>
      <c r="J3" s="6" t="s">
        <v>15</v>
      </c>
    </row>
    <row r="4" customFormat="false" ht="15" hidden="false" customHeight="false" outlineLevel="0" collapsed="false">
      <c r="A4" s="7" t="s">
        <v>51</v>
      </c>
      <c r="B4" s="7" t="n">
        <v>41</v>
      </c>
      <c r="C4" s="7" t="n">
        <f aca="false">SUMIFS(All_Findings_Raw!$S$2:$S$4274,All_Findings_Raw!$K$2:$K$4274,A4)</f>
        <v>22</v>
      </c>
      <c r="D4" s="7" t="n">
        <f aca="false">SUMIFS(All_Findings_Raw!$T$2:$T$4274,All_Findings_Raw!$K$2:$K$4274,A4)</f>
        <v>26</v>
      </c>
      <c r="E4" s="8" t="n">
        <f aca="false">IFERROR(D4/(D4+F4)*100,0)</f>
        <v>15.028901734104</v>
      </c>
      <c r="F4" s="7" t="n">
        <f aca="false">SUMIFS(All_Findings_Raw!$R$2:$R$4274,All_Findings_Raw!$K$2:$K$4274,A4)</f>
        <v>147</v>
      </c>
      <c r="G4" s="7" t="n">
        <f aca="false">SUMIFS(All_Findings_Raw!$U$2:$U$4274,All_Findings_Raw!$K$2:$K$4274,A4)</f>
        <v>18</v>
      </c>
      <c r="H4" s="7" t="n">
        <f aca="false">SUMIFS(All_Findings_Raw!$R$2:$R$4274,All_Findings_Raw!$K$2:$K$4274,A4,All_Findings_Raw!$G$2:$G$4274,"Critical")</f>
        <v>94</v>
      </c>
      <c r="I4" s="7" t="n">
        <f aca="false">SUMIFS(All_Findings_Raw!$V$2:$V$4274,All_Findings_Raw!$K$2:$K$4274,A4)</f>
        <v>143</v>
      </c>
      <c r="J4" s="8" t="n">
        <f aca="false">IFERROR(AVERAGEIFS(All_Findings_Raw!$P$2:$P$4274,All_Findings_Raw!$T$2:$T$4274,1,All_Findings_Raw!$K$2:$K$4274,A4),0)</f>
        <v>19.5384615384615</v>
      </c>
    </row>
    <row r="5" customFormat="false" ht="15" hidden="false" customHeight="false" outlineLevel="0" collapsed="false">
      <c r="A5" s="7" t="s">
        <v>482</v>
      </c>
      <c r="B5" s="7" t="n">
        <v>33</v>
      </c>
      <c r="C5" s="7" t="n">
        <f aca="false">SUMIFS(All_Findings_Raw!$S$2:$S$4274,All_Findings_Raw!$K$2:$K$4274,A5)</f>
        <v>15</v>
      </c>
      <c r="D5" s="7" t="n">
        <f aca="false">SUMIFS(All_Findings_Raw!$T$2:$T$4274,All_Findings_Raw!$K$2:$K$4274,A5)</f>
        <v>9</v>
      </c>
      <c r="E5" s="8" t="n">
        <f aca="false">IFERROR(D5/(D5+F5)*100,0)</f>
        <v>7.56302521008403</v>
      </c>
      <c r="F5" s="7" t="n">
        <f aca="false">SUMIFS(All_Findings_Raw!$R$2:$R$4274,All_Findings_Raw!$K$2:$K$4274,A5)</f>
        <v>110</v>
      </c>
      <c r="G5" s="7" t="n">
        <f aca="false">SUMIFS(All_Findings_Raw!$U$2:$U$4274,All_Findings_Raw!$K$2:$K$4274,A5)</f>
        <v>11</v>
      </c>
      <c r="H5" s="7" t="n">
        <f aca="false">SUMIFS(All_Findings_Raw!$R$2:$R$4274,All_Findings_Raw!$K$2:$K$4274,A5,All_Findings_Raw!$G$2:$G$4274,"Critical")</f>
        <v>75</v>
      </c>
      <c r="I5" s="7" t="n">
        <f aca="false">SUMIFS(All_Findings_Raw!$V$2:$V$4274,All_Findings_Raw!$K$2:$K$4274,A5)</f>
        <v>106</v>
      </c>
      <c r="J5" s="8" t="n">
        <f aca="false">IFERROR(AVERAGEIFS(All_Findings_Raw!$P$2:$P$4274,All_Findings_Raw!$T$2:$T$4274,1,All_Findings_Raw!$K$2:$K$4274,A5),0)</f>
        <v>12.1111111111111</v>
      </c>
    </row>
    <row r="6" customFormat="false" ht="15" hidden="false" customHeight="false" outlineLevel="0" collapsed="false">
      <c r="A6" s="7" t="s">
        <v>771</v>
      </c>
      <c r="B6" s="7" t="n">
        <v>31</v>
      </c>
      <c r="C6" s="7" t="n">
        <f aca="false">SUMIFS(All_Findings_Raw!$S$2:$S$4274,All_Findings_Raw!$K$2:$K$4274,A6)</f>
        <v>14</v>
      </c>
      <c r="D6" s="7" t="n">
        <f aca="false">SUMIFS(All_Findings_Raw!$T$2:$T$4274,All_Findings_Raw!$K$2:$K$4274,A6)</f>
        <v>14</v>
      </c>
      <c r="E6" s="8" t="n">
        <f aca="false">IFERROR(D6/(D6+F6)*100,0)</f>
        <v>11.1111111111111</v>
      </c>
      <c r="F6" s="7" t="n">
        <f aca="false">SUMIFS(All_Findings_Raw!$R$2:$R$4274,All_Findings_Raw!$K$2:$K$4274,A6)</f>
        <v>112</v>
      </c>
      <c r="G6" s="7" t="n">
        <f aca="false">SUMIFS(All_Findings_Raw!$U$2:$U$4274,All_Findings_Raw!$K$2:$K$4274,A6)</f>
        <v>12</v>
      </c>
      <c r="H6" s="7" t="n">
        <f aca="false">SUMIFS(All_Findings_Raw!$R$2:$R$4274,All_Findings_Raw!$K$2:$K$4274,A6,All_Findings_Raw!$G$2:$G$4274,"Critical")</f>
        <v>69</v>
      </c>
      <c r="I6" s="7" t="n">
        <f aca="false">SUMIFS(All_Findings_Raw!$V$2:$V$4274,All_Findings_Raw!$K$2:$K$4274,A6)</f>
        <v>106</v>
      </c>
      <c r="J6" s="8" t="n">
        <f aca="false">IFERROR(AVERAGEIFS(All_Findings_Raw!$P$2:$P$4274,All_Findings_Raw!$T$2:$T$4274,1,All_Findings_Raw!$K$2:$K$4274,A6),0)</f>
        <v>22.6428571428571</v>
      </c>
    </row>
    <row r="7" customFormat="false" ht="15" hidden="false" customHeight="false" outlineLevel="0" collapsed="false">
      <c r="A7" s="7" t="s">
        <v>1015</v>
      </c>
      <c r="B7" s="7" t="n">
        <v>18</v>
      </c>
      <c r="C7" s="7" t="n">
        <f aca="false">SUMIFS(All_Findings_Raw!$S$2:$S$4274,All_Findings_Raw!$K$2:$K$4274,A7)</f>
        <v>11</v>
      </c>
      <c r="D7" s="7" t="n">
        <f aca="false">SUMIFS(All_Findings_Raw!$T$2:$T$4274,All_Findings_Raw!$K$2:$K$4274,A7)</f>
        <v>10</v>
      </c>
      <c r="E7" s="8" t="n">
        <f aca="false">IFERROR(D7/(D7+F7)*100,0)</f>
        <v>12.987012987013</v>
      </c>
      <c r="F7" s="7" t="n">
        <f aca="false">SUMIFS(All_Findings_Raw!$R$2:$R$4274,All_Findings_Raw!$K$2:$K$4274,A7)</f>
        <v>67</v>
      </c>
      <c r="G7" s="7" t="n">
        <f aca="false">SUMIFS(All_Findings_Raw!$U$2:$U$4274,All_Findings_Raw!$K$2:$K$4274,A7)</f>
        <v>6</v>
      </c>
      <c r="H7" s="7" t="n">
        <f aca="false">SUMIFS(All_Findings_Raw!$R$2:$R$4274,All_Findings_Raw!$K$2:$K$4274,A7,All_Findings_Raw!$G$2:$G$4274,"Critical")</f>
        <v>41</v>
      </c>
      <c r="I7" s="7" t="n">
        <f aca="false">SUMIFS(All_Findings_Raw!$V$2:$V$4274,All_Findings_Raw!$K$2:$K$4274,A7)</f>
        <v>64</v>
      </c>
      <c r="J7" s="8" t="n">
        <f aca="false">IFERROR(AVERAGEIFS(All_Findings_Raw!$P$2:$P$4274,All_Findings_Raw!$T$2:$T$4274,1,All_Findings_Raw!$K$2:$K$4274,A7),0)</f>
        <v>17.1</v>
      </c>
    </row>
    <row r="8" customFormat="false" ht="15" hidden="false" customHeight="false" outlineLevel="0" collapsed="false">
      <c r="A8" s="7" t="s">
        <v>1184</v>
      </c>
      <c r="B8" s="7" t="n">
        <v>24</v>
      </c>
      <c r="C8" s="7" t="n">
        <f aca="false">SUMIFS(All_Findings_Raw!$S$2:$S$4274,All_Findings_Raw!$K$2:$K$4274,A8)</f>
        <v>12</v>
      </c>
      <c r="D8" s="7" t="n">
        <f aca="false">SUMIFS(All_Findings_Raw!$T$2:$T$4274,All_Findings_Raw!$K$2:$K$4274,A8)</f>
        <v>15</v>
      </c>
      <c r="E8" s="8" t="n">
        <f aca="false">IFERROR(D8/(D8+F8)*100,0)</f>
        <v>15.625</v>
      </c>
      <c r="F8" s="7" t="n">
        <f aca="false">SUMIFS(All_Findings_Raw!$R$2:$R$4274,All_Findings_Raw!$K$2:$K$4274,A8)</f>
        <v>81</v>
      </c>
      <c r="G8" s="7" t="n">
        <f aca="false">SUMIFS(All_Findings_Raw!$U$2:$U$4274,All_Findings_Raw!$K$2:$K$4274,A8)</f>
        <v>15</v>
      </c>
      <c r="H8" s="7" t="n">
        <f aca="false">SUMIFS(All_Findings_Raw!$R$2:$R$4274,All_Findings_Raw!$K$2:$K$4274,A8,All_Findings_Raw!$G$2:$G$4274,"Critical")</f>
        <v>48</v>
      </c>
      <c r="I8" s="7" t="n">
        <f aca="false">SUMIFS(All_Findings_Raw!$V$2:$V$4274,All_Findings_Raw!$K$2:$K$4274,A8)</f>
        <v>79</v>
      </c>
      <c r="J8" s="8" t="n">
        <f aca="false">IFERROR(AVERAGEIFS(All_Findings_Raw!$P$2:$P$4274,All_Findings_Raw!$T$2:$T$4274,1,All_Findings_Raw!$K$2:$K$4274,A8),0)</f>
        <v>27.2666666666667</v>
      </c>
    </row>
    <row r="9" customFormat="false" ht="15" hidden="false" customHeight="false" outlineLevel="0" collapsed="false">
      <c r="A9" s="7" t="s">
        <v>1392</v>
      </c>
      <c r="B9" s="7" t="n">
        <v>43</v>
      </c>
      <c r="C9" s="7" t="n">
        <f aca="false">SUMIFS(All_Findings_Raw!$S$2:$S$4274,All_Findings_Raw!$K$2:$K$4274,A9)</f>
        <v>28</v>
      </c>
      <c r="D9" s="7" t="n">
        <f aca="false">SUMIFS(All_Findings_Raw!$T$2:$T$4274,All_Findings_Raw!$K$2:$K$4274,A9)</f>
        <v>20</v>
      </c>
      <c r="E9" s="8" t="n">
        <f aca="false">IFERROR(D9/(D9+F9)*100,0)</f>
        <v>12.5</v>
      </c>
      <c r="F9" s="7" t="n">
        <f aca="false">SUMIFS(All_Findings_Raw!$R$2:$R$4274,All_Findings_Raw!$K$2:$K$4274,A9)</f>
        <v>140</v>
      </c>
      <c r="G9" s="7" t="n">
        <f aca="false">SUMIFS(All_Findings_Raw!$U$2:$U$4274,All_Findings_Raw!$K$2:$K$4274,A9)</f>
        <v>15</v>
      </c>
      <c r="H9" s="7" t="n">
        <f aca="false">SUMIFS(All_Findings_Raw!$R$2:$R$4274,All_Findings_Raw!$K$2:$K$4274,A9,All_Findings_Raw!$G$2:$G$4274,"Critical")</f>
        <v>86</v>
      </c>
      <c r="I9" s="7" t="n">
        <f aca="false">SUMIFS(All_Findings_Raw!$V$2:$V$4274,All_Findings_Raw!$K$2:$K$4274,A9)</f>
        <v>133</v>
      </c>
      <c r="J9" s="8" t="n">
        <f aca="false">IFERROR(AVERAGEIFS(All_Findings_Raw!$P$2:$P$4274,All_Findings_Raw!$T$2:$T$4274,1,All_Findings_Raw!$K$2:$K$4274,A9),0)</f>
        <v>23.3</v>
      </c>
    </row>
    <row r="10" customFormat="false" ht="15" hidden="false" customHeight="false" outlineLevel="0" collapsed="false">
      <c r="A10" s="7" t="s">
        <v>1733</v>
      </c>
      <c r="B10" s="7" t="n">
        <v>29</v>
      </c>
      <c r="C10" s="7" t="n">
        <f aca="false">SUMIFS(All_Findings_Raw!$S$2:$S$4274,All_Findings_Raw!$K$2:$K$4274,A10)</f>
        <v>14</v>
      </c>
      <c r="D10" s="7" t="n">
        <f aca="false">SUMIFS(All_Findings_Raw!$T$2:$T$4274,All_Findings_Raw!$K$2:$K$4274,A10)</f>
        <v>12</v>
      </c>
      <c r="E10" s="8" t="n">
        <f aca="false">IFERROR(D10/(D10+F10)*100,0)</f>
        <v>10</v>
      </c>
      <c r="F10" s="7" t="n">
        <f aca="false">SUMIFS(All_Findings_Raw!$R$2:$R$4274,All_Findings_Raw!$K$2:$K$4274,A10)</f>
        <v>108</v>
      </c>
      <c r="G10" s="7" t="n">
        <f aca="false">SUMIFS(All_Findings_Raw!$U$2:$U$4274,All_Findings_Raw!$K$2:$K$4274,A10)</f>
        <v>13</v>
      </c>
      <c r="H10" s="7" t="n">
        <f aca="false">SUMIFS(All_Findings_Raw!$R$2:$R$4274,All_Findings_Raw!$K$2:$K$4274,A10,All_Findings_Raw!$G$2:$G$4274,"Critical")</f>
        <v>62</v>
      </c>
      <c r="I10" s="7" t="n">
        <f aca="false">SUMIFS(All_Findings_Raw!$V$2:$V$4274,All_Findings_Raw!$K$2:$K$4274,A10)</f>
        <v>102</v>
      </c>
      <c r="J10" s="8" t="n">
        <f aca="false">IFERROR(AVERAGEIFS(All_Findings_Raw!$P$2:$P$4274,All_Findings_Raw!$T$2:$T$4274,1,All_Findings_Raw!$K$2:$K$4274,A10),0)</f>
        <v>20</v>
      </c>
    </row>
    <row r="11" customFormat="false" ht="15" hidden="false" customHeight="false" outlineLevel="0" collapsed="false">
      <c r="A11" s="7" t="s">
        <v>1971</v>
      </c>
      <c r="B11" s="7" t="n">
        <v>39</v>
      </c>
      <c r="C11" s="7" t="n">
        <f aca="false">SUMIFS(All_Findings_Raw!$S$2:$S$4274,All_Findings_Raw!$K$2:$K$4274,A11)</f>
        <v>12</v>
      </c>
      <c r="D11" s="7" t="n">
        <f aca="false">SUMIFS(All_Findings_Raw!$T$2:$T$4274,All_Findings_Raw!$K$2:$K$4274,A11)</f>
        <v>15</v>
      </c>
      <c r="E11" s="8" t="n">
        <f aca="false">IFERROR(D11/(D11+F11)*100,0)</f>
        <v>11.6279069767442</v>
      </c>
      <c r="F11" s="7" t="n">
        <f aca="false">SUMIFS(All_Findings_Raw!$R$2:$R$4274,All_Findings_Raw!$K$2:$K$4274,A11)</f>
        <v>114</v>
      </c>
      <c r="G11" s="7" t="n">
        <f aca="false">SUMIFS(All_Findings_Raw!$U$2:$U$4274,All_Findings_Raw!$K$2:$K$4274,A11)</f>
        <v>17</v>
      </c>
      <c r="H11" s="7" t="n">
        <f aca="false">SUMIFS(All_Findings_Raw!$R$2:$R$4274,All_Findings_Raw!$K$2:$K$4274,A11,All_Findings_Raw!$G$2:$G$4274,"Critical")</f>
        <v>77</v>
      </c>
      <c r="I11" s="7" t="n">
        <f aca="false">SUMIFS(All_Findings_Raw!$V$2:$V$4274,All_Findings_Raw!$K$2:$K$4274,A11)</f>
        <v>110</v>
      </c>
      <c r="J11" s="8" t="n">
        <f aca="false">IFERROR(AVERAGEIFS(All_Findings_Raw!$P$2:$P$4274,All_Findings_Raw!$T$2:$T$4274,1,All_Findings_Raw!$K$2:$K$4274,A11),0)</f>
        <v>12.8</v>
      </c>
    </row>
    <row r="12" customFormat="false" ht="15" hidden="false" customHeight="false" outlineLevel="0" collapsed="false">
      <c r="A12" s="7" t="s">
        <v>2260</v>
      </c>
      <c r="B12" s="7" t="n">
        <v>44</v>
      </c>
      <c r="C12" s="7" t="n">
        <f aca="false">SUMIFS(All_Findings_Raw!$S$2:$S$4274,All_Findings_Raw!$K$2:$K$4274,A12)</f>
        <v>21</v>
      </c>
      <c r="D12" s="7" t="n">
        <f aca="false">SUMIFS(All_Findings_Raw!$T$2:$T$4274,All_Findings_Raw!$K$2:$K$4274,A12)</f>
        <v>24</v>
      </c>
      <c r="E12" s="8" t="n">
        <f aca="false">IFERROR(D12/(D12+F12)*100,0)</f>
        <v>12.6315789473684</v>
      </c>
      <c r="F12" s="7" t="n">
        <f aca="false">SUMIFS(All_Findings_Raw!$R$2:$R$4274,All_Findings_Raw!$K$2:$K$4274,A12)</f>
        <v>166</v>
      </c>
      <c r="G12" s="7" t="n">
        <f aca="false">SUMIFS(All_Findings_Raw!$U$2:$U$4274,All_Findings_Raw!$K$2:$K$4274,A12)</f>
        <v>22</v>
      </c>
      <c r="H12" s="7" t="n">
        <f aca="false">SUMIFS(All_Findings_Raw!$R$2:$R$4274,All_Findings_Raw!$K$2:$K$4274,A12,All_Findings_Raw!$G$2:$G$4274,"Critical")</f>
        <v>108</v>
      </c>
      <c r="I12" s="7" t="n">
        <f aca="false">SUMIFS(All_Findings_Raw!$V$2:$V$4274,All_Findings_Raw!$K$2:$K$4274,A12)</f>
        <v>160</v>
      </c>
      <c r="J12" s="8" t="n">
        <f aca="false">IFERROR(AVERAGEIFS(All_Findings_Raw!$P$2:$P$4274,All_Findings_Raw!$T$2:$T$4274,1,All_Findings_Raw!$K$2:$K$4274,A12),0)</f>
        <v>19.4583333333333</v>
      </c>
    </row>
    <row r="13" customFormat="false" ht="15" hidden="false" customHeight="false" outlineLevel="0" collapsed="false">
      <c r="A13" s="7" t="s">
        <v>2628</v>
      </c>
      <c r="B13" s="7" t="n">
        <v>39</v>
      </c>
      <c r="C13" s="7" t="n">
        <f aca="false">SUMIFS(All_Findings_Raw!$S$2:$S$4274,All_Findings_Raw!$K$2:$K$4274,A13)</f>
        <v>22</v>
      </c>
      <c r="D13" s="7" t="n">
        <f aca="false">SUMIFS(All_Findings_Raw!$T$2:$T$4274,All_Findings_Raw!$K$2:$K$4274,A13)</f>
        <v>18</v>
      </c>
      <c r="E13" s="8" t="n">
        <f aca="false">IFERROR(D13/(D13+F13)*100,0)</f>
        <v>10.1123595505618</v>
      </c>
      <c r="F13" s="7" t="n">
        <f aca="false">SUMIFS(All_Findings_Raw!$R$2:$R$4274,All_Findings_Raw!$K$2:$K$4274,A13)</f>
        <v>160</v>
      </c>
      <c r="G13" s="7" t="n">
        <f aca="false">SUMIFS(All_Findings_Raw!$U$2:$U$4274,All_Findings_Raw!$K$2:$K$4274,A13)</f>
        <v>21</v>
      </c>
      <c r="H13" s="7" t="n">
        <f aca="false">SUMIFS(All_Findings_Raw!$R$2:$R$4274,All_Findings_Raw!$K$2:$K$4274,A13,All_Findings_Raw!$G$2:$G$4274,"Critical")</f>
        <v>112</v>
      </c>
      <c r="I13" s="7" t="n">
        <f aca="false">SUMIFS(All_Findings_Raw!$V$2:$V$4274,All_Findings_Raw!$K$2:$K$4274,A13)</f>
        <v>155</v>
      </c>
      <c r="J13" s="8" t="n">
        <f aca="false">IFERROR(AVERAGEIFS(All_Findings_Raw!$P$2:$P$4274,All_Findings_Raw!$T$2:$T$4274,1,All_Findings_Raw!$K$2:$K$4274,A13),0)</f>
        <v>12.1111111111111</v>
      </c>
    </row>
    <row r="14" customFormat="false" ht="15" hidden="false" customHeight="false" outlineLevel="0" collapsed="false">
      <c r="A14" s="7" t="s">
        <v>2984</v>
      </c>
      <c r="B14" s="7" t="n">
        <v>42</v>
      </c>
      <c r="C14" s="7" t="n">
        <f aca="false">SUMIFS(All_Findings_Raw!$S$2:$S$4274,All_Findings_Raw!$K$2:$K$4274,A14)</f>
        <v>23</v>
      </c>
      <c r="D14" s="7" t="n">
        <f aca="false">SUMIFS(All_Findings_Raw!$T$2:$T$4274,All_Findings_Raw!$K$2:$K$4274,A14)</f>
        <v>19</v>
      </c>
      <c r="E14" s="8" t="n">
        <f aca="false">IFERROR(D14/(D14+F14)*100,0)</f>
        <v>10.7344632768362</v>
      </c>
      <c r="F14" s="7" t="n">
        <f aca="false">SUMIFS(All_Findings_Raw!$R$2:$R$4274,All_Findings_Raw!$K$2:$K$4274,A14)</f>
        <v>158</v>
      </c>
      <c r="G14" s="7" t="n">
        <f aca="false">SUMIFS(All_Findings_Raw!$U$2:$U$4274,All_Findings_Raw!$K$2:$K$4274,A14)</f>
        <v>19</v>
      </c>
      <c r="H14" s="7" t="n">
        <f aca="false">SUMIFS(All_Findings_Raw!$R$2:$R$4274,All_Findings_Raw!$K$2:$K$4274,A14,All_Findings_Raw!$G$2:$G$4274,"Critical")</f>
        <v>102</v>
      </c>
      <c r="I14" s="7" t="n">
        <f aca="false">SUMIFS(All_Findings_Raw!$V$2:$V$4274,All_Findings_Raw!$K$2:$K$4274,A14)</f>
        <v>148</v>
      </c>
      <c r="J14" s="8" t="n">
        <f aca="false">IFERROR(AVERAGEIFS(All_Findings_Raw!$P$2:$P$4274,All_Findings_Raw!$T$2:$T$4274,1,All_Findings_Raw!$K$2:$K$4274,A14),0)</f>
        <v>22.0526315789474</v>
      </c>
    </row>
    <row r="15" customFormat="false" ht="15" hidden="false" customHeight="false" outlineLevel="0" collapsed="false">
      <c r="A15" s="7" t="s">
        <v>3340</v>
      </c>
      <c r="B15" s="7" t="n">
        <v>28</v>
      </c>
      <c r="C15" s="7" t="n">
        <f aca="false">SUMIFS(All_Findings_Raw!$S$2:$S$4274,All_Findings_Raw!$K$2:$K$4274,A15)</f>
        <v>8</v>
      </c>
      <c r="D15" s="7" t="n">
        <f aca="false">SUMIFS(All_Findings_Raw!$T$2:$T$4274,All_Findings_Raw!$K$2:$K$4274,A15)</f>
        <v>10</v>
      </c>
      <c r="E15" s="8" t="n">
        <f aca="false">IFERROR(D15/(D15+F15)*100,0)</f>
        <v>9.61538461538462</v>
      </c>
      <c r="F15" s="7" t="n">
        <f aca="false">SUMIFS(All_Findings_Raw!$R$2:$R$4274,All_Findings_Raw!$K$2:$K$4274,A15)</f>
        <v>94</v>
      </c>
      <c r="G15" s="7" t="n">
        <f aca="false">SUMIFS(All_Findings_Raw!$U$2:$U$4274,All_Findings_Raw!$K$2:$K$4274,A15)</f>
        <v>12</v>
      </c>
      <c r="H15" s="7" t="n">
        <f aca="false">SUMIFS(All_Findings_Raw!$R$2:$R$4274,All_Findings_Raw!$K$2:$K$4274,A15,All_Findings_Raw!$G$2:$G$4274,"Critical")</f>
        <v>56</v>
      </c>
      <c r="I15" s="7" t="n">
        <f aca="false">SUMIFS(All_Findings_Raw!$V$2:$V$4274,All_Findings_Raw!$K$2:$K$4274,A15)</f>
        <v>93</v>
      </c>
      <c r="J15" s="8" t="n">
        <f aca="false">IFERROR(AVERAGEIFS(All_Findings_Raw!$P$2:$P$4274,All_Findings_Raw!$T$2:$T$4274,1,All_Findings_Raw!$K$2:$K$4274,A15),0)</f>
        <v>19.4</v>
      </c>
    </row>
    <row r="16" customFormat="false" ht="15" hidden="false" customHeight="false" outlineLevel="0" collapsed="false">
      <c r="A16" s="7" t="s">
        <v>3580</v>
      </c>
      <c r="B16" s="7" t="n">
        <v>37</v>
      </c>
      <c r="C16" s="7" t="n">
        <f aca="false">SUMIFS(All_Findings_Raw!$S$2:$S$4274,All_Findings_Raw!$K$2:$K$4274,A16)</f>
        <v>24</v>
      </c>
      <c r="D16" s="7" t="n">
        <f aca="false">SUMIFS(All_Findings_Raw!$T$2:$T$4274,All_Findings_Raw!$K$2:$K$4274,A16)</f>
        <v>32</v>
      </c>
      <c r="E16" s="8" t="n">
        <f aca="false">IFERROR(D16/(D16+F16)*100,0)</f>
        <v>23.8805970149254</v>
      </c>
      <c r="F16" s="7" t="n">
        <f aca="false">SUMIFS(All_Findings_Raw!$R$2:$R$4274,All_Findings_Raw!$K$2:$K$4274,A16)</f>
        <v>102</v>
      </c>
      <c r="G16" s="7" t="n">
        <f aca="false">SUMIFS(All_Findings_Raw!$U$2:$U$4274,All_Findings_Raw!$K$2:$K$4274,A16)</f>
        <v>13</v>
      </c>
      <c r="H16" s="7" t="n">
        <f aca="false">SUMIFS(All_Findings_Raw!$R$2:$R$4274,All_Findings_Raw!$K$2:$K$4274,A16,All_Findings_Raw!$G$2:$G$4274,"Critical")</f>
        <v>63</v>
      </c>
      <c r="I16" s="7" t="n">
        <f aca="false">SUMIFS(All_Findings_Raw!$V$2:$V$4274,All_Findings_Raw!$K$2:$K$4274,A16)</f>
        <v>95</v>
      </c>
      <c r="J16" s="8" t="n">
        <f aca="false">IFERROR(AVERAGEIFS(All_Findings_Raw!$P$2:$P$4274,All_Findings_Raw!$T$2:$T$4274,1,All_Findings_Raw!$K$2:$K$4274,A16),0)</f>
        <v>20.28125</v>
      </c>
    </row>
    <row r="17" customFormat="false" ht="15" hidden="false" customHeight="false" outlineLevel="0" collapsed="false">
      <c r="A17" s="7" t="s">
        <v>3856</v>
      </c>
      <c r="B17" s="7" t="n">
        <v>38</v>
      </c>
      <c r="C17" s="7" t="n">
        <f aca="false">SUMIFS(All_Findings_Raw!$S$2:$S$4274,All_Findings_Raw!$K$2:$K$4274,A17)</f>
        <v>22</v>
      </c>
      <c r="D17" s="7" t="n">
        <f aca="false">SUMIFS(All_Findings_Raw!$T$2:$T$4274,All_Findings_Raw!$K$2:$K$4274,A17)</f>
        <v>19</v>
      </c>
      <c r="E17" s="8" t="n">
        <f aca="false">IFERROR(D17/(D17+F17)*100,0)</f>
        <v>13.013698630137</v>
      </c>
      <c r="F17" s="7" t="n">
        <f aca="false">SUMIFS(All_Findings_Raw!$R$2:$R$4274,All_Findings_Raw!$K$2:$K$4274,A17)</f>
        <v>127</v>
      </c>
      <c r="G17" s="7" t="n">
        <f aca="false">SUMIFS(All_Findings_Raw!$U$2:$U$4274,All_Findings_Raw!$K$2:$K$4274,A17)</f>
        <v>15</v>
      </c>
      <c r="H17" s="7" t="n">
        <f aca="false">SUMIFS(All_Findings_Raw!$R$2:$R$4274,All_Findings_Raw!$K$2:$K$4274,A17,All_Findings_Raw!$G$2:$G$4274,"Critical")</f>
        <v>75</v>
      </c>
      <c r="I17" s="7" t="n">
        <f aca="false">SUMIFS(All_Findings_Raw!$V$2:$V$4274,All_Findings_Raw!$K$2:$K$4274,A17)</f>
        <v>120</v>
      </c>
      <c r="J17" s="8" t="n">
        <f aca="false">IFERROR(AVERAGEIFS(All_Findings_Raw!$P$2:$P$4274,All_Findings_Raw!$T$2:$T$4274,1,All_Findings_Raw!$K$2:$K$4274,A17),0)</f>
        <v>21.6842105263158</v>
      </c>
    </row>
    <row r="18" customFormat="false" ht="15" hidden="false" customHeight="false" outlineLevel="0" collapsed="false">
      <c r="A18" s="7" t="s">
        <v>4171</v>
      </c>
      <c r="B18" s="7" t="n">
        <v>29</v>
      </c>
      <c r="C18" s="7" t="n">
        <f aca="false">SUMIFS(All_Findings_Raw!$S$2:$S$4274,All_Findings_Raw!$K$2:$K$4274,A18)</f>
        <v>16</v>
      </c>
      <c r="D18" s="7" t="n">
        <f aca="false">SUMIFS(All_Findings_Raw!$T$2:$T$4274,All_Findings_Raw!$K$2:$K$4274,A18)</f>
        <v>11</v>
      </c>
      <c r="E18" s="8" t="n">
        <f aca="false">IFERROR(D18/(D18+F18)*100,0)</f>
        <v>7.74647887323944</v>
      </c>
      <c r="F18" s="7" t="n">
        <f aca="false">SUMIFS(All_Findings_Raw!$R$2:$R$4274,All_Findings_Raw!$K$2:$K$4274,A18)</f>
        <v>131</v>
      </c>
      <c r="G18" s="7" t="n">
        <f aca="false">SUMIFS(All_Findings_Raw!$U$2:$U$4274,All_Findings_Raw!$K$2:$K$4274,A18)</f>
        <v>12</v>
      </c>
      <c r="H18" s="7" t="n">
        <f aca="false">SUMIFS(All_Findings_Raw!$R$2:$R$4274,All_Findings_Raw!$K$2:$K$4274,A18,All_Findings_Raw!$G$2:$G$4274,"Critical")</f>
        <v>79</v>
      </c>
      <c r="I18" s="7" t="n">
        <f aca="false">SUMIFS(All_Findings_Raw!$V$2:$V$4274,All_Findings_Raw!$K$2:$K$4274,A18)</f>
        <v>123</v>
      </c>
      <c r="J18" s="8" t="n">
        <f aca="false">IFERROR(AVERAGEIFS(All_Findings_Raw!$P$2:$P$4274,All_Findings_Raw!$T$2:$T$4274,1,All_Findings_Raw!$K$2:$K$4274,A18),0)</f>
        <v>16.4545454545455</v>
      </c>
    </row>
  </sheetData>
  <mergeCells count="1">
    <mergeCell ref="A1:J1"/>
  </mergeCells>
  <conditionalFormatting sqref="E4:E18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10"/>
  </cols>
  <sheetData>
    <row r="1" customFormat="false" ht="19.7" hidden="false" customHeight="false" outlineLevel="0" collapsed="false">
      <c r="A1" s="1" t="s">
        <v>4430</v>
      </c>
      <c r="B1" s="1"/>
      <c r="C1" s="1"/>
      <c r="D1" s="1"/>
      <c r="E1" s="1"/>
    </row>
    <row r="3" customFormat="false" ht="15" hidden="false" customHeight="false" outlineLevel="0" collapsed="false">
      <c r="A3" s="6" t="s">
        <v>4431</v>
      </c>
      <c r="B3" s="6" t="s">
        <v>4432</v>
      </c>
      <c r="C3" s="6" t="s">
        <v>19</v>
      </c>
      <c r="D3" s="6" t="s">
        <v>20</v>
      </c>
    </row>
    <row r="4" customFormat="false" ht="15" hidden="false" customHeight="false" outlineLevel="0" collapsed="false">
      <c r="A4" s="7" t="s">
        <v>4433</v>
      </c>
      <c r="B4" s="7" t="n">
        <f aca="false">COUNTIFS(All_Findings_Raw!$R$2:$R$4274,1,All_Findings_Raw!$O$2:$O$4274,"&gt;=0",All_Findings_Raw!$O$2:$O$4274,"&lt;=30")</f>
        <v>121</v>
      </c>
      <c r="C4" s="7" t="n">
        <f aca="false">COUNTIFS(All_Findings_Raw!$R$2:$R$4274,1,All_Findings_Raw!$O$2:$O$4274,"&gt;=0",All_Findings_Raw!$O$2:$O$4274,"&lt;=30",All_Findings_Raw!$G$2:$G$4274,"Critical")</f>
        <v>83</v>
      </c>
      <c r="D4" s="7" t="n">
        <f aca="false">COUNTIFS(All_Findings_Raw!$R$2:$R$4274,1,All_Findings_Raw!$O$2:$O$4274,"&gt;=0",All_Findings_Raw!$O$2:$O$4274,"&lt;=30",All_Findings_Raw!$G$2:$G$4274,"High")</f>
        <v>35</v>
      </c>
    </row>
    <row r="5" customFormat="false" ht="15" hidden="false" customHeight="false" outlineLevel="0" collapsed="false">
      <c r="A5" s="7" t="s">
        <v>4434</v>
      </c>
      <c r="B5" s="7" t="n">
        <f aca="false">COUNTIFS(All_Findings_Raw!$R$2:$R$4274,1,All_Findings_Raw!$O$2:$O$4274,"&gt;=31",All_Findings_Raw!$O$2:$O$4274,"&lt;=60")</f>
        <v>180</v>
      </c>
      <c r="C5" s="7" t="n">
        <f aca="false">COUNTIFS(All_Findings_Raw!$R$2:$R$4274,1,All_Findings_Raw!$O$2:$O$4274,"&gt;=31",All_Findings_Raw!$O$2:$O$4274,"&lt;=60",All_Findings_Raw!$G$2:$G$4274,"Critical")</f>
        <v>115</v>
      </c>
      <c r="D5" s="7" t="n">
        <f aca="false">COUNTIFS(All_Findings_Raw!$R$2:$R$4274,1,All_Findings_Raw!$O$2:$O$4274,"&gt;=31",All_Findings_Raw!$O$2:$O$4274,"&lt;=60",All_Findings_Raw!$G$2:$G$4274,"High")</f>
        <v>58</v>
      </c>
    </row>
    <row r="6" customFormat="false" ht="15" hidden="false" customHeight="false" outlineLevel="0" collapsed="false">
      <c r="A6" s="7" t="s">
        <v>4435</v>
      </c>
      <c r="B6" s="7" t="n">
        <f aca="false">COUNTIFS(All_Findings_Raw!$R$2:$R$4274,1,All_Findings_Raw!$O$2:$O$4274,"&gt;=61",All_Findings_Raw!$O$2:$O$4274,"&lt;=90")</f>
        <v>193</v>
      </c>
      <c r="C6" s="7" t="n">
        <f aca="false">COUNTIFS(All_Findings_Raw!$R$2:$R$4274,1,All_Findings_Raw!$O$2:$O$4274,"&gt;=61",All_Findings_Raw!$O$2:$O$4274,"&lt;=90",All_Findings_Raw!$G$2:$G$4274,"Critical")</f>
        <v>120</v>
      </c>
      <c r="D6" s="7" t="n">
        <f aca="false">COUNTIFS(All_Findings_Raw!$R$2:$R$4274,1,All_Findings_Raw!$O$2:$O$4274,"&gt;=61",All_Findings_Raw!$O$2:$O$4274,"&lt;=90",All_Findings_Raw!$G$2:$G$4274,"High")</f>
        <v>68</v>
      </c>
    </row>
    <row r="7" customFormat="false" ht="15" hidden="false" customHeight="false" outlineLevel="0" collapsed="false">
      <c r="A7" s="7" t="s">
        <v>4436</v>
      </c>
      <c r="B7" s="7" t="n">
        <f aca="false">COUNTIFS(All_Findings_Raw!$R$2:$R$4274,1,All_Findings_Raw!$O$2:$O$4274,"&gt;=91")</f>
        <v>1323</v>
      </c>
      <c r="C7" s="7" t="n">
        <f aca="false">COUNTIFS(All_Findings_Raw!$R$2:$R$4274,1,All_Findings_Raw!$O$2:$O$4274,"&gt;=91",All_Findings_Raw!$G$2:$G$4274,"Critical")</f>
        <v>829</v>
      </c>
      <c r="D7" s="7" t="n">
        <f aca="false">COUNTIFS(All_Findings_Raw!$R$2:$R$4274,1,All_Findings_Raw!$O$2:$O$4274,"&gt;=91",All_Findings_Raw!$G$2:$G$4274,"High")</f>
        <v>448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4437</v>
      </c>
      <c r="B1" s="1"/>
      <c r="C1" s="1"/>
      <c r="D1" s="1"/>
      <c r="E1" s="1"/>
    </row>
    <row r="3" customFormat="false" ht="15" hidden="false" customHeight="false" outlineLevel="0" collapsed="false">
      <c r="A3" s="2" t="s">
        <v>4438</v>
      </c>
    </row>
    <row r="4" customFormat="false" ht="15" hidden="false" customHeight="false" outlineLevel="0" collapsed="false">
      <c r="A4" s="6" t="s">
        <v>23</v>
      </c>
      <c r="B4" s="6" t="s">
        <v>32</v>
      </c>
      <c r="C4" s="6" t="s">
        <v>4429</v>
      </c>
      <c r="D4" s="6" t="s">
        <v>4439</v>
      </c>
      <c r="E4" s="6" t="s">
        <v>4440</v>
      </c>
    </row>
    <row r="5" customFormat="false" ht="15" hidden="false" customHeight="false" outlineLevel="0" collapsed="false">
      <c r="A5" s="7" t="s">
        <v>1548</v>
      </c>
      <c r="B5" s="7" t="s">
        <v>1392</v>
      </c>
      <c r="C5" s="7" t="n">
        <f aca="false">SUMIFS(All_Findings_Raw!$R$2:$R$4274,All_Findings_Raw!$A$2:$A$4274,A5,All_Findings_Raw!$G$2:$G$4274,"Critical")</f>
        <v>6</v>
      </c>
      <c r="D5" s="7" t="n">
        <f aca="false">SUMIFS(All_Findings_Raw!$R$2:$R$4274,All_Findings_Raw!$A$2:$A$4274,A5,All_Findings_Raw!$G$2:$G$4274,"High")</f>
        <v>6</v>
      </c>
      <c r="E5" s="7" t="n">
        <f aca="false">C5+D5</f>
        <v>12</v>
      </c>
    </row>
    <row r="6" customFormat="false" ht="15" hidden="false" customHeight="false" outlineLevel="0" collapsed="false">
      <c r="A6" s="7" t="s">
        <v>4023</v>
      </c>
      <c r="B6" s="7" t="s">
        <v>3856</v>
      </c>
      <c r="C6" s="7" t="n">
        <f aca="false">SUMIFS(All_Findings_Raw!$R$2:$R$4274,All_Findings_Raw!$A$2:$A$4274,A6,All_Findings_Raw!$G$2:$G$4274,"Critical")</f>
        <v>7</v>
      </c>
      <c r="D6" s="7" t="n">
        <f aca="false">SUMIFS(All_Findings_Raw!$R$2:$R$4274,All_Findings_Raw!$A$2:$A$4274,A6,All_Findings_Raw!$G$2:$G$4274,"High")</f>
        <v>4</v>
      </c>
      <c r="E6" s="7" t="n">
        <f aca="false">C6+D6</f>
        <v>11</v>
      </c>
    </row>
    <row r="7" customFormat="false" ht="15" hidden="false" customHeight="false" outlineLevel="0" collapsed="false">
      <c r="A7" s="7" t="s">
        <v>2473</v>
      </c>
      <c r="B7" s="7" t="s">
        <v>2260</v>
      </c>
      <c r="C7" s="7" t="n">
        <f aca="false">SUMIFS(All_Findings_Raw!$R$2:$R$4274,All_Findings_Raw!$A$2:$A$4274,A7,All_Findings_Raw!$G$2:$G$4274,"Critical")</f>
        <v>6</v>
      </c>
      <c r="D7" s="7" t="n">
        <f aca="false">SUMIFS(All_Findings_Raw!$R$2:$R$4274,All_Findings_Raw!$A$2:$A$4274,A7,All_Findings_Raw!$G$2:$G$4274,"High")</f>
        <v>5</v>
      </c>
      <c r="E7" s="7" t="n">
        <f aca="false">C7+D7</f>
        <v>11</v>
      </c>
    </row>
    <row r="8" customFormat="false" ht="15" hidden="false" customHeight="false" outlineLevel="0" collapsed="false">
      <c r="A8" s="7" t="s">
        <v>229</v>
      </c>
      <c r="B8" s="7" t="s">
        <v>51</v>
      </c>
      <c r="C8" s="7" t="n">
        <f aca="false">SUMIFS(All_Findings_Raw!$R$2:$R$4274,All_Findings_Raw!$A$2:$A$4274,A8,All_Findings_Raw!$G$2:$G$4274,"Critical")</f>
        <v>6</v>
      </c>
      <c r="D8" s="7" t="n">
        <f aca="false">SUMIFS(All_Findings_Raw!$R$2:$R$4274,All_Findings_Raw!$A$2:$A$4274,A8,All_Findings_Raw!$G$2:$G$4274,"High")</f>
        <v>4</v>
      </c>
      <c r="E8" s="7" t="n">
        <f aca="false">C8+D8</f>
        <v>10</v>
      </c>
    </row>
    <row r="9" customFormat="false" ht="15" hidden="false" customHeight="false" outlineLevel="0" collapsed="false">
      <c r="A9" s="7" t="s">
        <v>992</v>
      </c>
      <c r="B9" s="7" t="s">
        <v>771</v>
      </c>
      <c r="C9" s="7" t="n">
        <f aca="false">SUMIFS(All_Findings_Raw!$R$2:$R$4274,All_Findings_Raw!$A$2:$A$4274,A9,All_Findings_Raw!$G$2:$G$4274,"Critical")</f>
        <v>7</v>
      </c>
      <c r="D9" s="7" t="n">
        <f aca="false">SUMIFS(All_Findings_Raw!$R$2:$R$4274,All_Findings_Raw!$A$2:$A$4274,A9,All_Findings_Raw!$G$2:$G$4274,"High")</f>
        <v>2</v>
      </c>
      <c r="E9" s="7" t="n">
        <f aca="false">C9+D9</f>
        <v>9</v>
      </c>
    </row>
    <row r="10" customFormat="false" ht="15" hidden="false" customHeight="false" outlineLevel="0" collapsed="false">
      <c r="A10" s="7" t="s">
        <v>2445</v>
      </c>
      <c r="B10" s="7" t="s">
        <v>2260</v>
      </c>
      <c r="C10" s="7" t="n">
        <f aca="false">SUMIFS(All_Findings_Raw!$R$2:$R$4274,All_Findings_Raw!$A$2:$A$4274,A10,All_Findings_Raw!$G$2:$G$4274,"Critical")</f>
        <v>7</v>
      </c>
      <c r="D10" s="7" t="n">
        <f aca="false">SUMIFS(All_Findings_Raw!$R$2:$R$4274,All_Findings_Raw!$A$2:$A$4274,A10,All_Findings_Raw!$G$2:$G$4274,"High")</f>
        <v>2</v>
      </c>
      <c r="E10" s="7" t="n">
        <f aca="false">C10+D10</f>
        <v>9</v>
      </c>
    </row>
    <row r="11" customFormat="false" ht="15" hidden="false" customHeight="false" outlineLevel="0" collapsed="false">
      <c r="A11" s="7" t="s">
        <v>4273</v>
      </c>
      <c r="B11" s="7" t="s">
        <v>4171</v>
      </c>
      <c r="C11" s="7" t="n">
        <f aca="false">SUMIFS(All_Findings_Raw!$R$2:$R$4274,All_Findings_Raw!$A$2:$A$4274,A11,All_Findings_Raw!$G$2:$G$4274,"Critical")</f>
        <v>4</v>
      </c>
      <c r="D11" s="7" t="n">
        <f aca="false">SUMIFS(All_Findings_Raw!$R$2:$R$4274,All_Findings_Raw!$A$2:$A$4274,A11,All_Findings_Raw!$G$2:$G$4274,"High")</f>
        <v>5</v>
      </c>
      <c r="E11" s="7" t="n">
        <f aca="false">C11+D11</f>
        <v>9</v>
      </c>
    </row>
    <row r="12" customFormat="false" ht="15" hidden="false" customHeight="false" outlineLevel="0" collapsed="false">
      <c r="A12" s="7" t="s">
        <v>1283</v>
      </c>
      <c r="B12" s="7" t="s">
        <v>1184</v>
      </c>
      <c r="C12" s="7" t="n">
        <f aca="false">SUMIFS(All_Findings_Raw!$R$2:$R$4274,All_Findings_Raw!$A$2:$A$4274,A12,All_Findings_Raw!$G$2:$G$4274,"Critical")</f>
        <v>5</v>
      </c>
      <c r="D12" s="7" t="n">
        <f aca="false">SUMIFS(All_Findings_Raw!$R$2:$R$4274,All_Findings_Raw!$A$2:$A$4274,A12,All_Findings_Raw!$G$2:$G$4274,"High")</f>
        <v>4</v>
      </c>
      <c r="E12" s="7" t="n">
        <f aca="false">C12+D12</f>
        <v>9</v>
      </c>
    </row>
    <row r="13" customFormat="false" ht="15" hidden="false" customHeight="false" outlineLevel="0" collapsed="false">
      <c r="A13" s="7" t="s">
        <v>2070</v>
      </c>
      <c r="B13" s="7" t="s">
        <v>1971</v>
      </c>
      <c r="C13" s="7" t="n">
        <f aca="false">SUMIFS(All_Findings_Raw!$R$2:$R$4274,All_Findings_Raw!$A$2:$A$4274,A13,All_Findings_Raw!$G$2:$G$4274,"Critical")</f>
        <v>4</v>
      </c>
      <c r="D13" s="7" t="n">
        <f aca="false">SUMIFS(All_Findings_Raw!$R$2:$R$4274,All_Findings_Raw!$A$2:$A$4274,A13,All_Findings_Raw!$G$2:$G$4274,"High")</f>
        <v>5</v>
      </c>
      <c r="E13" s="7" t="n">
        <f aca="false">C13+D13</f>
        <v>9</v>
      </c>
    </row>
    <row r="14" customFormat="false" ht="15" hidden="false" customHeight="false" outlineLevel="0" collapsed="false">
      <c r="A14" s="7" t="s">
        <v>4218</v>
      </c>
      <c r="B14" s="7" t="s">
        <v>4171</v>
      </c>
      <c r="C14" s="7" t="n">
        <f aca="false">SUMIFS(All_Findings_Raw!$R$2:$R$4274,All_Findings_Raw!$A$2:$A$4274,A14,All_Findings_Raw!$G$2:$G$4274,"Critical")</f>
        <v>5</v>
      </c>
      <c r="D14" s="7" t="n">
        <f aca="false">SUMIFS(All_Findings_Raw!$R$2:$R$4274,All_Findings_Raw!$A$2:$A$4274,A14,All_Findings_Raw!$G$2:$G$4274,"High")</f>
        <v>4</v>
      </c>
      <c r="E14" s="7" t="n">
        <f aca="false">C14+D14</f>
        <v>9</v>
      </c>
    </row>
    <row r="15" customFormat="false" ht="15" hidden="false" customHeight="false" outlineLevel="0" collapsed="false">
      <c r="A15" s="7" t="s">
        <v>3934</v>
      </c>
      <c r="B15" s="7" t="s">
        <v>3856</v>
      </c>
      <c r="C15" s="7" t="n">
        <f aca="false">SUMIFS(All_Findings_Raw!$R$2:$R$4274,All_Findings_Raw!$A$2:$A$4274,A15,All_Findings_Raw!$G$2:$G$4274,"Critical")</f>
        <v>5</v>
      </c>
      <c r="D15" s="7" t="n">
        <f aca="false">SUMIFS(All_Findings_Raw!$R$2:$R$4274,All_Findings_Raw!$A$2:$A$4274,A15,All_Findings_Raw!$G$2:$G$4274,"High")</f>
        <v>4</v>
      </c>
      <c r="E15" s="7" t="n">
        <f aca="false">C15+D15</f>
        <v>9</v>
      </c>
    </row>
    <row r="16" customFormat="false" ht="15" hidden="false" customHeight="false" outlineLevel="0" collapsed="false">
      <c r="A16" s="7" t="s">
        <v>3552</v>
      </c>
      <c r="B16" s="7" t="s">
        <v>3340</v>
      </c>
      <c r="C16" s="7" t="n">
        <f aca="false">SUMIFS(All_Findings_Raw!$R$2:$R$4274,All_Findings_Raw!$A$2:$A$4274,A16,All_Findings_Raw!$G$2:$G$4274,"Critical")</f>
        <v>5</v>
      </c>
      <c r="D16" s="7" t="n">
        <f aca="false">SUMIFS(All_Findings_Raw!$R$2:$R$4274,All_Findings_Raw!$A$2:$A$4274,A16,All_Findings_Raw!$G$2:$G$4274,"High")</f>
        <v>3</v>
      </c>
      <c r="E16" s="7" t="n">
        <f aca="false">C16+D16</f>
        <v>8</v>
      </c>
    </row>
    <row r="17" customFormat="false" ht="15" hidden="false" customHeight="false" outlineLevel="0" collapsed="false">
      <c r="A17" s="7" t="s">
        <v>1156</v>
      </c>
      <c r="B17" s="7" t="s">
        <v>1015</v>
      </c>
      <c r="C17" s="7" t="n">
        <f aca="false">SUMIFS(All_Findings_Raw!$R$2:$R$4274,All_Findings_Raw!$A$2:$A$4274,A17,All_Findings_Raw!$G$2:$G$4274,"Critical")</f>
        <v>3</v>
      </c>
      <c r="D17" s="7" t="n">
        <f aca="false">SUMIFS(All_Findings_Raw!$R$2:$R$4274,All_Findings_Raw!$A$2:$A$4274,A17,All_Findings_Raw!$G$2:$G$4274,"High")</f>
        <v>5</v>
      </c>
      <c r="E17" s="7" t="n">
        <f aca="false">C17+D17</f>
        <v>8</v>
      </c>
    </row>
    <row r="18" customFormat="false" ht="15" hidden="false" customHeight="false" outlineLevel="0" collapsed="false">
      <c r="A18" s="7" t="s">
        <v>4285</v>
      </c>
      <c r="B18" s="7" t="s">
        <v>4171</v>
      </c>
      <c r="C18" s="7" t="n">
        <f aca="false">SUMIFS(All_Findings_Raw!$R$2:$R$4274,All_Findings_Raw!$A$2:$A$4274,A18,All_Findings_Raw!$G$2:$G$4274,"Critical")</f>
        <v>5</v>
      </c>
      <c r="D18" s="7" t="n">
        <f aca="false">SUMIFS(All_Findings_Raw!$R$2:$R$4274,All_Findings_Raw!$A$2:$A$4274,A18,All_Findings_Raw!$G$2:$G$4274,"High")</f>
        <v>3</v>
      </c>
      <c r="E18" s="7" t="n">
        <f aca="false">C18+D18</f>
        <v>8</v>
      </c>
    </row>
    <row r="19" customFormat="false" ht="15" hidden="false" customHeight="false" outlineLevel="0" collapsed="false">
      <c r="A19" s="7" t="s">
        <v>3068</v>
      </c>
      <c r="B19" s="7" t="s">
        <v>2984</v>
      </c>
      <c r="C19" s="7" t="n">
        <f aca="false">SUMIFS(All_Findings_Raw!$R$2:$R$4274,All_Findings_Raw!$A$2:$A$4274,A19,All_Findings_Raw!$G$2:$G$4274,"Critical")</f>
        <v>6</v>
      </c>
      <c r="D19" s="7" t="n">
        <f aca="false">SUMIFS(All_Findings_Raw!$R$2:$R$4274,All_Findings_Raw!$A$2:$A$4274,A19,All_Findings_Raw!$G$2:$G$4274,"High")</f>
        <v>2</v>
      </c>
      <c r="E19" s="7" t="n">
        <f aca="false">C19+D19</f>
        <v>8</v>
      </c>
    </row>
    <row r="22" customFormat="false" ht="15" hidden="false" customHeight="false" outlineLevel="0" collapsed="false">
      <c r="A22" s="12" t="s">
        <v>4441</v>
      </c>
    </row>
    <row r="23" customFormat="false" ht="15" hidden="false" customHeight="false" outlineLevel="0" collapsed="false">
      <c r="A23" s="6" t="s">
        <v>27</v>
      </c>
      <c r="B23" s="6" t="s">
        <v>14</v>
      </c>
      <c r="C23" s="6" t="s">
        <v>26</v>
      </c>
      <c r="D23" s="6" t="s">
        <v>4442</v>
      </c>
    </row>
    <row r="24" customFormat="false" ht="15" hidden="false" customHeight="false" outlineLevel="0" collapsed="false">
      <c r="A24" s="7" t="s">
        <v>88</v>
      </c>
      <c r="B24" s="7" t="s">
        <v>19</v>
      </c>
      <c r="C24" s="7" t="s">
        <v>87</v>
      </c>
      <c r="D24" s="7" t="n">
        <f aca="false">SUMIFS(All_Findings_Raw!$R$2:$R$4274,All_Findings_Raw!$E$2:$E$4274,A24)</f>
        <v>77</v>
      </c>
    </row>
    <row r="25" customFormat="false" ht="15" hidden="false" customHeight="false" outlineLevel="0" collapsed="false">
      <c r="A25" s="7" t="s">
        <v>118</v>
      </c>
      <c r="B25" s="7" t="s">
        <v>19</v>
      </c>
      <c r="C25" s="7" t="s">
        <v>117</v>
      </c>
      <c r="D25" s="7" t="n">
        <f aca="false">SUMIFS(All_Findings_Raw!$R$2:$R$4274,All_Findings_Raw!$E$2:$E$4274,A25)</f>
        <v>74</v>
      </c>
    </row>
    <row r="26" customFormat="false" ht="15" hidden="false" customHeight="false" outlineLevel="0" collapsed="false">
      <c r="A26" s="7" t="s">
        <v>109</v>
      </c>
      <c r="B26" s="7" t="s">
        <v>20</v>
      </c>
      <c r="C26" s="7" t="s">
        <v>108</v>
      </c>
      <c r="D26" s="7" t="n">
        <f aca="false">SUMIFS(All_Findings_Raw!$R$2:$R$4274,All_Findings_Raw!$E$2:$E$4274,A26)</f>
        <v>72</v>
      </c>
    </row>
    <row r="27" customFormat="false" ht="15" hidden="false" customHeight="false" outlineLevel="0" collapsed="false">
      <c r="A27" s="7" t="s">
        <v>164</v>
      </c>
      <c r="B27" s="7" t="s">
        <v>19</v>
      </c>
      <c r="C27" s="7" t="s">
        <v>163</v>
      </c>
      <c r="D27" s="7" t="n">
        <f aca="false">SUMIFS(All_Findings_Raw!$R$2:$R$4274,All_Findings_Raw!$E$2:$E$4274,A27)</f>
        <v>69</v>
      </c>
    </row>
    <row r="28" customFormat="false" ht="15" hidden="false" customHeight="false" outlineLevel="0" collapsed="false">
      <c r="A28" s="7" t="s">
        <v>146</v>
      </c>
      <c r="B28" s="7" t="s">
        <v>19</v>
      </c>
      <c r="C28" s="7" t="s">
        <v>145</v>
      </c>
      <c r="D28" s="7" t="n">
        <f aca="false">SUMIFS(All_Findings_Raw!$R$2:$R$4274,All_Findings_Raw!$E$2:$E$4274,A28)</f>
        <v>66</v>
      </c>
    </row>
    <row r="29" customFormat="false" ht="15" hidden="false" customHeight="false" outlineLevel="0" collapsed="false">
      <c r="A29" s="7" t="s">
        <v>113</v>
      </c>
      <c r="B29" s="7" t="s">
        <v>20</v>
      </c>
      <c r="C29" s="7" t="s">
        <v>112</v>
      </c>
      <c r="D29" s="7" t="n">
        <f aca="false">SUMIFS(All_Findings_Raw!$R$2:$R$4274,All_Findings_Raw!$E$2:$E$4274,A29)</f>
        <v>64</v>
      </c>
    </row>
    <row r="30" customFormat="false" ht="15" hidden="false" customHeight="false" outlineLevel="0" collapsed="false">
      <c r="A30" s="7" t="s">
        <v>55</v>
      </c>
      <c r="B30" s="7" t="s">
        <v>19</v>
      </c>
      <c r="C30" s="7" t="s">
        <v>54</v>
      </c>
      <c r="D30" s="7" t="n">
        <f aca="false">SUMIFS(All_Findings_Raw!$R$2:$R$4274,All_Findings_Raw!$E$2:$E$4274,A30)</f>
        <v>63</v>
      </c>
    </row>
    <row r="31" customFormat="false" ht="15" hidden="false" customHeight="false" outlineLevel="0" collapsed="false">
      <c r="A31" s="7" t="s">
        <v>211</v>
      </c>
      <c r="B31" s="7" t="s">
        <v>19</v>
      </c>
      <c r="C31" s="7" t="s">
        <v>210</v>
      </c>
      <c r="D31" s="7" t="n">
        <f aca="false">SUMIFS(All_Findings_Raw!$R$2:$R$4274,All_Findings_Raw!$E$2:$E$4274,A31)</f>
        <v>63</v>
      </c>
    </row>
    <row r="32" customFormat="false" ht="15" hidden="false" customHeight="false" outlineLevel="0" collapsed="false">
      <c r="A32" s="7" t="s">
        <v>72</v>
      </c>
      <c r="B32" s="7" t="s">
        <v>19</v>
      </c>
      <c r="C32" s="7" t="s">
        <v>71</v>
      </c>
      <c r="D32" s="7" t="n">
        <f aca="false">SUMIFS(All_Findings_Raw!$R$2:$R$4274,All_Findings_Raw!$E$2:$E$4274,A32)</f>
        <v>62</v>
      </c>
    </row>
    <row r="33" customFormat="false" ht="15" hidden="false" customHeight="false" outlineLevel="0" collapsed="false">
      <c r="A33" s="7" t="s">
        <v>92</v>
      </c>
      <c r="B33" s="7" t="s">
        <v>20</v>
      </c>
      <c r="C33" s="7" t="s">
        <v>91</v>
      </c>
      <c r="D33" s="7" t="n">
        <f aca="false">SUMIFS(All_Findings_Raw!$R$2:$R$4274,All_Findings_Raw!$E$2:$E$4274,A33)</f>
        <v>62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3" t="s">
        <v>4443</v>
      </c>
    </row>
    <row r="3" customFormat="false" ht="31.5" hidden="false" customHeight="true" outlineLevel="0" collapsed="false">
      <c r="A3" s="14" t="s">
        <v>4444</v>
      </c>
    </row>
    <row r="4" customFormat="false" ht="31.5" hidden="false" customHeight="true" outlineLevel="0" collapsed="false">
      <c r="A4" s="14" t="s">
        <v>4445</v>
      </c>
    </row>
    <row r="5" customFormat="false" ht="31.5" hidden="false" customHeight="true" outlineLevel="0" collapsed="false">
      <c r="A5" s="14" t="s">
        <v>4446</v>
      </c>
    </row>
    <row r="6" customFormat="false" ht="31.5" hidden="false" customHeight="true" outlineLevel="0" collapsed="false">
      <c r="A6" s="14" t="s">
        <v>4447</v>
      </c>
    </row>
    <row r="7" customFormat="false" ht="31.5" hidden="false" customHeight="true" outlineLevel="0" collapsed="false">
      <c r="A7" s="14" t="s">
        <v>4448</v>
      </c>
    </row>
    <row r="8" customFormat="false" ht="31.5" hidden="false" customHeight="true" outlineLevel="0" collapsed="false">
      <c r="A8" s="14" t="s">
        <v>4449</v>
      </c>
    </row>
    <row r="9" customFormat="false" ht="31.5" hidden="false" customHeight="true" outlineLevel="0" collapsed="false">
      <c r="A9" s="14" t="s">
        <v>4450</v>
      </c>
    </row>
    <row r="10" customFormat="false" ht="31.5" hidden="false" customHeight="true" outlineLevel="0" collapsed="false">
      <c r="A10" s="14" t="s">
        <v>4451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2026-09-05T16:05:33Z</dcterms:created>
  <dc:creator>openpyxl</dc:creator>
  <dc:description/>
  <dc:language>en-US</dc:language>
  <cp:lastModifiedBy/>
  <dcterms:modified xsi:type="dcterms:W3CDTF">2026-09-05T16:05:41Z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